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Lincs &amp; Northants/"/>
    </mc:Choice>
  </mc:AlternateContent>
  <xr:revisionPtr revIDLastSave="0" documentId="11_BA585CF29A168C63B44AFC2CE275794C39C7E263" xr6:coauthVersionLast="47" xr6:coauthVersionMax="47" xr10:uidLastSave="{00000000-0000-0000-0000-000000000000}"/>
  <bookViews>
    <workbookView xWindow="-108" yWindow="-108" windowWidth="23256" windowHeight="12576"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definedNames>
    <definedName name="_xlnm.Print_Area" localSheetId="14">'Air (CEMS)'!$A$1:$M$31</definedName>
    <definedName name="_xlnm.Print_Area" localSheetId="13">'Air (periodic)'!$A$1:$J$41</definedName>
    <definedName name="_xlnm.Print_Area" localSheetId="20">'CO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1">'NH3'!$A$1:$G$52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32" l="1"/>
  <c r="A1" i="32"/>
  <c r="I1" i="24" l="1"/>
  <c r="A1" i="24"/>
  <c r="E1" i="23"/>
  <c r="A1" i="23"/>
  <c r="E1" i="22"/>
  <c r="A1" i="22"/>
  <c r="E1" i="21"/>
  <c r="A1" i="21"/>
  <c r="E1" i="11"/>
  <c r="A1" i="11"/>
  <c r="E1" i="10"/>
  <c r="A1" i="10"/>
  <c r="E1" i="9"/>
  <c r="A1" i="9"/>
  <c r="E1" i="5"/>
  <c r="A1" i="5"/>
  <c r="E1" i="4"/>
  <c r="A1" i="4"/>
  <c r="E1" i="3"/>
  <c r="A1" i="3"/>
  <c r="O79" i="31"/>
  <c r="N79" i="31"/>
  <c r="M79" i="31"/>
  <c r="L79" i="31"/>
  <c r="O64" i="31"/>
  <c r="N64" i="31"/>
  <c r="M64" i="31"/>
  <c r="L64" i="31"/>
  <c r="O49" i="31"/>
  <c r="N49" i="31"/>
  <c r="M49" i="31"/>
  <c r="L49" i="31"/>
  <c r="O34" i="31"/>
  <c r="N34" i="31"/>
  <c r="M34" i="31"/>
  <c r="L34" i="31"/>
  <c r="J51" i="31"/>
  <c r="Q79" i="30"/>
  <c r="P79" i="30"/>
  <c r="O79" i="30"/>
  <c r="M79" i="30"/>
  <c r="Q64" i="30"/>
  <c r="P64" i="30"/>
  <c r="O64" i="30"/>
  <c r="M64" i="30"/>
  <c r="Q49" i="30"/>
  <c r="P49" i="30"/>
  <c r="O49" i="30"/>
  <c r="M49" i="30"/>
  <c r="Q34" i="30"/>
  <c r="P34" i="30"/>
  <c r="O34" i="30"/>
  <c r="M34" i="30"/>
  <c r="K66" i="30"/>
  <c r="O79" i="28"/>
  <c r="N79" i="28"/>
  <c r="M79" i="28"/>
  <c r="L79" i="28"/>
  <c r="O64" i="28"/>
  <c r="N64" i="28"/>
  <c r="M64" i="28"/>
  <c r="L64" i="28"/>
  <c r="O49" i="28"/>
  <c r="N49" i="28"/>
  <c r="M49" i="28"/>
  <c r="L49" i="28"/>
  <c r="O34" i="28"/>
  <c r="N34" i="28"/>
  <c r="M34" i="28"/>
  <c r="L34" i="28"/>
  <c r="J66" i="28"/>
  <c r="O79" i="27"/>
  <c r="N79" i="27"/>
  <c r="M79" i="27"/>
  <c r="L79" i="27"/>
  <c r="O64" i="27"/>
  <c r="N64" i="27"/>
  <c r="M64" i="27"/>
  <c r="L64" i="27"/>
  <c r="O49" i="27"/>
  <c r="N49" i="27"/>
  <c r="M49" i="27"/>
  <c r="L49" i="27"/>
  <c r="O34" i="27"/>
  <c r="N34" i="27"/>
  <c r="M34" i="27"/>
  <c r="L34" i="27"/>
  <c r="J66" i="27"/>
  <c r="O79" i="26"/>
  <c r="N79" i="26"/>
  <c r="M79" i="26"/>
  <c r="L79" i="26"/>
  <c r="O64" i="26"/>
  <c r="N64" i="26"/>
  <c r="M64" i="26"/>
  <c r="L64" i="26"/>
  <c r="O49" i="26"/>
  <c r="N49" i="26"/>
  <c r="M49" i="26"/>
  <c r="L49" i="26"/>
  <c r="O34" i="26"/>
  <c r="N34" i="26"/>
  <c r="M34" i="26"/>
  <c r="L34" i="26"/>
  <c r="J66" i="26"/>
  <c r="O79" i="25"/>
  <c r="N79" i="25"/>
  <c r="M79" i="25"/>
  <c r="L79" i="25"/>
  <c r="O64" i="25"/>
  <c r="N64" i="25"/>
  <c r="M64" i="25"/>
  <c r="L64" i="25"/>
  <c r="O49" i="25"/>
  <c r="N49" i="25"/>
  <c r="M49" i="25"/>
  <c r="L49" i="25"/>
  <c r="O34" i="25"/>
  <c r="N34" i="25"/>
  <c r="M34" i="25"/>
  <c r="L34" i="25"/>
  <c r="J66" i="25"/>
  <c r="O79" i="13"/>
  <c r="N79" i="13"/>
  <c r="M79" i="13"/>
  <c r="L79" i="13"/>
  <c r="J66" i="13"/>
  <c r="J36" i="27" l="1"/>
  <c r="J66" i="31"/>
  <c r="J21" i="28"/>
  <c r="J21" i="27"/>
  <c r="J21" i="26"/>
  <c r="J21" i="25"/>
  <c r="J21" i="31"/>
  <c r="J36" i="31"/>
  <c r="K36" i="30"/>
  <c r="K51" i="30"/>
  <c r="K21" i="30"/>
  <c r="J36" i="28"/>
  <c r="J51" i="28"/>
  <c r="J51" i="27"/>
  <c r="J51" i="26"/>
  <c r="J36" i="26"/>
  <c r="J36" i="25"/>
  <c r="J51" i="25"/>
</calcChain>
</file>

<file path=xl/sharedStrings.xml><?xml version="1.0" encoding="utf-8"?>
<sst xmlns="http://schemas.openxmlformats.org/spreadsheetml/2006/main" count="1504" uniqueCount="434">
  <si>
    <t>Add company logo</t>
  </si>
  <si>
    <t>Version 22.3  30/11/22</t>
  </si>
  <si>
    <t>Add photo</t>
  </si>
  <si>
    <t>Notes:</t>
  </si>
  <si>
    <t>This template may require adjustments by individual operators to meet specific reporting requirements as defined in the site Permit(s)</t>
  </si>
  <si>
    <t>Annual Performance Report 2022</t>
  </si>
  <si>
    <t>Permit EPR/FP3739FS</t>
  </si>
  <si>
    <t>Lincolnshire Energy from Waste Facility</t>
  </si>
  <si>
    <t>FCC Environment (Lincolnshire) Limited</t>
  </si>
  <si>
    <t>Year:</t>
  </si>
  <si>
    <t>Address:</t>
  </si>
  <si>
    <t>Paving Way, Off Whisby Road, North Hykeham, Lincoln, LN63QW</t>
  </si>
  <si>
    <t xml:space="preserve">Tel: </t>
  </si>
  <si>
    <t xml:space="preserve">Email: </t>
  </si>
  <si>
    <t>Prepared by:</t>
  </si>
  <si>
    <t>Leigh Hornsby</t>
  </si>
  <si>
    <t>Position:</t>
  </si>
  <si>
    <t>Environment Manager</t>
  </si>
  <si>
    <t>Approved by:</t>
  </si>
  <si>
    <t>Juergen Schaper</t>
  </si>
  <si>
    <t>General Manager</t>
  </si>
  <si>
    <t>Version:</t>
  </si>
  <si>
    <t>Issue Date:</t>
  </si>
  <si>
    <t>31.01.2023</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</si>
  <si>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</si>
  <si>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</si>
  <si>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</si>
  <si>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</si>
  <si>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</si>
  <si>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</si>
  <si>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</si>
  <si>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</si>
  <si>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</si>
  <si>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</si>
  <si>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</si>
  <si>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</si>
  <si>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</si>
  <si>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</si>
  <si>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</si>
  <si>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</si>
  <si>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</si>
  <si>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</si>
  <si>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</si>
  <si>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</si>
  <si>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</si>
  <si>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</si>
  <si>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</si>
  <si>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</si>
  <si>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</si>
  <si>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</si>
  <si>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</si>
  <si>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</si>
  <si>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</si>
  <si>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</si>
  <si>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</si>
  <si>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</si>
  <si>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</si>
  <si>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</si>
  <si>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</si>
  <si>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EFW facility has a total capacity of approximately 49.7 MW (thermal input) and is capable of generating up to 13.1 MWe of electrical power, the majority of which is exported to the National Grid. Provision has been made to supply additional heat in the form of up to 10 MWth when a commercial scheme becomes available to take the heat.
The facility consists of one incinerator line with a total annual permitted capacity of 190,000 tonnes per year</t>
  </si>
  <si>
    <t xml:space="preserve">Include summary of plant design, design capacity, no. of combustion lines, electrical and heat capacity and any other general information that descibes the facility, its location and purpose </t>
  </si>
  <si>
    <t>Summary of Operational Processes and Procedures</t>
  </si>
  <si>
    <t>Waste material burned at the facility is residual municipal solid waste (i.e. waste that has had recyclable and re-usable materials source segregated) and commercial and industrial (C&amp;I) waste derived from residential, commercial and industrial sources. All waste material for processing received at the facility is non-hazardous. 
Waste material arrives by road and is weighed before proceeding into the tipping hall where it is tipped into the waste bunker of sufficient capacity to hold several days waste inputs.
Moving grate technology is used for burning the waste material. The furnace design ensures that a temperature of at least 850°C for a period of at least two seconds is achieved in the combustion chamber. To ensure that the temperature does not fall below 850°C auxiliary burners firing fuel oil are automatically triggered by online process monitoring equipment.
Hot gases from the furnace pass into a boiler. Steam raised in the boiler is passed to a turbine to generate electricity. Combustion gases are cleaned before they are released to atmosphere. There are four components to the gas cleaning abatement technique;
- Selective Non-Catalytic Reduction (SNCR) involving the injection of ammonia into the combustion chamber above the flame providing for the abatement of nitrogen oxides.
- Dry hydrated lime re-agent injected to neutralise acid gas compounds.
- Activated carbon injected to absorb heavy metals, dioxins and furans.
- Bag filtration to remove fine particulates. The residues of the bag filters are collected and directed to a residues silo. Part of the residues are recycled to the reagent injection points to ensure maximum usage of the lime content.
Cleaned flue gases exiting the abatement system of the incinerator line are discharged through the 75m tall stack. Gases are continuously monitored for particulate matter, oxides of nitrogen, sulphur dioxide, carbon monoxide, total organic carbon, hydrogen chloride and ammonia. Monitoring for heavy metals, dioxins, nitrous oxide and hydrogen fluoride is carried out periodically.
Under normal circumstances there are no liquid effluent emissions from the incinerator. Water arising from boiler blowdown and water treatment backwash is recycled to the Incinerator Bottom Ash (IBA) quench. Water surplus to the requirements of quenching is discharged to the sewerage system.  
All plant areas are surfaced to the appropriate standards for the activities within those areas. All liquid tanks and drums whose emissions to water or land could cause pollution, are contained in adequate bunding constructed in line with industry best practice standards and sized to contain 110% of the contents of the largest tank or 25% of the total tonnage within the bund; whichever is the larger. Materials used for surfacing of process areas and bunds are resistant to the materials they may come into contact with.
There are no direct discharges to groundwater from the facility. 
The solid residues produced by the EFW facility are Incinerator Bottom Ash (IBA) and Air Pollution Control (APC) residues. APC residues are hazardous and sent for treatment before landfill disposal. IBA is sent for separation and recycling of the metal content; with the remaining ash being used as a substitute aggregate.</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</si>
  <si>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</si>
  <si>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</si>
  <si>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</si>
  <si>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</si>
  <si>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</si>
  <si>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</si>
  <si>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</si>
  <si>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</si>
  <si>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</si>
  <si>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</si>
  <si>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</si>
  <si>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</si>
  <si>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</si>
  <si>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</si>
  <si>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</si>
  <si>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</si>
  <si>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</si>
  <si>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</si>
  <si>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</si>
  <si>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</si>
  <si>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</si>
  <si>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</si>
  <si>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</si>
  <si>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</si>
  <si>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</si>
  <si>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</si>
  <si>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</si>
  <si>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</si>
  <si>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</si>
  <si>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</si>
  <si>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</si>
  <si>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</si>
  <si>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</si>
  <si>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</si>
  <si>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</si>
  <si>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</si>
  <si>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</si>
  <si>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</si>
  <si>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</si>
  <si>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</si>
  <si>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</si>
  <si>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</si>
  <si>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</si>
  <si>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</si>
  <si>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</si>
  <si>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</si>
  <si>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</si>
  <si>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</si>
  <si>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</si>
  <si>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</si>
  <si>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</si>
  <si>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</si>
  <si>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</si>
  <si>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</si>
  <si>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</si>
  <si>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</si>
  <si>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</si>
  <si>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</si>
  <si>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</si>
  <si>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</si>
  <si>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</si>
  <si>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</si>
  <si>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</si>
  <si>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</si>
  <si>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</si>
  <si>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</si>
  <si>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</si>
  <si>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</si>
  <si>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</si>
  <si>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</si>
  <si>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</si>
  <si>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n/a</t>
  </si>
  <si>
    <t>Net Calorific Value of waste</t>
  </si>
  <si>
    <t>MJ/kg</t>
  </si>
  <si>
    <t>Abnormal Events</t>
  </si>
  <si>
    <t>qty.</t>
  </si>
  <si>
    <t>no</t>
  </si>
  <si>
    <t>Abnormal operation</t>
  </si>
  <si>
    <t>hours</t>
  </si>
  <si>
    <t>Permit Breaches</t>
  </si>
  <si>
    <t>Summary of Plant Operations and Maintenance during the reporting year</t>
  </si>
  <si>
    <t>During 2022 the site operated for 90% of the year with 172,062 tonnes of waste incinerated against a permit limit of 190,000 tonnes with full compliance to all limits set within the permit. 
The site had a planned annual outage from mid September to early October 2022 where routine maintenance that cannot be done while the plant is online was undertaken including significant replacement of boiler tubes.
Preliminary works for optimisation of ammonia dosing were performed in the first half of the year in preparation for the completion of IC4 in 2023 and dispersion modelling was performed which demonstrated that the plant would be expeced to meet the proposed conditons for a Regulatory Position Statement in the event of national failure of ammonia supply.
The site generated 112,620 MWh of electricity during 2022, exporting 98,400 MWh to the national grid.</t>
  </si>
  <si>
    <t xml:space="preserve">Include summary of key operational and/or mainteanance activity undertaken in the year, such as any major component upgrades and/or replacements </t>
  </si>
  <si>
    <t>Summary of Residue Handling for the reporting year</t>
  </si>
  <si>
    <t>Incinerator Bottom Ash (IBA) is sampled 4 times per year for permit compliance purposes, in particular for Total Organic Content where the permit has a limit of 3%. Full compliance was achieved during 2022; no values were above 3% with an average value of 1.41% achieved. 
Additional testing of IBA is undertaken in order to correctly classify the IBA. 24 samples (2 per month) were taken in 2022 to assess for any hazardous content within the IBA. During 2022 all 24 sample results were returned confirming the classification of the IBA as non-hazardous.
All metals within the IBA are sent along with the non-hazardous IBA to a third party company who operate a permitted facility dedicated to management of bottom ash. Metals are segregated and sent for recycling while the remaining incinerator bottom ash is used as a substitute aggregate material for use within the construction industry.
Air Pollution Control Residues (APCr) formed from the cleaning of the flue gases are also analysed on a quarterly basis, albeit with no limits set within the permit. The APCr is tankered to a permitted treatment site where the material is used to neutralise highly acidic wastes before the resulting residue is sent for disposal.</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</si>
  <si>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</si>
  <si>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</si>
  <si>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</si>
  <si>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</si>
  <si>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</si>
  <si>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</si>
  <si>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</si>
  <si>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</si>
  <si>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</si>
  <si>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</si>
  <si>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</si>
  <si>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</si>
  <si>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</si>
  <si>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</si>
  <si>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</si>
  <si>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</si>
  <si>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D13</t>
  </si>
  <si>
    <t>IBA</t>
  </si>
  <si>
    <t>Total Hazardous Waste</t>
  </si>
  <si>
    <t>2) Non-Hazardous Wastes</t>
  </si>
  <si>
    <t>R05</t>
  </si>
  <si>
    <t>Ferrous Metal</t>
  </si>
  <si>
    <t>R04</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</si>
  <si>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</si>
  <si>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</si>
  <si>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</si>
  <si>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</si>
  <si>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</si>
  <si>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</si>
  <si>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</si>
  <si>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</si>
  <si>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</si>
  <si>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</si>
  <si>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</si>
  <si>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</si>
  <si>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</si>
  <si>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</si>
  <si>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</si>
  <si>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</si>
  <si>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</si>
  <si>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</si>
  <si>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</si>
  <si>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</si>
  <si>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</si>
  <si>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</si>
  <si>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</si>
  <si>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</si>
  <si>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</si>
  <si>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</si>
  <si>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</si>
  <si>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</si>
  <si>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</si>
  <si>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</si>
  <si>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</si>
  <si>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</si>
  <si>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</si>
  <si>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</si>
  <si>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</si>
  <si>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</si>
  <si>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</si>
  <si>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</si>
  <si>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</si>
  <si>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</si>
  <si>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</si>
  <si>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</si>
  <si>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</si>
  <si>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</si>
  <si>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</si>
  <si>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</si>
  <si>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</si>
  <si>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</si>
  <si>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</si>
  <si>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</si>
  <si>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</si>
  <si>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</si>
  <si>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</si>
  <si>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 xml:space="preserve">
100%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</si>
  <si>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</si>
  <si>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</si>
  <si>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</si>
  <si>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</si>
  <si>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</si>
  <si>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</si>
  <si>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</si>
  <si>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</si>
  <si>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</si>
  <si>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</si>
  <si>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</si>
  <si>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</si>
  <si>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</si>
  <si>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Ongoing replacement of lighting with LED units to reduce electricity consumption.</t>
  </si>
  <si>
    <t>Summary of any permit improvement conditions that have been completed within the year and the resulting environmental benefits.</t>
  </si>
  <si>
    <t>IC1 was completed by the submission of a completed BAT Conclusions Returns Spreadsheet showing that the plant is compliant with the requirements of the Waste Incineration BREF or will achieve compliance within the required time frames. Gross electrical efficiency met the required threshold to obviate the requirement for IC5 and so both Improvement Conditions were deemed complete by the Environment Agency.</t>
  </si>
  <si>
    <t>Summary of any changes to the plant or operating techniques which required a variation to the permit and a summary of the resulting environmental impact.</t>
  </si>
  <si>
    <t>New permit was issued by the Environment Agency to conform to the requirements of the Waste Incineration BREF</t>
  </si>
  <si>
    <t>Summary of any other improvements made to the plant or planned to be made and a summary of the resulting environmental benefits.</t>
  </si>
  <si>
    <t>Details of Public &amp; Stakeholder Liasion</t>
  </si>
  <si>
    <t>Summary of events held during the reporting year.</t>
  </si>
  <si>
    <t>Description</t>
  </si>
  <si>
    <t>Open Day attended by approximately 900 members of the public</t>
  </si>
  <si>
    <t>List of events planned for next year</t>
  </si>
  <si>
    <t>Community liaison group meeting</t>
  </si>
  <si>
    <t xml:space="preserve">If you wish to be involved in the public liasion programme, please contact  01522 814315 or visit https://lincolnshire.fccenvironment.co.uk/contact-us/ </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</si>
  <si>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</si>
  <si>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</si>
  <si>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</si>
  <si>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</si>
  <si>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</si>
  <si>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</si>
  <si>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</si>
  <si>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The Annual Average CO2 % is taken from the CEMs. This was multiplied by 10,000 to convert to ppm. And using conversion factors in the EA's PI guidance note converted to mg/m3. Then multiplied by average stack flow (m3/hr) in 2022.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</si>
  <si>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</si>
  <si>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</si>
  <si>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</si>
  <si>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</si>
  <si>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Annual Average taken from CEMs = 1.7 mg/Nm3. x 134,099 Ave flow m3/hr in 2022. Using hours plant operational, calculated the tonnage per year.</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</si>
  <si>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</si>
  <si>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</si>
  <si>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</si>
  <si>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</si>
  <si>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</si>
  <si>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</si>
  <si>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Compositional analysis undertaken by Waste Research Ltd in 2018 provides relative calorific contribution of each sorted fraction. Total contribution of non-biogenic fractions = 36.68% assuming that textiles are 100% biogenic.</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</si>
  <si>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</si>
  <si>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</si>
  <si>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</si>
  <si>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Compositional analysis undertaken by Waste Research Ltd in 2018 provides relative calorific contribution of each sorted fraction. Total contribution of non-biogenic fractions = 36.68% assuming that textiles are 100% biogenic.CO2 contribution is assumed to be the same for all combustible wastes once moisture content has been removed.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</si>
  <si>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</si>
  <si>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</si>
  <si>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</si>
  <si>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</si>
  <si>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Monitoring of residues for permit compliance was undertaken with full compliance to the residue limit recorded. 
No specific events were recorded during 2022.</t>
  </si>
  <si>
    <t xml:space="preserve">All 24 samples taken and analysed as per the ESA protocol were returned demonstrating that the Incinerator Bottom Ash should be classified as non-hazardous. </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</si>
  <si>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</si>
  <si>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</si>
  <si>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</si>
  <si>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</si>
  <si>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</si>
  <si>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</si>
  <si>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</si>
  <si>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</si>
  <si>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</si>
  <si>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</si>
  <si>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</si>
  <si>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</si>
  <si>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</si>
  <si>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</si>
  <si>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</si>
  <si>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The permit requires a visual inspection of the surface water discharge point; water discharged from site is made up from 
rainwater rather than from any process activity. Any process water discharged would be through a trade effluent consent.</t>
  </si>
  <si>
    <t xml:space="preserve">During 2022 regular visual inspections of the discharge point were made, with a monthly inspection reported showing that there were no signs of oil or greases within the discharged water. </t>
  </si>
  <si>
    <t>Emissions to Water / Sewer</t>
  </si>
  <si>
    <t>Monitoring Frequency</t>
  </si>
  <si>
    <t>Target</t>
  </si>
  <si>
    <t>Max.</t>
  </si>
  <si>
    <t>Average</t>
  </si>
  <si>
    <t>Oil or grease</t>
  </si>
  <si>
    <t>Monthly</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</si>
  <si>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</si>
  <si>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</si>
  <si>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</si>
  <si>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</si>
  <si>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</si>
  <si>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</si>
  <si>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</si>
  <si>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</si>
  <si>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</si>
  <si>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</si>
  <si>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</si>
  <si>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</si>
  <si>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</si>
  <si>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</si>
  <si>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</si>
  <si>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</si>
  <si>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</si>
  <si>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</si>
  <si>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</si>
  <si>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</si>
  <si>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</si>
  <si>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</si>
  <si>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</si>
  <si>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</si>
  <si>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</si>
  <si>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&lt;0.00135</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</si>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</sst>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409]d\-mmm\-yy;@"/>
    <numFmt numFmtId="170" formatCode="0.000"/>
  </numFmts>
  <fonts count="38"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sz val="10"/>
      <name val="Arial"/>
      <family val="2"/>
    </font>
    <font>
      <sz val="10"/>
      <color rgb="FF000000"/>
      <name val="Arial"/>
      <family val="2"/>
    </font>
    <font>
      <b/>
      <sz val="12"/>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169" fontId="3" fillId="0" borderId="0"/>
    <xf numFmtId="169" fontId="3" fillId="0" borderId="0"/>
    <xf numFmtId="0" fontId="35" fillId="0" borderId="0"/>
  </cellStyleXfs>
  <cellXfs count="402">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164" fontId="1" fillId="2" borderId="2" xfId="1" applyNumberFormat="1" applyFont="1" applyFill="1" applyBorder="1" applyAlignment="1">
      <alignment horizontal="center"/>
    </xf>
    <xf numFmtId="164" fontId="1" fillId="2" borderId="0" xfId="1" applyNumberFormat="1" applyFont="1" applyFill="1" applyAlignment="1">
      <alignment horizontal="center"/>
    </xf>
    <xf numFmtId="164" fontId="6" fillId="2" borderId="7" xfId="1" applyNumberFormat="1" applyFont="1" applyFill="1" applyBorder="1"/>
    <xf numFmtId="0" fontId="1" fillId="0" borderId="0" xfId="0" applyFont="1"/>
    <xf numFmtId="0" fontId="1" fillId="5" borderId="2" xfId="0" applyFont="1" applyFill="1" applyBorder="1" applyAlignment="1">
      <alignment horizontal="center" vertical="center" wrapText="1"/>
    </xf>
    <xf numFmtId="0" fontId="1" fillId="0" borderId="0" xfId="0" applyFont="1" applyAlignment="1">
      <alignment horizontal="center" vertical="center" wrapText="1"/>
    </xf>
    <xf numFmtId="0" fontId="36" fillId="0" borderId="0" xfId="0" applyFont="1" applyAlignment="1">
      <alignment horizontal="center" vertical="center" wrapText="1"/>
    </xf>
    <xf numFmtId="3" fontId="2" fillId="5" borderId="2" xfId="0" applyNumberFormat="1" applyFont="1" applyFill="1" applyBorder="1" applyAlignment="1">
      <alignment vertical="top"/>
    </xf>
    <xf numFmtId="10" fontId="2" fillId="5" borderId="2" xfId="0" applyNumberFormat="1" applyFont="1" applyFill="1" applyBorder="1" applyAlignment="1">
      <alignment vertical="top"/>
    </xf>
    <xf numFmtId="0" fontId="1" fillId="2" borderId="2" xfId="0" applyFont="1" applyFill="1" applyBorder="1" applyAlignment="1">
      <alignment horizontal="center" vertical="center" wrapText="1"/>
    </xf>
    <xf numFmtId="0" fontId="1" fillId="0" borderId="2" xfId="0" applyFont="1" applyBorder="1" applyAlignment="1">
      <alignment horizontal="left" vertical="center" wrapText="1"/>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5" fontId="1" fillId="0" borderId="10" xfId="2" applyNumberFormat="1" applyFont="1" applyBorder="1" applyAlignment="1">
      <alignment horizontal="center"/>
    </xf>
    <xf numFmtId="164" fontId="1" fillId="8" borderId="0" xfId="1" applyNumberFormat="1" applyFont="1" applyFill="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164" fontId="1" fillId="2" borderId="0" xfId="1"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2" xfId="0" applyFont="1" applyBorder="1" applyAlignment="1">
      <alignment horizont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0" fontId="1" fillId="0" borderId="2" xfId="0" applyFont="1" applyBorder="1"/>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1" xfId="0" applyFont="1" applyBorder="1" applyAlignment="1">
      <alignment horizontal="left" vertical="center" wrapText="1"/>
    </xf>
    <xf numFmtId="0" fontId="1" fillId="9" borderId="2" xfId="0" applyFont="1" applyFill="1" applyBorder="1" applyAlignment="1">
      <alignment horizontal="center"/>
    </xf>
    <xf numFmtId="164" fontId="1" fillId="9" borderId="2" xfId="1" applyNumberFormat="1" applyFont="1" applyFill="1" applyBorder="1" applyAlignment="1">
      <alignment horizontal="center"/>
    </xf>
    <xf numFmtId="166" fontId="1" fillId="2" borderId="0" xfId="1" applyNumberFormat="1" applyFont="1" applyFill="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2" fillId="2" borderId="2" xfId="0" applyFont="1" applyFill="1" applyBorder="1"/>
    <xf numFmtId="0" fontId="1" fillId="0" borderId="2" xfId="0" applyFont="1" applyBorder="1" applyAlignment="1">
      <alignment horizontal="center" vertical="center" wrapText="1"/>
    </xf>
    <xf numFmtId="14" fontId="1" fillId="2" borderId="2" xfId="0" applyNumberFormat="1" applyFont="1" applyFill="1" applyBorder="1" applyAlignment="1">
      <alignment horizontal="left"/>
    </xf>
    <xf numFmtId="9" fontId="1" fillId="0" borderId="2" xfId="0" applyNumberFormat="1" applyFont="1" applyBorder="1" applyAlignment="1">
      <alignment horizontal="center" vertical="center" wrapText="1"/>
    </xf>
    <xf numFmtId="0" fontId="2" fillId="0" borderId="0" xfId="0" applyFont="1" applyAlignment="1">
      <alignment horizontal="left" vertical="center" wrapText="1"/>
    </xf>
    <xf numFmtId="2" fontId="1" fillId="5" borderId="2" xfId="0" applyNumberFormat="1" applyFont="1" applyFill="1" applyBorder="1" applyAlignment="1">
      <alignment horizontal="center" vertical="center" wrapText="1"/>
    </xf>
    <xf numFmtId="0" fontId="1" fillId="8" borderId="2" xfId="0" applyFont="1" applyFill="1" applyBorder="1" applyAlignment="1">
      <alignment horizontal="center" vertical="center" wrapText="1"/>
    </xf>
    <xf numFmtId="2" fontId="1" fillId="5" borderId="2" xfId="0" applyNumberFormat="1" applyFont="1" applyFill="1" applyBorder="1" applyAlignment="1">
      <alignment horizontal="left" vertical="center" wrapText="1"/>
    </xf>
    <xf numFmtId="170" fontId="1" fillId="5" borderId="2" xfId="0" applyNumberFormat="1" applyFont="1" applyFill="1" applyBorder="1" applyAlignment="1">
      <alignment horizontal="center"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xf numFmtId="2" fontId="1" fillId="5" borderId="1" xfId="0" applyNumberFormat="1" applyFont="1" applyFill="1" applyBorder="1" applyAlignment="1">
      <alignment horizontal="center" vertical="center" wrapText="1"/>
    </xf>
    <xf numFmtId="0" fontId="1" fillId="8" borderId="1" xfId="0" applyFont="1" applyFill="1" applyBorder="1" applyAlignment="1">
      <alignment horizontal="center" vertical="center" wrapText="1"/>
    </xf>
    <xf numFmtId="0" fontId="2" fillId="2" borderId="0" xfId="0" applyFont="1" applyFill="1" applyAlignment="1">
      <alignment horizontal="center"/>
    </xf>
    <xf numFmtId="0" fontId="8" fillId="2" borderId="0" xfId="0" applyFont="1" applyFill="1" applyAlignment="1">
      <alignment horizontal="center"/>
    </xf>
    <xf numFmtId="0" fontId="22" fillId="0" borderId="0" xfId="0" applyFont="1" applyAlignment="1">
      <alignment horizontal="left" wrapText="1"/>
    </xf>
    <xf numFmtId="0" fontId="2" fillId="2" borderId="0" xfId="0" applyFont="1" applyFill="1" applyAlignment="1">
      <alignment horizontal="center" vertical="center"/>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1" xfId="0" applyFont="1" applyBorder="1" applyAlignment="1">
      <alignment horizontal="left" vertical="center" wrapText="1"/>
    </xf>
    <xf numFmtId="0" fontId="1" fillId="0" borderId="15"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1" fillId="2" borderId="2" xfId="0" applyFont="1" applyFill="1" applyBorder="1" applyAlignment="1">
      <alignmen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2" xfId="0" applyFont="1" applyBorder="1" applyAlignment="1">
      <alignment vertical="center" wrapText="1"/>
    </xf>
    <xf numFmtId="168" fontId="1" fillId="0" borderId="1" xfId="0" applyNumberFormat="1" applyFont="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0" borderId="2" xfId="0"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3" xfId="0" applyFont="1" applyFill="1" applyBorder="1" applyAlignment="1">
      <alignment horizontal="left"/>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10" fontId="1" fillId="2" borderId="2" xfId="0" applyNumberFormat="1" applyFont="1" applyFill="1" applyBorder="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14" fontId="1" fillId="2" borderId="6" xfId="0" applyNumberFormat="1" applyFont="1" applyFill="1" applyBorder="1" applyAlignment="1">
      <alignment horizontal="left" vertical="top"/>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0" fontId="1" fillId="5" borderId="2"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6">
    <cellStyle name="Comma" xfId="1" builtinId="3"/>
    <cellStyle name="Normal" xfId="0" builtinId="0"/>
    <cellStyle name="Normal 10" xfId="3" xr:uid="{00000000-0005-0000-0000-000002000000}"/>
    <cellStyle name="Normal 2" xfId="4" xr:uid="{00000000-0005-0000-0000-000003000000}"/>
    <cellStyle name="Normal 3" xfId="5" xr:uid="{00000000-0005-0000-0000-000004000000}"/>
    <cellStyle name="Percent" xfId="2" builtinId="5"/>
  </cellStyles>
  <dxfs count="0"/>
  <tableStyles count="0" defaultTableStyle="TableStyleMedium2" defaultPivotStyle="PivotStyleLight16"/>
  <colors>
    <mruColors>
      <color rgb="FF9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4.7</c:v>
                </c:pt>
                <c:pt idx="1">
                  <c:v>3.9</c:v>
                </c:pt>
                <c:pt idx="2">
                  <c:v>4.5</c:v>
                </c:pt>
                <c:pt idx="3">
                  <c:v>4.8</c:v>
                </c:pt>
                <c:pt idx="4">
                  <c:v>5.7</c:v>
                </c:pt>
                <c:pt idx="5">
                  <c:v>6.1</c:v>
                </c:pt>
                <c:pt idx="6">
                  <c:v>5.9</c:v>
                </c:pt>
                <c:pt idx="7">
                  <c:v>6.2</c:v>
                </c:pt>
                <c:pt idx="8">
                  <c:v>6.2</c:v>
                </c:pt>
                <c:pt idx="9">
                  <c:v>4.5</c:v>
                </c:pt>
                <c:pt idx="10">
                  <c:v>6</c:v>
                </c:pt>
                <c:pt idx="11">
                  <c:v>5.2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8</c:v>
                </c:pt>
                <c:pt idx="1">
                  <c:v>7.3</c:v>
                </c:pt>
                <c:pt idx="2">
                  <c:v>7.5</c:v>
                </c:pt>
                <c:pt idx="3">
                  <c:v>9.1</c:v>
                </c:pt>
                <c:pt idx="4">
                  <c:v>15.3</c:v>
                </c:pt>
                <c:pt idx="5">
                  <c:v>10.8</c:v>
                </c:pt>
                <c:pt idx="6">
                  <c:v>10.9</c:v>
                </c:pt>
                <c:pt idx="7">
                  <c:v>10.5</c:v>
                </c:pt>
                <c:pt idx="8">
                  <c:v>12.4</c:v>
                </c:pt>
                <c:pt idx="9">
                  <c:v>11.9</c:v>
                </c:pt>
                <c:pt idx="10">
                  <c:v>12.7</c:v>
                </c:pt>
                <c:pt idx="11">
                  <c:v>10.3</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4.7</c:v>
                </c:pt>
                <c:pt idx="1">
                  <c:v>3.8</c:v>
                </c:pt>
                <c:pt idx="2">
                  <c:v>4.4000000000000004</c:v>
                </c:pt>
                <c:pt idx="3">
                  <c:v>4.7</c:v>
                </c:pt>
                <c:pt idx="4">
                  <c:v>5.7</c:v>
                </c:pt>
                <c:pt idx="5">
                  <c:v>6.1</c:v>
                </c:pt>
                <c:pt idx="6">
                  <c:v>5.9</c:v>
                </c:pt>
                <c:pt idx="7">
                  <c:v>6.2</c:v>
                </c:pt>
                <c:pt idx="8">
                  <c:v>6.1</c:v>
                </c:pt>
                <c:pt idx="9">
                  <c:v>4.5</c:v>
                </c:pt>
                <c:pt idx="10">
                  <c:v>5.9</c:v>
                </c:pt>
                <c:pt idx="11">
                  <c:v>5.2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5.5</c:v>
                </c:pt>
                <c:pt idx="1">
                  <c:v>4.5999999999999996</c:v>
                </c:pt>
                <c:pt idx="2">
                  <c:v>5.4</c:v>
                </c:pt>
                <c:pt idx="3">
                  <c:v>5.5</c:v>
                </c:pt>
                <c:pt idx="4">
                  <c:v>8.6</c:v>
                </c:pt>
                <c:pt idx="5">
                  <c:v>6.7</c:v>
                </c:pt>
                <c:pt idx="6">
                  <c:v>6.9</c:v>
                </c:pt>
                <c:pt idx="7">
                  <c:v>7.2</c:v>
                </c:pt>
                <c:pt idx="8">
                  <c:v>7.7</c:v>
                </c:pt>
                <c:pt idx="9">
                  <c:v>6.6</c:v>
                </c:pt>
                <c:pt idx="10">
                  <c:v>8.1999999999999993</c:v>
                </c:pt>
                <c:pt idx="11">
                  <c:v>6.3</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81029184"/>
        <c:axId val="381029568"/>
      </c:lineChart>
      <c:catAx>
        <c:axId val="381029184"/>
        <c:scaling>
          <c:orientation val="minMax"/>
        </c:scaling>
        <c:delete val="0"/>
        <c:axPos val="b"/>
        <c:numFmt formatCode="General" sourceLinked="1"/>
        <c:majorTickMark val="out"/>
        <c:minorTickMark val="none"/>
        <c:tickLblPos val="nextTo"/>
        <c:crossAx val="381029568"/>
        <c:crosses val="autoZero"/>
        <c:auto val="1"/>
        <c:lblAlgn val="ctr"/>
        <c:lblOffset val="100"/>
        <c:noMultiLvlLbl val="0"/>
      </c:catAx>
      <c:valAx>
        <c:axId val="38102956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810291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31.8</c:v>
                </c:pt>
                <c:pt idx="1">
                  <c:v>35.299999999999997</c:v>
                </c:pt>
                <c:pt idx="2">
                  <c:v>31.3</c:v>
                </c:pt>
                <c:pt idx="3">
                  <c:v>28.6</c:v>
                </c:pt>
                <c:pt idx="4">
                  <c:v>20.399999999999999</c:v>
                </c:pt>
                <c:pt idx="5">
                  <c:v>23</c:v>
                </c:pt>
                <c:pt idx="6">
                  <c:v>25.4</c:v>
                </c:pt>
                <c:pt idx="7">
                  <c:v>17</c:v>
                </c:pt>
                <c:pt idx="8">
                  <c:v>18.2</c:v>
                </c:pt>
                <c:pt idx="9">
                  <c:v>34.200000000000003</c:v>
                </c:pt>
                <c:pt idx="10">
                  <c:v>33.200000000000003</c:v>
                </c:pt>
                <c:pt idx="11">
                  <c:v>34.799999999999997</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73.900000000000006</c:v>
                </c:pt>
                <c:pt idx="1">
                  <c:v>65.3</c:v>
                </c:pt>
                <c:pt idx="2">
                  <c:v>105.3</c:v>
                </c:pt>
                <c:pt idx="3">
                  <c:v>97.5</c:v>
                </c:pt>
                <c:pt idx="4">
                  <c:v>86.5</c:v>
                </c:pt>
                <c:pt idx="5">
                  <c:v>56.4</c:v>
                </c:pt>
                <c:pt idx="6">
                  <c:v>104.7</c:v>
                </c:pt>
                <c:pt idx="7">
                  <c:v>80.7</c:v>
                </c:pt>
                <c:pt idx="8">
                  <c:v>54.6</c:v>
                </c:pt>
                <c:pt idx="9">
                  <c:v>100.5</c:v>
                </c:pt>
                <c:pt idx="10">
                  <c:v>82.6</c:v>
                </c:pt>
                <c:pt idx="11">
                  <c:v>77.599999999999994</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31.8</c:v>
                </c:pt>
                <c:pt idx="1">
                  <c:v>35.4</c:v>
                </c:pt>
                <c:pt idx="2">
                  <c:v>31.3</c:v>
                </c:pt>
                <c:pt idx="3">
                  <c:v>28.6</c:v>
                </c:pt>
                <c:pt idx="4">
                  <c:v>20.3</c:v>
                </c:pt>
                <c:pt idx="5">
                  <c:v>23.1</c:v>
                </c:pt>
                <c:pt idx="6">
                  <c:v>25.2</c:v>
                </c:pt>
                <c:pt idx="7">
                  <c:v>16.899999999999999</c:v>
                </c:pt>
                <c:pt idx="8">
                  <c:v>18.100000000000001</c:v>
                </c:pt>
                <c:pt idx="9">
                  <c:v>34.6</c:v>
                </c:pt>
                <c:pt idx="10">
                  <c:v>33.1</c:v>
                </c:pt>
                <c:pt idx="11">
                  <c:v>34.9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38.9</c:v>
                </c:pt>
                <c:pt idx="1">
                  <c:v>41.3</c:v>
                </c:pt>
                <c:pt idx="2">
                  <c:v>39</c:v>
                </c:pt>
                <c:pt idx="3">
                  <c:v>38.700000000000003</c:v>
                </c:pt>
                <c:pt idx="4">
                  <c:v>30.4</c:v>
                </c:pt>
                <c:pt idx="5">
                  <c:v>29.3</c:v>
                </c:pt>
                <c:pt idx="6">
                  <c:v>47.8</c:v>
                </c:pt>
                <c:pt idx="7">
                  <c:v>26.2</c:v>
                </c:pt>
                <c:pt idx="8">
                  <c:v>23.9</c:v>
                </c:pt>
                <c:pt idx="9">
                  <c:v>46.4</c:v>
                </c:pt>
                <c:pt idx="10">
                  <c:v>42.4</c:v>
                </c:pt>
                <c:pt idx="11">
                  <c:v>42.7</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81645744"/>
        <c:axId val="381646128"/>
      </c:lineChart>
      <c:catAx>
        <c:axId val="381645744"/>
        <c:scaling>
          <c:orientation val="minMax"/>
        </c:scaling>
        <c:delete val="0"/>
        <c:axPos val="b"/>
        <c:numFmt formatCode="General" sourceLinked="1"/>
        <c:majorTickMark val="out"/>
        <c:minorTickMark val="none"/>
        <c:tickLblPos val="nextTo"/>
        <c:crossAx val="381646128"/>
        <c:crosses val="autoZero"/>
        <c:auto val="1"/>
        <c:lblAlgn val="ctr"/>
        <c:lblOffset val="100"/>
        <c:noMultiLvlLbl val="0"/>
      </c:catAx>
      <c:valAx>
        <c:axId val="3816461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816457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151.4</c:v>
                </c:pt>
                <c:pt idx="1">
                  <c:v>153.4</c:v>
                </c:pt>
                <c:pt idx="2">
                  <c:v>140.19999999999999</c:v>
                </c:pt>
                <c:pt idx="3">
                  <c:v>132.4</c:v>
                </c:pt>
                <c:pt idx="4">
                  <c:v>139.80000000000001</c:v>
                </c:pt>
                <c:pt idx="5">
                  <c:v>156.4</c:v>
                </c:pt>
                <c:pt idx="6">
                  <c:v>162.69999999999999</c:v>
                </c:pt>
                <c:pt idx="7">
                  <c:v>152.9</c:v>
                </c:pt>
                <c:pt idx="8">
                  <c:v>156.5</c:v>
                </c:pt>
                <c:pt idx="9">
                  <c:v>153.80000000000001</c:v>
                </c:pt>
                <c:pt idx="10">
                  <c:v>162.9</c:v>
                </c:pt>
                <c:pt idx="11">
                  <c:v>154.80000000000001</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216.8</c:v>
                </c:pt>
                <c:pt idx="1">
                  <c:v>217.4</c:v>
                </c:pt>
                <c:pt idx="2">
                  <c:v>219.1</c:v>
                </c:pt>
                <c:pt idx="3">
                  <c:v>209.9</c:v>
                </c:pt>
                <c:pt idx="4">
                  <c:v>234.9</c:v>
                </c:pt>
                <c:pt idx="5">
                  <c:v>187.2</c:v>
                </c:pt>
                <c:pt idx="6">
                  <c:v>269.2</c:v>
                </c:pt>
                <c:pt idx="7">
                  <c:v>216.2</c:v>
                </c:pt>
                <c:pt idx="8">
                  <c:v>243.6</c:v>
                </c:pt>
                <c:pt idx="9">
                  <c:v>235.9</c:v>
                </c:pt>
                <c:pt idx="10">
                  <c:v>249.5</c:v>
                </c:pt>
                <c:pt idx="11">
                  <c:v>233.4</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151.5</c:v>
                </c:pt>
                <c:pt idx="1">
                  <c:v>153.19999999999999</c:v>
                </c:pt>
                <c:pt idx="2">
                  <c:v>140.1</c:v>
                </c:pt>
                <c:pt idx="3">
                  <c:v>132.4</c:v>
                </c:pt>
                <c:pt idx="4">
                  <c:v>140.1</c:v>
                </c:pt>
                <c:pt idx="5">
                  <c:v>156.4</c:v>
                </c:pt>
                <c:pt idx="6">
                  <c:v>162.69999999999999</c:v>
                </c:pt>
                <c:pt idx="7">
                  <c:v>152.9</c:v>
                </c:pt>
                <c:pt idx="8">
                  <c:v>156.30000000000001</c:v>
                </c:pt>
                <c:pt idx="9">
                  <c:v>153.69999999999999</c:v>
                </c:pt>
                <c:pt idx="10">
                  <c:v>162.6</c:v>
                </c:pt>
                <c:pt idx="11">
                  <c:v>154.30000000000001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165</c:v>
                </c:pt>
                <c:pt idx="1">
                  <c:v>165.4</c:v>
                </c:pt>
                <c:pt idx="2">
                  <c:v>156.5</c:v>
                </c:pt>
                <c:pt idx="3">
                  <c:v>151.19999999999999</c:v>
                </c:pt>
                <c:pt idx="4">
                  <c:v>172.1</c:v>
                </c:pt>
                <c:pt idx="5">
                  <c:v>160.9</c:v>
                </c:pt>
                <c:pt idx="6">
                  <c:v>185.5</c:v>
                </c:pt>
                <c:pt idx="7">
                  <c:v>160</c:v>
                </c:pt>
                <c:pt idx="8">
                  <c:v>172.3</c:v>
                </c:pt>
                <c:pt idx="9">
                  <c:v>176.8</c:v>
                </c:pt>
                <c:pt idx="10">
                  <c:v>180.6</c:v>
                </c:pt>
                <c:pt idx="11">
                  <c:v>164.7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81360728"/>
        <c:axId val="381357864"/>
      </c:lineChart>
      <c:catAx>
        <c:axId val="381360728"/>
        <c:scaling>
          <c:orientation val="minMax"/>
        </c:scaling>
        <c:delete val="0"/>
        <c:axPos val="b"/>
        <c:numFmt formatCode="General" sourceLinked="1"/>
        <c:majorTickMark val="out"/>
        <c:minorTickMark val="none"/>
        <c:tickLblPos val="nextTo"/>
        <c:crossAx val="381357864"/>
        <c:crosses val="autoZero"/>
        <c:auto val="1"/>
        <c:lblAlgn val="ctr"/>
        <c:lblOffset val="100"/>
        <c:noMultiLvlLbl val="0"/>
      </c:catAx>
      <c:valAx>
        <c:axId val="38135786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813607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0.1</c:v>
                </c:pt>
                <c:pt idx="1">
                  <c:v>0</c:v>
                </c:pt>
                <c:pt idx="2">
                  <c:v>0</c:v>
                </c:pt>
                <c:pt idx="3">
                  <c:v>0</c:v>
                </c:pt>
                <c:pt idx="4">
                  <c:v>0.9</c:v>
                </c:pt>
                <c:pt idx="5">
                  <c:v>1</c:v>
                </c:pt>
                <c:pt idx="6">
                  <c:v>1.1000000000000001</c:v>
                </c:pt>
                <c:pt idx="7">
                  <c:v>1.1000000000000001</c:v>
                </c:pt>
                <c:pt idx="8">
                  <c:v>1.1000000000000001</c:v>
                </c:pt>
                <c:pt idx="9">
                  <c:v>1</c:v>
                </c:pt>
                <c:pt idx="10">
                  <c:v>1</c:v>
                </c:pt>
                <c:pt idx="11">
                  <c:v>0.9</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7.2</c:v>
                </c:pt>
                <c:pt idx="1">
                  <c:v>5</c:v>
                </c:pt>
                <c:pt idx="2">
                  <c:v>2.9</c:v>
                </c:pt>
                <c:pt idx="3">
                  <c:v>6.6</c:v>
                </c:pt>
                <c:pt idx="4">
                  <c:v>6.4</c:v>
                </c:pt>
                <c:pt idx="5">
                  <c:v>6.4</c:v>
                </c:pt>
                <c:pt idx="6">
                  <c:v>15.2</c:v>
                </c:pt>
                <c:pt idx="7">
                  <c:v>6.4</c:v>
                </c:pt>
                <c:pt idx="8">
                  <c:v>7.6</c:v>
                </c:pt>
                <c:pt idx="9">
                  <c:v>4.5</c:v>
                </c:pt>
                <c:pt idx="10">
                  <c:v>7.7</c:v>
                </c:pt>
                <c:pt idx="11">
                  <c:v>5.3</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c:v>
                </c:pt>
                <c:pt idx="1">
                  <c:v>0</c:v>
                </c:pt>
                <c:pt idx="2">
                  <c:v>0</c:v>
                </c:pt>
                <c:pt idx="3">
                  <c:v>0</c:v>
                </c:pt>
                <c:pt idx="4">
                  <c:v>0.8</c:v>
                </c:pt>
                <c:pt idx="5">
                  <c:v>1</c:v>
                </c:pt>
                <c:pt idx="6">
                  <c:v>1.1000000000000001</c:v>
                </c:pt>
                <c:pt idx="7">
                  <c:v>1</c:v>
                </c:pt>
                <c:pt idx="8">
                  <c:v>1</c:v>
                </c:pt>
                <c:pt idx="9">
                  <c:v>1</c:v>
                </c:pt>
                <c:pt idx="10">
                  <c:v>0.9</c:v>
                </c:pt>
                <c:pt idx="11">
                  <c:v>0.8</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0.2</c:v>
                </c:pt>
                <c:pt idx="1">
                  <c:v>0.3</c:v>
                </c:pt>
                <c:pt idx="2">
                  <c:v>0.1</c:v>
                </c:pt>
                <c:pt idx="3">
                  <c:v>0.2</c:v>
                </c:pt>
                <c:pt idx="4">
                  <c:v>1.2</c:v>
                </c:pt>
                <c:pt idx="5">
                  <c:v>1.1000000000000001</c:v>
                </c:pt>
                <c:pt idx="6">
                  <c:v>1.5</c:v>
                </c:pt>
                <c:pt idx="7">
                  <c:v>1.2</c:v>
                </c:pt>
                <c:pt idx="8">
                  <c:v>1.4</c:v>
                </c:pt>
                <c:pt idx="9">
                  <c:v>1.2</c:v>
                </c:pt>
                <c:pt idx="10">
                  <c:v>1.2</c:v>
                </c:pt>
                <c:pt idx="11">
                  <c:v>1.1000000000000001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82246848"/>
        <c:axId val="382251944"/>
      </c:lineChart>
      <c:catAx>
        <c:axId val="382246848"/>
        <c:scaling>
          <c:orientation val="minMax"/>
        </c:scaling>
        <c:delete val="0"/>
        <c:axPos val="b"/>
        <c:numFmt formatCode="General" sourceLinked="1"/>
        <c:majorTickMark val="out"/>
        <c:minorTickMark val="none"/>
        <c:tickLblPos val="nextTo"/>
        <c:crossAx val="382251944"/>
        <c:crosses val="autoZero"/>
        <c:auto val="1"/>
        <c:lblAlgn val="ctr"/>
        <c:lblOffset val="100"/>
        <c:noMultiLvlLbl val="0"/>
      </c:catAx>
      <c:valAx>
        <c:axId val="38225194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8224684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0.1</c:v>
                </c:pt>
                <c:pt idx="1">
                  <c:v>0.1</c:v>
                </c:pt>
                <c:pt idx="2">
                  <c:v>0.1</c:v>
                </c:pt>
                <c:pt idx="3">
                  <c:v>0.1</c:v>
                </c:pt>
                <c:pt idx="4">
                  <c:v>0</c:v>
                </c:pt>
                <c:pt idx="5">
                  <c:v>0</c:v>
                </c:pt>
                <c:pt idx="6">
                  <c:v>0</c:v>
                </c:pt>
                <c:pt idx="7">
                  <c:v>0</c:v>
                </c:pt>
                <c:pt idx="8">
                  <c:v>0</c:v>
                </c:pt>
                <c:pt idx="9">
                  <c:v>0.1</c:v>
                </c:pt>
                <c:pt idx="10">
                  <c:v>0.1</c:v>
                </c:pt>
                <c:pt idx="11">
                  <c:v>0.2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0.6</c:v>
                </c:pt>
                <c:pt idx="1">
                  <c:v>0.3</c:v>
                </c:pt>
                <c:pt idx="2">
                  <c:v>0.2</c:v>
                </c:pt>
                <c:pt idx="3">
                  <c:v>0.2</c:v>
                </c:pt>
                <c:pt idx="4">
                  <c:v>0.2</c:v>
                </c:pt>
                <c:pt idx="5">
                  <c:v>0.1</c:v>
                </c:pt>
                <c:pt idx="6">
                  <c:v>0.1</c:v>
                </c:pt>
                <c:pt idx="7">
                  <c:v>0.1</c:v>
                </c:pt>
                <c:pt idx="8">
                  <c:v>0.2</c:v>
                </c:pt>
                <c:pt idx="9">
                  <c:v>0.3</c:v>
                </c:pt>
                <c:pt idx="10">
                  <c:v>0.2</c:v>
                </c:pt>
                <c:pt idx="11">
                  <c:v>0.5</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0.1</c:v>
                </c:pt>
                <c:pt idx="1">
                  <c:v>0</c:v>
                </c:pt>
                <c:pt idx="2">
                  <c:v>0</c:v>
                </c:pt>
                <c:pt idx="3">
                  <c:v>0</c:v>
                </c:pt>
                <c:pt idx="4">
                  <c:v>0</c:v>
                </c:pt>
                <c:pt idx="5">
                  <c:v>0</c:v>
                </c:pt>
                <c:pt idx="6">
                  <c:v>0</c:v>
                </c:pt>
                <c:pt idx="7">
                  <c:v>0</c:v>
                </c:pt>
                <c:pt idx="8">
                  <c:v>0</c:v>
                </c:pt>
                <c:pt idx="9">
                  <c:v>0</c:v>
                </c:pt>
                <c:pt idx="10">
                  <c:v>0</c:v>
                </c:pt>
                <c:pt idx="11">
                  <c:v>0.2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0.4</c:v>
                </c:pt>
                <c:pt idx="1">
                  <c:v>0.1</c:v>
                </c:pt>
                <c:pt idx="2">
                  <c:v>0.1</c:v>
                </c:pt>
                <c:pt idx="3">
                  <c:v>0.1</c:v>
                </c:pt>
                <c:pt idx="4">
                  <c:v>0.1</c:v>
                </c:pt>
                <c:pt idx="5">
                  <c:v>0</c:v>
                </c:pt>
                <c:pt idx="6">
                  <c:v>0.1</c:v>
                </c:pt>
                <c:pt idx="7">
                  <c:v>0.1</c:v>
                </c:pt>
                <c:pt idx="8">
                  <c:v>0.1</c:v>
                </c:pt>
                <c:pt idx="9">
                  <c:v>0.1</c:v>
                </c:pt>
                <c:pt idx="10">
                  <c:v>0.1</c:v>
                </c:pt>
                <c:pt idx="11">
                  <c:v>0.3</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82248024"/>
        <c:axId val="382248416"/>
      </c:lineChart>
      <c:catAx>
        <c:axId val="382248024"/>
        <c:scaling>
          <c:orientation val="minMax"/>
        </c:scaling>
        <c:delete val="0"/>
        <c:axPos val="b"/>
        <c:numFmt formatCode="General" sourceLinked="1"/>
        <c:majorTickMark val="out"/>
        <c:minorTickMark val="none"/>
        <c:tickLblPos val="nextTo"/>
        <c:crossAx val="382248416"/>
        <c:crosses val="autoZero"/>
        <c:auto val="1"/>
        <c:lblAlgn val="ctr"/>
        <c:lblOffset val="100"/>
        <c:noMultiLvlLbl val="0"/>
      </c:catAx>
      <c:valAx>
        <c:axId val="38224841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822480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701.1</c:v>
                </c:pt>
                <c:pt idx="1">
                  <c:v>605</c:v>
                </c:pt>
                <c:pt idx="2">
                  <c:v>312.3</c:v>
                </c:pt>
                <c:pt idx="3">
                  <c:v>772.4</c:v>
                </c:pt>
                <c:pt idx="4">
                  <c:v>693.1</c:v>
                </c:pt>
                <c:pt idx="5">
                  <c:v>572</c:v>
                </c:pt>
                <c:pt idx="6">
                  <c:v>401</c:v>
                </c:pt>
                <c:pt idx="7">
                  <c:v>470.3</c:v>
                </c:pt>
                <c:pt idx="8">
                  <c:v>859.3</c:v>
                </c:pt>
                <c:pt idx="9">
                  <c:v>584.70000000000005</c:v>
                </c:pt>
                <c:pt idx="10">
                  <c:v>443.5</c:v>
                </c:pt>
                <c:pt idx="11">
                  <c:v>390.1</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3.4</c:v>
                </c:pt>
                <c:pt idx="1">
                  <c:v>3.9</c:v>
                </c:pt>
                <c:pt idx="2">
                  <c:v>3.1</c:v>
                </c:pt>
                <c:pt idx="3">
                  <c:v>3.4</c:v>
                </c:pt>
                <c:pt idx="4">
                  <c:v>3.1</c:v>
                </c:pt>
                <c:pt idx="5">
                  <c:v>3.4</c:v>
                </c:pt>
                <c:pt idx="6">
                  <c:v>2.9</c:v>
                </c:pt>
                <c:pt idx="7">
                  <c:v>3.8</c:v>
                </c:pt>
                <c:pt idx="8">
                  <c:v>7.3</c:v>
                </c:pt>
                <c:pt idx="9">
                  <c:v>3.1</c:v>
                </c:pt>
                <c:pt idx="10">
                  <c:v>4.4000000000000004</c:v>
                </c:pt>
                <c:pt idx="11">
                  <c:v>2.8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701.1</c:v>
                </c:pt>
                <c:pt idx="1">
                  <c:v>605</c:v>
                </c:pt>
                <c:pt idx="2">
                  <c:v>312.3</c:v>
                </c:pt>
                <c:pt idx="3">
                  <c:v>772.4</c:v>
                </c:pt>
                <c:pt idx="4">
                  <c:v>693.1</c:v>
                </c:pt>
                <c:pt idx="5">
                  <c:v>572</c:v>
                </c:pt>
                <c:pt idx="6">
                  <c:v>401</c:v>
                </c:pt>
                <c:pt idx="7">
                  <c:v>470.3</c:v>
                </c:pt>
                <c:pt idx="8">
                  <c:v>859.3</c:v>
                </c:pt>
                <c:pt idx="9">
                  <c:v>584.70000000000005</c:v>
                </c:pt>
                <c:pt idx="10">
                  <c:v>443.5</c:v>
                </c:pt>
                <c:pt idx="11">
                  <c:v>390.1</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82249200"/>
        <c:axId val="382252336"/>
      </c:lineChart>
      <c:catAx>
        <c:axId val="382249200"/>
        <c:scaling>
          <c:orientation val="minMax"/>
        </c:scaling>
        <c:delete val="0"/>
        <c:axPos val="b"/>
        <c:numFmt formatCode="General" sourceLinked="1"/>
        <c:majorTickMark val="out"/>
        <c:minorTickMark val="none"/>
        <c:tickLblPos val="nextTo"/>
        <c:crossAx val="382252336"/>
        <c:crosses val="autoZero"/>
        <c:auto val="1"/>
        <c:lblAlgn val="ctr"/>
        <c:lblOffset val="100"/>
        <c:noMultiLvlLbl val="0"/>
      </c:catAx>
      <c:valAx>
        <c:axId val="3822523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822492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4</c:v>
                </c:pt>
                <c:pt idx="1">
                  <c:v>3.9</c:v>
                </c:pt>
                <c:pt idx="2">
                  <c:v>3.9</c:v>
                </c:pt>
                <c:pt idx="3">
                  <c:v>4.0999999999999996</c:v>
                </c:pt>
                <c:pt idx="4">
                  <c:v>4.8</c:v>
                </c:pt>
                <c:pt idx="5">
                  <c:v>4.0999999999999996</c:v>
                </c:pt>
                <c:pt idx="6">
                  <c:v>4.2</c:v>
                </c:pt>
                <c:pt idx="7">
                  <c:v>3.5</c:v>
                </c:pt>
                <c:pt idx="8">
                  <c:v>3.6</c:v>
                </c:pt>
                <c:pt idx="9">
                  <c:v>3.6</c:v>
                </c:pt>
                <c:pt idx="10">
                  <c:v>3.7</c:v>
                </c:pt>
                <c:pt idx="11">
                  <c:v>3.6</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9.5</c:v>
                </c:pt>
                <c:pt idx="1">
                  <c:v>15.6</c:v>
                </c:pt>
                <c:pt idx="2">
                  <c:v>6.2</c:v>
                </c:pt>
                <c:pt idx="3">
                  <c:v>7.1</c:v>
                </c:pt>
                <c:pt idx="4">
                  <c:v>28.3</c:v>
                </c:pt>
                <c:pt idx="5">
                  <c:v>14.2</c:v>
                </c:pt>
                <c:pt idx="6">
                  <c:v>24</c:v>
                </c:pt>
                <c:pt idx="7">
                  <c:v>5.3</c:v>
                </c:pt>
                <c:pt idx="8">
                  <c:v>6.7</c:v>
                </c:pt>
                <c:pt idx="9">
                  <c:v>8.1</c:v>
                </c:pt>
                <c:pt idx="10">
                  <c:v>6.7</c:v>
                </c:pt>
                <c:pt idx="11">
                  <c:v>9.5</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3.9</c:v>
                </c:pt>
                <c:pt idx="1">
                  <c:v>3.9</c:v>
                </c:pt>
                <c:pt idx="2">
                  <c:v>3.8</c:v>
                </c:pt>
                <c:pt idx="3">
                  <c:v>4.0999999999999996</c:v>
                </c:pt>
                <c:pt idx="4">
                  <c:v>4.8</c:v>
                </c:pt>
                <c:pt idx="5">
                  <c:v>4</c:v>
                </c:pt>
                <c:pt idx="6">
                  <c:v>4</c:v>
                </c:pt>
                <c:pt idx="7">
                  <c:v>3.4</c:v>
                </c:pt>
                <c:pt idx="8">
                  <c:v>3.5</c:v>
                </c:pt>
                <c:pt idx="9">
                  <c:v>3.5</c:v>
                </c:pt>
                <c:pt idx="10">
                  <c:v>3.7</c:v>
                </c:pt>
                <c:pt idx="11">
                  <c:v>3.5</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4.4000000000000004</c:v>
                </c:pt>
                <c:pt idx="1">
                  <c:v>4.0999999999999996</c:v>
                </c:pt>
                <c:pt idx="2">
                  <c:v>3.9</c:v>
                </c:pt>
                <c:pt idx="3">
                  <c:v>5.8</c:v>
                </c:pt>
                <c:pt idx="4">
                  <c:v>12.5</c:v>
                </c:pt>
                <c:pt idx="5">
                  <c:v>5.8</c:v>
                </c:pt>
                <c:pt idx="6">
                  <c:v>6.6</c:v>
                </c:pt>
                <c:pt idx="7">
                  <c:v>3.8</c:v>
                </c:pt>
                <c:pt idx="8">
                  <c:v>3.8</c:v>
                </c:pt>
                <c:pt idx="9">
                  <c:v>4.7</c:v>
                </c:pt>
                <c:pt idx="10">
                  <c:v>3.9</c:v>
                </c:pt>
                <c:pt idx="11">
                  <c:v>3.8</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82250376"/>
        <c:axId val="382253120"/>
      </c:lineChart>
      <c:catAx>
        <c:axId val="382250376"/>
        <c:scaling>
          <c:orientation val="minMax"/>
        </c:scaling>
        <c:delete val="0"/>
        <c:axPos val="b"/>
        <c:numFmt formatCode="General" sourceLinked="1"/>
        <c:majorTickMark val="out"/>
        <c:minorTickMark val="none"/>
        <c:tickLblPos val="nextTo"/>
        <c:crossAx val="382253120"/>
        <c:crosses val="autoZero"/>
        <c:auto val="1"/>
        <c:lblAlgn val="ctr"/>
        <c:lblOffset val="100"/>
        <c:noMultiLvlLbl val="0"/>
      </c:catAx>
      <c:valAx>
        <c:axId val="3822531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8225037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622300</xdr:colOff>
      <xdr:row>0</xdr:row>
      <xdr:rowOff>0</xdr:rowOff>
    </xdr:from>
    <xdr:to>
      <xdr:col>7</xdr:col>
      <xdr:colOff>66675</xdr:colOff>
      <xdr:row>6</xdr:row>
      <xdr:rowOff>95250</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86000" y="0"/>
          <a:ext cx="2682875" cy="1276350"/>
        </a:xfrm>
        <a:prstGeom prst="rect">
          <a:avLst/>
        </a:prstGeom>
        <a:noFill/>
        <a:ln>
          <a:noFill/>
        </a:ln>
      </xdr:spPr>
    </xdr:pic>
    <xdr:clientData/>
  </xdr:twoCellAnchor>
  <xdr:twoCellAnchor editAs="oneCell">
    <xdr:from>
      <xdr:col>0</xdr:col>
      <xdr:colOff>622300</xdr:colOff>
      <xdr:row>6</xdr:row>
      <xdr:rowOff>139700</xdr:rowOff>
    </xdr:from>
    <xdr:to>
      <xdr:col>9</xdr:col>
      <xdr:colOff>149225</xdr:colOff>
      <xdr:row>24</xdr:row>
      <xdr:rowOff>57150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300" y="1320800"/>
          <a:ext cx="5724525" cy="3460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13"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92"/>
      <c r="C1" s="92"/>
      <c r="D1" s="192" t="s">
        <v>0</v>
      </c>
      <c r="E1" s="192"/>
      <c r="F1" s="192"/>
      <c r="G1" s="192"/>
      <c r="H1" s="92"/>
      <c r="I1" s="92"/>
      <c r="J1" s="92"/>
      <c r="K1" s="92"/>
      <c r="L1" s="92"/>
      <c r="M1" s="92"/>
      <c r="N1" s="92"/>
      <c r="O1" s="92"/>
      <c r="P1" s="92"/>
    </row>
    <row r="2" spans="2:16" x14ac:dyDescent="0.25">
      <c r="B2" s="92"/>
      <c r="C2" s="92"/>
      <c r="D2" s="192"/>
      <c r="E2" s="192"/>
      <c r="F2" s="192"/>
      <c r="G2" s="192"/>
      <c r="H2" s="92"/>
      <c r="I2" s="92"/>
      <c r="J2" s="92"/>
      <c r="K2" s="92"/>
      <c r="L2" s="92"/>
      <c r="M2" s="92"/>
      <c r="N2" s="92" t="s">
        <v>1</v>
      </c>
      <c r="O2" s="92"/>
      <c r="P2" s="111"/>
    </row>
    <row r="3" spans="2:16" x14ac:dyDescent="0.25">
      <c r="B3" s="92"/>
      <c r="C3" s="92"/>
      <c r="D3" s="192"/>
      <c r="E3" s="192"/>
      <c r="F3" s="192"/>
      <c r="G3" s="192"/>
      <c r="H3" s="92"/>
      <c r="I3" s="92"/>
      <c r="J3" s="92"/>
      <c r="K3" s="92"/>
      <c r="L3" s="92"/>
      <c r="M3" s="92"/>
      <c r="N3" s="111"/>
      <c r="O3" s="92"/>
      <c r="P3" s="92"/>
    </row>
    <row r="4" spans="2:16" x14ac:dyDescent="0.25">
      <c r="B4" s="92"/>
      <c r="C4" s="92"/>
      <c r="D4" s="192"/>
      <c r="E4" s="192"/>
      <c r="F4" s="192"/>
      <c r="G4" s="192"/>
      <c r="H4" s="92"/>
      <c r="I4" s="92"/>
      <c r="J4" s="92"/>
      <c r="K4" s="92"/>
      <c r="L4" s="92"/>
      <c r="M4" s="92"/>
      <c r="N4" s="92"/>
      <c r="O4" s="92"/>
      <c r="P4" s="92"/>
    </row>
    <row r="5" spans="2:16" x14ac:dyDescent="0.25">
      <c r="B5" s="92"/>
      <c r="C5" s="92"/>
      <c r="D5" s="192"/>
      <c r="E5" s="192"/>
      <c r="F5" s="192"/>
      <c r="G5" s="192"/>
      <c r="H5" s="92"/>
      <c r="I5" s="92"/>
      <c r="J5" s="92"/>
      <c r="K5" s="92"/>
      <c r="L5" s="92"/>
      <c r="M5" s="92"/>
      <c r="N5" s="92"/>
      <c r="O5" s="92"/>
      <c r="P5" s="92"/>
    </row>
    <row r="6" spans="2:16" x14ac:dyDescent="0.25">
      <c r="B6" s="92"/>
      <c r="C6" s="92"/>
      <c r="D6" s="192"/>
      <c r="E6" s="192"/>
      <c r="F6" s="192"/>
      <c r="G6" s="192"/>
      <c r="H6" s="92"/>
      <c r="I6" s="92"/>
      <c r="J6" s="92"/>
      <c r="K6" s="92"/>
      <c r="L6" s="92"/>
      <c r="M6" s="92"/>
      <c r="N6" s="92"/>
      <c r="O6" s="92"/>
      <c r="P6" s="92"/>
    </row>
    <row r="8" spans="2:16" ht="15.75" customHeight="1" x14ac:dyDescent="0.25">
      <c r="B8" s="192" t="s">
        <v>2</v>
      </c>
      <c r="C8" s="192"/>
      <c r="D8" s="192"/>
      <c r="E8" s="192"/>
      <c r="F8" s="192"/>
      <c r="G8" s="192"/>
      <c r="H8" s="192"/>
      <c r="I8" s="192"/>
      <c r="J8" s="92"/>
      <c r="K8" s="92"/>
      <c r="L8" s="92"/>
      <c r="M8" s="92"/>
      <c r="N8" s="70"/>
      <c r="O8" s="92"/>
      <c r="P8" s="92"/>
    </row>
    <row r="9" spans="2:16" x14ac:dyDescent="0.25">
      <c r="B9" s="192"/>
      <c r="C9" s="192"/>
      <c r="D9" s="192"/>
      <c r="E9" s="192"/>
      <c r="F9" s="192"/>
      <c r="G9" s="192"/>
      <c r="H9" s="192"/>
      <c r="I9" s="192"/>
      <c r="J9" s="92"/>
      <c r="K9" s="92"/>
      <c r="L9" s="92"/>
      <c r="M9" s="92"/>
      <c r="N9" s="92"/>
      <c r="O9" s="92"/>
      <c r="P9" s="92"/>
    </row>
    <row r="10" spans="2:16" x14ac:dyDescent="0.25">
      <c r="B10" s="192"/>
      <c r="C10" s="192"/>
      <c r="D10" s="192"/>
      <c r="E10" s="192"/>
      <c r="F10" s="192"/>
      <c r="G10" s="192"/>
      <c r="H10" s="192"/>
      <c r="I10" s="192"/>
      <c r="J10" s="92"/>
      <c r="K10" s="92"/>
      <c r="L10" s="92"/>
      <c r="M10" s="92"/>
      <c r="N10" s="92"/>
      <c r="O10" s="92"/>
      <c r="P10" s="92"/>
    </row>
    <row r="11" spans="2:16" x14ac:dyDescent="0.25">
      <c r="B11" s="192"/>
      <c r="C11" s="192"/>
      <c r="D11" s="192"/>
      <c r="E11" s="192"/>
      <c r="F11" s="192"/>
      <c r="G11" s="192"/>
      <c r="H11" s="192"/>
      <c r="I11" s="192"/>
      <c r="J11" s="92"/>
      <c r="K11" s="92"/>
      <c r="L11" s="92"/>
      <c r="M11" s="92"/>
      <c r="N11" s="92"/>
      <c r="O11" s="92"/>
      <c r="P11" s="92"/>
    </row>
    <row r="12" spans="2:16" x14ac:dyDescent="0.25">
      <c r="B12" s="192"/>
      <c r="C12" s="192"/>
      <c r="D12" s="192"/>
      <c r="E12" s="192"/>
      <c r="F12" s="192"/>
      <c r="G12" s="192"/>
      <c r="H12" s="192"/>
      <c r="I12" s="192"/>
      <c r="J12" s="92"/>
      <c r="K12" s="92"/>
      <c r="L12" s="92"/>
      <c r="M12" s="92"/>
      <c r="N12" s="92"/>
      <c r="O12" s="92"/>
      <c r="P12" s="92"/>
    </row>
    <row r="13" spans="2:16" ht="15.6" x14ac:dyDescent="0.3">
      <c r="B13" s="192"/>
      <c r="C13" s="192"/>
      <c r="D13" s="192"/>
      <c r="E13" s="192"/>
      <c r="F13" s="192"/>
      <c r="G13" s="192"/>
      <c r="H13" s="192"/>
      <c r="I13" s="192"/>
      <c r="J13" s="92"/>
      <c r="K13" s="92"/>
      <c r="L13" s="92"/>
      <c r="M13" s="92"/>
      <c r="N13" s="74" t="s">
        <v>3</v>
      </c>
      <c r="O13" s="72"/>
      <c r="P13" s="72"/>
    </row>
    <row r="14" spans="2:16" ht="15.6" customHeight="1" x14ac:dyDescent="0.25">
      <c r="B14" s="192"/>
      <c r="C14" s="192"/>
      <c r="D14" s="192"/>
      <c r="E14" s="192"/>
      <c r="F14" s="192"/>
      <c r="G14" s="192"/>
      <c r="H14" s="192"/>
      <c r="I14" s="192"/>
      <c r="J14" s="92"/>
      <c r="K14" s="92"/>
      <c r="L14" s="92"/>
      <c r="M14" s="92"/>
      <c r="N14" s="191" t="s">
        <v>4</v>
      </c>
      <c r="O14" s="191"/>
      <c r="P14" s="191"/>
    </row>
    <row r="15" spans="2:16" x14ac:dyDescent="0.25">
      <c r="B15" s="192"/>
      <c r="C15" s="192"/>
      <c r="D15" s="192"/>
      <c r="E15" s="192"/>
      <c r="F15" s="192"/>
      <c r="G15" s="192"/>
      <c r="H15" s="192"/>
      <c r="I15" s="192"/>
      <c r="J15" s="92"/>
      <c r="K15" s="92"/>
      <c r="L15" s="92"/>
      <c r="M15" s="92"/>
      <c r="N15" s="191"/>
      <c r="O15" s="191"/>
      <c r="P15" s="191"/>
    </row>
    <row r="16" spans="2:16" x14ac:dyDescent="0.25">
      <c r="B16" s="192"/>
      <c r="C16" s="192"/>
      <c r="D16" s="192"/>
      <c r="E16" s="192"/>
      <c r="F16" s="192"/>
      <c r="G16" s="192"/>
      <c r="H16" s="192"/>
      <c r="I16" s="192"/>
      <c r="J16" s="92"/>
      <c r="K16" s="92"/>
      <c r="L16" s="92"/>
      <c r="M16" s="92"/>
      <c r="N16" s="191"/>
      <c r="O16" s="191"/>
      <c r="P16" s="191"/>
    </row>
    <row r="17" spans="2:16" x14ac:dyDescent="0.25">
      <c r="B17" s="192"/>
      <c r="C17" s="192"/>
      <c r="D17" s="192"/>
      <c r="E17" s="192"/>
      <c r="F17" s="192"/>
      <c r="G17" s="192"/>
      <c r="H17" s="192"/>
      <c r="I17" s="192"/>
      <c r="J17" s="92"/>
      <c r="K17" s="92"/>
      <c r="L17" s="92"/>
      <c r="M17" s="92"/>
      <c r="N17" s="191"/>
      <c r="O17" s="191"/>
      <c r="P17" s="191"/>
    </row>
    <row r="18" spans="2:16" x14ac:dyDescent="0.25">
      <c r="B18" s="192"/>
      <c r="C18" s="192"/>
      <c r="D18" s="192"/>
      <c r="E18" s="192"/>
      <c r="F18" s="192"/>
      <c r="G18" s="192"/>
      <c r="H18" s="192"/>
      <c r="I18" s="192"/>
      <c r="J18" s="92"/>
      <c r="K18" s="92"/>
      <c r="L18" s="92"/>
      <c r="M18" s="92"/>
      <c r="N18" s="191"/>
      <c r="O18" s="191"/>
      <c r="P18" s="191"/>
    </row>
    <row r="19" spans="2:16" x14ac:dyDescent="0.25">
      <c r="B19" s="192"/>
      <c r="C19" s="192"/>
      <c r="D19" s="192"/>
      <c r="E19" s="192"/>
      <c r="F19" s="192"/>
      <c r="G19" s="192"/>
      <c r="H19" s="192"/>
      <c r="I19" s="192"/>
      <c r="J19" s="92"/>
      <c r="K19" s="92"/>
      <c r="L19" s="92"/>
      <c r="M19" s="92"/>
      <c r="N19" s="191"/>
      <c r="O19" s="191"/>
      <c r="P19" s="191"/>
    </row>
    <row r="20" spans="2:16" x14ac:dyDescent="0.25">
      <c r="B20" s="192"/>
      <c r="C20" s="192"/>
      <c r="D20" s="192"/>
      <c r="E20" s="192"/>
      <c r="F20" s="192"/>
      <c r="G20" s="192"/>
      <c r="H20" s="192"/>
      <c r="I20" s="192"/>
      <c r="J20" s="92"/>
      <c r="K20" s="92"/>
      <c r="L20" s="92"/>
      <c r="M20" s="92"/>
      <c r="N20" s="92"/>
      <c r="O20" s="92"/>
      <c r="P20" s="92"/>
    </row>
    <row r="21" spans="2:16" x14ac:dyDescent="0.25">
      <c r="B21" s="192"/>
      <c r="C21" s="192"/>
      <c r="D21" s="192"/>
      <c r="E21" s="192"/>
      <c r="F21" s="192"/>
      <c r="G21" s="192"/>
      <c r="H21" s="192"/>
      <c r="I21" s="192"/>
      <c r="J21" s="92"/>
      <c r="K21" s="92"/>
      <c r="L21" s="92"/>
      <c r="M21" s="92"/>
      <c r="N21" s="92"/>
      <c r="O21" s="92"/>
      <c r="P21" s="92"/>
    </row>
    <row r="22" spans="2:16" x14ac:dyDescent="0.25">
      <c r="B22" s="192"/>
      <c r="C22" s="192"/>
      <c r="D22" s="192"/>
      <c r="E22" s="192"/>
      <c r="F22" s="192"/>
      <c r="G22" s="192"/>
      <c r="H22" s="192"/>
      <c r="I22" s="192"/>
      <c r="J22" s="92"/>
      <c r="K22" s="92"/>
      <c r="L22" s="92"/>
      <c r="M22" s="92"/>
      <c r="N22" s="92"/>
      <c r="O22" s="92"/>
      <c r="P22" s="92"/>
    </row>
    <row r="23" spans="2:16" x14ac:dyDescent="0.25">
      <c r="B23" s="192"/>
      <c r="C23" s="192"/>
      <c r="D23" s="192"/>
      <c r="E23" s="192"/>
      <c r="F23" s="192"/>
      <c r="G23" s="192"/>
      <c r="H23" s="192"/>
      <c r="I23" s="192"/>
      <c r="J23" s="92"/>
      <c r="K23" s="92"/>
      <c r="L23" s="92"/>
      <c r="M23" s="92"/>
      <c r="N23" s="92"/>
      <c r="O23" s="92"/>
      <c r="P23" s="92"/>
    </row>
    <row r="24" spans="2:16" x14ac:dyDescent="0.25">
      <c r="B24" s="192"/>
      <c r="C24" s="192"/>
      <c r="D24" s="192"/>
      <c r="E24" s="192"/>
      <c r="F24" s="192"/>
      <c r="G24" s="192"/>
      <c r="H24" s="192"/>
      <c r="I24" s="192"/>
      <c r="J24" s="92"/>
      <c r="K24" s="92"/>
      <c r="L24" s="92"/>
      <c r="M24" s="92"/>
      <c r="N24" s="92"/>
      <c r="O24" s="92"/>
      <c r="P24" s="92"/>
    </row>
    <row r="29" spans="2:16" ht="17.399999999999999" x14ac:dyDescent="0.3">
      <c r="B29" s="190" t="s">
        <v>5</v>
      </c>
      <c r="C29" s="190"/>
      <c r="D29" s="190"/>
      <c r="E29" s="190"/>
      <c r="F29" s="190"/>
      <c r="G29" s="190"/>
      <c r="H29" s="190"/>
      <c r="I29" s="190"/>
      <c r="J29" s="92"/>
      <c r="K29" s="92"/>
      <c r="L29" s="92"/>
      <c r="M29" s="92"/>
      <c r="N29" s="92"/>
      <c r="O29" s="92"/>
      <c r="P29" s="92"/>
    </row>
    <row r="30" spans="2:16" ht="17.399999999999999" x14ac:dyDescent="0.3">
      <c r="B30" s="92"/>
      <c r="C30" s="7"/>
      <c r="D30" s="8"/>
      <c r="E30" s="8"/>
      <c r="F30" s="8"/>
      <c r="G30" s="8"/>
      <c r="H30" s="8"/>
      <c r="I30" s="8"/>
      <c r="J30" s="92"/>
      <c r="K30" s="92"/>
      <c r="L30" s="92"/>
      <c r="M30" s="92"/>
      <c r="N30" s="92"/>
      <c r="O30" s="92"/>
      <c r="P30" s="92"/>
    </row>
    <row r="31" spans="2:16" ht="17.399999999999999" x14ac:dyDescent="0.3">
      <c r="B31" s="190" t="s">
        <v>6</v>
      </c>
      <c r="C31" s="190"/>
      <c r="D31" s="190"/>
      <c r="E31" s="190"/>
      <c r="F31" s="190"/>
      <c r="G31" s="190"/>
      <c r="H31" s="190"/>
      <c r="I31" s="190"/>
      <c r="J31" s="92"/>
      <c r="K31" s="92"/>
      <c r="L31" s="92"/>
      <c r="M31" s="92"/>
      <c r="N31" s="92"/>
      <c r="O31" s="92"/>
      <c r="P31" s="92"/>
    </row>
    <row r="32" spans="2:16" ht="17.399999999999999" x14ac:dyDescent="0.3">
      <c r="B32" s="92"/>
      <c r="C32" s="7"/>
      <c r="D32" s="8"/>
      <c r="E32" s="8"/>
      <c r="F32" s="8"/>
      <c r="G32" s="8"/>
      <c r="H32" s="8"/>
      <c r="I32" s="8"/>
      <c r="J32" s="92"/>
      <c r="K32" s="92"/>
      <c r="L32" s="92"/>
      <c r="M32" s="92"/>
      <c r="N32" s="92"/>
      <c r="O32" s="92"/>
      <c r="P32" s="92"/>
    </row>
    <row r="33" spans="2:9" ht="17.399999999999999" x14ac:dyDescent="0.3">
      <c r="B33" s="190" t="s">
        <v>7</v>
      </c>
      <c r="C33" s="190"/>
      <c r="D33" s="190"/>
      <c r="E33" s="190"/>
      <c r="F33" s="190"/>
      <c r="G33" s="190"/>
      <c r="H33" s="190"/>
      <c r="I33" s="190"/>
    </row>
    <row r="34" spans="2:9" ht="17.399999999999999" x14ac:dyDescent="0.3">
      <c r="B34" s="92"/>
      <c r="C34" s="7"/>
      <c r="D34" s="8"/>
      <c r="E34" s="8"/>
      <c r="F34" s="8"/>
      <c r="G34" s="8"/>
      <c r="H34" s="8"/>
      <c r="I34" s="8"/>
    </row>
    <row r="35" spans="2:9" ht="17.399999999999999" x14ac:dyDescent="0.3">
      <c r="B35" s="190"/>
      <c r="C35" s="190"/>
      <c r="D35" s="190"/>
      <c r="E35" s="190"/>
      <c r="F35" s="190"/>
      <c r="G35" s="190"/>
      <c r="H35" s="190"/>
      <c r="I35" s="190"/>
    </row>
    <row r="37" spans="2:9" ht="17.399999999999999" x14ac:dyDescent="0.3">
      <c r="B37" s="190" t="s">
        <v>8</v>
      </c>
      <c r="C37" s="190"/>
      <c r="D37" s="190"/>
      <c r="E37" s="190"/>
      <c r="F37" s="190"/>
      <c r="G37" s="190"/>
      <c r="H37" s="190"/>
      <c r="I37" s="190"/>
    </row>
    <row r="39" spans="2:9" x14ac:dyDescent="0.25">
      <c r="B39" s="92" t="s">
        <v>9</v>
      </c>
      <c r="C39" s="112">
        <v>2022</v>
      </c>
      <c r="D39" s="92"/>
      <c r="E39" s="92"/>
      <c r="F39" s="92"/>
      <c r="G39" s="92"/>
      <c r="H39" s="92"/>
      <c r="I39" s="92"/>
    </row>
    <row r="40" spans="2:9" ht="14.25" customHeight="1" x14ac:dyDescent="0.25">
      <c r="B40" s="92"/>
      <c r="C40" s="92"/>
      <c r="D40" s="92"/>
      <c r="E40" s="92"/>
      <c r="F40" s="92"/>
      <c r="G40" s="92"/>
      <c r="H40" s="92"/>
      <c r="I40" s="92"/>
    </row>
    <row r="41" spans="2:9" x14ac:dyDescent="0.25">
      <c r="B41" s="113" t="s">
        <v>10</v>
      </c>
      <c r="C41" s="189" t="s">
        <v>11</v>
      </c>
      <c r="D41" s="189"/>
      <c r="E41" s="189"/>
      <c r="F41" s="189"/>
      <c r="G41" s="189"/>
      <c r="H41" s="189"/>
      <c r="I41" s="189"/>
    </row>
    <row r="42" spans="2:9" x14ac:dyDescent="0.25">
      <c r="B42" s="113"/>
      <c r="C42" s="92"/>
      <c r="D42" s="92"/>
      <c r="E42" s="92"/>
      <c r="F42" s="92"/>
      <c r="G42" s="92"/>
      <c r="H42" s="92"/>
      <c r="I42" s="92"/>
    </row>
    <row r="43" spans="2:9" x14ac:dyDescent="0.25">
      <c r="B43" s="113" t="s">
        <v>12</v>
      </c>
      <c r="C43" s="189">
        <v>1522814315</v>
      </c>
      <c r="D43" s="189"/>
      <c r="E43" s="189"/>
      <c r="F43" s="92"/>
      <c r="G43" s="92"/>
      <c r="H43" s="92"/>
      <c r="I43" s="92"/>
    </row>
    <row r="44" spans="2:9" x14ac:dyDescent="0.25">
      <c r="B44" s="113"/>
      <c r="C44" s="92"/>
      <c r="D44" s="92"/>
      <c r="E44" s="92"/>
      <c r="F44" s="92"/>
      <c r="G44" s="92"/>
      <c r="H44" s="92"/>
      <c r="I44" s="92"/>
    </row>
    <row r="45" spans="2:9" x14ac:dyDescent="0.25">
      <c r="B45" s="113" t="s">
        <v>13</v>
      </c>
      <c r="C45" s="189"/>
      <c r="D45" s="189"/>
      <c r="E45" s="189"/>
      <c r="F45" s="92"/>
      <c r="G45" s="92"/>
      <c r="H45" s="92"/>
      <c r="I45" s="92"/>
    </row>
    <row r="46" spans="2:9" x14ac:dyDescent="0.25">
      <c r="B46" s="113"/>
      <c r="C46" s="92"/>
      <c r="D46" s="92"/>
      <c r="E46" s="92"/>
      <c r="F46" s="92"/>
      <c r="G46" s="92"/>
      <c r="H46" s="92"/>
      <c r="I46" s="92"/>
    </row>
    <row r="47" spans="2:9" x14ac:dyDescent="0.25">
      <c r="B47" s="113" t="s">
        <v>14</v>
      </c>
      <c r="C47" s="189" t="s">
        <v>15</v>
      </c>
      <c r="D47" s="189"/>
      <c r="E47" s="92"/>
      <c r="F47" s="92" t="s">
        <v>16</v>
      </c>
      <c r="G47" s="189" t="s">
        <v>17</v>
      </c>
      <c r="H47" s="189"/>
      <c r="I47" s="189"/>
    </row>
    <row r="48" spans="2:9" x14ac:dyDescent="0.25">
      <c r="B48" s="113"/>
      <c r="C48" s="92"/>
      <c r="D48" s="92"/>
      <c r="E48" s="92"/>
      <c r="F48" s="92"/>
      <c r="G48" s="92"/>
      <c r="H48" s="92"/>
      <c r="I48" s="92"/>
    </row>
    <row r="49" spans="2:9" x14ac:dyDescent="0.25">
      <c r="B49" s="113" t="s">
        <v>18</v>
      </c>
      <c r="C49" s="189" t="s">
        <v>19</v>
      </c>
      <c r="D49" s="189"/>
      <c r="E49" s="92"/>
      <c r="F49" s="92" t="s">
        <v>16</v>
      </c>
      <c r="G49" s="189" t="s">
        <v>20</v>
      </c>
      <c r="H49" s="189"/>
      <c r="I49" s="189"/>
    </row>
    <row r="50" spans="2:9" x14ac:dyDescent="0.25">
      <c r="B50" s="113"/>
      <c r="C50" s="92"/>
      <c r="D50" s="92"/>
      <c r="E50" s="92"/>
      <c r="F50" s="92"/>
      <c r="G50" s="92"/>
      <c r="H50" s="92"/>
      <c r="I50" s="92"/>
    </row>
    <row r="51" spans="2:9" x14ac:dyDescent="0.25">
      <c r="B51" s="113" t="s">
        <v>21</v>
      </c>
      <c r="C51" s="112">
        <v>1</v>
      </c>
      <c r="D51" s="92"/>
      <c r="E51" s="92"/>
      <c r="F51" s="92"/>
      <c r="G51" s="92"/>
      <c r="H51" s="92"/>
      <c r="I51" s="92"/>
    </row>
    <row r="52" spans="2:9" x14ac:dyDescent="0.25">
      <c r="B52" s="113"/>
      <c r="C52" s="92"/>
      <c r="D52" s="92"/>
      <c r="E52" s="92"/>
      <c r="F52" s="92"/>
      <c r="G52" s="92"/>
      <c r="H52" s="92"/>
      <c r="I52" s="92"/>
    </row>
    <row r="53" spans="2:9" x14ac:dyDescent="0.25">
      <c r="B53" s="113" t="s">
        <v>22</v>
      </c>
      <c r="C53" s="189" t="s">
        <v>23</v>
      </c>
      <c r="D53" s="189"/>
      <c r="E53" s="92"/>
      <c r="F53" s="92"/>
      <c r="G53" s="92"/>
      <c r="H53" s="92"/>
      <c r="I53" s="92"/>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pageMargins left="1.0899999999999999" right="0.7" top="0.75" bottom="0.75" header="0.3" footer="0.3"/>
  <pageSetup scale="80" orientation="portrait" r:id="rId1"/>
  <headerFooter differentFirst="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5"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D54" sqref="D54"/>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92" t="str">
        <f>+'Cover Page'!$B$29</f>
        <v>Annual Performance Report 2022</v>
      </c>
      <c r="B1" s="92"/>
      <c r="C1" s="92"/>
      <c r="D1" s="92"/>
      <c r="E1" s="92" t="str">
        <f>+'Cover Page'!$B$33</f>
        <v>Lincolnshire Energy from Waste Facility</v>
      </c>
      <c r="F1" s="92"/>
      <c r="G1" s="92"/>
      <c r="H1" s="92"/>
      <c r="I1" s="92"/>
      <c r="J1" s="92"/>
      <c r="K1" s="92"/>
      <c r="L1" s="92"/>
      <c r="M1" s="92"/>
      <c r="N1" s="92"/>
      <c r="O1" s="92"/>
    </row>
    <row r="3" spans="1:15" ht="15.6" x14ac:dyDescent="0.3">
      <c r="A3" s="52" t="s">
        <v>24</v>
      </c>
      <c r="B3" s="114"/>
      <c r="C3" s="114"/>
      <c r="D3" s="114"/>
      <c r="E3" s="114"/>
      <c r="F3" s="114"/>
      <c r="G3" s="114"/>
      <c r="H3" s="115"/>
      <c r="I3" s="92"/>
      <c r="J3" s="92"/>
      <c r="K3" s="74" t="s">
        <v>3</v>
      </c>
      <c r="L3" s="92"/>
      <c r="M3" s="92"/>
      <c r="N3" s="92"/>
      <c r="O3" s="92"/>
    </row>
    <row r="4" spans="1:15" ht="15.6" x14ac:dyDescent="0.3">
      <c r="A4" s="5" t="s">
        <v>25</v>
      </c>
      <c r="B4" s="214" t="s">
        <v>26</v>
      </c>
      <c r="C4" s="214"/>
      <c r="D4" s="214"/>
      <c r="E4" s="214"/>
      <c r="F4" s="214"/>
      <c r="G4" s="214"/>
      <c r="H4" s="6" t="s">
        <v>27</v>
      </c>
      <c r="I4" s="92"/>
      <c r="J4" s="92"/>
      <c r="K4" s="72" t="s">
        <v>28</v>
      </c>
      <c r="L4" s="92"/>
      <c r="M4" s="92"/>
      <c r="N4" s="92"/>
      <c r="O4" s="92"/>
    </row>
    <row r="5" spans="1:15" ht="15.6" customHeight="1" x14ac:dyDescent="0.25">
      <c r="A5" s="4"/>
      <c r="B5" s="210" t="s">
        <v>29</v>
      </c>
      <c r="C5" s="210"/>
      <c r="D5" s="210"/>
      <c r="E5" s="210"/>
      <c r="F5" s="210"/>
      <c r="G5" s="210"/>
      <c r="H5" s="4">
        <v>3</v>
      </c>
      <c r="I5" s="92"/>
      <c r="J5" s="92"/>
      <c r="K5" s="191" t="s">
        <v>30</v>
      </c>
      <c r="L5" s="191"/>
      <c r="M5" s="191"/>
      <c r="N5" s="191"/>
      <c r="O5" s="191"/>
    </row>
    <row r="6" spans="1:15" x14ac:dyDescent="0.25">
      <c r="A6" s="4"/>
      <c r="B6" s="210" t="s">
        <v>31</v>
      </c>
      <c r="C6" s="210"/>
      <c r="D6" s="210"/>
      <c r="E6" s="210"/>
      <c r="F6" s="210"/>
      <c r="G6" s="210"/>
      <c r="H6" s="4">
        <v>4</v>
      </c>
      <c r="I6" s="92"/>
      <c r="J6" s="92"/>
      <c r="K6" s="191"/>
      <c r="L6" s="191"/>
      <c r="M6" s="191"/>
      <c r="N6" s="191"/>
      <c r="O6" s="191"/>
    </row>
    <row r="7" spans="1:15" ht="15.75" customHeight="1" x14ac:dyDescent="0.25">
      <c r="A7" s="4"/>
      <c r="B7" s="210" t="s">
        <v>32</v>
      </c>
      <c r="C7" s="210"/>
      <c r="D7" s="210"/>
      <c r="E7" s="210"/>
      <c r="F7" s="210"/>
      <c r="G7" s="210"/>
      <c r="H7" s="4">
        <v>5</v>
      </c>
      <c r="I7" s="92"/>
      <c r="J7" s="92"/>
      <c r="K7" s="191"/>
      <c r="L7" s="191"/>
      <c r="M7" s="191"/>
      <c r="N7" s="191"/>
      <c r="O7" s="191"/>
    </row>
    <row r="8" spans="1:15" x14ac:dyDescent="0.25">
      <c r="A8" s="4"/>
      <c r="B8" s="210" t="s">
        <v>33</v>
      </c>
      <c r="C8" s="210"/>
      <c r="D8" s="210"/>
      <c r="E8" s="210"/>
      <c r="F8" s="210"/>
      <c r="G8" s="210"/>
      <c r="H8" s="4">
        <v>6</v>
      </c>
      <c r="I8" s="92"/>
      <c r="J8" s="92"/>
      <c r="K8" s="191"/>
      <c r="L8" s="191"/>
      <c r="M8" s="191"/>
      <c r="N8" s="191"/>
      <c r="O8" s="191"/>
    </row>
    <row r="9" spans="1:15" x14ac:dyDescent="0.25">
      <c r="A9" s="4"/>
      <c r="B9" s="210" t="s">
        <v>34</v>
      </c>
      <c r="C9" s="210"/>
      <c r="D9" s="210"/>
      <c r="E9" s="210"/>
      <c r="F9" s="210"/>
      <c r="G9" s="210"/>
      <c r="H9" s="4">
        <v>7</v>
      </c>
      <c r="I9" s="92"/>
      <c r="J9" s="92"/>
      <c r="K9" s="92"/>
      <c r="L9" s="92"/>
      <c r="M9" s="92"/>
      <c r="N9" s="92"/>
      <c r="O9" s="92"/>
    </row>
    <row r="10" spans="1:15" x14ac:dyDescent="0.25">
      <c r="A10" s="4"/>
      <c r="B10" s="210" t="s">
        <v>35</v>
      </c>
      <c r="C10" s="210"/>
      <c r="D10" s="210"/>
      <c r="E10" s="210"/>
      <c r="F10" s="210"/>
      <c r="G10" s="210"/>
      <c r="H10" s="4">
        <v>8</v>
      </c>
      <c r="I10" s="92"/>
      <c r="J10" s="92"/>
      <c r="K10" s="92"/>
      <c r="L10" s="92"/>
      <c r="M10" s="92"/>
      <c r="N10" s="92"/>
      <c r="O10" s="92"/>
    </row>
    <row r="11" spans="1:15" x14ac:dyDescent="0.25">
      <c r="A11" s="4"/>
      <c r="B11" s="210" t="s">
        <v>36</v>
      </c>
      <c r="C11" s="210"/>
      <c r="D11" s="210"/>
      <c r="E11" s="210"/>
      <c r="F11" s="210"/>
      <c r="G11" s="210"/>
      <c r="H11" s="4">
        <v>9</v>
      </c>
      <c r="I11" s="92"/>
      <c r="J11" s="92"/>
      <c r="K11" s="92"/>
      <c r="L11" s="92"/>
      <c r="M11" s="92"/>
      <c r="N11" s="92"/>
      <c r="O11" s="92"/>
    </row>
    <row r="12" spans="1:15" x14ac:dyDescent="0.25">
      <c r="A12" s="4"/>
      <c r="B12" s="210" t="s">
        <v>37</v>
      </c>
      <c r="C12" s="210"/>
      <c r="D12" s="210"/>
      <c r="E12" s="210"/>
      <c r="F12" s="210"/>
      <c r="G12" s="210"/>
      <c r="H12" s="4">
        <v>10</v>
      </c>
      <c r="I12" s="92"/>
      <c r="J12" s="92"/>
      <c r="K12" s="92"/>
      <c r="L12" s="92"/>
      <c r="M12" s="92"/>
      <c r="N12" s="92"/>
      <c r="O12" s="92"/>
    </row>
    <row r="13" spans="1:15" ht="15.6" x14ac:dyDescent="0.3">
      <c r="A13" s="4"/>
      <c r="B13" s="211" t="s">
        <v>38</v>
      </c>
      <c r="C13" s="212"/>
      <c r="D13" s="212"/>
      <c r="E13" s="212"/>
      <c r="F13" s="212"/>
      <c r="G13" s="213"/>
      <c r="H13" s="4">
        <v>11</v>
      </c>
      <c r="I13" s="92"/>
      <c r="J13" s="92"/>
      <c r="K13" s="92"/>
      <c r="L13" s="92"/>
      <c r="M13" s="92"/>
      <c r="N13" s="92"/>
      <c r="O13" s="92"/>
    </row>
    <row r="14" spans="1:15" x14ac:dyDescent="0.25">
      <c r="A14" s="4"/>
      <c r="B14" s="210" t="s">
        <v>39</v>
      </c>
      <c r="C14" s="210"/>
      <c r="D14" s="210"/>
      <c r="E14" s="210"/>
      <c r="F14" s="210"/>
      <c r="G14" s="210"/>
      <c r="H14" s="4">
        <v>12</v>
      </c>
      <c r="I14" s="92"/>
      <c r="J14" s="92"/>
      <c r="K14" s="92"/>
      <c r="L14" s="92"/>
      <c r="M14" s="92"/>
      <c r="N14" s="92"/>
      <c r="O14" s="92"/>
    </row>
    <row r="15" spans="1:15" x14ac:dyDescent="0.25">
      <c r="A15" s="4"/>
      <c r="B15" s="210" t="s">
        <v>40</v>
      </c>
      <c r="C15" s="210"/>
      <c r="D15" s="210"/>
      <c r="E15" s="210"/>
      <c r="F15" s="210"/>
      <c r="G15" s="210"/>
      <c r="H15" s="4">
        <v>13</v>
      </c>
      <c r="I15" s="92"/>
      <c r="J15" s="92"/>
      <c r="K15" s="92"/>
      <c r="L15" s="92"/>
      <c r="M15" s="92"/>
      <c r="N15" s="92"/>
      <c r="O15" s="92"/>
    </row>
    <row r="16" spans="1:15" x14ac:dyDescent="0.25">
      <c r="A16" s="4"/>
      <c r="B16" s="210" t="s">
        <v>41</v>
      </c>
      <c r="C16" s="210"/>
      <c r="D16" s="210"/>
      <c r="E16" s="210"/>
      <c r="F16" s="210"/>
      <c r="G16" s="210"/>
      <c r="H16" s="4">
        <v>14</v>
      </c>
      <c r="I16" s="92"/>
      <c r="J16" s="92"/>
      <c r="K16" s="92"/>
      <c r="L16" s="92"/>
      <c r="M16" s="92"/>
      <c r="N16" s="92"/>
      <c r="O16" s="92"/>
    </row>
    <row r="17" spans="1:8" x14ac:dyDescent="0.25">
      <c r="A17" s="4"/>
      <c r="B17" s="210" t="s">
        <v>42</v>
      </c>
      <c r="C17" s="210"/>
      <c r="D17" s="210"/>
      <c r="E17" s="210"/>
      <c r="F17" s="210"/>
      <c r="G17" s="210"/>
      <c r="H17" s="4">
        <v>15</v>
      </c>
    </row>
    <row r="18" spans="1:8" x14ac:dyDescent="0.25">
      <c r="A18" s="4"/>
      <c r="B18" s="210" t="s">
        <v>43</v>
      </c>
      <c r="C18" s="210"/>
      <c r="D18" s="210"/>
      <c r="E18" s="210"/>
      <c r="F18" s="210"/>
      <c r="G18" s="210"/>
      <c r="H18" s="4">
        <v>16</v>
      </c>
    </row>
    <row r="19" spans="1:8" x14ac:dyDescent="0.25">
      <c r="A19" s="4"/>
      <c r="B19" s="210" t="s">
        <v>44</v>
      </c>
      <c r="C19" s="210"/>
      <c r="D19" s="210"/>
      <c r="E19" s="210"/>
      <c r="F19" s="210"/>
      <c r="G19" s="210"/>
      <c r="H19" s="4">
        <v>17</v>
      </c>
    </row>
    <row r="20" spans="1:8" x14ac:dyDescent="0.25">
      <c r="A20" s="4"/>
      <c r="B20" s="210" t="s">
        <v>45</v>
      </c>
      <c r="C20" s="210"/>
      <c r="D20" s="210"/>
      <c r="E20" s="210"/>
      <c r="F20" s="210"/>
      <c r="G20" s="210"/>
      <c r="H20" s="4">
        <v>18</v>
      </c>
    </row>
    <row r="21" spans="1:8" x14ac:dyDescent="0.25">
      <c r="A21" s="4"/>
      <c r="B21" s="210" t="s">
        <v>46</v>
      </c>
      <c r="C21" s="210"/>
      <c r="D21" s="210"/>
      <c r="E21" s="210"/>
      <c r="F21" s="210"/>
      <c r="G21" s="210"/>
      <c r="H21" s="4">
        <v>19</v>
      </c>
    </row>
    <row r="22" spans="1:8" x14ac:dyDescent="0.25">
      <c r="A22" s="4"/>
      <c r="B22" s="210" t="s">
        <v>47</v>
      </c>
      <c r="C22" s="210"/>
      <c r="D22" s="210"/>
      <c r="E22" s="210"/>
      <c r="F22" s="210"/>
      <c r="G22" s="210"/>
      <c r="H22" s="4">
        <v>20</v>
      </c>
    </row>
    <row r="23" spans="1:8" x14ac:dyDescent="0.25">
      <c r="A23" s="4"/>
      <c r="B23" s="203" t="s">
        <v>48</v>
      </c>
      <c r="C23" s="204"/>
      <c r="D23" s="204"/>
      <c r="E23" s="204"/>
      <c r="F23" s="204"/>
      <c r="G23" s="205"/>
      <c r="H23" s="4">
        <v>21</v>
      </c>
    </row>
    <row r="24" spans="1:8" x14ac:dyDescent="0.25">
      <c r="A24" s="4"/>
      <c r="B24" s="203" t="s">
        <v>49</v>
      </c>
      <c r="C24" s="204"/>
      <c r="D24" s="204"/>
      <c r="E24" s="204"/>
      <c r="F24" s="204"/>
      <c r="G24" s="205"/>
      <c r="H24" s="4">
        <v>22</v>
      </c>
    </row>
    <row r="25" spans="1:8" x14ac:dyDescent="0.25">
      <c r="A25" s="4"/>
      <c r="B25" s="206"/>
      <c r="C25" s="206"/>
      <c r="D25" s="206"/>
      <c r="E25" s="206"/>
      <c r="F25" s="206"/>
      <c r="G25" s="206"/>
      <c r="H25" s="4"/>
    </row>
    <row r="27" spans="1:8" x14ac:dyDescent="0.25">
      <c r="A27" s="51" t="s">
        <v>50</v>
      </c>
      <c r="B27" s="114"/>
      <c r="C27" s="114"/>
      <c r="D27" s="114"/>
      <c r="E27" s="114"/>
      <c r="F27" s="114"/>
      <c r="G27" s="114"/>
      <c r="H27" s="115"/>
    </row>
    <row r="28" spans="1:8" x14ac:dyDescent="0.25">
      <c r="A28" s="10" t="s">
        <v>25</v>
      </c>
      <c r="B28" s="207" t="s">
        <v>51</v>
      </c>
      <c r="C28" s="207"/>
      <c r="D28" s="207"/>
      <c r="E28" s="207"/>
      <c r="F28" s="207"/>
      <c r="G28" s="207"/>
      <c r="H28" s="11" t="s">
        <v>52</v>
      </c>
    </row>
    <row r="29" spans="1:8" x14ac:dyDescent="0.25">
      <c r="A29" s="116"/>
      <c r="B29" s="208"/>
      <c r="C29" s="208"/>
      <c r="D29" s="208"/>
      <c r="E29" s="208"/>
      <c r="F29" s="208"/>
      <c r="G29" s="208"/>
      <c r="H29" s="116"/>
    </row>
    <row r="30" spans="1:8" x14ac:dyDescent="0.25">
      <c r="A30" s="116"/>
      <c r="B30" s="208"/>
      <c r="C30" s="208"/>
      <c r="D30" s="208"/>
      <c r="E30" s="208"/>
      <c r="F30" s="208"/>
      <c r="G30" s="208"/>
      <c r="H30" s="116"/>
    </row>
    <row r="31" spans="1:8" x14ac:dyDescent="0.25">
      <c r="A31" s="116"/>
      <c r="B31" s="208"/>
      <c r="C31" s="208"/>
      <c r="D31" s="208"/>
      <c r="E31" s="208"/>
      <c r="F31" s="208"/>
      <c r="G31" s="208"/>
      <c r="H31" s="116"/>
    </row>
    <row r="32" spans="1:8" x14ac:dyDescent="0.25">
      <c r="A32" s="116"/>
      <c r="B32" s="208"/>
      <c r="C32" s="208"/>
      <c r="D32" s="208"/>
      <c r="E32" s="208"/>
      <c r="F32" s="208"/>
      <c r="G32" s="208"/>
      <c r="H32" s="116"/>
    </row>
    <row r="33" spans="1:10" x14ac:dyDescent="0.25">
      <c r="A33" s="116"/>
      <c r="B33" s="208"/>
      <c r="C33" s="208"/>
      <c r="D33" s="208"/>
      <c r="E33" s="208"/>
      <c r="F33" s="208"/>
      <c r="G33" s="208"/>
      <c r="H33" s="116"/>
      <c r="I33" s="92"/>
      <c r="J33" s="92"/>
    </row>
    <row r="35" spans="1:10" ht="14.25" customHeight="1" x14ac:dyDescent="0.25">
      <c r="A35" s="51" t="s">
        <v>53</v>
      </c>
      <c r="B35" s="114"/>
      <c r="C35" s="114"/>
      <c r="D35" s="114"/>
      <c r="E35" s="114"/>
      <c r="F35" s="114"/>
      <c r="G35" s="114"/>
      <c r="H35" s="115"/>
      <c r="I35" s="92"/>
      <c r="J35" s="92"/>
    </row>
    <row r="36" spans="1:10" x14ac:dyDescent="0.25">
      <c r="A36" s="13" t="s">
        <v>54</v>
      </c>
      <c r="B36" s="209" t="s">
        <v>55</v>
      </c>
      <c r="C36" s="209"/>
      <c r="D36" s="209"/>
      <c r="E36" s="209"/>
      <c r="F36" s="209"/>
      <c r="G36" s="209"/>
      <c r="H36" s="14" t="s">
        <v>56</v>
      </c>
      <c r="I36" s="92"/>
      <c r="J36" s="92"/>
    </row>
    <row r="37" spans="1:10" x14ac:dyDescent="0.25">
      <c r="A37" s="118"/>
      <c r="B37" s="202"/>
      <c r="C37" s="202"/>
      <c r="D37" s="202"/>
      <c r="E37" s="202"/>
      <c r="F37" s="202"/>
      <c r="G37" s="202"/>
      <c r="H37" s="118"/>
      <c r="I37" s="92"/>
      <c r="J37" s="92"/>
    </row>
    <row r="38" spans="1:10" x14ac:dyDescent="0.25">
      <c r="A38" s="118"/>
      <c r="B38" s="202"/>
      <c r="C38" s="202"/>
      <c r="D38" s="202"/>
      <c r="E38" s="202"/>
      <c r="F38" s="202"/>
      <c r="G38" s="202"/>
      <c r="H38" s="118"/>
      <c r="I38" s="92"/>
      <c r="J38" s="92"/>
    </row>
    <row r="39" spans="1:10" x14ac:dyDescent="0.25">
      <c r="A39" s="118"/>
      <c r="B39" s="202"/>
      <c r="C39" s="202"/>
      <c r="D39" s="202"/>
      <c r="E39" s="202"/>
      <c r="F39" s="202"/>
      <c r="G39" s="202"/>
      <c r="H39" s="118"/>
      <c r="I39" s="92"/>
      <c r="J39" s="92"/>
    </row>
    <row r="40" spans="1:10" x14ac:dyDescent="0.25">
      <c r="A40" s="118"/>
      <c r="B40" s="202"/>
      <c r="C40" s="202"/>
      <c r="D40" s="202"/>
      <c r="E40" s="202"/>
      <c r="F40" s="202"/>
      <c r="G40" s="202"/>
      <c r="H40" s="118"/>
      <c r="I40" s="92"/>
      <c r="J40" s="92"/>
    </row>
    <row r="41" spans="1:10" x14ac:dyDescent="0.25">
      <c r="A41" s="118"/>
      <c r="B41" s="202"/>
      <c r="C41" s="202"/>
      <c r="D41" s="202"/>
      <c r="E41" s="202"/>
      <c r="F41" s="202"/>
      <c r="G41" s="202"/>
      <c r="H41" s="118"/>
      <c r="I41" s="92"/>
      <c r="J41" s="92"/>
    </row>
    <row r="42" spans="1:10" x14ac:dyDescent="0.25">
      <c r="A42" s="118"/>
      <c r="B42" s="202"/>
      <c r="C42" s="202"/>
      <c r="D42" s="202"/>
      <c r="E42" s="202"/>
      <c r="F42" s="202"/>
      <c r="G42" s="202"/>
      <c r="H42" s="118"/>
      <c r="I42" s="92"/>
      <c r="J42" s="92"/>
    </row>
    <row r="43" spans="1:10" x14ac:dyDescent="0.25">
      <c r="A43" s="118"/>
      <c r="B43" s="202"/>
      <c r="C43" s="202"/>
      <c r="D43" s="202"/>
      <c r="E43" s="202"/>
      <c r="F43" s="202"/>
      <c r="G43" s="202"/>
      <c r="H43" s="118"/>
      <c r="I43" s="92"/>
      <c r="J43" s="92"/>
    </row>
    <row r="45" spans="1:10" x14ac:dyDescent="0.25">
      <c r="A45" s="193" t="s">
        <v>57</v>
      </c>
      <c r="B45" s="194"/>
      <c r="C45" s="194"/>
      <c r="D45" s="194"/>
      <c r="E45" s="194"/>
      <c r="F45" s="194"/>
      <c r="G45" s="194"/>
      <c r="H45" s="194"/>
      <c r="I45" s="194"/>
      <c r="J45" s="195"/>
    </row>
    <row r="46" spans="1:10" x14ac:dyDescent="0.25">
      <c r="A46" s="196"/>
      <c r="B46" s="197"/>
      <c r="C46" s="197"/>
      <c r="D46" s="197"/>
      <c r="E46" s="197"/>
      <c r="F46" s="197"/>
      <c r="G46" s="197"/>
      <c r="H46" s="197"/>
      <c r="I46" s="197"/>
      <c r="J46" s="198"/>
    </row>
    <row r="47" spans="1:10" x14ac:dyDescent="0.25">
      <c r="A47" s="196"/>
      <c r="B47" s="197"/>
      <c r="C47" s="197"/>
      <c r="D47" s="197"/>
      <c r="E47" s="197"/>
      <c r="F47" s="197"/>
      <c r="G47" s="197"/>
      <c r="H47" s="197"/>
      <c r="I47" s="197"/>
      <c r="J47" s="198"/>
    </row>
    <row r="48" spans="1:10" x14ac:dyDescent="0.25">
      <c r="A48" s="199"/>
      <c r="B48" s="200"/>
      <c r="C48" s="200"/>
      <c r="D48" s="200"/>
      <c r="E48" s="200"/>
      <c r="F48" s="200"/>
      <c r="G48" s="200"/>
      <c r="H48" s="200"/>
      <c r="I48" s="200"/>
      <c r="J48" s="201"/>
    </row>
    <row r="66" spans="6:6" x14ac:dyDescent="0.25">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1.3149999999999999" bottom="0.75" header="0.3" footer="0.3"/>
  <pageSetup paperSize="9" scale="76"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A22" sqref="A22:I54"/>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tr">
        <f>+'Cover Page'!$B$33</f>
        <v>Lincolnshire Energy from Waste Facility</v>
      </c>
      <c r="F1" s="92"/>
      <c r="G1" s="92"/>
      <c r="H1" s="92"/>
      <c r="I1" s="92"/>
      <c r="J1" s="92"/>
      <c r="K1" s="92"/>
      <c r="L1" s="92"/>
      <c r="M1" s="92"/>
      <c r="N1" s="92"/>
    </row>
    <row r="3" spans="1:14" ht="15.6" x14ac:dyDescent="0.3">
      <c r="A3" s="50" t="s">
        <v>58</v>
      </c>
      <c r="B3" s="119"/>
      <c r="C3" s="119"/>
      <c r="D3" s="119"/>
      <c r="E3" s="119"/>
      <c r="F3" s="119"/>
      <c r="G3" s="119"/>
      <c r="H3" s="119"/>
      <c r="I3" s="120"/>
      <c r="J3" s="92"/>
      <c r="K3" s="80" t="s">
        <v>3</v>
      </c>
      <c r="L3" s="92"/>
      <c r="M3" s="92"/>
      <c r="N3" s="92"/>
    </row>
    <row r="4" spans="1:14" x14ac:dyDescent="0.25">
      <c r="A4" s="121"/>
      <c r="B4" s="122"/>
      <c r="C4" s="122"/>
      <c r="D4" s="122"/>
      <c r="E4" s="122"/>
      <c r="F4" s="122"/>
      <c r="G4" s="122"/>
      <c r="H4" s="122"/>
      <c r="I4" s="123"/>
      <c r="J4" s="92"/>
      <c r="K4" s="92"/>
      <c r="L4" s="92"/>
      <c r="M4" s="92"/>
      <c r="N4" s="92"/>
    </row>
    <row r="5" spans="1:14" ht="15.75" customHeight="1" x14ac:dyDescent="0.25">
      <c r="A5" s="215" t="s">
        <v>59</v>
      </c>
      <c r="B5" s="216"/>
      <c r="C5" s="216"/>
      <c r="D5" s="216"/>
      <c r="E5" s="216"/>
      <c r="F5" s="216"/>
      <c r="G5" s="216"/>
      <c r="H5" s="216"/>
      <c r="I5" s="217"/>
      <c r="J5" s="92"/>
      <c r="K5" s="232" t="s">
        <v>60</v>
      </c>
      <c r="L5" s="232"/>
      <c r="M5" s="232"/>
      <c r="N5" s="232"/>
    </row>
    <row r="6" spans="1:14" x14ac:dyDescent="0.25">
      <c r="A6" s="218"/>
      <c r="B6" s="219"/>
      <c r="C6" s="219"/>
      <c r="D6" s="219"/>
      <c r="E6" s="219"/>
      <c r="F6" s="219"/>
      <c r="G6" s="219"/>
      <c r="H6" s="219"/>
      <c r="I6" s="220"/>
      <c r="J6" s="92"/>
      <c r="K6" s="232"/>
      <c r="L6" s="232"/>
      <c r="M6" s="232"/>
      <c r="N6" s="232"/>
    </row>
    <row r="7" spans="1:14" x14ac:dyDescent="0.25">
      <c r="A7" s="218"/>
      <c r="B7" s="219"/>
      <c r="C7" s="219"/>
      <c r="D7" s="219"/>
      <c r="E7" s="219"/>
      <c r="F7" s="219"/>
      <c r="G7" s="219"/>
      <c r="H7" s="219"/>
      <c r="I7" s="220"/>
      <c r="J7" s="92"/>
      <c r="K7" s="232"/>
      <c r="L7" s="232"/>
      <c r="M7" s="232"/>
      <c r="N7" s="232"/>
    </row>
    <row r="8" spans="1:14" ht="15.75" customHeight="1" x14ac:dyDescent="0.25">
      <c r="A8" s="218"/>
      <c r="B8" s="219"/>
      <c r="C8" s="219"/>
      <c r="D8" s="219"/>
      <c r="E8" s="219"/>
      <c r="F8" s="219"/>
      <c r="G8" s="219"/>
      <c r="H8" s="219"/>
      <c r="I8" s="220"/>
      <c r="J8" s="92"/>
      <c r="K8" s="232"/>
      <c r="L8" s="232"/>
      <c r="M8" s="232"/>
      <c r="N8" s="232"/>
    </row>
    <row r="9" spans="1:14" x14ac:dyDescent="0.25">
      <c r="A9" s="218"/>
      <c r="B9" s="219"/>
      <c r="C9" s="219"/>
      <c r="D9" s="219"/>
      <c r="E9" s="219"/>
      <c r="F9" s="219"/>
      <c r="G9" s="219"/>
      <c r="H9" s="219"/>
      <c r="I9" s="220"/>
      <c r="J9" s="92"/>
      <c r="K9" s="232"/>
      <c r="L9" s="232"/>
      <c r="M9" s="232"/>
      <c r="N9" s="232"/>
    </row>
    <row r="10" spans="1:14" x14ac:dyDescent="0.25">
      <c r="A10" s="218"/>
      <c r="B10" s="219"/>
      <c r="C10" s="219"/>
      <c r="D10" s="219"/>
      <c r="E10" s="219"/>
      <c r="F10" s="219"/>
      <c r="G10" s="219"/>
      <c r="H10" s="219"/>
      <c r="I10" s="220"/>
      <c r="J10" s="92"/>
      <c r="K10" s="232"/>
      <c r="L10" s="232"/>
      <c r="M10" s="232"/>
      <c r="N10" s="232"/>
    </row>
    <row r="11" spans="1:14" x14ac:dyDescent="0.25">
      <c r="A11" s="218"/>
      <c r="B11" s="219"/>
      <c r="C11" s="219"/>
      <c r="D11" s="219"/>
      <c r="E11" s="219"/>
      <c r="F11" s="219"/>
      <c r="G11" s="219"/>
      <c r="H11" s="219"/>
      <c r="I11" s="220"/>
      <c r="J11" s="92"/>
      <c r="K11" s="232"/>
      <c r="L11" s="232"/>
      <c r="M11" s="232"/>
      <c r="N11" s="232"/>
    </row>
    <row r="12" spans="1:14" x14ac:dyDescent="0.25">
      <c r="A12" s="218"/>
      <c r="B12" s="219"/>
      <c r="C12" s="219"/>
      <c r="D12" s="219"/>
      <c r="E12" s="219"/>
      <c r="F12" s="219"/>
      <c r="G12" s="219"/>
      <c r="H12" s="219"/>
      <c r="I12" s="220"/>
      <c r="J12" s="92"/>
      <c r="K12" s="232"/>
      <c r="L12" s="232"/>
      <c r="M12" s="232"/>
      <c r="N12" s="232"/>
    </row>
    <row r="13" spans="1:14" x14ac:dyDescent="0.25">
      <c r="A13" s="218"/>
      <c r="B13" s="219"/>
      <c r="C13" s="219"/>
      <c r="D13" s="219"/>
      <c r="E13" s="219"/>
      <c r="F13" s="219"/>
      <c r="G13" s="219"/>
      <c r="H13" s="219"/>
      <c r="I13" s="220"/>
      <c r="J13" s="92"/>
      <c r="K13" s="232"/>
      <c r="L13" s="232"/>
      <c r="M13" s="232"/>
      <c r="N13" s="232"/>
    </row>
    <row r="14" spans="1:14" x14ac:dyDescent="0.25">
      <c r="A14" s="218"/>
      <c r="B14" s="219"/>
      <c r="C14" s="219"/>
      <c r="D14" s="219"/>
      <c r="E14" s="219"/>
      <c r="F14" s="219"/>
      <c r="G14" s="219"/>
      <c r="H14" s="219"/>
      <c r="I14" s="220"/>
      <c r="J14" s="92"/>
      <c r="K14" s="232"/>
      <c r="L14" s="232"/>
      <c r="M14" s="232"/>
      <c r="N14" s="232"/>
    </row>
    <row r="15" spans="1:14" x14ac:dyDescent="0.25">
      <c r="A15" s="218"/>
      <c r="B15" s="219"/>
      <c r="C15" s="219"/>
      <c r="D15" s="219"/>
      <c r="E15" s="219"/>
      <c r="F15" s="219"/>
      <c r="G15" s="219"/>
      <c r="H15" s="219"/>
      <c r="I15" s="220"/>
      <c r="J15" s="92"/>
      <c r="K15" s="92"/>
      <c r="L15" s="92"/>
      <c r="M15" s="92"/>
      <c r="N15" s="92"/>
    </row>
    <row r="16" spans="1:14" x14ac:dyDescent="0.25">
      <c r="A16" s="218"/>
      <c r="B16" s="219"/>
      <c r="C16" s="219"/>
      <c r="D16" s="219"/>
      <c r="E16" s="219"/>
      <c r="F16" s="219"/>
      <c r="G16" s="219"/>
      <c r="H16" s="219"/>
      <c r="I16" s="220"/>
      <c r="J16" s="92"/>
      <c r="K16" s="92"/>
      <c r="L16" s="92"/>
      <c r="M16" s="92"/>
      <c r="N16" s="92"/>
    </row>
    <row r="17" spans="1:14" x14ac:dyDescent="0.25">
      <c r="A17" s="218"/>
      <c r="B17" s="219"/>
      <c r="C17" s="219"/>
      <c r="D17" s="219"/>
      <c r="E17" s="219"/>
      <c r="F17" s="219"/>
      <c r="G17" s="219"/>
      <c r="H17" s="219"/>
      <c r="I17" s="220"/>
      <c r="J17" s="92"/>
      <c r="K17" s="92"/>
      <c r="L17" s="92"/>
      <c r="M17" s="92"/>
      <c r="N17" s="92"/>
    </row>
    <row r="18" spans="1:14" x14ac:dyDescent="0.25">
      <c r="A18" s="221"/>
      <c r="B18" s="222"/>
      <c r="C18" s="222"/>
      <c r="D18" s="222"/>
      <c r="E18" s="222"/>
      <c r="F18" s="222"/>
      <c r="G18" s="222"/>
      <c r="H18" s="222"/>
      <c r="I18" s="223"/>
      <c r="J18" s="92"/>
      <c r="K18" s="92"/>
      <c r="L18" s="92"/>
      <c r="M18" s="92"/>
      <c r="N18" s="92"/>
    </row>
    <row r="20" spans="1:14" x14ac:dyDescent="0.25">
      <c r="A20" s="50" t="s">
        <v>61</v>
      </c>
      <c r="B20" s="119"/>
      <c r="C20" s="119"/>
      <c r="D20" s="119"/>
      <c r="E20" s="119"/>
      <c r="F20" s="119"/>
      <c r="G20" s="119"/>
      <c r="H20" s="119"/>
      <c r="I20" s="120"/>
      <c r="J20" s="92"/>
      <c r="K20" s="92"/>
      <c r="L20" s="92"/>
      <c r="M20" s="92"/>
      <c r="N20" s="92"/>
    </row>
    <row r="21" spans="1:14" x14ac:dyDescent="0.25">
      <c r="A21" s="121"/>
      <c r="B21" s="122"/>
      <c r="C21" s="122"/>
      <c r="D21" s="122"/>
      <c r="E21" s="122"/>
      <c r="F21" s="122"/>
      <c r="G21" s="122"/>
      <c r="H21" s="122"/>
      <c r="I21" s="123"/>
      <c r="J21" s="92"/>
      <c r="K21" s="92"/>
      <c r="L21" s="92"/>
      <c r="M21" s="92"/>
      <c r="N21" s="92"/>
    </row>
    <row r="22" spans="1:14" x14ac:dyDescent="0.25">
      <c r="A22" s="215" t="s">
        <v>62</v>
      </c>
      <c r="B22" s="224"/>
      <c r="C22" s="224"/>
      <c r="D22" s="224"/>
      <c r="E22" s="224"/>
      <c r="F22" s="224"/>
      <c r="G22" s="224"/>
      <c r="H22" s="224"/>
      <c r="I22" s="225"/>
      <c r="J22" s="92"/>
      <c r="K22" s="232" t="s">
        <v>63</v>
      </c>
      <c r="L22" s="232"/>
      <c r="M22" s="232"/>
      <c r="N22" s="232"/>
    </row>
    <row r="23" spans="1:14" x14ac:dyDescent="0.25">
      <c r="A23" s="226"/>
      <c r="B23" s="227"/>
      <c r="C23" s="227"/>
      <c r="D23" s="227"/>
      <c r="E23" s="227"/>
      <c r="F23" s="227"/>
      <c r="G23" s="227"/>
      <c r="H23" s="227"/>
      <c r="I23" s="228"/>
      <c r="J23" s="92"/>
      <c r="K23" s="232"/>
      <c r="L23" s="232"/>
      <c r="M23" s="232"/>
      <c r="N23" s="232"/>
    </row>
    <row r="24" spans="1:14" x14ac:dyDescent="0.25">
      <c r="A24" s="226"/>
      <c r="B24" s="227"/>
      <c r="C24" s="227"/>
      <c r="D24" s="227"/>
      <c r="E24" s="227"/>
      <c r="F24" s="227"/>
      <c r="G24" s="227"/>
      <c r="H24" s="227"/>
      <c r="I24" s="228"/>
      <c r="J24" s="92"/>
      <c r="K24" s="232"/>
      <c r="L24" s="232"/>
      <c r="M24" s="232"/>
      <c r="N24" s="232"/>
    </row>
    <row r="25" spans="1:14" x14ac:dyDescent="0.25">
      <c r="A25" s="226"/>
      <c r="B25" s="227"/>
      <c r="C25" s="227"/>
      <c r="D25" s="227"/>
      <c r="E25" s="227"/>
      <c r="F25" s="227"/>
      <c r="G25" s="227"/>
      <c r="H25" s="227"/>
      <c r="I25" s="228"/>
      <c r="J25" s="92"/>
      <c r="K25" s="232"/>
      <c r="L25" s="232"/>
      <c r="M25" s="232"/>
      <c r="N25" s="232"/>
    </row>
    <row r="26" spans="1:14" x14ac:dyDescent="0.25">
      <c r="A26" s="226"/>
      <c r="B26" s="227"/>
      <c r="C26" s="227"/>
      <c r="D26" s="227"/>
      <c r="E26" s="227"/>
      <c r="F26" s="227"/>
      <c r="G26" s="227"/>
      <c r="H26" s="227"/>
      <c r="I26" s="228"/>
      <c r="J26" s="92"/>
      <c r="K26" s="232"/>
      <c r="L26" s="232"/>
      <c r="M26" s="232"/>
      <c r="N26" s="232"/>
    </row>
    <row r="27" spans="1:14" x14ac:dyDescent="0.25">
      <c r="A27" s="226"/>
      <c r="B27" s="227"/>
      <c r="C27" s="227"/>
      <c r="D27" s="227"/>
      <c r="E27" s="227"/>
      <c r="F27" s="227"/>
      <c r="G27" s="227"/>
      <c r="H27" s="227"/>
      <c r="I27" s="228"/>
      <c r="J27" s="92"/>
      <c r="K27" s="232"/>
      <c r="L27" s="232"/>
      <c r="M27" s="232"/>
      <c r="N27" s="232"/>
    </row>
    <row r="28" spans="1:14" x14ac:dyDescent="0.25">
      <c r="A28" s="226"/>
      <c r="B28" s="227"/>
      <c r="C28" s="227"/>
      <c r="D28" s="227"/>
      <c r="E28" s="227"/>
      <c r="F28" s="227"/>
      <c r="G28" s="227"/>
      <c r="H28" s="227"/>
      <c r="I28" s="228"/>
      <c r="J28" s="92"/>
      <c r="K28" s="232"/>
      <c r="L28" s="232"/>
      <c r="M28" s="232"/>
      <c r="N28" s="232"/>
    </row>
    <row r="29" spans="1:14" x14ac:dyDescent="0.25">
      <c r="A29" s="226"/>
      <c r="B29" s="227"/>
      <c r="C29" s="227"/>
      <c r="D29" s="227"/>
      <c r="E29" s="227"/>
      <c r="F29" s="227"/>
      <c r="G29" s="227"/>
      <c r="H29" s="227"/>
      <c r="I29" s="228"/>
      <c r="J29" s="92"/>
      <c r="K29" s="232"/>
      <c r="L29" s="232"/>
      <c r="M29" s="232"/>
      <c r="N29" s="232"/>
    </row>
    <row r="30" spans="1:14" x14ac:dyDescent="0.25">
      <c r="A30" s="226"/>
      <c r="B30" s="227"/>
      <c r="C30" s="227"/>
      <c r="D30" s="227"/>
      <c r="E30" s="227"/>
      <c r="F30" s="227"/>
      <c r="G30" s="227"/>
      <c r="H30" s="227"/>
      <c r="I30" s="228"/>
      <c r="J30" s="92"/>
      <c r="K30" s="232"/>
      <c r="L30" s="232"/>
      <c r="M30" s="232"/>
      <c r="N30" s="232"/>
    </row>
    <row r="31" spans="1:14" x14ac:dyDescent="0.25">
      <c r="A31" s="226"/>
      <c r="B31" s="227"/>
      <c r="C31" s="227"/>
      <c r="D31" s="227"/>
      <c r="E31" s="227"/>
      <c r="F31" s="227"/>
      <c r="G31" s="227"/>
      <c r="H31" s="227"/>
      <c r="I31" s="228"/>
      <c r="J31" s="92"/>
      <c r="K31" s="232"/>
      <c r="L31" s="232"/>
      <c r="M31" s="232"/>
      <c r="N31" s="232"/>
    </row>
    <row r="32" spans="1:14" x14ac:dyDescent="0.25">
      <c r="A32" s="226"/>
      <c r="B32" s="227"/>
      <c r="C32" s="227"/>
      <c r="D32" s="227"/>
      <c r="E32" s="227"/>
      <c r="F32" s="227"/>
      <c r="G32" s="227"/>
      <c r="H32" s="227"/>
      <c r="I32" s="228"/>
      <c r="J32" s="92"/>
      <c r="K32" s="92"/>
      <c r="L32" s="92"/>
      <c r="M32" s="92"/>
      <c r="N32" s="92"/>
    </row>
    <row r="33" spans="1:9" x14ac:dyDescent="0.25">
      <c r="A33" s="226"/>
      <c r="B33" s="227"/>
      <c r="C33" s="227"/>
      <c r="D33" s="227"/>
      <c r="E33" s="227"/>
      <c r="F33" s="227"/>
      <c r="G33" s="227"/>
      <c r="H33" s="227"/>
      <c r="I33" s="228"/>
    </row>
    <row r="34" spans="1:9" x14ac:dyDescent="0.25">
      <c r="A34" s="226"/>
      <c r="B34" s="227"/>
      <c r="C34" s="227"/>
      <c r="D34" s="227"/>
      <c r="E34" s="227"/>
      <c r="F34" s="227"/>
      <c r="G34" s="227"/>
      <c r="H34" s="227"/>
      <c r="I34" s="228"/>
    </row>
    <row r="35" spans="1:9" x14ac:dyDescent="0.25">
      <c r="A35" s="226"/>
      <c r="B35" s="227"/>
      <c r="C35" s="227"/>
      <c r="D35" s="227"/>
      <c r="E35" s="227"/>
      <c r="F35" s="227"/>
      <c r="G35" s="227"/>
      <c r="H35" s="227"/>
      <c r="I35" s="228"/>
    </row>
    <row r="36" spans="1:9" x14ac:dyDescent="0.25">
      <c r="A36" s="226"/>
      <c r="B36" s="227"/>
      <c r="C36" s="227"/>
      <c r="D36" s="227"/>
      <c r="E36" s="227"/>
      <c r="F36" s="227"/>
      <c r="G36" s="227"/>
      <c r="H36" s="227"/>
      <c r="I36" s="228"/>
    </row>
    <row r="37" spans="1:9" x14ac:dyDescent="0.25">
      <c r="A37" s="226"/>
      <c r="B37" s="227"/>
      <c r="C37" s="227"/>
      <c r="D37" s="227"/>
      <c r="E37" s="227"/>
      <c r="F37" s="227"/>
      <c r="G37" s="227"/>
      <c r="H37" s="227"/>
      <c r="I37" s="228"/>
    </row>
    <row r="38" spans="1:9" x14ac:dyDescent="0.25">
      <c r="A38" s="226"/>
      <c r="B38" s="227"/>
      <c r="C38" s="227"/>
      <c r="D38" s="227"/>
      <c r="E38" s="227"/>
      <c r="F38" s="227"/>
      <c r="G38" s="227"/>
      <c r="H38" s="227"/>
      <c r="I38" s="228"/>
    </row>
    <row r="39" spans="1:9" x14ac:dyDescent="0.25">
      <c r="A39" s="226"/>
      <c r="B39" s="227"/>
      <c r="C39" s="227"/>
      <c r="D39" s="227"/>
      <c r="E39" s="227"/>
      <c r="F39" s="227"/>
      <c r="G39" s="227"/>
      <c r="H39" s="227"/>
      <c r="I39" s="228"/>
    </row>
    <row r="40" spans="1:9" ht="14.25" customHeight="1" x14ac:dyDescent="0.25">
      <c r="A40" s="226"/>
      <c r="B40" s="227"/>
      <c r="C40" s="227"/>
      <c r="D40" s="227"/>
      <c r="E40" s="227"/>
      <c r="F40" s="227"/>
      <c r="G40" s="227"/>
      <c r="H40" s="227"/>
      <c r="I40" s="228"/>
    </row>
    <row r="41" spans="1:9" x14ac:dyDescent="0.25">
      <c r="A41" s="226"/>
      <c r="B41" s="227"/>
      <c r="C41" s="227"/>
      <c r="D41" s="227"/>
      <c r="E41" s="227"/>
      <c r="F41" s="227"/>
      <c r="G41" s="227"/>
      <c r="H41" s="227"/>
      <c r="I41" s="228"/>
    </row>
    <row r="42" spans="1:9" x14ac:dyDescent="0.25">
      <c r="A42" s="226"/>
      <c r="B42" s="227"/>
      <c r="C42" s="227"/>
      <c r="D42" s="227"/>
      <c r="E42" s="227"/>
      <c r="F42" s="227"/>
      <c r="G42" s="227"/>
      <c r="H42" s="227"/>
      <c r="I42" s="228"/>
    </row>
    <row r="43" spans="1:9" x14ac:dyDescent="0.25">
      <c r="A43" s="226"/>
      <c r="B43" s="227"/>
      <c r="C43" s="227"/>
      <c r="D43" s="227"/>
      <c r="E43" s="227"/>
      <c r="F43" s="227"/>
      <c r="G43" s="227"/>
      <c r="H43" s="227"/>
      <c r="I43" s="228"/>
    </row>
    <row r="44" spans="1:9" x14ac:dyDescent="0.25">
      <c r="A44" s="226"/>
      <c r="B44" s="227"/>
      <c r="C44" s="227"/>
      <c r="D44" s="227"/>
      <c r="E44" s="227"/>
      <c r="F44" s="227"/>
      <c r="G44" s="227"/>
      <c r="H44" s="227"/>
      <c r="I44" s="228"/>
    </row>
    <row r="45" spans="1:9" x14ac:dyDescent="0.25">
      <c r="A45" s="226"/>
      <c r="B45" s="227"/>
      <c r="C45" s="227"/>
      <c r="D45" s="227"/>
      <c r="E45" s="227"/>
      <c r="F45" s="227"/>
      <c r="G45" s="227"/>
      <c r="H45" s="227"/>
      <c r="I45" s="228"/>
    </row>
    <row r="46" spans="1:9" x14ac:dyDescent="0.25">
      <c r="A46" s="226"/>
      <c r="B46" s="227"/>
      <c r="C46" s="227"/>
      <c r="D46" s="227"/>
      <c r="E46" s="227"/>
      <c r="F46" s="227"/>
      <c r="G46" s="227"/>
      <c r="H46" s="227"/>
      <c r="I46" s="228"/>
    </row>
    <row r="47" spans="1:9" x14ac:dyDescent="0.25">
      <c r="A47" s="226"/>
      <c r="B47" s="227"/>
      <c r="C47" s="227"/>
      <c r="D47" s="227"/>
      <c r="E47" s="227"/>
      <c r="F47" s="227"/>
      <c r="G47" s="227"/>
      <c r="H47" s="227"/>
      <c r="I47" s="228"/>
    </row>
    <row r="48" spans="1:9" x14ac:dyDescent="0.25">
      <c r="A48" s="226"/>
      <c r="B48" s="227"/>
      <c r="C48" s="227"/>
      <c r="D48" s="227"/>
      <c r="E48" s="227"/>
      <c r="F48" s="227"/>
      <c r="G48" s="227"/>
      <c r="H48" s="227"/>
      <c r="I48" s="228"/>
    </row>
    <row r="49" spans="1:9" x14ac:dyDescent="0.25">
      <c r="A49" s="226"/>
      <c r="B49" s="227"/>
      <c r="C49" s="227"/>
      <c r="D49" s="227"/>
      <c r="E49" s="227"/>
      <c r="F49" s="227"/>
      <c r="G49" s="227"/>
      <c r="H49" s="227"/>
      <c r="I49" s="228"/>
    </row>
    <row r="50" spans="1:9" x14ac:dyDescent="0.25">
      <c r="A50" s="226"/>
      <c r="B50" s="227"/>
      <c r="C50" s="227"/>
      <c r="D50" s="227"/>
      <c r="E50" s="227"/>
      <c r="F50" s="227"/>
      <c r="G50" s="227"/>
      <c r="H50" s="227"/>
      <c r="I50" s="228"/>
    </row>
    <row r="51" spans="1:9" x14ac:dyDescent="0.25">
      <c r="A51" s="226"/>
      <c r="B51" s="227"/>
      <c r="C51" s="227"/>
      <c r="D51" s="227"/>
      <c r="E51" s="227"/>
      <c r="F51" s="227"/>
      <c r="G51" s="227"/>
      <c r="H51" s="227"/>
      <c r="I51" s="228"/>
    </row>
    <row r="52" spans="1:9" x14ac:dyDescent="0.25">
      <c r="A52" s="226"/>
      <c r="B52" s="227"/>
      <c r="C52" s="227"/>
      <c r="D52" s="227"/>
      <c r="E52" s="227"/>
      <c r="F52" s="227"/>
      <c r="G52" s="227"/>
      <c r="H52" s="227"/>
      <c r="I52" s="228"/>
    </row>
    <row r="53" spans="1:9" x14ac:dyDescent="0.25">
      <c r="A53" s="226"/>
      <c r="B53" s="227"/>
      <c r="C53" s="227"/>
      <c r="D53" s="227"/>
      <c r="E53" s="227"/>
      <c r="F53" s="227"/>
      <c r="G53" s="227"/>
      <c r="H53" s="227"/>
      <c r="I53" s="228"/>
    </row>
    <row r="54" spans="1:9" x14ac:dyDescent="0.25">
      <c r="A54" s="229"/>
      <c r="B54" s="230"/>
      <c r="C54" s="230"/>
      <c r="D54" s="230"/>
      <c r="E54" s="230"/>
      <c r="F54" s="230"/>
      <c r="G54" s="230"/>
      <c r="H54" s="230"/>
      <c r="I54" s="231"/>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opLeftCell="A41" workbookViewId="0">
      <selection activeCell="I8" sqref="I8"/>
    </sheetView>
  </sheetViews>
  <sheetFormatPr defaultColWidth="9.33203125" defaultRowHeight="15" x14ac:dyDescent="0.25"/>
  <cols>
    <col min="1" max="1" width="39" style="2" bestFit="1" customWidth="1"/>
    <col min="2" max="2" width="8.33203125" style="12" customWidth="1"/>
    <col min="3" max="3" width="9.6640625" style="12" bestFit="1" customWidth="1"/>
    <col min="4" max="4" width="15.88671875" style="12" bestFit="1" customWidth="1"/>
    <col min="5" max="5" width="9.6640625" style="12" customWidth="1"/>
    <col min="6" max="6" width="10.5546875" style="12" customWidth="1"/>
    <col min="7" max="7" width="11.33203125" style="15" customWidth="1"/>
    <col min="8" max="8" width="11.5546875" style="16" customWidth="1"/>
    <col min="9" max="10" width="9.33203125" style="2"/>
    <col min="11" max="11" width="38.44140625" style="2" customWidth="1"/>
    <col min="12" max="16384" width="9.33203125" style="2"/>
  </cols>
  <sheetData>
    <row r="1" spans="1:11" x14ac:dyDescent="0.25">
      <c r="A1" s="92" t="s">
        <v>5</v>
      </c>
      <c r="B1" s="92"/>
      <c r="C1" s="92"/>
      <c r="D1" s="92"/>
      <c r="E1" s="92" t="s">
        <v>7</v>
      </c>
      <c r="F1" s="92"/>
      <c r="G1" s="92"/>
      <c r="H1" s="92"/>
      <c r="I1" s="92"/>
      <c r="J1" s="92"/>
      <c r="K1" s="92"/>
    </row>
    <row r="3" spans="1:11" ht="15.6" x14ac:dyDescent="0.3">
      <c r="A3" s="1" t="s">
        <v>31</v>
      </c>
      <c r="B3" s="103"/>
      <c r="C3" s="103"/>
      <c r="D3" s="103"/>
      <c r="E3" s="103"/>
      <c r="F3" s="103"/>
      <c r="H3" s="124"/>
      <c r="I3" s="92"/>
      <c r="J3" s="92"/>
      <c r="K3" s="80" t="s">
        <v>3</v>
      </c>
    </row>
    <row r="4" spans="1:11" x14ac:dyDescent="0.25">
      <c r="A4" s="18" t="s">
        <v>64</v>
      </c>
      <c r="B4" s="240"/>
      <c r="C4" s="240"/>
      <c r="D4" s="19" t="s">
        <v>65</v>
      </c>
      <c r="E4" s="102"/>
      <c r="F4" s="19" t="s">
        <v>66</v>
      </c>
      <c r="G4" s="102"/>
      <c r="H4" s="69" t="s">
        <v>67</v>
      </c>
      <c r="I4" s="92"/>
      <c r="J4" s="92"/>
      <c r="K4" s="17" t="s">
        <v>68</v>
      </c>
    </row>
    <row r="5" spans="1:11" x14ac:dyDescent="0.25">
      <c r="A5" s="20" t="s">
        <v>69</v>
      </c>
      <c r="B5" s="21">
        <v>1</v>
      </c>
      <c r="C5" s="22"/>
      <c r="D5" s="22" t="s">
        <v>70</v>
      </c>
      <c r="E5" s="22"/>
      <c r="F5" s="23">
        <v>1</v>
      </c>
      <c r="G5" s="24"/>
      <c r="H5" s="25"/>
      <c r="I5" s="92"/>
      <c r="J5" s="92"/>
      <c r="K5" s="17" t="s">
        <v>71</v>
      </c>
    </row>
    <row r="6" spans="1:11" x14ac:dyDescent="0.25">
      <c r="A6" s="3"/>
      <c r="B6" s="103"/>
      <c r="C6" s="103"/>
      <c r="D6" s="103"/>
      <c r="E6" s="103"/>
      <c r="F6" s="103"/>
      <c r="H6" s="124"/>
      <c r="I6" s="92"/>
      <c r="J6" s="92"/>
      <c r="K6" s="235" t="s">
        <v>72</v>
      </c>
    </row>
    <row r="7" spans="1:11" x14ac:dyDescent="0.25">
      <c r="A7" s="9" t="s">
        <v>73</v>
      </c>
      <c r="B7" s="125" t="s">
        <v>74</v>
      </c>
      <c r="C7" s="126" t="s">
        <v>75</v>
      </c>
      <c r="D7" s="126" t="s">
        <v>76</v>
      </c>
      <c r="E7" s="126" t="s">
        <v>77</v>
      </c>
      <c r="F7" s="126" t="s">
        <v>78</v>
      </c>
      <c r="G7" s="26" t="s">
        <v>79</v>
      </c>
      <c r="H7" s="127" t="s">
        <v>80</v>
      </c>
      <c r="I7" s="92"/>
      <c r="J7" s="92"/>
      <c r="K7" s="235"/>
    </row>
    <row r="8" spans="1:11" ht="15.75" customHeight="1" x14ac:dyDescent="0.25">
      <c r="A8" s="128" t="s">
        <v>81</v>
      </c>
      <c r="B8" s="237" t="s">
        <v>82</v>
      </c>
      <c r="C8" s="129">
        <v>44780.81</v>
      </c>
      <c r="D8" s="129">
        <v>45428.499999999985</v>
      </c>
      <c r="E8" s="129">
        <v>35845.730000000003</v>
      </c>
      <c r="F8" s="129">
        <v>42780.15</v>
      </c>
      <c r="G8" s="27">
        <v>168835.18999999997</v>
      </c>
      <c r="H8" s="130">
        <v>0.98124720630949935</v>
      </c>
      <c r="I8" s="92"/>
      <c r="J8" s="92"/>
      <c r="K8" s="236" t="s">
        <v>83</v>
      </c>
    </row>
    <row r="9" spans="1:11" x14ac:dyDescent="0.25">
      <c r="A9" s="131" t="s">
        <v>84</v>
      </c>
      <c r="B9" s="238"/>
      <c r="C9" s="129">
        <v>212.29999999999998</v>
      </c>
      <c r="D9" s="129">
        <v>551.64</v>
      </c>
      <c r="E9" s="129">
        <v>84.059999999999988</v>
      </c>
      <c r="F9" s="129">
        <v>2378.6399999999994</v>
      </c>
      <c r="G9" s="88">
        <v>3226.6399999999994</v>
      </c>
      <c r="H9" s="132">
        <v>1.8752793690500678E-2</v>
      </c>
      <c r="I9" s="92"/>
      <c r="J9" s="92"/>
      <c r="K9" s="236"/>
    </row>
    <row r="10" spans="1:11" x14ac:dyDescent="0.25">
      <c r="A10" s="131" t="s">
        <v>85</v>
      </c>
      <c r="B10" s="238"/>
      <c r="C10" s="133"/>
      <c r="D10" s="133"/>
      <c r="E10" s="133"/>
      <c r="F10" s="133"/>
      <c r="G10" s="88">
        <v>0</v>
      </c>
      <c r="H10" s="132" t="s">
        <v>86</v>
      </c>
      <c r="I10" s="92"/>
      <c r="J10" s="92"/>
      <c r="K10" s="236"/>
    </row>
    <row r="11" spans="1:11" x14ac:dyDescent="0.25">
      <c r="A11" s="131" t="s">
        <v>87</v>
      </c>
      <c r="B11" s="238"/>
      <c r="C11" s="133"/>
      <c r="D11" s="133"/>
      <c r="E11" s="133"/>
      <c r="F11" s="133"/>
      <c r="G11" s="88">
        <v>0</v>
      </c>
      <c r="H11" s="132" t="s">
        <v>86</v>
      </c>
      <c r="I11" s="92"/>
      <c r="J11" s="92"/>
      <c r="K11" s="236"/>
    </row>
    <row r="12" spans="1:11" x14ac:dyDescent="0.25">
      <c r="A12" s="131" t="s">
        <v>88</v>
      </c>
      <c r="B12" s="238"/>
      <c r="C12" s="133"/>
      <c r="D12" s="133"/>
      <c r="E12" s="133"/>
      <c r="F12" s="133"/>
      <c r="G12" s="88">
        <v>0</v>
      </c>
      <c r="H12" s="132" t="s">
        <v>86</v>
      </c>
      <c r="I12" s="92"/>
      <c r="J12" s="92"/>
      <c r="K12" s="236"/>
    </row>
    <row r="13" spans="1:11" x14ac:dyDescent="0.25">
      <c r="A13" s="131" t="s">
        <v>89</v>
      </c>
      <c r="B13" s="238"/>
      <c r="C13" s="133"/>
      <c r="D13" s="133"/>
      <c r="E13" s="133"/>
      <c r="F13" s="133"/>
      <c r="G13" s="88">
        <v>0</v>
      </c>
      <c r="H13" s="132" t="s">
        <v>86</v>
      </c>
      <c r="I13" s="92"/>
      <c r="J13" s="92"/>
      <c r="K13" s="236"/>
    </row>
    <row r="14" spans="1:11" x14ac:dyDescent="0.25">
      <c r="A14" s="131" t="s">
        <v>90</v>
      </c>
      <c r="B14" s="238"/>
      <c r="C14" s="133"/>
      <c r="D14" s="133"/>
      <c r="E14" s="133"/>
      <c r="F14" s="133"/>
      <c r="G14" s="88">
        <v>0</v>
      </c>
      <c r="H14" s="132" t="s">
        <v>86</v>
      </c>
      <c r="I14" s="92"/>
      <c r="J14" s="92"/>
      <c r="K14" s="236"/>
    </row>
    <row r="15" spans="1:11" x14ac:dyDescent="0.25">
      <c r="A15" s="134" t="s">
        <v>91</v>
      </c>
      <c r="B15" s="238"/>
      <c r="C15" s="133"/>
      <c r="D15" s="133"/>
      <c r="E15" s="133"/>
      <c r="F15" s="133"/>
      <c r="G15" s="88">
        <v>0</v>
      </c>
      <c r="H15" s="132" t="s">
        <v>86</v>
      </c>
      <c r="I15" s="92"/>
      <c r="J15" s="92"/>
      <c r="K15" s="236"/>
    </row>
    <row r="16" spans="1:11" x14ac:dyDescent="0.25">
      <c r="A16" s="134" t="s">
        <v>91</v>
      </c>
      <c r="B16" s="238"/>
      <c r="C16" s="133"/>
      <c r="D16" s="133"/>
      <c r="E16" s="133"/>
      <c r="F16" s="133"/>
      <c r="G16" s="88"/>
      <c r="H16" s="132"/>
      <c r="I16" s="92"/>
      <c r="J16" s="92"/>
      <c r="K16" s="236"/>
    </row>
    <row r="17" spans="1:12" x14ac:dyDescent="0.25">
      <c r="A17" s="134" t="s">
        <v>91</v>
      </c>
      <c r="B17" s="238"/>
      <c r="C17" s="133"/>
      <c r="D17" s="133"/>
      <c r="E17" s="133"/>
      <c r="F17" s="133"/>
      <c r="G17" s="88"/>
      <c r="H17" s="132"/>
      <c r="I17" s="92"/>
      <c r="J17" s="92"/>
      <c r="K17" s="236"/>
      <c r="L17" s="92"/>
    </row>
    <row r="18" spans="1:12" x14ac:dyDescent="0.25">
      <c r="A18" s="90" t="s">
        <v>92</v>
      </c>
      <c r="B18" s="238"/>
      <c r="C18" s="88">
        <v>44993.11</v>
      </c>
      <c r="D18" s="88">
        <v>45980.139999999985</v>
      </c>
      <c r="E18" s="88">
        <v>35929.79</v>
      </c>
      <c r="F18" s="88">
        <v>45158.79</v>
      </c>
      <c r="G18" s="88">
        <v>172061.82999999996</v>
      </c>
      <c r="H18" s="135">
        <v>1</v>
      </c>
      <c r="I18" s="92"/>
      <c r="J18" s="92"/>
      <c r="K18" s="236"/>
      <c r="L18" s="92"/>
    </row>
    <row r="19" spans="1:12" x14ac:dyDescent="0.25">
      <c r="A19" s="131" t="s">
        <v>93</v>
      </c>
      <c r="B19" s="238"/>
      <c r="C19" s="136"/>
      <c r="D19" s="136"/>
      <c r="E19" s="136"/>
      <c r="F19" s="136"/>
      <c r="G19" s="88">
        <v>0</v>
      </c>
      <c r="H19" s="132" t="s">
        <v>86</v>
      </c>
      <c r="I19" s="92"/>
      <c r="J19" s="92"/>
      <c r="K19" s="236"/>
      <c r="L19" s="92"/>
    </row>
    <row r="20" spans="1:12" x14ac:dyDescent="0.25">
      <c r="A20" s="131" t="s">
        <v>94</v>
      </c>
      <c r="B20" s="238"/>
      <c r="C20" s="136"/>
      <c r="D20" s="136"/>
      <c r="E20" s="136"/>
      <c r="F20" s="136"/>
      <c r="G20" s="88">
        <v>0</v>
      </c>
      <c r="H20" s="132" t="s">
        <v>86</v>
      </c>
      <c r="I20" s="92"/>
      <c r="J20" s="92"/>
      <c r="K20" s="92"/>
      <c r="L20" s="92"/>
    </row>
    <row r="21" spans="1:12" x14ac:dyDescent="0.25">
      <c r="A21" s="91" t="s">
        <v>95</v>
      </c>
      <c r="B21" s="137"/>
      <c r="C21" s="89">
        <v>44993.11</v>
      </c>
      <c r="D21" s="89">
        <v>45980.139999999985</v>
      </c>
      <c r="E21" s="89">
        <v>35929.79</v>
      </c>
      <c r="F21" s="89">
        <v>45158.79</v>
      </c>
      <c r="G21" s="29">
        <v>172061.83</v>
      </c>
      <c r="H21" s="138">
        <v>1.0000000000000002</v>
      </c>
      <c r="I21" s="92"/>
      <c r="J21" s="92"/>
      <c r="K21" s="92"/>
      <c r="L21" s="92"/>
    </row>
    <row r="22" spans="1:12" x14ac:dyDescent="0.25">
      <c r="A22" s="3"/>
      <c r="B22" s="103"/>
      <c r="C22" s="124"/>
      <c r="D22" s="124"/>
      <c r="E22" s="124"/>
      <c r="F22" s="124"/>
      <c r="G22" s="30"/>
      <c r="H22" s="124"/>
      <c r="I22" s="92"/>
      <c r="J22" s="92"/>
      <c r="K22" s="92"/>
      <c r="L22" s="92"/>
    </row>
    <row r="23" spans="1:12" x14ac:dyDescent="0.25">
      <c r="A23" s="9" t="s">
        <v>96</v>
      </c>
      <c r="B23" s="125" t="s">
        <v>74</v>
      </c>
      <c r="C23" s="139" t="s">
        <v>75</v>
      </c>
      <c r="D23" s="139" t="s">
        <v>76</v>
      </c>
      <c r="E23" s="139" t="s">
        <v>77</v>
      </c>
      <c r="F23" s="139" t="s">
        <v>78</v>
      </c>
      <c r="G23" s="31" t="s">
        <v>79</v>
      </c>
      <c r="H23" s="140" t="s">
        <v>97</v>
      </c>
      <c r="I23" s="92"/>
      <c r="J23" s="92"/>
      <c r="K23" s="92"/>
      <c r="L23" s="92"/>
    </row>
    <row r="24" spans="1:12" ht="15" customHeight="1" x14ac:dyDescent="0.25">
      <c r="A24" s="141" t="s">
        <v>98</v>
      </c>
      <c r="B24" s="237" t="s">
        <v>99</v>
      </c>
      <c r="C24" s="129">
        <v>30210</v>
      </c>
      <c r="D24" s="129">
        <v>30164</v>
      </c>
      <c r="E24" s="129">
        <v>24673</v>
      </c>
      <c r="F24" s="129">
        <v>27573</v>
      </c>
      <c r="G24" s="27">
        <v>112620</v>
      </c>
      <c r="H24" s="142">
        <v>654.53215277322113</v>
      </c>
      <c r="I24" s="92"/>
      <c r="J24" s="92"/>
      <c r="K24" s="92"/>
      <c r="L24" s="92"/>
    </row>
    <row r="25" spans="1:12" x14ac:dyDescent="0.25">
      <c r="A25" s="143" t="s">
        <v>100</v>
      </c>
      <c r="B25" s="238"/>
      <c r="C25" s="101">
        <v>26412.49</v>
      </c>
      <c r="D25" s="101">
        <v>26437.58</v>
      </c>
      <c r="E25" s="101">
        <v>21346.179999999997</v>
      </c>
      <c r="F25" s="101">
        <v>24203.875000000004</v>
      </c>
      <c r="G25" s="28">
        <v>98400.125</v>
      </c>
      <c r="H25" s="144">
        <v>571.88816950278863</v>
      </c>
      <c r="I25" s="92"/>
      <c r="J25" s="92"/>
      <c r="K25" s="92"/>
      <c r="L25" s="92"/>
    </row>
    <row r="26" spans="1:12" x14ac:dyDescent="0.25">
      <c r="A26" s="143" t="s">
        <v>101</v>
      </c>
      <c r="B26" s="238"/>
      <c r="C26" s="101">
        <v>2948</v>
      </c>
      <c r="D26" s="101">
        <v>2968</v>
      </c>
      <c r="E26" s="101">
        <v>2572</v>
      </c>
      <c r="F26" s="101">
        <v>3070</v>
      </c>
      <c r="G26" s="28">
        <v>11558</v>
      </c>
      <c r="H26" s="144">
        <v>67.173527097788053</v>
      </c>
      <c r="I26" s="92"/>
      <c r="J26" s="92"/>
      <c r="K26" s="92"/>
      <c r="L26" s="92"/>
    </row>
    <row r="27" spans="1:12" x14ac:dyDescent="0.25">
      <c r="A27" s="143" t="s">
        <v>102</v>
      </c>
      <c r="B27" s="238"/>
      <c r="C27" s="101">
        <v>70</v>
      </c>
      <c r="D27" s="101">
        <v>86</v>
      </c>
      <c r="E27" s="101">
        <v>70</v>
      </c>
      <c r="F27" s="101">
        <v>255</v>
      </c>
      <c r="G27" s="28">
        <v>481</v>
      </c>
      <c r="H27" s="144">
        <v>2.7955067082571423</v>
      </c>
      <c r="I27" s="92"/>
      <c r="J27" s="92"/>
      <c r="K27" s="92"/>
      <c r="L27" s="92"/>
    </row>
    <row r="28" spans="1:12" x14ac:dyDescent="0.25">
      <c r="A28" s="143" t="s">
        <v>103</v>
      </c>
      <c r="B28" s="145" t="s">
        <v>80</v>
      </c>
      <c r="C28" s="146">
        <v>0.12772490092470268</v>
      </c>
      <c r="D28" s="146">
        <v>0.12603041322314046</v>
      </c>
      <c r="E28" s="146">
        <v>0.13728408034595652</v>
      </c>
      <c r="F28" s="146">
        <v>0.13023303866609159</v>
      </c>
      <c r="G28" s="146">
        <v>0.12998006206841672</v>
      </c>
      <c r="H28" s="144"/>
      <c r="I28" s="92"/>
      <c r="J28" s="92"/>
      <c r="K28" s="92"/>
      <c r="L28" s="92"/>
    </row>
    <row r="29" spans="1:12" ht="15" customHeight="1" x14ac:dyDescent="0.25">
      <c r="A29" s="143" t="s">
        <v>104</v>
      </c>
      <c r="B29" s="241" t="s">
        <v>99</v>
      </c>
      <c r="C29" s="101"/>
      <c r="D29" s="101"/>
      <c r="E29" s="101"/>
      <c r="F29" s="101"/>
      <c r="G29" s="28">
        <v>0</v>
      </c>
      <c r="H29" s="144" t="s">
        <v>86</v>
      </c>
      <c r="I29" s="92"/>
      <c r="J29" s="92"/>
      <c r="K29" s="92"/>
      <c r="L29" s="92"/>
    </row>
    <row r="30" spans="1:12" x14ac:dyDescent="0.25">
      <c r="A30" s="143" t="s">
        <v>105</v>
      </c>
      <c r="B30" s="241"/>
      <c r="C30" s="101"/>
      <c r="D30" s="101"/>
      <c r="E30" s="101"/>
      <c r="F30" s="101"/>
      <c r="G30" s="28">
        <v>0</v>
      </c>
      <c r="H30" s="144" t="s">
        <v>86</v>
      </c>
      <c r="I30" s="92"/>
      <c r="J30" s="92"/>
      <c r="K30" s="17"/>
      <c r="L30" s="17"/>
    </row>
    <row r="31" spans="1:12" x14ac:dyDescent="0.25">
      <c r="A31" s="99" t="s">
        <v>106</v>
      </c>
      <c r="B31" s="147"/>
      <c r="C31" s="148"/>
      <c r="D31" s="148"/>
      <c r="E31" s="148"/>
      <c r="F31" s="148"/>
      <c r="G31" s="149"/>
      <c r="H31" s="148"/>
      <c r="I31" s="92"/>
      <c r="J31" s="92"/>
      <c r="K31" s="92"/>
      <c r="L31" s="17"/>
    </row>
    <row r="32" spans="1:12" x14ac:dyDescent="0.25">
      <c r="A32" s="3"/>
      <c r="B32" s="103"/>
      <c r="C32" s="124"/>
      <c r="D32" s="124"/>
      <c r="E32" s="124"/>
      <c r="F32" s="124"/>
      <c r="G32" s="30"/>
      <c r="H32" s="124"/>
      <c r="I32" s="92"/>
      <c r="J32" s="92"/>
      <c r="K32" s="92"/>
      <c r="L32" s="17"/>
    </row>
    <row r="33" spans="1:12" x14ac:dyDescent="0.25">
      <c r="A33" s="9" t="s">
        <v>107</v>
      </c>
      <c r="B33" s="150" t="s">
        <v>74</v>
      </c>
      <c r="C33" s="151" t="s">
        <v>75</v>
      </c>
      <c r="D33" s="151" t="s">
        <v>76</v>
      </c>
      <c r="E33" s="151" t="s">
        <v>77</v>
      </c>
      <c r="F33" s="151" t="s">
        <v>78</v>
      </c>
      <c r="G33" s="31" t="s">
        <v>79</v>
      </c>
      <c r="H33" s="152" t="s">
        <v>108</v>
      </c>
      <c r="I33" s="92"/>
      <c r="J33" s="92"/>
      <c r="K33" s="92"/>
      <c r="L33" s="17"/>
    </row>
    <row r="34" spans="1:12" ht="15" customHeight="1" x14ac:dyDescent="0.25">
      <c r="A34" s="141" t="s">
        <v>109</v>
      </c>
      <c r="B34" s="237" t="s">
        <v>82</v>
      </c>
      <c r="C34" s="101">
        <v>1044.58</v>
      </c>
      <c r="D34" s="101">
        <v>922.30000000000018</v>
      </c>
      <c r="E34" s="101">
        <v>801.76</v>
      </c>
      <c r="F34" s="101">
        <v>979.02</v>
      </c>
      <c r="G34" s="27">
        <v>3747.6600000000003</v>
      </c>
      <c r="H34" s="130">
        <v>2.1780891206376222E-2</v>
      </c>
      <c r="I34" s="92"/>
      <c r="J34" s="92"/>
      <c r="K34" s="17"/>
      <c r="L34" s="17"/>
    </row>
    <row r="35" spans="1:12" ht="15" customHeight="1" x14ac:dyDescent="0.25">
      <c r="A35" s="143" t="s">
        <v>110</v>
      </c>
      <c r="B35" s="238"/>
      <c r="C35" s="101">
        <v>9658.4800000000014</v>
      </c>
      <c r="D35" s="101">
        <v>9969.98</v>
      </c>
      <c r="E35" s="101">
        <v>8036.0599999999995</v>
      </c>
      <c r="F35" s="101">
        <v>9229.9429999999993</v>
      </c>
      <c r="G35" s="28">
        <v>36894.462999999996</v>
      </c>
      <c r="H35" s="132">
        <v>0.21442561084001024</v>
      </c>
      <c r="I35" s="92"/>
      <c r="J35" s="92"/>
      <c r="K35" s="17"/>
      <c r="L35" s="17"/>
    </row>
    <row r="36" spans="1:12" ht="15" customHeight="1" x14ac:dyDescent="0.25">
      <c r="A36" s="143" t="s">
        <v>111</v>
      </c>
      <c r="B36" s="238"/>
      <c r="C36" s="101">
        <v>1429.4550400000001</v>
      </c>
      <c r="D36" s="101">
        <v>1475.5570399999999</v>
      </c>
      <c r="E36" s="101">
        <v>1189.3368799999998</v>
      </c>
      <c r="F36" s="101">
        <v>1366.0315639999999</v>
      </c>
      <c r="G36" s="28">
        <v>5460.3805240000002</v>
      </c>
      <c r="H36" s="132">
        <v>3.1734990404321518E-2</v>
      </c>
      <c r="I36" s="92"/>
      <c r="J36" s="92"/>
      <c r="K36" s="92"/>
      <c r="L36" s="92"/>
    </row>
    <row r="37" spans="1:12" x14ac:dyDescent="0.25">
      <c r="A37" s="153" t="s">
        <v>112</v>
      </c>
      <c r="B37" s="238"/>
      <c r="C37" s="101">
        <v>0</v>
      </c>
      <c r="D37" s="101">
        <v>0</v>
      </c>
      <c r="E37" s="101">
        <v>0</v>
      </c>
      <c r="F37" s="101">
        <v>0</v>
      </c>
      <c r="G37" s="28">
        <v>0</v>
      </c>
      <c r="H37" s="132" t="s">
        <v>86</v>
      </c>
      <c r="I37" s="92"/>
      <c r="J37" s="92"/>
      <c r="K37" s="92"/>
      <c r="L37" s="92"/>
    </row>
    <row r="38" spans="1:12" x14ac:dyDescent="0.25">
      <c r="A38" s="153" t="s">
        <v>112</v>
      </c>
      <c r="B38" s="238"/>
      <c r="C38" s="101">
        <v>0</v>
      </c>
      <c r="D38" s="101">
        <v>0</v>
      </c>
      <c r="E38" s="101">
        <v>0</v>
      </c>
      <c r="F38" s="101">
        <v>0</v>
      </c>
      <c r="G38" s="28">
        <v>0</v>
      </c>
      <c r="H38" s="132" t="s">
        <v>86</v>
      </c>
      <c r="I38" s="92"/>
      <c r="J38" s="92"/>
      <c r="K38" s="92"/>
      <c r="L38" s="92"/>
    </row>
    <row r="39" spans="1:12" x14ac:dyDescent="0.25">
      <c r="A39" s="154" t="s">
        <v>112</v>
      </c>
      <c r="B39" s="239"/>
      <c r="C39" s="155">
        <v>0</v>
      </c>
      <c r="D39" s="155">
        <v>0</v>
      </c>
      <c r="E39" s="155">
        <v>0</v>
      </c>
      <c r="F39" s="155">
        <v>0</v>
      </c>
      <c r="G39" s="29">
        <v>0</v>
      </c>
      <c r="H39" s="138" t="s">
        <v>86</v>
      </c>
      <c r="I39" s="92"/>
      <c r="J39" s="92"/>
      <c r="K39" s="92"/>
      <c r="L39" s="92"/>
    </row>
    <row r="40" spans="1:12" x14ac:dyDescent="0.25">
      <c r="A40" s="103"/>
      <c r="B40" s="103"/>
      <c r="C40" s="124"/>
      <c r="D40" s="124"/>
      <c r="E40" s="124"/>
      <c r="F40" s="124"/>
      <c r="G40" s="30"/>
      <c r="H40" s="124"/>
      <c r="I40" s="92"/>
      <c r="J40" s="92"/>
      <c r="K40" s="92"/>
      <c r="L40" s="92"/>
    </row>
    <row r="41" spans="1:12" x14ac:dyDescent="0.25">
      <c r="A41" s="9" t="s">
        <v>113</v>
      </c>
      <c r="B41" s="156" t="s">
        <v>74</v>
      </c>
      <c r="C41" s="126" t="s">
        <v>75</v>
      </c>
      <c r="D41" s="126" t="s">
        <v>76</v>
      </c>
      <c r="E41" s="126" t="s">
        <v>77</v>
      </c>
      <c r="F41" s="126" t="s">
        <v>78</v>
      </c>
      <c r="G41" s="26" t="s">
        <v>79</v>
      </c>
      <c r="H41" s="127" t="s">
        <v>114</v>
      </c>
      <c r="I41" s="92"/>
      <c r="J41" s="92"/>
      <c r="K41" s="92"/>
      <c r="L41" s="92"/>
    </row>
    <row r="42" spans="1:12" ht="15.6" customHeight="1" x14ac:dyDescent="0.25">
      <c r="A42" s="141" t="s">
        <v>115</v>
      </c>
      <c r="B42" s="145" t="s">
        <v>116</v>
      </c>
      <c r="C42" s="100">
        <v>5522</v>
      </c>
      <c r="D42" s="100">
        <v>5110</v>
      </c>
      <c r="E42" s="100">
        <v>3759</v>
      </c>
      <c r="F42" s="100">
        <v>3600</v>
      </c>
      <c r="G42" s="27">
        <v>17991</v>
      </c>
      <c r="H42" s="157">
        <v>0.10456124987163046</v>
      </c>
      <c r="I42" s="92"/>
      <c r="J42" s="92"/>
      <c r="K42" s="92"/>
      <c r="L42" s="92"/>
    </row>
    <row r="43" spans="1:12" x14ac:dyDescent="0.25">
      <c r="A43" s="143" t="s">
        <v>117</v>
      </c>
      <c r="B43" s="145" t="s">
        <v>116</v>
      </c>
      <c r="C43" s="100"/>
      <c r="D43" s="100"/>
      <c r="E43" s="100"/>
      <c r="F43" s="100"/>
      <c r="G43" s="28">
        <v>0</v>
      </c>
      <c r="H43" s="157" t="s">
        <v>86</v>
      </c>
      <c r="I43" s="92"/>
      <c r="J43" s="92"/>
      <c r="K43" s="92"/>
      <c r="L43" s="92"/>
    </row>
    <row r="44" spans="1:12" ht="15.6" customHeight="1" x14ac:dyDescent="0.25">
      <c r="A44" s="143" t="s">
        <v>118</v>
      </c>
      <c r="B44" s="145" t="s">
        <v>119</v>
      </c>
      <c r="C44" s="158">
        <v>83730.010000000009</v>
      </c>
      <c r="D44" s="158">
        <v>95388.930000000008</v>
      </c>
      <c r="E44" s="158">
        <v>70625.100000000006</v>
      </c>
      <c r="F44" s="158">
        <v>68483.87</v>
      </c>
      <c r="G44" s="28">
        <v>318227.91000000003</v>
      </c>
      <c r="H44" s="157">
        <v>1.849497416132329</v>
      </c>
      <c r="I44" s="92"/>
      <c r="J44" s="92"/>
      <c r="K44" s="92"/>
      <c r="L44" s="92"/>
    </row>
    <row r="45" spans="1:12" ht="15.6" customHeight="1" x14ac:dyDescent="0.25">
      <c r="A45" s="143" t="s">
        <v>120</v>
      </c>
      <c r="B45" s="145" t="s">
        <v>119</v>
      </c>
      <c r="C45" s="100"/>
      <c r="D45" s="100"/>
      <c r="E45" s="100"/>
      <c r="F45" s="100"/>
      <c r="G45" s="28">
        <v>0</v>
      </c>
      <c r="H45" s="157" t="s">
        <v>86</v>
      </c>
      <c r="I45" s="92"/>
      <c r="J45" s="92"/>
      <c r="K45" s="92"/>
      <c r="L45" s="92"/>
    </row>
    <row r="46" spans="1:12" x14ac:dyDescent="0.25">
      <c r="A46" s="143" t="s">
        <v>121</v>
      </c>
      <c r="B46" s="145" t="s">
        <v>119</v>
      </c>
      <c r="C46" s="158">
        <v>10954</v>
      </c>
      <c r="D46" s="158">
        <v>11058</v>
      </c>
      <c r="E46" s="158">
        <v>8892</v>
      </c>
      <c r="F46" s="158">
        <v>11580</v>
      </c>
      <c r="G46" s="28">
        <v>42484</v>
      </c>
      <c r="H46" s="157">
        <v>0.24691124115092813</v>
      </c>
      <c r="I46" s="92"/>
      <c r="J46" s="92"/>
      <c r="K46" s="92"/>
      <c r="L46" s="92"/>
    </row>
    <row r="47" spans="1:12" x14ac:dyDescent="0.25">
      <c r="A47" s="143" t="s">
        <v>122</v>
      </c>
      <c r="B47" s="145" t="s">
        <v>119</v>
      </c>
      <c r="C47" s="158">
        <v>385600</v>
      </c>
      <c r="D47" s="158">
        <v>336987</v>
      </c>
      <c r="E47" s="158">
        <v>257167</v>
      </c>
      <c r="F47" s="158">
        <v>401056</v>
      </c>
      <c r="G47" s="28">
        <v>1380810</v>
      </c>
      <c r="H47" s="157">
        <v>8.0250802865458315</v>
      </c>
      <c r="I47" s="92"/>
      <c r="J47" s="92"/>
      <c r="K47" s="92"/>
      <c r="L47" s="92"/>
    </row>
    <row r="48" spans="1:12" x14ac:dyDescent="0.25">
      <c r="A48" s="143" t="s">
        <v>123</v>
      </c>
      <c r="B48" s="145" t="s">
        <v>116</v>
      </c>
      <c r="C48" s="100">
        <v>29738.2</v>
      </c>
      <c r="D48" s="100">
        <v>65008</v>
      </c>
      <c r="E48" s="100">
        <v>30566.399999999998</v>
      </c>
      <c r="F48" s="100">
        <v>43558.459999999992</v>
      </c>
      <c r="G48" s="28">
        <v>168871.06</v>
      </c>
      <c r="H48" s="157">
        <v>0.98145567788044574</v>
      </c>
      <c r="I48" s="92"/>
      <c r="J48" s="92"/>
      <c r="K48" s="92"/>
      <c r="L48" s="92"/>
    </row>
    <row r="49" spans="1:10" x14ac:dyDescent="0.25">
      <c r="A49" s="143" t="s">
        <v>124</v>
      </c>
      <c r="B49" s="145" t="s">
        <v>125</v>
      </c>
      <c r="C49" s="100"/>
      <c r="D49" s="100"/>
      <c r="E49" s="100"/>
      <c r="F49" s="100"/>
      <c r="G49" s="28">
        <v>0</v>
      </c>
      <c r="H49" s="159"/>
      <c r="I49" s="92"/>
      <c r="J49" s="92"/>
    </row>
    <row r="50" spans="1:10" x14ac:dyDescent="0.25">
      <c r="A50" s="99" t="s">
        <v>112</v>
      </c>
      <c r="B50" s="160"/>
      <c r="C50" s="100"/>
      <c r="D50" s="100"/>
      <c r="E50" s="100"/>
      <c r="F50" s="100"/>
      <c r="G50" s="29">
        <v>0</v>
      </c>
      <c r="H50" s="161"/>
      <c r="I50" s="92"/>
      <c r="J50" s="92"/>
    </row>
    <row r="51" spans="1:10" x14ac:dyDescent="0.25">
      <c r="A51" s="103"/>
      <c r="B51" s="103"/>
      <c r="C51" s="124"/>
      <c r="D51" s="124"/>
      <c r="E51" s="124"/>
      <c r="F51" s="124"/>
      <c r="G51" s="30"/>
      <c r="H51" s="124"/>
      <c r="I51" s="92"/>
      <c r="J51" s="92"/>
    </row>
    <row r="52" spans="1:10" x14ac:dyDescent="0.25">
      <c r="A52" s="9" t="s">
        <v>126</v>
      </c>
      <c r="B52" s="162" t="s">
        <v>127</v>
      </c>
      <c r="C52" s="139" t="s">
        <v>75</v>
      </c>
      <c r="D52" s="139" t="s">
        <v>76</v>
      </c>
      <c r="E52" s="139" t="s">
        <v>77</v>
      </c>
      <c r="F52" s="139" t="s">
        <v>78</v>
      </c>
      <c r="G52" s="31" t="s">
        <v>79</v>
      </c>
      <c r="H52" s="140"/>
      <c r="I52" s="92"/>
      <c r="J52" s="85" t="s">
        <v>128</v>
      </c>
    </row>
    <row r="53" spans="1:10" ht="14.25" customHeight="1" x14ac:dyDescent="0.25">
      <c r="A53" s="233" t="s">
        <v>129</v>
      </c>
      <c r="B53" s="151">
        <v>1</v>
      </c>
      <c r="C53" s="100">
        <v>2054.5666666666666</v>
      </c>
      <c r="D53" s="158">
        <v>2044.9333333333334</v>
      </c>
      <c r="E53" s="158">
        <v>1690.2500000000002</v>
      </c>
      <c r="F53" s="158">
        <v>2089.6333333333332</v>
      </c>
      <c r="G53" s="27">
        <v>7879.3833333333332</v>
      </c>
      <c r="H53" s="130">
        <v>0.8994729832572298</v>
      </c>
      <c r="I53" s="92"/>
      <c r="J53" s="87">
        <v>8760</v>
      </c>
    </row>
    <row r="54" spans="1:10" ht="14.25" customHeight="1" x14ac:dyDescent="0.25">
      <c r="A54" s="234"/>
      <c r="B54" s="164">
        <v>2</v>
      </c>
      <c r="C54" s="165"/>
      <c r="D54" s="165"/>
      <c r="E54" s="165"/>
      <c r="F54" s="165"/>
      <c r="G54" s="28">
        <v>0</v>
      </c>
      <c r="H54" s="132" t="s">
        <v>130</v>
      </c>
      <c r="I54" s="92"/>
      <c r="J54" s="92"/>
    </row>
    <row r="55" spans="1:10" ht="14.25" customHeight="1" x14ac:dyDescent="0.25">
      <c r="A55" s="234"/>
      <c r="B55" s="164">
        <v>3</v>
      </c>
      <c r="C55" s="165"/>
      <c r="D55" s="165"/>
      <c r="E55" s="165"/>
      <c r="F55" s="165"/>
      <c r="G55" s="28">
        <v>0</v>
      </c>
      <c r="H55" s="132" t="s">
        <v>130</v>
      </c>
      <c r="I55" s="92"/>
      <c r="J55" s="92"/>
    </row>
    <row r="56" spans="1:10" ht="14.25" customHeight="1" x14ac:dyDescent="0.25">
      <c r="A56" s="234"/>
      <c r="B56" s="164">
        <v>4</v>
      </c>
      <c r="C56" s="165"/>
      <c r="D56" s="165"/>
      <c r="E56" s="165"/>
      <c r="F56" s="165"/>
      <c r="G56" s="28">
        <v>0</v>
      </c>
      <c r="H56" s="132" t="s">
        <v>130</v>
      </c>
      <c r="I56" s="92"/>
      <c r="J56" s="92"/>
    </row>
    <row r="57" spans="1:10" ht="14.25" customHeight="1" x14ac:dyDescent="0.25">
      <c r="A57" s="234"/>
      <c r="B57" s="164">
        <v>5</v>
      </c>
      <c r="C57" s="165"/>
      <c r="D57" s="165"/>
      <c r="E57" s="165"/>
      <c r="F57" s="165"/>
      <c r="G57" s="28">
        <v>0</v>
      </c>
      <c r="H57" s="132" t="s">
        <v>130</v>
      </c>
      <c r="I57" s="92"/>
      <c r="J57" s="92"/>
    </row>
    <row r="58" spans="1:10" ht="14.25" customHeight="1" x14ac:dyDescent="0.25">
      <c r="A58" s="143" t="s">
        <v>131</v>
      </c>
      <c r="B58" s="151"/>
      <c r="C58" s="100">
        <v>2054.5666666666666</v>
      </c>
      <c r="D58" s="100">
        <v>2044.9333333333334</v>
      </c>
      <c r="E58" s="100">
        <v>1690.2500000000002</v>
      </c>
      <c r="F58" s="100">
        <v>2089.6333333333332</v>
      </c>
      <c r="G58" s="28">
        <v>7879.3833333333332</v>
      </c>
      <c r="H58" s="86">
        <v>0.8994729832572298</v>
      </c>
      <c r="I58" s="92"/>
      <c r="J58" s="92"/>
    </row>
    <row r="59" spans="1:10" ht="14.25" customHeight="1" x14ac:dyDescent="0.25">
      <c r="A59" s="143" t="s">
        <v>132</v>
      </c>
      <c r="B59" s="151">
        <v>1</v>
      </c>
      <c r="C59" s="100">
        <v>2050.0166666666669</v>
      </c>
      <c r="D59" s="158">
        <v>2043.6166666666666</v>
      </c>
      <c r="E59" s="158">
        <v>1683.2166666666665</v>
      </c>
      <c r="F59" s="158">
        <v>1932.9666666666667</v>
      </c>
      <c r="G59" s="28">
        <v>7709.8166666666657</v>
      </c>
      <c r="H59" s="132">
        <v>0.88011605783866043</v>
      </c>
      <c r="I59" s="92"/>
      <c r="J59" s="92"/>
    </row>
    <row r="60" spans="1:10" x14ac:dyDescent="0.25">
      <c r="A60" s="143" t="s">
        <v>132</v>
      </c>
      <c r="B60" s="164">
        <v>2</v>
      </c>
      <c r="C60" s="165"/>
      <c r="D60" s="165"/>
      <c r="E60" s="165"/>
      <c r="F60" s="165"/>
      <c r="G60" s="28">
        <v>0</v>
      </c>
      <c r="H60" s="132" t="s">
        <v>130</v>
      </c>
      <c r="I60" s="92"/>
      <c r="J60" s="92"/>
    </row>
    <row r="61" spans="1:10" x14ac:dyDescent="0.25">
      <c r="A61" s="143" t="s">
        <v>133</v>
      </c>
      <c r="B61" s="164"/>
      <c r="C61" s="164"/>
      <c r="D61" s="164"/>
      <c r="E61" s="164"/>
      <c r="F61" s="164"/>
      <c r="G61" s="28">
        <v>0</v>
      </c>
      <c r="H61" s="132" t="s">
        <v>134</v>
      </c>
      <c r="I61" s="92"/>
      <c r="J61" s="92"/>
    </row>
    <row r="62" spans="1:10" x14ac:dyDescent="0.25">
      <c r="A62" s="143" t="s">
        <v>135</v>
      </c>
      <c r="B62" s="124" t="s">
        <v>136</v>
      </c>
      <c r="C62" s="166">
        <v>8.888303379416282</v>
      </c>
      <c r="D62" s="166">
        <v>8.9132748387096772</v>
      </c>
      <c r="E62" s="166">
        <v>8.929482576662684</v>
      </c>
      <c r="F62" s="166">
        <v>8.5648657905217043</v>
      </c>
      <c r="G62" s="28"/>
      <c r="H62" s="167" t="s">
        <v>86</v>
      </c>
      <c r="I62" s="92"/>
      <c r="J62" s="92"/>
    </row>
    <row r="63" spans="1:10" x14ac:dyDescent="0.25">
      <c r="A63" s="143" t="s">
        <v>137</v>
      </c>
      <c r="B63" s="124" t="s">
        <v>138</v>
      </c>
      <c r="C63" s="101"/>
      <c r="D63" s="101"/>
      <c r="E63" s="101"/>
      <c r="F63" s="101"/>
      <c r="G63" s="28">
        <v>0</v>
      </c>
      <c r="H63" s="144" t="s">
        <v>139</v>
      </c>
      <c r="I63" s="92"/>
      <c r="J63" s="92"/>
    </row>
    <row r="64" spans="1:10" x14ac:dyDescent="0.25">
      <c r="A64" s="143" t="s">
        <v>140</v>
      </c>
      <c r="B64" s="124" t="s">
        <v>141</v>
      </c>
      <c r="C64" s="101"/>
      <c r="D64" s="101"/>
      <c r="E64" s="101"/>
      <c r="F64" s="101"/>
      <c r="G64" s="28">
        <v>0</v>
      </c>
      <c r="H64" s="168">
        <v>0</v>
      </c>
      <c r="I64" s="92"/>
      <c r="J64" s="92"/>
    </row>
    <row r="65" spans="1:8" x14ac:dyDescent="0.25">
      <c r="A65" s="99" t="s">
        <v>142</v>
      </c>
      <c r="B65" s="169" t="s">
        <v>138</v>
      </c>
      <c r="C65" s="155"/>
      <c r="D65" s="155"/>
      <c r="E65" s="155"/>
      <c r="F65" s="155"/>
      <c r="G65" s="29">
        <v>0</v>
      </c>
      <c r="H65" s="170" t="s">
        <v>139</v>
      </c>
    </row>
    <row r="78" spans="1:8" x14ac:dyDescent="0.25">
      <c r="A78" s="92"/>
      <c r="B78" s="103"/>
      <c r="C78" s="103"/>
      <c r="D78" s="103"/>
      <c r="E78" s="103"/>
      <c r="F78" s="3"/>
      <c r="H78" s="124"/>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A31" sqref="A31:I52"/>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tr">
        <f>+'Cover Page'!$B$33</f>
        <v>Lincolnshire Energy from Waste Facility</v>
      </c>
      <c r="F1" s="92"/>
      <c r="G1" s="92"/>
      <c r="H1" s="92"/>
      <c r="I1" s="92"/>
      <c r="J1" s="92"/>
      <c r="K1" s="92"/>
      <c r="L1" s="92"/>
      <c r="M1" s="92"/>
      <c r="N1" s="92"/>
    </row>
    <row r="3" spans="1:14" ht="15.6" x14ac:dyDescent="0.3">
      <c r="A3" s="50" t="s">
        <v>143</v>
      </c>
      <c r="B3" s="119"/>
      <c r="C3" s="119"/>
      <c r="D3" s="119"/>
      <c r="E3" s="119"/>
      <c r="F3" s="119"/>
      <c r="G3" s="119"/>
      <c r="H3" s="119"/>
      <c r="I3" s="120"/>
      <c r="J3" s="92"/>
      <c r="K3" s="80" t="s">
        <v>3</v>
      </c>
      <c r="L3" s="92"/>
      <c r="M3" s="92"/>
      <c r="N3" s="92"/>
    </row>
    <row r="4" spans="1:14" x14ac:dyDescent="0.25">
      <c r="A4" s="121"/>
      <c r="B4" s="122"/>
      <c r="C4" s="122"/>
      <c r="D4" s="122"/>
      <c r="E4" s="122"/>
      <c r="F4" s="122"/>
      <c r="G4" s="122"/>
      <c r="H4" s="122"/>
      <c r="I4" s="123"/>
      <c r="J4" s="92"/>
      <c r="K4" s="92"/>
      <c r="L4" s="92"/>
      <c r="M4" s="92"/>
      <c r="N4" s="92"/>
    </row>
    <row r="5" spans="1:14" ht="15.75" customHeight="1" x14ac:dyDescent="0.25">
      <c r="A5" s="215" t="s">
        <v>144</v>
      </c>
      <c r="B5" s="216"/>
      <c r="C5" s="216"/>
      <c r="D5" s="216"/>
      <c r="E5" s="216"/>
      <c r="F5" s="216"/>
      <c r="G5" s="216"/>
      <c r="H5" s="216"/>
      <c r="I5" s="217"/>
      <c r="J5" s="92"/>
      <c r="K5" s="232" t="s">
        <v>145</v>
      </c>
      <c r="L5" s="232"/>
      <c r="M5" s="232"/>
      <c r="N5" s="232"/>
    </row>
    <row r="6" spans="1:14" x14ac:dyDescent="0.25">
      <c r="A6" s="218"/>
      <c r="B6" s="219"/>
      <c r="C6" s="219"/>
      <c r="D6" s="219"/>
      <c r="E6" s="219"/>
      <c r="F6" s="219"/>
      <c r="G6" s="219"/>
      <c r="H6" s="219"/>
      <c r="I6" s="220"/>
      <c r="J6" s="92"/>
      <c r="K6" s="232"/>
      <c r="L6" s="232"/>
      <c r="M6" s="232"/>
      <c r="N6" s="232"/>
    </row>
    <row r="7" spans="1:14" x14ac:dyDescent="0.25">
      <c r="A7" s="218"/>
      <c r="B7" s="219"/>
      <c r="C7" s="219"/>
      <c r="D7" s="219"/>
      <c r="E7" s="219"/>
      <c r="F7" s="219"/>
      <c r="G7" s="219"/>
      <c r="H7" s="219"/>
      <c r="I7" s="220"/>
      <c r="J7" s="92"/>
      <c r="K7" s="232"/>
      <c r="L7" s="232"/>
      <c r="M7" s="232"/>
      <c r="N7" s="232"/>
    </row>
    <row r="8" spans="1:14" ht="15.75" customHeight="1" x14ac:dyDescent="0.25">
      <c r="A8" s="218"/>
      <c r="B8" s="219"/>
      <c r="C8" s="219"/>
      <c r="D8" s="219"/>
      <c r="E8" s="219"/>
      <c r="F8" s="219"/>
      <c r="G8" s="219"/>
      <c r="H8" s="219"/>
      <c r="I8" s="220"/>
      <c r="J8" s="92"/>
      <c r="K8" s="232"/>
      <c r="L8" s="232"/>
      <c r="M8" s="232"/>
      <c r="N8" s="232"/>
    </row>
    <row r="9" spans="1:14" ht="15.75" customHeight="1" x14ac:dyDescent="0.25">
      <c r="A9" s="218"/>
      <c r="B9" s="219"/>
      <c r="C9" s="219"/>
      <c r="D9" s="219"/>
      <c r="E9" s="219"/>
      <c r="F9" s="219"/>
      <c r="G9" s="219"/>
      <c r="H9" s="219"/>
      <c r="I9" s="220"/>
      <c r="J9" s="92"/>
      <c r="K9" s="232"/>
      <c r="L9" s="232"/>
      <c r="M9" s="232"/>
      <c r="N9" s="232"/>
    </row>
    <row r="10" spans="1:14" ht="15.75" customHeight="1" x14ac:dyDescent="0.25">
      <c r="A10" s="218"/>
      <c r="B10" s="219"/>
      <c r="C10" s="219"/>
      <c r="D10" s="219"/>
      <c r="E10" s="219"/>
      <c r="F10" s="219"/>
      <c r="G10" s="219"/>
      <c r="H10" s="219"/>
      <c r="I10" s="220"/>
      <c r="J10" s="92"/>
      <c r="K10" s="232"/>
      <c r="L10" s="232"/>
      <c r="M10" s="232"/>
      <c r="N10" s="232"/>
    </row>
    <row r="11" spans="1:14" ht="15.75" customHeight="1" x14ac:dyDescent="0.25">
      <c r="A11" s="218"/>
      <c r="B11" s="219"/>
      <c r="C11" s="219"/>
      <c r="D11" s="219"/>
      <c r="E11" s="219"/>
      <c r="F11" s="219"/>
      <c r="G11" s="219"/>
      <c r="H11" s="219"/>
      <c r="I11" s="220"/>
      <c r="J11" s="92"/>
      <c r="K11" s="232"/>
      <c r="L11" s="232"/>
      <c r="M11" s="232"/>
      <c r="N11" s="232"/>
    </row>
    <row r="12" spans="1:14" ht="15.75" customHeight="1" x14ac:dyDescent="0.25">
      <c r="A12" s="218"/>
      <c r="B12" s="219"/>
      <c r="C12" s="219"/>
      <c r="D12" s="219"/>
      <c r="E12" s="219"/>
      <c r="F12" s="219"/>
      <c r="G12" s="219"/>
      <c r="H12" s="219"/>
      <c r="I12" s="220"/>
      <c r="J12" s="92"/>
      <c r="K12" s="232"/>
      <c r="L12" s="232"/>
      <c r="M12" s="232"/>
      <c r="N12" s="232"/>
    </row>
    <row r="13" spans="1:14" ht="15.75" customHeight="1" x14ac:dyDescent="0.25">
      <c r="A13" s="218"/>
      <c r="B13" s="219"/>
      <c r="C13" s="219"/>
      <c r="D13" s="219"/>
      <c r="E13" s="219"/>
      <c r="F13" s="219"/>
      <c r="G13" s="219"/>
      <c r="H13" s="219"/>
      <c r="I13" s="220"/>
      <c r="J13" s="92"/>
      <c r="K13" s="232"/>
      <c r="L13" s="232"/>
      <c r="M13" s="232"/>
      <c r="N13" s="232"/>
    </row>
    <row r="14" spans="1:14" ht="15.75" customHeight="1" x14ac:dyDescent="0.25">
      <c r="A14" s="218"/>
      <c r="B14" s="219"/>
      <c r="C14" s="219"/>
      <c r="D14" s="219"/>
      <c r="E14" s="219"/>
      <c r="F14" s="219"/>
      <c r="G14" s="219"/>
      <c r="H14" s="219"/>
      <c r="I14" s="220"/>
      <c r="J14" s="92"/>
      <c r="K14" s="232"/>
      <c r="L14" s="232"/>
      <c r="M14" s="232"/>
      <c r="N14" s="232"/>
    </row>
    <row r="15" spans="1:14" ht="15.75" customHeight="1" x14ac:dyDescent="0.25">
      <c r="A15" s="218"/>
      <c r="B15" s="219"/>
      <c r="C15" s="219"/>
      <c r="D15" s="219"/>
      <c r="E15" s="219"/>
      <c r="F15" s="219"/>
      <c r="G15" s="219"/>
      <c r="H15" s="219"/>
      <c r="I15" s="220"/>
      <c r="J15" s="92"/>
      <c r="K15" s="92"/>
      <c r="L15" s="92"/>
      <c r="M15" s="92"/>
      <c r="N15" s="92"/>
    </row>
    <row r="16" spans="1:14" ht="15.75" customHeight="1" x14ac:dyDescent="0.25">
      <c r="A16" s="218"/>
      <c r="B16" s="219"/>
      <c r="C16" s="219"/>
      <c r="D16" s="219"/>
      <c r="E16" s="219"/>
      <c r="F16" s="219"/>
      <c r="G16" s="219"/>
      <c r="H16" s="219"/>
      <c r="I16" s="220"/>
      <c r="J16" s="92"/>
      <c r="K16" s="92"/>
      <c r="L16" s="92"/>
      <c r="M16" s="92"/>
      <c r="N16" s="92"/>
    </row>
    <row r="17" spans="1:14" ht="15.75" customHeight="1" x14ac:dyDescent="0.25">
      <c r="A17" s="218"/>
      <c r="B17" s="219"/>
      <c r="C17" s="219"/>
      <c r="D17" s="219"/>
      <c r="E17" s="219"/>
      <c r="F17" s="219"/>
      <c r="G17" s="219"/>
      <c r="H17" s="219"/>
      <c r="I17" s="220"/>
      <c r="J17" s="92"/>
      <c r="K17" s="92"/>
      <c r="L17" s="92"/>
      <c r="M17" s="92"/>
      <c r="N17" s="92"/>
    </row>
    <row r="18" spans="1:14" x14ac:dyDescent="0.25">
      <c r="A18" s="218"/>
      <c r="B18" s="219"/>
      <c r="C18" s="219"/>
      <c r="D18" s="219"/>
      <c r="E18" s="219"/>
      <c r="F18" s="219"/>
      <c r="G18" s="219"/>
      <c r="H18" s="219"/>
      <c r="I18" s="220"/>
      <c r="J18" s="92"/>
      <c r="K18" s="92"/>
      <c r="L18" s="92"/>
      <c r="M18" s="92"/>
      <c r="N18" s="92"/>
    </row>
    <row r="19" spans="1:14" x14ac:dyDescent="0.25">
      <c r="A19" s="218"/>
      <c r="B19" s="219"/>
      <c r="C19" s="219"/>
      <c r="D19" s="219"/>
      <c r="E19" s="219"/>
      <c r="F19" s="219"/>
      <c r="G19" s="219"/>
      <c r="H19" s="219"/>
      <c r="I19" s="220"/>
      <c r="J19" s="92"/>
      <c r="K19" s="92"/>
      <c r="L19" s="92"/>
      <c r="M19" s="92"/>
      <c r="N19" s="92"/>
    </row>
    <row r="20" spans="1:14" x14ac:dyDescent="0.25">
      <c r="A20" s="218"/>
      <c r="B20" s="219"/>
      <c r="C20" s="219"/>
      <c r="D20" s="219"/>
      <c r="E20" s="219"/>
      <c r="F20" s="219"/>
      <c r="G20" s="219"/>
      <c r="H20" s="219"/>
      <c r="I20" s="220"/>
      <c r="J20" s="92"/>
      <c r="K20" s="92"/>
      <c r="L20" s="92"/>
      <c r="M20" s="92"/>
      <c r="N20" s="92"/>
    </row>
    <row r="21" spans="1:14" x14ac:dyDescent="0.25">
      <c r="A21" s="218"/>
      <c r="B21" s="219"/>
      <c r="C21" s="219"/>
      <c r="D21" s="219"/>
      <c r="E21" s="219"/>
      <c r="F21" s="219"/>
      <c r="G21" s="219"/>
      <c r="H21" s="219"/>
      <c r="I21" s="220"/>
      <c r="J21" s="92"/>
      <c r="K21" s="92"/>
      <c r="L21" s="92"/>
      <c r="M21" s="92"/>
      <c r="N21" s="92"/>
    </row>
    <row r="22" spans="1:14" ht="15.45" customHeight="1" x14ac:dyDescent="0.25">
      <c r="A22" s="218"/>
      <c r="B22" s="219"/>
      <c r="C22" s="219"/>
      <c r="D22" s="219"/>
      <c r="E22" s="219"/>
      <c r="F22" s="219"/>
      <c r="G22" s="219"/>
      <c r="H22" s="219"/>
      <c r="I22" s="220"/>
      <c r="J22" s="92"/>
      <c r="K22" s="94"/>
      <c r="L22" s="94"/>
      <c r="M22" s="94"/>
      <c r="N22" s="94"/>
    </row>
    <row r="23" spans="1:14" x14ac:dyDescent="0.25">
      <c r="A23" s="218"/>
      <c r="B23" s="219"/>
      <c r="C23" s="219"/>
      <c r="D23" s="219"/>
      <c r="E23" s="219"/>
      <c r="F23" s="219"/>
      <c r="G23" s="219"/>
      <c r="H23" s="219"/>
      <c r="I23" s="220"/>
      <c r="J23" s="92"/>
      <c r="K23" s="94"/>
      <c r="L23" s="94"/>
      <c r="M23" s="94"/>
      <c r="N23" s="94"/>
    </row>
    <row r="24" spans="1:14" x14ac:dyDescent="0.25">
      <c r="A24" s="218"/>
      <c r="B24" s="219"/>
      <c r="C24" s="219"/>
      <c r="D24" s="219"/>
      <c r="E24" s="219"/>
      <c r="F24" s="219"/>
      <c r="G24" s="219"/>
      <c r="H24" s="219"/>
      <c r="I24" s="220"/>
      <c r="J24" s="92"/>
      <c r="K24" s="94"/>
      <c r="L24" s="94"/>
      <c r="M24" s="94"/>
      <c r="N24" s="94"/>
    </row>
    <row r="25" spans="1:14" x14ac:dyDescent="0.25">
      <c r="A25" s="218"/>
      <c r="B25" s="219"/>
      <c r="C25" s="219"/>
      <c r="D25" s="219"/>
      <c r="E25" s="219"/>
      <c r="F25" s="219"/>
      <c r="G25" s="219"/>
      <c r="H25" s="219"/>
      <c r="I25" s="220"/>
      <c r="J25" s="92"/>
      <c r="K25" s="94"/>
      <c r="L25" s="94"/>
      <c r="M25" s="94"/>
      <c r="N25" s="94"/>
    </row>
    <row r="26" spans="1:14" x14ac:dyDescent="0.25">
      <c r="A26" s="218"/>
      <c r="B26" s="219"/>
      <c r="C26" s="219"/>
      <c r="D26" s="219"/>
      <c r="E26" s="219"/>
      <c r="F26" s="219"/>
      <c r="G26" s="219"/>
      <c r="H26" s="219"/>
      <c r="I26" s="220"/>
      <c r="J26" s="92"/>
      <c r="K26" s="94"/>
      <c r="L26" s="94"/>
      <c r="M26" s="94"/>
      <c r="N26" s="94"/>
    </row>
    <row r="27" spans="1:14" x14ac:dyDescent="0.25">
      <c r="A27" s="221"/>
      <c r="B27" s="222"/>
      <c r="C27" s="222"/>
      <c r="D27" s="222"/>
      <c r="E27" s="222"/>
      <c r="F27" s="222"/>
      <c r="G27" s="222"/>
      <c r="H27" s="222"/>
      <c r="I27" s="223"/>
      <c r="J27" s="92"/>
      <c r="K27" s="94"/>
      <c r="L27" s="94"/>
      <c r="M27" s="94"/>
      <c r="N27" s="94"/>
    </row>
    <row r="28" spans="1:14" x14ac:dyDescent="0.25">
      <c r="A28" s="92"/>
      <c r="B28" s="92"/>
      <c r="C28" s="92"/>
      <c r="D28" s="92"/>
      <c r="E28" s="92"/>
      <c r="F28" s="92"/>
      <c r="G28" s="92"/>
      <c r="H28" s="92"/>
      <c r="I28" s="92"/>
      <c r="J28" s="92"/>
      <c r="K28" s="94"/>
      <c r="L28" s="94"/>
      <c r="M28" s="94"/>
      <c r="N28" s="94"/>
    </row>
    <row r="29" spans="1:14" x14ac:dyDescent="0.25">
      <c r="A29" s="50" t="s">
        <v>146</v>
      </c>
      <c r="B29" s="119"/>
      <c r="C29" s="119"/>
      <c r="D29" s="119"/>
      <c r="E29" s="119"/>
      <c r="F29" s="119"/>
      <c r="G29" s="119"/>
      <c r="H29" s="119"/>
      <c r="I29" s="120"/>
      <c r="J29" s="92"/>
      <c r="K29" s="94"/>
      <c r="L29" s="94"/>
      <c r="M29" s="94"/>
      <c r="N29" s="94"/>
    </row>
    <row r="30" spans="1:14" x14ac:dyDescent="0.25">
      <c r="A30" s="121"/>
      <c r="B30" s="122"/>
      <c r="C30" s="122"/>
      <c r="D30" s="122"/>
      <c r="E30" s="122"/>
      <c r="F30" s="122"/>
      <c r="G30" s="122"/>
      <c r="H30" s="122"/>
      <c r="I30" s="123"/>
      <c r="J30" s="92"/>
      <c r="K30" s="94"/>
      <c r="L30" s="94"/>
      <c r="M30" s="94"/>
      <c r="N30" s="94"/>
    </row>
    <row r="31" spans="1:14" x14ac:dyDescent="0.25">
      <c r="A31" s="215" t="s">
        <v>147</v>
      </c>
      <c r="B31" s="224"/>
      <c r="C31" s="224"/>
      <c r="D31" s="224"/>
      <c r="E31" s="224"/>
      <c r="F31" s="224"/>
      <c r="G31" s="224"/>
      <c r="H31" s="224"/>
      <c r="I31" s="225"/>
      <c r="J31" s="92"/>
      <c r="K31" s="232" t="s">
        <v>148</v>
      </c>
      <c r="L31" s="232"/>
      <c r="M31" s="232"/>
      <c r="N31" s="232"/>
    </row>
    <row r="32" spans="1:14" x14ac:dyDescent="0.25">
      <c r="A32" s="226"/>
      <c r="B32" s="227"/>
      <c r="C32" s="227"/>
      <c r="D32" s="227"/>
      <c r="E32" s="227"/>
      <c r="F32" s="227"/>
      <c r="G32" s="227"/>
      <c r="H32" s="227"/>
      <c r="I32" s="228"/>
      <c r="J32" s="92"/>
      <c r="K32" s="232"/>
      <c r="L32" s="232"/>
      <c r="M32" s="232"/>
      <c r="N32" s="232"/>
    </row>
    <row r="33" spans="1:14" x14ac:dyDescent="0.25">
      <c r="A33" s="226"/>
      <c r="B33" s="227"/>
      <c r="C33" s="227"/>
      <c r="D33" s="227"/>
      <c r="E33" s="227"/>
      <c r="F33" s="227"/>
      <c r="G33" s="227"/>
      <c r="H33" s="227"/>
      <c r="I33" s="228"/>
      <c r="J33" s="92"/>
      <c r="K33" s="232"/>
      <c r="L33" s="232"/>
      <c r="M33" s="232"/>
      <c r="N33" s="232"/>
    </row>
    <row r="34" spans="1:14" x14ac:dyDescent="0.25">
      <c r="A34" s="226"/>
      <c r="B34" s="227"/>
      <c r="C34" s="227"/>
      <c r="D34" s="227"/>
      <c r="E34" s="227"/>
      <c r="F34" s="227"/>
      <c r="G34" s="227"/>
      <c r="H34" s="227"/>
      <c r="I34" s="228"/>
      <c r="J34" s="92"/>
      <c r="K34" s="232"/>
      <c r="L34" s="232"/>
      <c r="M34" s="232"/>
      <c r="N34" s="232"/>
    </row>
    <row r="35" spans="1:14" x14ac:dyDescent="0.25">
      <c r="A35" s="226"/>
      <c r="B35" s="227"/>
      <c r="C35" s="227"/>
      <c r="D35" s="227"/>
      <c r="E35" s="227"/>
      <c r="F35" s="227"/>
      <c r="G35" s="227"/>
      <c r="H35" s="227"/>
      <c r="I35" s="228"/>
      <c r="J35" s="92"/>
      <c r="K35" s="232"/>
      <c r="L35" s="232"/>
      <c r="M35" s="232"/>
      <c r="N35" s="232"/>
    </row>
    <row r="36" spans="1:14" x14ac:dyDescent="0.25">
      <c r="A36" s="226"/>
      <c r="B36" s="227"/>
      <c r="C36" s="227"/>
      <c r="D36" s="227"/>
      <c r="E36" s="227"/>
      <c r="F36" s="227"/>
      <c r="G36" s="227"/>
      <c r="H36" s="227"/>
      <c r="I36" s="228"/>
      <c r="J36" s="92"/>
      <c r="K36" s="232"/>
      <c r="L36" s="232"/>
      <c r="M36" s="232"/>
      <c r="N36" s="232"/>
    </row>
    <row r="37" spans="1:14" x14ac:dyDescent="0.25">
      <c r="A37" s="226"/>
      <c r="B37" s="227"/>
      <c r="C37" s="227"/>
      <c r="D37" s="227"/>
      <c r="E37" s="227"/>
      <c r="F37" s="227"/>
      <c r="G37" s="227"/>
      <c r="H37" s="227"/>
      <c r="I37" s="228"/>
      <c r="J37" s="92"/>
      <c r="K37" s="232"/>
      <c r="L37" s="232"/>
      <c r="M37" s="232"/>
      <c r="N37" s="232"/>
    </row>
    <row r="38" spans="1:14" ht="14.25" customHeight="1" x14ac:dyDescent="0.25">
      <c r="A38" s="226"/>
      <c r="B38" s="227"/>
      <c r="C38" s="227"/>
      <c r="D38" s="227"/>
      <c r="E38" s="227"/>
      <c r="F38" s="227"/>
      <c r="G38" s="227"/>
      <c r="H38" s="227"/>
      <c r="I38" s="228"/>
      <c r="J38" s="92"/>
      <c r="K38" s="232"/>
      <c r="L38" s="232"/>
      <c r="M38" s="232"/>
      <c r="N38" s="232"/>
    </row>
    <row r="39" spans="1:14" x14ac:dyDescent="0.25">
      <c r="A39" s="226"/>
      <c r="B39" s="227"/>
      <c r="C39" s="227"/>
      <c r="D39" s="227"/>
      <c r="E39" s="227"/>
      <c r="F39" s="227"/>
      <c r="G39" s="227"/>
      <c r="H39" s="227"/>
      <c r="I39" s="228"/>
      <c r="J39" s="92"/>
      <c r="K39" s="232"/>
      <c r="L39" s="232"/>
      <c r="M39" s="232"/>
      <c r="N39" s="232"/>
    </row>
    <row r="40" spans="1:14" x14ac:dyDescent="0.25">
      <c r="A40" s="226"/>
      <c r="B40" s="227"/>
      <c r="C40" s="227"/>
      <c r="D40" s="227"/>
      <c r="E40" s="227"/>
      <c r="F40" s="227"/>
      <c r="G40" s="227"/>
      <c r="H40" s="227"/>
      <c r="I40" s="228"/>
      <c r="J40" s="92"/>
      <c r="K40" s="232"/>
      <c r="L40" s="232"/>
      <c r="M40" s="232"/>
      <c r="N40" s="232"/>
    </row>
    <row r="41" spans="1:14" x14ac:dyDescent="0.25">
      <c r="A41" s="226"/>
      <c r="B41" s="227"/>
      <c r="C41" s="227"/>
      <c r="D41" s="227"/>
      <c r="E41" s="227"/>
      <c r="F41" s="227"/>
      <c r="G41" s="227"/>
      <c r="H41" s="227"/>
      <c r="I41" s="228"/>
      <c r="J41" s="92"/>
      <c r="K41" s="92"/>
      <c r="L41" s="92"/>
      <c r="M41" s="92"/>
      <c r="N41" s="92"/>
    </row>
    <row r="42" spans="1:14" x14ac:dyDescent="0.25">
      <c r="A42" s="226"/>
      <c r="B42" s="227"/>
      <c r="C42" s="227"/>
      <c r="D42" s="227"/>
      <c r="E42" s="227"/>
      <c r="F42" s="227"/>
      <c r="G42" s="227"/>
      <c r="H42" s="227"/>
      <c r="I42" s="228"/>
      <c r="J42" s="92"/>
      <c r="K42" s="92"/>
      <c r="L42" s="92"/>
      <c r="M42" s="92"/>
      <c r="N42" s="92"/>
    </row>
    <row r="43" spans="1:14" x14ac:dyDescent="0.25">
      <c r="A43" s="226"/>
      <c r="B43" s="227"/>
      <c r="C43" s="227"/>
      <c r="D43" s="227"/>
      <c r="E43" s="227"/>
      <c r="F43" s="227"/>
      <c r="G43" s="227"/>
      <c r="H43" s="227"/>
      <c r="I43" s="228"/>
      <c r="J43" s="92"/>
      <c r="K43" s="92"/>
      <c r="L43" s="92"/>
      <c r="M43" s="92"/>
      <c r="N43" s="92"/>
    </row>
    <row r="44" spans="1:14" x14ac:dyDescent="0.25">
      <c r="A44" s="226"/>
      <c r="B44" s="227"/>
      <c r="C44" s="227"/>
      <c r="D44" s="227"/>
      <c r="E44" s="227"/>
      <c r="F44" s="227"/>
      <c r="G44" s="227"/>
      <c r="H44" s="227"/>
      <c r="I44" s="228"/>
      <c r="J44" s="92"/>
      <c r="K44" s="92"/>
      <c r="L44" s="92"/>
      <c r="M44" s="92"/>
      <c r="N44" s="92"/>
    </row>
    <row r="45" spans="1:14" x14ac:dyDescent="0.25">
      <c r="A45" s="226"/>
      <c r="B45" s="227"/>
      <c r="C45" s="227"/>
      <c r="D45" s="227"/>
      <c r="E45" s="227"/>
      <c r="F45" s="227"/>
      <c r="G45" s="227"/>
      <c r="H45" s="227"/>
      <c r="I45" s="228"/>
      <c r="J45" s="92"/>
      <c r="K45" s="92"/>
      <c r="L45" s="92"/>
      <c r="M45" s="92"/>
      <c r="N45" s="92"/>
    </row>
    <row r="46" spans="1:14" x14ac:dyDescent="0.25">
      <c r="A46" s="226"/>
      <c r="B46" s="227"/>
      <c r="C46" s="227"/>
      <c r="D46" s="227"/>
      <c r="E46" s="227"/>
      <c r="F46" s="227"/>
      <c r="G46" s="227"/>
      <c r="H46" s="227"/>
      <c r="I46" s="228"/>
      <c r="J46" s="92"/>
      <c r="K46" s="92"/>
      <c r="L46" s="92"/>
      <c r="M46" s="92"/>
      <c r="N46" s="92"/>
    </row>
    <row r="47" spans="1:14" x14ac:dyDescent="0.25">
      <c r="A47" s="226"/>
      <c r="B47" s="227"/>
      <c r="C47" s="227"/>
      <c r="D47" s="227"/>
      <c r="E47" s="227"/>
      <c r="F47" s="227"/>
      <c r="G47" s="227"/>
      <c r="H47" s="227"/>
      <c r="I47" s="228"/>
      <c r="J47" s="92"/>
      <c r="K47" s="92"/>
      <c r="L47" s="92"/>
      <c r="M47" s="92"/>
      <c r="N47" s="92"/>
    </row>
    <row r="48" spans="1:14" x14ac:dyDescent="0.25">
      <c r="A48" s="226"/>
      <c r="B48" s="227"/>
      <c r="C48" s="227"/>
      <c r="D48" s="227"/>
      <c r="E48" s="227"/>
      <c r="F48" s="227"/>
      <c r="G48" s="227"/>
      <c r="H48" s="227"/>
      <c r="I48" s="228"/>
      <c r="J48" s="92"/>
      <c r="K48" s="92"/>
      <c r="L48" s="92"/>
      <c r="M48" s="92"/>
      <c r="N48" s="92"/>
    </row>
    <row r="49" spans="1:9" x14ac:dyDescent="0.25">
      <c r="A49" s="226"/>
      <c r="B49" s="227"/>
      <c r="C49" s="227"/>
      <c r="D49" s="227"/>
      <c r="E49" s="227"/>
      <c r="F49" s="227"/>
      <c r="G49" s="227"/>
      <c r="H49" s="227"/>
      <c r="I49" s="228"/>
    </row>
    <row r="50" spans="1:9" x14ac:dyDescent="0.25">
      <c r="A50" s="226"/>
      <c r="B50" s="227"/>
      <c r="C50" s="227"/>
      <c r="D50" s="227"/>
      <c r="E50" s="227"/>
      <c r="F50" s="227"/>
      <c r="G50" s="227"/>
      <c r="H50" s="227"/>
      <c r="I50" s="228"/>
    </row>
    <row r="51" spans="1:9" x14ac:dyDescent="0.25">
      <c r="A51" s="226"/>
      <c r="B51" s="227"/>
      <c r="C51" s="227"/>
      <c r="D51" s="227"/>
      <c r="E51" s="227"/>
      <c r="F51" s="227"/>
      <c r="G51" s="227"/>
      <c r="H51" s="227"/>
      <c r="I51" s="228"/>
    </row>
    <row r="52" spans="1:9" x14ac:dyDescent="0.25">
      <c r="A52" s="229"/>
      <c r="B52" s="230"/>
      <c r="C52" s="230"/>
      <c r="D52" s="230"/>
      <c r="E52" s="230"/>
      <c r="F52" s="230"/>
      <c r="G52" s="230"/>
      <c r="H52" s="230"/>
      <c r="I52" s="231"/>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30" workbookViewId="0">
      <selection activeCell="K13" sqref="K13"/>
    </sheetView>
  </sheetViews>
  <sheetFormatPr defaultColWidth="9.33203125" defaultRowHeight="15" x14ac:dyDescent="0.25"/>
  <cols>
    <col min="1" max="16384" width="9.33203125" style="2"/>
  </cols>
  <sheetData>
    <row r="1" spans="1:10" ht="15.6" x14ac:dyDescent="0.3">
      <c r="A1" s="32">
        <v>2022</v>
      </c>
      <c r="B1" s="33" t="s">
        <v>149</v>
      </c>
      <c r="C1" s="33"/>
      <c r="D1" s="33"/>
      <c r="E1" s="33"/>
      <c r="F1" s="33"/>
      <c r="G1" s="33"/>
      <c r="H1" s="33"/>
      <c r="I1" s="33"/>
      <c r="J1" s="33"/>
    </row>
    <row r="2" spans="1:10" ht="8.25" customHeight="1" x14ac:dyDescent="0.25">
      <c r="A2" s="92"/>
      <c r="B2" s="92"/>
      <c r="C2" s="92"/>
      <c r="D2" s="92"/>
      <c r="E2" s="92"/>
      <c r="F2" s="92"/>
      <c r="G2" s="92"/>
      <c r="H2" s="92"/>
      <c r="I2" s="92"/>
      <c r="J2" s="92"/>
    </row>
    <row r="3" spans="1:10" s="3" customFormat="1" ht="13.8" x14ac:dyDescent="0.25">
      <c r="A3" s="279" t="s">
        <v>6</v>
      </c>
      <c r="B3" s="279"/>
      <c r="C3" s="279"/>
      <c r="D3" s="279"/>
      <c r="E3" s="279"/>
      <c r="F3" s="3" t="s">
        <v>150</v>
      </c>
      <c r="G3" s="280">
        <v>0</v>
      </c>
      <c r="H3" s="280"/>
      <c r="I3" s="280"/>
    </row>
    <row r="4" spans="1:10" s="3" customFormat="1" ht="13.8" x14ac:dyDescent="0.25">
      <c r="A4" s="3" t="s">
        <v>151</v>
      </c>
      <c r="B4" s="279" t="s">
        <v>7</v>
      </c>
      <c r="C4" s="279"/>
      <c r="D4" s="279"/>
      <c r="E4" s="279"/>
      <c r="F4" s="3" t="s">
        <v>152</v>
      </c>
      <c r="G4" s="3" t="s">
        <v>153</v>
      </c>
    </row>
    <row r="5" spans="1:10" s="3" customFormat="1" ht="6.75" customHeight="1" x14ac:dyDescent="0.25"/>
    <row r="6" spans="1:10" s="3" customFormat="1" ht="15.75" customHeight="1" x14ac:dyDescent="0.25">
      <c r="A6" s="3" t="s">
        <v>154</v>
      </c>
      <c r="D6" s="281">
        <v>44562</v>
      </c>
      <c r="E6" s="281"/>
      <c r="F6" s="34" t="s">
        <v>155</v>
      </c>
      <c r="G6" s="281">
        <v>44926</v>
      </c>
      <c r="H6" s="281"/>
    </row>
    <row r="7" spans="1:10" s="3" customFormat="1" ht="7.5" customHeight="1" x14ac:dyDescent="0.25"/>
    <row r="8" spans="1:10" s="3" customFormat="1" ht="15.6" x14ac:dyDescent="0.3">
      <c r="A8" s="9">
        <v>2022</v>
      </c>
      <c r="B8" s="33" t="s">
        <v>156</v>
      </c>
      <c r="C8"/>
      <c r="D8"/>
      <c r="E8"/>
      <c r="F8"/>
      <c r="G8"/>
    </row>
    <row r="9" spans="1:10" s="3" customFormat="1" ht="28.5" customHeight="1" x14ac:dyDescent="0.25">
      <c r="A9" s="282" t="s">
        <v>157</v>
      </c>
      <c r="B9" s="282"/>
      <c r="C9" s="282" t="s">
        <v>158</v>
      </c>
      <c r="D9" s="282"/>
      <c r="E9" s="282" t="s">
        <v>159</v>
      </c>
      <c r="F9" s="282"/>
      <c r="G9" s="282" t="s">
        <v>160</v>
      </c>
      <c r="H9" s="282"/>
      <c r="I9" s="282" t="s">
        <v>161</v>
      </c>
      <c r="J9" s="282"/>
    </row>
    <row r="10" spans="1:10" s="3" customFormat="1" ht="14.25" customHeight="1" x14ac:dyDescent="0.25">
      <c r="A10" s="242" t="s">
        <v>162</v>
      </c>
      <c r="B10" s="242"/>
      <c r="C10" s="242"/>
      <c r="D10" s="242"/>
      <c r="E10" s="242"/>
      <c r="F10" s="242"/>
      <c r="G10" s="242"/>
      <c r="H10" s="242"/>
      <c r="I10" s="242"/>
      <c r="J10" s="242"/>
    </row>
    <row r="11" spans="1:10" s="3" customFormat="1" ht="14.25" customHeight="1" x14ac:dyDescent="0.25">
      <c r="A11" s="242" t="s">
        <v>163</v>
      </c>
      <c r="B11" s="242"/>
      <c r="C11" s="269" t="s">
        <v>164</v>
      </c>
      <c r="D11" s="269"/>
      <c r="E11" s="270">
        <v>3747.6600000000003</v>
      </c>
      <c r="F11" s="270"/>
      <c r="G11" s="270"/>
      <c r="H11" s="270"/>
      <c r="I11" s="271">
        <v>2.1780891206376222E-2</v>
      </c>
      <c r="J11" s="271"/>
    </row>
    <row r="12" spans="1:10" s="3" customFormat="1" ht="14.25" customHeight="1" x14ac:dyDescent="0.25">
      <c r="A12" s="242" t="s">
        <v>165</v>
      </c>
      <c r="B12" s="242"/>
      <c r="C12" s="269"/>
      <c r="D12" s="269"/>
      <c r="E12" s="270"/>
      <c r="F12" s="270"/>
      <c r="G12" s="270"/>
      <c r="H12" s="270"/>
      <c r="I12" s="271" t="s">
        <v>86</v>
      </c>
      <c r="J12" s="271"/>
    </row>
    <row r="13" spans="1:10" s="3" customFormat="1" ht="14.25" customHeight="1" x14ac:dyDescent="0.25">
      <c r="A13" s="277"/>
      <c r="B13" s="277"/>
      <c r="C13" s="269"/>
      <c r="D13" s="269"/>
      <c r="E13" s="270"/>
      <c r="F13" s="270"/>
      <c r="G13" s="270"/>
      <c r="H13" s="270"/>
      <c r="I13" s="271" t="s">
        <v>86</v>
      </c>
      <c r="J13" s="271"/>
    </row>
    <row r="14" spans="1:10" s="3" customFormat="1" ht="14.25" customHeight="1" x14ac:dyDescent="0.25">
      <c r="A14" s="277"/>
      <c r="B14" s="277"/>
      <c r="C14" s="269"/>
      <c r="D14" s="269"/>
      <c r="E14" s="270"/>
      <c r="F14" s="270"/>
      <c r="G14" s="270"/>
      <c r="H14" s="270"/>
      <c r="I14" s="271" t="s">
        <v>86</v>
      </c>
      <c r="J14" s="271"/>
    </row>
    <row r="15" spans="1:10" s="3" customFormat="1" ht="14.25" customHeight="1" x14ac:dyDescent="0.25">
      <c r="A15" s="278" t="s">
        <v>166</v>
      </c>
      <c r="B15" s="278"/>
      <c r="C15" s="278"/>
      <c r="D15" s="278"/>
      <c r="E15" s="273">
        <v>3747.6600000000003</v>
      </c>
      <c r="F15" s="273"/>
      <c r="G15" s="273">
        <v>0</v>
      </c>
      <c r="H15" s="273"/>
      <c r="I15" s="271">
        <v>2.1780891206376222E-2</v>
      </c>
      <c r="J15" s="271"/>
    </row>
    <row r="16" spans="1:10" s="3" customFormat="1" ht="14.25" customHeight="1" x14ac:dyDescent="0.25">
      <c r="A16" s="246"/>
      <c r="B16" s="247"/>
      <c r="C16" s="247"/>
      <c r="D16" s="247"/>
      <c r="E16" s="274"/>
      <c r="F16" s="274"/>
      <c r="G16" s="274"/>
      <c r="H16" s="274"/>
      <c r="I16" s="275"/>
      <c r="J16" s="250"/>
    </row>
    <row r="17" spans="1:10" s="3" customFormat="1" ht="14.25" customHeight="1" x14ac:dyDescent="0.25">
      <c r="A17" s="276" t="s">
        <v>167</v>
      </c>
      <c r="B17" s="276"/>
      <c r="C17" s="276"/>
      <c r="D17" s="276"/>
      <c r="E17" s="276"/>
      <c r="F17" s="276"/>
      <c r="G17" s="276"/>
      <c r="H17" s="276"/>
      <c r="I17" s="276"/>
      <c r="J17" s="276"/>
    </row>
    <row r="18" spans="1:10" ht="14.25" customHeight="1" x14ac:dyDescent="0.25">
      <c r="A18" s="242" t="s">
        <v>165</v>
      </c>
      <c r="B18" s="242"/>
      <c r="C18" s="269" t="s">
        <v>168</v>
      </c>
      <c r="D18" s="269"/>
      <c r="E18" s="270"/>
      <c r="F18" s="270"/>
      <c r="G18" s="270">
        <v>36894.462999999996</v>
      </c>
      <c r="H18" s="270"/>
      <c r="I18" s="271">
        <v>0.21442561084001024</v>
      </c>
      <c r="J18" s="271"/>
    </row>
    <row r="19" spans="1:10" s="3" customFormat="1" ht="14.25" customHeight="1" x14ac:dyDescent="0.25">
      <c r="A19" s="242" t="s">
        <v>169</v>
      </c>
      <c r="B19" s="242"/>
      <c r="C19" s="269" t="s">
        <v>170</v>
      </c>
      <c r="D19" s="269"/>
      <c r="E19" s="270"/>
      <c r="F19" s="270"/>
      <c r="G19" s="270">
        <v>4501.1000000000004</v>
      </c>
      <c r="H19" s="270"/>
      <c r="I19" s="271">
        <v>2.6159782213173024E-2</v>
      </c>
      <c r="J19" s="271"/>
    </row>
    <row r="20" spans="1:10" s="3" customFormat="1" ht="14.25" customHeight="1" x14ac:dyDescent="0.25">
      <c r="A20" s="242" t="s">
        <v>171</v>
      </c>
      <c r="B20" s="242"/>
      <c r="C20" s="269"/>
      <c r="D20" s="269"/>
      <c r="E20" s="270"/>
      <c r="F20" s="270"/>
      <c r="G20" s="270">
        <v>959.3</v>
      </c>
      <c r="H20" s="270"/>
      <c r="I20" s="271">
        <v>5.5753213830167913E-3</v>
      </c>
      <c r="J20" s="271"/>
    </row>
    <row r="21" spans="1:10" s="3" customFormat="1" ht="14.25" customHeight="1" x14ac:dyDescent="0.25">
      <c r="A21" s="268"/>
      <c r="B21" s="268"/>
      <c r="C21" s="269"/>
      <c r="D21" s="269"/>
      <c r="E21" s="270"/>
      <c r="F21" s="270"/>
      <c r="G21" s="270"/>
      <c r="H21" s="270"/>
      <c r="I21" s="271" t="s">
        <v>86</v>
      </c>
      <c r="J21" s="271"/>
    </row>
    <row r="22" spans="1:10" s="3" customFormat="1" ht="14.25" customHeight="1" x14ac:dyDescent="0.25">
      <c r="A22" s="268"/>
      <c r="B22" s="268"/>
      <c r="C22" s="269"/>
      <c r="D22" s="269"/>
      <c r="E22" s="270"/>
      <c r="F22" s="270"/>
      <c r="G22" s="270"/>
      <c r="H22" s="270"/>
      <c r="I22" s="271" t="s">
        <v>86</v>
      </c>
      <c r="J22" s="271"/>
    </row>
    <row r="23" spans="1:10" s="3" customFormat="1" ht="14.25" customHeight="1" x14ac:dyDescent="0.25">
      <c r="A23" s="272" t="s">
        <v>172</v>
      </c>
      <c r="B23" s="272"/>
      <c r="C23" s="272"/>
      <c r="D23" s="272"/>
      <c r="E23" s="273">
        <v>0</v>
      </c>
      <c r="F23" s="273"/>
      <c r="G23" s="273">
        <v>42354.862999999998</v>
      </c>
      <c r="H23" s="273"/>
      <c r="I23" s="271">
        <v>0.24616071443620005</v>
      </c>
      <c r="J23" s="271"/>
    </row>
    <row r="24" spans="1:10" s="3" customFormat="1" ht="14.25" customHeight="1" x14ac:dyDescent="0.25">
      <c r="A24" s="265" t="s">
        <v>173</v>
      </c>
      <c r="B24" s="265"/>
      <c r="C24" s="265"/>
      <c r="D24" s="265"/>
      <c r="E24" s="266">
        <v>3747.6600000000003</v>
      </c>
      <c r="F24" s="266"/>
      <c r="G24" s="266">
        <v>42354.862999999998</v>
      </c>
      <c r="H24" s="266"/>
      <c r="I24" s="267">
        <v>0.2679416056425763</v>
      </c>
      <c r="J24" s="267"/>
    </row>
    <row r="25" spans="1:10" s="3" customFormat="1" ht="8.25" customHeight="1" x14ac:dyDescent="0.3">
      <c r="A25" s="173"/>
      <c r="B25"/>
      <c r="C25"/>
      <c r="D25"/>
      <c r="E25"/>
      <c r="F25"/>
      <c r="G25"/>
    </row>
    <row r="26" spans="1:10" s="3" customFormat="1" ht="14.25" customHeight="1" x14ac:dyDescent="0.25">
      <c r="A26" s="243" t="s">
        <v>174</v>
      </c>
      <c r="B26" s="243"/>
      <c r="C26" s="243"/>
      <c r="D26" s="243"/>
      <c r="E26" s="243"/>
      <c r="F26" s="243"/>
      <c r="G26" s="243"/>
      <c r="H26" s="243"/>
      <c r="I26" s="243"/>
      <c r="J26" s="243"/>
    </row>
    <row r="27" spans="1:10" s="3" customFormat="1" ht="14.25" customHeight="1" x14ac:dyDescent="0.25">
      <c r="A27" s="244"/>
      <c r="B27" s="244"/>
      <c r="C27" s="244"/>
      <c r="D27" s="244"/>
      <c r="E27" s="244"/>
      <c r="F27" s="244"/>
      <c r="G27" s="244"/>
      <c r="H27" s="244"/>
      <c r="I27" s="244"/>
      <c r="J27" s="244"/>
    </row>
    <row r="28" spans="1:10" s="3" customFormat="1" ht="14.25" customHeight="1" x14ac:dyDescent="0.25">
      <c r="A28" s="244"/>
      <c r="B28" s="244"/>
      <c r="C28" s="244"/>
      <c r="D28" s="244"/>
      <c r="E28" s="244"/>
      <c r="F28" s="244"/>
      <c r="G28" s="244"/>
      <c r="H28" s="244"/>
      <c r="I28" s="244"/>
      <c r="J28" s="244"/>
    </row>
    <row r="29" spans="1:10" s="3" customFormat="1" ht="14.25" customHeight="1" x14ac:dyDescent="0.25">
      <c r="A29" s="244"/>
      <c r="B29" s="244"/>
      <c r="C29" s="244"/>
      <c r="D29" s="244"/>
      <c r="E29" s="244"/>
      <c r="F29" s="244"/>
      <c r="G29" s="244"/>
      <c r="H29" s="244"/>
      <c r="I29" s="244"/>
      <c r="J29" s="244"/>
    </row>
    <row r="30" spans="1:10" s="3" customFormat="1" ht="14.25" customHeight="1" x14ac:dyDescent="0.3">
      <c r="A30" s="173"/>
      <c r="B30"/>
      <c r="C30"/>
      <c r="D30"/>
      <c r="E30"/>
      <c r="F30"/>
      <c r="G30"/>
    </row>
    <row r="31" spans="1:10" s="3" customFormat="1" ht="14.25" customHeight="1" x14ac:dyDescent="0.3">
      <c r="A31" s="1">
        <v>2022</v>
      </c>
      <c r="B31" s="33" t="s">
        <v>175</v>
      </c>
      <c r="C31" s="33"/>
      <c r="D31" s="33"/>
      <c r="E31" s="33"/>
      <c r="F31" s="33"/>
    </row>
    <row r="32" spans="1:10" s="3" customFormat="1" ht="24.75" customHeight="1" x14ac:dyDescent="0.25">
      <c r="A32" s="260" t="s">
        <v>176</v>
      </c>
      <c r="B32" s="261"/>
      <c r="C32" s="261"/>
      <c r="D32" s="262"/>
      <c r="E32" s="37" t="s">
        <v>177</v>
      </c>
      <c r="F32" s="38"/>
      <c r="G32" s="39" t="s">
        <v>74</v>
      </c>
      <c r="H32" s="263" t="s">
        <v>178</v>
      </c>
      <c r="I32" s="264"/>
      <c r="J32" s="40" t="s">
        <v>74</v>
      </c>
    </row>
    <row r="33" spans="1:10" s="3" customFormat="1" ht="14.25" customHeight="1" x14ac:dyDescent="0.25">
      <c r="A33" s="246" t="s">
        <v>115</v>
      </c>
      <c r="B33" s="247"/>
      <c r="C33" s="247"/>
      <c r="D33" s="248"/>
      <c r="E33" s="249">
        <v>17991</v>
      </c>
      <c r="F33" s="250"/>
      <c r="G33" s="174" t="s">
        <v>179</v>
      </c>
      <c r="H33" s="251">
        <v>0.10456124987163046</v>
      </c>
      <c r="I33" s="252"/>
      <c r="J33" s="174" t="s">
        <v>180</v>
      </c>
    </row>
    <row r="34" spans="1:10" s="3" customFormat="1" ht="14.25" customHeight="1" x14ac:dyDescent="0.25">
      <c r="A34" s="246" t="s">
        <v>181</v>
      </c>
      <c r="B34" s="247"/>
      <c r="C34" s="247"/>
      <c r="D34" s="248"/>
      <c r="E34" s="249">
        <v>17991</v>
      </c>
      <c r="F34" s="250"/>
      <c r="G34" s="174" t="s">
        <v>179</v>
      </c>
      <c r="H34" s="251">
        <v>0.10456124987163046</v>
      </c>
      <c r="I34" s="252"/>
      <c r="J34" s="174" t="s">
        <v>180</v>
      </c>
    </row>
    <row r="35" spans="1:10" s="3" customFormat="1" ht="14.25" customHeight="1" x14ac:dyDescent="0.25">
      <c r="A35" s="246" t="s">
        <v>182</v>
      </c>
      <c r="B35" s="247"/>
      <c r="C35" s="247"/>
      <c r="D35" s="248"/>
      <c r="E35" s="249">
        <v>318227.91000000003</v>
      </c>
      <c r="F35" s="250"/>
      <c r="G35" s="174" t="s">
        <v>183</v>
      </c>
      <c r="H35" s="251">
        <v>1.849497416132329</v>
      </c>
      <c r="I35" s="252"/>
      <c r="J35" s="174" t="s">
        <v>184</v>
      </c>
    </row>
    <row r="36" spans="1:10" s="3" customFormat="1" ht="14.25" customHeight="1" x14ac:dyDescent="0.25">
      <c r="A36" s="246" t="s">
        <v>121</v>
      </c>
      <c r="B36" s="247"/>
      <c r="C36" s="247"/>
      <c r="D36" s="248"/>
      <c r="E36" s="249">
        <v>42484</v>
      </c>
      <c r="F36" s="250"/>
      <c r="G36" s="174" t="s">
        <v>183</v>
      </c>
      <c r="H36" s="251">
        <v>0.24691124115092813</v>
      </c>
      <c r="I36" s="252"/>
      <c r="J36" s="174" t="s">
        <v>184</v>
      </c>
    </row>
    <row r="37" spans="1:10" s="3" customFormat="1" ht="14.25" customHeight="1" x14ac:dyDescent="0.25">
      <c r="A37" s="246" t="s">
        <v>185</v>
      </c>
      <c r="B37" s="247"/>
      <c r="C37" s="247"/>
      <c r="D37" s="248"/>
      <c r="E37" s="249">
        <v>1380810</v>
      </c>
      <c r="F37" s="250"/>
      <c r="G37" s="174" t="s">
        <v>183</v>
      </c>
      <c r="H37" s="251">
        <v>8.0250802865458315</v>
      </c>
      <c r="I37" s="252"/>
      <c r="J37" s="174" t="s">
        <v>184</v>
      </c>
    </row>
    <row r="38" spans="1:10" s="3" customFormat="1" ht="14.25" customHeight="1" x14ac:dyDescent="0.25">
      <c r="A38" s="253"/>
      <c r="B38" s="254"/>
      <c r="C38" s="254"/>
      <c r="D38" s="255"/>
      <c r="E38" s="256"/>
      <c r="F38" s="257"/>
      <c r="G38" s="175"/>
      <c r="H38" s="258"/>
      <c r="I38" s="259"/>
      <c r="J38" s="175"/>
    </row>
    <row r="39" spans="1:10" s="3" customFormat="1" ht="14.25" customHeight="1" x14ac:dyDescent="0.25">
      <c r="A39" s="243" t="s">
        <v>174</v>
      </c>
      <c r="B39" s="243"/>
      <c r="C39" s="243"/>
      <c r="D39" s="243"/>
      <c r="E39" s="243"/>
      <c r="F39" s="243"/>
      <c r="G39" s="243"/>
      <c r="H39" s="243"/>
      <c r="I39" s="243"/>
      <c r="J39" s="243"/>
    </row>
    <row r="40" spans="1:10" s="3" customFormat="1" ht="14.25" customHeight="1" x14ac:dyDescent="0.25">
      <c r="A40" s="244"/>
      <c r="B40" s="244"/>
      <c r="C40" s="244"/>
      <c r="D40" s="244"/>
      <c r="E40" s="244"/>
      <c r="F40" s="244"/>
      <c r="G40" s="244"/>
      <c r="H40" s="244"/>
      <c r="I40" s="244"/>
      <c r="J40" s="244"/>
    </row>
    <row r="41" spans="1:10" s="3" customFormat="1" ht="14.25" customHeight="1" x14ac:dyDescent="0.25">
      <c r="A41" s="244"/>
      <c r="B41" s="244"/>
      <c r="C41" s="244"/>
      <c r="D41" s="244"/>
      <c r="E41" s="244"/>
      <c r="F41" s="244"/>
      <c r="G41" s="244"/>
      <c r="H41" s="244"/>
      <c r="I41" s="244"/>
      <c r="J41" s="244"/>
    </row>
    <row r="42" spans="1:10" s="3" customFormat="1" ht="14.25" customHeight="1" x14ac:dyDescent="0.25">
      <c r="A42" s="41"/>
      <c r="B42" s="41"/>
      <c r="C42" s="41"/>
      <c r="D42" s="41"/>
      <c r="E42" s="41"/>
      <c r="F42" s="41"/>
      <c r="G42" s="41"/>
      <c r="H42" s="41"/>
      <c r="I42" s="41"/>
      <c r="J42" s="41"/>
    </row>
    <row r="43" spans="1:10" s="3" customFormat="1" ht="14.25" customHeight="1" x14ac:dyDescent="0.25">
      <c r="A43" s="33">
        <v>2022</v>
      </c>
      <c r="B43" s="33" t="s">
        <v>186</v>
      </c>
      <c r="C43" s="33"/>
      <c r="D43" s="33"/>
      <c r="E43" s="33"/>
      <c r="F43" s="33"/>
      <c r="G43" s="92"/>
    </row>
    <row r="44" spans="1:10" ht="14.25" customHeight="1" x14ac:dyDescent="0.25">
      <c r="A44" s="245" t="s">
        <v>187</v>
      </c>
      <c r="B44" s="245"/>
      <c r="C44" s="245" t="s">
        <v>188</v>
      </c>
      <c r="D44" s="245"/>
      <c r="E44" s="245"/>
      <c r="F44" s="245"/>
      <c r="G44" s="245"/>
      <c r="H44" s="245"/>
      <c r="I44" s="245"/>
      <c r="J44" s="245"/>
    </row>
    <row r="45" spans="1:10" ht="14.25" customHeight="1" x14ac:dyDescent="0.25">
      <c r="A45" s="42"/>
      <c r="B45" s="42"/>
      <c r="C45" s="35" t="s">
        <v>189</v>
      </c>
      <c r="D45" s="35" t="s">
        <v>190</v>
      </c>
      <c r="E45" s="35" t="s">
        <v>191</v>
      </c>
      <c r="F45" s="35" t="s">
        <v>192</v>
      </c>
      <c r="G45" s="35" t="s">
        <v>193</v>
      </c>
      <c r="H45" s="35"/>
      <c r="I45" s="35" t="s">
        <v>194</v>
      </c>
      <c r="J45" s="35" t="s">
        <v>195</v>
      </c>
    </row>
    <row r="46" spans="1:10" ht="31.5" customHeight="1" x14ac:dyDescent="0.25">
      <c r="A46" s="242" t="s">
        <v>196</v>
      </c>
      <c r="B46" s="242"/>
      <c r="C46" s="171">
        <v>7879.3833333333332</v>
      </c>
      <c r="D46" s="171"/>
      <c r="E46" s="171"/>
      <c r="F46" s="176"/>
      <c r="G46" s="176"/>
      <c r="H46" s="176"/>
      <c r="I46" s="176">
        <v>7709.8166666666657</v>
      </c>
      <c r="J46" s="176"/>
    </row>
    <row r="47" spans="1:10" ht="43.5" customHeight="1" x14ac:dyDescent="0.25">
      <c r="A47" s="242" t="s">
        <v>197</v>
      </c>
      <c r="B47" s="242"/>
      <c r="C47" s="171">
        <v>0</v>
      </c>
      <c r="D47" s="171"/>
      <c r="E47" s="171"/>
      <c r="F47" s="176"/>
      <c r="G47" s="176"/>
      <c r="H47" s="176"/>
      <c r="I47" s="176"/>
      <c r="J47" s="176"/>
    </row>
    <row r="48" spans="1:10" ht="42.75" customHeight="1" x14ac:dyDescent="0.25">
      <c r="A48" s="242" t="s">
        <v>198</v>
      </c>
      <c r="B48" s="242"/>
      <c r="C48" s="171"/>
      <c r="D48" s="171"/>
      <c r="E48" s="171"/>
      <c r="F48" s="176"/>
      <c r="G48" s="176"/>
      <c r="H48" s="176"/>
      <c r="I48" s="176"/>
      <c r="J48" s="176"/>
    </row>
    <row r="49" spans="1:10" ht="8.25" customHeight="1" x14ac:dyDescent="0.25">
      <c r="A49" s="92"/>
      <c r="B49" s="92"/>
      <c r="C49" s="92"/>
      <c r="D49" s="92"/>
      <c r="E49" s="92"/>
      <c r="F49" s="92"/>
      <c r="G49" s="92"/>
      <c r="H49" s="92"/>
      <c r="I49" s="92"/>
      <c r="J49" s="92"/>
    </row>
    <row r="50" spans="1:10" x14ac:dyDescent="0.25">
      <c r="A50" s="243" t="s">
        <v>174</v>
      </c>
      <c r="B50" s="243"/>
      <c r="C50" s="243"/>
      <c r="D50" s="243"/>
      <c r="E50" s="243"/>
      <c r="F50" s="243"/>
      <c r="G50" s="243"/>
      <c r="H50" s="243"/>
      <c r="I50" s="243"/>
      <c r="J50" s="243"/>
    </row>
    <row r="51" spans="1:10" x14ac:dyDescent="0.25">
      <c r="A51" s="244"/>
      <c r="B51" s="244"/>
      <c r="C51" s="244"/>
      <c r="D51" s="244"/>
      <c r="E51" s="244"/>
      <c r="F51" s="244"/>
      <c r="G51" s="244"/>
      <c r="H51" s="244"/>
      <c r="I51" s="244"/>
      <c r="J51" s="244"/>
    </row>
    <row r="52" spans="1:10" x14ac:dyDescent="0.25">
      <c r="A52" s="244"/>
      <c r="B52" s="244"/>
      <c r="C52" s="244"/>
      <c r="D52" s="244"/>
      <c r="E52" s="244"/>
      <c r="F52" s="244"/>
      <c r="G52" s="244"/>
      <c r="H52" s="244"/>
      <c r="I52" s="244"/>
      <c r="J52" s="244"/>
    </row>
    <row r="54" spans="1:10" x14ac:dyDescent="0.25">
      <c r="A54" s="3" t="s">
        <v>199</v>
      </c>
      <c r="B54" s="43"/>
      <c r="C54" s="43"/>
      <c r="D54" s="43"/>
      <c r="E54" s="43"/>
      <c r="F54" s="3"/>
      <c r="G54" s="3" t="s">
        <v>200</v>
      </c>
      <c r="H54" s="43"/>
      <c r="I54" s="43"/>
      <c r="J54" s="92"/>
    </row>
    <row r="62" spans="1:10" x14ac:dyDescent="0.25">
      <c r="A62" s="92"/>
      <c r="B62" s="92"/>
      <c r="C62" s="92"/>
      <c r="D62" s="92"/>
      <c r="E62" s="92"/>
      <c r="F62" s="3"/>
      <c r="G62" s="92"/>
      <c r="H62" s="92"/>
      <c r="I62" s="92"/>
      <c r="J62" s="92"/>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AC22" sqref="AC22"/>
    </sheetView>
  </sheetViews>
  <sheetFormatPr defaultColWidth="9.33203125" defaultRowHeight="15" x14ac:dyDescent="0.25"/>
  <cols>
    <col min="1" max="1" width="9.44140625" style="2" bestFit="1" customWidth="1"/>
    <col min="2" max="16384" width="9.33203125" style="2"/>
  </cols>
  <sheetData>
    <row r="1" spans="1:10" ht="15.6" x14ac:dyDescent="0.3">
      <c r="A1" s="32">
        <v>2022</v>
      </c>
      <c r="B1" s="33" t="s">
        <v>201</v>
      </c>
      <c r="C1" s="33"/>
      <c r="D1" s="33"/>
      <c r="E1" s="33"/>
      <c r="F1" s="33"/>
      <c r="G1" s="33"/>
      <c r="H1" s="33"/>
      <c r="I1" s="33"/>
      <c r="J1" s="33"/>
    </row>
    <row r="3" spans="1:10" s="3" customFormat="1" ht="15" customHeight="1" x14ac:dyDescent="0.25">
      <c r="A3" s="3" t="s">
        <v>6</v>
      </c>
      <c r="F3" s="3" t="s">
        <v>150</v>
      </c>
      <c r="G3" s="289">
        <v>0</v>
      </c>
      <c r="H3" s="289"/>
      <c r="I3" s="289"/>
    </row>
    <row r="4" spans="1:10" s="3" customFormat="1" ht="13.8" x14ac:dyDescent="0.25"/>
    <row r="5" spans="1:10" s="3" customFormat="1" ht="13.8" x14ac:dyDescent="0.25">
      <c r="A5" s="3" t="s">
        <v>151</v>
      </c>
      <c r="B5" s="279" t="s">
        <v>7</v>
      </c>
      <c r="C5" s="279"/>
      <c r="D5" s="279"/>
      <c r="E5" s="279"/>
      <c r="F5" s="3" t="s">
        <v>152</v>
      </c>
      <c r="G5" s="3" t="s">
        <v>202</v>
      </c>
    </row>
    <row r="6" spans="1:10" s="3" customFormat="1" ht="13.8" x14ac:dyDescent="0.25"/>
    <row r="7" spans="1:10" s="3" customFormat="1" ht="15.75" customHeight="1" x14ac:dyDescent="0.25">
      <c r="A7" s="3" t="s">
        <v>154</v>
      </c>
      <c r="D7" s="290">
        <v>44562</v>
      </c>
      <c r="E7" s="290"/>
      <c r="F7" s="34" t="s">
        <v>155</v>
      </c>
      <c r="G7" s="290">
        <v>44926</v>
      </c>
      <c r="H7" s="290"/>
    </row>
    <row r="8" spans="1:10" s="3" customFormat="1" ht="14.4" x14ac:dyDescent="0.3">
      <c r="B8"/>
      <c r="C8"/>
      <c r="D8"/>
    </row>
    <row r="9" spans="1:10" s="3" customFormat="1" ht="37.5" customHeight="1" x14ac:dyDescent="0.25">
      <c r="A9" s="245" t="s">
        <v>203</v>
      </c>
      <c r="B9" s="245"/>
      <c r="C9" s="245"/>
      <c r="D9" s="282" t="s">
        <v>204</v>
      </c>
      <c r="E9" s="282"/>
      <c r="F9" s="35" t="s">
        <v>74</v>
      </c>
      <c r="G9" s="245" t="s">
        <v>205</v>
      </c>
      <c r="H9" s="245"/>
      <c r="I9" s="245"/>
    </row>
    <row r="10" spans="1:10" s="3" customFormat="1" ht="24.75" customHeight="1" x14ac:dyDescent="0.25">
      <c r="A10" s="242" t="s">
        <v>206</v>
      </c>
      <c r="B10" s="242"/>
      <c r="C10" s="242"/>
      <c r="D10" s="284">
        <v>112620</v>
      </c>
      <c r="E10" s="284"/>
      <c r="F10" s="177" t="s">
        <v>99</v>
      </c>
      <c r="G10" s="285">
        <v>654.53215277322113</v>
      </c>
      <c r="H10" s="285"/>
      <c r="I10" s="285"/>
    </row>
    <row r="11" spans="1:10" s="3" customFormat="1" ht="24.75" customHeight="1" x14ac:dyDescent="0.25">
      <c r="A11" s="242" t="s">
        <v>207</v>
      </c>
      <c r="B11" s="242"/>
      <c r="C11" s="242"/>
      <c r="D11" s="288">
        <v>481</v>
      </c>
      <c r="E11" s="288"/>
      <c r="F11" s="177" t="s">
        <v>99</v>
      </c>
      <c r="G11" s="285">
        <v>2.7955067082571423</v>
      </c>
      <c r="H11" s="285"/>
      <c r="I11" s="285"/>
    </row>
    <row r="12" spans="1:10" s="3" customFormat="1" ht="24.75" customHeight="1" x14ac:dyDescent="0.25">
      <c r="A12" s="242" t="s">
        <v>208</v>
      </c>
      <c r="B12" s="242"/>
      <c r="C12" s="242"/>
      <c r="D12" s="284">
        <v>98400.125</v>
      </c>
      <c r="E12" s="284"/>
      <c r="F12" s="177" t="s">
        <v>99</v>
      </c>
      <c r="G12" s="285">
        <v>571.88816950278897</v>
      </c>
      <c r="H12" s="285"/>
      <c r="I12" s="285"/>
    </row>
    <row r="13" spans="1:10" s="3" customFormat="1" ht="24.75" customHeight="1" x14ac:dyDescent="0.25">
      <c r="A13" s="242" t="s">
        <v>209</v>
      </c>
      <c r="B13" s="242"/>
      <c r="C13" s="242"/>
      <c r="D13" s="286">
        <v>138.5</v>
      </c>
      <c r="E13" s="286"/>
      <c r="F13" s="177" t="s">
        <v>82</v>
      </c>
      <c r="G13" s="287"/>
      <c r="H13" s="287"/>
      <c r="I13" s="287"/>
    </row>
    <row r="14" spans="1:10" s="3" customFormat="1" ht="24.75" customHeight="1" x14ac:dyDescent="0.25">
      <c r="A14" s="242" t="s">
        <v>210</v>
      </c>
      <c r="B14" s="242"/>
      <c r="C14" s="242"/>
      <c r="D14" s="284">
        <v>0</v>
      </c>
      <c r="E14" s="284"/>
      <c r="F14" s="177" t="s">
        <v>211</v>
      </c>
      <c r="G14" s="285" t="s">
        <v>86</v>
      </c>
      <c r="H14" s="285"/>
      <c r="I14" s="285"/>
    </row>
    <row r="15" spans="1:10" s="3" customFormat="1" ht="24.75" customHeight="1" x14ac:dyDescent="0.25">
      <c r="A15" s="277"/>
      <c r="B15" s="277"/>
      <c r="C15" s="277"/>
      <c r="D15" s="277"/>
      <c r="E15" s="277"/>
      <c r="F15" s="109"/>
      <c r="G15" s="208"/>
      <c r="H15" s="208"/>
      <c r="I15" s="208"/>
    </row>
    <row r="16" spans="1:10" s="3" customFormat="1" ht="24.75" customHeight="1" x14ac:dyDescent="0.25">
      <c r="A16" s="277"/>
      <c r="B16" s="277"/>
      <c r="C16" s="277"/>
      <c r="D16" s="277"/>
      <c r="E16" s="277"/>
      <c r="F16" s="109"/>
      <c r="G16" s="208"/>
      <c r="H16" s="208"/>
      <c r="I16" s="208"/>
    </row>
    <row r="17" spans="1:9" s="3" customFormat="1" ht="14.4" x14ac:dyDescent="0.3">
      <c r="A17" s="44"/>
      <c r="B17"/>
      <c r="C17"/>
      <c r="D17"/>
    </row>
    <row r="18" spans="1:9" s="3" customFormat="1" ht="24" customHeight="1" x14ac:dyDescent="0.25">
      <c r="A18" s="243" t="s">
        <v>174</v>
      </c>
      <c r="B18" s="243"/>
      <c r="C18" s="243"/>
      <c r="D18" s="243"/>
      <c r="E18" s="243"/>
      <c r="F18" s="243"/>
      <c r="G18" s="243"/>
      <c r="H18" s="243"/>
      <c r="I18" s="243"/>
    </row>
    <row r="19" spans="1:9" s="3" customFormat="1" ht="13.8" x14ac:dyDescent="0.25">
      <c r="A19" s="283"/>
      <c r="B19" s="283"/>
      <c r="C19" s="283"/>
      <c r="D19" s="283"/>
      <c r="E19" s="283"/>
      <c r="F19" s="283"/>
      <c r="G19" s="283"/>
      <c r="H19" s="283"/>
      <c r="I19" s="283"/>
    </row>
    <row r="20" spans="1:9" s="3" customFormat="1" ht="13.8" x14ac:dyDescent="0.25">
      <c r="A20" s="283"/>
      <c r="B20" s="283"/>
      <c r="C20" s="283"/>
      <c r="D20" s="283"/>
      <c r="E20" s="283"/>
      <c r="F20" s="283"/>
      <c r="G20" s="283"/>
      <c r="H20" s="283"/>
      <c r="I20" s="283"/>
    </row>
    <row r="21" spans="1:9" s="3" customFormat="1" ht="13.8" x14ac:dyDescent="0.25">
      <c r="A21" s="283"/>
      <c r="B21" s="283"/>
      <c r="C21" s="283"/>
      <c r="D21" s="283"/>
      <c r="E21" s="283"/>
      <c r="F21" s="283"/>
      <c r="G21" s="283"/>
      <c r="H21" s="283"/>
      <c r="I21" s="283"/>
    </row>
    <row r="22" spans="1:9" s="3" customFormat="1" ht="13.8" x14ac:dyDescent="0.25">
      <c r="A22" s="283"/>
      <c r="B22" s="283"/>
      <c r="C22" s="283"/>
      <c r="D22" s="283"/>
      <c r="E22" s="283"/>
      <c r="F22" s="283"/>
      <c r="G22" s="283"/>
      <c r="H22" s="283"/>
      <c r="I22" s="283"/>
    </row>
    <row r="23" spans="1:9" s="3" customFormat="1" ht="13.8" x14ac:dyDescent="0.25">
      <c r="A23" s="283"/>
      <c r="B23" s="283"/>
      <c r="C23" s="283"/>
      <c r="D23" s="283"/>
      <c r="E23" s="283"/>
      <c r="F23" s="283"/>
      <c r="G23" s="283"/>
      <c r="H23" s="283"/>
      <c r="I23" s="283"/>
    </row>
    <row r="24" spans="1:9" s="3" customFormat="1" ht="13.8" x14ac:dyDescent="0.25">
      <c r="A24" s="283"/>
      <c r="B24" s="283"/>
      <c r="C24" s="283"/>
      <c r="D24" s="283"/>
      <c r="E24" s="283"/>
      <c r="F24" s="283"/>
      <c r="G24" s="283"/>
      <c r="H24" s="283"/>
      <c r="I24" s="283"/>
    </row>
    <row r="25" spans="1:9" s="3" customFormat="1" ht="13.8" x14ac:dyDescent="0.25">
      <c r="A25" s="283"/>
      <c r="B25" s="283"/>
      <c r="C25" s="283"/>
      <c r="D25" s="283"/>
      <c r="E25" s="283"/>
      <c r="F25" s="283"/>
      <c r="G25" s="283"/>
      <c r="H25" s="283"/>
      <c r="I25" s="283"/>
    </row>
    <row r="26" spans="1:9" s="3" customFormat="1" ht="13.8" x14ac:dyDescent="0.25">
      <c r="A26" s="41"/>
      <c r="B26" s="41"/>
      <c r="C26" s="41"/>
      <c r="D26" s="41"/>
      <c r="E26" s="41"/>
      <c r="F26" s="41"/>
      <c r="G26" s="41"/>
      <c r="H26" s="41"/>
      <c r="I26" s="41"/>
    </row>
    <row r="27" spans="1:9" s="3" customFormat="1" ht="13.8" x14ac:dyDescent="0.25"/>
    <row r="28" spans="1:9" s="3" customFormat="1" ht="13.8" x14ac:dyDescent="0.25"/>
    <row r="29" spans="1:9" s="3" customFormat="1" ht="13.8" x14ac:dyDescent="0.25">
      <c r="A29" s="3" t="s">
        <v>199</v>
      </c>
      <c r="B29" s="43"/>
      <c r="C29" s="43"/>
      <c r="D29" s="43"/>
      <c r="E29" s="43"/>
      <c r="G29" s="3" t="s">
        <v>200</v>
      </c>
      <c r="H29" s="43"/>
      <c r="I29" s="43"/>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2"/>
      <c r="B34" s="92"/>
      <c r="C34" s="92"/>
      <c r="D34" s="92"/>
      <c r="E34" s="92"/>
      <c r="F34" s="92"/>
      <c r="G34" s="92"/>
      <c r="H34" s="92"/>
      <c r="I34" s="92"/>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C16" sqref="C16:E16"/>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8" width="9.33203125" style="2"/>
    <col min="9" max="9" width="8.6640625" style="2" customWidth="1"/>
    <col min="10" max="10" width="9.33203125" style="2" hidden="1" customWidth="1"/>
    <col min="11" max="11" width="10.6640625" style="2" bestFit="1" customWidth="1"/>
    <col min="12" max="12" width="31.6640625" style="2" customWidth="1"/>
    <col min="13" max="16384" width="9.33203125" style="2"/>
  </cols>
  <sheetData>
    <row r="1" spans="1:15" x14ac:dyDescent="0.25">
      <c r="A1" s="92" t="str">
        <f>+'Cover Page'!$B$29</f>
        <v>Annual Performance Report 2022</v>
      </c>
      <c r="B1" s="92"/>
      <c r="C1" s="92"/>
      <c r="D1" s="92"/>
      <c r="E1" s="92" t="str">
        <f>+'Cover Page'!$B$33</f>
        <v>Lincolnshire Energy from Waste Facility</v>
      </c>
      <c r="F1" s="92"/>
      <c r="G1" s="92"/>
      <c r="H1" s="92"/>
      <c r="I1" s="92"/>
      <c r="J1" s="92"/>
      <c r="K1" s="92"/>
      <c r="L1" s="92"/>
      <c r="M1" s="92"/>
      <c r="N1" s="92"/>
      <c r="O1" s="92"/>
    </row>
    <row r="3" spans="1:15" ht="15.6" x14ac:dyDescent="0.3">
      <c r="A3" s="1" t="s">
        <v>212</v>
      </c>
      <c r="B3" s="92"/>
      <c r="C3" s="92"/>
      <c r="D3" s="92"/>
      <c r="E3" s="92"/>
      <c r="F3" s="92"/>
      <c r="G3" s="92"/>
      <c r="H3" s="92"/>
      <c r="I3" s="92"/>
      <c r="J3" s="92"/>
      <c r="K3" s="92"/>
      <c r="L3" s="92"/>
      <c r="M3" s="92"/>
      <c r="N3" s="92"/>
      <c r="O3" s="92"/>
    </row>
    <row r="4" spans="1:15" ht="15.6" x14ac:dyDescent="0.3">
      <c r="A4" s="1"/>
      <c r="B4" s="92"/>
      <c r="C4" s="92"/>
      <c r="D4" s="92"/>
      <c r="E4" s="92"/>
      <c r="F4" s="92"/>
      <c r="G4" s="92"/>
      <c r="H4" s="92"/>
      <c r="I4" s="92"/>
      <c r="J4" s="92"/>
      <c r="K4" s="92"/>
      <c r="L4" s="92"/>
      <c r="M4" s="92"/>
      <c r="N4" s="92"/>
      <c r="O4" s="92"/>
    </row>
    <row r="5" spans="1:15" x14ac:dyDescent="0.25">
      <c r="A5" s="9" t="s">
        <v>213</v>
      </c>
      <c r="B5" s="92"/>
      <c r="C5" s="92"/>
      <c r="D5" s="92"/>
      <c r="E5" s="92"/>
      <c r="F5" s="92"/>
      <c r="G5" s="92"/>
      <c r="H5" s="92"/>
      <c r="I5" s="92"/>
      <c r="J5" s="92"/>
      <c r="K5" s="92"/>
      <c r="L5" s="92"/>
      <c r="M5" s="92"/>
      <c r="N5" s="92"/>
      <c r="O5" s="92"/>
    </row>
    <row r="6" spans="1:15" x14ac:dyDescent="0.25">
      <c r="A6" s="9"/>
      <c r="B6" s="92"/>
      <c r="C6" s="92"/>
      <c r="D6" s="92"/>
      <c r="E6" s="92"/>
      <c r="F6" s="92"/>
      <c r="G6" s="92"/>
      <c r="H6" s="92"/>
      <c r="I6" s="92"/>
      <c r="J6" s="92"/>
      <c r="K6" s="92"/>
      <c r="L6" s="92"/>
      <c r="M6" s="92"/>
      <c r="N6" s="92"/>
      <c r="O6" s="92"/>
    </row>
    <row r="7" spans="1:15" x14ac:dyDescent="0.25">
      <c r="A7" s="103" t="s">
        <v>214</v>
      </c>
      <c r="B7" s="92"/>
      <c r="C7" s="92"/>
      <c r="D7" s="92"/>
      <c r="E7" s="92"/>
      <c r="F7" s="92"/>
      <c r="G7" s="92"/>
      <c r="H7" s="92"/>
      <c r="I7" s="92"/>
      <c r="J7" s="92"/>
      <c r="K7" s="92"/>
      <c r="L7" s="92"/>
      <c r="M7" s="92"/>
      <c r="N7" s="92"/>
      <c r="O7" s="92"/>
    </row>
    <row r="8" spans="1:15" s="3" customFormat="1" ht="25.5" customHeight="1" x14ac:dyDescent="0.3">
      <c r="A8" s="302" t="s">
        <v>215</v>
      </c>
      <c r="B8" s="303"/>
      <c r="C8" s="302" t="s">
        <v>216</v>
      </c>
      <c r="D8" s="304"/>
      <c r="E8" s="304"/>
      <c r="F8" s="304"/>
      <c r="G8" s="304"/>
      <c r="H8" s="304"/>
      <c r="I8" s="303"/>
      <c r="L8" s="80" t="s">
        <v>3</v>
      </c>
    </row>
    <row r="9" spans="1:15" s="3" customFormat="1" ht="22.5" customHeight="1" x14ac:dyDescent="0.25">
      <c r="A9" s="305"/>
      <c r="B9" s="306"/>
      <c r="C9" s="307" t="s">
        <v>217</v>
      </c>
      <c r="D9" s="307"/>
      <c r="E9" s="307"/>
      <c r="F9" s="307" t="s">
        <v>218</v>
      </c>
      <c r="G9" s="307"/>
      <c r="H9" s="307"/>
      <c r="I9" s="307"/>
      <c r="L9" s="232" t="s">
        <v>219</v>
      </c>
      <c r="M9" s="232"/>
      <c r="N9" s="232"/>
      <c r="O9" s="232"/>
    </row>
    <row r="10" spans="1:15" s="3" customFormat="1" ht="22.5" customHeight="1" x14ac:dyDescent="0.25">
      <c r="A10" s="301" t="s">
        <v>220</v>
      </c>
      <c r="B10" s="301"/>
      <c r="C10" s="309">
        <v>1</v>
      </c>
      <c r="D10" s="298"/>
      <c r="E10" s="298"/>
      <c r="F10" s="309">
        <v>1</v>
      </c>
      <c r="G10" s="298"/>
      <c r="H10" s="298"/>
      <c r="I10" s="298"/>
      <c r="L10" s="232"/>
      <c r="M10" s="232"/>
      <c r="N10" s="232"/>
      <c r="O10" s="232"/>
    </row>
    <row r="11" spans="1:15" s="3" customFormat="1" ht="22.5" customHeight="1" x14ac:dyDescent="0.25">
      <c r="A11" s="301" t="s">
        <v>221</v>
      </c>
      <c r="B11" s="301"/>
      <c r="C11" s="309">
        <v>1</v>
      </c>
      <c r="D11" s="298"/>
      <c r="E11" s="298"/>
      <c r="F11" s="309">
        <v>1</v>
      </c>
      <c r="G11" s="298"/>
      <c r="H11" s="298"/>
      <c r="I11" s="298"/>
      <c r="L11" s="232"/>
      <c r="M11" s="232"/>
      <c r="N11" s="232"/>
      <c r="O11" s="232"/>
    </row>
    <row r="12" spans="1:15" s="3" customFormat="1" ht="22.5" customHeight="1" x14ac:dyDescent="0.25">
      <c r="A12" s="301" t="s">
        <v>222</v>
      </c>
      <c r="B12" s="301"/>
      <c r="C12" s="309">
        <v>1</v>
      </c>
      <c r="D12" s="298"/>
      <c r="E12" s="298"/>
      <c r="F12" s="309">
        <v>1</v>
      </c>
      <c r="G12" s="298"/>
      <c r="H12" s="298"/>
      <c r="I12" s="298"/>
      <c r="L12" s="232"/>
      <c r="M12" s="232"/>
      <c r="N12" s="232"/>
      <c r="O12" s="232"/>
    </row>
    <row r="13" spans="1:15" s="3" customFormat="1" ht="22.5" customHeight="1" x14ac:dyDescent="0.25">
      <c r="A13" s="301" t="s">
        <v>223</v>
      </c>
      <c r="B13" s="301"/>
      <c r="C13" s="269" t="s">
        <v>224</v>
      </c>
      <c r="D13" s="298"/>
      <c r="E13" s="298"/>
      <c r="F13" s="297">
        <v>1</v>
      </c>
      <c r="G13" s="298"/>
      <c r="H13" s="298"/>
      <c r="I13" s="298"/>
      <c r="L13" s="232"/>
      <c r="M13" s="232"/>
      <c r="N13" s="232"/>
      <c r="O13" s="232"/>
    </row>
    <row r="14" spans="1:15" s="3" customFormat="1" ht="22.5" customHeight="1" x14ac:dyDescent="0.25">
      <c r="A14" s="301" t="s">
        <v>225</v>
      </c>
      <c r="B14" s="301"/>
      <c r="C14" s="297">
        <v>1</v>
      </c>
      <c r="D14" s="298"/>
      <c r="E14" s="298"/>
      <c r="F14" s="297">
        <v>1</v>
      </c>
      <c r="G14" s="298"/>
      <c r="H14" s="298"/>
      <c r="I14" s="298"/>
      <c r="L14" s="232"/>
      <c r="M14" s="232"/>
      <c r="N14" s="232"/>
      <c r="O14" s="232"/>
    </row>
    <row r="15" spans="1:15" s="3" customFormat="1" ht="22.5" customHeight="1" x14ac:dyDescent="0.25">
      <c r="A15" s="301" t="s">
        <v>226</v>
      </c>
      <c r="B15" s="301"/>
      <c r="C15" s="297">
        <v>1</v>
      </c>
      <c r="D15" s="298"/>
      <c r="E15" s="298"/>
      <c r="F15" s="297">
        <v>1</v>
      </c>
      <c r="G15" s="298"/>
      <c r="H15" s="298"/>
      <c r="I15" s="298"/>
      <c r="L15" s="232"/>
      <c r="M15" s="232"/>
      <c r="N15" s="232"/>
      <c r="O15" s="232"/>
    </row>
    <row r="16" spans="1:15" s="3" customFormat="1" ht="22.5" customHeight="1" x14ac:dyDescent="0.25">
      <c r="A16" s="301" t="s">
        <v>227</v>
      </c>
      <c r="B16" s="301"/>
      <c r="C16" s="297">
        <v>1</v>
      </c>
      <c r="D16" s="298"/>
      <c r="E16" s="298"/>
      <c r="F16" s="297">
        <v>1</v>
      </c>
      <c r="G16" s="298"/>
      <c r="H16" s="298"/>
      <c r="I16" s="298"/>
      <c r="L16" s="232"/>
      <c r="M16" s="232"/>
      <c r="N16" s="232"/>
      <c r="O16" s="232"/>
    </row>
    <row r="17" spans="1:15" s="3" customFormat="1" ht="22.5" customHeight="1" x14ac:dyDescent="0.25">
      <c r="A17" s="299"/>
      <c r="B17" s="300"/>
      <c r="C17" s="297">
        <v>1</v>
      </c>
      <c r="D17" s="298"/>
      <c r="E17" s="298"/>
      <c r="F17" s="297">
        <v>1</v>
      </c>
      <c r="G17" s="298"/>
      <c r="H17" s="298"/>
      <c r="I17" s="298"/>
      <c r="L17" s="232"/>
      <c r="M17" s="232"/>
      <c r="N17" s="232"/>
      <c r="O17" s="232"/>
    </row>
    <row r="18" spans="1:15" s="3" customFormat="1" ht="13.8" x14ac:dyDescent="0.25">
      <c r="L18" s="232"/>
      <c r="M18" s="232"/>
      <c r="N18" s="232"/>
      <c r="O18" s="232"/>
    </row>
    <row r="19" spans="1:15" s="44" customFormat="1" ht="21.75" customHeight="1" x14ac:dyDescent="0.3">
      <c r="A19" s="291" t="s">
        <v>228</v>
      </c>
      <c r="B19" s="292"/>
      <c r="C19" s="292"/>
      <c r="D19" s="292"/>
      <c r="E19" s="292"/>
      <c r="F19" s="292"/>
      <c r="G19" s="292"/>
      <c r="H19" s="292"/>
      <c r="I19" s="292"/>
      <c r="J19" s="292"/>
      <c r="K19" s="293"/>
    </row>
    <row r="20" spans="1:15" s="3" customFormat="1" ht="38.25" customHeight="1" x14ac:dyDescent="0.25">
      <c r="A20" s="45" t="s">
        <v>52</v>
      </c>
      <c r="B20" s="295" t="s">
        <v>229</v>
      </c>
      <c r="C20" s="295"/>
      <c r="D20" s="295"/>
      <c r="E20" s="295" t="s">
        <v>230</v>
      </c>
      <c r="F20" s="295"/>
      <c r="G20" s="295"/>
      <c r="H20" s="295" t="s">
        <v>231</v>
      </c>
      <c r="I20" s="295"/>
      <c r="J20" s="296"/>
      <c r="K20" s="71"/>
    </row>
    <row r="21" spans="1:15" s="3" customFormat="1" ht="13.8" x14ac:dyDescent="0.25">
      <c r="A21" s="178"/>
      <c r="B21" s="208"/>
      <c r="C21" s="208"/>
      <c r="D21" s="208"/>
      <c r="E21" s="208"/>
      <c r="F21" s="208"/>
      <c r="G21" s="208"/>
      <c r="H21" s="208"/>
      <c r="I21" s="208"/>
      <c r="J21" s="294"/>
      <c r="K21" s="71"/>
    </row>
    <row r="22" spans="1:15" s="3" customFormat="1" ht="13.8" x14ac:dyDescent="0.25">
      <c r="A22" s="117"/>
      <c r="B22" s="208"/>
      <c r="C22" s="208"/>
      <c r="D22" s="208"/>
      <c r="E22" s="208"/>
      <c r="F22" s="208"/>
      <c r="G22" s="208"/>
      <c r="H22" s="208"/>
      <c r="I22" s="208"/>
      <c r="J22" s="294"/>
      <c r="K22" s="71"/>
    </row>
    <row r="23" spans="1:15" s="3" customFormat="1" ht="13.8" x14ac:dyDescent="0.25">
      <c r="A23" s="117"/>
      <c r="B23" s="208"/>
      <c r="C23" s="208"/>
      <c r="D23" s="208"/>
      <c r="E23" s="208"/>
      <c r="F23" s="208"/>
      <c r="G23" s="208"/>
      <c r="H23" s="208"/>
      <c r="I23" s="208"/>
      <c r="J23" s="294"/>
      <c r="K23" s="71"/>
    </row>
    <row r="24" spans="1:15" s="3" customFormat="1" ht="13.8" x14ac:dyDescent="0.25">
      <c r="A24" s="117"/>
      <c r="B24" s="208"/>
      <c r="C24" s="208"/>
      <c r="D24" s="208"/>
      <c r="E24" s="208"/>
      <c r="F24" s="208"/>
      <c r="G24" s="208"/>
      <c r="H24" s="208"/>
      <c r="I24" s="208"/>
      <c r="J24" s="294"/>
      <c r="K24" s="71"/>
    </row>
    <row r="25" spans="1:15" s="3" customFormat="1" ht="13.8" x14ac:dyDescent="0.25">
      <c r="A25" s="117"/>
      <c r="B25" s="208"/>
      <c r="C25" s="208"/>
      <c r="D25" s="208"/>
      <c r="E25" s="208"/>
      <c r="F25" s="208"/>
      <c r="G25" s="208"/>
      <c r="H25" s="208"/>
      <c r="I25" s="208"/>
      <c r="J25" s="294"/>
      <c r="K25" s="71"/>
    </row>
    <row r="26" spans="1:15" s="3" customFormat="1" ht="13.8" x14ac:dyDescent="0.25"/>
    <row r="27" spans="1:15" s="44" customFormat="1" ht="22.5" customHeight="1" x14ac:dyDescent="0.3">
      <c r="A27" s="291" t="s">
        <v>232</v>
      </c>
      <c r="B27" s="292"/>
      <c r="C27" s="292"/>
      <c r="D27" s="292"/>
      <c r="E27" s="292"/>
      <c r="F27" s="292"/>
      <c r="G27" s="292"/>
      <c r="H27" s="292"/>
      <c r="I27" s="292"/>
      <c r="J27" s="292"/>
      <c r="K27" s="293"/>
    </row>
    <row r="28" spans="1:15" s="3" customFormat="1" ht="39" customHeight="1" x14ac:dyDescent="0.25">
      <c r="A28" s="45" t="s">
        <v>52</v>
      </c>
      <c r="B28" s="295" t="s">
        <v>233</v>
      </c>
      <c r="C28" s="295"/>
      <c r="D28" s="295"/>
      <c r="E28" s="295" t="s">
        <v>234</v>
      </c>
      <c r="F28" s="295"/>
      <c r="G28" s="295"/>
      <c r="H28" s="295" t="s">
        <v>231</v>
      </c>
      <c r="I28" s="295"/>
      <c r="J28" s="296"/>
      <c r="K28" s="71"/>
    </row>
    <row r="29" spans="1:15" s="3" customFormat="1" ht="13.8" x14ac:dyDescent="0.25">
      <c r="A29" s="117"/>
      <c r="B29" s="208"/>
      <c r="C29" s="208"/>
      <c r="D29" s="208"/>
      <c r="E29" s="208"/>
      <c r="F29" s="208"/>
      <c r="G29" s="208"/>
      <c r="H29" s="208"/>
      <c r="I29" s="208"/>
      <c r="J29" s="294"/>
      <c r="K29" s="71"/>
    </row>
    <row r="30" spans="1:15" s="3" customFormat="1" ht="13.8" x14ac:dyDescent="0.25">
      <c r="A30" s="117"/>
      <c r="B30" s="208"/>
      <c r="C30" s="208"/>
      <c r="D30" s="208"/>
      <c r="E30" s="208"/>
      <c r="F30" s="208"/>
      <c r="G30" s="208"/>
      <c r="H30" s="208"/>
      <c r="I30" s="208"/>
      <c r="J30" s="294"/>
      <c r="K30" s="71"/>
    </row>
    <row r="31" spans="1:15" ht="14.25" customHeight="1" x14ac:dyDescent="0.25">
      <c r="A31" s="117"/>
      <c r="B31" s="208"/>
      <c r="C31" s="208"/>
      <c r="D31" s="208"/>
      <c r="E31" s="208"/>
      <c r="F31" s="208"/>
      <c r="G31" s="208"/>
      <c r="H31" s="208"/>
      <c r="I31" s="208"/>
      <c r="J31" s="294"/>
      <c r="K31" s="71"/>
      <c r="L31" s="92"/>
      <c r="M31" s="92"/>
      <c r="N31" s="92"/>
      <c r="O31" s="92"/>
    </row>
    <row r="32" spans="1:15" s="3" customFormat="1" ht="13.8" x14ac:dyDescent="0.25">
      <c r="A32" s="117"/>
      <c r="B32" s="208"/>
      <c r="C32" s="208"/>
      <c r="D32" s="208"/>
      <c r="E32" s="208"/>
      <c r="F32" s="208"/>
      <c r="G32" s="208"/>
      <c r="H32" s="208"/>
      <c r="I32" s="208"/>
      <c r="J32" s="294"/>
      <c r="K32" s="71"/>
    </row>
    <row r="33" spans="1:11" s="3" customFormat="1" ht="13.8" x14ac:dyDescent="0.25">
      <c r="A33" s="117"/>
      <c r="B33" s="208"/>
      <c r="C33" s="208"/>
      <c r="D33" s="208"/>
      <c r="E33" s="208"/>
      <c r="F33" s="208"/>
      <c r="G33" s="208"/>
      <c r="H33" s="208"/>
      <c r="I33" s="208"/>
      <c r="J33" s="294"/>
      <c r="K33" s="71"/>
    </row>
    <row r="34" spans="1:11" s="3" customFormat="1" ht="29.25" customHeight="1" x14ac:dyDescent="0.25">
      <c r="A34" s="103"/>
      <c r="E34" s="308" t="s">
        <v>235</v>
      </c>
      <c r="F34" s="308"/>
      <c r="G34" s="308"/>
      <c r="H34" s="308"/>
      <c r="I34" s="308"/>
      <c r="J34" s="103"/>
    </row>
    <row r="67" spans="6:6" x14ac:dyDescent="0.25">
      <c r="F67" s="3"/>
    </row>
  </sheetData>
  <mergeCells count="6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D54" sqref="D54"/>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Lincolnshire Energy from Waste Facility</v>
      </c>
      <c r="F1" s="92"/>
      <c r="G1" s="92"/>
      <c r="H1" s="92"/>
      <c r="I1" s="92"/>
    </row>
    <row r="3" spans="1:9" ht="15.6" x14ac:dyDescent="0.3">
      <c r="A3" s="1" t="s">
        <v>236</v>
      </c>
      <c r="B3" s="92"/>
      <c r="C3" s="92"/>
      <c r="D3" s="92"/>
      <c r="E3" s="92"/>
      <c r="F3" s="92"/>
      <c r="G3" s="92"/>
      <c r="H3" s="92"/>
      <c r="I3" s="92"/>
    </row>
    <row r="4" spans="1:9" ht="15.6" x14ac:dyDescent="0.3">
      <c r="A4" s="1"/>
      <c r="B4" s="92"/>
      <c r="C4" s="92"/>
      <c r="D4" s="92"/>
      <c r="E4" s="92"/>
      <c r="F4" s="92"/>
      <c r="G4" s="92"/>
      <c r="H4" s="92"/>
      <c r="I4" s="92"/>
    </row>
    <row r="5" spans="1:9" s="3" customFormat="1" ht="13.8" x14ac:dyDescent="0.25">
      <c r="A5" s="322" t="s">
        <v>237</v>
      </c>
      <c r="B5" s="323"/>
      <c r="C5" s="323"/>
      <c r="D5" s="323"/>
      <c r="E5" s="323"/>
      <c r="F5" s="323"/>
      <c r="G5" s="323"/>
      <c r="H5" s="323"/>
      <c r="I5" s="324"/>
    </row>
    <row r="6" spans="1:9" s="3" customFormat="1" ht="15.75" customHeight="1" x14ac:dyDescent="0.25">
      <c r="A6" s="325" t="s">
        <v>238</v>
      </c>
      <c r="B6" s="224"/>
      <c r="C6" s="224"/>
      <c r="D6" s="224"/>
      <c r="E6" s="224"/>
      <c r="F6" s="224"/>
      <c r="G6" s="224"/>
      <c r="H6" s="224"/>
      <c r="I6" s="225"/>
    </row>
    <row r="7" spans="1:9" s="3" customFormat="1" ht="15.75" customHeight="1" x14ac:dyDescent="0.25">
      <c r="A7" s="226"/>
      <c r="B7" s="227"/>
      <c r="C7" s="227"/>
      <c r="D7" s="227"/>
      <c r="E7" s="227"/>
      <c r="F7" s="227"/>
      <c r="G7" s="227"/>
      <c r="H7" s="227"/>
      <c r="I7" s="228"/>
    </row>
    <row r="8" spans="1:9" s="3" customFormat="1" ht="15.75" customHeight="1" x14ac:dyDescent="0.25">
      <c r="A8" s="226"/>
      <c r="B8" s="227"/>
      <c r="C8" s="227"/>
      <c r="D8" s="227"/>
      <c r="E8" s="227"/>
      <c r="F8" s="227"/>
      <c r="G8" s="227"/>
      <c r="H8" s="227"/>
      <c r="I8" s="228"/>
    </row>
    <row r="9" spans="1:9" s="3" customFormat="1" ht="15.75" customHeight="1" x14ac:dyDescent="0.25">
      <c r="A9" s="226"/>
      <c r="B9" s="227"/>
      <c r="C9" s="227"/>
      <c r="D9" s="227"/>
      <c r="E9" s="227"/>
      <c r="F9" s="227"/>
      <c r="G9" s="227"/>
      <c r="H9" s="227"/>
      <c r="I9" s="228"/>
    </row>
    <row r="10" spans="1:9" s="3" customFormat="1" ht="15.75" customHeight="1" x14ac:dyDescent="0.25">
      <c r="A10" s="226"/>
      <c r="B10" s="227"/>
      <c r="C10" s="227"/>
      <c r="D10" s="227"/>
      <c r="E10" s="227"/>
      <c r="F10" s="227"/>
      <c r="G10" s="227"/>
      <c r="H10" s="227"/>
      <c r="I10" s="228"/>
    </row>
    <row r="11" spans="1:9" s="3" customFormat="1" ht="15.75" customHeight="1" x14ac:dyDescent="0.25">
      <c r="A11" s="226"/>
      <c r="B11" s="227"/>
      <c r="C11" s="227"/>
      <c r="D11" s="227"/>
      <c r="E11" s="227"/>
      <c r="F11" s="227"/>
      <c r="G11" s="227"/>
      <c r="H11" s="227"/>
      <c r="I11" s="228"/>
    </row>
    <row r="12" spans="1:9" s="3" customFormat="1" ht="15.75" customHeight="1" x14ac:dyDescent="0.25">
      <c r="A12" s="226"/>
      <c r="B12" s="227"/>
      <c r="C12" s="227"/>
      <c r="D12" s="227"/>
      <c r="E12" s="227"/>
      <c r="F12" s="227"/>
      <c r="G12" s="227"/>
      <c r="H12" s="227"/>
      <c r="I12" s="228"/>
    </row>
    <row r="13" spans="1:9" s="3" customFormat="1" ht="15.75" customHeight="1" x14ac:dyDescent="0.25">
      <c r="A13" s="226"/>
      <c r="B13" s="227"/>
      <c r="C13" s="227"/>
      <c r="D13" s="227"/>
      <c r="E13" s="227"/>
      <c r="F13" s="227"/>
      <c r="G13" s="227"/>
      <c r="H13" s="227"/>
      <c r="I13" s="228"/>
    </row>
    <row r="14" spans="1:9" s="3" customFormat="1" ht="15.75" customHeight="1" x14ac:dyDescent="0.25">
      <c r="A14" s="229"/>
      <c r="B14" s="230"/>
      <c r="C14" s="230"/>
      <c r="D14" s="230"/>
      <c r="E14" s="230"/>
      <c r="F14" s="230"/>
      <c r="G14" s="230"/>
      <c r="H14" s="230"/>
      <c r="I14" s="231"/>
    </row>
    <row r="15" spans="1:9" s="3" customFormat="1" ht="13.8" x14ac:dyDescent="0.25"/>
    <row r="16" spans="1:9" s="46" customFormat="1" ht="33.75" customHeight="1" x14ac:dyDescent="0.3">
      <c r="A16" s="310" t="s">
        <v>239</v>
      </c>
      <c r="B16" s="311"/>
      <c r="C16" s="311"/>
      <c r="D16" s="311"/>
      <c r="E16" s="311"/>
      <c r="F16" s="311"/>
      <c r="G16" s="311"/>
      <c r="H16" s="311"/>
      <c r="I16" s="312"/>
    </row>
    <row r="17" spans="1:9" ht="15.75" customHeight="1" x14ac:dyDescent="0.25">
      <c r="A17" s="215" t="s">
        <v>240</v>
      </c>
      <c r="B17" s="216"/>
      <c r="C17" s="216"/>
      <c r="D17" s="216"/>
      <c r="E17" s="216"/>
      <c r="F17" s="216"/>
      <c r="G17" s="216"/>
      <c r="H17" s="216"/>
      <c r="I17" s="217"/>
    </row>
    <row r="18" spans="1:9" ht="15.75" customHeight="1" x14ac:dyDescent="0.25">
      <c r="A18" s="218"/>
      <c r="B18" s="219"/>
      <c r="C18" s="219"/>
      <c r="D18" s="219"/>
      <c r="E18" s="219"/>
      <c r="F18" s="219"/>
      <c r="G18" s="219"/>
      <c r="H18" s="219"/>
      <c r="I18" s="220"/>
    </row>
    <row r="19" spans="1:9" ht="15.75" customHeight="1" x14ac:dyDescent="0.25">
      <c r="A19" s="218"/>
      <c r="B19" s="219"/>
      <c r="C19" s="219"/>
      <c r="D19" s="219"/>
      <c r="E19" s="219"/>
      <c r="F19" s="219"/>
      <c r="G19" s="219"/>
      <c r="H19" s="219"/>
      <c r="I19" s="220"/>
    </row>
    <row r="20" spans="1:9" ht="15.75" customHeight="1" x14ac:dyDescent="0.25">
      <c r="A20" s="218"/>
      <c r="B20" s="219"/>
      <c r="C20" s="219"/>
      <c r="D20" s="219"/>
      <c r="E20" s="219"/>
      <c r="F20" s="219"/>
      <c r="G20" s="219"/>
      <c r="H20" s="219"/>
      <c r="I20" s="220"/>
    </row>
    <row r="21" spans="1:9" ht="15.75" customHeight="1" x14ac:dyDescent="0.25">
      <c r="A21" s="218"/>
      <c r="B21" s="219"/>
      <c r="C21" s="219"/>
      <c r="D21" s="219"/>
      <c r="E21" s="219"/>
      <c r="F21" s="219"/>
      <c r="G21" s="219"/>
      <c r="H21" s="219"/>
      <c r="I21" s="220"/>
    </row>
    <row r="22" spans="1:9" ht="15.75" customHeight="1" x14ac:dyDescent="0.25">
      <c r="A22" s="218"/>
      <c r="B22" s="219"/>
      <c r="C22" s="219"/>
      <c r="D22" s="219"/>
      <c r="E22" s="219"/>
      <c r="F22" s="219"/>
      <c r="G22" s="219"/>
      <c r="H22" s="219"/>
      <c r="I22" s="220"/>
    </row>
    <row r="23" spans="1:9" ht="15.75" customHeight="1" x14ac:dyDescent="0.25">
      <c r="A23" s="218"/>
      <c r="B23" s="219"/>
      <c r="C23" s="219"/>
      <c r="D23" s="219"/>
      <c r="E23" s="219"/>
      <c r="F23" s="219"/>
      <c r="G23" s="219"/>
      <c r="H23" s="219"/>
      <c r="I23" s="220"/>
    </row>
    <row r="24" spans="1:9" ht="15.75" customHeight="1" x14ac:dyDescent="0.25">
      <c r="A24" s="218"/>
      <c r="B24" s="219"/>
      <c r="C24" s="219"/>
      <c r="D24" s="219"/>
      <c r="E24" s="219"/>
      <c r="F24" s="219"/>
      <c r="G24" s="219"/>
      <c r="H24" s="219"/>
      <c r="I24" s="220"/>
    </row>
    <row r="25" spans="1:9" ht="15.75" customHeight="1" x14ac:dyDescent="0.25">
      <c r="A25" s="221"/>
      <c r="B25" s="222"/>
      <c r="C25" s="222"/>
      <c r="D25" s="222"/>
      <c r="E25" s="222"/>
      <c r="F25" s="222"/>
      <c r="G25" s="222"/>
      <c r="H25" s="222"/>
      <c r="I25" s="223"/>
    </row>
    <row r="26" spans="1:9" ht="15.6" x14ac:dyDescent="0.3">
      <c r="A26" s="1"/>
      <c r="B26" s="92"/>
      <c r="C26" s="92"/>
      <c r="D26" s="92"/>
      <c r="E26" s="92"/>
      <c r="F26" s="92"/>
      <c r="G26" s="92"/>
      <c r="H26" s="92"/>
      <c r="I26" s="92"/>
    </row>
    <row r="27" spans="1:9" ht="36.75" customHeight="1" x14ac:dyDescent="0.25">
      <c r="A27" s="310" t="s">
        <v>241</v>
      </c>
      <c r="B27" s="311"/>
      <c r="C27" s="311"/>
      <c r="D27" s="311"/>
      <c r="E27" s="311"/>
      <c r="F27" s="311"/>
      <c r="G27" s="311"/>
      <c r="H27" s="311"/>
      <c r="I27" s="312"/>
    </row>
    <row r="28" spans="1:9" ht="15.75" customHeight="1" x14ac:dyDescent="0.25">
      <c r="A28" s="325" t="s">
        <v>242</v>
      </c>
      <c r="B28" s="224"/>
      <c r="C28" s="224"/>
      <c r="D28" s="224"/>
      <c r="E28" s="224"/>
      <c r="F28" s="224"/>
      <c r="G28" s="224"/>
      <c r="H28" s="224"/>
      <c r="I28" s="225"/>
    </row>
    <row r="29" spans="1:9" ht="15.75" customHeight="1" x14ac:dyDescent="0.25">
      <c r="A29" s="226"/>
      <c r="B29" s="227"/>
      <c r="C29" s="227"/>
      <c r="D29" s="227"/>
      <c r="E29" s="227"/>
      <c r="F29" s="227"/>
      <c r="G29" s="227"/>
      <c r="H29" s="227"/>
      <c r="I29" s="228"/>
    </row>
    <row r="30" spans="1:9" ht="15.75" customHeight="1" x14ac:dyDescent="0.25">
      <c r="A30" s="226"/>
      <c r="B30" s="227"/>
      <c r="C30" s="227"/>
      <c r="D30" s="227"/>
      <c r="E30" s="227"/>
      <c r="F30" s="227"/>
      <c r="G30" s="227"/>
      <c r="H30" s="227"/>
      <c r="I30" s="228"/>
    </row>
    <row r="31" spans="1:9" ht="15.75" customHeight="1" x14ac:dyDescent="0.25">
      <c r="A31" s="226"/>
      <c r="B31" s="227"/>
      <c r="C31" s="227"/>
      <c r="D31" s="227"/>
      <c r="E31" s="227"/>
      <c r="F31" s="227"/>
      <c r="G31" s="227"/>
      <c r="H31" s="227"/>
      <c r="I31" s="228"/>
    </row>
    <row r="32" spans="1:9" ht="15.75" customHeight="1" x14ac:dyDescent="0.25">
      <c r="A32" s="226"/>
      <c r="B32" s="227"/>
      <c r="C32" s="227"/>
      <c r="D32" s="227"/>
      <c r="E32" s="227"/>
      <c r="F32" s="227"/>
      <c r="G32" s="227"/>
      <c r="H32" s="227"/>
      <c r="I32" s="228"/>
    </row>
    <row r="33" spans="1:9" ht="15.75" customHeight="1" x14ac:dyDescent="0.25">
      <c r="A33" s="226"/>
      <c r="B33" s="227"/>
      <c r="C33" s="227"/>
      <c r="D33" s="227"/>
      <c r="E33" s="227"/>
      <c r="F33" s="227"/>
      <c r="G33" s="227"/>
      <c r="H33" s="227"/>
      <c r="I33" s="228"/>
    </row>
    <row r="34" spans="1:9" ht="15.75" customHeight="1" x14ac:dyDescent="0.25">
      <c r="A34" s="226"/>
      <c r="B34" s="227"/>
      <c r="C34" s="227"/>
      <c r="D34" s="227"/>
      <c r="E34" s="227"/>
      <c r="F34" s="227"/>
      <c r="G34" s="227"/>
      <c r="H34" s="227"/>
      <c r="I34" s="228"/>
    </row>
    <row r="35" spans="1:9" ht="15.75" customHeight="1" x14ac:dyDescent="0.25">
      <c r="A35" s="226"/>
      <c r="B35" s="227"/>
      <c r="C35" s="227"/>
      <c r="D35" s="227"/>
      <c r="E35" s="227"/>
      <c r="F35" s="227"/>
      <c r="G35" s="227"/>
      <c r="H35" s="227"/>
      <c r="I35" s="228"/>
    </row>
    <row r="36" spans="1:9" ht="15.75" customHeight="1" x14ac:dyDescent="0.25">
      <c r="A36" s="229"/>
      <c r="B36" s="230"/>
      <c r="C36" s="230"/>
      <c r="D36" s="230"/>
      <c r="E36" s="230"/>
      <c r="F36" s="230"/>
      <c r="G36" s="230"/>
      <c r="H36" s="230"/>
      <c r="I36" s="231"/>
    </row>
    <row r="38" spans="1:9" ht="33" customHeight="1" x14ac:dyDescent="0.25">
      <c r="A38" s="310" t="s">
        <v>243</v>
      </c>
      <c r="B38" s="311"/>
      <c r="C38" s="311"/>
      <c r="D38" s="311"/>
      <c r="E38" s="311"/>
      <c r="F38" s="311"/>
      <c r="G38" s="311"/>
      <c r="H38" s="311"/>
      <c r="I38" s="312"/>
    </row>
    <row r="39" spans="1:9" ht="15.75" customHeight="1" x14ac:dyDescent="0.25">
      <c r="A39" s="313"/>
      <c r="B39" s="314"/>
      <c r="C39" s="314"/>
      <c r="D39" s="314"/>
      <c r="E39" s="314"/>
      <c r="F39" s="314"/>
      <c r="G39" s="314"/>
      <c r="H39" s="314"/>
      <c r="I39" s="315"/>
    </row>
    <row r="40" spans="1:9" ht="15.75" customHeight="1" x14ac:dyDescent="0.25">
      <c r="A40" s="316"/>
      <c r="B40" s="317"/>
      <c r="C40" s="317"/>
      <c r="D40" s="317"/>
      <c r="E40" s="317"/>
      <c r="F40" s="317"/>
      <c r="G40" s="317"/>
      <c r="H40" s="317"/>
      <c r="I40" s="318"/>
    </row>
    <row r="41" spans="1:9" ht="15.75" customHeight="1" x14ac:dyDescent="0.25">
      <c r="A41" s="316"/>
      <c r="B41" s="317"/>
      <c r="C41" s="317"/>
      <c r="D41" s="317"/>
      <c r="E41" s="317"/>
      <c r="F41" s="317"/>
      <c r="G41" s="317"/>
      <c r="H41" s="317"/>
      <c r="I41" s="318"/>
    </row>
    <row r="42" spans="1:9" ht="15.75" customHeight="1" x14ac:dyDescent="0.25">
      <c r="A42" s="316"/>
      <c r="B42" s="317"/>
      <c r="C42" s="317"/>
      <c r="D42" s="317"/>
      <c r="E42" s="317"/>
      <c r="F42" s="317"/>
      <c r="G42" s="317"/>
      <c r="H42" s="317"/>
      <c r="I42" s="318"/>
    </row>
    <row r="43" spans="1:9" ht="15.75" customHeight="1" x14ac:dyDescent="0.25">
      <c r="A43" s="316"/>
      <c r="B43" s="317"/>
      <c r="C43" s="317"/>
      <c r="D43" s="317"/>
      <c r="E43" s="317"/>
      <c r="F43" s="317"/>
      <c r="G43" s="317"/>
      <c r="H43" s="317"/>
      <c r="I43" s="318"/>
    </row>
    <row r="44" spans="1:9" ht="15.75" customHeight="1" x14ac:dyDescent="0.25">
      <c r="A44" s="316"/>
      <c r="B44" s="317"/>
      <c r="C44" s="317"/>
      <c r="D44" s="317"/>
      <c r="E44" s="317"/>
      <c r="F44" s="317"/>
      <c r="G44" s="317"/>
      <c r="H44" s="317"/>
      <c r="I44" s="318"/>
    </row>
    <row r="45" spans="1:9" ht="15.75" customHeight="1" x14ac:dyDescent="0.25">
      <c r="A45" s="316"/>
      <c r="B45" s="317"/>
      <c r="C45" s="317"/>
      <c r="D45" s="317"/>
      <c r="E45" s="317"/>
      <c r="F45" s="317"/>
      <c r="G45" s="317"/>
      <c r="H45" s="317"/>
      <c r="I45" s="318"/>
    </row>
    <row r="46" spans="1:9" ht="15.75" customHeight="1" x14ac:dyDescent="0.25">
      <c r="A46" s="316"/>
      <c r="B46" s="317"/>
      <c r="C46" s="317"/>
      <c r="D46" s="317"/>
      <c r="E46" s="317"/>
      <c r="F46" s="317"/>
      <c r="G46" s="317"/>
      <c r="H46" s="317"/>
      <c r="I46" s="318"/>
    </row>
    <row r="47" spans="1:9" ht="15.75" customHeight="1" x14ac:dyDescent="0.25">
      <c r="A47" s="316"/>
      <c r="B47" s="317"/>
      <c r="C47" s="317"/>
      <c r="D47" s="317"/>
      <c r="E47" s="317"/>
      <c r="F47" s="317"/>
      <c r="G47" s="317"/>
      <c r="H47" s="317"/>
      <c r="I47" s="318"/>
    </row>
    <row r="48" spans="1:9" ht="15.75" customHeight="1" x14ac:dyDescent="0.25">
      <c r="A48" s="319"/>
      <c r="B48" s="320"/>
      <c r="C48" s="320"/>
      <c r="D48" s="320"/>
      <c r="E48" s="320"/>
      <c r="F48" s="320"/>
      <c r="G48" s="320"/>
      <c r="H48" s="320"/>
      <c r="I48" s="321"/>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D54" sqref="D54"/>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Lincolnshire Energy from Waste Facility</v>
      </c>
      <c r="F1" s="92"/>
      <c r="G1" s="92"/>
      <c r="H1" s="92"/>
      <c r="I1" s="92"/>
    </row>
    <row r="3" spans="1:9" ht="15.6" x14ac:dyDescent="0.3">
      <c r="A3" s="1" t="s">
        <v>244</v>
      </c>
      <c r="B3" s="92"/>
      <c r="C3" s="92"/>
      <c r="D3" s="92"/>
      <c r="E3" s="92"/>
      <c r="F3" s="92"/>
      <c r="G3" s="92"/>
      <c r="H3" s="92"/>
      <c r="I3" s="92"/>
    </row>
    <row r="4" spans="1:9" ht="15.6" x14ac:dyDescent="0.3">
      <c r="A4" s="1"/>
      <c r="B4" s="92"/>
      <c r="C4" s="92"/>
      <c r="D4" s="92"/>
      <c r="E4" s="92"/>
      <c r="F4" s="92"/>
      <c r="G4" s="92"/>
      <c r="H4" s="92"/>
      <c r="I4" s="92"/>
    </row>
    <row r="5" spans="1:9" s="3" customFormat="1" ht="28.5" customHeight="1" x14ac:dyDescent="0.25">
      <c r="A5" s="47" t="s">
        <v>245</v>
      </c>
      <c r="B5" s="48"/>
      <c r="C5" s="48"/>
      <c r="D5" s="48"/>
      <c r="E5" s="48"/>
      <c r="F5" s="48"/>
      <c r="G5" s="48"/>
      <c r="H5" s="48"/>
      <c r="I5" s="49"/>
    </row>
    <row r="6" spans="1:9" s="3" customFormat="1" ht="15.75" customHeight="1" x14ac:dyDescent="0.25">
      <c r="A6" s="322" t="s">
        <v>52</v>
      </c>
      <c r="B6" s="324"/>
      <c r="C6" s="322" t="s">
        <v>246</v>
      </c>
      <c r="D6" s="323"/>
      <c r="E6" s="323"/>
      <c r="F6" s="323"/>
      <c r="G6" s="323"/>
      <c r="H6" s="323"/>
      <c r="I6" s="324"/>
    </row>
    <row r="7" spans="1:9" s="3" customFormat="1" ht="15.75" customHeight="1" x14ac:dyDescent="0.25">
      <c r="A7" s="326">
        <v>44730</v>
      </c>
      <c r="B7" s="225"/>
      <c r="C7" s="325" t="s">
        <v>247</v>
      </c>
      <c r="D7" s="224"/>
      <c r="E7" s="224"/>
      <c r="F7" s="224"/>
      <c r="G7" s="224"/>
      <c r="H7" s="224"/>
      <c r="I7" s="225"/>
    </row>
    <row r="8" spans="1:9" s="3" customFormat="1" ht="15.75" customHeight="1" x14ac:dyDescent="0.25">
      <c r="A8" s="229"/>
      <c r="B8" s="231"/>
      <c r="C8" s="229"/>
      <c r="D8" s="230"/>
      <c r="E8" s="230"/>
      <c r="F8" s="230"/>
      <c r="G8" s="230"/>
      <c r="H8" s="230"/>
      <c r="I8" s="231"/>
    </row>
    <row r="9" spans="1:9" s="3" customFormat="1" ht="15.75" customHeight="1" x14ac:dyDescent="0.25">
      <c r="A9" s="325"/>
      <c r="B9" s="225"/>
      <c r="C9" s="325"/>
      <c r="D9" s="224"/>
      <c r="E9" s="224"/>
      <c r="F9" s="224"/>
      <c r="G9" s="224"/>
      <c r="H9" s="224"/>
      <c r="I9" s="225"/>
    </row>
    <row r="10" spans="1:9" s="3" customFormat="1" ht="15.75" customHeight="1" x14ac:dyDescent="0.25">
      <c r="A10" s="229"/>
      <c r="B10" s="231"/>
      <c r="C10" s="229"/>
      <c r="D10" s="230"/>
      <c r="E10" s="230"/>
      <c r="F10" s="230"/>
      <c r="G10" s="230"/>
      <c r="H10" s="230"/>
      <c r="I10" s="231"/>
    </row>
    <row r="11" spans="1:9" s="3" customFormat="1" ht="15.75" customHeight="1" x14ac:dyDescent="0.25">
      <c r="A11" s="325"/>
      <c r="B11" s="225"/>
      <c r="C11" s="325"/>
      <c r="D11" s="224"/>
      <c r="E11" s="224"/>
      <c r="F11" s="224"/>
      <c r="G11" s="224"/>
      <c r="H11" s="224"/>
      <c r="I11" s="225"/>
    </row>
    <row r="12" spans="1:9" s="3" customFormat="1" ht="15.75" customHeight="1" x14ac:dyDescent="0.25">
      <c r="A12" s="229"/>
      <c r="B12" s="231"/>
      <c r="C12" s="229"/>
      <c r="D12" s="230"/>
      <c r="E12" s="230"/>
      <c r="F12" s="230"/>
      <c r="G12" s="230"/>
      <c r="H12" s="230"/>
      <c r="I12" s="231"/>
    </row>
    <row r="13" spans="1:9" s="3" customFormat="1" ht="15.75" customHeight="1" x14ac:dyDescent="0.25">
      <c r="A13" s="325"/>
      <c r="B13" s="225"/>
      <c r="C13" s="325"/>
      <c r="D13" s="224"/>
      <c r="E13" s="224"/>
      <c r="F13" s="224"/>
      <c r="G13" s="224"/>
      <c r="H13" s="224"/>
      <c r="I13" s="225"/>
    </row>
    <row r="14" spans="1:9" s="3" customFormat="1" ht="15.75" customHeight="1" x14ac:dyDescent="0.25">
      <c r="A14" s="229"/>
      <c r="B14" s="231"/>
      <c r="C14" s="229"/>
      <c r="D14" s="230"/>
      <c r="E14" s="230"/>
      <c r="F14" s="230"/>
      <c r="G14" s="230"/>
      <c r="H14" s="230"/>
      <c r="I14" s="231"/>
    </row>
    <row r="15" spans="1:9" s="3" customFormat="1" ht="13.8" x14ac:dyDescent="0.25"/>
    <row r="16" spans="1:9" s="46" customFormat="1" ht="33.75" customHeight="1" x14ac:dyDescent="0.3">
      <c r="A16" s="310" t="s">
        <v>248</v>
      </c>
      <c r="B16" s="311"/>
      <c r="C16" s="311"/>
      <c r="D16" s="311"/>
      <c r="E16" s="311"/>
      <c r="F16" s="311"/>
      <c r="G16" s="311"/>
      <c r="H16" s="311"/>
      <c r="I16" s="312"/>
    </row>
    <row r="17" spans="1:9" ht="15.75" customHeight="1" x14ac:dyDescent="0.25">
      <c r="A17" s="322" t="s">
        <v>52</v>
      </c>
      <c r="B17" s="324"/>
      <c r="C17" s="322" t="s">
        <v>246</v>
      </c>
      <c r="D17" s="323"/>
      <c r="E17" s="323"/>
      <c r="F17" s="323"/>
      <c r="G17" s="323"/>
      <c r="H17" s="323"/>
      <c r="I17" s="323"/>
    </row>
    <row r="18" spans="1:9" ht="15.75" customHeight="1" x14ac:dyDescent="0.25">
      <c r="A18" s="326">
        <v>45240</v>
      </c>
      <c r="B18" s="225"/>
      <c r="C18" s="325" t="s">
        <v>249</v>
      </c>
      <c r="D18" s="224"/>
      <c r="E18" s="224"/>
      <c r="F18" s="224"/>
      <c r="G18" s="224"/>
      <c r="H18" s="224"/>
      <c r="I18" s="225"/>
    </row>
    <row r="19" spans="1:9" ht="15.75" customHeight="1" x14ac:dyDescent="0.25">
      <c r="A19" s="229"/>
      <c r="B19" s="231"/>
      <c r="C19" s="229"/>
      <c r="D19" s="230"/>
      <c r="E19" s="230"/>
      <c r="F19" s="230"/>
      <c r="G19" s="230"/>
      <c r="H19" s="230"/>
      <c r="I19" s="231"/>
    </row>
    <row r="20" spans="1:9" ht="15.75" customHeight="1" x14ac:dyDescent="0.25">
      <c r="A20" s="325"/>
      <c r="B20" s="225"/>
      <c r="C20" s="325"/>
      <c r="D20" s="224"/>
      <c r="E20" s="224"/>
      <c r="F20" s="224"/>
      <c r="G20" s="224"/>
      <c r="H20" s="224"/>
      <c r="I20" s="225"/>
    </row>
    <row r="21" spans="1:9" ht="15.75" customHeight="1" x14ac:dyDescent="0.25">
      <c r="A21" s="229"/>
      <c r="B21" s="231"/>
      <c r="C21" s="229"/>
      <c r="D21" s="230"/>
      <c r="E21" s="230"/>
      <c r="F21" s="230"/>
      <c r="G21" s="230"/>
      <c r="H21" s="230"/>
      <c r="I21" s="231"/>
    </row>
    <row r="22" spans="1:9" ht="15.75" customHeight="1" x14ac:dyDescent="0.25">
      <c r="A22" s="325"/>
      <c r="B22" s="225"/>
      <c r="C22" s="325"/>
      <c r="D22" s="224"/>
      <c r="E22" s="224"/>
      <c r="F22" s="224"/>
      <c r="G22" s="224"/>
      <c r="H22" s="224"/>
      <c r="I22" s="225"/>
    </row>
    <row r="23" spans="1:9" ht="15.75" customHeight="1" x14ac:dyDescent="0.25">
      <c r="A23" s="229"/>
      <c r="B23" s="231"/>
      <c r="C23" s="229"/>
      <c r="D23" s="230"/>
      <c r="E23" s="230"/>
      <c r="F23" s="230"/>
      <c r="G23" s="230"/>
      <c r="H23" s="230"/>
      <c r="I23" s="231"/>
    </row>
    <row r="24" spans="1:9" ht="15.75" customHeight="1" x14ac:dyDescent="0.25">
      <c r="A24" s="325"/>
      <c r="B24" s="225"/>
      <c r="C24" s="325"/>
      <c r="D24" s="224"/>
      <c r="E24" s="224"/>
      <c r="F24" s="224"/>
      <c r="G24" s="224"/>
      <c r="H24" s="224"/>
      <c r="I24" s="225"/>
    </row>
    <row r="25" spans="1:9" ht="15.75" customHeight="1" x14ac:dyDescent="0.25">
      <c r="A25" s="229"/>
      <c r="B25" s="231"/>
      <c r="C25" s="229"/>
      <c r="D25" s="230"/>
      <c r="E25" s="230"/>
      <c r="F25" s="230"/>
      <c r="G25" s="230"/>
      <c r="H25" s="230"/>
      <c r="I25" s="231"/>
    </row>
    <row r="26" spans="1:9" ht="15.75" customHeight="1" x14ac:dyDescent="0.25">
      <c r="A26" s="325"/>
      <c r="B26" s="225"/>
      <c r="C26" s="325"/>
      <c r="D26" s="224"/>
      <c r="E26" s="224"/>
      <c r="F26" s="224"/>
      <c r="G26" s="224"/>
      <c r="H26" s="224"/>
      <c r="I26" s="225"/>
    </row>
    <row r="27" spans="1:9" ht="15.75" customHeight="1" x14ac:dyDescent="0.25">
      <c r="A27" s="229"/>
      <c r="B27" s="231"/>
      <c r="C27" s="229"/>
      <c r="D27" s="230"/>
      <c r="E27" s="230"/>
      <c r="F27" s="230"/>
      <c r="G27" s="230"/>
      <c r="H27" s="230"/>
      <c r="I27" s="231"/>
    </row>
    <row r="28" spans="1:9" ht="15.6" x14ac:dyDescent="0.3">
      <c r="A28" s="1"/>
      <c r="B28" s="92"/>
      <c r="C28" s="92"/>
      <c r="D28" s="92"/>
      <c r="E28" s="92"/>
      <c r="F28" s="92"/>
      <c r="G28" s="92"/>
      <c r="H28" s="92"/>
      <c r="I28" s="92"/>
    </row>
    <row r="29" spans="1:9" ht="36.75" customHeight="1" x14ac:dyDescent="0.25">
      <c r="A29" s="310" t="s">
        <v>250</v>
      </c>
      <c r="B29" s="311"/>
      <c r="C29" s="311"/>
      <c r="D29" s="311"/>
      <c r="E29" s="311"/>
      <c r="F29" s="311"/>
      <c r="G29" s="311"/>
      <c r="H29" s="311"/>
      <c r="I29" s="312"/>
    </row>
    <row r="66" spans="6:6" x14ac:dyDescent="0.25">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sheetPr>
  <dimension ref="A1:O24"/>
  <sheetViews>
    <sheetView topLeftCell="A15" workbookViewId="0">
      <selection activeCell="D54" sqref="D54"/>
    </sheetView>
  </sheetViews>
  <sheetFormatPr defaultColWidth="8.88671875" defaultRowHeight="15" x14ac:dyDescent="0.25"/>
  <cols>
    <col min="1" max="1" width="36.6640625" style="92" customWidth="1"/>
    <col min="2" max="2" width="17.6640625" style="92" customWidth="1"/>
    <col min="3" max="3" width="37.33203125" style="92" customWidth="1"/>
    <col min="4" max="14" width="8.88671875" style="92"/>
    <col min="15" max="15" width="9" style="92" customWidth="1"/>
    <col min="16" max="16384" width="8.88671875" style="92"/>
  </cols>
  <sheetData>
    <row r="1" spans="1:15" x14ac:dyDescent="0.25">
      <c r="A1" s="92" t="str">
        <f>+'Cover Page'!$B$29</f>
        <v>Annual Performance Report 2022</v>
      </c>
      <c r="C1" s="92" t="str">
        <f>+'Cover Page'!$B$33</f>
        <v>Lincolnshire Energy from Waste Facility</v>
      </c>
    </row>
    <row r="2" spans="1:15" ht="10.199999999999999" customHeight="1" x14ac:dyDescent="0.25"/>
    <row r="3" spans="1:15" ht="15.6" x14ac:dyDescent="0.3">
      <c r="A3" s="1" t="s">
        <v>251</v>
      </c>
      <c r="E3" s="80" t="s">
        <v>3</v>
      </c>
    </row>
    <row r="4" spans="1:15" ht="9.4499999999999993" customHeight="1" x14ac:dyDescent="0.25"/>
    <row r="5" spans="1:15" x14ac:dyDescent="0.25">
      <c r="A5" s="327" t="s">
        <v>252</v>
      </c>
      <c r="B5" s="328"/>
      <c r="C5" s="328"/>
    </row>
    <row r="6" spans="1:15" ht="30" x14ac:dyDescent="0.25">
      <c r="A6" s="93" t="s">
        <v>253</v>
      </c>
      <c r="B6" s="97" t="s">
        <v>254</v>
      </c>
      <c r="C6" s="96">
        <v>202572</v>
      </c>
    </row>
    <row r="7" spans="1:15" ht="30" x14ac:dyDescent="0.25">
      <c r="A7" s="93" t="s">
        <v>255</v>
      </c>
      <c r="B7" s="97" t="s">
        <v>254</v>
      </c>
      <c r="C7" s="96">
        <v>1.18</v>
      </c>
    </row>
    <row r="8" spans="1:15" ht="45" x14ac:dyDescent="0.25">
      <c r="A8" s="93" t="s">
        <v>256</v>
      </c>
      <c r="B8" s="97" t="s">
        <v>254</v>
      </c>
      <c r="C8" s="96">
        <v>2.06</v>
      </c>
    </row>
    <row r="9" spans="1:15" ht="89.4" customHeight="1" x14ac:dyDescent="0.3">
      <c r="A9" s="93" t="s">
        <v>257</v>
      </c>
      <c r="B9" s="329" t="s">
        <v>258</v>
      </c>
      <c r="C9" s="330"/>
      <c r="E9" s="335" t="s">
        <v>259</v>
      </c>
      <c r="F9" s="334"/>
      <c r="G9" s="334"/>
      <c r="H9" s="334"/>
      <c r="I9" s="334"/>
      <c r="J9" s="334"/>
      <c r="K9" s="334"/>
      <c r="L9" s="334"/>
      <c r="M9" s="334"/>
      <c r="N9" s="334"/>
      <c r="O9" s="334"/>
    </row>
    <row r="10" spans="1:15" ht="8.6999999999999993" customHeight="1" x14ac:dyDescent="0.25">
      <c r="A10" s="94"/>
      <c r="B10" s="95"/>
      <c r="C10" s="95"/>
    </row>
    <row r="11" spans="1:15" x14ac:dyDescent="0.25">
      <c r="A11" s="331" t="s">
        <v>260</v>
      </c>
      <c r="B11" s="328"/>
      <c r="C11" s="328"/>
    </row>
    <row r="12" spans="1:15" ht="33.450000000000003" customHeight="1" x14ac:dyDescent="0.25">
      <c r="A12" s="93" t="s">
        <v>261</v>
      </c>
      <c r="B12" s="97" t="s">
        <v>254</v>
      </c>
      <c r="C12" s="96">
        <v>1.796</v>
      </c>
    </row>
    <row r="13" spans="1:15" ht="101.4" customHeight="1" x14ac:dyDescent="0.3">
      <c r="A13" s="93" t="s">
        <v>262</v>
      </c>
      <c r="B13" s="332" t="s">
        <v>263</v>
      </c>
      <c r="C13" s="333"/>
      <c r="E13" s="232" t="s">
        <v>264</v>
      </c>
      <c r="F13" s="334"/>
      <c r="G13" s="334"/>
      <c r="H13" s="334"/>
      <c r="I13" s="334"/>
      <c r="J13" s="334"/>
      <c r="K13" s="334"/>
      <c r="L13" s="334"/>
      <c r="M13" s="334"/>
      <c r="N13" s="334"/>
      <c r="O13" s="334"/>
    </row>
    <row r="14" spans="1:15" ht="58.95" customHeight="1" x14ac:dyDescent="0.25">
      <c r="A14" s="93" t="s">
        <v>265</v>
      </c>
      <c r="B14" s="98" t="s">
        <v>266</v>
      </c>
      <c r="C14" s="107">
        <v>202928</v>
      </c>
    </row>
    <row r="15" spans="1:15" ht="6.45" customHeight="1" x14ac:dyDescent="0.25">
      <c r="A15" s="94"/>
      <c r="B15" s="95"/>
      <c r="C15" s="95"/>
    </row>
    <row r="16" spans="1:15" ht="39" customHeight="1" x14ac:dyDescent="0.25">
      <c r="A16" s="327" t="s">
        <v>267</v>
      </c>
      <c r="B16" s="328"/>
      <c r="C16" s="328"/>
    </row>
    <row r="17" spans="1:15" ht="49.2" customHeight="1" x14ac:dyDescent="0.25">
      <c r="A17" s="93" t="s">
        <v>268</v>
      </c>
      <c r="B17" s="97" t="s">
        <v>130</v>
      </c>
      <c r="C17" s="108">
        <v>0.63319999999999999</v>
      </c>
    </row>
    <row r="18" spans="1:15" ht="103.2" customHeight="1" x14ac:dyDescent="0.3">
      <c r="A18" s="93" t="s">
        <v>269</v>
      </c>
      <c r="B18" s="332" t="s">
        <v>270</v>
      </c>
      <c r="C18" s="333"/>
      <c r="E18" s="232" t="s">
        <v>271</v>
      </c>
      <c r="F18" s="334"/>
      <c r="G18" s="334"/>
      <c r="H18" s="334"/>
      <c r="I18" s="334"/>
      <c r="J18" s="334"/>
      <c r="K18" s="334"/>
      <c r="L18" s="334"/>
      <c r="M18" s="334"/>
      <c r="N18" s="334"/>
      <c r="O18" s="334"/>
    </row>
    <row r="19" spans="1:15" ht="34.200000000000003" customHeight="1" x14ac:dyDescent="0.25">
      <c r="A19" s="93" t="s">
        <v>272</v>
      </c>
      <c r="B19" s="97" t="s">
        <v>130</v>
      </c>
      <c r="C19" s="108">
        <v>0.63319999999999999</v>
      </c>
    </row>
    <row r="20" spans="1:15" ht="92.4" customHeight="1" x14ac:dyDescent="0.3">
      <c r="A20" s="93" t="s">
        <v>273</v>
      </c>
      <c r="B20" s="332" t="s">
        <v>274</v>
      </c>
      <c r="C20" s="333"/>
      <c r="E20" s="232" t="s">
        <v>275</v>
      </c>
      <c r="F20" s="334"/>
      <c r="G20" s="334"/>
      <c r="H20" s="334"/>
      <c r="I20" s="334"/>
      <c r="J20" s="334"/>
      <c r="K20" s="334"/>
      <c r="L20" s="334"/>
      <c r="M20" s="334"/>
      <c r="N20" s="334"/>
      <c r="O20" s="334"/>
    </row>
    <row r="21" spans="1:15" ht="10.199999999999999" customHeight="1" x14ac:dyDescent="0.25"/>
    <row r="22" spans="1:15" x14ac:dyDescent="0.25">
      <c r="A22" s="92" t="s">
        <v>276</v>
      </c>
    </row>
    <row r="23" spans="1:15" x14ac:dyDescent="0.25">
      <c r="A23" s="283"/>
      <c r="B23" s="283"/>
      <c r="C23" s="283"/>
    </row>
    <row r="24" spans="1:15" ht="64.95" customHeight="1" x14ac:dyDescent="0.25">
      <c r="A24" s="283"/>
      <c r="B24" s="283"/>
      <c r="C24" s="283"/>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K56"/>
  <sheetViews>
    <sheetView workbookViewId="0">
      <selection activeCell="F32" sqref="F32:G32"/>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2" t="str">
        <f>+'Cover Page'!$B$29</f>
        <v>Annual Performance Report 2022</v>
      </c>
      <c r="B1" s="92"/>
      <c r="C1" s="92"/>
      <c r="D1" s="92"/>
      <c r="E1" s="92" t="str">
        <f>+'Cover Page'!$B$33</f>
        <v>Lincolnshire Energy from Waste Facility</v>
      </c>
      <c r="F1" s="92"/>
      <c r="G1" s="92"/>
    </row>
    <row r="3" spans="1:7" ht="15.6" x14ac:dyDescent="0.3">
      <c r="A3" s="1" t="s">
        <v>277</v>
      </c>
      <c r="B3" s="92"/>
      <c r="C3" s="92"/>
      <c r="D3" s="92"/>
      <c r="E3" s="92"/>
      <c r="F3" s="92"/>
      <c r="G3" s="92"/>
    </row>
    <row r="4" spans="1:7" ht="15.6" x14ac:dyDescent="0.3">
      <c r="A4" s="1"/>
      <c r="B4" s="92"/>
      <c r="C4" s="92"/>
      <c r="D4" s="92"/>
      <c r="E4" s="92"/>
      <c r="F4" s="92"/>
      <c r="G4" s="92"/>
    </row>
    <row r="5" spans="1:7" s="3" customFormat="1" ht="21.75" customHeight="1" x14ac:dyDescent="0.25">
      <c r="A5" s="47" t="s">
        <v>278</v>
      </c>
      <c r="B5" s="48"/>
      <c r="C5" s="48"/>
      <c r="D5" s="48"/>
      <c r="E5" s="48"/>
      <c r="F5" s="48"/>
      <c r="G5" s="49"/>
    </row>
    <row r="6" spans="1:7" s="3" customFormat="1" ht="15.75" customHeight="1" x14ac:dyDescent="0.25">
      <c r="A6" s="215" t="s">
        <v>279</v>
      </c>
      <c r="B6" s="224"/>
      <c r="C6" s="224"/>
      <c r="D6" s="224"/>
      <c r="E6" s="224"/>
      <c r="F6" s="224"/>
      <c r="G6" s="225"/>
    </row>
    <row r="7" spans="1:7" s="3" customFormat="1" ht="15.75" customHeight="1" x14ac:dyDescent="0.25">
      <c r="A7" s="229"/>
      <c r="B7" s="230"/>
      <c r="C7" s="230"/>
      <c r="D7" s="230"/>
      <c r="E7" s="230"/>
      <c r="F7" s="230"/>
      <c r="G7" s="231"/>
    </row>
    <row r="8" spans="1:7" s="3" customFormat="1" ht="15.75" customHeight="1" x14ac:dyDescent="0.25">
      <c r="A8" s="215" t="s">
        <v>280</v>
      </c>
      <c r="B8" s="216"/>
      <c r="C8" s="216"/>
      <c r="D8" s="216"/>
      <c r="E8" s="216"/>
      <c r="F8" s="216"/>
      <c r="G8" s="217"/>
    </row>
    <row r="9" spans="1:7" s="3" customFormat="1" ht="15.75" customHeight="1" x14ac:dyDescent="0.25">
      <c r="A9" s="221"/>
      <c r="B9" s="222"/>
      <c r="C9" s="222"/>
      <c r="D9" s="222"/>
      <c r="E9" s="222"/>
      <c r="F9" s="222"/>
      <c r="G9" s="223"/>
    </row>
    <row r="10" spans="1:7" s="3" customFormat="1" ht="15.75" customHeight="1" x14ac:dyDescent="0.25">
      <c r="A10" s="215"/>
      <c r="B10" s="216"/>
      <c r="C10" s="216"/>
      <c r="D10" s="216"/>
      <c r="E10" s="216"/>
      <c r="F10" s="216"/>
      <c r="G10" s="217"/>
    </row>
    <row r="11" spans="1:7" s="3" customFormat="1" ht="15.75" customHeight="1" x14ac:dyDescent="0.25">
      <c r="A11" s="221"/>
      <c r="B11" s="222"/>
      <c r="C11" s="222"/>
      <c r="D11" s="222"/>
      <c r="E11" s="222"/>
      <c r="F11" s="222"/>
      <c r="G11" s="223"/>
    </row>
    <row r="12" spans="1:7" s="3" customFormat="1" ht="13.8" x14ac:dyDescent="0.25"/>
    <row r="13" spans="1:7" s="46" customFormat="1" ht="33.75" customHeight="1" x14ac:dyDescent="0.3">
      <c r="A13" s="310" t="s">
        <v>281</v>
      </c>
      <c r="B13" s="311"/>
      <c r="C13" s="311"/>
      <c r="D13" s="311"/>
      <c r="E13" s="311"/>
      <c r="F13" s="311"/>
      <c r="G13" s="312"/>
    </row>
    <row r="14" spans="1:7" ht="15.75" customHeight="1" x14ac:dyDescent="0.25">
      <c r="A14" s="322" t="s">
        <v>282</v>
      </c>
      <c r="B14" s="324"/>
      <c r="C14" s="322" t="s">
        <v>246</v>
      </c>
      <c r="D14" s="323"/>
      <c r="E14" s="323"/>
      <c r="F14" s="323"/>
      <c r="G14" s="323"/>
    </row>
    <row r="15" spans="1:7" ht="15.75" customHeight="1" x14ac:dyDescent="0.25">
      <c r="A15" s="215"/>
      <c r="B15" s="217"/>
      <c r="C15" s="325"/>
      <c r="D15" s="224"/>
      <c r="E15" s="224"/>
      <c r="F15" s="224"/>
      <c r="G15" s="225"/>
    </row>
    <row r="16" spans="1:7" ht="15.75" customHeight="1" x14ac:dyDescent="0.25">
      <c r="A16" s="221"/>
      <c r="B16" s="223"/>
      <c r="C16" s="229"/>
      <c r="D16" s="230"/>
      <c r="E16" s="230"/>
      <c r="F16" s="230"/>
      <c r="G16" s="231"/>
    </row>
    <row r="17" spans="1:11" ht="15.75" customHeight="1" x14ac:dyDescent="0.25">
      <c r="A17" s="325"/>
      <c r="B17" s="225"/>
      <c r="C17" s="325"/>
      <c r="D17" s="224"/>
      <c r="E17" s="224"/>
      <c r="F17" s="224"/>
      <c r="G17" s="225"/>
      <c r="H17" s="92"/>
      <c r="I17" s="92"/>
      <c r="J17" s="92"/>
      <c r="K17" s="92"/>
    </row>
    <row r="18" spans="1:11" ht="15.75" customHeight="1" x14ac:dyDescent="0.25">
      <c r="A18" s="229"/>
      <c r="B18" s="231"/>
      <c r="C18" s="229"/>
      <c r="D18" s="230"/>
      <c r="E18" s="230"/>
      <c r="F18" s="230"/>
      <c r="G18" s="231"/>
      <c r="H18" s="92"/>
      <c r="I18" s="92"/>
      <c r="J18" s="92"/>
      <c r="K18" s="92"/>
    </row>
    <row r="19" spans="1:11" ht="15.75" customHeight="1" x14ac:dyDescent="0.25">
      <c r="A19" s="325"/>
      <c r="B19" s="225"/>
      <c r="C19" s="325"/>
      <c r="D19" s="224"/>
      <c r="E19" s="224"/>
      <c r="F19" s="224"/>
      <c r="G19" s="225"/>
      <c r="H19" s="92"/>
      <c r="I19" s="92"/>
      <c r="J19" s="92"/>
      <c r="K19" s="92"/>
    </row>
    <row r="20" spans="1:11" ht="15.75" customHeight="1" x14ac:dyDescent="0.25">
      <c r="A20" s="229"/>
      <c r="B20" s="231"/>
      <c r="C20" s="229"/>
      <c r="D20" s="230"/>
      <c r="E20" s="230"/>
      <c r="F20" s="230"/>
      <c r="G20" s="231"/>
      <c r="H20" s="92"/>
      <c r="I20" s="92"/>
      <c r="J20" s="92"/>
      <c r="K20" s="92"/>
    </row>
    <row r="21" spans="1:11" ht="15.75" customHeight="1" x14ac:dyDescent="0.25">
      <c r="A21" s="325"/>
      <c r="B21" s="225"/>
      <c r="C21" s="325"/>
      <c r="D21" s="224"/>
      <c r="E21" s="224"/>
      <c r="F21" s="224"/>
      <c r="G21" s="225"/>
      <c r="H21" s="92"/>
      <c r="I21" s="92"/>
      <c r="J21" s="92"/>
      <c r="K21" s="92"/>
    </row>
    <row r="22" spans="1:11" ht="15.75" customHeight="1" x14ac:dyDescent="0.25">
      <c r="A22" s="229"/>
      <c r="B22" s="231"/>
      <c r="C22" s="229"/>
      <c r="D22" s="230"/>
      <c r="E22" s="230"/>
      <c r="F22" s="230"/>
      <c r="G22" s="231"/>
      <c r="H22" s="92"/>
      <c r="I22" s="92"/>
      <c r="J22" s="92"/>
      <c r="K22" s="92"/>
    </row>
    <row r="23" spans="1:11" ht="15.75" customHeight="1" x14ac:dyDescent="0.25">
      <c r="A23" s="325"/>
      <c r="B23" s="225"/>
      <c r="C23" s="325"/>
      <c r="D23" s="224"/>
      <c r="E23" s="224"/>
      <c r="F23" s="224"/>
      <c r="G23" s="225"/>
      <c r="H23" s="92"/>
      <c r="I23" s="92"/>
      <c r="J23" s="92"/>
      <c r="K23" s="92"/>
    </row>
    <row r="24" spans="1:11" ht="15.75" customHeight="1" x14ac:dyDescent="0.25">
      <c r="A24" s="229"/>
      <c r="B24" s="231"/>
      <c r="C24" s="229"/>
      <c r="D24" s="230"/>
      <c r="E24" s="230"/>
      <c r="F24" s="230"/>
      <c r="G24" s="231"/>
      <c r="H24" s="92"/>
      <c r="I24" s="92"/>
      <c r="J24" s="92"/>
      <c r="K24" s="92"/>
    </row>
    <row r="26" spans="1:11" x14ac:dyDescent="0.25">
      <c r="A26" s="103"/>
      <c r="B26" s="103"/>
      <c r="C26" s="103"/>
      <c r="D26" s="103"/>
      <c r="E26" s="103"/>
      <c r="F26" s="103"/>
      <c r="G26" s="103"/>
      <c r="H26" s="92"/>
      <c r="I26" s="92"/>
      <c r="J26" s="92"/>
      <c r="K26" s="92"/>
    </row>
    <row r="27" spans="1:11" s="55" customFormat="1" ht="16.5" customHeight="1" x14ac:dyDescent="0.25">
      <c r="A27" s="342" t="s">
        <v>283</v>
      </c>
      <c r="B27" s="342"/>
      <c r="C27" s="342"/>
      <c r="D27" s="342"/>
      <c r="E27" s="342"/>
      <c r="F27" s="342"/>
      <c r="G27" s="342"/>
    </row>
    <row r="28" spans="1:11" s="12" customFormat="1" ht="17.25" customHeight="1" x14ac:dyDescent="0.25">
      <c r="A28" s="337" t="s">
        <v>284</v>
      </c>
      <c r="B28" s="337"/>
      <c r="C28" s="295" t="s">
        <v>285</v>
      </c>
      <c r="D28" s="295" t="s">
        <v>286</v>
      </c>
      <c r="E28" s="295"/>
      <c r="F28" s="295"/>
      <c r="G28" s="295"/>
      <c r="H28" s="103"/>
      <c r="I28" s="103"/>
      <c r="J28" s="103"/>
      <c r="K28" s="103"/>
    </row>
    <row r="29" spans="1:11" s="12" customFormat="1" ht="17.25" customHeight="1" x14ac:dyDescent="0.25">
      <c r="A29" s="337"/>
      <c r="B29" s="337"/>
      <c r="C29" s="295"/>
      <c r="D29" s="295" t="s">
        <v>287</v>
      </c>
      <c r="E29" s="295"/>
      <c r="F29" s="295" t="s">
        <v>163</v>
      </c>
      <c r="G29" s="295"/>
      <c r="H29" s="103"/>
      <c r="I29" s="103"/>
      <c r="J29" s="103"/>
      <c r="K29" s="103"/>
    </row>
    <row r="30" spans="1:11" s="36" customFormat="1" ht="38.1" customHeight="1" x14ac:dyDescent="0.25">
      <c r="A30" s="242" t="s">
        <v>288</v>
      </c>
      <c r="B30" s="242"/>
      <c r="C30" s="179" t="s">
        <v>289</v>
      </c>
      <c r="D30" s="338"/>
      <c r="E30" s="339"/>
      <c r="F30" s="338"/>
      <c r="G30" s="339"/>
      <c r="H30" s="173"/>
      <c r="I30" s="173"/>
      <c r="J30" s="103"/>
      <c r="K30" s="103"/>
    </row>
    <row r="31" spans="1:11" s="36" customFormat="1" ht="38.1" customHeight="1" x14ac:dyDescent="0.25">
      <c r="A31" s="242" t="s">
        <v>290</v>
      </c>
      <c r="B31" s="242"/>
      <c r="C31" s="177" t="s">
        <v>291</v>
      </c>
      <c r="D31" s="286">
        <v>1.41</v>
      </c>
      <c r="E31" s="286"/>
      <c r="F31" s="338"/>
      <c r="G31" s="339"/>
      <c r="H31" s="173"/>
      <c r="I31" s="173"/>
      <c r="J31" s="103"/>
      <c r="K31" s="103"/>
    </row>
    <row r="32" spans="1:11" s="36" customFormat="1" ht="38.1" customHeight="1" x14ac:dyDescent="0.25">
      <c r="A32" s="242" t="s">
        <v>292</v>
      </c>
      <c r="B32" s="242"/>
      <c r="C32" s="177" t="s">
        <v>293</v>
      </c>
      <c r="D32" s="286">
        <v>24</v>
      </c>
      <c r="E32" s="286"/>
      <c r="F32" s="340">
        <v>4</v>
      </c>
      <c r="G32" s="341"/>
      <c r="H32" s="173"/>
      <c r="I32" s="173"/>
      <c r="J32" s="103"/>
      <c r="K32" s="103"/>
    </row>
    <row r="33" spans="1:7" s="36" customFormat="1" ht="38.1" customHeight="1" x14ac:dyDescent="0.3">
      <c r="A33" s="242" t="s">
        <v>294</v>
      </c>
      <c r="B33" s="242"/>
      <c r="C33" s="177" t="s">
        <v>293</v>
      </c>
      <c r="D33" s="286">
        <v>0</v>
      </c>
      <c r="E33" s="286"/>
      <c r="F33" s="338"/>
      <c r="G33" s="339"/>
    </row>
    <row r="35" spans="1:7" x14ac:dyDescent="0.25">
      <c r="A35" s="243" t="s">
        <v>295</v>
      </c>
      <c r="B35" s="243"/>
      <c r="C35" s="243"/>
      <c r="D35" s="243"/>
      <c r="E35" s="243"/>
      <c r="F35" s="243"/>
      <c r="G35" s="243"/>
    </row>
    <row r="36" spans="1:7" x14ac:dyDescent="0.25">
      <c r="A36" s="336"/>
      <c r="B36" s="336"/>
      <c r="C36" s="336"/>
      <c r="D36" s="336"/>
      <c r="E36" s="336"/>
      <c r="F36" s="336"/>
      <c r="G36" s="336"/>
    </row>
    <row r="37" spans="1:7" x14ac:dyDescent="0.25">
      <c r="A37" s="336"/>
      <c r="B37" s="336"/>
      <c r="C37" s="336"/>
      <c r="D37" s="336"/>
      <c r="E37" s="336"/>
      <c r="F37" s="336"/>
      <c r="G37" s="336"/>
    </row>
    <row r="38" spans="1:7" x14ac:dyDescent="0.25">
      <c r="A38" s="336"/>
      <c r="B38" s="336"/>
      <c r="C38" s="336"/>
      <c r="D38" s="336"/>
      <c r="E38" s="336"/>
      <c r="F38" s="336"/>
      <c r="G38" s="336"/>
    </row>
    <row r="39" spans="1:7" x14ac:dyDescent="0.25">
      <c r="A39" s="336"/>
      <c r="B39" s="336"/>
      <c r="C39" s="336"/>
      <c r="D39" s="336"/>
      <c r="E39" s="336"/>
      <c r="F39" s="336"/>
      <c r="G39" s="336"/>
    </row>
    <row r="40" spans="1:7" x14ac:dyDescent="0.25">
      <c r="A40" s="336"/>
      <c r="B40" s="336"/>
      <c r="C40" s="336"/>
      <c r="D40" s="336"/>
      <c r="E40" s="336"/>
      <c r="F40" s="336"/>
      <c r="G40" s="336"/>
    </row>
    <row r="41" spans="1:7" x14ac:dyDescent="0.25">
      <c r="A41" s="336"/>
      <c r="B41" s="336"/>
      <c r="C41" s="336"/>
      <c r="D41" s="336"/>
      <c r="E41" s="336"/>
      <c r="F41" s="336"/>
      <c r="G41" s="336"/>
    </row>
    <row r="56" spans="6:6" x14ac:dyDescent="0.25">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J66"/>
  <sheetViews>
    <sheetView workbookViewId="0">
      <selection activeCell="AB6" sqref="AB1:AB6"/>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10" x14ac:dyDescent="0.25">
      <c r="A1" s="92" t="str">
        <f>+'Cover Page'!$B$29</f>
        <v>Annual Performance Report 2022</v>
      </c>
      <c r="B1" s="92"/>
      <c r="C1" s="92"/>
      <c r="D1" s="92"/>
      <c r="E1" s="92" t="str">
        <f>+'Cover Page'!$B$33</f>
        <v>Lincolnshire Energy from Waste Facility</v>
      </c>
      <c r="F1" s="92"/>
      <c r="G1" s="92"/>
      <c r="H1" s="92"/>
      <c r="I1" s="92"/>
      <c r="J1" s="92"/>
    </row>
    <row r="3" spans="1:10" ht="15.6" x14ac:dyDescent="0.3">
      <c r="A3" s="1" t="s">
        <v>40</v>
      </c>
      <c r="B3" s="92"/>
      <c r="C3" s="92"/>
      <c r="D3" s="92"/>
      <c r="E3" s="92"/>
      <c r="F3" s="92"/>
      <c r="G3" s="92"/>
      <c r="H3" s="92"/>
      <c r="I3" s="92"/>
      <c r="J3" s="92"/>
    </row>
    <row r="4" spans="1:10" ht="15.6" x14ac:dyDescent="0.3">
      <c r="A4" s="1"/>
      <c r="B4" s="92"/>
      <c r="C4" s="92"/>
      <c r="D4" s="92"/>
      <c r="E4" s="92"/>
      <c r="F4" s="92"/>
      <c r="G4" s="92"/>
      <c r="H4" s="92"/>
      <c r="I4" s="92"/>
      <c r="J4" s="92"/>
    </row>
    <row r="5" spans="1:10" s="3" customFormat="1" ht="21.75" customHeight="1" x14ac:dyDescent="0.25">
      <c r="A5" s="47" t="s">
        <v>278</v>
      </c>
      <c r="B5" s="48"/>
      <c r="C5" s="48"/>
      <c r="D5" s="48"/>
      <c r="E5" s="48"/>
      <c r="F5" s="48"/>
      <c r="G5" s="48"/>
      <c r="H5" s="48"/>
      <c r="I5" s="49"/>
    </row>
    <row r="6" spans="1:10" s="3" customFormat="1" ht="15.75" customHeight="1" x14ac:dyDescent="0.25">
      <c r="A6" s="215" t="s">
        <v>296</v>
      </c>
      <c r="B6" s="216"/>
      <c r="C6" s="216"/>
      <c r="D6" s="216"/>
      <c r="E6" s="216"/>
      <c r="F6" s="216"/>
      <c r="G6" s="216"/>
      <c r="H6" s="216"/>
      <c r="I6" s="216"/>
      <c r="J6" s="217"/>
    </row>
    <row r="7" spans="1:10" s="3" customFormat="1" ht="15.75" customHeight="1" x14ac:dyDescent="0.25">
      <c r="A7" s="221"/>
      <c r="B7" s="222"/>
      <c r="C7" s="222"/>
      <c r="D7" s="222"/>
      <c r="E7" s="222"/>
      <c r="F7" s="222"/>
      <c r="G7" s="222"/>
      <c r="H7" s="222"/>
      <c r="I7" s="222"/>
      <c r="J7" s="223"/>
    </row>
    <row r="8" spans="1:10" s="3" customFormat="1" ht="15.75" customHeight="1" x14ac:dyDescent="0.25">
      <c r="A8" s="215" t="s">
        <v>297</v>
      </c>
      <c r="B8" s="216"/>
      <c r="C8" s="216"/>
      <c r="D8" s="216"/>
      <c r="E8" s="216"/>
      <c r="F8" s="216"/>
      <c r="G8" s="216"/>
      <c r="H8" s="216"/>
      <c r="I8" s="217"/>
    </row>
    <row r="9" spans="1:10" s="3" customFormat="1" ht="15.75" customHeight="1" x14ac:dyDescent="0.25">
      <c r="A9" s="221"/>
      <c r="B9" s="222"/>
      <c r="C9" s="222"/>
      <c r="D9" s="222"/>
      <c r="E9" s="222"/>
      <c r="F9" s="222"/>
      <c r="G9" s="222"/>
      <c r="H9" s="222"/>
      <c r="I9" s="223"/>
    </row>
    <row r="10" spans="1:10" s="3" customFormat="1" ht="15.75" customHeight="1" x14ac:dyDescent="0.25">
      <c r="A10" s="215"/>
      <c r="B10" s="216"/>
      <c r="C10" s="216"/>
      <c r="D10" s="216"/>
      <c r="E10" s="216"/>
      <c r="F10" s="216"/>
      <c r="G10" s="216"/>
      <c r="H10" s="216"/>
      <c r="I10" s="217"/>
    </row>
    <row r="11" spans="1:10" s="3" customFormat="1" ht="15.75" customHeight="1" x14ac:dyDescent="0.25">
      <c r="A11" s="221"/>
      <c r="B11" s="222"/>
      <c r="C11" s="222"/>
      <c r="D11" s="222"/>
      <c r="E11" s="222"/>
      <c r="F11" s="222"/>
      <c r="G11" s="222"/>
      <c r="H11" s="222"/>
      <c r="I11" s="223"/>
    </row>
    <row r="12" spans="1:10" s="3" customFormat="1" ht="13.8" x14ac:dyDescent="0.25"/>
    <row r="13" spans="1:10" s="46" customFormat="1" ht="33.75" customHeight="1" x14ac:dyDescent="0.3">
      <c r="A13" s="310" t="s">
        <v>281</v>
      </c>
      <c r="B13" s="311"/>
      <c r="C13" s="311"/>
      <c r="D13" s="311"/>
      <c r="E13" s="311"/>
      <c r="F13" s="311"/>
      <c r="G13" s="311"/>
      <c r="H13" s="311"/>
      <c r="I13" s="312"/>
      <c r="J13" s="180"/>
    </row>
    <row r="14" spans="1:10" ht="15.75" customHeight="1" x14ac:dyDescent="0.25">
      <c r="A14" s="322" t="s">
        <v>282</v>
      </c>
      <c r="B14" s="324"/>
      <c r="C14" s="322" t="s">
        <v>246</v>
      </c>
      <c r="D14" s="323"/>
      <c r="E14" s="323"/>
      <c r="F14" s="323"/>
      <c r="G14" s="323"/>
      <c r="H14" s="323"/>
      <c r="I14" s="323"/>
      <c r="J14" s="92"/>
    </row>
    <row r="15" spans="1:10" ht="15.75" customHeight="1" x14ac:dyDescent="0.25">
      <c r="A15" s="215"/>
      <c r="B15" s="217"/>
      <c r="C15" s="325"/>
      <c r="D15" s="224"/>
      <c r="E15" s="224"/>
      <c r="F15" s="224"/>
      <c r="G15" s="224"/>
      <c r="H15" s="224"/>
      <c r="I15" s="225"/>
      <c r="J15" s="92"/>
    </row>
    <row r="16" spans="1:10" ht="15.75" customHeight="1" x14ac:dyDescent="0.25">
      <c r="A16" s="221"/>
      <c r="B16" s="223"/>
      <c r="C16" s="229"/>
      <c r="D16" s="230"/>
      <c r="E16" s="230"/>
      <c r="F16" s="230"/>
      <c r="G16" s="230"/>
      <c r="H16" s="230"/>
      <c r="I16" s="231"/>
      <c r="J16" s="92"/>
    </row>
    <row r="17" spans="1:9" ht="15.75" customHeight="1" x14ac:dyDescent="0.25">
      <c r="A17" s="325"/>
      <c r="B17" s="225"/>
      <c r="C17" s="325"/>
      <c r="D17" s="224"/>
      <c r="E17" s="224"/>
      <c r="F17" s="224"/>
      <c r="G17" s="224"/>
      <c r="H17" s="224"/>
      <c r="I17" s="225"/>
    </row>
    <row r="18" spans="1:9" ht="15.75" customHeight="1" x14ac:dyDescent="0.25">
      <c r="A18" s="229"/>
      <c r="B18" s="231"/>
      <c r="C18" s="229"/>
      <c r="D18" s="230"/>
      <c r="E18" s="230"/>
      <c r="F18" s="230"/>
      <c r="G18" s="230"/>
      <c r="H18" s="230"/>
      <c r="I18" s="231"/>
    </row>
    <row r="19" spans="1:9" ht="15.75" customHeight="1" x14ac:dyDescent="0.25">
      <c r="A19" s="325"/>
      <c r="B19" s="225"/>
      <c r="C19" s="325"/>
      <c r="D19" s="224"/>
      <c r="E19" s="224"/>
      <c r="F19" s="224"/>
      <c r="G19" s="224"/>
      <c r="H19" s="224"/>
      <c r="I19" s="225"/>
    </row>
    <row r="20" spans="1:9" ht="15.75" customHeight="1" x14ac:dyDescent="0.25">
      <c r="A20" s="229"/>
      <c r="B20" s="231"/>
      <c r="C20" s="229"/>
      <c r="D20" s="230"/>
      <c r="E20" s="230"/>
      <c r="F20" s="230"/>
      <c r="G20" s="230"/>
      <c r="H20" s="230"/>
      <c r="I20" s="231"/>
    </row>
    <row r="22" spans="1:9" ht="22.5" customHeight="1" x14ac:dyDescent="0.25">
      <c r="A22" s="349" t="s">
        <v>298</v>
      </c>
      <c r="B22" s="350"/>
      <c r="C22" s="350"/>
      <c r="D22" s="350"/>
      <c r="E22" s="350"/>
      <c r="F22" s="350"/>
      <c r="G22" s="350"/>
      <c r="H22" s="350"/>
      <c r="I22" s="350"/>
    </row>
    <row r="23" spans="1:9" ht="19.5" customHeight="1" x14ac:dyDescent="0.25">
      <c r="A23" s="351" t="s">
        <v>187</v>
      </c>
      <c r="B23" s="352"/>
      <c r="C23" s="353"/>
      <c r="D23" s="354" t="s">
        <v>299</v>
      </c>
      <c r="E23" s="355"/>
      <c r="F23" s="53" t="s">
        <v>285</v>
      </c>
      <c r="G23" s="53" t="s">
        <v>300</v>
      </c>
      <c r="H23" s="53" t="s">
        <v>301</v>
      </c>
      <c r="I23" s="53" t="s">
        <v>302</v>
      </c>
    </row>
    <row r="24" spans="1:9" x14ac:dyDescent="0.25">
      <c r="A24" s="346" t="s">
        <v>303</v>
      </c>
      <c r="B24" s="347"/>
      <c r="C24" s="348"/>
      <c r="D24" s="344" t="s">
        <v>304</v>
      </c>
      <c r="E24" s="345"/>
      <c r="F24" s="104">
        <v>0</v>
      </c>
      <c r="G24" s="104">
        <v>0</v>
      </c>
      <c r="H24" s="104">
        <v>0</v>
      </c>
      <c r="I24" s="104">
        <v>0</v>
      </c>
    </row>
    <row r="25" spans="1:9" x14ac:dyDescent="0.25">
      <c r="A25" s="346"/>
      <c r="B25" s="347"/>
      <c r="C25" s="348"/>
      <c r="D25" s="344"/>
      <c r="E25" s="345"/>
      <c r="F25" s="104"/>
      <c r="G25" s="104"/>
      <c r="H25" s="104"/>
      <c r="I25" s="104"/>
    </row>
    <row r="26" spans="1:9" x14ac:dyDescent="0.25">
      <c r="A26" s="346"/>
      <c r="B26" s="347"/>
      <c r="C26" s="348"/>
      <c r="D26" s="344"/>
      <c r="E26" s="345"/>
      <c r="F26" s="104"/>
      <c r="G26" s="104"/>
      <c r="H26" s="104"/>
      <c r="I26" s="104"/>
    </row>
    <row r="27" spans="1:9" x14ac:dyDescent="0.25">
      <c r="A27" s="346"/>
      <c r="B27" s="347"/>
      <c r="C27" s="348"/>
      <c r="D27" s="344"/>
      <c r="E27" s="345"/>
      <c r="F27" s="104"/>
      <c r="G27" s="104"/>
      <c r="H27" s="104"/>
      <c r="I27" s="104"/>
    </row>
    <row r="28" spans="1:9" x14ac:dyDescent="0.25">
      <c r="A28" s="346"/>
      <c r="B28" s="347"/>
      <c r="C28" s="348"/>
      <c r="D28" s="344"/>
      <c r="E28" s="345"/>
      <c r="F28" s="104"/>
      <c r="G28" s="104"/>
      <c r="H28" s="104"/>
      <c r="I28" s="104"/>
    </row>
    <row r="29" spans="1:9" x14ac:dyDescent="0.25">
      <c r="A29" s="346"/>
      <c r="B29" s="347"/>
      <c r="C29" s="348"/>
      <c r="D29" s="344"/>
      <c r="E29" s="345"/>
      <c r="F29" s="104"/>
      <c r="G29" s="104"/>
      <c r="H29" s="104"/>
      <c r="I29" s="104"/>
    </row>
    <row r="30" spans="1:9" x14ac:dyDescent="0.25">
      <c r="A30" s="343"/>
      <c r="B30" s="343"/>
      <c r="C30" s="343"/>
      <c r="D30" s="344"/>
      <c r="E30" s="345"/>
      <c r="F30" s="104"/>
      <c r="G30" s="104"/>
      <c r="H30" s="104"/>
      <c r="I30" s="104"/>
    </row>
    <row r="31" spans="1:9" x14ac:dyDescent="0.25">
      <c r="A31" s="103"/>
      <c r="B31" s="103"/>
      <c r="C31" s="103"/>
      <c r="D31" s="103"/>
      <c r="E31" s="103"/>
      <c r="F31" s="103"/>
      <c r="G31" s="103"/>
      <c r="H31" s="103"/>
      <c r="I31" s="103"/>
    </row>
    <row r="32" spans="1:9" x14ac:dyDescent="0.25">
      <c r="A32" s="103"/>
      <c r="B32" s="103"/>
      <c r="C32" s="103"/>
      <c r="D32" s="103"/>
      <c r="E32" s="103"/>
      <c r="F32" s="103"/>
      <c r="G32" s="103"/>
      <c r="H32" s="103"/>
      <c r="I32" s="103"/>
    </row>
    <row r="33" spans="1:9" x14ac:dyDescent="0.25">
      <c r="A33" s="103"/>
      <c r="B33" s="103"/>
      <c r="C33" s="103"/>
      <c r="D33" s="103"/>
      <c r="E33" s="103"/>
      <c r="F33" s="103"/>
      <c r="G33" s="103"/>
      <c r="H33" s="103"/>
      <c r="I33" s="103"/>
    </row>
    <row r="66" spans="5:5" x14ac:dyDescent="0.25">
      <c r="E66" s="3"/>
    </row>
  </sheetData>
  <mergeCells count="29">
    <mergeCell ref="A6:J7"/>
    <mergeCell ref="A22:I22"/>
    <mergeCell ref="A23:C23"/>
    <mergeCell ref="D23:E23"/>
    <mergeCell ref="A15:B16"/>
    <mergeCell ref="C15:I16"/>
    <mergeCell ref="A17:B18"/>
    <mergeCell ref="C17:I18"/>
    <mergeCell ref="A19:B20"/>
    <mergeCell ref="C19:I20"/>
    <mergeCell ref="A8:I9"/>
    <mergeCell ref="A10:I11"/>
    <mergeCell ref="A13:I13"/>
    <mergeCell ref="A14:B14"/>
    <mergeCell ref="C14:I14"/>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T64"/>
  <sheetViews>
    <sheetView workbookViewId="0">
      <selection activeCell="D54" sqref="D54"/>
    </sheetView>
  </sheetViews>
  <sheetFormatPr defaultColWidth="9.33203125" defaultRowHeight="15" x14ac:dyDescent="0.25"/>
  <cols>
    <col min="1" max="1" width="9.33203125" style="2" customWidth="1"/>
    <col min="2" max="2" width="14.5546875" style="2" bestFit="1" customWidth="1"/>
    <col min="3" max="9" width="9.33203125" style="2"/>
    <col min="10" max="10" width="10.44140625" style="2" customWidth="1"/>
    <col min="11" max="16384" width="9.33203125" style="2"/>
  </cols>
  <sheetData>
    <row r="1" spans="1:20" x14ac:dyDescent="0.25">
      <c r="A1" s="92" t="str">
        <f>+'Cover Page'!$B$29</f>
        <v>Annual Performance Report 2022</v>
      </c>
      <c r="B1" s="92"/>
      <c r="C1" s="92"/>
      <c r="D1" s="92"/>
      <c r="E1" s="92" t="str">
        <f>+'Cover Page'!$B$33</f>
        <v>Lincolnshire Energy from Waste Facility</v>
      </c>
      <c r="F1" s="92"/>
      <c r="G1" s="92"/>
      <c r="H1" s="92"/>
      <c r="I1" s="92"/>
      <c r="J1" s="92"/>
      <c r="K1" s="92"/>
      <c r="L1" s="92"/>
      <c r="M1" s="92"/>
      <c r="N1" s="92"/>
      <c r="O1" s="92"/>
      <c r="P1" s="92"/>
      <c r="Q1" s="92"/>
      <c r="R1" s="92"/>
      <c r="S1" s="92"/>
      <c r="T1" s="92"/>
    </row>
    <row r="2" spans="1:20" ht="7.5" customHeight="1" x14ac:dyDescent="0.25">
      <c r="A2" s="92"/>
      <c r="B2" s="92"/>
      <c r="C2" s="92"/>
      <c r="D2" s="92"/>
      <c r="E2" s="92"/>
      <c r="F2" s="92"/>
      <c r="G2" s="92"/>
      <c r="H2" s="92"/>
      <c r="I2" s="92"/>
      <c r="J2" s="92"/>
      <c r="K2" s="92"/>
      <c r="L2" s="92"/>
      <c r="M2" s="92"/>
      <c r="N2" s="92"/>
      <c r="O2" s="92"/>
      <c r="P2" s="92"/>
      <c r="Q2" s="92"/>
      <c r="R2" s="92"/>
      <c r="S2" s="92"/>
      <c r="T2" s="92"/>
    </row>
    <row r="3" spans="1:20" ht="15.6" x14ac:dyDescent="0.3">
      <c r="A3" s="1" t="s">
        <v>41</v>
      </c>
      <c r="B3" s="92"/>
      <c r="C3" s="92"/>
      <c r="D3" s="92"/>
      <c r="E3" s="92"/>
      <c r="F3" s="92"/>
      <c r="G3" s="92"/>
      <c r="H3" s="92"/>
      <c r="I3" s="92"/>
      <c r="J3" s="92"/>
      <c r="K3" s="92"/>
      <c r="L3" s="92"/>
      <c r="M3" s="92"/>
      <c r="N3" s="92"/>
      <c r="O3" s="92"/>
      <c r="P3" s="92"/>
      <c r="Q3" s="92"/>
      <c r="R3" s="92"/>
      <c r="S3" s="92"/>
      <c r="T3" s="92"/>
    </row>
    <row r="4" spans="1:20" ht="9.75" customHeight="1" x14ac:dyDescent="0.3">
      <c r="A4" s="1"/>
      <c r="B4" s="92"/>
      <c r="C4" s="92"/>
      <c r="D4" s="92"/>
      <c r="E4" s="92"/>
      <c r="F4" s="92"/>
      <c r="G4" s="92"/>
      <c r="H4" s="92"/>
      <c r="I4" s="92"/>
      <c r="J4" s="92"/>
      <c r="K4" s="92"/>
      <c r="L4" s="92"/>
      <c r="M4" s="92"/>
      <c r="N4" s="92"/>
      <c r="O4" s="92"/>
      <c r="P4" s="92"/>
      <c r="Q4" s="92"/>
      <c r="R4" s="92"/>
      <c r="S4" s="92"/>
      <c r="T4" s="92"/>
    </row>
    <row r="5" spans="1:20" s="3" customFormat="1" ht="21.75" customHeight="1" x14ac:dyDescent="0.3">
      <c r="A5" s="47" t="s">
        <v>305</v>
      </c>
      <c r="B5" s="48"/>
      <c r="C5" s="48"/>
      <c r="D5" s="48"/>
      <c r="E5" s="48"/>
      <c r="F5" s="48"/>
      <c r="G5" s="48"/>
      <c r="H5" s="48"/>
      <c r="I5" s="48"/>
      <c r="J5" s="49"/>
      <c r="M5" s="81" t="s">
        <v>3</v>
      </c>
    </row>
    <row r="6" spans="1:20" s="3" customFormat="1" ht="15.75" customHeight="1" x14ac:dyDescent="0.25">
      <c r="A6" s="325"/>
      <c r="B6" s="224"/>
      <c r="C6" s="224"/>
      <c r="D6" s="224"/>
      <c r="E6" s="224"/>
      <c r="F6" s="224"/>
      <c r="G6" s="224"/>
      <c r="H6" s="224"/>
      <c r="I6" s="224"/>
      <c r="J6" s="225"/>
      <c r="M6" s="369" t="s">
        <v>306</v>
      </c>
      <c r="N6" s="369"/>
      <c r="O6" s="369"/>
      <c r="P6" s="369"/>
    </row>
    <row r="7" spans="1:20" s="3" customFormat="1" ht="15.75" customHeight="1" x14ac:dyDescent="0.25">
      <c r="A7" s="229"/>
      <c r="B7" s="230"/>
      <c r="C7" s="230"/>
      <c r="D7" s="230"/>
      <c r="E7" s="230"/>
      <c r="F7" s="230"/>
      <c r="G7" s="230"/>
      <c r="H7" s="230"/>
      <c r="I7" s="230"/>
      <c r="J7" s="231"/>
      <c r="M7" s="369"/>
      <c r="N7" s="369"/>
      <c r="O7" s="369"/>
      <c r="P7" s="369"/>
    </row>
    <row r="8" spans="1:20" s="3" customFormat="1" ht="13.8" x14ac:dyDescent="0.25">
      <c r="M8" s="369"/>
      <c r="N8" s="369"/>
      <c r="O8" s="369"/>
      <c r="P8" s="369"/>
    </row>
    <row r="9" spans="1:20" s="55" customFormat="1" ht="16.5" customHeight="1" x14ac:dyDescent="0.25">
      <c r="A9" s="342" t="s">
        <v>307</v>
      </c>
      <c r="B9" s="342"/>
      <c r="C9" s="342"/>
      <c r="D9" s="342"/>
      <c r="E9" s="342"/>
      <c r="F9" s="342"/>
      <c r="G9" s="342"/>
      <c r="H9" s="342"/>
      <c r="I9" s="342"/>
      <c r="J9" s="342"/>
      <c r="M9" s="369"/>
      <c r="N9" s="369"/>
      <c r="O9" s="369"/>
      <c r="P9" s="369"/>
    </row>
    <row r="10" spans="1:20" s="55" customFormat="1" ht="16.5" customHeight="1" x14ac:dyDescent="0.25">
      <c r="A10" s="356" t="s">
        <v>215</v>
      </c>
      <c r="B10" s="357"/>
      <c r="C10" s="367" t="s">
        <v>308</v>
      </c>
      <c r="D10" s="363" t="s">
        <v>309</v>
      </c>
      <c r="E10" s="364"/>
      <c r="F10" s="360" t="s">
        <v>302</v>
      </c>
      <c r="G10" s="361"/>
      <c r="H10" s="361"/>
      <c r="I10" s="361"/>
      <c r="J10" s="362"/>
      <c r="M10" s="369" t="s">
        <v>310</v>
      </c>
      <c r="N10" s="369"/>
      <c r="O10" s="369"/>
      <c r="P10" s="369"/>
    </row>
    <row r="11" spans="1:20" s="12" customFormat="1" ht="17.25" customHeight="1" x14ac:dyDescent="0.25">
      <c r="A11" s="358"/>
      <c r="B11" s="359"/>
      <c r="C11" s="368"/>
      <c r="D11" s="365"/>
      <c r="E11" s="366"/>
      <c r="F11" s="45" t="s">
        <v>189</v>
      </c>
      <c r="G11" s="45" t="s">
        <v>190</v>
      </c>
      <c r="H11" s="45" t="s">
        <v>191</v>
      </c>
      <c r="I11" s="45" t="s">
        <v>192</v>
      </c>
      <c r="J11" s="45" t="s">
        <v>193</v>
      </c>
      <c r="K11" s="103"/>
      <c r="L11" s="103"/>
      <c r="M11" s="369"/>
      <c r="N11" s="369"/>
      <c r="O11" s="369"/>
      <c r="P11" s="369"/>
      <c r="Q11" s="103"/>
      <c r="R11" s="103"/>
      <c r="S11" s="103"/>
      <c r="T11" s="103"/>
    </row>
    <row r="12" spans="1:20" s="12" customFormat="1" ht="23.25" customHeight="1" x14ac:dyDescent="0.25">
      <c r="A12" s="242" t="s">
        <v>227</v>
      </c>
      <c r="B12" s="242"/>
      <c r="C12" s="151" t="s">
        <v>311</v>
      </c>
      <c r="D12" s="288" t="s">
        <v>312</v>
      </c>
      <c r="E12" s="288"/>
      <c r="F12" s="181">
        <v>0.24</v>
      </c>
      <c r="G12" s="182"/>
      <c r="H12" s="182"/>
      <c r="I12" s="182"/>
      <c r="J12" s="182"/>
      <c r="K12" s="103"/>
      <c r="L12" s="103"/>
      <c r="M12" s="369"/>
      <c r="N12" s="369"/>
      <c r="O12" s="369"/>
      <c r="P12" s="369"/>
      <c r="Q12" s="103"/>
      <c r="R12" s="103"/>
      <c r="S12" s="105"/>
      <c r="T12" s="103"/>
    </row>
    <row r="13" spans="1:20" s="12" customFormat="1" ht="23.25" customHeight="1" x14ac:dyDescent="0.25">
      <c r="A13" s="242" t="s">
        <v>313</v>
      </c>
      <c r="B13" s="242"/>
      <c r="C13" s="151" t="s">
        <v>314</v>
      </c>
      <c r="D13" s="288" t="s">
        <v>315</v>
      </c>
      <c r="E13" s="288"/>
      <c r="F13" s="104">
        <v>8.9499999999999996E-4</v>
      </c>
      <c r="G13" s="182"/>
      <c r="H13" s="182"/>
      <c r="I13" s="182"/>
      <c r="J13" s="182"/>
      <c r="K13" s="103"/>
      <c r="L13" s="103"/>
      <c r="M13" s="103"/>
      <c r="N13" s="103"/>
      <c r="O13" s="103"/>
      <c r="P13" s="103"/>
      <c r="Q13" s="103"/>
      <c r="R13" s="103"/>
      <c r="S13" s="105"/>
      <c r="T13" s="103"/>
    </row>
    <row r="14" spans="1:20" s="12" customFormat="1" ht="23.25" customHeight="1" x14ac:dyDescent="0.25">
      <c r="A14" s="242" t="s">
        <v>316</v>
      </c>
      <c r="B14" s="242"/>
      <c r="C14" s="151" t="s">
        <v>314</v>
      </c>
      <c r="D14" s="288" t="s">
        <v>315</v>
      </c>
      <c r="E14" s="288"/>
      <c r="F14" s="104">
        <v>7.4999999999999997E-3</v>
      </c>
      <c r="G14" s="182"/>
      <c r="H14" s="182"/>
      <c r="I14" s="182"/>
      <c r="J14" s="182"/>
      <c r="K14" s="103"/>
      <c r="L14" s="103"/>
      <c r="M14" s="103"/>
      <c r="N14" s="103"/>
      <c r="O14" s="103"/>
      <c r="P14" s="103"/>
      <c r="Q14" s="103"/>
      <c r="R14" s="103"/>
      <c r="S14" s="105"/>
      <c r="T14" s="103"/>
    </row>
    <row r="15" spans="1:20" s="12" customFormat="1" ht="23.25" customHeight="1" x14ac:dyDescent="0.25">
      <c r="A15" s="242" t="s">
        <v>317</v>
      </c>
      <c r="B15" s="242"/>
      <c r="C15" s="151" t="s">
        <v>314</v>
      </c>
      <c r="D15" s="288" t="s">
        <v>318</v>
      </c>
      <c r="E15" s="288"/>
      <c r="F15" s="104">
        <v>4.9500000000000002E-2</v>
      </c>
      <c r="G15" s="182"/>
      <c r="H15" s="182"/>
      <c r="I15" s="182"/>
      <c r="J15" s="182"/>
      <c r="K15" s="103"/>
      <c r="L15" s="103"/>
      <c r="M15" s="103"/>
      <c r="N15" s="103"/>
      <c r="O15" s="103"/>
      <c r="P15" s="103"/>
      <c r="Q15" s="103"/>
      <c r="R15" s="103"/>
      <c r="S15" s="105"/>
      <c r="T15" s="103"/>
    </row>
    <row r="16" spans="1:20" s="12" customFormat="1" ht="23.25" customHeight="1" x14ac:dyDescent="0.25">
      <c r="A16" s="242" t="s">
        <v>319</v>
      </c>
      <c r="B16" s="242"/>
      <c r="C16" s="151" t="s">
        <v>314</v>
      </c>
      <c r="D16" s="288" t="s">
        <v>320</v>
      </c>
      <c r="E16" s="288"/>
      <c r="F16" s="104">
        <v>4.5000000000000005E-3</v>
      </c>
      <c r="G16" s="182"/>
      <c r="H16" s="182"/>
      <c r="I16" s="182"/>
      <c r="J16" s="182"/>
      <c r="K16" s="103"/>
      <c r="L16" s="103"/>
      <c r="M16" s="103"/>
      <c r="N16" s="103"/>
      <c r="O16" s="103"/>
      <c r="P16" s="103"/>
      <c r="Q16" s="103"/>
      <c r="R16" s="103"/>
      <c r="S16" s="106"/>
      <c r="T16" s="103"/>
    </row>
    <row r="17" spans="1:20" s="12" customFormat="1" ht="23.25" customHeight="1" x14ac:dyDescent="0.25">
      <c r="A17" s="242" t="s">
        <v>321</v>
      </c>
      <c r="B17" s="242"/>
      <c r="C17" s="151" t="s">
        <v>314</v>
      </c>
      <c r="D17" s="288" t="s">
        <v>322</v>
      </c>
      <c r="E17" s="288"/>
      <c r="F17" s="104">
        <v>4.4999999999999997E-3</v>
      </c>
      <c r="G17" s="182"/>
      <c r="H17" s="182"/>
      <c r="I17" s="182"/>
      <c r="J17" s="182"/>
      <c r="K17" s="103"/>
      <c r="L17" s="103"/>
      <c r="M17" s="103"/>
      <c r="N17" s="103"/>
      <c r="O17" s="103"/>
      <c r="P17" s="103"/>
      <c r="Q17" s="103"/>
      <c r="R17" s="103"/>
      <c r="S17" s="106"/>
      <c r="T17" s="103"/>
    </row>
    <row r="18" spans="1:20" s="12" customFormat="1" ht="23.25" customHeight="1" x14ac:dyDescent="0.25">
      <c r="A18" s="242" t="s">
        <v>323</v>
      </c>
      <c r="B18" s="242"/>
      <c r="C18" s="151" t="s">
        <v>314</v>
      </c>
      <c r="D18" s="288" t="s">
        <v>322</v>
      </c>
      <c r="E18" s="288"/>
      <c r="F18" s="104">
        <v>2.0500000000000002E-4</v>
      </c>
      <c r="G18" s="182"/>
      <c r="H18" s="182"/>
      <c r="I18" s="182"/>
      <c r="J18" s="182"/>
      <c r="K18" s="103"/>
      <c r="L18" s="103"/>
      <c r="M18" s="103"/>
      <c r="N18" s="103"/>
      <c r="O18" s="103"/>
      <c r="P18" s="103"/>
      <c r="Q18" s="103"/>
      <c r="R18" s="103"/>
      <c r="S18" s="106"/>
      <c r="T18" s="103"/>
    </row>
    <row r="19" spans="1:20" s="12" customFormat="1" ht="23.25" customHeight="1" x14ac:dyDescent="0.25">
      <c r="A19" s="242" t="s">
        <v>324</v>
      </c>
      <c r="B19" s="242"/>
      <c r="C19" s="151" t="s">
        <v>314</v>
      </c>
      <c r="D19" s="288" t="s">
        <v>322</v>
      </c>
      <c r="E19" s="288"/>
      <c r="F19" s="104">
        <v>1.2500000000000001E-2</v>
      </c>
      <c r="G19" s="182"/>
      <c r="H19" s="182"/>
      <c r="I19" s="182"/>
      <c r="J19" s="182"/>
      <c r="K19" s="103"/>
      <c r="L19" s="103"/>
      <c r="M19" s="103"/>
      <c r="N19" s="103"/>
      <c r="O19" s="103"/>
      <c r="P19" s="103"/>
      <c r="Q19" s="103"/>
      <c r="R19" s="103"/>
      <c r="S19" s="106"/>
      <c r="T19" s="103"/>
    </row>
    <row r="20" spans="1:20" s="12" customFormat="1" ht="23.25" customHeight="1" x14ac:dyDescent="0.25">
      <c r="A20" s="242" t="s">
        <v>325</v>
      </c>
      <c r="B20" s="242"/>
      <c r="C20" s="151" t="s">
        <v>314</v>
      </c>
      <c r="D20" s="288" t="s">
        <v>322</v>
      </c>
      <c r="E20" s="288"/>
      <c r="F20" s="104">
        <v>9.1000000000000004E-3</v>
      </c>
      <c r="G20" s="182"/>
      <c r="H20" s="182"/>
      <c r="I20" s="182"/>
      <c r="J20" s="182"/>
      <c r="K20" s="103"/>
      <c r="L20" s="103"/>
      <c r="M20" s="103"/>
      <c r="N20" s="103"/>
      <c r="O20" s="103"/>
      <c r="P20" s="103"/>
      <c r="Q20" s="103"/>
      <c r="R20" s="103"/>
      <c r="S20" s="106"/>
      <c r="T20" s="103"/>
    </row>
    <row r="21" spans="1:20" s="12" customFormat="1" ht="23.25" customHeight="1" x14ac:dyDescent="0.25">
      <c r="A21" s="242" t="s">
        <v>326</v>
      </c>
      <c r="B21" s="242"/>
      <c r="C21" s="151" t="s">
        <v>314</v>
      </c>
      <c r="D21" s="288" t="s">
        <v>322</v>
      </c>
      <c r="E21" s="288"/>
      <c r="F21" s="104">
        <v>1.01E-2</v>
      </c>
      <c r="G21" s="182"/>
      <c r="H21" s="182"/>
      <c r="I21" s="182"/>
      <c r="J21" s="182"/>
      <c r="K21" s="103"/>
      <c r="L21" s="103"/>
      <c r="M21" s="103"/>
      <c r="N21" s="103"/>
      <c r="O21" s="103"/>
      <c r="P21" s="103"/>
      <c r="Q21" s="103"/>
      <c r="R21" s="103"/>
      <c r="S21" s="106"/>
      <c r="T21" s="103"/>
    </row>
    <row r="22" spans="1:20" s="12" customFormat="1" ht="23.25" customHeight="1" x14ac:dyDescent="0.25">
      <c r="A22" s="242" t="s">
        <v>327</v>
      </c>
      <c r="B22" s="242"/>
      <c r="C22" s="151" t="s">
        <v>314</v>
      </c>
      <c r="D22" s="288" t="s">
        <v>322</v>
      </c>
      <c r="E22" s="288"/>
      <c r="F22" s="104">
        <v>1.7749999999999998E-2</v>
      </c>
      <c r="G22" s="182"/>
      <c r="H22" s="182"/>
      <c r="I22" s="182"/>
      <c r="J22" s="182"/>
      <c r="K22" s="103"/>
      <c r="L22" s="103"/>
      <c r="M22" s="103"/>
      <c r="N22" s="103"/>
      <c r="O22" s="103"/>
      <c r="P22" s="103"/>
      <c r="Q22" s="103"/>
      <c r="R22" s="103"/>
      <c r="S22" s="106"/>
      <c r="T22" s="103"/>
    </row>
    <row r="23" spans="1:20" s="12" customFormat="1" ht="23.25" customHeight="1" x14ac:dyDescent="0.25">
      <c r="A23" s="242" t="s">
        <v>328</v>
      </c>
      <c r="B23" s="242"/>
      <c r="C23" s="151" t="s">
        <v>314</v>
      </c>
      <c r="D23" s="288" t="s">
        <v>329</v>
      </c>
      <c r="E23" s="288"/>
      <c r="F23" s="104" t="s">
        <v>330</v>
      </c>
      <c r="G23" s="182"/>
      <c r="H23" s="182"/>
      <c r="I23" s="182"/>
      <c r="J23" s="182"/>
      <c r="K23" s="103"/>
      <c r="L23" s="103"/>
      <c r="M23" s="103"/>
      <c r="N23" s="103"/>
      <c r="O23" s="103"/>
      <c r="P23" s="103"/>
      <c r="Q23" s="103"/>
      <c r="R23" s="103"/>
      <c r="S23" s="106"/>
      <c r="T23" s="103"/>
    </row>
    <row r="24" spans="1:20" s="12" customFormat="1" ht="23.25" customHeight="1" x14ac:dyDescent="0.25">
      <c r="A24" s="242" t="s">
        <v>331</v>
      </c>
      <c r="B24" s="242"/>
      <c r="C24" s="151" t="s">
        <v>314</v>
      </c>
      <c r="D24" s="288" t="s">
        <v>329</v>
      </c>
      <c r="E24" s="288"/>
      <c r="F24" s="104">
        <v>5.0000000000000001E-3</v>
      </c>
      <c r="G24" s="182"/>
      <c r="H24" s="182"/>
      <c r="I24" s="182"/>
      <c r="J24" s="182"/>
      <c r="K24" s="103"/>
      <c r="L24" s="103"/>
      <c r="M24" s="103"/>
      <c r="N24" s="103"/>
      <c r="O24" s="103"/>
      <c r="P24" s="103"/>
      <c r="Q24" s="103"/>
      <c r="R24" s="103"/>
      <c r="S24" s="105"/>
      <c r="T24" s="103"/>
    </row>
    <row r="25" spans="1:20" s="12" customFormat="1" ht="23.25" customHeight="1" x14ac:dyDescent="0.25">
      <c r="A25" s="242" t="s">
        <v>332</v>
      </c>
      <c r="B25" s="242"/>
      <c r="C25" s="151" t="s">
        <v>314</v>
      </c>
      <c r="D25" s="288" t="s">
        <v>329</v>
      </c>
      <c r="E25" s="288"/>
      <c r="F25" s="104">
        <v>0.01</v>
      </c>
      <c r="G25" s="182"/>
      <c r="H25" s="182"/>
      <c r="I25" s="182"/>
      <c r="J25" s="182"/>
      <c r="K25" s="103"/>
      <c r="L25" s="103"/>
      <c r="M25" s="103"/>
      <c r="N25" s="103"/>
      <c r="O25" s="103"/>
      <c r="P25" s="103"/>
      <c r="Q25" s="103"/>
      <c r="R25" s="103"/>
      <c r="S25" s="105"/>
      <c r="T25" s="103"/>
    </row>
    <row r="26" spans="1:20" s="12" customFormat="1" ht="23.25" customHeight="1" x14ac:dyDescent="0.25">
      <c r="A26" s="242" t="s">
        <v>333</v>
      </c>
      <c r="B26" s="242"/>
      <c r="C26" s="151" t="s">
        <v>314</v>
      </c>
      <c r="D26" s="288" t="s">
        <v>329</v>
      </c>
      <c r="E26" s="288"/>
      <c r="F26" s="104">
        <v>5.7000000000000002E-3</v>
      </c>
      <c r="G26" s="182"/>
      <c r="H26" s="182"/>
      <c r="I26" s="182"/>
      <c r="J26" s="182"/>
      <c r="K26" s="103"/>
      <c r="L26" s="103"/>
      <c r="M26" s="103"/>
      <c r="N26" s="103"/>
      <c r="O26" s="103"/>
      <c r="P26" s="103"/>
      <c r="Q26" s="103"/>
      <c r="R26" s="103"/>
      <c r="S26" s="105"/>
      <c r="T26" s="103"/>
    </row>
    <row r="27" spans="1:20" s="12" customFormat="1" ht="23.25" customHeight="1" x14ac:dyDescent="0.25">
      <c r="A27" s="242" t="s">
        <v>334</v>
      </c>
      <c r="B27" s="242"/>
      <c r="C27" s="151" t="s">
        <v>314</v>
      </c>
      <c r="D27" s="288" t="s">
        <v>329</v>
      </c>
      <c r="E27" s="288"/>
      <c r="F27" s="104">
        <v>6.9999999999999999E-4</v>
      </c>
      <c r="G27" s="182"/>
      <c r="H27" s="182"/>
      <c r="I27" s="182"/>
      <c r="J27" s="182"/>
      <c r="K27" s="103"/>
      <c r="L27" s="103"/>
      <c r="M27" s="103"/>
      <c r="N27" s="103"/>
      <c r="O27" s="103"/>
      <c r="P27" s="103"/>
      <c r="Q27" s="103"/>
      <c r="R27" s="103"/>
      <c r="S27" s="105"/>
      <c r="T27" s="103"/>
    </row>
    <row r="28" spans="1:20" s="12" customFormat="1" ht="23.25" customHeight="1" x14ac:dyDescent="0.25">
      <c r="A28" s="242" t="s">
        <v>335</v>
      </c>
      <c r="B28" s="242"/>
      <c r="C28" s="151" t="s">
        <v>314</v>
      </c>
      <c r="D28" s="288" t="s">
        <v>329</v>
      </c>
      <c r="E28" s="288"/>
      <c r="F28" s="104">
        <v>6.9999999999999999E-4</v>
      </c>
      <c r="G28" s="182"/>
      <c r="H28" s="182"/>
      <c r="I28" s="182"/>
      <c r="J28" s="182"/>
      <c r="K28" s="103"/>
      <c r="L28" s="103"/>
      <c r="M28" s="103"/>
      <c r="N28" s="103"/>
      <c r="O28" s="103"/>
      <c r="P28" s="103"/>
      <c r="Q28" s="103"/>
      <c r="R28" s="103"/>
      <c r="S28" s="105"/>
      <c r="T28" s="103"/>
    </row>
    <row r="29" spans="1:20" s="12" customFormat="1" ht="23.25" customHeight="1" x14ac:dyDescent="0.25">
      <c r="A29" s="242" t="s">
        <v>336</v>
      </c>
      <c r="B29" s="242"/>
      <c r="C29" s="151" t="s">
        <v>314</v>
      </c>
      <c r="D29" s="288" t="s">
        <v>329</v>
      </c>
      <c r="E29" s="288"/>
      <c r="F29" s="104">
        <v>5.0000000000000001E-3</v>
      </c>
      <c r="G29" s="182"/>
      <c r="H29" s="182"/>
      <c r="I29" s="182"/>
      <c r="J29" s="182"/>
      <c r="K29" s="103"/>
      <c r="L29" s="103"/>
      <c r="M29" s="103"/>
      <c r="N29" s="103"/>
      <c r="O29" s="103"/>
      <c r="P29" s="103"/>
      <c r="Q29" s="103"/>
      <c r="R29" s="103"/>
      <c r="S29" s="105"/>
      <c r="T29" s="103"/>
    </row>
    <row r="30" spans="1:20" s="12" customFormat="1" ht="23.25" customHeight="1" x14ac:dyDescent="0.25">
      <c r="A30" s="242" t="s">
        <v>337</v>
      </c>
      <c r="B30" s="242"/>
      <c r="C30" s="151" t="s">
        <v>314</v>
      </c>
      <c r="D30" s="288" t="s">
        <v>329</v>
      </c>
      <c r="E30" s="288"/>
      <c r="F30" s="104">
        <v>6.9999999999999999E-4</v>
      </c>
      <c r="G30" s="182"/>
      <c r="H30" s="182"/>
      <c r="I30" s="182"/>
      <c r="J30" s="182"/>
      <c r="K30" s="103"/>
      <c r="L30" s="103"/>
      <c r="M30" s="103"/>
      <c r="N30" s="103"/>
      <c r="O30" s="103"/>
      <c r="P30" s="103"/>
      <c r="Q30" s="103"/>
      <c r="R30" s="103"/>
      <c r="S30" s="105"/>
      <c r="T30" s="103"/>
    </row>
    <row r="31" spans="1:20" s="12" customFormat="1" ht="23.25" customHeight="1" x14ac:dyDescent="0.25">
      <c r="A31" s="242" t="s">
        <v>338</v>
      </c>
      <c r="B31" s="242"/>
      <c r="C31" s="151" t="s">
        <v>314</v>
      </c>
      <c r="D31" s="288" t="s">
        <v>329</v>
      </c>
      <c r="E31" s="288"/>
      <c r="F31" s="104" t="s">
        <v>330</v>
      </c>
      <c r="G31" s="182"/>
      <c r="H31" s="182"/>
      <c r="I31" s="182"/>
      <c r="J31" s="182"/>
      <c r="K31" s="103"/>
      <c r="L31" s="103"/>
      <c r="M31" s="103"/>
      <c r="N31" s="103"/>
      <c r="O31" s="103"/>
      <c r="P31" s="103"/>
      <c r="Q31" s="103"/>
      <c r="R31" s="103"/>
      <c r="S31" s="105"/>
      <c r="T31" s="103"/>
    </row>
    <row r="32" spans="1:20" s="12" customFormat="1" ht="23.25" customHeight="1" x14ac:dyDescent="0.25">
      <c r="A32" s="242" t="s">
        <v>339</v>
      </c>
      <c r="B32" s="242"/>
      <c r="C32" s="151" t="s">
        <v>314</v>
      </c>
      <c r="D32" s="288" t="s">
        <v>329</v>
      </c>
      <c r="E32" s="288"/>
      <c r="F32" s="104">
        <v>0.01</v>
      </c>
      <c r="G32" s="182"/>
      <c r="H32" s="182"/>
      <c r="I32" s="182"/>
      <c r="J32" s="182"/>
      <c r="K32" s="103"/>
      <c r="L32" s="103"/>
      <c r="M32" s="103"/>
      <c r="N32" s="103"/>
      <c r="O32" s="103"/>
      <c r="P32" s="103"/>
      <c r="Q32" s="103"/>
      <c r="R32" s="103"/>
      <c r="S32" s="105"/>
      <c r="T32" s="103"/>
    </row>
    <row r="33" spans="1:20" s="12" customFormat="1" ht="23.25" customHeight="1" x14ac:dyDescent="0.25">
      <c r="A33" s="242" t="s">
        <v>340</v>
      </c>
      <c r="B33" s="242"/>
      <c r="C33" s="151" t="s">
        <v>314</v>
      </c>
      <c r="D33" s="288" t="s">
        <v>329</v>
      </c>
      <c r="E33" s="288"/>
      <c r="F33" s="104">
        <v>6.9999999999999999E-4</v>
      </c>
      <c r="G33" s="182"/>
      <c r="H33" s="182"/>
      <c r="I33" s="182"/>
      <c r="J33" s="182"/>
      <c r="K33" s="103"/>
      <c r="L33" s="103"/>
      <c r="M33" s="103"/>
      <c r="N33" s="103"/>
      <c r="O33" s="103"/>
      <c r="P33" s="103"/>
      <c r="Q33" s="103"/>
      <c r="R33" s="103"/>
      <c r="S33" s="105"/>
      <c r="T33" s="103"/>
    </row>
    <row r="34" spans="1:20" s="12" customFormat="1" ht="23.25" customHeight="1" x14ac:dyDescent="0.25">
      <c r="A34" s="242" t="s">
        <v>341</v>
      </c>
      <c r="B34" s="242"/>
      <c r="C34" s="151" t="s">
        <v>314</v>
      </c>
      <c r="D34" s="288" t="s">
        <v>329</v>
      </c>
      <c r="E34" s="288"/>
      <c r="F34" s="104">
        <v>6.9999999999999999E-4</v>
      </c>
      <c r="G34" s="182"/>
      <c r="H34" s="182"/>
      <c r="I34" s="182"/>
      <c r="J34" s="182"/>
      <c r="K34" s="103"/>
      <c r="L34" s="103"/>
      <c r="M34" s="103"/>
      <c r="N34" s="103"/>
      <c r="O34" s="103"/>
      <c r="P34" s="103"/>
      <c r="Q34" s="103"/>
      <c r="R34" s="103"/>
      <c r="S34" s="105"/>
      <c r="T34" s="103"/>
    </row>
    <row r="35" spans="1:20" s="12" customFormat="1" ht="23.25" customHeight="1" x14ac:dyDescent="0.25">
      <c r="A35" s="242" t="s">
        <v>342</v>
      </c>
      <c r="B35" s="242"/>
      <c r="C35" s="151" t="s">
        <v>314</v>
      </c>
      <c r="D35" s="288" t="s">
        <v>329</v>
      </c>
      <c r="E35" s="288"/>
      <c r="F35" s="104" t="s">
        <v>330</v>
      </c>
      <c r="G35" s="182"/>
      <c r="H35" s="182"/>
      <c r="I35" s="182"/>
      <c r="J35" s="182"/>
      <c r="K35" s="103"/>
      <c r="L35" s="103"/>
      <c r="M35" s="103"/>
      <c r="N35" s="103"/>
      <c r="O35" s="103"/>
      <c r="P35" s="103"/>
      <c r="Q35" s="103"/>
      <c r="R35" s="103"/>
      <c r="S35" s="105"/>
      <c r="T35" s="103"/>
    </row>
    <row r="36" spans="1:20" s="12" customFormat="1" ht="23.25" customHeight="1" x14ac:dyDescent="0.25">
      <c r="A36" s="242" t="s">
        <v>343</v>
      </c>
      <c r="B36" s="242"/>
      <c r="C36" s="151" t="s">
        <v>314</v>
      </c>
      <c r="D36" s="288" t="s">
        <v>329</v>
      </c>
      <c r="E36" s="288"/>
      <c r="F36" s="104">
        <v>8.5000000000000006E-2</v>
      </c>
      <c r="G36" s="182"/>
      <c r="H36" s="182"/>
      <c r="I36" s="182"/>
      <c r="J36" s="182"/>
      <c r="K36" s="103"/>
      <c r="L36" s="103"/>
      <c r="M36" s="103"/>
      <c r="N36" s="103"/>
      <c r="O36" s="103"/>
      <c r="P36" s="103"/>
      <c r="Q36" s="103"/>
      <c r="R36" s="103"/>
      <c r="S36" s="105"/>
      <c r="T36" s="103"/>
    </row>
    <row r="37" spans="1:20" s="12" customFormat="1" ht="23.25" customHeight="1" x14ac:dyDescent="0.25">
      <c r="A37" s="242" t="s">
        <v>344</v>
      </c>
      <c r="B37" s="242"/>
      <c r="C37" s="151" t="s">
        <v>314</v>
      </c>
      <c r="D37" s="288" t="s">
        <v>329</v>
      </c>
      <c r="E37" s="288"/>
      <c r="F37" s="104">
        <v>5.7000000000000002E-3</v>
      </c>
      <c r="G37" s="182"/>
      <c r="H37" s="182"/>
      <c r="I37" s="182"/>
      <c r="J37" s="182"/>
      <c r="K37" s="103"/>
      <c r="L37" s="103"/>
      <c r="M37" s="103"/>
      <c r="N37" s="103"/>
      <c r="O37" s="103"/>
      <c r="P37" s="103"/>
      <c r="Q37" s="103"/>
      <c r="R37" s="103"/>
      <c r="S37" s="105"/>
      <c r="T37" s="103"/>
    </row>
    <row r="38" spans="1:20" s="12" customFormat="1" ht="23.25" customHeight="1" x14ac:dyDescent="0.25">
      <c r="A38" s="242" t="s">
        <v>345</v>
      </c>
      <c r="B38" s="242"/>
      <c r="C38" s="151" t="s">
        <v>314</v>
      </c>
      <c r="D38" s="288" t="s">
        <v>329</v>
      </c>
      <c r="E38" s="288"/>
      <c r="F38" s="104">
        <v>0.52500000000000002</v>
      </c>
      <c r="G38" s="182"/>
      <c r="H38" s="182"/>
      <c r="I38" s="182"/>
      <c r="J38" s="182"/>
      <c r="K38" s="103"/>
      <c r="L38" s="103"/>
      <c r="M38" s="103"/>
      <c r="N38" s="103"/>
      <c r="O38" s="103"/>
      <c r="P38" s="103"/>
      <c r="Q38" s="103"/>
      <c r="R38" s="103"/>
      <c r="S38" s="105"/>
      <c r="T38" s="103"/>
    </row>
    <row r="39" spans="1:20" x14ac:dyDescent="0.25">
      <c r="A39" s="243" t="s">
        <v>295</v>
      </c>
      <c r="B39" s="243"/>
      <c r="C39" s="243"/>
      <c r="D39" s="243"/>
      <c r="E39" s="243"/>
      <c r="F39" s="243"/>
      <c r="G39" s="243"/>
      <c r="H39" s="243"/>
      <c r="I39" s="243"/>
      <c r="J39" s="243"/>
      <c r="K39" s="92"/>
      <c r="L39" s="92"/>
      <c r="M39" s="92"/>
      <c r="N39" s="92"/>
      <c r="O39" s="92"/>
      <c r="P39" s="92"/>
      <c r="Q39" s="92"/>
      <c r="R39" s="92"/>
      <c r="S39" s="105"/>
      <c r="T39" s="103"/>
    </row>
    <row r="40" spans="1:20" x14ac:dyDescent="0.25">
      <c r="A40" s="336"/>
      <c r="B40" s="336"/>
      <c r="C40" s="336"/>
      <c r="D40" s="336"/>
      <c r="E40" s="336"/>
      <c r="F40" s="336"/>
      <c r="G40" s="336"/>
      <c r="H40" s="336"/>
      <c r="I40" s="336"/>
      <c r="J40" s="336"/>
      <c r="K40" s="92"/>
      <c r="L40" s="92"/>
      <c r="M40" s="92"/>
      <c r="N40" s="92"/>
      <c r="O40" s="92"/>
      <c r="P40" s="92"/>
      <c r="Q40" s="92"/>
      <c r="R40" s="92"/>
      <c r="S40" s="105"/>
      <c r="T40" s="103"/>
    </row>
    <row r="41" spans="1:20" x14ac:dyDescent="0.25">
      <c r="A41" s="336"/>
      <c r="B41" s="336"/>
      <c r="C41" s="336"/>
      <c r="D41" s="336"/>
      <c r="E41" s="336"/>
      <c r="F41" s="336"/>
      <c r="G41" s="336"/>
      <c r="H41" s="336"/>
      <c r="I41" s="336"/>
      <c r="J41" s="336"/>
      <c r="K41" s="92"/>
      <c r="L41" s="92"/>
      <c r="M41" s="92"/>
      <c r="N41" s="92"/>
      <c r="O41" s="92"/>
      <c r="P41" s="92"/>
      <c r="Q41" s="92"/>
      <c r="R41" s="92"/>
      <c r="S41" s="92"/>
      <c r="T41" s="92"/>
    </row>
    <row r="64" spans="6:6" x14ac:dyDescent="0.25">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P68"/>
  <sheetViews>
    <sheetView topLeftCell="A5" workbookViewId="0">
      <selection activeCell="Q20" sqref="Q20"/>
    </sheetView>
  </sheetViews>
  <sheetFormatPr defaultColWidth="9.33203125" defaultRowHeight="15" x14ac:dyDescent="0.25"/>
  <cols>
    <col min="1" max="1" width="21.33203125" style="2" customWidth="1"/>
    <col min="2" max="2" width="13.6640625" style="2" customWidth="1"/>
    <col min="3" max="3" width="16.33203125" style="2" customWidth="1"/>
    <col min="4" max="4" width="9.33203125" style="2"/>
    <col min="5" max="5" width="12.88671875" style="2" bestFit="1" customWidth="1"/>
    <col min="6" max="12" width="9.33203125" style="2"/>
    <col min="13" max="13" width="10.44140625" style="2" customWidth="1"/>
    <col min="14" max="16384" width="9.33203125" style="2"/>
  </cols>
  <sheetData>
    <row r="1" spans="1:16" x14ac:dyDescent="0.25">
      <c r="A1" s="92" t="str">
        <f>+'Cover Page'!$B$29</f>
        <v>Annual Performance Report 2022</v>
      </c>
      <c r="B1" s="92"/>
      <c r="C1" s="92"/>
      <c r="D1" s="92"/>
      <c r="E1" s="92"/>
      <c r="F1" s="92"/>
      <c r="G1" s="92"/>
      <c r="H1" s="92"/>
      <c r="I1" s="92" t="str">
        <f>+'Cover Page'!$B$33</f>
        <v>Lincolnshire Energy from Waste Facility</v>
      </c>
      <c r="J1" s="92"/>
      <c r="K1" s="92"/>
      <c r="L1" s="92"/>
      <c r="M1" s="92"/>
      <c r="N1" s="92"/>
      <c r="O1" s="92"/>
      <c r="P1" s="92"/>
    </row>
    <row r="3" spans="1:16" ht="15.6" x14ac:dyDescent="0.3">
      <c r="A3" s="1" t="s">
        <v>346</v>
      </c>
      <c r="B3" s="92"/>
      <c r="C3" s="92"/>
      <c r="D3" s="92"/>
      <c r="E3" s="92"/>
      <c r="F3" s="92"/>
      <c r="G3" s="92"/>
      <c r="H3" s="92"/>
      <c r="I3" s="92"/>
      <c r="J3" s="92"/>
      <c r="K3" s="92"/>
      <c r="L3" s="92"/>
      <c r="M3" s="92"/>
      <c r="N3" s="92"/>
      <c r="O3" s="92"/>
      <c r="P3" s="92"/>
    </row>
    <row r="4" spans="1:16" ht="15.6" x14ac:dyDescent="0.3">
      <c r="A4" s="1"/>
      <c r="B4" s="92"/>
      <c r="C4" s="92"/>
      <c r="D4" s="92"/>
      <c r="E4" s="92"/>
      <c r="F4" s="92"/>
      <c r="G4" s="92"/>
      <c r="H4" s="92"/>
      <c r="I4" s="92"/>
      <c r="J4" s="92"/>
      <c r="K4" s="92"/>
      <c r="L4" s="92"/>
      <c r="M4" s="92"/>
      <c r="N4" s="92"/>
      <c r="O4" s="92"/>
      <c r="P4" s="72" t="s">
        <v>3</v>
      </c>
    </row>
    <row r="5" spans="1:16" s="3" customFormat="1" ht="21.75" customHeight="1" x14ac:dyDescent="0.3">
      <c r="A5" s="47" t="s">
        <v>305</v>
      </c>
      <c r="B5" s="48"/>
      <c r="C5" s="48"/>
      <c r="D5" s="48"/>
      <c r="E5" s="48"/>
      <c r="F5" s="48"/>
      <c r="G5" s="48"/>
      <c r="H5" s="48"/>
      <c r="I5" s="48"/>
      <c r="J5" s="48"/>
      <c r="K5" s="48"/>
      <c r="L5" s="48"/>
      <c r="M5" s="49"/>
      <c r="P5" s="73" t="s">
        <v>347</v>
      </c>
    </row>
    <row r="6" spans="1:16" s="3" customFormat="1" ht="15.75" customHeight="1" x14ac:dyDescent="0.25">
      <c r="A6" s="325"/>
      <c r="B6" s="224"/>
      <c r="C6" s="224"/>
      <c r="D6" s="224"/>
      <c r="E6" s="224"/>
      <c r="F6" s="224"/>
      <c r="G6" s="224"/>
      <c r="H6" s="224"/>
      <c r="I6" s="224"/>
      <c r="J6" s="224"/>
      <c r="K6" s="224"/>
      <c r="L6" s="224"/>
      <c r="M6" s="225"/>
      <c r="P6" s="3" t="s">
        <v>348</v>
      </c>
    </row>
    <row r="7" spans="1:16" s="3" customFormat="1" ht="15.75" customHeight="1" x14ac:dyDescent="0.25">
      <c r="A7" s="229"/>
      <c r="B7" s="230"/>
      <c r="C7" s="230"/>
      <c r="D7" s="230"/>
      <c r="E7" s="230"/>
      <c r="F7" s="230"/>
      <c r="G7" s="230"/>
      <c r="H7" s="230"/>
      <c r="I7" s="230"/>
      <c r="J7" s="230"/>
      <c r="K7" s="230"/>
      <c r="L7" s="230"/>
      <c r="M7" s="231"/>
    </row>
    <row r="8" spans="1:16" s="3" customFormat="1" ht="15.75" customHeight="1" x14ac:dyDescent="0.25">
      <c r="A8" s="215"/>
      <c r="B8" s="216"/>
      <c r="C8" s="216"/>
      <c r="D8" s="216"/>
      <c r="E8" s="216"/>
      <c r="F8" s="216"/>
      <c r="G8" s="216"/>
      <c r="H8" s="216"/>
      <c r="I8" s="216"/>
      <c r="J8" s="216"/>
      <c r="K8" s="216"/>
      <c r="L8" s="216"/>
      <c r="M8" s="217"/>
    </row>
    <row r="9" spans="1:16" s="3" customFormat="1" ht="15.75" customHeight="1" x14ac:dyDescent="0.25">
      <c r="A9" s="221"/>
      <c r="B9" s="222"/>
      <c r="C9" s="222"/>
      <c r="D9" s="222"/>
      <c r="E9" s="222"/>
      <c r="F9" s="222"/>
      <c r="G9" s="222"/>
      <c r="H9" s="222"/>
      <c r="I9" s="222"/>
      <c r="J9" s="222"/>
      <c r="K9" s="222"/>
      <c r="L9" s="222"/>
      <c r="M9" s="223"/>
    </row>
    <row r="10" spans="1:16" s="3" customFormat="1" ht="13.8" x14ac:dyDescent="0.25"/>
    <row r="11" spans="1:16" s="55" customFormat="1" ht="16.5" customHeight="1" x14ac:dyDescent="0.25">
      <c r="A11" s="342" t="s">
        <v>349</v>
      </c>
      <c r="B11" s="342"/>
      <c r="C11" s="342"/>
      <c r="D11" s="342"/>
      <c r="E11" s="342"/>
      <c r="F11" s="342"/>
      <c r="G11" s="342"/>
      <c r="H11" s="342"/>
      <c r="I11" s="342"/>
      <c r="J11" s="342"/>
      <c r="K11" s="342"/>
      <c r="L11" s="342"/>
      <c r="M11" s="342"/>
    </row>
    <row r="12" spans="1:16" s="55" customFormat="1" ht="16.5" customHeight="1" x14ac:dyDescent="0.25">
      <c r="A12" s="374" t="s">
        <v>215</v>
      </c>
      <c r="B12" s="367" t="s">
        <v>350</v>
      </c>
      <c r="C12" s="295" t="s">
        <v>309</v>
      </c>
      <c r="D12" s="296" t="s">
        <v>189</v>
      </c>
      <c r="E12" s="376"/>
      <c r="F12" s="296" t="s">
        <v>190</v>
      </c>
      <c r="G12" s="376"/>
      <c r="H12" s="296" t="s">
        <v>191</v>
      </c>
      <c r="I12" s="376"/>
      <c r="J12" s="296" t="s">
        <v>192</v>
      </c>
      <c r="K12" s="376"/>
      <c r="L12" s="296" t="s">
        <v>193</v>
      </c>
      <c r="M12" s="376"/>
    </row>
    <row r="13" spans="1:16" s="12" customFormat="1" ht="17.25" customHeight="1" x14ac:dyDescent="0.25">
      <c r="A13" s="374"/>
      <c r="B13" s="375"/>
      <c r="C13" s="295"/>
      <c r="D13" s="45" t="s">
        <v>301</v>
      </c>
      <c r="E13" s="56" t="s">
        <v>351</v>
      </c>
      <c r="F13" s="45" t="s">
        <v>301</v>
      </c>
      <c r="G13" s="56" t="s">
        <v>351</v>
      </c>
      <c r="H13" s="45" t="s">
        <v>301</v>
      </c>
      <c r="I13" s="56" t="s">
        <v>351</v>
      </c>
      <c r="J13" s="45" t="s">
        <v>301</v>
      </c>
      <c r="K13" s="56" t="s">
        <v>351</v>
      </c>
      <c r="L13" s="45" t="s">
        <v>301</v>
      </c>
      <c r="M13" s="56" t="s">
        <v>351</v>
      </c>
      <c r="N13" s="103"/>
      <c r="O13" s="103"/>
      <c r="P13" s="103"/>
    </row>
    <row r="14" spans="1:16" s="12" customFormat="1" ht="23.25" customHeight="1" x14ac:dyDescent="0.25">
      <c r="A14" s="242" t="s">
        <v>221</v>
      </c>
      <c r="B14" s="177" t="s">
        <v>352</v>
      </c>
      <c r="C14" s="177" t="s">
        <v>353</v>
      </c>
      <c r="D14" s="104">
        <v>185.5</v>
      </c>
      <c r="E14" s="104">
        <v>151.35</v>
      </c>
      <c r="F14" s="182"/>
      <c r="G14" s="182"/>
      <c r="H14" s="182"/>
      <c r="I14" s="182"/>
      <c r="J14" s="182"/>
      <c r="K14" s="182"/>
      <c r="L14" s="182"/>
      <c r="M14" s="182"/>
      <c r="N14" s="103"/>
      <c r="O14" s="103"/>
      <c r="P14" s="103"/>
    </row>
    <row r="15" spans="1:16" s="12" customFormat="1" ht="23.25" customHeight="1" x14ac:dyDescent="0.25">
      <c r="A15" s="242"/>
      <c r="B15" s="177" t="s">
        <v>354</v>
      </c>
      <c r="C15" s="177" t="s">
        <v>355</v>
      </c>
      <c r="D15" s="104">
        <v>269.2</v>
      </c>
      <c r="E15" s="183">
        <v>151.43333333333334</v>
      </c>
      <c r="F15" s="182"/>
      <c r="G15" s="182"/>
      <c r="H15" s="182"/>
      <c r="I15" s="182"/>
      <c r="J15" s="182"/>
      <c r="K15" s="182"/>
      <c r="L15" s="182"/>
      <c r="M15" s="182"/>
      <c r="N15" s="103"/>
      <c r="O15" s="103"/>
      <c r="P15" s="103"/>
    </row>
    <row r="16" spans="1:16" s="12" customFormat="1" ht="23.25" customHeight="1" x14ac:dyDescent="0.25">
      <c r="A16" s="110" t="s">
        <v>220</v>
      </c>
      <c r="B16" s="172" t="s">
        <v>352</v>
      </c>
      <c r="C16" s="177" t="s">
        <v>356</v>
      </c>
      <c r="D16" s="104">
        <v>0.4</v>
      </c>
      <c r="E16" s="104">
        <v>2.5000000000000005E-2</v>
      </c>
      <c r="F16" s="182"/>
      <c r="G16" s="182"/>
      <c r="H16" s="182"/>
      <c r="I16" s="182"/>
      <c r="J16" s="182"/>
      <c r="K16" s="182"/>
      <c r="L16" s="182"/>
      <c r="M16" s="182"/>
      <c r="N16" s="103"/>
      <c r="O16" s="103"/>
      <c r="P16" s="103"/>
    </row>
    <row r="17" spans="1:13" s="12" customFormat="1" ht="23.25" customHeight="1" x14ac:dyDescent="0.25">
      <c r="A17" s="110"/>
      <c r="B17" s="177" t="s">
        <v>354</v>
      </c>
      <c r="C17" s="177" t="s">
        <v>357</v>
      </c>
      <c r="D17" s="104">
        <v>0.6</v>
      </c>
      <c r="E17" s="184">
        <v>6.6666666666666666E-2</v>
      </c>
      <c r="F17" s="182"/>
      <c r="G17" s="182"/>
      <c r="H17" s="182"/>
      <c r="I17" s="182"/>
      <c r="J17" s="182"/>
      <c r="K17" s="182"/>
      <c r="L17" s="182"/>
      <c r="M17" s="182"/>
    </row>
    <row r="18" spans="1:13" s="12" customFormat="1" ht="23.25" customHeight="1" x14ac:dyDescent="0.25">
      <c r="A18" s="110" t="s">
        <v>358</v>
      </c>
      <c r="B18" s="177" t="s">
        <v>352</v>
      </c>
      <c r="C18" s="177" t="s">
        <v>359</v>
      </c>
      <c r="D18" s="104">
        <v>1.5</v>
      </c>
      <c r="E18" s="181">
        <v>0.63333333333333341</v>
      </c>
      <c r="F18" s="182"/>
      <c r="G18" s="182"/>
      <c r="H18" s="182"/>
      <c r="I18" s="182"/>
      <c r="J18" s="182"/>
      <c r="K18" s="182"/>
      <c r="L18" s="182"/>
      <c r="M18" s="182"/>
    </row>
    <row r="19" spans="1:13" s="12" customFormat="1" ht="23.25" customHeight="1" x14ac:dyDescent="0.25">
      <c r="A19" s="110"/>
      <c r="B19" s="177" t="s">
        <v>354</v>
      </c>
      <c r="C19" s="177" t="s">
        <v>360</v>
      </c>
      <c r="D19" s="104">
        <v>15.2</v>
      </c>
      <c r="E19" s="181">
        <v>0.68333333333333346</v>
      </c>
      <c r="F19" s="182"/>
      <c r="G19" s="182"/>
      <c r="H19" s="182"/>
      <c r="I19" s="182"/>
      <c r="J19" s="182"/>
      <c r="K19" s="182"/>
      <c r="L19" s="182"/>
      <c r="M19" s="182"/>
    </row>
    <row r="20" spans="1:13" s="12" customFormat="1" ht="23.25" customHeight="1" x14ac:dyDescent="0.25">
      <c r="A20" s="110" t="s">
        <v>361</v>
      </c>
      <c r="B20" s="177" t="s">
        <v>352</v>
      </c>
      <c r="C20" s="177" t="s">
        <v>359</v>
      </c>
      <c r="D20" s="104">
        <v>8.6</v>
      </c>
      <c r="E20" s="181">
        <v>5.2666666666666666</v>
      </c>
      <c r="F20" s="182"/>
      <c r="G20" s="182"/>
      <c r="H20" s="182"/>
      <c r="I20" s="182"/>
      <c r="J20" s="182"/>
      <c r="K20" s="182"/>
      <c r="L20" s="182"/>
      <c r="M20" s="182"/>
    </row>
    <row r="21" spans="1:13" s="12" customFormat="1" ht="23.25" customHeight="1" x14ac:dyDescent="0.25">
      <c r="A21" s="110"/>
      <c r="B21" s="177" t="s">
        <v>354</v>
      </c>
      <c r="C21" s="177" t="s">
        <v>362</v>
      </c>
      <c r="D21" s="104">
        <v>15.3</v>
      </c>
      <c r="E21" s="181">
        <v>5.3083333333333336</v>
      </c>
      <c r="F21" s="182"/>
      <c r="G21" s="182"/>
      <c r="H21" s="182"/>
      <c r="I21" s="182"/>
      <c r="J21" s="182"/>
      <c r="K21" s="182"/>
      <c r="L21" s="182"/>
      <c r="M21" s="182"/>
    </row>
    <row r="22" spans="1:13" s="12" customFormat="1" ht="23.25" customHeight="1" x14ac:dyDescent="0.25">
      <c r="A22" s="110" t="s">
        <v>222</v>
      </c>
      <c r="B22" s="177" t="s">
        <v>352</v>
      </c>
      <c r="C22" s="177" t="s">
        <v>363</v>
      </c>
      <c r="D22" s="104">
        <v>35.4</v>
      </c>
      <c r="E22" s="181">
        <v>27.775000000000002</v>
      </c>
      <c r="F22" s="182"/>
      <c r="G22" s="182"/>
      <c r="H22" s="182"/>
      <c r="I22" s="182"/>
      <c r="J22" s="182"/>
      <c r="K22" s="182"/>
      <c r="L22" s="182"/>
      <c r="M22" s="182"/>
    </row>
    <row r="23" spans="1:13" s="12" customFormat="1" ht="23.25" customHeight="1" x14ac:dyDescent="0.25">
      <c r="A23" s="110"/>
      <c r="B23" s="177" t="s">
        <v>354</v>
      </c>
      <c r="C23" s="177" t="s">
        <v>353</v>
      </c>
      <c r="D23" s="104">
        <v>105.3</v>
      </c>
      <c r="E23" s="181">
        <v>27.766666666666666</v>
      </c>
      <c r="F23" s="182"/>
      <c r="G23" s="182"/>
      <c r="H23" s="182"/>
      <c r="I23" s="182"/>
      <c r="J23" s="182"/>
      <c r="K23" s="182"/>
      <c r="L23" s="182"/>
      <c r="M23" s="182"/>
    </row>
    <row r="24" spans="1:13" s="12" customFormat="1" ht="23.25" customHeight="1" x14ac:dyDescent="0.25">
      <c r="A24" s="110" t="s">
        <v>364</v>
      </c>
      <c r="B24" s="177" t="s">
        <v>352</v>
      </c>
      <c r="C24" s="177" t="s">
        <v>363</v>
      </c>
      <c r="D24" s="104">
        <v>15.3</v>
      </c>
      <c r="E24" s="181">
        <v>3.6583333333333337</v>
      </c>
      <c r="F24" s="182"/>
      <c r="G24" s="182"/>
      <c r="H24" s="182"/>
      <c r="I24" s="182"/>
      <c r="J24" s="182"/>
      <c r="K24" s="182"/>
      <c r="L24" s="182"/>
      <c r="M24" s="182"/>
    </row>
    <row r="25" spans="1:13" s="12" customFormat="1" ht="23.25" customHeight="1" x14ac:dyDescent="0.25">
      <c r="A25" s="110"/>
      <c r="B25" s="182" t="s">
        <v>365</v>
      </c>
      <c r="C25" s="182" t="s">
        <v>366</v>
      </c>
      <c r="D25" s="182"/>
      <c r="E25" s="182"/>
      <c r="F25" s="182"/>
      <c r="G25" s="182"/>
      <c r="H25" s="182"/>
      <c r="I25" s="182"/>
      <c r="J25" s="182"/>
      <c r="K25" s="182"/>
      <c r="L25" s="182"/>
      <c r="M25" s="182"/>
    </row>
    <row r="26" spans="1:13" s="12" customFormat="1" ht="23.25" customHeight="1" x14ac:dyDescent="0.25">
      <c r="A26" s="110"/>
      <c r="B26" s="177" t="s">
        <v>367</v>
      </c>
      <c r="C26" s="177" t="s">
        <v>368</v>
      </c>
      <c r="D26" s="104">
        <v>859.3</v>
      </c>
      <c r="E26" s="104">
        <v>150</v>
      </c>
      <c r="F26" s="182"/>
      <c r="G26" s="182"/>
      <c r="H26" s="182"/>
      <c r="I26" s="182"/>
      <c r="J26" s="182"/>
      <c r="K26" s="182"/>
      <c r="L26" s="182"/>
      <c r="M26" s="182"/>
    </row>
    <row r="27" spans="1:13" s="12" customFormat="1" ht="23.25" customHeight="1" x14ac:dyDescent="0.25">
      <c r="A27" s="163" t="s">
        <v>369</v>
      </c>
      <c r="B27" s="185" t="s">
        <v>352</v>
      </c>
      <c r="C27" s="185" t="s">
        <v>370</v>
      </c>
      <c r="D27" s="186">
        <v>12.5</v>
      </c>
      <c r="E27" s="187">
        <v>3.8416666666666668</v>
      </c>
      <c r="F27" s="188"/>
      <c r="G27" s="188"/>
      <c r="H27" s="188"/>
      <c r="I27" s="188"/>
      <c r="J27" s="188"/>
      <c r="K27" s="188"/>
      <c r="L27" s="188"/>
      <c r="M27" s="188"/>
    </row>
    <row r="28" spans="1:13" x14ac:dyDescent="0.25">
      <c r="A28" s="370" t="s">
        <v>371</v>
      </c>
      <c r="B28" s="371"/>
      <c r="C28" s="371"/>
      <c r="D28" s="371"/>
      <c r="E28" s="371"/>
      <c r="F28" s="371"/>
      <c r="G28" s="371"/>
      <c r="H28" s="371"/>
      <c r="I28" s="371"/>
      <c r="J28" s="371"/>
      <c r="K28" s="371"/>
      <c r="L28" s="371"/>
      <c r="M28" s="372"/>
    </row>
    <row r="29" spans="1:13" x14ac:dyDescent="0.25">
      <c r="A29" s="82" t="s">
        <v>295</v>
      </c>
      <c r="B29" s="83"/>
      <c r="C29" s="83"/>
      <c r="D29" s="83"/>
      <c r="E29" s="83"/>
      <c r="F29" s="83"/>
      <c r="G29" s="83"/>
      <c r="H29" s="83"/>
      <c r="I29" s="83"/>
      <c r="J29" s="83"/>
      <c r="K29" s="83"/>
      <c r="L29" s="83"/>
      <c r="M29" s="84"/>
    </row>
    <row r="30" spans="1:13" x14ac:dyDescent="0.25">
      <c r="A30" s="373"/>
      <c r="B30" s="373"/>
      <c r="C30" s="373"/>
      <c r="D30" s="373"/>
      <c r="E30" s="373"/>
      <c r="F30" s="373"/>
      <c r="G30" s="373"/>
      <c r="H30" s="373"/>
      <c r="I30" s="373"/>
      <c r="J30" s="373"/>
      <c r="K30" s="373"/>
      <c r="L30" s="373"/>
      <c r="M30" s="373"/>
    </row>
    <row r="31" spans="1:13" x14ac:dyDescent="0.25">
      <c r="A31" s="336"/>
      <c r="B31" s="336"/>
      <c r="C31" s="336"/>
      <c r="D31" s="336"/>
      <c r="E31" s="336"/>
      <c r="F31" s="336"/>
      <c r="G31" s="336"/>
      <c r="H31" s="336"/>
      <c r="I31" s="336"/>
      <c r="J31" s="336"/>
      <c r="K31" s="336"/>
      <c r="L31" s="336"/>
      <c r="M31" s="336"/>
    </row>
    <row r="68" spans="6:6" x14ac:dyDescent="0.2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S79"/>
  <sheetViews>
    <sheetView workbookViewId="0">
      <selection activeCell="L13" sqref="L13"/>
    </sheetView>
  </sheetViews>
  <sheetFormatPr defaultRowHeight="13.8" x14ac:dyDescent="0.25"/>
  <cols>
    <col min="1" max="1" width="14" style="3" customWidth="1"/>
    <col min="2" max="7" width="17" style="34"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
        <v>5</v>
      </c>
      <c r="B1" s="92"/>
      <c r="C1" s="92"/>
      <c r="D1" s="92"/>
      <c r="E1" s="92" t="s">
        <v>7</v>
      </c>
      <c r="F1" s="92"/>
      <c r="G1" s="92"/>
    </row>
    <row r="3" spans="1:19" ht="14.4" x14ac:dyDescent="0.3">
      <c r="A3" s="59" t="s">
        <v>372</v>
      </c>
      <c r="D3" s="75" t="s">
        <v>373</v>
      </c>
      <c r="G3" s="79" t="s">
        <v>374</v>
      </c>
      <c r="J3" s="9" t="s">
        <v>372</v>
      </c>
      <c r="L3" s="9"/>
      <c r="N3" s="9" t="s">
        <v>375</v>
      </c>
      <c r="Q3" s="78" t="s">
        <v>3</v>
      </c>
      <c r="R3" s="73"/>
      <c r="S3" s="73"/>
    </row>
    <row r="4" spans="1:19" ht="13.95" customHeight="1" x14ac:dyDescent="0.25">
      <c r="Q4" s="369" t="s">
        <v>376</v>
      </c>
      <c r="R4" s="369"/>
      <c r="S4" s="369"/>
    </row>
    <row r="5" spans="1:19" ht="16.2" x14ac:dyDescent="0.25">
      <c r="A5" s="67" t="s">
        <v>377</v>
      </c>
      <c r="B5" s="380" t="s">
        <v>378</v>
      </c>
      <c r="C5" s="380"/>
      <c r="D5" s="380"/>
      <c r="E5" s="380" t="s">
        <v>379</v>
      </c>
      <c r="F5" s="380"/>
      <c r="G5" s="380"/>
      <c r="J5" s="379"/>
      <c r="K5" s="379"/>
      <c r="L5" s="379"/>
      <c r="M5" s="379"/>
      <c r="N5" s="379"/>
      <c r="O5" s="379"/>
      <c r="Q5" s="369"/>
      <c r="R5" s="369"/>
      <c r="S5" s="369"/>
    </row>
    <row r="6" spans="1:19" s="57" customFormat="1" ht="37.5" customHeight="1" x14ac:dyDescent="0.3">
      <c r="A6" s="64">
        <v>2022</v>
      </c>
      <c r="B6" s="54" t="s">
        <v>380</v>
      </c>
      <c r="C6" s="54" t="s">
        <v>381</v>
      </c>
      <c r="D6" s="54" t="s">
        <v>382</v>
      </c>
      <c r="E6" s="54" t="s">
        <v>383</v>
      </c>
      <c r="F6" s="54" t="s">
        <v>384</v>
      </c>
      <c r="G6" s="54" t="s">
        <v>385</v>
      </c>
      <c r="H6" s="58"/>
      <c r="J6" s="60">
        <v>2022</v>
      </c>
      <c r="K6" s="60" t="s">
        <v>386</v>
      </c>
      <c r="L6" s="66" t="s">
        <v>381</v>
      </c>
      <c r="M6" s="66" t="s">
        <v>387</v>
      </c>
      <c r="N6" s="66" t="s">
        <v>384</v>
      </c>
      <c r="O6" s="66" t="s">
        <v>388</v>
      </c>
      <c r="Q6" s="369"/>
      <c r="R6" s="369"/>
      <c r="S6" s="369"/>
    </row>
    <row r="7" spans="1:19" ht="13.95" customHeight="1" x14ac:dyDescent="0.25">
      <c r="A7" s="65" t="s">
        <v>389</v>
      </c>
      <c r="B7" s="62">
        <v>60</v>
      </c>
      <c r="C7" s="63">
        <v>4.7</v>
      </c>
      <c r="D7" s="63">
        <v>8</v>
      </c>
      <c r="E7" s="62">
        <v>10</v>
      </c>
      <c r="F7" s="63">
        <v>4.7</v>
      </c>
      <c r="G7" s="63">
        <v>5.5</v>
      </c>
      <c r="J7" s="378" t="s">
        <v>189</v>
      </c>
      <c r="K7" s="65" t="s">
        <v>389</v>
      </c>
      <c r="L7" s="61">
        <v>4.7</v>
      </c>
      <c r="M7" s="61">
        <v>8</v>
      </c>
      <c r="N7" s="61">
        <v>4.7</v>
      </c>
      <c r="O7" s="61">
        <v>5.5</v>
      </c>
      <c r="Q7" s="369"/>
      <c r="R7" s="369"/>
      <c r="S7" s="369"/>
    </row>
    <row r="8" spans="1:19" x14ac:dyDescent="0.25">
      <c r="A8" s="65" t="s">
        <v>390</v>
      </c>
      <c r="B8" s="62">
        <v>60</v>
      </c>
      <c r="C8" s="63">
        <v>3.9</v>
      </c>
      <c r="D8" s="63">
        <v>7.3</v>
      </c>
      <c r="E8" s="62">
        <v>10</v>
      </c>
      <c r="F8" s="63">
        <v>3.8</v>
      </c>
      <c r="G8" s="63">
        <v>4.5999999999999996</v>
      </c>
      <c r="J8" s="378"/>
      <c r="K8" s="65" t="s">
        <v>390</v>
      </c>
      <c r="L8" s="61">
        <v>3.9</v>
      </c>
      <c r="M8" s="61">
        <v>7.3</v>
      </c>
      <c r="N8" s="61">
        <v>3.8</v>
      </c>
      <c r="O8" s="61">
        <v>4.5999999999999996</v>
      </c>
      <c r="Q8" s="369"/>
      <c r="R8" s="369"/>
      <c r="S8" s="369"/>
    </row>
    <row r="9" spans="1:19" x14ac:dyDescent="0.25">
      <c r="A9" s="65" t="s">
        <v>391</v>
      </c>
      <c r="B9" s="62">
        <v>60</v>
      </c>
      <c r="C9" s="63">
        <v>4.5</v>
      </c>
      <c r="D9" s="63">
        <v>7.5</v>
      </c>
      <c r="E9" s="62">
        <v>10</v>
      </c>
      <c r="F9" s="63">
        <v>4.4000000000000004</v>
      </c>
      <c r="G9" s="63">
        <v>5.4</v>
      </c>
      <c r="J9" s="378"/>
      <c r="K9" s="65" t="s">
        <v>391</v>
      </c>
      <c r="L9" s="61">
        <v>4.5</v>
      </c>
      <c r="M9" s="61">
        <v>7.5</v>
      </c>
      <c r="N9" s="61">
        <v>4.4000000000000004</v>
      </c>
      <c r="O9" s="61">
        <v>5.4</v>
      </c>
      <c r="Q9" s="77" t="s">
        <v>392</v>
      </c>
    </row>
    <row r="10" spans="1:19" ht="13.95" customHeight="1" x14ac:dyDescent="0.25">
      <c r="A10" s="65" t="s">
        <v>393</v>
      </c>
      <c r="B10" s="62">
        <v>60</v>
      </c>
      <c r="C10" s="63">
        <v>4.8</v>
      </c>
      <c r="D10" s="63">
        <v>9.1</v>
      </c>
      <c r="E10" s="62">
        <v>10</v>
      </c>
      <c r="F10" s="63">
        <v>4.7</v>
      </c>
      <c r="G10" s="63">
        <v>5.5</v>
      </c>
      <c r="J10" s="378"/>
      <c r="K10" s="65" t="s">
        <v>393</v>
      </c>
      <c r="L10" s="61">
        <v>4.8</v>
      </c>
      <c r="M10" s="61">
        <v>9.1</v>
      </c>
      <c r="N10" s="61">
        <v>4.7</v>
      </c>
      <c r="O10" s="61">
        <v>5.5</v>
      </c>
      <c r="Q10" s="377" t="s">
        <v>394</v>
      </c>
      <c r="R10" s="377"/>
      <c r="S10" s="377"/>
    </row>
    <row r="11" spans="1:19" x14ac:dyDescent="0.25">
      <c r="A11" s="65" t="s">
        <v>395</v>
      </c>
      <c r="B11" s="62">
        <v>60</v>
      </c>
      <c r="C11" s="63">
        <v>5.7</v>
      </c>
      <c r="D11" s="63">
        <v>15.3</v>
      </c>
      <c r="E11" s="62">
        <v>10</v>
      </c>
      <c r="F11" s="63">
        <v>5.7</v>
      </c>
      <c r="G11" s="63">
        <v>8.6</v>
      </c>
      <c r="J11" s="378"/>
      <c r="K11" s="65" t="s">
        <v>395</v>
      </c>
      <c r="L11" s="61">
        <v>5.7</v>
      </c>
      <c r="M11" s="61">
        <v>15.3</v>
      </c>
      <c r="N11" s="61">
        <v>5.7</v>
      </c>
      <c r="O11" s="61">
        <v>8.6</v>
      </c>
      <c r="Q11" s="377"/>
      <c r="R11" s="377"/>
      <c r="S11" s="377"/>
    </row>
    <row r="12" spans="1:19" x14ac:dyDescent="0.25">
      <c r="A12" s="65" t="s">
        <v>396</v>
      </c>
      <c r="B12" s="62">
        <v>60</v>
      </c>
      <c r="C12" s="63">
        <v>6.1</v>
      </c>
      <c r="D12" s="63">
        <v>10.8</v>
      </c>
      <c r="E12" s="62">
        <v>10</v>
      </c>
      <c r="F12" s="63">
        <v>6.1</v>
      </c>
      <c r="G12" s="63">
        <v>6.7</v>
      </c>
      <c r="J12" s="378"/>
      <c r="K12" s="65" t="s">
        <v>396</v>
      </c>
      <c r="L12" s="61">
        <v>6.1</v>
      </c>
      <c r="M12" s="61">
        <v>10.8</v>
      </c>
      <c r="N12" s="61">
        <v>6.1</v>
      </c>
      <c r="O12" s="61">
        <v>6.7</v>
      </c>
      <c r="Q12" s="377"/>
      <c r="R12" s="377"/>
      <c r="S12" s="377"/>
    </row>
    <row r="13" spans="1:19" ht="13.95" customHeight="1" x14ac:dyDescent="0.25">
      <c r="A13" s="65" t="s">
        <v>397</v>
      </c>
      <c r="B13" s="62">
        <v>60</v>
      </c>
      <c r="C13" s="63">
        <v>5.9</v>
      </c>
      <c r="D13" s="63">
        <v>10.9</v>
      </c>
      <c r="E13" s="62">
        <v>10</v>
      </c>
      <c r="F13" s="63">
        <v>5.9</v>
      </c>
      <c r="G13" s="63">
        <v>6.9</v>
      </c>
      <c r="J13" s="378"/>
      <c r="K13" s="65" t="s">
        <v>397</v>
      </c>
      <c r="L13" s="61">
        <v>5.9</v>
      </c>
      <c r="M13" s="61">
        <v>10.9</v>
      </c>
      <c r="N13" s="61">
        <v>5.9</v>
      </c>
      <c r="O13" s="61">
        <v>6.9</v>
      </c>
      <c r="Q13" s="377" t="s">
        <v>398</v>
      </c>
      <c r="R13" s="377"/>
      <c r="S13" s="377"/>
    </row>
    <row r="14" spans="1:19" x14ac:dyDescent="0.25">
      <c r="A14" s="65" t="s">
        <v>399</v>
      </c>
      <c r="B14" s="62">
        <v>60</v>
      </c>
      <c r="C14" s="63">
        <v>6.2</v>
      </c>
      <c r="D14" s="63">
        <v>10.5</v>
      </c>
      <c r="E14" s="62">
        <v>10</v>
      </c>
      <c r="F14" s="63">
        <v>6.2</v>
      </c>
      <c r="G14" s="63">
        <v>7.2</v>
      </c>
      <c r="J14" s="378"/>
      <c r="K14" s="65" t="s">
        <v>399</v>
      </c>
      <c r="L14" s="61">
        <v>6.2</v>
      </c>
      <c r="M14" s="61">
        <v>10.5</v>
      </c>
      <c r="N14" s="61">
        <v>6.2</v>
      </c>
      <c r="O14" s="61">
        <v>7.2</v>
      </c>
      <c r="Q14" s="377"/>
      <c r="R14" s="377"/>
      <c r="S14" s="377"/>
    </row>
    <row r="15" spans="1:19" x14ac:dyDescent="0.25">
      <c r="A15" s="65" t="s">
        <v>400</v>
      </c>
      <c r="B15" s="62">
        <v>60</v>
      </c>
      <c r="C15" s="63">
        <v>6.2</v>
      </c>
      <c r="D15" s="63">
        <v>12.4</v>
      </c>
      <c r="E15" s="62">
        <v>10</v>
      </c>
      <c r="F15" s="63">
        <v>6.1</v>
      </c>
      <c r="G15" s="63">
        <v>7.7</v>
      </c>
      <c r="J15" s="378"/>
      <c r="K15" s="65" t="s">
        <v>400</v>
      </c>
      <c r="L15" s="61">
        <v>6.2</v>
      </c>
      <c r="M15" s="61">
        <v>12.4</v>
      </c>
      <c r="N15" s="61">
        <v>6.1</v>
      </c>
      <c r="O15" s="61">
        <v>7.7</v>
      </c>
      <c r="Q15" s="377"/>
      <c r="R15" s="377"/>
      <c r="S15" s="377"/>
    </row>
    <row r="16" spans="1:19" x14ac:dyDescent="0.25">
      <c r="A16" s="65" t="s">
        <v>401</v>
      </c>
      <c r="B16" s="62">
        <v>60</v>
      </c>
      <c r="C16" s="63">
        <v>4.5</v>
      </c>
      <c r="D16" s="63">
        <v>11.9</v>
      </c>
      <c r="E16" s="62">
        <v>10</v>
      </c>
      <c r="F16" s="63">
        <v>4.5</v>
      </c>
      <c r="G16" s="63">
        <v>6.6</v>
      </c>
      <c r="J16" s="378"/>
      <c r="K16" s="65" t="s">
        <v>401</v>
      </c>
      <c r="L16" s="61">
        <v>4.5</v>
      </c>
      <c r="M16" s="61">
        <v>11.9</v>
      </c>
      <c r="N16" s="61">
        <v>4.5</v>
      </c>
      <c r="O16" s="61">
        <v>6.6</v>
      </c>
      <c r="Q16" s="377"/>
      <c r="R16" s="377"/>
      <c r="S16" s="377"/>
    </row>
    <row r="17" spans="1:15" x14ac:dyDescent="0.25">
      <c r="A17" s="65" t="s">
        <v>402</v>
      </c>
      <c r="B17" s="62">
        <v>60</v>
      </c>
      <c r="C17" s="63">
        <v>6</v>
      </c>
      <c r="D17" s="63">
        <v>12.7</v>
      </c>
      <c r="E17" s="62">
        <v>10</v>
      </c>
      <c r="F17" s="63">
        <v>5.9</v>
      </c>
      <c r="G17" s="63">
        <v>8.1999999999999993</v>
      </c>
      <c r="J17" s="378"/>
      <c r="K17" s="65" t="s">
        <v>402</v>
      </c>
      <c r="L17" s="61">
        <v>6</v>
      </c>
      <c r="M17" s="61">
        <v>12.7</v>
      </c>
      <c r="N17" s="61">
        <v>5.9</v>
      </c>
      <c r="O17" s="61">
        <v>8.1999999999999993</v>
      </c>
    </row>
    <row r="18" spans="1:15" x14ac:dyDescent="0.25">
      <c r="A18" s="65" t="s">
        <v>403</v>
      </c>
      <c r="B18" s="62">
        <v>60</v>
      </c>
      <c r="C18" s="63">
        <v>5.2</v>
      </c>
      <c r="D18" s="63">
        <v>10.3</v>
      </c>
      <c r="E18" s="62">
        <v>10</v>
      </c>
      <c r="F18" s="63">
        <v>5.2</v>
      </c>
      <c r="G18" s="63">
        <v>6.3</v>
      </c>
      <c r="J18" s="378"/>
      <c r="K18" s="65" t="s">
        <v>403</v>
      </c>
      <c r="L18" s="61">
        <v>5.2</v>
      </c>
      <c r="M18" s="61">
        <v>10.3</v>
      </c>
      <c r="N18" s="61">
        <v>5.2</v>
      </c>
      <c r="O18" s="61">
        <v>6.3</v>
      </c>
    </row>
    <row r="19" spans="1:15" x14ac:dyDescent="0.25">
      <c r="J19" s="378"/>
      <c r="K19" s="61" t="s">
        <v>404</v>
      </c>
      <c r="L19" s="61">
        <v>5.3083333333333336</v>
      </c>
      <c r="M19" s="61">
        <v>15.3</v>
      </c>
      <c r="N19" s="61">
        <v>5.2666666666666666</v>
      </c>
      <c r="O19" s="61">
        <v>8.6</v>
      </c>
    </row>
    <row r="21" spans="1:15" ht="41.4" x14ac:dyDescent="0.25">
      <c r="J21" s="60">
        <v>2022</v>
      </c>
      <c r="K21" s="60" t="s">
        <v>386</v>
      </c>
      <c r="L21" s="66" t="s">
        <v>381</v>
      </c>
      <c r="M21" s="66" t="s">
        <v>387</v>
      </c>
      <c r="N21" s="66" t="s">
        <v>384</v>
      </c>
      <c r="O21" s="66" t="s">
        <v>388</v>
      </c>
    </row>
    <row r="22" spans="1:15" x14ac:dyDescent="0.25">
      <c r="J22" s="378" t="s">
        <v>190</v>
      </c>
      <c r="K22" s="65" t="s">
        <v>389</v>
      </c>
      <c r="L22" s="63"/>
      <c r="M22" s="63"/>
      <c r="N22" s="63"/>
      <c r="O22" s="63"/>
    </row>
    <row r="23" spans="1:15" x14ac:dyDescent="0.25">
      <c r="J23" s="378"/>
      <c r="K23" s="65" t="s">
        <v>390</v>
      </c>
      <c r="L23" s="63"/>
      <c r="M23" s="63"/>
      <c r="N23" s="63"/>
      <c r="O23" s="63"/>
    </row>
    <row r="24" spans="1:15" x14ac:dyDescent="0.25">
      <c r="J24" s="378"/>
      <c r="K24" s="65" t="s">
        <v>391</v>
      </c>
      <c r="L24" s="63"/>
      <c r="M24" s="63"/>
      <c r="N24" s="63"/>
      <c r="O24" s="63"/>
    </row>
    <row r="25" spans="1:15" x14ac:dyDescent="0.25">
      <c r="J25" s="378"/>
      <c r="K25" s="65" t="s">
        <v>393</v>
      </c>
      <c r="L25" s="63"/>
      <c r="M25" s="63"/>
      <c r="N25" s="63"/>
      <c r="O25" s="63"/>
    </row>
    <row r="26" spans="1:15" x14ac:dyDescent="0.25">
      <c r="J26" s="378"/>
      <c r="K26" s="65" t="s">
        <v>395</v>
      </c>
      <c r="L26" s="63"/>
      <c r="M26" s="63"/>
      <c r="N26" s="63"/>
      <c r="O26" s="63"/>
    </row>
    <row r="27" spans="1:15" x14ac:dyDescent="0.25">
      <c r="J27" s="378"/>
      <c r="K27" s="65" t="s">
        <v>396</v>
      </c>
      <c r="L27" s="63"/>
      <c r="M27" s="63"/>
      <c r="N27" s="63"/>
      <c r="O27" s="63"/>
    </row>
    <row r="28" spans="1:15" x14ac:dyDescent="0.25">
      <c r="J28" s="378"/>
      <c r="K28" s="65" t="s">
        <v>397</v>
      </c>
      <c r="L28" s="63"/>
      <c r="M28" s="63"/>
      <c r="N28" s="63"/>
      <c r="O28" s="63"/>
    </row>
    <row r="29" spans="1:15" x14ac:dyDescent="0.25">
      <c r="J29" s="378"/>
      <c r="K29" s="65" t="s">
        <v>399</v>
      </c>
      <c r="L29" s="63"/>
      <c r="M29" s="63"/>
      <c r="N29" s="63"/>
      <c r="O29" s="63"/>
    </row>
    <row r="30" spans="1:15" x14ac:dyDescent="0.25">
      <c r="J30" s="378"/>
      <c r="K30" s="65" t="s">
        <v>400</v>
      </c>
      <c r="L30" s="63"/>
      <c r="M30" s="63"/>
      <c r="N30" s="63"/>
      <c r="O30" s="63"/>
    </row>
    <row r="31" spans="1:15" x14ac:dyDescent="0.25">
      <c r="J31" s="378"/>
      <c r="K31" s="65" t="s">
        <v>401</v>
      </c>
      <c r="L31" s="63"/>
      <c r="M31" s="63"/>
      <c r="N31" s="63"/>
      <c r="O31" s="63"/>
    </row>
    <row r="32" spans="1:15" x14ac:dyDescent="0.25">
      <c r="J32" s="378"/>
      <c r="K32" s="65" t="s">
        <v>402</v>
      </c>
      <c r="L32" s="63"/>
      <c r="M32" s="63"/>
      <c r="N32" s="63"/>
      <c r="O32" s="63"/>
    </row>
    <row r="33" spans="1:15" x14ac:dyDescent="0.25">
      <c r="J33" s="378"/>
      <c r="K33" s="65" t="s">
        <v>403</v>
      </c>
      <c r="L33" s="63"/>
      <c r="M33" s="63"/>
      <c r="N33" s="63"/>
      <c r="O33" s="63"/>
    </row>
    <row r="34" spans="1:15" x14ac:dyDescent="0.25">
      <c r="J34" s="378"/>
      <c r="K34" s="61" t="s">
        <v>404</v>
      </c>
      <c r="L34" s="61" t="e">
        <v>#DIV/0!</v>
      </c>
      <c r="M34" s="61">
        <v>0</v>
      </c>
      <c r="N34" s="61" t="e">
        <v>#DIV/0!</v>
      </c>
      <c r="O34" s="61">
        <v>0</v>
      </c>
    </row>
    <row r="36" spans="1:15" ht="41.4" x14ac:dyDescent="0.25">
      <c r="J36" s="60">
        <v>2022</v>
      </c>
      <c r="K36" s="60" t="s">
        <v>386</v>
      </c>
      <c r="L36" s="66" t="s">
        <v>381</v>
      </c>
      <c r="M36" s="66" t="s">
        <v>387</v>
      </c>
      <c r="N36" s="66" t="s">
        <v>384</v>
      </c>
      <c r="O36" s="66" t="s">
        <v>388</v>
      </c>
    </row>
    <row r="37" spans="1:15" x14ac:dyDescent="0.25">
      <c r="J37" s="378" t="s">
        <v>191</v>
      </c>
      <c r="K37" s="65" t="s">
        <v>389</v>
      </c>
      <c r="L37" s="63"/>
      <c r="M37" s="63"/>
      <c r="N37" s="63"/>
      <c r="O37" s="63"/>
    </row>
    <row r="38" spans="1:15" x14ac:dyDescent="0.25">
      <c r="J38" s="378"/>
      <c r="K38" s="65" t="s">
        <v>390</v>
      </c>
      <c r="L38" s="63"/>
      <c r="M38" s="63"/>
      <c r="N38" s="63"/>
      <c r="O38" s="63"/>
    </row>
    <row r="39" spans="1:15" x14ac:dyDescent="0.25">
      <c r="J39" s="378"/>
      <c r="K39" s="65" t="s">
        <v>391</v>
      </c>
      <c r="L39" s="63"/>
      <c r="M39" s="63"/>
      <c r="N39" s="63"/>
      <c r="O39" s="63"/>
    </row>
    <row r="40" spans="1:15" x14ac:dyDescent="0.25">
      <c r="J40" s="378"/>
      <c r="K40" s="65" t="s">
        <v>393</v>
      </c>
      <c r="L40" s="63"/>
      <c r="M40" s="63"/>
      <c r="N40" s="63"/>
      <c r="O40" s="63"/>
    </row>
    <row r="41" spans="1:15" x14ac:dyDescent="0.25">
      <c r="J41" s="378"/>
      <c r="K41" s="65" t="s">
        <v>395</v>
      </c>
      <c r="L41" s="63"/>
      <c r="M41" s="63"/>
      <c r="N41" s="63"/>
      <c r="O41" s="63"/>
    </row>
    <row r="42" spans="1:15" x14ac:dyDescent="0.25">
      <c r="J42" s="378"/>
      <c r="K42" s="65" t="s">
        <v>396</v>
      </c>
      <c r="L42" s="63"/>
      <c r="M42" s="63"/>
      <c r="N42" s="63"/>
      <c r="O42" s="63"/>
    </row>
    <row r="43" spans="1:15" x14ac:dyDescent="0.25">
      <c r="J43" s="378"/>
      <c r="K43" s="65" t="s">
        <v>397</v>
      </c>
      <c r="L43" s="63"/>
      <c r="M43" s="63"/>
      <c r="N43" s="63"/>
      <c r="O43" s="63"/>
    </row>
    <row r="44" spans="1:15" x14ac:dyDescent="0.25">
      <c r="J44" s="378"/>
      <c r="K44" s="65" t="s">
        <v>399</v>
      </c>
      <c r="L44" s="63"/>
      <c r="M44" s="63"/>
      <c r="N44" s="63"/>
      <c r="O44" s="63"/>
    </row>
    <row r="45" spans="1:15" x14ac:dyDescent="0.25">
      <c r="J45" s="378"/>
      <c r="K45" s="65" t="s">
        <v>400</v>
      </c>
      <c r="L45" s="63"/>
      <c r="M45" s="63"/>
      <c r="N45" s="63"/>
      <c r="O45" s="63"/>
    </row>
    <row r="46" spans="1:15" x14ac:dyDescent="0.25">
      <c r="J46" s="378"/>
      <c r="K46" s="65" t="s">
        <v>401</v>
      </c>
      <c r="L46" s="63"/>
      <c r="M46" s="63"/>
      <c r="N46" s="63"/>
      <c r="O46" s="63"/>
    </row>
    <row r="47" spans="1:15" x14ac:dyDescent="0.25">
      <c r="J47" s="378"/>
      <c r="K47" s="65" t="s">
        <v>402</v>
      </c>
      <c r="L47" s="63"/>
      <c r="M47" s="63"/>
      <c r="N47" s="63"/>
      <c r="O47" s="63"/>
    </row>
    <row r="48" spans="1:15" x14ac:dyDescent="0.25">
      <c r="A48" s="390" t="s">
        <v>295</v>
      </c>
      <c r="B48" s="391"/>
      <c r="C48" s="391"/>
      <c r="D48" s="391"/>
      <c r="E48" s="391"/>
      <c r="F48" s="391"/>
      <c r="G48" s="392"/>
      <c r="J48" s="378"/>
      <c r="K48" s="65" t="s">
        <v>403</v>
      </c>
      <c r="L48" s="63"/>
      <c r="M48" s="63"/>
      <c r="N48" s="63"/>
      <c r="O48" s="63"/>
    </row>
    <row r="49" spans="1:15" x14ac:dyDescent="0.25">
      <c r="A49" s="381"/>
      <c r="B49" s="382"/>
      <c r="C49" s="382"/>
      <c r="D49" s="382"/>
      <c r="E49" s="382"/>
      <c r="F49" s="382"/>
      <c r="G49" s="383"/>
      <c r="J49" s="378"/>
      <c r="K49" s="61" t="s">
        <v>404</v>
      </c>
      <c r="L49" s="61" t="e">
        <v>#DIV/0!</v>
      </c>
      <c r="M49" s="61">
        <v>0</v>
      </c>
      <c r="N49" s="61" t="e">
        <v>#DIV/0!</v>
      </c>
      <c r="O49" s="61">
        <v>0</v>
      </c>
    </row>
    <row r="50" spans="1:15" x14ac:dyDescent="0.25">
      <c r="A50" s="384"/>
      <c r="B50" s="385"/>
      <c r="C50" s="385"/>
      <c r="D50" s="385"/>
      <c r="E50" s="385"/>
      <c r="F50" s="385"/>
      <c r="G50" s="386"/>
    </row>
    <row r="51" spans="1:15" ht="41.4" x14ac:dyDescent="0.25">
      <c r="A51" s="384"/>
      <c r="B51" s="385"/>
      <c r="C51" s="385"/>
      <c r="D51" s="385"/>
      <c r="E51" s="385"/>
      <c r="F51" s="385"/>
      <c r="G51" s="386"/>
      <c r="J51" s="60">
        <v>2022</v>
      </c>
      <c r="K51" s="60" t="s">
        <v>386</v>
      </c>
      <c r="L51" s="66" t="s">
        <v>381</v>
      </c>
      <c r="M51" s="66" t="s">
        <v>387</v>
      </c>
      <c r="N51" s="66" t="s">
        <v>384</v>
      </c>
      <c r="O51" s="66" t="s">
        <v>388</v>
      </c>
    </row>
    <row r="52" spans="1:15" x14ac:dyDescent="0.25">
      <c r="A52" s="387"/>
      <c r="B52" s="388"/>
      <c r="C52" s="388"/>
      <c r="D52" s="388"/>
      <c r="E52" s="388"/>
      <c r="F52" s="388"/>
      <c r="G52" s="389"/>
      <c r="J52" s="378" t="s">
        <v>192</v>
      </c>
      <c r="K52" s="65" t="s">
        <v>389</v>
      </c>
      <c r="L52" s="63"/>
      <c r="M52" s="63"/>
      <c r="N52" s="63"/>
      <c r="O52" s="63"/>
    </row>
    <row r="53" spans="1:15" x14ac:dyDescent="0.25">
      <c r="J53" s="378"/>
      <c r="K53" s="65" t="s">
        <v>390</v>
      </c>
      <c r="L53" s="63"/>
      <c r="M53" s="63"/>
      <c r="N53" s="63"/>
      <c r="O53" s="63"/>
    </row>
    <row r="54" spans="1:15" x14ac:dyDescent="0.25">
      <c r="J54" s="378"/>
      <c r="K54" s="65" t="s">
        <v>391</v>
      </c>
      <c r="L54" s="63"/>
      <c r="M54" s="63"/>
      <c r="N54" s="63"/>
      <c r="O54" s="63"/>
    </row>
    <row r="55" spans="1:15" x14ac:dyDescent="0.25">
      <c r="J55" s="378"/>
      <c r="K55" s="65" t="s">
        <v>393</v>
      </c>
      <c r="L55" s="63"/>
      <c r="M55" s="63"/>
      <c r="N55" s="63"/>
      <c r="O55" s="63"/>
    </row>
    <row r="56" spans="1:15" x14ac:dyDescent="0.25">
      <c r="J56" s="378"/>
      <c r="K56" s="65" t="s">
        <v>395</v>
      </c>
      <c r="L56" s="63"/>
      <c r="M56" s="63"/>
      <c r="N56" s="63"/>
      <c r="O56" s="63"/>
    </row>
    <row r="57" spans="1:15" x14ac:dyDescent="0.25">
      <c r="J57" s="378"/>
      <c r="K57" s="65" t="s">
        <v>396</v>
      </c>
      <c r="L57" s="63"/>
      <c r="M57" s="63"/>
      <c r="N57" s="63"/>
      <c r="O57" s="63"/>
    </row>
    <row r="58" spans="1:15" x14ac:dyDescent="0.25">
      <c r="J58" s="378"/>
      <c r="K58" s="65" t="s">
        <v>397</v>
      </c>
      <c r="L58" s="63"/>
      <c r="M58" s="63"/>
      <c r="N58" s="63"/>
      <c r="O58" s="63"/>
    </row>
    <row r="59" spans="1:15" x14ac:dyDescent="0.25">
      <c r="J59" s="378"/>
      <c r="K59" s="65" t="s">
        <v>399</v>
      </c>
      <c r="L59" s="63"/>
      <c r="M59" s="63"/>
      <c r="N59" s="63"/>
      <c r="O59" s="63"/>
    </row>
    <row r="60" spans="1:15" x14ac:dyDescent="0.25">
      <c r="J60" s="378"/>
      <c r="K60" s="65" t="s">
        <v>400</v>
      </c>
      <c r="L60" s="63"/>
      <c r="M60" s="63"/>
      <c r="N60" s="63"/>
      <c r="O60" s="63"/>
    </row>
    <row r="61" spans="1:15" x14ac:dyDescent="0.25">
      <c r="J61" s="378"/>
      <c r="K61" s="65" t="s">
        <v>401</v>
      </c>
      <c r="L61" s="63"/>
      <c r="M61" s="63"/>
      <c r="N61" s="63"/>
      <c r="O61" s="63"/>
    </row>
    <row r="62" spans="1:15" x14ac:dyDescent="0.25">
      <c r="J62" s="378"/>
      <c r="K62" s="65" t="s">
        <v>402</v>
      </c>
      <c r="L62" s="63"/>
      <c r="M62" s="63"/>
      <c r="N62" s="63"/>
      <c r="O62" s="63"/>
    </row>
    <row r="63" spans="1:15" x14ac:dyDescent="0.25">
      <c r="J63" s="378"/>
      <c r="K63" s="65" t="s">
        <v>403</v>
      </c>
      <c r="L63" s="63"/>
      <c r="M63" s="63"/>
      <c r="N63" s="63"/>
      <c r="O63" s="63"/>
    </row>
    <row r="64" spans="1:15" x14ac:dyDescent="0.25">
      <c r="J64" s="378"/>
      <c r="K64" s="61" t="s">
        <v>404</v>
      </c>
      <c r="L64" s="61" t="e">
        <v>#DIV/0!</v>
      </c>
      <c r="M64" s="61">
        <v>0</v>
      </c>
      <c r="N64" s="61" t="e">
        <v>#DIV/0!</v>
      </c>
      <c r="O64" s="61">
        <v>0</v>
      </c>
    </row>
    <row r="66" spans="10:15" ht="41.4" x14ac:dyDescent="0.25">
      <c r="J66" s="60">
        <f>+A6</f>
        <v>2022</v>
      </c>
      <c r="K66" s="60" t="s">
        <v>386</v>
      </c>
      <c r="L66" s="66" t="s">
        <v>381</v>
      </c>
      <c r="M66" s="66" t="s">
        <v>387</v>
      </c>
      <c r="N66" s="66" t="s">
        <v>384</v>
      </c>
      <c r="O66" s="66" t="s">
        <v>388</v>
      </c>
    </row>
    <row r="67" spans="10:15" x14ac:dyDescent="0.25">
      <c r="J67" s="378" t="s">
        <v>193</v>
      </c>
      <c r="K67" s="65" t="s">
        <v>389</v>
      </c>
      <c r="L67" s="63"/>
      <c r="M67" s="63"/>
      <c r="N67" s="63"/>
      <c r="O67" s="63"/>
    </row>
    <row r="68" spans="10:15" x14ac:dyDescent="0.25">
      <c r="J68" s="378"/>
      <c r="K68" s="65" t="s">
        <v>390</v>
      </c>
      <c r="L68" s="63"/>
      <c r="M68" s="63"/>
      <c r="N68" s="63"/>
      <c r="O68" s="63"/>
    </row>
    <row r="69" spans="10:15" x14ac:dyDescent="0.25">
      <c r="J69" s="378"/>
      <c r="K69" s="65" t="s">
        <v>391</v>
      </c>
      <c r="L69" s="63"/>
      <c r="M69" s="63"/>
      <c r="N69" s="63"/>
      <c r="O69" s="63"/>
    </row>
    <row r="70" spans="10:15" x14ac:dyDescent="0.25">
      <c r="J70" s="378"/>
      <c r="K70" s="65" t="s">
        <v>393</v>
      </c>
      <c r="L70" s="63"/>
      <c r="M70" s="63"/>
      <c r="N70" s="63"/>
      <c r="O70" s="63"/>
    </row>
    <row r="71" spans="10:15" x14ac:dyDescent="0.25">
      <c r="J71" s="378"/>
      <c r="K71" s="65" t="s">
        <v>395</v>
      </c>
      <c r="L71" s="63"/>
      <c r="M71" s="63"/>
      <c r="N71" s="63"/>
      <c r="O71" s="63"/>
    </row>
    <row r="72" spans="10:15" x14ac:dyDescent="0.25">
      <c r="J72" s="378"/>
      <c r="K72" s="65" t="s">
        <v>396</v>
      </c>
      <c r="L72" s="63"/>
      <c r="M72" s="63"/>
      <c r="N72" s="63"/>
      <c r="O72" s="63"/>
    </row>
    <row r="73" spans="10:15" x14ac:dyDescent="0.25">
      <c r="J73" s="378"/>
      <c r="K73" s="65" t="s">
        <v>397</v>
      </c>
      <c r="L73" s="63"/>
      <c r="M73" s="63"/>
      <c r="N73" s="63"/>
      <c r="O73" s="63"/>
    </row>
    <row r="74" spans="10:15" x14ac:dyDescent="0.25">
      <c r="J74" s="378"/>
      <c r="K74" s="65" t="s">
        <v>399</v>
      </c>
      <c r="L74" s="63"/>
      <c r="M74" s="63"/>
      <c r="N74" s="63"/>
      <c r="O74" s="63"/>
    </row>
    <row r="75" spans="10:15" x14ac:dyDescent="0.25">
      <c r="J75" s="378"/>
      <c r="K75" s="65" t="s">
        <v>400</v>
      </c>
      <c r="L75" s="63"/>
      <c r="M75" s="63"/>
      <c r="N75" s="63"/>
      <c r="O75" s="63"/>
    </row>
    <row r="76" spans="10:15" x14ac:dyDescent="0.25">
      <c r="J76" s="378"/>
      <c r="K76" s="65" t="s">
        <v>401</v>
      </c>
      <c r="L76" s="63"/>
      <c r="M76" s="63"/>
      <c r="N76" s="63"/>
      <c r="O76" s="63"/>
    </row>
    <row r="77" spans="10:15" x14ac:dyDescent="0.25">
      <c r="J77" s="378"/>
      <c r="K77" s="65" t="s">
        <v>402</v>
      </c>
      <c r="L77" s="63"/>
      <c r="M77" s="63"/>
      <c r="N77" s="63"/>
      <c r="O77" s="63"/>
    </row>
    <row r="78" spans="10:15" x14ac:dyDescent="0.25">
      <c r="J78" s="378"/>
      <c r="K78" s="65" t="s">
        <v>403</v>
      </c>
      <c r="L78" s="63"/>
      <c r="M78" s="63"/>
      <c r="N78" s="63"/>
      <c r="O78" s="63"/>
    </row>
    <row r="79" spans="10:15" x14ac:dyDescent="0.25">
      <c r="J79" s="378"/>
      <c r="K79" s="61" t="s">
        <v>404</v>
      </c>
      <c r="L79" s="61" t="e">
        <f>AVERAGE(L67:L78)</f>
        <v>#DIV/0!</v>
      </c>
      <c r="M79" s="61">
        <f>MAX(M67:M78)</f>
        <v>0</v>
      </c>
      <c r="N79" s="61" t="e">
        <f>AVERAGE(N67:N78)</f>
        <v>#DIV/0!</v>
      </c>
      <c r="O79" s="6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S79"/>
  <sheetViews>
    <sheetView workbookViewId="0">
      <selection activeCell="P28" sqref="P28"/>
    </sheetView>
  </sheetViews>
  <sheetFormatPr defaultRowHeight="13.8" x14ac:dyDescent="0.25"/>
  <cols>
    <col min="1" max="1" width="14" style="3" customWidth="1"/>
    <col min="2" max="4" width="17" style="34" customWidth="1"/>
    <col min="5" max="5" width="14.6640625" style="34" customWidth="1"/>
    <col min="6" max="7" width="17" style="34"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
        <v>5</v>
      </c>
      <c r="B1" s="92"/>
      <c r="C1" s="92"/>
      <c r="D1" s="92"/>
      <c r="E1" s="92" t="s">
        <v>7</v>
      </c>
      <c r="F1" s="92"/>
      <c r="G1" s="92"/>
    </row>
    <row r="3" spans="1:19" ht="14.4" x14ac:dyDescent="0.3">
      <c r="A3" s="59" t="s">
        <v>405</v>
      </c>
      <c r="D3" s="75" t="s">
        <v>373</v>
      </c>
      <c r="G3" s="79" t="s">
        <v>374</v>
      </c>
      <c r="J3" s="9" t="s">
        <v>405</v>
      </c>
      <c r="L3" s="9"/>
      <c r="N3" s="9" t="s">
        <v>375</v>
      </c>
      <c r="Q3" s="78" t="s">
        <v>3</v>
      </c>
      <c r="R3" s="73"/>
      <c r="S3" s="73"/>
    </row>
    <row r="4" spans="1:19" ht="13.95" customHeight="1" x14ac:dyDescent="0.25">
      <c r="Q4" s="369" t="s">
        <v>376</v>
      </c>
      <c r="R4" s="369"/>
      <c r="S4" s="369"/>
    </row>
    <row r="5" spans="1:19" ht="16.2" x14ac:dyDescent="0.25">
      <c r="A5" s="67" t="s">
        <v>377</v>
      </c>
      <c r="B5" s="380" t="s">
        <v>378</v>
      </c>
      <c r="C5" s="380"/>
      <c r="D5" s="380"/>
      <c r="E5" s="380" t="s">
        <v>379</v>
      </c>
      <c r="F5" s="380"/>
      <c r="G5" s="380"/>
      <c r="J5" s="379"/>
      <c r="K5" s="379"/>
      <c r="L5" s="379"/>
      <c r="M5" s="379"/>
      <c r="N5" s="379"/>
      <c r="O5" s="379"/>
      <c r="Q5" s="369"/>
      <c r="R5" s="369"/>
      <c r="S5" s="369"/>
    </row>
    <row r="6" spans="1:19" s="57" customFormat="1" ht="37.5" customHeight="1" x14ac:dyDescent="0.3">
      <c r="A6" s="64">
        <v>2022</v>
      </c>
      <c r="B6" s="54" t="s">
        <v>406</v>
      </c>
      <c r="C6" s="54" t="s">
        <v>381</v>
      </c>
      <c r="D6" s="54" t="s">
        <v>382</v>
      </c>
      <c r="E6" s="54" t="s">
        <v>407</v>
      </c>
      <c r="F6" s="54" t="s">
        <v>384</v>
      </c>
      <c r="G6" s="54" t="s">
        <v>385</v>
      </c>
      <c r="H6" s="58"/>
      <c r="J6" s="60">
        <v>2022</v>
      </c>
      <c r="K6" s="60" t="s">
        <v>386</v>
      </c>
      <c r="L6" s="66" t="s">
        <v>381</v>
      </c>
      <c r="M6" s="66" t="s">
        <v>387</v>
      </c>
      <c r="N6" s="66" t="s">
        <v>384</v>
      </c>
      <c r="O6" s="66" t="s">
        <v>388</v>
      </c>
      <c r="Q6" s="369"/>
      <c r="R6" s="369"/>
      <c r="S6" s="369"/>
    </row>
    <row r="7" spans="1:19" x14ac:dyDescent="0.25">
      <c r="A7" s="65" t="s">
        <v>389</v>
      </c>
      <c r="B7" s="62">
        <v>200</v>
      </c>
      <c r="C7" s="63">
        <v>31.8</v>
      </c>
      <c r="D7" s="63">
        <v>73.900000000000006</v>
      </c>
      <c r="E7" s="62">
        <v>50</v>
      </c>
      <c r="F7" s="63">
        <v>31.8</v>
      </c>
      <c r="G7" s="63">
        <v>38.9</v>
      </c>
      <c r="J7" s="378" t="s">
        <v>189</v>
      </c>
      <c r="K7" s="65" t="s">
        <v>389</v>
      </c>
      <c r="L7" s="63">
        <v>31.8</v>
      </c>
      <c r="M7" s="63">
        <v>73.900000000000006</v>
      </c>
      <c r="N7" s="63">
        <v>31.8</v>
      </c>
      <c r="O7" s="63">
        <v>38.9</v>
      </c>
      <c r="Q7" s="369"/>
      <c r="R7" s="369"/>
      <c r="S7" s="369"/>
    </row>
    <row r="8" spans="1:19" x14ac:dyDescent="0.25">
      <c r="A8" s="65" t="s">
        <v>390</v>
      </c>
      <c r="B8" s="62">
        <v>200</v>
      </c>
      <c r="C8" s="63">
        <v>35.299999999999997</v>
      </c>
      <c r="D8" s="63">
        <v>65.3</v>
      </c>
      <c r="E8" s="62">
        <v>50</v>
      </c>
      <c r="F8" s="63">
        <v>35.4</v>
      </c>
      <c r="G8" s="63">
        <v>41.3</v>
      </c>
      <c r="J8" s="378"/>
      <c r="K8" s="65" t="s">
        <v>390</v>
      </c>
      <c r="L8" s="63">
        <v>35.299999999999997</v>
      </c>
      <c r="M8" s="63">
        <v>65.3</v>
      </c>
      <c r="N8" s="63">
        <v>35.4</v>
      </c>
      <c r="O8" s="63">
        <v>41.3</v>
      </c>
      <c r="Q8" s="369"/>
      <c r="R8" s="369"/>
      <c r="S8" s="369"/>
    </row>
    <row r="9" spans="1:19" x14ac:dyDescent="0.25">
      <c r="A9" s="65" t="s">
        <v>391</v>
      </c>
      <c r="B9" s="62">
        <v>200</v>
      </c>
      <c r="C9" s="63">
        <v>31.3</v>
      </c>
      <c r="D9" s="63">
        <v>105.3</v>
      </c>
      <c r="E9" s="62">
        <v>50</v>
      </c>
      <c r="F9" s="63">
        <v>31.3</v>
      </c>
      <c r="G9" s="63">
        <v>39</v>
      </c>
      <c r="J9" s="378"/>
      <c r="K9" s="65" t="s">
        <v>391</v>
      </c>
      <c r="L9" s="63">
        <v>31.3</v>
      </c>
      <c r="M9" s="63">
        <v>105.3</v>
      </c>
      <c r="N9" s="63">
        <v>31.3</v>
      </c>
      <c r="O9" s="63">
        <v>39</v>
      </c>
      <c r="Q9" s="77" t="s">
        <v>392</v>
      </c>
    </row>
    <row r="10" spans="1:19" ht="14.25" customHeight="1" x14ac:dyDescent="0.25">
      <c r="A10" s="65" t="s">
        <v>393</v>
      </c>
      <c r="B10" s="62">
        <v>200</v>
      </c>
      <c r="C10" s="63">
        <v>28.6</v>
      </c>
      <c r="D10" s="63">
        <v>97.5</v>
      </c>
      <c r="E10" s="62">
        <v>50</v>
      </c>
      <c r="F10" s="63">
        <v>28.6</v>
      </c>
      <c r="G10" s="63">
        <v>38.700000000000003</v>
      </c>
      <c r="J10" s="378"/>
      <c r="K10" s="65" t="s">
        <v>393</v>
      </c>
      <c r="L10" s="63">
        <v>28.6</v>
      </c>
      <c r="M10" s="63">
        <v>97.5</v>
      </c>
      <c r="N10" s="63">
        <v>28.6</v>
      </c>
      <c r="O10" s="63">
        <v>38.700000000000003</v>
      </c>
      <c r="Q10" s="377" t="s">
        <v>394</v>
      </c>
      <c r="R10" s="377"/>
      <c r="S10" s="377"/>
    </row>
    <row r="11" spans="1:19" x14ac:dyDescent="0.25">
      <c r="A11" s="65" t="s">
        <v>395</v>
      </c>
      <c r="B11" s="62">
        <v>200</v>
      </c>
      <c r="C11" s="63">
        <v>20.399999999999999</v>
      </c>
      <c r="D11" s="63">
        <v>86.5</v>
      </c>
      <c r="E11" s="62">
        <v>50</v>
      </c>
      <c r="F11" s="63">
        <v>20.3</v>
      </c>
      <c r="G11" s="63">
        <v>30.4</v>
      </c>
      <c r="J11" s="378"/>
      <c r="K11" s="65" t="s">
        <v>395</v>
      </c>
      <c r="L11" s="63">
        <v>20.399999999999999</v>
      </c>
      <c r="M11" s="63">
        <v>86.5</v>
      </c>
      <c r="N11" s="63">
        <v>20.3</v>
      </c>
      <c r="O11" s="63">
        <v>30.4</v>
      </c>
      <c r="Q11" s="377"/>
      <c r="R11" s="377"/>
      <c r="S11" s="377"/>
    </row>
    <row r="12" spans="1:19" x14ac:dyDescent="0.25">
      <c r="A12" s="65" t="s">
        <v>396</v>
      </c>
      <c r="B12" s="62">
        <v>200</v>
      </c>
      <c r="C12" s="63">
        <v>23</v>
      </c>
      <c r="D12" s="63">
        <v>56.4</v>
      </c>
      <c r="E12" s="62">
        <v>50</v>
      </c>
      <c r="F12" s="63">
        <v>23.1</v>
      </c>
      <c r="G12" s="63">
        <v>29.3</v>
      </c>
      <c r="J12" s="378"/>
      <c r="K12" s="65" t="s">
        <v>396</v>
      </c>
      <c r="L12" s="63">
        <v>23</v>
      </c>
      <c r="M12" s="63">
        <v>56.4</v>
      </c>
      <c r="N12" s="63">
        <v>23.1</v>
      </c>
      <c r="O12" s="63">
        <v>29.3</v>
      </c>
      <c r="Q12" s="377"/>
      <c r="R12" s="377"/>
      <c r="S12" s="377"/>
    </row>
    <row r="13" spans="1:19" ht="14.25" customHeight="1" x14ac:dyDescent="0.25">
      <c r="A13" s="65" t="s">
        <v>397</v>
      </c>
      <c r="B13" s="62">
        <v>200</v>
      </c>
      <c r="C13" s="63">
        <v>25.4</v>
      </c>
      <c r="D13" s="63">
        <v>104.7</v>
      </c>
      <c r="E13" s="62">
        <v>50</v>
      </c>
      <c r="F13" s="63">
        <v>25.2</v>
      </c>
      <c r="G13" s="63">
        <v>47.8</v>
      </c>
      <c r="J13" s="378"/>
      <c r="K13" s="65" t="s">
        <v>397</v>
      </c>
      <c r="L13" s="63">
        <v>25.4</v>
      </c>
      <c r="M13" s="63">
        <v>104.7</v>
      </c>
      <c r="N13" s="63">
        <v>25.2</v>
      </c>
      <c r="O13" s="63">
        <v>47.8</v>
      </c>
      <c r="Q13" s="377" t="s">
        <v>398</v>
      </c>
      <c r="R13" s="377"/>
      <c r="S13" s="377"/>
    </row>
    <row r="14" spans="1:19" x14ac:dyDescent="0.25">
      <c r="A14" s="65" t="s">
        <v>399</v>
      </c>
      <c r="B14" s="62">
        <v>200</v>
      </c>
      <c r="C14" s="63">
        <v>17</v>
      </c>
      <c r="D14" s="63">
        <v>80.7</v>
      </c>
      <c r="E14" s="62">
        <v>50</v>
      </c>
      <c r="F14" s="63">
        <v>16.899999999999999</v>
      </c>
      <c r="G14" s="63">
        <v>26.2</v>
      </c>
      <c r="J14" s="378"/>
      <c r="K14" s="65" t="s">
        <v>399</v>
      </c>
      <c r="L14" s="63">
        <v>17</v>
      </c>
      <c r="M14" s="63">
        <v>80.7</v>
      </c>
      <c r="N14" s="63">
        <v>16.899999999999999</v>
      </c>
      <c r="O14" s="63">
        <v>26.2</v>
      </c>
      <c r="Q14" s="377"/>
      <c r="R14" s="377"/>
      <c r="S14" s="377"/>
    </row>
    <row r="15" spans="1:19" x14ac:dyDescent="0.25">
      <c r="A15" s="65" t="s">
        <v>400</v>
      </c>
      <c r="B15" s="62">
        <v>200</v>
      </c>
      <c r="C15" s="63">
        <v>18.2</v>
      </c>
      <c r="D15" s="63">
        <v>54.6</v>
      </c>
      <c r="E15" s="62">
        <v>50</v>
      </c>
      <c r="F15" s="63">
        <v>18.100000000000001</v>
      </c>
      <c r="G15" s="63">
        <v>23.9</v>
      </c>
      <c r="J15" s="378"/>
      <c r="K15" s="65" t="s">
        <v>400</v>
      </c>
      <c r="L15" s="63">
        <v>18.2</v>
      </c>
      <c r="M15" s="63">
        <v>54.6</v>
      </c>
      <c r="N15" s="63">
        <v>18.100000000000001</v>
      </c>
      <c r="O15" s="63">
        <v>23.9</v>
      </c>
      <c r="Q15" s="377"/>
      <c r="R15" s="377"/>
      <c r="S15" s="377"/>
    </row>
    <row r="16" spans="1:19" x14ac:dyDescent="0.25">
      <c r="A16" s="65" t="s">
        <v>401</v>
      </c>
      <c r="B16" s="62">
        <v>200</v>
      </c>
      <c r="C16" s="63">
        <v>34.200000000000003</v>
      </c>
      <c r="D16" s="63">
        <v>100.5</v>
      </c>
      <c r="E16" s="62">
        <v>50</v>
      </c>
      <c r="F16" s="63">
        <v>34.6</v>
      </c>
      <c r="G16" s="63">
        <v>46.4</v>
      </c>
      <c r="J16" s="378"/>
      <c r="K16" s="65" t="s">
        <v>401</v>
      </c>
      <c r="L16" s="63">
        <v>34.200000000000003</v>
      </c>
      <c r="M16" s="63">
        <v>100.5</v>
      </c>
      <c r="N16" s="63">
        <v>34.6</v>
      </c>
      <c r="O16" s="63">
        <v>46.4</v>
      </c>
      <c r="Q16" s="377"/>
      <c r="R16" s="377"/>
      <c r="S16" s="377"/>
    </row>
    <row r="17" spans="1:15" x14ac:dyDescent="0.25">
      <c r="A17" s="65" t="s">
        <v>402</v>
      </c>
      <c r="B17" s="62">
        <v>200</v>
      </c>
      <c r="C17" s="63">
        <v>33.200000000000003</v>
      </c>
      <c r="D17" s="63">
        <v>82.6</v>
      </c>
      <c r="E17" s="62">
        <v>50</v>
      </c>
      <c r="F17" s="63">
        <v>33.1</v>
      </c>
      <c r="G17" s="63">
        <v>42.4</v>
      </c>
      <c r="J17" s="378"/>
      <c r="K17" s="65" t="s">
        <v>402</v>
      </c>
      <c r="L17" s="63">
        <v>33.200000000000003</v>
      </c>
      <c r="M17" s="63">
        <v>82.6</v>
      </c>
      <c r="N17" s="63">
        <v>33.1</v>
      </c>
      <c r="O17" s="63">
        <v>42.4</v>
      </c>
    </row>
    <row r="18" spans="1:15" x14ac:dyDescent="0.25">
      <c r="A18" s="65" t="s">
        <v>403</v>
      </c>
      <c r="B18" s="62">
        <v>200</v>
      </c>
      <c r="C18" s="63">
        <v>34.799999999999997</v>
      </c>
      <c r="D18" s="63">
        <v>77.599999999999994</v>
      </c>
      <c r="E18" s="62">
        <v>50</v>
      </c>
      <c r="F18" s="63">
        <v>34.9</v>
      </c>
      <c r="G18" s="63">
        <v>42.7</v>
      </c>
      <c r="J18" s="378"/>
      <c r="K18" s="65" t="s">
        <v>403</v>
      </c>
      <c r="L18" s="63">
        <v>34.799999999999997</v>
      </c>
      <c r="M18" s="63">
        <v>77.599999999999994</v>
      </c>
      <c r="N18" s="63">
        <v>34.9</v>
      </c>
      <c r="O18" s="63">
        <v>42.7</v>
      </c>
    </row>
    <row r="19" spans="1:15" x14ac:dyDescent="0.25">
      <c r="J19" s="378"/>
      <c r="K19" s="61" t="s">
        <v>404</v>
      </c>
      <c r="L19" s="61">
        <v>27.766666666666666</v>
      </c>
      <c r="M19" s="61">
        <v>105.3</v>
      </c>
      <c r="N19" s="61">
        <v>27.775000000000002</v>
      </c>
      <c r="O19" s="61">
        <v>35.4</v>
      </c>
    </row>
    <row r="21" spans="1:15" ht="41.4" x14ac:dyDescent="0.25">
      <c r="J21" s="60">
        <f>+A6</f>
        <v>2022</v>
      </c>
      <c r="K21" s="60" t="s">
        <v>386</v>
      </c>
      <c r="L21" s="66" t="s">
        <v>381</v>
      </c>
      <c r="M21" s="66" t="s">
        <v>387</v>
      </c>
      <c r="N21" s="66" t="s">
        <v>384</v>
      </c>
      <c r="O21" s="66" t="s">
        <v>388</v>
      </c>
    </row>
    <row r="22" spans="1:15" x14ac:dyDescent="0.25">
      <c r="J22" s="378" t="s">
        <v>190</v>
      </c>
      <c r="K22" s="65" t="s">
        <v>389</v>
      </c>
      <c r="L22" s="63"/>
      <c r="M22" s="63"/>
      <c r="N22" s="63"/>
      <c r="O22" s="63"/>
    </row>
    <row r="23" spans="1:15" x14ac:dyDescent="0.25">
      <c r="J23" s="378"/>
      <c r="K23" s="65" t="s">
        <v>390</v>
      </c>
      <c r="L23" s="63"/>
      <c r="M23" s="63"/>
      <c r="N23" s="63"/>
      <c r="O23" s="63"/>
    </row>
    <row r="24" spans="1:15" x14ac:dyDescent="0.25">
      <c r="J24" s="378"/>
      <c r="K24" s="65" t="s">
        <v>391</v>
      </c>
      <c r="L24" s="63"/>
      <c r="M24" s="63"/>
      <c r="N24" s="63"/>
      <c r="O24" s="63"/>
    </row>
    <row r="25" spans="1:15" x14ac:dyDescent="0.25">
      <c r="J25" s="378"/>
      <c r="K25" s="65" t="s">
        <v>393</v>
      </c>
      <c r="L25" s="63"/>
      <c r="M25" s="63"/>
      <c r="N25" s="63"/>
      <c r="O25" s="63"/>
    </row>
    <row r="26" spans="1:15" x14ac:dyDescent="0.25">
      <c r="J26" s="378"/>
      <c r="K26" s="65" t="s">
        <v>395</v>
      </c>
      <c r="L26" s="63"/>
      <c r="M26" s="63"/>
      <c r="N26" s="63"/>
      <c r="O26" s="63"/>
    </row>
    <row r="27" spans="1:15" x14ac:dyDescent="0.25">
      <c r="J27" s="378"/>
      <c r="K27" s="65" t="s">
        <v>396</v>
      </c>
      <c r="L27" s="63"/>
      <c r="M27" s="63"/>
      <c r="N27" s="63"/>
      <c r="O27" s="63"/>
    </row>
    <row r="28" spans="1:15" x14ac:dyDescent="0.25">
      <c r="J28" s="378"/>
      <c r="K28" s="65" t="s">
        <v>397</v>
      </c>
      <c r="L28" s="63"/>
      <c r="M28" s="63"/>
      <c r="N28" s="63"/>
      <c r="O28" s="63"/>
    </row>
    <row r="29" spans="1:15" x14ac:dyDescent="0.25">
      <c r="J29" s="378"/>
      <c r="K29" s="65" t="s">
        <v>399</v>
      </c>
      <c r="L29" s="63"/>
      <c r="M29" s="63"/>
      <c r="N29" s="63"/>
      <c r="O29" s="63"/>
    </row>
    <row r="30" spans="1:15" x14ac:dyDescent="0.25">
      <c r="J30" s="378"/>
      <c r="K30" s="65" t="s">
        <v>400</v>
      </c>
      <c r="L30" s="63"/>
      <c r="M30" s="63"/>
      <c r="N30" s="63"/>
      <c r="O30" s="63"/>
    </row>
    <row r="31" spans="1:15" x14ac:dyDescent="0.25">
      <c r="J31" s="378"/>
      <c r="K31" s="65" t="s">
        <v>401</v>
      </c>
      <c r="L31" s="63"/>
      <c r="M31" s="63"/>
      <c r="N31" s="63"/>
      <c r="O31" s="63"/>
    </row>
    <row r="32" spans="1:15" x14ac:dyDescent="0.25">
      <c r="J32" s="378"/>
      <c r="K32" s="65" t="s">
        <v>402</v>
      </c>
      <c r="L32" s="63"/>
      <c r="M32" s="63"/>
      <c r="N32" s="63"/>
      <c r="O32" s="63"/>
    </row>
    <row r="33" spans="1:15" x14ac:dyDescent="0.25">
      <c r="J33" s="378"/>
      <c r="K33" s="65" t="s">
        <v>403</v>
      </c>
      <c r="L33" s="63"/>
      <c r="M33" s="63"/>
      <c r="N33" s="63"/>
      <c r="O33" s="63"/>
    </row>
    <row r="34" spans="1:15" x14ac:dyDescent="0.25">
      <c r="J34" s="378"/>
      <c r="K34" s="61" t="s">
        <v>404</v>
      </c>
      <c r="L34" s="61" t="e">
        <f>AVERAGE(L22:L33)</f>
        <v>#DIV/0!</v>
      </c>
      <c r="M34" s="61">
        <f>MAX(M22:M33)</f>
        <v>0</v>
      </c>
      <c r="N34" s="61" t="e">
        <f>AVERAGE(N22:N33)</f>
        <v>#DIV/0!</v>
      </c>
      <c r="O34" s="61">
        <f>MAX(O22:O33)</f>
        <v>0</v>
      </c>
    </row>
    <row r="36" spans="1:15" ht="41.4" x14ac:dyDescent="0.25">
      <c r="J36" s="60">
        <f>+A6</f>
        <v>2022</v>
      </c>
      <c r="K36" s="60" t="s">
        <v>386</v>
      </c>
      <c r="L36" s="66" t="s">
        <v>381</v>
      </c>
      <c r="M36" s="66" t="s">
        <v>387</v>
      </c>
      <c r="N36" s="66" t="s">
        <v>384</v>
      </c>
      <c r="O36" s="66" t="s">
        <v>388</v>
      </c>
    </row>
    <row r="37" spans="1:15" x14ac:dyDescent="0.25">
      <c r="J37" s="378" t="s">
        <v>191</v>
      </c>
      <c r="K37" s="65" t="s">
        <v>389</v>
      </c>
      <c r="L37" s="63"/>
      <c r="M37" s="63"/>
      <c r="N37" s="63"/>
      <c r="O37" s="63"/>
    </row>
    <row r="38" spans="1:15" x14ac:dyDescent="0.25">
      <c r="J38" s="378"/>
      <c r="K38" s="65" t="s">
        <v>390</v>
      </c>
      <c r="L38" s="63"/>
      <c r="M38" s="63"/>
      <c r="N38" s="63"/>
      <c r="O38" s="63"/>
    </row>
    <row r="39" spans="1:15" x14ac:dyDescent="0.25">
      <c r="J39" s="378"/>
      <c r="K39" s="65" t="s">
        <v>391</v>
      </c>
      <c r="L39" s="63"/>
      <c r="M39" s="63"/>
      <c r="N39" s="63"/>
      <c r="O39" s="63"/>
    </row>
    <row r="40" spans="1:15" x14ac:dyDescent="0.25">
      <c r="J40" s="378"/>
      <c r="K40" s="65" t="s">
        <v>393</v>
      </c>
      <c r="L40" s="63"/>
      <c r="M40" s="63"/>
      <c r="N40" s="63"/>
      <c r="O40" s="63"/>
    </row>
    <row r="41" spans="1:15" x14ac:dyDescent="0.25">
      <c r="J41" s="378"/>
      <c r="K41" s="65" t="s">
        <v>395</v>
      </c>
      <c r="L41" s="63"/>
      <c r="M41" s="63"/>
      <c r="N41" s="63"/>
      <c r="O41" s="63"/>
    </row>
    <row r="42" spans="1:15" x14ac:dyDescent="0.25">
      <c r="J42" s="378"/>
      <c r="K42" s="65" t="s">
        <v>396</v>
      </c>
      <c r="L42" s="63"/>
      <c r="M42" s="63"/>
      <c r="N42" s="63"/>
      <c r="O42" s="63"/>
    </row>
    <row r="43" spans="1:15" x14ac:dyDescent="0.25">
      <c r="J43" s="378"/>
      <c r="K43" s="65" t="s">
        <v>397</v>
      </c>
      <c r="L43" s="63"/>
      <c r="M43" s="63"/>
      <c r="N43" s="63"/>
      <c r="O43" s="63"/>
    </row>
    <row r="44" spans="1:15" x14ac:dyDescent="0.25">
      <c r="J44" s="378"/>
      <c r="K44" s="65" t="s">
        <v>399</v>
      </c>
      <c r="L44" s="63"/>
      <c r="M44" s="63"/>
      <c r="N44" s="63"/>
      <c r="O44" s="63"/>
    </row>
    <row r="45" spans="1:15" x14ac:dyDescent="0.25">
      <c r="J45" s="378"/>
      <c r="K45" s="65" t="s">
        <v>400</v>
      </c>
      <c r="L45" s="63"/>
      <c r="M45" s="63"/>
      <c r="N45" s="63"/>
      <c r="O45" s="63"/>
    </row>
    <row r="46" spans="1:15" x14ac:dyDescent="0.25">
      <c r="J46" s="378"/>
      <c r="K46" s="65" t="s">
        <v>401</v>
      </c>
      <c r="L46" s="63"/>
      <c r="M46" s="63"/>
      <c r="N46" s="63"/>
      <c r="O46" s="63"/>
    </row>
    <row r="47" spans="1:15" x14ac:dyDescent="0.25">
      <c r="J47" s="378"/>
      <c r="K47" s="65" t="s">
        <v>402</v>
      </c>
      <c r="L47" s="63"/>
      <c r="M47" s="63"/>
      <c r="N47" s="63"/>
      <c r="O47" s="63"/>
    </row>
    <row r="48" spans="1:15" x14ac:dyDescent="0.25">
      <c r="A48" s="390" t="s">
        <v>295</v>
      </c>
      <c r="B48" s="391"/>
      <c r="C48" s="391"/>
      <c r="D48" s="391"/>
      <c r="E48" s="391"/>
      <c r="F48" s="391"/>
      <c r="G48" s="392"/>
      <c r="J48" s="378"/>
      <c r="K48" s="65" t="s">
        <v>403</v>
      </c>
      <c r="L48" s="63"/>
      <c r="M48" s="63"/>
      <c r="N48" s="63"/>
      <c r="O48" s="63"/>
    </row>
    <row r="49" spans="1:15" x14ac:dyDescent="0.25">
      <c r="A49" s="381"/>
      <c r="B49" s="382"/>
      <c r="C49" s="382"/>
      <c r="D49" s="382"/>
      <c r="E49" s="382"/>
      <c r="F49" s="382"/>
      <c r="G49" s="383"/>
      <c r="J49" s="378"/>
      <c r="K49" s="61" t="s">
        <v>404</v>
      </c>
      <c r="L49" s="61" t="e">
        <f>AVERAGE(L37:L48)</f>
        <v>#DIV/0!</v>
      </c>
      <c r="M49" s="61">
        <f>MAX(M37:M48)</f>
        <v>0</v>
      </c>
      <c r="N49" s="61" t="e">
        <f>AVERAGE(N37:N48)</f>
        <v>#DIV/0!</v>
      </c>
      <c r="O49" s="61">
        <f>MAX(O37:O48)</f>
        <v>0</v>
      </c>
    </row>
    <row r="50" spans="1:15" x14ac:dyDescent="0.25">
      <c r="A50" s="384"/>
      <c r="B50" s="385"/>
      <c r="C50" s="385"/>
      <c r="D50" s="385"/>
      <c r="E50" s="385"/>
      <c r="F50" s="385"/>
      <c r="G50" s="386"/>
    </row>
    <row r="51" spans="1:15" ht="41.4" x14ac:dyDescent="0.25">
      <c r="A51" s="384"/>
      <c r="B51" s="385"/>
      <c r="C51" s="385"/>
      <c r="D51" s="385"/>
      <c r="E51" s="385"/>
      <c r="F51" s="385"/>
      <c r="G51" s="386"/>
      <c r="J51" s="60">
        <f>+A6</f>
        <v>2022</v>
      </c>
      <c r="K51" s="60" t="s">
        <v>386</v>
      </c>
      <c r="L51" s="66" t="s">
        <v>381</v>
      </c>
      <c r="M51" s="66" t="s">
        <v>387</v>
      </c>
      <c r="N51" s="66" t="s">
        <v>384</v>
      </c>
      <c r="O51" s="66" t="s">
        <v>388</v>
      </c>
    </row>
    <row r="52" spans="1:15" x14ac:dyDescent="0.25">
      <c r="A52" s="387"/>
      <c r="B52" s="388"/>
      <c r="C52" s="388"/>
      <c r="D52" s="388"/>
      <c r="E52" s="388"/>
      <c r="F52" s="388"/>
      <c r="G52" s="389"/>
      <c r="J52" s="378" t="s">
        <v>192</v>
      </c>
      <c r="K52" s="65" t="s">
        <v>389</v>
      </c>
      <c r="L52" s="63"/>
      <c r="M52" s="63"/>
      <c r="N52" s="63"/>
      <c r="O52" s="63"/>
    </row>
    <row r="53" spans="1:15" x14ac:dyDescent="0.25">
      <c r="J53" s="378"/>
      <c r="K53" s="65" t="s">
        <v>390</v>
      </c>
      <c r="L53" s="63"/>
      <c r="M53" s="63"/>
      <c r="N53" s="63"/>
      <c r="O53" s="63"/>
    </row>
    <row r="54" spans="1:15" x14ac:dyDescent="0.25">
      <c r="J54" s="378"/>
      <c r="K54" s="65" t="s">
        <v>391</v>
      </c>
      <c r="L54" s="63"/>
      <c r="M54" s="63"/>
      <c r="N54" s="63"/>
      <c r="O54" s="63"/>
    </row>
    <row r="55" spans="1:15" x14ac:dyDescent="0.25">
      <c r="J55" s="378"/>
      <c r="K55" s="65" t="s">
        <v>393</v>
      </c>
      <c r="L55" s="63"/>
      <c r="M55" s="63"/>
      <c r="N55" s="63"/>
      <c r="O55" s="63"/>
    </row>
    <row r="56" spans="1:15" x14ac:dyDescent="0.25">
      <c r="J56" s="378"/>
      <c r="K56" s="65" t="s">
        <v>395</v>
      </c>
      <c r="L56" s="63"/>
      <c r="M56" s="63"/>
      <c r="N56" s="63"/>
      <c r="O56" s="63"/>
    </row>
    <row r="57" spans="1:15" x14ac:dyDescent="0.25">
      <c r="J57" s="378"/>
      <c r="K57" s="65" t="s">
        <v>396</v>
      </c>
      <c r="L57" s="63"/>
      <c r="M57" s="63"/>
      <c r="N57" s="63"/>
      <c r="O57" s="63"/>
    </row>
    <row r="58" spans="1:15" x14ac:dyDescent="0.25">
      <c r="J58" s="378"/>
      <c r="K58" s="65" t="s">
        <v>397</v>
      </c>
      <c r="L58" s="63"/>
      <c r="M58" s="63"/>
      <c r="N58" s="63"/>
      <c r="O58" s="63"/>
    </row>
    <row r="59" spans="1:15" x14ac:dyDescent="0.25">
      <c r="J59" s="378"/>
      <c r="K59" s="65" t="s">
        <v>399</v>
      </c>
      <c r="L59" s="63"/>
      <c r="M59" s="63"/>
      <c r="N59" s="63"/>
      <c r="O59" s="63"/>
    </row>
    <row r="60" spans="1:15" x14ac:dyDescent="0.25">
      <c r="J60" s="378"/>
      <c r="K60" s="65" t="s">
        <v>400</v>
      </c>
      <c r="L60" s="63"/>
      <c r="M60" s="63"/>
      <c r="N60" s="63"/>
      <c r="O60" s="63"/>
    </row>
    <row r="61" spans="1:15" x14ac:dyDescent="0.25">
      <c r="J61" s="378"/>
      <c r="K61" s="65" t="s">
        <v>401</v>
      </c>
      <c r="L61" s="63"/>
      <c r="M61" s="63"/>
      <c r="N61" s="63"/>
      <c r="O61" s="63"/>
    </row>
    <row r="62" spans="1:15" x14ac:dyDescent="0.25">
      <c r="J62" s="378"/>
      <c r="K62" s="65" t="s">
        <v>402</v>
      </c>
      <c r="L62" s="63"/>
      <c r="M62" s="63"/>
      <c r="N62" s="63"/>
      <c r="O62" s="63"/>
    </row>
    <row r="63" spans="1:15" x14ac:dyDescent="0.25">
      <c r="J63" s="378"/>
      <c r="K63" s="65" t="s">
        <v>403</v>
      </c>
      <c r="L63" s="63"/>
      <c r="M63" s="63"/>
      <c r="N63" s="63"/>
      <c r="O63" s="63"/>
    </row>
    <row r="64" spans="1:15" x14ac:dyDescent="0.25">
      <c r="J64" s="378"/>
      <c r="K64" s="61" t="s">
        <v>404</v>
      </c>
      <c r="L64" s="61" t="e">
        <f>AVERAGE(L52:L63)</f>
        <v>#DIV/0!</v>
      </c>
      <c r="M64" s="61">
        <f>MAX(M52:M63)</f>
        <v>0</v>
      </c>
      <c r="N64" s="61" t="e">
        <f>AVERAGE(N52:N63)</f>
        <v>#DIV/0!</v>
      </c>
      <c r="O64" s="61">
        <f>MAX(O52:O63)</f>
        <v>0</v>
      </c>
    </row>
    <row r="66" spans="10:15" ht="41.4" x14ac:dyDescent="0.25">
      <c r="J66" s="60">
        <f>+A6</f>
        <v>2022</v>
      </c>
      <c r="K66" s="60" t="s">
        <v>386</v>
      </c>
      <c r="L66" s="66" t="s">
        <v>381</v>
      </c>
      <c r="M66" s="66" t="s">
        <v>387</v>
      </c>
      <c r="N66" s="66" t="s">
        <v>384</v>
      </c>
      <c r="O66" s="66" t="s">
        <v>388</v>
      </c>
    </row>
    <row r="67" spans="10:15" x14ac:dyDescent="0.25">
      <c r="J67" s="378" t="s">
        <v>193</v>
      </c>
      <c r="K67" s="65" t="s">
        <v>389</v>
      </c>
      <c r="L67" s="63"/>
      <c r="M67" s="63"/>
      <c r="N67" s="63"/>
      <c r="O67" s="63"/>
    </row>
    <row r="68" spans="10:15" x14ac:dyDescent="0.25">
      <c r="J68" s="378"/>
      <c r="K68" s="65" t="s">
        <v>390</v>
      </c>
      <c r="L68" s="63"/>
      <c r="M68" s="63"/>
      <c r="N68" s="63"/>
      <c r="O68" s="63"/>
    </row>
    <row r="69" spans="10:15" x14ac:dyDescent="0.25">
      <c r="J69" s="378"/>
      <c r="K69" s="65" t="s">
        <v>391</v>
      </c>
      <c r="L69" s="63"/>
      <c r="M69" s="63"/>
      <c r="N69" s="63"/>
      <c r="O69" s="63"/>
    </row>
    <row r="70" spans="10:15" x14ac:dyDescent="0.25">
      <c r="J70" s="378"/>
      <c r="K70" s="65" t="s">
        <v>393</v>
      </c>
      <c r="L70" s="63"/>
      <c r="M70" s="63"/>
      <c r="N70" s="63"/>
      <c r="O70" s="63"/>
    </row>
    <row r="71" spans="10:15" x14ac:dyDescent="0.25">
      <c r="J71" s="378"/>
      <c r="K71" s="65" t="s">
        <v>395</v>
      </c>
      <c r="L71" s="63"/>
      <c r="M71" s="63"/>
      <c r="N71" s="63"/>
      <c r="O71" s="63"/>
    </row>
    <row r="72" spans="10:15" x14ac:dyDescent="0.25">
      <c r="J72" s="378"/>
      <c r="K72" s="65" t="s">
        <v>396</v>
      </c>
      <c r="L72" s="63"/>
      <c r="M72" s="63"/>
      <c r="N72" s="63"/>
      <c r="O72" s="63"/>
    </row>
    <row r="73" spans="10:15" x14ac:dyDescent="0.25">
      <c r="J73" s="378"/>
      <c r="K73" s="65" t="s">
        <v>397</v>
      </c>
      <c r="L73" s="63"/>
      <c r="M73" s="63"/>
      <c r="N73" s="63"/>
      <c r="O73" s="63"/>
    </row>
    <row r="74" spans="10:15" x14ac:dyDescent="0.25">
      <c r="J74" s="378"/>
      <c r="K74" s="65" t="s">
        <v>399</v>
      </c>
      <c r="L74" s="63"/>
      <c r="M74" s="63"/>
      <c r="N74" s="63"/>
      <c r="O74" s="63"/>
    </row>
    <row r="75" spans="10:15" x14ac:dyDescent="0.25">
      <c r="J75" s="378"/>
      <c r="K75" s="65" t="s">
        <v>400</v>
      </c>
      <c r="L75" s="63"/>
      <c r="M75" s="63"/>
      <c r="N75" s="63"/>
      <c r="O75" s="63"/>
    </row>
    <row r="76" spans="10:15" x14ac:dyDescent="0.25">
      <c r="J76" s="378"/>
      <c r="K76" s="65" t="s">
        <v>401</v>
      </c>
      <c r="L76" s="63"/>
      <c r="M76" s="63"/>
      <c r="N76" s="63"/>
      <c r="O76" s="63"/>
    </row>
    <row r="77" spans="10:15" x14ac:dyDescent="0.25">
      <c r="J77" s="378"/>
      <c r="K77" s="65" t="s">
        <v>402</v>
      </c>
      <c r="L77" s="63"/>
      <c r="M77" s="63"/>
      <c r="N77" s="63"/>
      <c r="O77" s="63"/>
    </row>
    <row r="78" spans="10:15" x14ac:dyDescent="0.25">
      <c r="J78" s="378"/>
      <c r="K78" s="65" t="s">
        <v>403</v>
      </c>
      <c r="L78" s="63"/>
      <c r="M78" s="63"/>
      <c r="N78" s="63"/>
      <c r="O78" s="63"/>
    </row>
    <row r="79" spans="10:15" x14ac:dyDescent="0.25">
      <c r="J79" s="378"/>
      <c r="K79" s="61" t="s">
        <v>404</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S79"/>
  <sheetViews>
    <sheetView workbookViewId="0">
      <selection activeCell="F12" sqref="F12"/>
    </sheetView>
  </sheetViews>
  <sheetFormatPr defaultRowHeight="13.8" x14ac:dyDescent="0.25"/>
  <cols>
    <col min="1" max="1" width="14" style="3" customWidth="1"/>
    <col min="2" max="4" width="17" style="34" customWidth="1"/>
    <col min="5" max="5" width="14.6640625" style="34" customWidth="1"/>
    <col min="6" max="7" width="17" style="34"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
        <v>5</v>
      </c>
      <c r="B1" s="92"/>
      <c r="C1" s="92"/>
      <c r="D1" s="92"/>
      <c r="E1" s="92" t="s">
        <v>7</v>
      </c>
      <c r="F1" s="92"/>
    </row>
    <row r="3" spans="1:19" ht="14.4" x14ac:dyDescent="0.3">
      <c r="A3" s="59" t="s">
        <v>408</v>
      </c>
      <c r="D3" s="75" t="s">
        <v>373</v>
      </c>
      <c r="G3" s="79" t="s">
        <v>374</v>
      </c>
      <c r="J3" s="9" t="s">
        <v>408</v>
      </c>
      <c r="L3" s="9"/>
      <c r="N3" s="9" t="s">
        <v>375</v>
      </c>
      <c r="Q3" s="78" t="s">
        <v>3</v>
      </c>
      <c r="R3" s="73"/>
      <c r="S3" s="73"/>
    </row>
    <row r="4" spans="1:19" ht="13.95" customHeight="1" x14ac:dyDescent="0.25">
      <c r="Q4" s="369" t="s">
        <v>376</v>
      </c>
      <c r="R4" s="369"/>
      <c r="S4" s="369"/>
    </row>
    <row r="5" spans="1:19" ht="16.2" x14ac:dyDescent="0.25">
      <c r="A5" s="67" t="s">
        <v>377</v>
      </c>
      <c r="B5" s="380" t="s">
        <v>378</v>
      </c>
      <c r="C5" s="380"/>
      <c r="D5" s="380"/>
      <c r="E5" s="380" t="s">
        <v>379</v>
      </c>
      <c r="F5" s="380"/>
      <c r="G5" s="380"/>
      <c r="J5" s="379"/>
      <c r="K5" s="379"/>
      <c r="L5" s="379"/>
      <c r="M5" s="379"/>
      <c r="N5" s="379"/>
      <c r="O5" s="379"/>
      <c r="Q5" s="369"/>
      <c r="R5" s="369"/>
      <c r="S5" s="369"/>
    </row>
    <row r="6" spans="1:19" s="57" customFormat="1" ht="37.5" customHeight="1" x14ac:dyDescent="0.3">
      <c r="A6" s="64">
        <v>2022</v>
      </c>
      <c r="B6" s="54" t="s">
        <v>409</v>
      </c>
      <c r="C6" s="54" t="s">
        <v>381</v>
      </c>
      <c r="D6" s="54" t="s">
        <v>382</v>
      </c>
      <c r="E6" s="54" t="s">
        <v>410</v>
      </c>
      <c r="F6" s="54" t="s">
        <v>384</v>
      </c>
      <c r="G6" s="54" t="s">
        <v>385</v>
      </c>
      <c r="H6" s="58"/>
      <c r="J6" s="60">
        <v>2022</v>
      </c>
      <c r="K6" s="60" t="s">
        <v>386</v>
      </c>
      <c r="L6" s="66" t="s">
        <v>381</v>
      </c>
      <c r="M6" s="66" t="s">
        <v>387</v>
      </c>
      <c r="N6" s="66" t="s">
        <v>384</v>
      </c>
      <c r="O6" s="66" t="s">
        <v>388</v>
      </c>
      <c r="Q6" s="369"/>
      <c r="R6" s="369"/>
      <c r="S6" s="369"/>
    </row>
    <row r="7" spans="1:19" x14ac:dyDescent="0.25">
      <c r="A7" s="65" t="s">
        <v>389</v>
      </c>
      <c r="B7" s="62">
        <v>400</v>
      </c>
      <c r="C7" s="63">
        <v>151.4</v>
      </c>
      <c r="D7" s="63">
        <v>216.8</v>
      </c>
      <c r="E7" s="62">
        <v>200</v>
      </c>
      <c r="F7" s="63">
        <v>151.5</v>
      </c>
      <c r="G7" s="63">
        <v>165</v>
      </c>
      <c r="J7" s="378" t="s">
        <v>189</v>
      </c>
      <c r="K7" s="65" t="s">
        <v>389</v>
      </c>
      <c r="L7" s="63">
        <v>151.4</v>
      </c>
      <c r="M7" s="63">
        <v>216.8</v>
      </c>
      <c r="N7" s="63">
        <v>151.5</v>
      </c>
      <c r="O7" s="63">
        <v>165</v>
      </c>
      <c r="Q7" s="369"/>
      <c r="R7" s="369"/>
      <c r="S7" s="369"/>
    </row>
    <row r="8" spans="1:19" x14ac:dyDescent="0.25">
      <c r="A8" s="65" t="s">
        <v>390</v>
      </c>
      <c r="B8" s="62">
        <v>400</v>
      </c>
      <c r="C8" s="63">
        <v>153.4</v>
      </c>
      <c r="D8" s="63">
        <v>217.4</v>
      </c>
      <c r="E8" s="62">
        <v>200</v>
      </c>
      <c r="F8" s="63">
        <v>153.19999999999999</v>
      </c>
      <c r="G8" s="63">
        <v>165.4</v>
      </c>
      <c r="J8" s="378"/>
      <c r="K8" s="65" t="s">
        <v>390</v>
      </c>
      <c r="L8" s="63">
        <v>153.4</v>
      </c>
      <c r="M8" s="63">
        <v>217.4</v>
      </c>
      <c r="N8" s="63">
        <v>153.19999999999999</v>
      </c>
      <c r="O8" s="63">
        <v>165.4</v>
      </c>
      <c r="Q8" s="369"/>
      <c r="R8" s="369"/>
      <c r="S8" s="369"/>
    </row>
    <row r="9" spans="1:19" x14ac:dyDescent="0.25">
      <c r="A9" s="65" t="s">
        <v>391</v>
      </c>
      <c r="B9" s="62">
        <v>400</v>
      </c>
      <c r="C9" s="63">
        <v>140.19999999999999</v>
      </c>
      <c r="D9" s="63">
        <v>219.1</v>
      </c>
      <c r="E9" s="62">
        <v>200</v>
      </c>
      <c r="F9" s="63">
        <v>140.1</v>
      </c>
      <c r="G9" s="63">
        <v>156.5</v>
      </c>
      <c r="J9" s="378"/>
      <c r="K9" s="65" t="s">
        <v>391</v>
      </c>
      <c r="L9" s="63">
        <v>140.19999999999999</v>
      </c>
      <c r="M9" s="63">
        <v>219.1</v>
      </c>
      <c r="N9" s="63">
        <v>140.1</v>
      </c>
      <c r="O9" s="63">
        <v>156.5</v>
      </c>
      <c r="Q9" s="77" t="s">
        <v>392</v>
      </c>
    </row>
    <row r="10" spans="1:19" ht="14.25" customHeight="1" x14ac:dyDescent="0.25">
      <c r="A10" s="65" t="s">
        <v>393</v>
      </c>
      <c r="B10" s="62">
        <v>400</v>
      </c>
      <c r="C10" s="63">
        <v>132.4</v>
      </c>
      <c r="D10" s="63">
        <v>209.9</v>
      </c>
      <c r="E10" s="62">
        <v>200</v>
      </c>
      <c r="F10" s="63">
        <v>132.4</v>
      </c>
      <c r="G10" s="63">
        <v>151.19999999999999</v>
      </c>
      <c r="J10" s="378"/>
      <c r="K10" s="65" t="s">
        <v>393</v>
      </c>
      <c r="L10" s="63">
        <v>132.4</v>
      </c>
      <c r="M10" s="63">
        <v>209.9</v>
      </c>
      <c r="N10" s="63">
        <v>132.4</v>
      </c>
      <c r="O10" s="63">
        <v>151.19999999999999</v>
      </c>
      <c r="Q10" s="377" t="s">
        <v>394</v>
      </c>
      <c r="R10" s="377"/>
      <c r="S10" s="377"/>
    </row>
    <row r="11" spans="1:19" x14ac:dyDescent="0.25">
      <c r="A11" s="65" t="s">
        <v>395</v>
      </c>
      <c r="B11" s="62">
        <v>400</v>
      </c>
      <c r="C11" s="63">
        <v>139.80000000000001</v>
      </c>
      <c r="D11" s="63">
        <v>234.9</v>
      </c>
      <c r="E11" s="62">
        <v>200</v>
      </c>
      <c r="F11" s="63">
        <v>140.1</v>
      </c>
      <c r="G11" s="63">
        <v>172.1</v>
      </c>
      <c r="J11" s="378"/>
      <c r="K11" s="65" t="s">
        <v>395</v>
      </c>
      <c r="L11" s="63">
        <v>139.80000000000001</v>
      </c>
      <c r="M11" s="63">
        <v>234.9</v>
      </c>
      <c r="N11" s="63">
        <v>140.1</v>
      </c>
      <c r="O11" s="63">
        <v>172.1</v>
      </c>
      <c r="Q11" s="377"/>
      <c r="R11" s="377"/>
      <c r="S11" s="377"/>
    </row>
    <row r="12" spans="1:19" x14ac:dyDescent="0.25">
      <c r="A12" s="65" t="s">
        <v>396</v>
      </c>
      <c r="B12" s="62">
        <v>400</v>
      </c>
      <c r="C12" s="63">
        <v>156.4</v>
      </c>
      <c r="D12" s="63">
        <v>187.2</v>
      </c>
      <c r="E12" s="62">
        <v>200</v>
      </c>
      <c r="F12" s="63">
        <v>156.4</v>
      </c>
      <c r="G12" s="63">
        <v>160.9</v>
      </c>
      <c r="J12" s="378"/>
      <c r="K12" s="65" t="s">
        <v>396</v>
      </c>
      <c r="L12" s="63">
        <v>156.4</v>
      </c>
      <c r="M12" s="63">
        <v>187.2</v>
      </c>
      <c r="N12" s="63">
        <v>156.4</v>
      </c>
      <c r="O12" s="63">
        <v>160.9</v>
      </c>
      <c r="Q12" s="377"/>
      <c r="R12" s="377"/>
      <c r="S12" s="377"/>
    </row>
    <row r="13" spans="1:19" ht="14.25" customHeight="1" x14ac:dyDescent="0.25">
      <c r="A13" s="65" t="s">
        <v>397</v>
      </c>
      <c r="B13" s="62">
        <v>400</v>
      </c>
      <c r="C13" s="63">
        <v>162.69999999999999</v>
      </c>
      <c r="D13" s="63">
        <v>269.2</v>
      </c>
      <c r="E13" s="62">
        <v>200</v>
      </c>
      <c r="F13" s="63">
        <v>162.69999999999999</v>
      </c>
      <c r="G13" s="63">
        <v>185.5</v>
      </c>
      <c r="J13" s="378"/>
      <c r="K13" s="65" t="s">
        <v>397</v>
      </c>
      <c r="L13" s="63">
        <v>162.69999999999999</v>
      </c>
      <c r="M13" s="63">
        <v>269.2</v>
      </c>
      <c r="N13" s="63">
        <v>162.69999999999999</v>
      </c>
      <c r="O13" s="63">
        <v>185.5</v>
      </c>
      <c r="Q13" s="377" t="s">
        <v>398</v>
      </c>
      <c r="R13" s="377"/>
      <c r="S13" s="377"/>
    </row>
    <row r="14" spans="1:19" x14ac:dyDescent="0.25">
      <c r="A14" s="65" t="s">
        <v>399</v>
      </c>
      <c r="B14" s="62">
        <v>400</v>
      </c>
      <c r="C14" s="63">
        <v>152.9</v>
      </c>
      <c r="D14" s="63">
        <v>216.2</v>
      </c>
      <c r="E14" s="62">
        <v>200</v>
      </c>
      <c r="F14" s="63">
        <v>152.9</v>
      </c>
      <c r="G14" s="63">
        <v>160</v>
      </c>
      <c r="J14" s="378"/>
      <c r="K14" s="65" t="s">
        <v>399</v>
      </c>
      <c r="L14" s="63">
        <v>152.9</v>
      </c>
      <c r="M14" s="63">
        <v>216.2</v>
      </c>
      <c r="N14" s="63">
        <v>152.9</v>
      </c>
      <c r="O14" s="63">
        <v>160</v>
      </c>
      <c r="Q14" s="377"/>
      <c r="R14" s="377"/>
      <c r="S14" s="377"/>
    </row>
    <row r="15" spans="1:19" x14ac:dyDescent="0.25">
      <c r="A15" s="65" t="s">
        <v>400</v>
      </c>
      <c r="B15" s="62">
        <v>400</v>
      </c>
      <c r="C15" s="63">
        <v>156.5</v>
      </c>
      <c r="D15" s="63">
        <v>243.6</v>
      </c>
      <c r="E15" s="62">
        <v>200</v>
      </c>
      <c r="F15" s="63">
        <v>156.30000000000001</v>
      </c>
      <c r="G15" s="63">
        <v>172.3</v>
      </c>
      <c r="J15" s="378"/>
      <c r="K15" s="65" t="s">
        <v>400</v>
      </c>
      <c r="L15" s="63">
        <v>156.5</v>
      </c>
      <c r="M15" s="63">
        <v>243.6</v>
      </c>
      <c r="N15" s="63">
        <v>156.30000000000001</v>
      </c>
      <c r="O15" s="63">
        <v>172.3</v>
      </c>
      <c r="Q15" s="377"/>
      <c r="R15" s="377"/>
      <c r="S15" s="377"/>
    </row>
    <row r="16" spans="1:19" x14ac:dyDescent="0.25">
      <c r="A16" s="65" t="s">
        <v>401</v>
      </c>
      <c r="B16" s="62">
        <v>400</v>
      </c>
      <c r="C16" s="63">
        <v>153.80000000000001</v>
      </c>
      <c r="D16" s="63">
        <v>235.9</v>
      </c>
      <c r="E16" s="62">
        <v>200</v>
      </c>
      <c r="F16" s="63">
        <v>153.69999999999999</v>
      </c>
      <c r="G16" s="63">
        <v>176.8</v>
      </c>
      <c r="J16" s="378"/>
      <c r="K16" s="65" t="s">
        <v>401</v>
      </c>
      <c r="L16" s="63">
        <v>153.80000000000001</v>
      </c>
      <c r="M16" s="63">
        <v>235.9</v>
      </c>
      <c r="N16" s="63">
        <v>153.69999999999999</v>
      </c>
      <c r="O16" s="63">
        <v>176.8</v>
      </c>
      <c r="Q16" s="377"/>
      <c r="R16" s="377"/>
      <c r="S16" s="377"/>
    </row>
    <row r="17" spans="1:15" x14ac:dyDescent="0.25">
      <c r="A17" s="65" t="s">
        <v>402</v>
      </c>
      <c r="B17" s="62">
        <v>400</v>
      </c>
      <c r="C17" s="63">
        <v>162.9</v>
      </c>
      <c r="D17" s="63">
        <v>249.5</v>
      </c>
      <c r="E17" s="62">
        <v>200</v>
      </c>
      <c r="F17" s="63">
        <v>162.6</v>
      </c>
      <c r="G17" s="63">
        <v>180.6</v>
      </c>
      <c r="J17" s="378"/>
      <c r="K17" s="65" t="s">
        <v>402</v>
      </c>
      <c r="L17" s="63">
        <v>162.9</v>
      </c>
      <c r="M17" s="63">
        <v>249.5</v>
      </c>
      <c r="N17" s="63">
        <v>162.6</v>
      </c>
      <c r="O17" s="63">
        <v>180.6</v>
      </c>
    </row>
    <row r="18" spans="1:15" x14ac:dyDescent="0.25">
      <c r="A18" s="65" t="s">
        <v>403</v>
      </c>
      <c r="B18" s="62">
        <v>400</v>
      </c>
      <c r="C18" s="63">
        <v>154.80000000000001</v>
      </c>
      <c r="D18" s="63">
        <v>233.4</v>
      </c>
      <c r="E18" s="62">
        <v>200</v>
      </c>
      <c r="F18" s="63">
        <v>154.30000000000001</v>
      </c>
      <c r="G18" s="63">
        <v>164.7</v>
      </c>
      <c r="J18" s="378"/>
      <c r="K18" s="65" t="s">
        <v>403</v>
      </c>
      <c r="L18" s="63">
        <v>154.80000000000001</v>
      </c>
      <c r="M18" s="63">
        <v>233.4</v>
      </c>
      <c r="N18" s="63">
        <v>154.30000000000001</v>
      </c>
      <c r="O18" s="63">
        <v>164.7</v>
      </c>
    </row>
    <row r="19" spans="1:15" x14ac:dyDescent="0.25">
      <c r="J19" s="378"/>
      <c r="K19" s="61" t="s">
        <v>404</v>
      </c>
      <c r="L19" s="61">
        <v>151.43333333333334</v>
      </c>
      <c r="M19" s="61">
        <v>269.2</v>
      </c>
      <c r="N19" s="61">
        <v>151.35</v>
      </c>
      <c r="O19" s="61">
        <v>185.5</v>
      </c>
    </row>
    <row r="21" spans="1:15" ht="41.4" x14ac:dyDescent="0.25">
      <c r="J21" s="60">
        <f>+A6</f>
        <v>2022</v>
      </c>
      <c r="K21" s="60" t="s">
        <v>386</v>
      </c>
      <c r="L21" s="66" t="s">
        <v>381</v>
      </c>
      <c r="M21" s="66" t="s">
        <v>387</v>
      </c>
      <c r="N21" s="66" t="s">
        <v>384</v>
      </c>
      <c r="O21" s="66" t="s">
        <v>388</v>
      </c>
    </row>
    <row r="22" spans="1:15" x14ac:dyDescent="0.25">
      <c r="J22" s="378" t="s">
        <v>190</v>
      </c>
      <c r="K22" s="65" t="s">
        <v>389</v>
      </c>
      <c r="L22" s="63"/>
      <c r="M22" s="63"/>
      <c r="N22" s="63"/>
      <c r="O22" s="63"/>
    </row>
    <row r="23" spans="1:15" x14ac:dyDescent="0.25">
      <c r="J23" s="378"/>
      <c r="K23" s="65" t="s">
        <v>390</v>
      </c>
      <c r="L23" s="63"/>
      <c r="M23" s="63"/>
      <c r="N23" s="63"/>
      <c r="O23" s="63"/>
    </row>
    <row r="24" spans="1:15" x14ac:dyDescent="0.25">
      <c r="J24" s="378"/>
      <c r="K24" s="65" t="s">
        <v>391</v>
      </c>
      <c r="L24" s="63"/>
      <c r="M24" s="63"/>
      <c r="N24" s="63"/>
      <c r="O24" s="63"/>
    </row>
    <row r="25" spans="1:15" x14ac:dyDescent="0.25">
      <c r="J25" s="378"/>
      <c r="K25" s="65" t="s">
        <v>393</v>
      </c>
      <c r="L25" s="63"/>
      <c r="M25" s="63"/>
      <c r="N25" s="63"/>
      <c r="O25" s="63"/>
    </row>
    <row r="26" spans="1:15" x14ac:dyDescent="0.25">
      <c r="J26" s="378"/>
      <c r="K26" s="65" t="s">
        <v>395</v>
      </c>
      <c r="L26" s="63"/>
      <c r="M26" s="63"/>
      <c r="N26" s="63"/>
      <c r="O26" s="63"/>
    </row>
    <row r="27" spans="1:15" x14ac:dyDescent="0.25">
      <c r="J27" s="378"/>
      <c r="K27" s="65" t="s">
        <v>396</v>
      </c>
      <c r="L27" s="63"/>
      <c r="M27" s="63"/>
      <c r="N27" s="63"/>
      <c r="O27" s="63"/>
    </row>
    <row r="28" spans="1:15" x14ac:dyDescent="0.25">
      <c r="J28" s="378"/>
      <c r="K28" s="65" t="s">
        <v>397</v>
      </c>
      <c r="L28" s="63"/>
      <c r="M28" s="63"/>
      <c r="N28" s="63"/>
      <c r="O28" s="63"/>
    </row>
    <row r="29" spans="1:15" x14ac:dyDescent="0.25">
      <c r="J29" s="378"/>
      <c r="K29" s="65" t="s">
        <v>399</v>
      </c>
      <c r="L29" s="63"/>
      <c r="M29" s="63"/>
      <c r="N29" s="63"/>
      <c r="O29" s="63"/>
    </row>
    <row r="30" spans="1:15" x14ac:dyDescent="0.25">
      <c r="J30" s="378"/>
      <c r="K30" s="65" t="s">
        <v>400</v>
      </c>
      <c r="L30" s="63"/>
      <c r="M30" s="63"/>
      <c r="N30" s="63"/>
      <c r="O30" s="63"/>
    </row>
    <row r="31" spans="1:15" x14ac:dyDescent="0.25">
      <c r="J31" s="378"/>
      <c r="K31" s="65" t="s">
        <v>401</v>
      </c>
      <c r="L31" s="63"/>
      <c r="M31" s="63"/>
      <c r="N31" s="63"/>
      <c r="O31" s="63"/>
    </row>
    <row r="32" spans="1:15" x14ac:dyDescent="0.25">
      <c r="J32" s="378"/>
      <c r="K32" s="65" t="s">
        <v>402</v>
      </c>
      <c r="L32" s="63"/>
      <c r="M32" s="63"/>
      <c r="N32" s="63"/>
      <c r="O32" s="63"/>
    </row>
    <row r="33" spans="1:15" x14ac:dyDescent="0.25">
      <c r="J33" s="378"/>
      <c r="K33" s="65" t="s">
        <v>403</v>
      </c>
      <c r="L33" s="63"/>
      <c r="M33" s="63"/>
      <c r="N33" s="63"/>
      <c r="O33" s="63"/>
    </row>
    <row r="34" spans="1:15" x14ac:dyDescent="0.25">
      <c r="J34" s="378"/>
      <c r="K34" s="61" t="s">
        <v>404</v>
      </c>
      <c r="L34" s="61" t="e">
        <f>AVERAGE(L22:L33)</f>
        <v>#DIV/0!</v>
      </c>
      <c r="M34" s="61">
        <f>MAX(M22:M33)</f>
        <v>0</v>
      </c>
      <c r="N34" s="61" t="e">
        <f>AVERAGE(N22:N33)</f>
        <v>#DIV/0!</v>
      </c>
      <c r="O34" s="61">
        <f>MAX(O22:O33)</f>
        <v>0</v>
      </c>
    </row>
    <row r="36" spans="1:15" ht="41.4" x14ac:dyDescent="0.25">
      <c r="J36" s="60">
        <f>+A6</f>
        <v>2022</v>
      </c>
      <c r="K36" s="60" t="s">
        <v>386</v>
      </c>
      <c r="L36" s="66" t="s">
        <v>381</v>
      </c>
      <c r="M36" s="66" t="s">
        <v>387</v>
      </c>
      <c r="N36" s="66" t="s">
        <v>384</v>
      </c>
      <c r="O36" s="66" t="s">
        <v>388</v>
      </c>
    </row>
    <row r="37" spans="1:15" x14ac:dyDescent="0.25">
      <c r="J37" s="378" t="s">
        <v>191</v>
      </c>
      <c r="K37" s="65" t="s">
        <v>389</v>
      </c>
      <c r="L37" s="63"/>
      <c r="M37" s="63"/>
      <c r="N37" s="63"/>
      <c r="O37" s="63"/>
    </row>
    <row r="38" spans="1:15" x14ac:dyDescent="0.25">
      <c r="J38" s="378"/>
      <c r="K38" s="65" t="s">
        <v>390</v>
      </c>
      <c r="L38" s="63"/>
      <c r="M38" s="63"/>
      <c r="N38" s="63"/>
      <c r="O38" s="63"/>
    </row>
    <row r="39" spans="1:15" x14ac:dyDescent="0.25">
      <c r="J39" s="378"/>
      <c r="K39" s="65" t="s">
        <v>391</v>
      </c>
      <c r="L39" s="63"/>
      <c r="M39" s="63"/>
      <c r="N39" s="63"/>
      <c r="O39" s="63"/>
    </row>
    <row r="40" spans="1:15" x14ac:dyDescent="0.25">
      <c r="J40" s="378"/>
      <c r="K40" s="65" t="s">
        <v>393</v>
      </c>
      <c r="L40" s="63"/>
      <c r="M40" s="63"/>
      <c r="N40" s="63"/>
      <c r="O40" s="63"/>
    </row>
    <row r="41" spans="1:15" x14ac:dyDescent="0.25">
      <c r="J41" s="378"/>
      <c r="K41" s="65" t="s">
        <v>395</v>
      </c>
      <c r="L41" s="63"/>
      <c r="M41" s="63"/>
      <c r="N41" s="63"/>
      <c r="O41" s="63"/>
    </row>
    <row r="42" spans="1:15" x14ac:dyDescent="0.25">
      <c r="J42" s="378"/>
      <c r="K42" s="65" t="s">
        <v>396</v>
      </c>
      <c r="L42" s="63"/>
      <c r="M42" s="63"/>
      <c r="N42" s="63"/>
      <c r="O42" s="63"/>
    </row>
    <row r="43" spans="1:15" x14ac:dyDescent="0.25">
      <c r="J43" s="378"/>
      <c r="K43" s="65" t="s">
        <v>397</v>
      </c>
      <c r="L43" s="63"/>
      <c r="M43" s="63"/>
      <c r="N43" s="63"/>
      <c r="O43" s="63"/>
    </row>
    <row r="44" spans="1:15" x14ac:dyDescent="0.25">
      <c r="J44" s="378"/>
      <c r="K44" s="65" t="s">
        <v>399</v>
      </c>
      <c r="L44" s="63"/>
      <c r="M44" s="63"/>
      <c r="N44" s="63"/>
      <c r="O44" s="63"/>
    </row>
    <row r="45" spans="1:15" x14ac:dyDescent="0.25">
      <c r="J45" s="378"/>
      <c r="K45" s="65" t="s">
        <v>400</v>
      </c>
      <c r="L45" s="63"/>
      <c r="M45" s="63"/>
      <c r="N45" s="63"/>
      <c r="O45" s="63"/>
    </row>
    <row r="46" spans="1:15" x14ac:dyDescent="0.25">
      <c r="J46" s="378"/>
      <c r="K46" s="65" t="s">
        <v>401</v>
      </c>
      <c r="L46" s="63"/>
      <c r="M46" s="63"/>
      <c r="N46" s="63"/>
      <c r="O46" s="63"/>
    </row>
    <row r="47" spans="1:15" x14ac:dyDescent="0.25">
      <c r="J47" s="378"/>
      <c r="K47" s="65" t="s">
        <v>402</v>
      </c>
      <c r="L47" s="63"/>
      <c r="M47" s="63"/>
      <c r="N47" s="63"/>
      <c r="O47" s="63"/>
    </row>
    <row r="48" spans="1:15" x14ac:dyDescent="0.25">
      <c r="A48" s="390" t="s">
        <v>295</v>
      </c>
      <c r="B48" s="391"/>
      <c r="C48" s="391"/>
      <c r="D48" s="391"/>
      <c r="E48" s="391"/>
      <c r="F48" s="391"/>
      <c r="G48" s="392"/>
      <c r="J48" s="378"/>
      <c r="K48" s="65" t="s">
        <v>403</v>
      </c>
      <c r="L48" s="63"/>
      <c r="M48" s="63"/>
      <c r="N48" s="63"/>
      <c r="O48" s="63"/>
    </row>
    <row r="49" spans="1:15" x14ac:dyDescent="0.25">
      <c r="A49" s="381"/>
      <c r="B49" s="382"/>
      <c r="C49" s="382"/>
      <c r="D49" s="382"/>
      <c r="E49" s="382"/>
      <c r="F49" s="382"/>
      <c r="G49" s="383"/>
      <c r="J49" s="378"/>
      <c r="K49" s="61" t="s">
        <v>404</v>
      </c>
      <c r="L49" s="61" t="e">
        <f>AVERAGE(L37:L48)</f>
        <v>#DIV/0!</v>
      </c>
      <c r="M49" s="61">
        <f>MAX(M37:M48)</f>
        <v>0</v>
      </c>
      <c r="N49" s="61" t="e">
        <f>AVERAGE(N37:N48)</f>
        <v>#DIV/0!</v>
      </c>
      <c r="O49" s="61">
        <f>MAX(O37:O48)</f>
        <v>0</v>
      </c>
    </row>
    <row r="50" spans="1:15" x14ac:dyDescent="0.25">
      <c r="A50" s="384"/>
      <c r="B50" s="385"/>
      <c r="C50" s="385"/>
      <c r="D50" s="385"/>
      <c r="E50" s="385"/>
      <c r="F50" s="385"/>
      <c r="G50" s="386"/>
    </row>
    <row r="51" spans="1:15" ht="41.4" x14ac:dyDescent="0.25">
      <c r="A51" s="384"/>
      <c r="B51" s="385"/>
      <c r="C51" s="385"/>
      <c r="D51" s="385"/>
      <c r="E51" s="385"/>
      <c r="F51" s="385"/>
      <c r="G51" s="386"/>
      <c r="J51" s="60">
        <f>+A6</f>
        <v>2022</v>
      </c>
      <c r="K51" s="60" t="s">
        <v>386</v>
      </c>
      <c r="L51" s="66" t="s">
        <v>381</v>
      </c>
      <c r="M51" s="66" t="s">
        <v>387</v>
      </c>
      <c r="N51" s="66" t="s">
        <v>384</v>
      </c>
      <c r="O51" s="66" t="s">
        <v>388</v>
      </c>
    </row>
    <row r="52" spans="1:15" x14ac:dyDescent="0.25">
      <c r="A52" s="387"/>
      <c r="B52" s="388"/>
      <c r="C52" s="388"/>
      <c r="D52" s="388"/>
      <c r="E52" s="388"/>
      <c r="F52" s="388"/>
      <c r="G52" s="389"/>
      <c r="J52" s="378" t="s">
        <v>192</v>
      </c>
      <c r="K52" s="65" t="s">
        <v>389</v>
      </c>
      <c r="L52" s="63"/>
      <c r="M52" s="63"/>
      <c r="N52" s="63"/>
      <c r="O52" s="63"/>
    </row>
    <row r="53" spans="1:15" x14ac:dyDescent="0.25">
      <c r="J53" s="378"/>
      <c r="K53" s="65" t="s">
        <v>390</v>
      </c>
      <c r="L53" s="63"/>
      <c r="M53" s="63"/>
      <c r="N53" s="63"/>
      <c r="O53" s="63"/>
    </row>
    <row r="54" spans="1:15" x14ac:dyDescent="0.25">
      <c r="J54" s="378"/>
      <c r="K54" s="65" t="s">
        <v>391</v>
      </c>
      <c r="L54" s="63"/>
      <c r="M54" s="63"/>
      <c r="N54" s="63"/>
      <c r="O54" s="63"/>
    </row>
    <row r="55" spans="1:15" x14ac:dyDescent="0.25">
      <c r="J55" s="378"/>
      <c r="K55" s="65" t="s">
        <v>393</v>
      </c>
      <c r="L55" s="63"/>
      <c r="M55" s="63"/>
      <c r="N55" s="63"/>
      <c r="O55" s="63"/>
    </row>
    <row r="56" spans="1:15" x14ac:dyDescent="0.25">
      <c r="J56" s="378"/>
      <c r="K56" s="65" t="s">
        <v>395</v>
      </c>
      <c r="L56" s="63"/>
      <c r="M56" s="63"/>
      <c r="N56" s="63"/>
      <c r="O56" s="63"/>
    </row>
    <row r="57" spans="1:15" x14ac:dyDescent="0.25">
      <c r="J57" s="378"/>
      <c r="K57" s="65" t="s">
        <v>396</v>
      </c>
      <c r="L57" s="63"/>
      <c r="M57" s="63"/>
      <c r="N57" s="63"/>
      <c r="O57" s="63"/>
    </row>
    <row r="58" spans="1:15" x14ac:dyDescent="0.25">
      <c r="J58" s="378"/>
      <c r="K58" s="65" t="s">
        <v>397</v>
      </c>
      <c r="L58" s="63"/>
      <c r="M58" s="63"/>
      <c r="N58" s="63"/>
      <c r="O58" s="63"/>
    </row>
    <row r="59" spans="1:15" x14ac:dyDescent="0.25">
      <c r="J59" s="378"/>
      <c r="K59" s="65" t="s">
        <v>399</v>
      </c>
      <c r="L59" s="63"/>
      <c r="M59" s="63"/>
      <c r="N59" s="63"/>
      <c r="O59" s="63"/>
    </row>
    <row r="60" spans="1:15" x14ac:dyDescent="0.25">
      <c r="J60" s="378"/>
      <c r="K60" s="65" t="s">
        <v>400</v>
      </c>
      <c r="L60" s="63"/>
      <c r="M60" s="63"/>
      <c r="N60" s="63"/>
      <c r="O60" s="63"/>
    </row>
    <row r="61" spans="1:15" x14ac:dyDescent="0.25">
      <c r="J61" s="378"/>
      <c r="K61" s="65" t="s">
        <v>401</v>
      </c>
      <c r="L61" s="63"/>
      <c r="M61" s="63"/>
      <c r="N61" s="63"/>
      <c r="O61" s="63"/>
    </row>
    <row r="62" spans="1:15" x14ac:dyDescent="0.25">
      <c r="J62" s="378"/>
      <c r="K62" s="65" t="s">
        <v>402</v>
      </c>
      <c r="L62" s="63"/>
      <c r="M62" s="63"/>
      <c r="N62" s="63"/>
      <c r="O62" s="63"/>
    </row>
    <row r="63" spans="1:15" x14ac:dyDescent="0.25">
      <c r="J63" s="378"/>
      <c r="K63" s="65" t="s">
        <v>403</v>
      </c>
      <c r="L63" s="63"/>
      <c r="M63" s="63"/>
      <c r="N63" s="63"/>
      <c r="O63" s="63"/>
    </row>
    <row r="64" spans="1:15" x14ac:dyDescent="0.25">
      <c r="J64" s="378"/>
      <c r="K64" s="61" t="s">
        <v>404</v>
      </c>
      <c r="L64" s="61" t="e">
        <f>AVERAGE(L52:L63)</f>
        <v>#DIV/0!</v>
      </c>
      <c r="M64" s="61">
        <f>MAX(M52:M63)</f>
        <v>0</v>
      </c>
      <c r="N64" s="61" t="e">
        <f>AVERAGE(N52:N63)</f>
        <v>#DIV/0!</v>
      </c>
      <c r="O64" s="61">
        <f>MAX(O52:O63)</f>
        <v>0</v>
      </c>
    </row>
    <row r="66" spans="10:15" ht="41.4" x14ac:dyDescent="0.25">
      <c r="J66" s="60">
        <f>+A6</f>
        <v>2022</v>
      </c>
      <c r="K66" s="60" t="s">
        <v>386</v>
      </c>
      <c r="L66" s="66" t="s">
        <v>381</v>
      </c>
      <c r="M66" s="66" t="s">
        <v>387</v>
      </c>
      <c r="N66" s="66" t="s">
        <v>384</v>
      </c>
      <c r="O66" s="66" t="s">
        <v>388</v>
      </c>
    </row>
    <row r="67" spans="10:15" x14ac:dyDescent="0.25">
      <c r="J67" s="378" t="s">
        <v>193</v>
      </c>
      <c r="K67" s="65" t="s">
        <v>389</v>
      </c>
      <c r="L67" s="63"/>
      <c r="M67" s="63"/>
      <c r="N67" s="63"/>
      <c r="O67" s="63"/>
    </row>
    <row r="68" spans="10:15" x14ac:dyDescent="0.25">
      <c r="J68" s="378"/>
      <c r="K68" s="65" t="s">
        <v>390</v>
      </c>
      <c r="L68" s="63"/>
      <c r="M68" s="63"/>
      <c r="N68" s="63"/>
      <c r="O68" s="63"/>
    </row>
    <row r="69" spans="10:15" x14ac:dyDescent="0.25">
      <c r="J69" s="378"/>
      <c r="K69" s="65" t="s">
        <v>391</v>
      </c>
      <c r="L69" s="63"/>
      <c r="M69" s="63"/>
      <c r="N69" s="63"/>
      <c r="O69" s="63"/>
    </row>
    <row r="70" spans="10:15" x14ac:dyDescent="0.25">
      <c r="J70" s="378"/>
      <c r="K70" s="65" t="s">
        <v>393</v>
      </c>
      <c r="L70" s="63"/>
      <c r="M70" s="63"/>
      <c r="N70" s="63"/>
      <c r="O70" s="63"/>
    </row>
    <row r="71" spans="10:15" x14ac:dyDescent="0.25">
      <c r="J71" s="378"/>
      <c r="K71" s="65" t="s">
        <v>395</v>
      </c>
      <c r="L71" s="63"/>
      <c r="M71" s="63"/>
      <c r="N71" s="63"/>
      <c r="O71" s="63"/>
    </row>
    <row r="72" spans="10:15" x14ac:dyDescent="0.25">
      <c r="J72" s="378"/>
      <c r="K72" s="65" t="s">
        <v>396</v>
      </c>
      <c r="L72" s="63"/>
      <c r="M72" s="63"/>
      <c r="N72" s="63"/>
      <c r="O72" s="63"/>
    </row>
    <row r="73" spans="10:15" x14ac:dyDescent="0.25">
      <c r="J73" s="378"/>
      <c r="K73" s="65" t="s">
        <v>397</v>
      </c>
      <c r="L73" s="63"/>
      <c r="M73" s="63"/>
      <c r="N73" s="63"/>
      <c r="O73" s="63"/>
    </row>
    <row r="74" spans="10:15" x14ac:dyDescent="0.25">
      <c r="J74" s="378"/>
      <c r="K74" s="65" t="s">
        <v>399</v>
      </c>
      <c r="L74" s="63"/>
      <c r="M74" s="63"/>
      <c r="N74" s="63"/>
      <c r="O74" s="63"/>
    </row>
    <row r="75" spans="10:15" x14ac:dyDescent="0.25">
      <c r="J75" s="378"/>
      <c r="K75" s="65" t="s">
        <v>400</v>
      </c>
      <c r="L75" s="63"/>
      <c r="M75" s="63"/>
      <c r="N75" s="63"/>
      <c r="O75" s="63"/>
    </row>
    <row r="76" spans="10:15" x14ac:dyDescent="0.25">
      <c r="J76" s="378"/>
      <c r="K76" s="65" t="s">
        <v>401</v>
      </c>
      <c r="L76" s="63"/>
      <c r="M76" s="63"/>
      <c r="N76" s="63"/>
      <c r="O76" s="63"/>
    </row>
    <row r="77" spans="10:15" x14ac:dyDescent="0.25">
      <c r="J77" s="378"/>
      <c r="K77" s="65" t="s">
        <v>402</v>
      </c>
      <c r="L77" s="63"/>
      <c r="M77" s="63"/>
      <c r="N77" s="63"/>
      <c r="O77" s="63"/>
    </row>
    <row r="78" spans="10:15" x14ac:dyDescent="0.25">
      <c r="J78" s="378"/>
      <c r="K78" s="65" t="s">
        <v>403</v>
      </c>
      <c r="L78" s="63"/>
      <c r="M78" s="63"/>
      <c r="N78" s="63"/>
      <c r="O78" s="63"/>
    </row>
    <row r="79" spans="10:15" x14ac:dyDescent="0.25">
      <c r="J79" s="378"/>
      <c r="K79" s="61" t="s">
        <v>404</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S79"/>
  <sheetViews>
    <sheetView workbookViewId="0">
      <selection activeCell="H31" sqref="H31"/>
    </sheetView>
  </sheetViews>
  <sheetFormatPr defaultRowHeight="13.8" x14ac:dyDescent="0.25"/>
  <cols>
    <col min="1" max="1" width="14" style="3" customWidth="1"/>
    <col min="2" max="4" width="17" style="34" customWidth="1"/>
    <col min="5" max="5" width="14.6640625" style="34" customWidth="1"/>
    <col min="6" max="7" width="17" style="34"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
        <v>5</v>
      </c>
      <c r="B1" s="92"/>
      <c r="C1" s="92"/>
      <c r="D1" s="92"/>
      <c r="E1" s="92" t="s">
        <v>7</v>
      </c>
    </row>
    <row r="3" spans="1:19" ht="14.4" x14ac:dyDescent="0.3">
      <c r="A3" s="59" t="s">
        <v>411</v>
      </c>
      <c r="D3" s="75" t="s">
        <v>373</v>
      </c>
      <c r="G3" s="79" t="s">
        <v>374</v>
      </c>
      <c r="J3" s="9" t="s">
        <v>411</v>
      </c>
      <c r="L3" s="9"/>
      <c r="N3" s="9" t="s">
        <v>375</v>
      </c>
      <c r="Q3" s="78" t="s">
        <v>3</v>
      </c>
      <c r="R3" s="73"/>
      <c r="S3" s="73"/>
    </row>
    <row r="4" spans="1:19" ht="13.95" customHeight="1" x14ac:dyDescent="0.25">
      <c r="Q4" s="369" t="s">
        <v>376</v>
      </c>
      <c r="R4" s="369"/>
      <c r="S4" s="369"/>
    </row>
    <row r="5" spans="1:19" ht="16.2" x14ac:dyDescent="0.25">
      <c r="A5" s="67" t="s">
        <v>377</v>
      </c>
      <c r="B5" s="380" t="s">
        <v>378</v>
      </c>
      <c r="C5" s="380"/>
      <c r="D5" s="380"/>
      <c r="E5" s="380" t="s">
        <v>379</v>
      </c>
      <c r="F5" s="380"/>
      <c r="G5" s="380"/>
      <c r="J5" s="379"/>
      <c r="K5" s="379"/>
      <c r="L5" s="379"/>
      <c r="M5" s="379"/>
      <c r="N5" s="379"/>
      <c r="O5" s="379"/>
      <c r="Q5" s="369"/>
      <c r="R5" s="369"/>
      <c r="S5" s="369"/>
    </row>
    <row r="6" spans="1:19" s="57" customFormat="1" ht="37.5" customHeight="1" x14ac:dyDescent="0.3">
      <c r="A6" s="64">
        <v>2022</v>
      </c>
      <c r="B6" s="54" t="s">
        <v>412</v>
      </c>
      <c r="C6" s="54" t="s">
        <v>381</v>
      </c>
      <c r="D6" s="54" t="s">
        <v>382</v>
      </c>
      <c r="E6" s="54" t="s">
        <v>413</v>
      </c>
      <c r="F6" s="54" t="s">
        <v>384</v>
      </c>
      <c r="G6" s="54" t="s">
        <v>385</v>
      </c>
      <c r="H6" s="58"/>
      <c r="J6" s="60">
        <v>2022</v>
      </c>
      <c r="K6" s="60" t="s">
        <v>386</v>
      </c>
      <c r="L6" s="66" t="s">
        <v>381</v>
      </c>
      <c r="M6" s="66" t="s">
        <v>387</v>
      </c>
      <c r="N6" s="66" t="s">
        <v>384</v>
      </c>
      <c r="O6" s="66" t="s">
        <v>388</v>
      </c>
      <c r="Q6" s="369"/>
      <c r="R6" s="369"/>
      <c r="S6" s="369"/>
    </row>
    <row r="7" spans="1:19" x14ac:dyDescent="0.25">
      <c r="A7" s="65" t="s">
        <v>389</v>
      </c>
      <c r="B7" s="62">
        <v>20</v>
      </c>
      <c r="C7" s="63">
        <v>0.1</v>
      </c>
      <c r="D7" s="63">
        <v>7.2</v>
      </c>
      <c r="E7" s="62">
        <v>10</v>
      </c>
      <c r="F7" s="63">
        <v>0</v>
      </c>
      <c r="G7" s="63">
        <v>0.2</v>
      </c>
      <c r="J7" s="378" t="s">
        <v>189</v>
      </c>
      <c r="K7" s="65" t="s">
        <v>389</v>
      </c>
      <c r="L7" s="63">
        <v>0.1</v>
      </c>
      <c r="M7" s="63">
        <v>7.2</v>
      </c>
      <c r="N7" s="63">
        <v>0</v>
      </c>
      <c r="O7" s="63">
        <v>0.2</v>
      </c>
      <c r="Q7" s="369"/>
      <c r="R7" s="369"/>
      <c r="S7" s="369"/>
    </row>
    <row r="8" spans="1:19" x14ac:dyDescent="0.25">
      <c r="A8" s="65" t="s">
        <v>390</v>
      </c>
      <c r="B8" s="62">
        <v>20</v>
      </c>
      <c r="C8" s="63">
        <v>0</v>
      </c>
      <c r="D8" s="63">
        <v>5</v>
      </c>
      <c r="E8" s="62">
        <v>10</v>
      </c>
      <c r="F8" s="63">
        <v>0</v>
      </c>
      <c r="G8" s="63">
        <v>0.3</v>
      </c>
      <c r="J8" s="378"/>
      <c r="K8" s="65" t="s">
        <v>390</v>
      </c>
      <c r="L8" s="63">
        <v>0</v>
      </c>
      <c r="M8" s="63">
        <v>5</v>
      </c>
      <c r="N8" s="63">
        <v>0</v>
      </c>
      <c r="O8" s="63">
        <v>0.3</v>
      </c>
      <c r="Q8" s="369"/>
      <c r="R8" s="369"/>
      <c r="S8" s="369"/>
    </row>
    <row r="9" spans="1:19" x14ac:dyDescent="0.25">
      <c r="A9" s="65" t="s">
        <v>391</v>
      </c>
      <c r="B9" s="62">
        <v>20</v>
      </c>
      <c r="C9" s="63">
        <v>0</v>
      </c>
      <c r="D9" s="63">
        <v>2.9</v>
      </c>
      <c r="E9" s="62">
        <v>10</v>
      </c>
      <c r="F9" s="63">
        <v>0</v>
      </c>
      <c r="G9" s="63">
        <v>0.1</v>
      </c>
      <c r="J9" s="378"/>
      <c r="K9" s="65" t="s">
        <v>391</v>
      </c>
      <c r="L9" s="63">
        <v>0</v>
      </c>
      <c r="M9" s="63">
        <v>2.9</v>
      </c>
      <c r="N9" s="63">
        <v>0</v>
      </c>
      <c r="O9" s="63">
        <v>0.1</v>
      </c>
      <c r="Q9" s="77" t="s">
        <v>392</v>
      </c>
    </row>
    <row r="10" spans="1:19" ht="14.25" customHeight="1" x14ac:dyDescent="0.25">
      <c r="A10" s="65" t="s">
        <v>393</v>
      </c>
      <c r="B10" s="62">
        <v>20</v>
      </c>
      <c r="C10" s="63">
        <v>0</v>
      </c>
      <c r="D10" s="63">
        <v>6.6</v>
      </c>
      <c r="E10" s="62">
        <v>10</v>
      </c>
      <c r="F10" s="63">
        <v>0</v>
      </c>
      <c r="G10" s="63">
        <v>0.2</v>
      </c>
      <c r="J10" s="378"/>
      <c r="K10" s="65" t="s">
        <v>393</v>
      </c>
      <c r="L10" s="63">
        <v>0</v>
      </c>
      <c r="M10" s="63">
        <v>6.6</v>
      </c>
      <c r="N10" s="63">
        <v>0</v>
      </c>
      <c r="O10" s="63">
        <v>0.2</v>
      </c>
      <c r="Q10" s="377" t="s">
        <v>394</v>
      </c>
      <c r="R10" s="377"/>
      <c r="S10" s="377"/>
    </row>
    <row r="11" spans="1:19" x14ac:dyDescent="0.25">
      <c r="A11" s="65" t="s">
        <v>395</v>
      </c>
      <c r="B11" s="62">
        <v>20</v>
      </c>
      <c r="C11" s="63">
        <v>0.9</v>
      </c>
      <c r="D11" s="63">
        <v>6.4</v>
      </c>
      <c r="E11" s="62">
        <v>10</v>
      </c>
      <c r="F11" s="63">
        <v>0.8</v>
      </c>
      <c r="G11" s="63">
        <v>1.2</v>
      </c>
      <c r="J11" s="378"/>
      <c r="K11" s="65" t="s">
        <v>395</v>
      </c>
      <c r="L11" s="63">
        <v>0.9</v>
      </c>
      <c r="M11" s="63">
        <v>6.4</v>
      </c>
      <c r="N11" s="63">
        <v>0.8</v>
      </c>
      <c r="O11" s="63">
        <v>1.2</v>
      </c>
      <c r="Q11" s="377"/>
      <c r="R11" s="377"/>
      <c r="S11" s="377"/>
    </row>
    <row r="12" spans="1:19" x14ac:dyDescent="0.25">
      <c r="A12" s="65" t="s">
        <v>396</v>
      </c>
      <c r="B12" s="62">
        <v>20</v>
      </c>
      <c r="C12" s="63">
        <v>1</v>
      </c>
      <c r="D12" s="63">
        <v>6.4</v>
      </c>
      <c r="E12" s="62">
        <v>10</v>
      </c>
      <c r="F12" s="63">
        <v>1</v>
      </c>
      <c r="G12" s="63">
        <v>1.1000000000000001</v>
      </c>
      <c r="J12" s="378"/>
      <c r="K12" s="65" t="s">
        <v>396</v>
      </c>
      <c r="L12" s="63">
        <v>1</v>
      </c>
      <c r="M12" s="63">
        <v>6.4</v>
      </c>
      <c r="N12" s="63">
        <v>1</v>
      </c>
      <c r="O12" s="63">
        <v>1.1000000000000001</v>
      </c>
      <c r="Q12" s="377"/>
      <c r="R12" s="377"/>
      <c r="S12" s="377"/>
    </row>
    <row r="13" spans="1:19" ht="14.25" customHeight="1" x14ac:dyDescent="0.25">
      <c r="A13" s="65" t="s">
        <v>397</v>
      </c>
      <c r="B13" s="62">
        <v>20</v>
      </c>
      <c r="C13" s="63">
        <v>1.1000000000000001</v>
      </c>
      <c r="D13" s="63">
        <v>15.2</v>
      </c>
      <c r="E13" s="62">
        <v>10</v>
      </c>
      <c r="F13" s="63">
        <v>1.1000000000000001</v>
      </c>
      <c r="G13" s="63">
        <v>1.5</v>
      </c>
      <c r="J13" s="378"/>
      <c r="K13" s="65" t="s">
        <v>397</v>
      </c>
      <c r="L13" s="63">
        <v>1.1000000000000001</v>
      </c>
      <c r="M13" s="63">
        <v>15.2</v>
      </c>
      <c r="N13" s="63">
        <v>1.1000000000000001</v>
      </c>
      <c r="O13" s="63">
        <v>1.5</v>
      </c>
      <c r="Q13" s="377" t="s">
        <v>398</v>
      </c>
      <c r="R13" s="377"/>
      <c r="S13" s="377"/>
    </row>
    <row r="14" spans="1:19" x14ac:dyDescent="0.25">
      <c r="A14" s="65" t="s">
        <v>399</v>
      </c>
      <c r="B14" s="62">
        <v>20</v>
      </c>
      <c r="C14" s="63">
        <v>1.1000000000000001</v>
      </c>
      <c r="D14" s="63">
        <v>6.4</v>
      </c>
      <c r="E14" s="62">
        <v>10</v>
      </c>
      <c r="F14" s="63">
        <v>1</v>
      </c>
      <c r="G14" s="63">
        <v>1.2</v>
      </c>
      <c r="J14" s="378"/>
      <c r="K14" s="65" t="s">
        <v>399</v>
      </c>
      <c r="L14" s="63">
        <v>1.1000000000000001</v>
      </c>
      <c r="M14" s="63">
        <v>6.4</v>
      </c>
      <c r="N14" s="63">
        <v>1</v>
      </c>
      <c r="O14" s="63">
        <v>1.2</v>
      </c>
      <c r="Q14" s="377"/>
      <c r="R14" s="377"/>
      <c r="S14" s="377"/>
    </row>
    <row r="15" spans="1:19" x14ac:dyDescent="0.25">
      <c r="A15" s="65" t="s">
        <v>400</v>
      </c>
      <c r="B15" s="62">
        <v>20</v>
      </c>
      <c r="C15" s="63">
        <v>1.1000000000000001</v>
      </c>
      <c r="D15" s="63">
        <v>7.6</v>
      </c>
      <c r="E15" s="62">
        <v>10</v>
      </c>
      <c r="F15" s="63">
        <v>1</v>
      </c>
      <c r="G15" s="63">
        <v>1.4</v>
      </c>
      <c r="J15" s="378"/>
      <c r="K15" s="65" t="s">
        <v>400</v>
      </c>
      <c r="L15" s="63">
        <v>1.1000000000000001</v>
      </c>
      <c r="M15" s="63">
        <v>7.6</v>
      </c>
      <c r="N15" s="63">
        <v>1</v>
      </c>
      <c r="O15" s="63">
        <v>1.4</v>
      </c>
      <c r="Q15" s="377"/>
      <c r="R15" s="377"/>
      <c r="S15" s="377"/>
    </row>
    <row r="16" spans="1:19" x14ac:dyDescent="0.25">
      <c r="A16" s="65" t="s">
        <v>401</v>
      </c>
      <c r="B16" s="62">
        <v>20</v>
      </c>
      <c r="C16" s="63">
        <v>1</v>
      </c>
      <c r="D16" s="63">
        <v>4.5</v>
      </c>
      <c r="E16" s="62">
        <v>10</v>
      </c>
      <c r="F16" s="63">
        <v>1</v>
      </c>
      <c r="G16" s="63">
        <v>1.2</v>
      </c>
      <c r="J16" s="378"/>
      <c r="K16" s="65" t="s">
        <v>401</v>
      </c>
      <c r="L16" s="63">
        <v>1</v>
      </c>
      <c r="M16" s="63">
        <v>4.5</v>
      </c>
      <c r="N16" s="63">
        <v>1</v>
      </c>
      <c r="O16" s="63">
        <v>1.2</v>
      </c>
      <c r="Q16" s="377"/>
      <c r="R16" s="377"/>
      <c r="S16" s="377"/>
    </row>
    <row r="17" spans="1:15" x14ac:dyDescent="0.25">
      <c r="A17" s="65" t="s">
        <v>402</v>
      </c>
      <c r="B17" s="62">
        <v>20</v>
      </c>
      <c r="C17" s="63">
        <v>1</v>
      </c>
      <c r="D17" s="63">
        <v>7.7</v>
      </c>
      <c r="E17" s="62">
        <v>10</v>
      </c>
      <c r="F17" s="63">
        <v>0.9</v>
      </c>
      <c r="G17" s="63">
        <v>1.2</v>
      </c>
      <c r="J17" s="378"/>
      <c r="K17" s="65" t="s">
        <v>402</v>
      </c>
      <c r="L17" s="63">
        <v>1</v>
      </c>
      <c r="M17" s="63">
        <v>7.7</v>
      </c>
      <c r="N17" s="63">
        <v>0.9</v>
      </c>
      <c r="O17" s="63">
        <v>1.2</v>
      </c>
    </row>
    <row r="18" spans="1:15" x14ac:dyDescent="0.25">
      <c r="A18" s="65" t="s">
        <v>403</v>
      </c>
      <c r="B18" s="62">
        <v>20</v>
      </c>
      <c r="C18" s="63">
        <v>0.9</v>
      </c>
      <c r="D18" s="63">
        <v>5.3</v>
      </c>
      <c r="E18" s="62">
        <v>10</v>
      </c>
      <c r="F18" s="63">
        <v>0.8</v>
      </c>
      <c r="G18" s="63">
        <v>1.1000000000000001</v>
      </c>
      <c r="J18" s="378"/>
      <c r="K18" s="65" t="s">
        <v>403</v>
      </c>
      <c r="L18" s="63">
        <v>0.9</v>
      </c>
      <c r="M18" s="63">
        <v>5.3</v>
      </c>
      <c r="N18" s="63">
        <v>0.8</v>
      </c>
      <c r="O18" s="63">
        <v>1.1000000000000001</v>
      </c>
    </row>
    <row r="19" spans="1:15" x14ac:dyDescent="0.25">
      <c r="J19" s="378"/>
      <c r="K19" s="61" t="s">
        <v>404</v>
      </c>
      <c r="L19" s="61">
        <v>0.68333333333333346</v>
      </c>
      <c r="M19" s="61">
        <v>15.2</v>
      </c>
      <c r="N19" s="61">
        <v>0.63333333333333341</v>
      </c>
      <c r="O19" s="61">
        <v>1.5</v>
      </c>
    </row>
    <row r="21" spans="1:15" ht="41.4" x14ac:dyDescent="0.25">
      <c r="J21" s="60">
        <f>+A6</f>
        <v>2022</v>
      </c>
      <c r="K21" s="60" t="s">
        <v>386</v>
      </c>
      <c r="L21" s="66" t="s">
        <v>381</v>
      </c>
      <c r="M21" s="66" t="s">
        <v>387</v>
      </c>
      <c r="N21" s="66" t="s">
        <v>384</v>
      </c>
      <c r="O21" s="66" t="s">
        <v>388</v>
      </c>
    </row>
    <row r="22" spans="1:15" x14ac:dyDescent="0.25">
      <c r="J22" s="378" t="s">
        <v>190</v>
      </c>
      <c r="K22" s="65" t="s">
        <v>389</v>
      </c>
      <c r="L22" s="63"/>
      <c r="M22" s="63"/>
      <c r="N22" s="63"/>
      <c r="O22" s="63"/>
    </row>
    <row r="23" spans="1:15" x14ac:dyDescent="0.25">
      <c r="J23" s="378"/>
      <c r="K23" s="65" t="s">
        <v>390</v>
      </c>
      <c r="L23" s="63"/>
      <c r="M23" s="63"/>
      <c r="N23" s="63"/>
      <c r="O23" s="63"/>
    </row>
    <row r="24" spans="1:15" x14ac:dyDescent="0.25">
      <c r="J24" s="378"/>
      <c r="K24" s="65" t="s">
        <v>391</v>
      </c>
      <c r="L24" s="63"/>
      <c r="M24" s="63"/>
      <c r="N24" s="63"/>
      <c r="O24" s="63"/>
    </row>
    <row r="25" spans="1:15" x14ac:dyDescent="0.25">
      <c r="J25" s="378"/>
      <c r="K25" s="65" t="s">
        <v>393</v>
      </c>
      <c r="L25" s="63"/>
      <c r="M25" s="63"/>
      <c r="N25" s="63"/>
      <c r="O25" s="63"/>
    </row>
    <row r="26" spans="1:15" x14ac:dyDescent="0.25">
      <c r="J26" s="378"/>
      <c r="K26" s="65" t="s">
        <v>395</v>
      </c>
      <c r="L26" s="63"/>
      <c r="M26" s="63"/>
      <c r="N26" s="63"/>
      <c r="O26" s="63"/>
    </row>
    <row r="27" spans="1:15" x14ac:dyDescent="0.25">
      <c r="J27" s="378"/>
      <c r="K27" s="65" t="s">
        <v>396</v>
      </c>
      <c r="L27" s="63"/>
      <c r="M27" s="63"/>
      <c r="N27" s="63"/>
      <c r="O27" s="63"/>
    </row>
    <row r="28" spans="1:15" x14ac:dyDescent="0.25">
      <c r="J28" s="378"/>
      <c r="K28" s="65" t="s">
        <v>397</v>
      </c>
      <c r="L28" s="63"/>
      <c r="M28" s="63"/>
      <c r="N28" s="63"/>
      <c r="O28" s="63"/>
    </row>
    <row r="29" spans="1:15" x14ac:dyDescent="0.25">
      <c r="J29" s="378"/>
      <c r="K29" s="65" t="s">
        <v>399</v>
      </c>
      <c r="L29" s="63"/>
      <c r="M29" s="63"/>
      <c r="N29" s="63"/>
      <c r="O29" s="63"/>
    </row>
    <row r="30" spans="1:15" x14ac:dyDescent="0.25">
      <c r="J30" s="378"/>
      <c r="K30" s="65" t="s">
        <v>400</v>
      </c>
      <c r="L30" s="63"/>
      <c r="M30" s="63"/>
      <c r="N30" s="63"/>
      <c r="O30" s="63"/>
    </row>
    <row r="31" spans="1:15" x14ac:dyDescent="0.25">
      <c r="J31" s="378"/>
      <c r="K31" s="65" t="s">
        <v>401</v>
      </c>
      <c r="L31" s="63"/>
      <c r="M31" s="63"/>
      <c r="N31" s="63"/>
      <c r="O31" s="63"/>
    </row>
    <row r="32" spans="1:15" x14ac:dyDescent="0.25">
      <c r="J32" s="378"/>
      <c r="K32" s="65" t="s">
        <v>402</v>
      </c>
      <c r="L32" s="63"/>
      <c r="M32" s="63"/>
      <c r="N32" s="63"/>
      <c r="O32" s="63"/>
    </row>
    <row r="33" spans="1:15" x14ac:dyDescent="0.25">
      <c r="J33" s="378"/>
      <c r="K33" s="65" t="s">
        <v>403</v>
      </c>
      <c r="L33" s="63"/>
      <c r="M33" s="63"/>
      <c r="N33" s="63"/>
      <c r="O33" s="63"/>
    </row>
    <row r="34" spans="1:15" x14ac:dyDescent="0.25">
      <c r="J34" s="378"/>
      <c r="K34" s="61" t="s">
        <v>404</v>
      </c>
      <c r="L34" s="61" t="e">
        <f>AVERAGE(L22:L33)</f>
        <v>#DIV/0!</v>
      </c>
      <c r="M34" s="61">
        <f>MAX(M22:M33)</f>
        <v>0</v>
      </c>
      <c r="N34" s="61" t="e">
        <f>AVERAGE(N22:N33)</f>
        <v>#DIV/0!</v>
      </c>
      <c r="O34" s="61">
        <f>MAX(O22:O33)</f>
        <v>0</v>
      </c>
    </row>
    <row r="36" spans="1:15" ht="41.4" x14ac:dyDescent="0.25">
      <c r="J36" s="60">
        <f>+A6</f>
        <v>2022</v>
      </c>
      <c r="K36" s="60" t="s">
        <v>386</v>
      </c>
      <c r="L36" s="66" t="s">
        <v>381</v>
      </c>
      <c r="M36" s="66" t="s">
        <v>387</v>
      </c>
      <c r="N36" s="66" t="s">
        <v>384</v>
      </c>
      <c r="O36" s="66" t="s">
        <v>388</v>
      </c>
    </row>
    <row r="37" spans="1:15" x14ac:dyDescent="0.25">
      <c r="J37" s="378" t="s">
        <v>191</v>
      </c>
      <c r="K37" s="65" t="s">
        <v>389</v>
      </c>
      <c r="L37" s="63"/>
      <c r="M37" s="63"/>
      <c r="N37" s="63"/>
      <c r="O37" s="63"/>
    </row>
    <row r="38" spans="1:15" x14ac:dyDescent="0.25">
      <c r="J38" s="378"/>
      <c r="K38" s="65" t="s">
        <v>390</v>
      </c>
      <c r="L38" s="63"/>
      <c r="M38" s="63"/>
      <c r="N38" s="63"/>
      <c r="O38" s="63"/>
    </row>
    <row r="39" spans="1:15" x14ac:dyDescent="0.25">
      <c r="J39" s="378"/>
      <c r="K39" s="65" t="s">
        <v>391</v>
      </c>
      <c r="L39" s="63"/>
      <c r="M39" s="63"/>
      <c r="N39" s="63"/>
      <c r="O39" s="63"/>
    </row>
    <row r="40" spans="1:15" x14ac:dyDescent="0.25">
      <c r="J40" s="378"/>
      <c r="K40" s="65" t="s">
        <v>393</v>
      </c>
      <c r="L40" s="63"/>
      <c r="M40" s="63"/>
      <c r="N40" s="63"/>
      <c r="O40" s="63"/>
    </row>
    <row r="41" spans="1:15" x14ac:dyDescent="0.25">
      <c r="J41" s="378"/>
      <c r="K41" s="65" t="s">
        <v>395</v>
      </c>
      <c r="L41" s="63"/>
      <c r="M41" s="63"/>
      <c r="N41" s="63"/>
      <c r="O41" s="63"/>
    </row>
    <row r="42" spans="1:15" x14ac:dyDescent="0.25">
      <c r="J42" s="378"/>
      <c r="K42" s="65" t="s">
        <v>396</v>
      </c>
      <c r="L42" s="63"/>
      <c r="M42" s="63"/>
      <c r="N42" s="63"/>
      <c r="O42" s="63"/>
    </row>
    <row r="43" spans="1:15" x14ac:dyDescent="0.25">
      <c r="J43" s="378"/>
      <c r="K43" s="65" t="s">
        <v>397</v>
      </c>
      <c r="L43" s="63"/>
      <c r="M43" s="63"/>
      <c r="N43" s="63"/>
      <c r="O43" s="63"/>
    </row>
    <row r="44" spans="1:15" x14ac:dyDescent="0.25">
      <c r="J44" s="378"/>
      <c r="K44" s="65" t="s">
        <v>399</v>
      </c>
      <c r="L44" s="63"/>
      <c r="M44" s="63"/>
      <c r="N44" s="63"/>
      <c r="O44" s="63"/>
    </row>
    <row r="45" spans="1:15" x14ac:dyDescent="0.25">
      <c r="J45" s="378"/>
      <c r="K45" s="65" t="s">
        <v>400</v>
      </c>
      <c r="L45" s="63"/>
      <c r="M45" s="63"/>
      <c r="N45" s="63"/>
      <c r="O45" s="63"/>
    </row>
    <row r="46" spans="1:15" x14ac:dyDescent="0.25">
      <c r="J46" s="378"/>
      <c r="K46" s="65" t="s">
        <v>401</v>
      </c>
      <c r="L46" s="63"/>
      <c r="M46" s="63"/>
      <c r="N46" s="63"/>
      <c r="O46" s="63"/>
    </row>
    <row r="47" spans="1:15" x14ac:dyDescent="0.25">
      <c r="J47" s="378"/>
      <c r="K47" s="65" t="s">
        <v>402</v>
      </c>
      <c r="L47" s="63"/>
      <c r="M47" s="63"/>
      <c r="N47" s="63"/>
      <c r="O47" s="63"/>
    </row>
    <row r="48" spans="1:15" x14ac:dyDescent="0.25">
      <c r="A48" s="390" t="s">
        <v>295</v>
      </c>
      <c r="B48" s="391"/>
      <c r="C48" s="391"/>
      <c r="D48" s="391"/>
      <c r="E48" s="391"/>
      <c r="F48" s="391"/>
      <c r="G48" s="392"/>
      <c r="J48" s="378"/>
      <c r="K48" s="65" t="s">
        <v>403</v>
      </c>
      <c r="L48" s="63"/>
      <c r="M48" s="63"/>
      <c r="N48" s="63"/>
      <c r="O48" s="63"/>
    </row>
    <row r="49" spans="1:15" x14ac:dyDescent="0.25">
      <c r="A49" s="381"/>
      <c r="B49" s="382"/>
      <c r="C49" s="382"/>
      <c r="D49" s="382"/>
      <c r="E49" s="382"/>
      <c r="F49" s="382"/>
      <c r="G49" s="383"/>
      <c r="J49" s="378"/>
      <c r="K49" s="61" t="s">
        <v>404</v>
      </c>
      <c r="L49" s="61" t="e">
        <f>AVERAGE(L37:L48)</f>
        <v>#DIV/0!</v>
      </c>
      <c r="M49" s="61">
        <f>MAX(M37:M48)</f>
        <v>0</v>
      </c>
      <c r="N49" s="61" t="e">
        <f>AVERAGE(N37:N48)</f>
        <v>#DIV/0!</v>
      </c>
      <c r="O49" s="61">
        <f>MAX(O37:O48)</f>
        <v>0</v>
      </c>
    </row>
    <row r="50" spans="1:15" x14ac:dyDescent="0.25">
      <c r="A50" s="384"/>
      <c r="B50" s="385"/>
      <c r="C50" s="385"/>
      <c r="D50" s="385"/>
      <c r="E50" s="385"/>
      <c r="F50" s="385"/>
      <c r="G50" s="386"/>
    </row>
    <row r="51" spans="1:15" ht="41.4" x14ac:dyDescent="0.25">
      <c r="A51" s="384"/>
      <c r="B51" s="385"/>
      <c r="C51" s="385"/>
      <c r="D51" s="385"/>
      <c r="E51" s="385"/>
      <c r="F51" s="385"/>
      <c r="G51" s="386"/>
      <c r="J51" s="60">
        <f>+A6</f>
        <v>2022</v>
      </c>
      <c r="K51" s="60" t="s">
        <v>386</v>
      </c>
      <c r="L51" s="66" t="s">
        <v>381</v>
      </c>
      <c r="M51" s="66" t="s">
        <v>387</v>
      </c>
      <c r="N51" s="66" t="s">
        <v>384</v>
      </c>
      <c r="O51" s="66" t="s">
        <v>388</v>
      </c>
    </row>
    <row r="52" spans="1:15" x14ac:dyDescent="0.25">
      <c r="A52" s="387"/>
      <c r="B52" s="388"/>
      <c r="C52" s="388"/>
      <c r="D52" s="388"/>
      <c r="E52" s="388"/>
      <c r="F52" s="388"/>
      <c r="G52" s="389"/>
      <c r="J52" s="378" t="s">
        <v>192</v>
      </c>
      <c r="K52" s="65" t="s">
        <v>389</v>
      </c>
      <c r="L52" s="63"/>
      <c r="M52" s="63"/>
      <c r="N52" s="63"/>
      <c r="O52" s="63"/>
    </row>
    <row r="53" spans="1:15" x14ac:dyDescent="0.25">
      <c r="J53" s="378"/>
      <c r="K53" s="65" t="s">
        <v>390</v>
      </c>
      <c r="L53" s="63"/>
      <c r="M53" s="63"/>
      <c r="N53" s="63"/>
      <c r="O53" s="63"/>
    </row>
    <row r="54" spans="1:15" x14ac:dyDescent="0.25">
      <c r="J54" s="378"/>
      <c r="K54" s="65" t="s">
        <v>391</v>
      </c>
      <c r="L54" s="63"/>
      <c r="M54" s="63"/>
      <c r="N54" s="63"/>
      <c r="O54" s="63"/>
    </row>
    <row r="55" spans="1:15" x14ac:dyDescent="0.25">
      <c r="J55" s="378"/>
      <c r="K55" s="65" t="s">
        <v>393</v>
      </c>
      <c r="L55" s="63"/>
      <c r="M55" s="63"/>
      <c r="N55" s="63"/>
      <c r="O55" s="63"/>
    </row>
    <row r="56" spans="1:15" x14ac:dyDescent="0.25">
      <c r="J56" s="378"/>
      <c r="K56" s="65" t="s">
        <v>395</v>
      </c>
      <c r="L56" s="63"/>
      <c r="M56" s="63"/>
      <c r="N56" s="63"/>
      <c r="O56" s="63"/>
    </row>
    <row r="57" spans="1:15" x14ac:dyDescent="0.25">
      <c r="J57" s="378"/>
      <c r="K57" s="65" t="s">
        <v>396</v>
      </c>
      <c r="L57" s="63"/>
      <c r="M57" s="63"/>
      <c r="N57" s="63"/>
      <c r="O57" s="63"/>
    </row>
    <row r="58" spans="1:15" x14ac:dyDescent="0.25">
      <c r="J58" s="378"/>
      <c r="K58" s="65" t="s">
        <v>397</v>
      </c>
      <c r="L58" s="63"/>
      <c r="M58" s="63"/>
      <c r="N58" s="63"/>
      <c r="O58" s="63"/>
    </row>
    <row r="59" spans="1:15" x14ac:dyDescent="0.25">
      <c r="J59" s="378"/>
      <c r="K59" s="65" t="s">
        <v>399</v>
      </c>
      <c r="L59" s="63"/>
      <c r="M59" s="63"/>
      <c r="N59" s="63"/>
      <c r="O59" s="63"/>
    </row>
    <row r="60" spans="1:15" x14ac:dyDescent="0.25">
      <c r="J60" s="378"/>
      <c r="K60" s="65" t="s">
        <v>400</v>
      </c>
      <c r="L60" s="63"/>
      <c r="M60" s="63"/>
      <c r="N60" s="63"/>
      <c r="O60" s="63"/>
    </row>
    <row r="61" spans="1:15" x14ac:dyDescent="0.25">
      <c r="J61" s="378"/>
      <c r="K61" s="65" t="s">
        <v>401</v>
      </c>
      <c r="L61" s="63"/>
      <c r="M61" s="63"/>
      <c r="N61" s="63"/>
      <c r="O61" s="63"/>
    </row>
    <row r="62" spans="1:15" x14ac:dyDescent="0.25">
      <c r="J62" s="378"/>
      <c r="K62" s="65" t="s">
        <v>402</v>
      </c>
      <c r="L62" s="63"/>
      <c r="M62" s="63"/>
      <c r="N62" s="63"/>
      <c r="O62" s="63"/>
    </row>
    <row r="63" spans="1:15" x14ac:dyDescent="0.25">
      <c r="J63" s="378"/>
      <c r="K63" s="65" t="s">
        <v>403</v>
      </c>
      <c r="L63" s="63"/>
      <c r="M63" s="63"/>
      <c r="N63" s="63"/>
      <c r="O63" s="63"/>
    </row>
    <row r="64" spans="1:15" x14ac:dyDescent="0.25">
      <c r="J64" s="378"/>
      <c r="K64" s="61" t="s">
        <v>404</v>
      </c>
      <c r="L64" s="61" t="e">
        <f>AVERAGE(L52:L63)</f>
        <v>#DIV/0!</v>
      </c>
      <c r="M64" s="61">
        <f>MAX(M52:M63)</f>
        <v>0</v>
      </c>
      <c r="N64" s="61" t="e">
        <f>AVERAGE(N52:N63)</f>
        <v>#DIV/0!</v>
      </c>
      <c r="O64" s="61">
        <f>MAX(O52:O63)</f>
        <v>0</v>
      </c>
    </row>
    <row r="66" spans="10:15" ht="41.4" x14ac:dyDescent="0.25">
      <c r="J66" s="60">
        <f>+A6</f>
        <v>2022</v>
      </c>
      <c r="K66" s="60" t="s">
        <v>386</v>
      </c>
      <c r="L66" s="66" t="s">
        <v>381</v>
      </c>
      <c r="M66" s="66" t="s">
        <v>387</v>
      </c>
      <c r="N66" s="66" t="s">
        <v>384</v>
      </c>
      <c r="O66" s="66" t="s">
        <v>388</v>
      </c>
    </row>
    <row r="67" spans="10:15" x14ac:dyDescent="0.25">
      <c r="J67" s="378" t="s">
        <v>193</v>
      </c>
      <c r="K67" s="65" t="s">
        <v>389</v>
      </c>
      <c r="L67" s="63"/>
      <c r="M67" s="63"/>
      <c r="N67" s="63"/>
      <c r="O67" s="63"/>
    </row>
    <row r="68" spans="10:15" x14ac:dyDescent="0.25">
      <c r="J68" s="378"/>
      <c r="K68" s="65" t="s">
        <v>390</v>
      </c>
      <c r="L68" s="63"/>
      <c r="M68" s="63"/>
      <c r="N68" s="63"/>
      <c r="O68" s="63"/>
    </row>
    <row r="69" spans="10:15" x14ac:dyDescent="0.25">
      <c r="J69" s="378"/>
      <c r="K69" s="65" t="s">
        <v>391</v>
      </c>
      <c r="L69" s="63"/>
      <c r="M69" s="63"/>
      <c r="N69" s="63"/>
      <c r="O69" s="63"/>
    </row>
    <row r="70" spans="10:15" x14ac:dyDescent="0.25">
      <c r="J70" s="378"/>
      <c r="K70" s="65" t="s">
        <v>393</v>
      </c>
      <c r="L70" s="63"/>
      <c r="M70" s="63"/>
      <c r="N70" s="63"/>
      <c r="O70" s="63"/>
    </row>
    <row r="71" spans="10:15" x14ac:dyDescent="0.25">
      <c r="J71" s="378"/>
      <c r="K71" s="65" t="s">
        <v>395</v>
      </c>
      <c r="L71" s="63"/>
      <c r="M71" s="63"/>
      <c r="N71" s="63"/>
      <c r="O71" s="63"/>
    </row>
    <row r="72" spans="10:15" x14ac:dyDescent="0.25">
      <c r="J72" s="378"/>
      <c r="K72" s="65" t="s">
        <v>396</v>
      </c>
      <c r="L72" s="63"/>
      <c r="M72" s="63"/>
      <c r="N72" s="63"/>
      <c r="O72" s="63"/>
    </row>
    <row r="73" spans="10:15" x14ac:dyDescent="0.25">
      <c r="J73" s="378"/>
      <c r="K73" s="65" t="s">
        <v>397</v>
      </c>
      <c r="L73" s="63"/>
      <c r="M73" s="63"/>
      <c r="N73" s="63"/>
      <c r="O73" s="63"/>
    </row>
    <row r="74" spans="10:15" x14ac:dyDescent="0.25">
      <c r="J74" s="378"/>
      <c r="K74" s="65" t="s">
        <v>399</v>
      </c>
      <c r="L74" s="63"/>
      <c r="M74" s="63"/>
      <c r="N74" s="63"/>
      <c r="O74" s="63"/>
    </row>
    <row r="75" spans="10:15" x14ac:dyDescent="0.25">
      <c r="J75" s="378"/>
      <c r="K75" s="65" t="s">
        <v>400</v>
      </c>
      <c r="L75" s="63"/>
      <c r="M75" s="63"/>
      <c r="N75" s="63"/>
      <c r="O75" s="63"/>
    </row>
    <row r="76" spans="10:15" x14ac:dyDescent="0.25">
      <c r="J76" s="378"/>
      <c r="K76" s="65" t="s">
        <v>401</v>
      </c>
      <c r="L76" s="63"/>
      <c r="M76" s="63"/>
      <c r="N76" s="63"/>
      <c r="O76" s="63"/>
    </row>
    <row r="77" spans="10:15" x14ac:dyDescent="0.25">
      <c r="J77" s="378"/>
      <c r="K77" s="65" t="s">
        <v>402</v>
      </c>
      <c r="L77" s="63"/>
      <c r="M77" s="63"/>
      <c r="N77" s="63"/>
      <c r="O77" s="63"/>
    </row>
    <row r="78" spans="10:15" x14ac:dyDescent="0.25">
      <c r="J78" s="378"/>
      <c r="K78" s="65" t="s">
        <v>403</v>
      </c>
      <c r="L78" s="63"/>
      <c r="M78" s="63"/>
      <c r="N78" s="63"/>
      <c r="O78" s="63"/>
    </row>
    <row r="79" spans="10:15" x14ac:dyDescent="0.25">
      <c r="J79" s="378"/>
      <c r="K79" s="61" t="s">
        <v>404</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92D050"/>
    <pageSetUpPr fitToPage="1"/>
  </sheetPr>
  <dimension ref="A1:S79"/>
  <sheetViews>
    <sheetView workbookViewId="0">
      <selection activeCell="H30" sqref="H30"/>
    </sheetView>
  </sheetViews>
  <sheetFormatPr defaultRowHeight="13.8" x14ac:dyDescent="0.25"/>
  <cols>
    <col min="1" max="1" width="14" style="3" customWidth="1"/>
    <col min="2" max="4" width="17" style="34" customWidth="1"/>
    <col min="5" max="5" width="14.6640625" style="34" customWidth="1"/>
    <col min="6" max="7" width="17" style="34"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
        <v>5</v>
      </c>
      <c r="B1" s="92"/>
      <c r="C1" s="92"/>
      <c r="D1" s="92"/>
      <c r="E1" s="92" t="s">
        <v>7</v>
      </c>
    </row>
    <row r="3" spans="1:19" ht="14.4" x14ac:dyDescent="0.3">
      <c r="A3" s="59" t="s">
        <v>414</v>
      </c>
      <c r="D3" s="75" t="s">
        <v>373</v>
      </c>
      <c r="G3" s="79" t="s">
        <v>374</v>
      </c>
      <c r="J3" s="9" t="s">
        <v>414</v>
      </c>
      <c r="L3" s="9"/>
      <c r="N3" s="9" t="s">
        <v>375</v>
      </c>
      <c r="Q3" s="78" t="s">
        <v>3</v>
      </c>
      <c r="R3" s="73"/>
      <c r="S3" s="73"/>
    </row>
    <row r="4" spans="1:19" ht="13.95" customHeight="1" x14ac:dyDescent="0.25">
      <c r="Q4" s="369" t="s">
        <v>376</v>
      </c>
      <c r="R4" s="369"/>
      <c r="S4" s="369"/>
    </row>
    <row r="5" spans="1:19" ht="16.2" x14ac:dyDescent="0.25">
      <c r="A5" s="67" t="s">
        <v>377</v>
      </c>
      <c r="B5" s="380" t="s">
        <v>378</v>
      </c>
      <c r="C5" s="380"/>
      <c r="D5" s="380"/>
      <c r="E5" s="380" t="s">
        <v>379</v>
      </c>
      <c r="F5" s="380"/>
      <c r="G5" s="380"/>
      <c r="J5" s="379"/>
      <c r="K5" s="379"/>
      <c r="L5" s="379"/>
      <c r="M5" s="379"/>
      <c r="N5" s="379"/>
      <c r="O5" s="379"/>
      <c r="Q5" s="369"/>
      <c r="R5" s="369"/>
      <c r="S5" s="369"/>
    </row>
    <row r="6" spans="1:19" s="57" customFormat="1" ht="37.5" customHeight="1" x14ac:dyDescent="0.3">
      <c r="A6" s="64">
        <v>2022</v>
      </c>
      <c r="B6" s="54" t="s">
        <v>415</v>
      </c>
      <c r="C6" s="54" t="s">
        <v>381</v>
      </c>
      <c r="D6" s="54" t="s">
        <v>382</v>
      </c>
      <c r="E6" s="54" t="s">
        <v>416</v>
      </c>
      <c r="F6" s="54" t="s">
        <v>384</v>
      </c>
      <c r="G6" s="54" t="s">
        <v>385</v>
      </c>
      <c r="H6" s="58"/>
      <c r="J6" s="60">
        <v>2022</v>
      </c>
      <c r="K6" s="60" t="s">
        <v>386</v>
      </c>
      <c r="L6" s="66" t="s">
        <v>381</v>
      </c>
      <c r="M6" s="66" t="s">
        <v>387</v>
      </c>
      <c r="N6" s="66" t="s">
        <v>384</v>
      </c>
      <c r="O6" s="66" t="s">
        <v>388</v>
      </c>
      <c r="Q6" s="369"/>
      <c r="R6" s="369"/>
      <c r="S6" s="369"/>
    </row>
    <row r="7" spans="1:19" x14ac:dyDescent="0.25">
      <c r="A7" s="65" t="s">
        <v>389</v>
      </c>
      <c r="B7" s="62">
        <v>30</v>
      </c>
      <c r="C7" s="63">
        <v>0.1</v>
      </c>
      <c r="D7" s="63">
        <v>0.6</v>
      </c>
      <c r="E7" s="62">
        <v>10</v>
      </c>
      <c r="F7" s="63">
        <v>0.1</v>
      </c>
      <c r="G7" s="63">
        <v>0.4</v>
      </c>
      <c r="J7" s="378" t="s">
        <v>189</v>
      </c>
      <c r="K7" s="65" t="s">
        <v>389</v>
      </c>
      <c r="L7" s="63">
        <v>0.1</v>
      </c>
      <c r="M7" s="63">
        <v>0.6</v>
      </c>
      <c r="N7" s="63">
        <v>0.1</v>
      </c>
      <c r="O7" s="63">
        <v>0.4</v>
      </c>
      <c r="Q7" s="369"/>
      <c r="R7" s="369"/>
      <c r="S7" s="369"/>
    </row>
    <row r="8" spans="1:19" x14ac:dyDescent="0.25">
      <c r="A8" s="65" t="s">
        <v>390</v>
      </c>
      <c r="B8" s="62">
        <v>30</v>
      </c>
      <c r="C8" s="63">
        <v>0.1</v>
      </c>
      <c r="D8" s="63">
        <v>0.3</v>
      </c>
      <c r="E8" s="62">
        <v>10</v>
      </c>
      <c r="F8" s="63">
        <v>0</v>
      </c>
      <c r="G8" s="63">
        <v>0.1</v>
      </c>
      <c r="J8" s="378"/>
      <c r="K8" s="65" t="s">
        <v>390</v>
      </c>
      <c r="L8" s="63">
        <v>0.1</v>
      </c>
      <c r="M8" s="63">
        <v>0.3</v>
      </c>
      <c r="N8" s="63">
        <v>0</v>
      </c>
      <c r="O8" s="63">
        <v>0.1</v>
      </c>
      <c r="Q8" s="369"/>
      <c r="R8" s="369"/>
      <c r="S8" s="369"/>
    </row>
    <row r="9" spans="1:19" x14ac:dyDescent="0.25">
      <c r="A9" s="65" t="s">
        <v>391</v>
      </c>
      <c r="B9" s="62">
        <v>30</v>
      </c>
      <c r="C9" s="63">
        <v>0.1</v>
      </c>
      <c r="D9" s="63">
        <v>0.2</v>
      </c>
      <c r="E9" s="62">
        <v>10</v>
      </c>
      <c r="F9" s="63">
        <v>0</v>
      </c>
      <c r="G9" s="63">
        <v>0.1</v>
      </c>
      <c r="J9" s="378"/>
      <c r="K9" s="65" t="s">
        <v>391</v>
      </c>
      <c r="L9" s="63">
        <v>0.1</v>
      </c>
      <c r="M9" s="63">
        <v>0.2</v>
      </c>
      <c r="N9" s="63">
        <v>0</v>
      </c>
      <c r="O9" s="63">
        <v>0.1</v>
      </c>
      <c r="Q9" s="77" t="s">
        <v>392</v>
      </c>
    </row>
    <row r="10" spans="1:19" ht="14.25" customHeight="1" x14ac:dyDescent="0.25">
      <c r="A10" s="65" t="s">
        <v>393</v>
      </c>
      <c r="B10" s="62">
        <v>30</v>
      </c>
      <c r="C10" s="63">
        <v>0.1</v>
      </c>
      <c r="D10" s="63">
        <v>0.2</v>
      </c>
      <c r="E10" s="62">
        <v>10</v>
      </c>
      <c r="F10" s="63">
        <v>0</v>
      </c>
      <c r="G10" s="63">
        <v>0.1</v>
      </c>
      <c r="J10" s="378"/>
      <c r="K10" s="65" t="s">
        <v>393</v>
      </c>
      <c r="L10" s="63">
        <v>0.1</v>
      </c>
      <c r="M10" s="63">
        <v>0.2</v>
      </c>
      <c r="N10" s="63">
        <v>0</v>
      </c>
      <c r="O10" s="63">
        <v>0.1</v>
      </c>
      <c r="Q10" s="377" t="s">
        <v>394</v>
      </c>
      <c r="R10" s="377"/>
      <c r="S10" s="377"/>
    </row>
    <row r="11" spans="1:19" x14ac:dyDescent="0.25">
      <c r="A11" s="65" t="s">
        <v>395</v>
      </c>
      <c r="B11" s="62">
        <v>30</v>
      </c>
      <c r="C11" s="63">
        <v>0</v>
      </c>
      <c r="D11" s="63">
        <v>0.2</v>
      </c>
      <c r="E11" s="62">
        <v>10</v>
      </c>
      <c r="F11" s="63">
        <v>0</v>
      </c>
      <c r="G11" s="63">
        <v>0.1</v>
      </c>
      <c r="J11" s="378"/>
      <c r="K11" s="65" t="s">
        <v>395</v>
      </c>
      <c r="L11" s="63">
        <v>0</v>
      </c>
      <c r="M11" s="63">
        <v>0.2</v>
      </c>
      <c r="N11" s="63">
        <v>0</v>
      </c>
      <c r="O11" s="63">
        <v>0.1</v>
      </c>
      <c r="Q11" s="377"/>
      <c r="R11" s="377"/>
      <c r="S11" s="377"/>
    </row>
    <row r="12" spans="1:19" x14ac:dyDescent="0.25">
      <c r="A12" s="65" t="s">
        <v>396</v>
      </c>
      <c r="B12" s="62">
        <v>30</v>
      </c>
      <c r="C12" s="63">
        <v>0</v>
      </c>
      <c r="D12" s="63">
        <v>0.1</v>
      </c>
      <c r="E12" s="62">
        <v>10</v>
      </c>
      <c r="F12" s="63">
        <v>0</v>
      </c>
      <c r="G12" s="63">
        <v>0</v>
      </c>
      <c r="J12" s="378"/>
      <c r="K12" s="65" t="s">
        <v>396</v>
      </c>
      <c r="L12" s="63">
        <v>0</v>
      </c>
      <c r="M12" s="63">
        <v>0.1</v>
      </c>
      <c r="N12" s="63">
        <v>0</v>
      </c>
      <c r="O12" s="63">
        <v>0</v>
      </c>
      <c r="Q12" s="377"/>
      <c r="R12" s="377"/>
      <c r="S12" s="377"/>
    </row>
    <row r="13" spans="1:19" ht="14.25" customHeight="1" x14ac:dyDescent="0.25">
      <c r="A13" s="65" t="s">
        <v>397</v>
      </c>
      <c r="B13" s="62">
        <v>30</v>
      </c>
      <c r="C13" s="63">
        <v>0</v>
      </c>
      <c r="D13" s="63">
        <v>0.1</v>
      </c>
      <c r="E13" s="62">
        <v>10</v>
      </c>
      <c r="F13" s="63">
        <v>0</v>
      </c>
      <c r="G13" s="63">
        <v>0.1</v>
      </c>
      <c r="J13" s="378"/>
      <c r="K13" s="65" t="s">
        <v>397</v>
      </c>
      <c r="L13" s="63">
        <v>0</v>
      </c>
      <c r="M13" s="63">
        <v>0.1</v>
      </c>
      <c r="N13" s="63">
        <v>0</v>
      </c>
      <c r="O13" s="63">
        <v>0.1</v>
      </c>
      <c r="Q13" s="377" t="s">
        <v>398</v>
      </c>
      <c r="R13" s="377"/>
      <c r="S13" s="377"/>
    </row>
    <row r="14" spans="1:19" x14ac:dyDescent="0.25">
      <c r="A14" s="65" t="s">
        <v>399</v>
      </c>
      <c r="B14" s="62">
        <v>30</v>
      </c>
      <c r="C14" s="63">
        <v>0</v>
      </c>
      <c r="D14" s="63">
        <v>0.1</v>
      </c>
      <c r="E14" s="62">
        <v>10</v>
      </c>
      <c r="F14" s="63">
        <v>0</v>
      </c>
      <c r="G14" s="63">
        <v>0.1</v>
      </c>
      <c r="J14" s="378"/>
      <c r="K14" s="65" t="s">
        <v>399</v>
      </c>
      <c r="L14" s="63">
        <v>0</v>
      </c>
      <c r="M14" s="63">
        <v>0.1</v>
      </c>
      <c r="N14" s="63">
        <v>0</v>
      </c>
      <c r="O14" s="63">
        <v>0.1</v>
      </c>
      <c r="Q14" s="377"/>
      <c r="R14" s="377"/>
      <c r="S14" s="377"/>
    </row>
    <row r="15" spans="1:19" x14ac:dyDescent="0.25">
      <c r="A15" s="65" t="s">
        <v>400</v>
      </c>
      <c r="B15" s="62">
        <v>30</v>
      </c>
      <c r="C15" s="63">
        <v>0</v>
      </c>
      <c r="D15" s="63">
        <v>0.2</v>
      </c>
      <c r="E15" s="62">
        <v>10</v>
      </c>
      <c r="F15" s="63">
        <v>0</v>
      </c>
      <c r="G15" s="63">
        <v>0.1</v>
      </c>
      <c r="J15" s="378"/>
      <c r="K15" s="65" t="s">
        <v>400</v>
      </c>
      <c r="L15" s="63">
        <v>0</v>
      </c>
      <c r="M15" s="63">
        <v>0.2</v>
      </c>
      <c r="N15" s="63">
        <v>0</v>
      </c>
      <c r="O15" s="63">
        <v>0.1</v>
      </c>
      <c r="Q15" s="377"/>
      <c r="R15" s="377"/>
      <c r="S15" s="377"/>
    </row>
    <row r="16" spans="1:19" x14ac:dyDescent="0.25">
      <c r="A16" s="65" t="s">
        <v>401</v>
      </c>
      <c r="B16" s="62">
        <v>30</v>
      </c>
      <c r="C16" s="63">
        <v>0.1</v>
      </c>
      <c r="D16" s="63">
        <v>0.3</v>
      </c>
      <c r="E16" s="62">
        <v>10</v>
      </c>
      <c r="F16" s="63">
        <v>0</v>
      </c>
      <c r="G16" s="63">
        <v>0.1</v>
      </c>
      <c r="J16" s="378"/>
      <c r="K16" s="65" t="s">
        <v>401</v>
      </c>
      <c r="L16" s="63">
        <v>0.1</v>
      </c>
      <c r="M16" s="63">
        <v>0.3</v>
      </c>
      <c r="N16" s="63">
        <v>0</v>
      </c>
      <c r="O16" s="63">
        <v>0.1</v>
      </c>
      <c r="Q16" s="377"/>
      <c r="R16" s="377"/>
      <c r="S16" s="377"/>
    </row>
    <row r="17" spans="1:15" x14ac:dyDescent="0.25">
      <c r="A17" s="65" t="s">
        <v>402</v>
      </c>
      <c r="B17" s="62">
        <v>30</v>
      </c>
      <c r="C17" s="63">
        <v>0.1</v>
      </c>
      <c r="D17" s="63">
        <v>0.2</v>
      </c>
      <c r="E17" s="62">
        <v>10</v>
      </c>
      <c r="F17" s="63">
        <v>0</v>
      </c>
      <c r="G17" s="63">
        <v>0.1</v>
      </c>
      <c r="J17" s="378"/>
      <c r="K17" s="65" t="s">
        <v>402</v>
      </c>
      <c r="L17" s="63">
        <v>0.1</v>
      </c>
      <c r="M17" s="63">
        <v>0.2</v>
      </c>
      <c r="N17" s="63">
        <v>0</v>
      </c>
      <c r="O17" s="63">
        <v>0.1</v>
      </c>
    </row>
    <row r="18" spans="1:15" x14ac:dyDescent="0.25">
      <c r="A18" s="65" t="s">
        <v>403</v>
      </c>
      <c r="B18" s="62">
        <v>30</v>
      </c>
      <c r="C18" s="63">
        <v>0.2</v>
      </c>
      <c r="D18" s="63">
        <v>0.5</v>
      </c>
      <c r="E18" s="62">
        <v>10</v>
      </c>
      <c r="F18" s="63">
        <v>0.2</v>
      </c>
      <c r="G18" s="63">
        <v>0.3</v>
      </c>
      <c r="J18" s="378"/>
      <c r="K18" s="65" t="s">
        <v>403</v>
      </c>
      <c r="L18" s="63">
        <v>0.2</v>
      </c>
      <c r="M18" s="63">
        <v>0.5</v>
      </c>
      <c r="N18" s="63">
        <v>0.2</v>
      </c>
      <c r="O18" s="63">
        <v>0.3</v>
      </c>
    </row>
    <row r="19" spans="1:15" x14ac:dyDescent="0.25">
      <c r="J19" s="378"/>
      <c r="K19" s="61" t="s">
        <v>404</v>
      </c>
      <c r="L19" s="61">
        <v>6.6666666666666666E-2</v>
      </c>
      <c r="M19" s="61">
        <v>0.6</v>
      </c>
      <c r="N19" s="61">
        <v>2.5000000000000005E-2</v>
      </c>
      <c r="O19" s="61">
        <v>0.4</v>
      </c>
    </row>
    <row r="21" spans="1:15" ht="41.4" x14ac:dyDescent="0.25">
      <c r="J21" s="60">
        <f>+A6</f>
        <v>2022</v>
      </c>
      <c r="K21" s="60" t="s">
        <v>386</v>
      </c>
      <c r="L21" s="66" t="s">
        <v>381</v>
      </c>
      <c r="M21" s="66" t="s">
        <v>387</v>
      </c>
      <c r="N21" s="66" t="s">
        <v>384</v>
      </c>
      <c r="O21" s="66" t="s">
        <v>388</v>
      </c>
    </row>
    <row r="22" spans="1:15" x14ac:dyDescent="0.25">
      <c r="J22" s="378" t="s">
        <v>190</v>
      </c>
      <c r="K22" s="65" t="s">
        <v>389</v>
      </c>
      <c r="L22" s="63"/>
      <c r="M22" s="63"/>
      <c r="N22" s="63"/>
      <c r="O22" s="63"/>
    </row>
    <row r="23" spans="1:15" x14ac:dyDescent="0.25">
      <c r="J23" s="378"/>
      <c r="K23" s="65" t="s">
        <v>390</v>
      </c>
      <c r="L23" s="63"/>
      <c r="M23" s="63"/>
      <c r="N23" s="63"/>
      <c r="O23" s="63"/>
    </row>
    <row r="24" spans="1:15" x14ac:dyDescent="0.25">
      <c r="J24" s="378"/>
      <c r="K24" s="65" t="s">
        <v>391</v>
      </c>
      <c r="L24" s="63"/>
      <c r="M24" s="63"/>
      <c r="N24" s="63"/>
      <c r="O24" s="63"/>
    </row>
    <row r="25" spans="1:15" x14ac:dyDescent="0.25">
      <c r="J25" s="378"/>
      <c r="K25" s="65" t="s">
        <v>393</v>
      </c>
      <c r="L25" s="63"/>
      <c r="M25" s="63"/>
      <c r="N25" s="63"/>
      <c r="O25" s="63"/>
    </row>
    <row r="26" spans="1:15" x14ac:dyDescent="0.25">
      <c r="J26" s="378"/>
      <c r="K26" s="65" t="s">
        <v>395</v>
      </c>
      <c r="L26" s="63"/>
      <c r="M26" s="63"/>
      <c r="N26" s="63"/>
      <c r="O26" s="63"/>
    </row>
    <row r="27" spans="1:15" x14ac:dyDescent="0.25">
      <c r="J27" s="378"/>
      <c r="K27" s="65" t="s">
        <v>396</v>
      </c>
      <c r="L27" s="63"/>
      <c r="M27" s="63"/>
      <c r="N27" s="63"/>
      <c r="O27" s="63"/>
    </row>
    <row r="28" spans="1:15" x14ac:dyDescent="0.25">
      <c r="J28" s="378"/>
      <c r="K28" s="65" t="s">
        <v>397</v>
      </c>
      <c r="L28" s="63"/>
      <c r="M28" s="63"/>
      <c r="N28" s="63"/>
      <c r="O28" s="63"/>
    </row>
    <row r="29" spans="1:15" x14ac:dyDescent="0.25">
      <c r="J29" s="378"/>
      <c r="K29" s="65" t="s">
        <v>399</v>
      </c>
      <c r="L29" s="63"/>
      <c r="M29" s="63"/>
      <c r="N29" s="63"/>
      <c r="O29" s="63"/>
    </row>
    <row r="30" spans="1:15" x14ac:dyDescent="0.25">
      <c r="J30" s="378"/>
      <c r="K30" s="65" t="s">
        <v>400</v>
      </c>
      <c r="L30" s="63"/>
      <c r="M30" s="63"/>
      <c r="N30" s="63"/>
      <c r="O30" s="63"/>
    </row>
    <row r="31" spans="1:15" x14ac:dyDescent="0.25">
      <c r="J31" s="378"/>
      <c r="K31" s="65" t="s">
        <v>401</v>
      </c>
      <c r="L31" s="63"/>
      <c r="M31" s="63"/>
      <c r="N31" s="63"/>
      <c r="O31" s="63"/>
    </row>
    <row r="32" spans="1:15" x14ac:dyDescent="0.25">
      <c r="J32" s="378"/>
      <c r="K32" s="65" t="s">
        <v>402</v>
      </c>
      <c r="L32" s="63"/>
      <c r="M32" s="63"/>
      <c r="N32" s="63"/>
      <c r="O32" s="63"/>
    </row>
    <row r="33" spans="1:15" x14ac:dyDescent="0.25">
      <c r="J33" s="378"/>
      <c r="K33" s="65" t="s">
        <v>403</v>
      </c>
      <c r="L33" s="63"/>
      <c r="M33" s="63"/>
      <c r="N33" s="63"/>
      <c r="O33" s="63"/>
    </row>
    <row r="34" spans="1:15" x14ac:dyDescent="0.25">
      <c r="J34" s="378"/>
      <c r="K34" s="61" t="s">
        <v>404</v>
      </c>
      <c r="L34" s="61" t="e">
        <f>AVERAGE(L22:L33)</f>
        <v>#DIV/0!</v>
      </c>
      <c r="M34" s="61">
        <f>MAX(M22:M33)</f>
        <v>0</v>
      </c>
      <c r="N34" s="61" t="e">
        <f>AVERAGE(N22:N33)</f>
        <v>#DIV/0!</v>
      </c>
      <c r="O34" s="61">
        <f>MAX(O22:O33)</f>
        <v>0</v>
      </c>
    </row>
    <row r="36" spans="1:15" ht="41.4" x14ac:dyDescent="0.25">
      <c r="J36" s="60">
        <f>+A6</f>
        <v>2022</v>
      </c>
      <c r="K36" s="60" t="s">
        <v>386</v>
      </c>
      <c r="L36" s="66" t="s">
        <v>381</v>
      </c>
      <c r="M36" s="66" t="s">
        <v>387</v>
      </c>
      <c r="N36" s="66" t="s">
        <v>384</v>
      </c>
      <c r="O36" s="66" t="s">
        <v>388</v>
      </c>
    </row>
    <row r="37" spans="1:15" x14ac:dyDescent="0.25">
      <c r="J37" s="378" t="s">
        <v>191</v>
      </c>
      <c r="K37" s="65" t="s">
        <v>389</v>
      </c>
      <c r="L37" s="63"/>
      <c r="M37" s="63"/>
      <c r="N37" s="63"/>
      <c r="O37" s="63"/>
    </row>
    <row r="38" spans="1:15" x14ac:dyDescent="0.25">
      <c r="J38" s="378"/>
      <c r="K38" s="65" t="s">
        <v>390</v>
      </c>
      <c r="L38" s="63"/>
      <c r="M38" s="63"/>
      <c r="N38" s="63"/>
      <c r="O38" s="63"/>
    </row>
    <row r="39" spans="1:15" x14ac:dyDescent="0.25">
      <c r="J39" s="378"/>
      <c r="K39" s="65" t="s">
        <v>391</v>
      </c>
      <c r="L39" s="63"/>
      <c r="M39" s="63"/>
      <c r="N39" s="63"/>
      <c r="O39" s="63"/>
    </row>
    <row r="40" spans="1:15" x14ac:dyDescent="0.25">
      <c r="J40" s="378"/>
      <c r="K40" s="65" t="s">
        <v>393</v>
      </c>
      <c r="L40" s="63"/>
      <c r="M40" s="63"/>
      <c r="N40" s="63"/>
      <c r="O40" s="63"/>
    </row>
    <row r="41" spans="1:15" x14ac:dyDescent="0.25">
      <c r="J41" s="378"/>
      <c r="K41" s="65" t="s">
        <v>395</v>
      </c>
      <c r="L41" s="63"/>
      <c r="M41" s="63"/>
      <c r="N41" s="63"/>
      <c r="O41" s="63"/>
    </row>
    <row r="42" spans="1:15" x14ac:dyDescent="0.25">
      <c r="J42" s="378"/>
      <c r="K42" s="65" t="s">
        <v>396</v>
      </c>
      <c r="L42" s="63"/>
      <c r="M42" s="63"/>
      <c r="N42" s="63"/>
      <c r="O42" s="63"/>
    </row>
    <row r="43" spans="1:15" x14ac:dyDescent="0.25">
      <c r="J43" s="378"/>
      <c r="K43" s="65" t="s">
        <v>397</v>
      </c>
      <c r="L43" s="63"/>
      <c r="M43" s="63"/>
      <c r="N43" s="63"/>
      <c r="O43" s="63"/>
    </row>
    <row r="44" spans="1:15" x14ac:dyDescent="0.25">
      <c r="J44" s="378"/>
      <c r="K44" s="65" t="s">
        <v>399</v>
      </c>
      <c r="L44" s="63"/>
      <c r="M44" s="63"/>
      <c r="N44" s="63"/>
      <c r="O44" s="63"/>
    </row>
    <row r="45" spans="1:15" x14ac:dyDescent="0.25">
      <c r="J45" s="378"/>
      <c r="K45" s="65" t="s">
        <v>400</v>
      </c>
      <c r="L45" s="63"/>
      <c r="M45" s="63"/>
      <c r="N45" s="63"/>
      <c r="O45" s="63"/>
    </row>
    <row r="46" spans="1:15" x14ac:dyDescent="0.25">
      <c r="J46" s="378"/>
      <c r="K46" s="65" t="s">
        <v>401</v>
      </c>
      <c r="L46" s="63"/>
      <c r="M46" s="63"/>
      <c r="N46" s="63"/>
      <c r="O46" s="63"/>
    </row>
    <row r="47" spans="1:15" x14ac:dyDescent="0.25">
      <c r="J47" s="378"/>
      <c r="K47" s="65" t="s">
        <v>402</v>
      </c>
      <c r="L47" s="63"/>
      <c r="M47" s="63"/>
      <c r="N47" s="63"/>
      <c r="O47" s="63"/>
    </row>
    <row r="48" spans="1:15" x14ac:dyDescent="0.25">
      <c r="A48" s="390" t="s">
        <v>295</v>
      </c>
      <c r="B48" s="391"/>
      <c r="C48" s="391"/>
      <c r="D48" s="391"/>
      <c r="E48" s="391"/>
      <c r="F48" s="391"/>
      <c r="G48" s="392"/>
      <c r="J48" s="378"/>
      <c r="K48" s="65" t="s">
        <v>403</v>
      </c>
      <c r="L48" s="63"/>
      <c r="M48" s="63"/>
      <c r="N48" s="63"/>
      <c r="O48" s="63"/>
    </row>
    <row r="49" spans="1:15" x14ac:dyDescent="0.25">
      <c r="A49" s="381"/>
      <c r="B49" s="382"/>
      <c r="C49" s="382"/>
      <c r="D49" s="382"/>
      <c r="E49" s="382"/>
      <c r="F49" s="382"/>
      <c r="G49" s="383"/>
      <c r="J49" s="378"/>
      <c r="K49" s="61" t="s">
        <v>404</v>
      </c>
      <c r="L49" s="61" t="e">
        <f>AVERAGE(L37:L48)</f>
        <v>#DIV/0!</v>
      </c>
      <c r="M49" s="61">
        <f>MAX(M37:M48)</f>
        <v>0</v>
      </c>
      <c r="N49" s="61" t="e">
        <f>AVERAGE(N37:N48)</f>
        <v>#DIV/0!</v>
      </c>
      <c r="O49" s="61">
        <f>MAX(O37:O48)</f>
        <v>0</v>
      </c>
    </row>
    <row r="50" spans="1:15" x14ac:dyDescent="0.25">
      <c r="A50" s="384"/>
      <c r="B50" s="385"/>
      <c r="C50" s="385"/>
      <c r="D50" s="385"/>
      <c r="E50" s="385"/>
      <c r="F50" s="385"/>
      <c r="G50" s="386"/>
    </row>
    <row r="51" spans="1:15" ht="41.4" x14ac:dyDescent="0.25">
      <c r="A51" s="384"/>
      <c r="B51" s="385"/>
      <c r="C51" s="385"/>
      <c r="D51" s="385"/>
      <c r="E51" s="385"/>
      <c r="F51" s="385"/>
      <c r="G51" s="386"/>
      <c r="J51" s="60">
        <f>+A6</f>
        <v>2022</v>
      </c>
      <c r="K51" s="60" t="s">
        <v>386</v>
      </c>
      <c r="L51" s="66" t="s">
        <v>381</v>
      </c>
      <c r="M51" s="66" t="s">
        <v>387</v>
      </c>
      <c r="N51" s="66" t="s">
        <v>384</v>
      </c>
      <c r="O51" s="66" t="s">
        <v>388</v>
      </c>
    </row>
    <row r="52" spans="1:15" x14ac:dyDescent="0.25">
      <c r="A52" s="387"/>
      <c r="B52" s="388"/>
      <c r="C52" s="388"/>
      <c r="D52" s="388"/>
      <c r="E52" s="388"/>
      <c r="F52" s="388"/>
      <c r="G52" s="389"/>
      <c r="J52" s="378" t="s">
        <v>192</v>
      </c>
      <c r="K52" s="65" t="s">
        <v>389</v>
      </c>
      <c r="L52" s="63"/>
      <c r="M52" s="63"/>
      <c r="N52" s="63"/>
      <c r="O52" s="63"/>
    </row>
    <row r="53" spans="1:15" x14ac:dyDescent="0.25">
      <c r="J53" s="378"/>
      <c r="K53" s="65" t="s">
        <v>390</v>
      </c>
      <c r="L53" s="63"/>
      <c r="M53" s="63"/>
      <c r="N53" s="63"/>
      <c r="O53" s="63"/>
    </row>
    <row r="54" spans="1:15" x14ac:dyDescent="0.25">
      <c r="J54" s="378"/>
      <c r="K54" s="65" t="s">
        <v>391</v>
      </c>
      <c r="L54" s="63"/>
      <c r="M54" s="63"/>
      <c r="N54" s="63"/>
      <c r="O54" s="63"/>
    </row>
    <row r="55" spans="1:15" x14ac:dyDescent="0.25">
      <c r="J55" s="378"/>
      <c r="K55" s="65" t="s">
        <v>393</v>
      </c>
      <c r="L55" s="63"/>
      <c r="M55" s="63"/>
      <c r="N55" s="63"/>
      <c r="O55" s="63"/>
    </row>
    <row r="56" spans="1:15" x14ac:dyDescent="0.25">
      <c r="J56" s="378"/>
      <c r="K56" s="65" t="s">
        <v>395</v>
      </c>
      <c r="L56" s="63"/>
      <c r="M56" s="63"/>
      <c r="N56" s="63"/>
      <c r="O56" s="63"/>
    </row>
    <row r="57" spans="1:15" x14ac:dyDescent="0.25">
      <c r="J57" s="378"/>
      <c r="K57" s="65" t="s">
        <v>396</v>
      </c>
      <c r="L57" s="63"/>
      <c r="M57" s="63"/>
      <c r="N57" s="63"/>
      <c r="O57" s="63"/>
    </row>
    <row r="58" spans="1:15" x14ac:dyDescent="0.25">
      <c r="J58" s="378"/>
      <c r="K58" s="65" t="s">
        <v>397</v>
      </c>
      <c r="L58" s="63"/>
      <c r="M58" s="63"/>
      <c r="N58" s="63"/>
      <c r="O58" s="63"/>
    </row>
    <row r="59" spans="1:15" x14ac:dyDescent="0.25">
      <c r="J59" s="378"/>
      <c r="K59" s="65" t="s">
        <v>399</v>
      </c>
      <c r="L59" s="63"/>
      <c r="M59" s="63"/>
      <c r="N59" s="63"/>
      <c r="O59" s="63"/>
    </row>
    <row r="60" spans="1:15" x14ac:dyDescent="0.25">
      <c r="J60" s="378"/>
      <c r="K60" s="65" t="s">
        <v>400</v>
      </c>
      <c r="L60" s="63"/>
      <c r="M60" s="63"/>
      <c r="N60" s="63"/>
      <c r="O60" s="63"/>
    </row>
    <row r="61" spans="1:15" x14ac:dyDescent="0.25">
      <c r="J61" s="378"/>
      <c r="K61" s="65" t="s">
        <v>401</v>
      </c>
      <c r="L61" s="63"/>
      <c r="M61" s="63"/>
      <c r="N61" s="63"/>
      <c r="O61" s="63"/>
    </row>
    <row r="62" spans="1:15" x14ac:dyDescent="0.25">
      <c r="J62" s="378"/>
      <c r="K62" s="65" t="s">
        <v>402</v>
      </c>
      <c r="L62" s="63"/>
      <c r="M62" s="63"/>
      <c r="N62" s="63"/>
      <c r="O62" s="63"/>
    </row>
    <row r="63" spans="1:15" x14ac:dyDescent="0.25">
      <c r="J63" s="378"/>
      <c r="K63" s="65" t="s">
        <v>403</v>
      </c>
      <c r="L63" s="63"/>
      <c r="M63" s="63"/>
      <c r="N63" s="63"/>
      <c r="O63" s="63"/>
    </row>
    <row r="64" spans="1:15" x14ac:dyDescent="0.25">
      <c r="J64" s="378"/>
      <c r="K64" s="61" t="s">
        <v>404</v>
      </c>
      <c r="L64" s="61" t="e">
        <f>AVERAGE(L52:L63)</f>
        <v>#DIV/0!</v>
      </c>
      <c r="M64" s="61">
        <f>MAX(M52:M63)</f>
        <v>0</v>
      </c>
      <c r="N64" s="61" t="e">
        <f>AVERAGE(N52:N63)</f>
        <v>#DIV/0!</v>
      </c>
      <c r="O64" s="61">
        <f>MAX(O52:O63)</f>
        <v>0</v>
      </c>
    </row>
    <row r="66" spans="10:15" ht="41.4" x14ac:dyDescent="0.25">
      <c r="J66" s="60">
        <f>+A6</f>
        <v>2022</v>
      </c>
      <c r="K66" s="60" t="s">
        <v>386</v>
      </c>
      <c r="L66" s="66" t="s">
        <v>381</v>
      </c>
      <c r="M66" s="66" t="s">
        <v>387</v>
      </c>
      <c r="N66" s="66" t="s">
        <v>384</v>
      </c>
      <c r="O66" s="66" t="s">
        <v>388</v>
      </c>
    </row>
    <row r="67" spans="10:15" x14ac:dyDescent="0.25">
      <c r="J67" s="378" t="s">
        <v>193</v>
      </c>
      <c r="K67" s="65" t="s">
        <v>389</v>
      </c>
      <c r="L67" s="63"/>
      <c r="M67" s="63"/>
      <c r="N67" s="63"/>
      <c r="O67" s="63"/>
    </row>
    <row r="68" spans="10:15" x14ac:dyDescent="0.25">
      <c r="J68" s="378"/>
      <c r="K68" s="65" t="s">
        <v>390</v>
      </c>
      <c r="L68" s="63"/>
      <c r="M68" s="63"/>
      <c r="N68" s="63"/>
      <c r="O68" s="63"/>
    </row>
    <row r="69" spans="10:15" x14ac:dyDescent="0.25">
      <c r="J69" s="378"/>
      <c r="K69" s="65" t="s">
        <v>391</v>
      </c>
      <c r="L69" s="63"/>
      <c r="M69" s="63"/>
      <c r="N69" s="63"/>
      <c r="O69" s="63"/>
    </row>
    <row r="70" spans="10:15" x14ac:dyDescent="0.25">
      <c r="J70" s="378"/>
      <c r="K70" s="65" t="s">
        <v>393</v>
      </c>
      <c r="L70" s="63"/>
      <c r="M70" s="63"/>
      <c r="N70" s="63"/>
      <c r="O70" s="63"/>
    </row>
    <row r="71" spans="10:15" x14ac:dyDescent="0.25">
      <c r="J71" s="378"/>
      <c r="K71" s="65" t="s">
        <v>395</v>
      </c>
      <c r="L71" s="63"/>
      <c r="M71" s="63"/>
      <c r="N71" s="63"/>
      <c r="O71" s="63"/>
    </row>
    <row r="72" spans="10:15" x14ac:dyDescent="0.25">
      <c r="J72" s="378"/>
      <c r="K72" s="65" t="s">
        <v>396</v>
      </c>
      <c r="L72" s="63"/>
      <c r="M72" s="63"/>
      <c r="N72" s="63"/>
      <c r="O72" s="63"/>
    </row>
    <row r="73" spans="10:15" x14ac:dyDescent="0.25">
      <c r="J73" s="378"/>
      <c r="K73" s="65" t="s">
        <v>397</v>
      </c>
      <c r="L73" s="63"/>
      <c r="M73" s="63"/>
      <c r="N73" s="63"/>
      <c r="O73" s="63"/>
    </row>
    <row r="74" spans="10:15" x14ac:dyDescent="0.25">
      <c r="J74" s="378"/>
      <c r="K74" s="65" t="s">
        <v>399</v>
      </c>
      <c r="L74" s="63"/>
      <c r="M74" s="63"/>
      <c r="N74" s="63"/>
      <c r="O74" s="63"/>
    </row>
    <row r="75" spans="10:15" x14ac:dyDescent="0.25">
      <c r="J75" s="378"/>
      <c r="K75" s="65" t="s">
        <v>400</v>
      </c>
      <c r="L75" s="63"/>
      <c r="M75" s="63"/>
      <c r="N75" s="63"/>
      <c r="O75" s="63"/>
    </row>
    <row r="76" spans="10:15" x14ac:dyDescent="0.25">
      <c r="J76" s="378"/>
      <c r="K76" s="65" t="s">
        <v>401</v>
      </c>
      <c r="L76" s="63"/>
      <c r="M76" s="63"/>
      <c r="N76" s="63"/>
      <c r="O76" s="63"/>
    </row>
    <row r="77" spans="10:15" x14ac:dyDescent="0.25">
      <c r="J77" s="378"/>
      <c r="K77" s="65" t="s">
        <v>402</v>
      </c>
      <c r="L77" s="63"/>
      <c r="M77" s="63"/>
      <c r="N77" s="63"/>
      <c r="O77" s="63"/>
    </row>
    <row r="78" spans="10:15" x14ac:dyDescent="0.25">
      <c r="J78" s="378"/>
      <c r="K78" s="65" t="s">
        <v>403</v>
      </c>
      <c r="L78" s="63"/>
      <c r="M78" s="63"/>
      <c r="N78" s="63"/>
      <c r="O78" s="63"/>
    </row>
    <row r="79" spans="10:15" x14ac:dyDescent="0.25">
      <c r="J79" s="378"/>
      <c r="K79" s="61" t="s">
        <v>404</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election activeCell="G11" sqref="G11"/>
    </sheetView>
  </sheetViews>
  <sheetFormatPr defaultRowHeight="13.8" x14ac:dyDescent="0.25"/>
  <cols>
    <col min="1" max="1" width="14" style="3" customWidth="1"/>
    <col min="2" max="2" width="12.6640625" style="34" customWidth="1"/>
    <col min="3" max="3" width="15.33203125" style="34" customWidth="1"/>
    <col min="4" max="4" width="17.6640625" style="34" customWidth="1"/>
    <col min="5" max="5" width="14.6640625" style="34" customWidth="1"/>
    <col min="6" max="6" width="11.5546875" style="34" customWidth="1"/>
    <col min="7" max="7" width="15" style="34" customWidth="1"/>
    <col min="8" max="8" width="14.6640625" style="34"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2" t="s">
        <v>5</v>
      </c>
      <c r="B1" s="92"/>
      <c r="C1" s="92"/>
      <c r="D1" s="92"/>
      <c r="E1" s="92" t="s">
        <v>7</v>
      </c>
    </row>
    <row r="3" spans="1:21" ht="14.4" x14ac:dyDescent="0.3">
      <c r="A3" s="59" t="s">
        <v>417</v>
      </c>
      <c r="E3" s="75" t="s">
        <v>373</v>
      </c>
      <c r="H3" s="79" t="s">
        <v>418</v>
      </c>
      <c r="J3" s="9" t="s">
        <v>417</v>
      </c>
      <c r="L3" s="9"/>
      <c r="O3" s="9" t="s">
        <v>375</v>
      </c>
      <c r="Q3" s="76" t="s">
        <v>3</v>
      </c>
      <c r="S3" s="78" t="s">
        <v>3</v>
      </c>
      <c r="T3" s="73"/>
      <c r="U3" s="73"/>
    </row>
    <row r="4" spans="1:21" ht="13.95" customHeight="1" x14ac:dyDescent="0.25">
      <c r="S4" s="369" t="s">
        <v>419</v>
      </c>
      <c r="T4" s="369"/>
      <c r="U4" s="369"/>
    </row>
    <row r="5" spans="1:21" ht="16.2" x14ac:dyDescent="0.25">
      <c r="A5" s="67" t="s">
        <v>377</v>
      </c>
      <c r="B5" s="380" t="s">
        <v>420</v>
      </c>
      <c r="C5" s="380"/>
      <c r="D5" s="380"/>
      <c r="E5" s="380"/>
      <c r="F5" s="380" t="s">
        <v>379</v>
      </c>
      <c r="G5" s="380"/>
      <c r="H5" s="380"/>
      <c r="K5" s="379"/>
      <c r="L5" s="379"/>
      <c r="M5" s="379"/>
      <c r="N5" s="379"/>
      <c r="O5" s="379"/>
      <c r="P5" s="379"/>
      <c r="Q5" s="379"/>
      <c r="S5" s="369"/>
      <c r="T5" s="369"/>
      <c r="U5" s="369"/>
    </row>
    <row r="6" spans="1:21" s="57" customFormat="1" ht="37.5" customHeight="1" x14ac:dyDescent="0.3">
      <c r="A6" s="64">
        <v>2022</v>
      </c>
      <c r="B6" s="54" t="s">
        <v>421</v>
      </c>
      <c r="C6" s="54" t="s">
        <v>422</v>
      </c>
      <c r="D6" s="54" t="s">
        <v>423</v>
      </c>
      <c r="E6" s="54" t="s">
        <v>424</v>
      </c>
      <c r="F6" s="54" t="s">
        <v>425</v>
      </c>
      <c r="G6" s="54" t="s">
        <v>384</v>
      </c>
      <c r="H6" s="54" t="s">
        <v>385</v>
      </c>
      <c r="I6" s="58"/>
      <c r="K6" s="60">
        <v>2022</v>
      </c>
      <c r="L6" s="60" t="s">
        <v>386</v>
      </c>
      <c r="M6" s="54" t="s">
        <v>422</v>
      </c>
      <c r="N6" s="54" t="s">
        <v>423</v>
      </c>
      <c r="O6" s="54" t="s">
        <v>424</v>
      </c>
      <c r="P6" s="66" t="s">
        <v>384</v>
      </c>
      <c r="Q6" s="66" t="s">
        <v>388</v>
      </c>
      <c r="S6" s="369"/>
      <c r="T6" s="369"/>
      <c r="U6" s="369"/>
    </row>
    <row r="7" spans="1:21" x14ac:dyDescent="0.25">
      <c r="A7" s="65" t="s">
        <v>389</v>
      </c>
      <c r="B7" s="68">
        <v>150</v>
      </c>
      <c r="C7" s="63">
        <v>150</v>
      </c>
      <c r="D7" s="63">
        <v>3.4</v>
      </c>
      <c r="E7" s="63">
        <v>701.1</v>
      </c>
      <c r="F7" s="68">
        <v>50</v>
      </c>
      <c r="G7" s="63">
        <v>3.4</v>
      </c>
      <c r="H7" s="63">
        <v>701.1</v>
      </c>
      <c r="K7" s="378" t="s">
        <v>189</v>
      </c>
      <c r="L7" s="65" t="s">
        <v>389</v>
      </c>
      <c r="M7" s="63">
        <v>150</v>
      </c>
      <c r="N7" s="63">
        <v>3.4</v>
      </c>
      <c r="O7" s="63">
        <v>701.1</v>
      </c>
      <c r="P7" s="63">
        <v>3.3</v>
      </c>
      <c r="Q7" s="63">
        <v>8.4</v>
      </c>
      <c r="S7" s="369"/>
      <c r="T7" s="369"/>
      <c r="U7" s="369"/>
    </row>
    <row r="8" spans="1:21" x14ac:dyDescent="0.25">
      <c r="A8" s="65" t="s">
        <v>390</v>
      </c>
      <c r="B8" s="62">
        <v>150</v>
      </c>
      <c r="C8" s="63">
        <v>150</v>
      </c>
      <c r="D8" s="63">
        <v>3.9</v>
      </c>
      <c r="E8" s="63">
        <v>605</v>
      </c>
      <c r="F8" s="62">
        <v>50</v>
      </c>
      <c r="G8" s="63">
        <v>3.9</v>
      </c>
      <c r="H8" s="63">
        <v>605</v>
      </c>
      <c r="K8" s="378"/>
      <c r="L8" s="65" t="s">
        <v>390</v>
      </c>
      <c r="M8" s="63">
        <v>150</v>
      </c>
      <c r="N8" s="63">
        <v>3.9</v>
      </c>
      <c r="O8" s="63">
        <v>605</v>
      </c>
      <c r="P8" s="63">
        <v>3.9</v>
      </c>
      <c r="Q8" s="63">
        <v>12.5</v>
      </c>
      <c r="S8" s="369"/>
      <c r="T8" s="369"/>
      <c r="U8" s="369"/>
    </row>
    <row r="9" spans="1:21" x14ac:dyDescent="0.25">
      <c r="A9" s="65" t="s">
        <v>391</v>
      </c>
      <c r="B9" s="62">
        <v>150</v>
      </c>
      <c r="C9" s="63">
        <v>150</v>
      </c>
      <c r="D9" s="63">
        <v>3.1</v>
      </c>
      <c r="E9" s="63">
        <v>312.3</v>
      </c>
      <c r="F9" s="62">
        <v>50</v>
      </c>
      <c r="G9" s="63">
        <v>3.1</v>
      </c>
      <c r="H9" s="63">
        <v>312.3</v>
      </c>
      <c r="K9" s="378"/>
      <c r="L9" s="65" t="s">
        <v>391</v>
      </c>
      <c r="M9" s="63">
        <v>150</v>
      </c>
      <c r="N9" s="63">
        <v>3.1</v>
      </c>
      <c r="O9" s="63">
        <v>312.3</v>
      </c>
      <c r="P9" s="63">
        <v>3.1</v>
      </c>
      <c r="Q9" s="63">
        <v>5.6</v>
      </c>
      <c r="S9" s="77" t="s">
        <v>426</v>
      </c>
    </row>
    <row r="10" spans="1:21" x14ac:dyDescent="0.25">
      <c r="A10" s="65" t="s">
        <v>393</v>
      </c>
      <c r="B10" s="62">
        <v>150</v>
      </c>
      <c r="C10" s="63">
        <v>150</v>
      </c>
      <c r="D10" s="63">
        <v>3.4</v>
      </c>
      <c r="E10" s="63">
        <v>772.4</v>
      </c>
      <c r="F10" s="62">
        <v>50</v>
      </c>
      <c r="G10" s="63">
        <v>3.4</v>
      </c>
      <c r="H10" s="63">
        <v>772.4</v>
      </c>
      <c r="K10" s="378"/>
      <c r="L10" s="65" t="s">
        <v>393</v>
      </c>
      <c r="M10" s="63">
        <v>150</v>
      </c>
      <c r="N10" s="63">
        <v>3.4</v>
      </c>
      <c r="O10" s="63">
        <v>772.4</v>
      </c>
      <c r="P10" s="63">
        <v>3.3</v>
      </c>
      <c r="Q10" s="63">
        <v>7.4</v>
      </c>
      <c r="S10" s="377" t="s">
        <v>427</v>
      </c>
      <c r="T10" s="377"/>
      <c r="U10" s="377"/>
    </row>
    <row r="11" spans="1:21" x14ac:dyDescent="0.25">
      <c r="A11" s="65" t="s">
        <v>395</v>
      </c>
      <c r="B11" s="62">
        <v>150</v>
      </c>
      <c r="C11" s="63">
        <v>150</v>
      </c>
      <c r="D11" s="63">
        <v>3.1</v>
      </c>
      <c r="E11" s="63">
        <v>693.1</v>
      </c>
      <c r="F11" s="62">
        <v>50</v>
      </c>
      <c r="G11" s="63">
        <v>3.1</v>
      </c>
      <c r="H11" s="63">
        <v>693.1</v>
      </c>
      <c r="K11" s="378"/>
      <c r="L11" s="65" t="s">
        <v>395</v>
      </c>
      <c r="M11" s="63">
        <v>150</v>
      </c>
      <c r="N11" s="63">
        <v>3.1</v>
      </c>
      <c r="O11" s="63">
        <v>693.1</v>
      </c>
      <c r="P11" s="63">
        <v>3.1</v>
      </c>
      <c r="Q11" s="63">
        <v>9.4</v>
      </c>
      <c r="S11" s="377"/>
      <c r="T11" s="377"/>
      <c r="U11" s="377"/>
    </row>
    <row r="12" spans="1:21" x14ac:dyDescent="0.25">
      <c r="A12" s="65" t="s">
        <v>396</v>
      </c>
      <c r="B12" s="62">
        <v>150</v>
      </c>
      <c r="C12" s="63">
        <v>150</v>
      </c>
      <c r="D12" s="63">
        <v>3.4</v>
      </c>
      <c r="E12" s="63">
        <v>572</v>
      </c>
      <c r="F12" s="62">
        <v>50</v>
      </c>
      <c r="G12" s="63">
        <v>3.4</v>
      </c>
      <c r="H12" s="63">
        <v>572</v>
      </c>
      <c r="K12" s="378"/>
      <c r="L12" s="65" t="s">
        <v>396</v>
      </c>
      <c r="M12" s="63">
        <v>150</v>
      </c>
      <c r="N12" s="63">
        <v>3.4</v>
      </c>
      <c r="O12" s="63">
        <v>572</v>
      </c>
      <c r="P12" s="63">
        <v>3.3</v>
      </c>
      <c r="Q12" s="63">
        <v>9</v>
      </c>
      <c r="S12" s="377"/>
      <c r="T12" s="377"/>
      <c r="U12" s="377"/>
    </row>
    <row r="13" spans="1:21" x14ac:dyDescent="0.25">
      <c r="A13" s="65" t="s">
        <v>397</v>
      </c>
      <c r="B13" s="62">
        <v>150</v>
      </c>
      <c r="C13" s="63">
        <v>150</v>
      </c>
      <c r="D13" s="63">
        <v>2.9</v>
      </c>
      <c r="E13" s="63">
        <v>401</v>
      </c>
      <c r="F13" s="62">
        <v>50</v>
      </c>
      <c r="G13" s="63">
        <v>2.9</v>
      </c>
      <c r="H13" s="63">
        <v>401</v>
      </c>
      <c r="K13" s="378"/>
      <c r="L13" s="65" t="s">
        <v>397</v>
      </c>
      <c r="M13" s="63">
        <v>150</v>
      </c>
      <c r="N13" s="63">
        <v>2.9</v>
      </c>
      <c r="O13" s="63">
        <v>401</v>
      </c>
      <c r="P13" s="63">
        <v>2.8</v>
      </c>
      <c r="Q13" s="63">
        <v>7.6</v>
      </c>
      <c r="S13" s="377" t="s">
        <v>428</v>
      </c>
      <c r="T13" s="377"/>
      <c r="U13" s="377"/>
    </row>
    <row r="14" spans="1:21" x14ac:dyDescent="0.25">
      <c r="A14" s="65" t="s">
        <v>399</v>
      </c>
      <c r="B14" s="62">
        <v>150</v>
      </c>
      <c r="C14" s="63">
        <v>150</v>
      </c>
      <c r="D14" s="63">
        <v>3.8</v>
      </c>
      <c r="E14" s="63">
        <v>470.3</v>
      </c>
      <c r="F14" s="62">
        <v>50</v>
      </c>
      <c r="G14" s="63">
        <v>3.8</v>
      </c>
      <c r="H14" s="63">
        <v>470.3</v>
      </c>
      <c r="K14" s="378"/>
      <c r="L14" s="65" t="s">
        <v>399</v>
      </c>
      <c r="M14" s="63">
        <v>150</v>
      </c>
      <c r="N14" s="63">
        <v>3.8</v>
      </c>
      <c r="O14" s="63">
        <v>470.3</v>
      </c>
      <c r="P14" s="63">
        <v>3.8</v>
      </c>
      <c r="Q14" s="63">
        <v>14</v>
      </c>
      <c r="S14" s="377"/>
      <c r="T14" s="377"/>
      <c r="U14" s="377"/>
    </row>
    <row r="15" spans="1:21" x14ac:dyDescent="0.25">
      <c r="A15" s="65" t="s">
        <v>400</v>
      </c>
      <c r="B15" s="62">
        <v>150</v>
      </c>
      <c r="C15" s="63">
        <v>150</v>
      </c>
      <c r="D15" s="63">
        <v>7.3</v>
      </c>
      <c r="E15" s="63">
        <v>859.3</v>
      </c>
      <c r="F15" s="62">
        <v>50</v>
      </c>
      <c r="G15" s="63">
        <v>7.3</v>
      </c>
      <c r="H15" s="63">
        <v>859.3</v>
      </c>
      <c r="K15" s="378"/>
      <c r="L15" s="65" t="s">
        <v>400</v>
      </c>
      <c r="M15" s="63">
        <v>150</v>
      </c>
      <c r="N15" s="63">
        <v>7.3</v>
      </c>
      <c r="O15" s="63">
        <v>859.3</v>
      </c>
      <c r="P15" s="63">
        <v>7.2</v>
      </c>
      <c r="Q15" s="63">
        <v>15.3</v>
      </c>
      <c r="S15" s="377"/>
      <c r="T15" s="377"/>
      <c r="U15" s="377"/>
    </row>
    <row r="16" spans="1:21" x14ac:dyDescent="0.25">
      <c r="A16" s="65" t="s">
        <v>401</v>
      </c>
      <c r="B16" s="62">
        <v>150</v>
      </c>
      <c r="C16" s="63">
        <v>150</v>
      </c>
      <c r="D16" s="63">
        <v>3.1</v>
      </c>
      <c r="E16" s="63">
        <v>584.70000000000005</v>
      </c>
      <c r="F16" s="62">
        <v>50</v>
      </c>
      <c r="G16" s="63">
        <v>3.1</v>
      </c>
      <c r="H16" s="63">
        <v>584.70000000000005</v>
      </c>
      <c r="K16" s="378"/>
      <c r="L16" s="65" t="s">
        <v>401</v>
      </c>
      <c r="M16" s="63">
        <v>150</v>
      </c>
      <c r="N16" s="63">
        <v>3.1</v>
      </c>
      <c r="O16" s="63">
        <v>584.70000000000005</v>
      </c>
      <c r="P16" s="63">
        <v>3</v>
      </c>
      <c r="Q16" s="63">
        <v>7.5</v>
      </c>
      <c r="S16" s="377"/>
      <c r="T16" s="377"/>
      <c r="U16" s="377"/>
    </row>
    <row r="17" spans="1:17" x14ac:dyDescent="0.25">
      <c r="A17" s="65" t="s">
        <v>402</v>
      </c>
      <c r="B17" s="62">
        <v>150</v>
      </c>
      <c r="C17" s="63">
        <v>150</v>
      </c>
      <c r="D17" s="63">
        <v>4.4000000000000004</v>
      </c>
      <c r="E17" s="63">
        <v>443.5</v>
      </c>
      <c r="F17" s="62">
        <v>50</v>
      </c>
      <c r="G17" s="63">
        <v>4.4000000000000004</v>
      </c>
      <c r="H17" s="63">
        <v>443.5</v>
      </c>
      <c r="K17" s="378"/>
      <c r="L17" s="65" t="s">
        <v>402</v>
      </c>
      <c r="M17" s="63">
        <v>150</v>
      </c>
      <c r="N17" s="63">
        <v>4.4000000000000004</v>
      </c>
      <c r="O17" s="63">
        <v>443.5</v>
      </c>
      <c r="P17" s="63">
        <v>4.4000000000000004</v>
      </c>
      <c r="Q17" s="63">
        <v>11.9</v>
      </c>
    </row>
    <row r="18" spans="1:17" x14ac:dyDescent="0.25">
      <c r="A18" s="65" t="s">
        <v>403</v>
      </c>
      <c r="B18" s="62">
        <v>150</v>
      </c>
      <c r="C18" s="63">
        <v>150</v>
      </c>
      <c r="D18" s="63">
        <v>2.8</v>
      </c>
      <c r="E18" s="63">
        <v>390.1</v>
      </c>
      <c r="F18" s="62">
        <v>50</v>
      </c>
      <c r="G18" s="63">
        <v>2.8</v>
      </c>
      <c r="H18" s="63">
        <v>390.1</v>
      </c>
      <c r="K18" s="378"/>
      <c r="L18" s="65" t="s">
        <v>403</v>
      </c>
      <c r="M18" s="63">
        <v>150</v>
      </c>
      <c r="N18" s="63">
        <v>2.8</v>
      </c>
      <c r="O18" s="63">
        <v>390.1</v>
      </c>
      <c r="P18" s="63">
        <v>2.7</v>
      </c>
      <c r="Q18" s="63">
        <v>5.6</v>
      </c>
    </row>
    <row r="19" spans="1:17" x14ac:dyDescent="0.25">
      <c r="K19" s="378"/>
      <c r="L19" s="61" t="s">
        <v>404</v>
      </c>
      <c r="M19" s="61">
        <v>150</v>
      </c>
      <c r="N19" s="61"/>
      <c r="O19" s="61">
        <v>859.3</v>
      </c>
      <c r="P19" s="61">
        <v>3.6583333333333337</v>
      </c>
      <c r="Q19" s="61">
        <v>15.3</v>
      </c>
    </row>
    <row r="21" spans="1:17" ht="27.6" x14ac:dyDescent="0.25">
      <c r="K21" s="60">
        <f>+A6</f>
        <v>2022</v>
      </c>
      <c r="L21" s="60" t="s">
        <v>386</v>
      </c>
      <c r="M21" s="54" t="s">
        <v>422</v>
      </c>
      <c r="N21" s="54" t="s">
        <v>423</v>
      </c>
      <c r="O21" s="54" t="s">
        <v>424</v>
      </c>
      <c r="P21" s="66" t="s">
        <v>384</v>
      </c>
      <c r="Q21" s="66" t="s">
        <v>388</v>
      </c>
    </row>
    <row r="22" spans="1:17" x14ac:dyDescent="0.25">
      <c r="K22" s="378" t="s">
        <v>190</v>
      </c>
      <c r="L22" s="65" t="s">
        <v>389</v>
      </c>
      <c r="M22" s="63"/>
      <c r="N22" s="63"/>
      <c r="O22" s="63"/>
      <c r="P22" s="63"/>
      <c r="Q22" s="63"/>
    </row>
    <row r="23" spans="1:17" x14ac:dyDescent="0.25">
      <c r="K23" s="378"/>
      <c r="L23" s="65" t="s">
        <v>390</v>
      </c>
      <c r="M23" s="63"/>
      <c r="N23" s="63"/>
      <c r="O23" s="63"/>
      <c r="P23" s="63"/>
      <c r="Q23" s="63"/>
    </row>
    <row r="24" spans="1:17" x14ac:dyDescent="0.25">
      <c r="K24" s="378"/>
      <c r="L24" s="65" t="s">
        <v>391</v>
      </c>
      <c r="M24" s="63"/>
      <c r="N24" s="63"/>
      <c r="O24" s="63"/>
      <c r="P24" s="63"/>
      <c r="Q24" s="63"/>
    </row>
    <row r="25" spans="1:17" x14ac:dyDescent="0.25">
      <c r="K25" s="378"/>
      <c r="L25" s="65" t="s">
        <v>393</v>
      </c>
      <c r="M25" s="63"/>
      <c r="N25" s="63"/>
      <c r="O25" s="63"/>
      <c r="P25" s="63"/>
      <c r="Q25" s="63"/>
    </row>
    <row r="26" spans="1:17" x14ac:dyDescent="0.25">
      <c r="K26" s="378"/>
      <c r="L26" s="65" t="s">
        <v>395</v>
      </c>
      <c r="M26" s="63"/>
      <c r="N26" s="63"/>
      <c r="O26" s="63"/>
      <c r="P26" s="63"/>
      <c r="Q26" s="63"/>
    </row>
    <row r="27" spans="1:17" x14ac:dyDescent="0.25">
      <c r="K27" s="378"/>
      <c r="L27" s="65" t="s">
        <v>396</v>
      </c>
      <c r="M27" s="63"/>
      <c r="N27" s="63"/>
      <c r="O27" s="63"/>
      <c r="P27" s="63"/>
      <c r="Q27" s="63"/>
    </row>
    <row r="28" spans="1:17" x14ac:dyDescent="0.25">
      <c r="K28" s="378"/>
      <c r="L28" s="65" t="s">
        <v>397</v>
      </c>
      <c r="M28" s="63"/>
      <c r="N28" s="63"/>
      <c r="O28" s="63"/>
      <c r="P28" s="63"/>
      <c r="Q28" s="63"/>
    </row>
    <row r="29" spans="1:17" x14ac:dyDescent="0.25">
      <c r="K29" s="378"/>
      <c r="L29" s="65" t="s">
        <v>399</v>
      </c>
      <c r="M29" s="63"/>
      <c r="N29" s="63"/>
      <c r="O29" s="63"/>
      <c r="P29" s="63"/>
      <c r="Q29" s="63"/>
    </row>
    <row r="30" spans="1:17" x14ac:dyDescent="0.25">
      <c r="K30" s="378"/>
      <c r="L30" s="65" t="s">
        <v>400</v>
      </c>
      <c r="M30" s="63"/>
      <c r="N30" s="63"/>
      <c r="O30" s="63"/>
      <c r="P30" s="63"/>
      <c r="Q30" s="63"/>
    </row>
    <row r="31" spans="1:17" x14ac:dyDescent="0.25">
      <c r="K31" s="378"/>
      <c r="L31" s="65" t="s">
        <v>401</v>
      </c>
      <c r="M31" s="63"/>
      <c r="N31" s="63"/>
      <c r="O31" s="63"/>
      <c r="P31" s="63"/>
      <c r="Q31" s="63"/>
    </row>
    <row r="32" spans="1:17" x14ac:dyDescent="0.25">
      <c r="K32" s="378"/>
      <c r="L32" s="65" t="s">
        <v>402</v>
      </c>
      <c r="M32" s="63"/>
      <c r="N32" s="63"/>
      <c r="O32" s="63"/>
      <c r="P32" s="63"/>
      <c r="Q32" s="63"/>
    </row>
    <row r="33" spans="1:17" x14ac:dyDescent="0.25">
      <c r="K33" s="378"/>
      <c r="L33" s="65" t="s">
        <v>403</v>
      </c>
      <c r="M33" s="63"/>
      <c r="N33" s="63"/>
      <c r="O33" s="63"/>
      <c r="P33" s="63"/>
      <c r="Q33" s="63"/>
    </row>
    <row r="34" spans="1:17" x14ac:dyDescent="0.25">
      <c r="K34" s="378"/>
      <c r="L34" s="61" t="s">
        <v>404</v>
      </c>
      <c r="M34" s="61" t="e">
        <f>AVERAGE(M22:M33)</f>
        <v>#DIV/0!</v>
      </c>
      <c r="N34" s="61"/>
      <c r="O34" s="61">
        <f>MAX(O22:O33)</f>
        <v>0</v>
      </c>
      <c r="P34" s="61" t="e">
        <f>AVERAGE(P22:P33)</f>
        <v>#DIV/0!</v>
      </c>
      <c r="Q34" s="61">
        <f>MAX(Q22:Q33)</f>
        <v>0</v>
      </c>
    </row>
    <row r="36" spans="1:17" ht="27.6" x14ac:dyDescent="0.25">
      <c r="K36" s="60">
        <f>+A6</f>
        <v>2022</v>
      </c>
      <c r="L36" s="60" t="s">
        <v>386</v>
      </c>
      <c r="M36" s="54" t="s">
        <v>422</v>
      </c>
      <c r="N36" s="54" t="s">
        <v>423</v>
      </c>
      <c r="O36" s="54" t="s">
        <v>424</v>
      </c>
      <c r="P36" s="66" t="s">
        <v>384</v>
      </c>
      <c r="Q36" s="66" t="s">
        <v>388</v>
      </c>
    </row>
    <row r="37" spans="1:17" x14ac:dyDescent="0.25">
      <c r="K37" s="378" t="s">
        <v>191</v>
      </c>
      <c r="L37" s="65" t="s">
        <v>389</v>
      </c>
      <c r="M37" s="63"/>
      <c r="N37" s="63"/>
      <c r="O37" s="63"/>
      <c r="P37" s="63"/>
      <c r="Q37" s="63"/>
    </row>
    <row r="38" spans="1:17" x14ac:dyDescent="0.25">
      <c r="K38" s="378"/>
      <c r="L38" s="65" t="s">
        <v>390</v>
      </c>
      <c r="M38" s="63"/>
      <c r="N38" s="63"/>
      <c r="O38" s="63"/>
      <c r="P38" s="63"/>
      <c r="Q38" s="63"/>
    </row>
    <row r="39" spans="1:17" x14ac:dyDescent="0.25">
      <c r="K39" s="378"/>
      <c r="L39" s="65" t="s">
        <v>391</v>
      </c>
      <c r="M39" s="63"/>
      <c r="N39" s="63"/>
      <c r="O39" s="63"/>
      <c r="P39" s="63"/>
      <c r="Q39" s="63"/>
    </row>
    <row r="40" spans="1:17" x14ac:dyDescent="0.25">
      <c r="K40" s="378"/>
      <c r="L40" s="65" t="s">
        <v>393</v>
      </c>
      <c r="M40" s="63"/>
      <c r="N40" s="63"/>
      <c r="O40" s="63"/>
      <c r="P40" s="63"/>
      <c r="Q40" s="63"/>
    </row>
    <row r="41" spans="1:17" x14ac:dyDescent="0.25">
      <c r="K41" s="378"/>
      <c r="L41" s="65" t="s">
        <v>395</v>
      </c>
      <c r="M41" s="63"/>
      <c r="N41" s="63"/>
      <c r="O41" s="63"/>
      <c r="P41" s="63"/>
      <c r="Q41" s="63"/>
    </row>
    <row r="42" spans="1:17" x14ac:dyDescent="0.25">
      <c r="K42" s="378"/>
      <c r="L42" s="65" t="s">
        <v>396</v>
      </c>
      <c r="M42" s="63"/>
      <c r="N42" s="63"/>
      <c r="O42" s="63"/>
      <c r="P42" s="63"/>
      <c r="Q42" s="63"/>
    </row>
    <row r="43" spans="1:17" x14ac:dyDescent="0.25">
      <c r="K43" s="378"/>
      <c r="L43" s="65" t="s">
        <v>397</v>
      </c>
      <c r="M43" s="63"/>
      <c r="N43" s="63"/>
      <c r="O43" s="63"/>
      <c r="P43" s="63"/>
      <c r="Q43" s="63"/>
    </row>
    <row r="44" spans="1:17" x14ac:dyDescent="0.25">
      <c r="K44" s="378"/>
      <c r="L44" s="65" t="s">
        <v>399</v>
      </c>
      <c r="M44" s="63"/>
      <c r="N44" s="63"/>
      <c r="O44" s="63"/>
      <c r="P44" s="63"/>
      <c r="Q44" s="63"/>
    </row>
    <row r="45" spans="1:17" x14ac:dyDescent="0.25">
      <c r="K45" s="378"/>
      <c r="L45" s="65" t="s">
        <v>400</v>
      </c>
      <c r="M45" s="63"/>
      <c r="N45" s="63"/>
      <c r="O45" s="63"/>
      <c r="P45" s="63"/>
      <c r="Q45" s="63"/>
    </row>
    <row r="46" spans="1:17" x14ac:dyDescent="0.25">
      <c r="K46" s="378"/>
      <c r="L46" s="65" t="s">
        <v>401</v>
      </c>
      <c r="M46" s="63"/>
      <c r="N46" s="63"/>
      <c r="O46" s="63"/>
      <c r="P46" s="63"/>
      <c r="Q46" s="63"/>
    </row>
    <row r="47" spans="1:17" x14ac:dyDescent="0.25">
      <c r="K47" s="378"/>
      <c r="L47" s="65" t="s">
        <v>402</v>
      </c>
      <c r="M47" s="63"/>
      <c r="N47" s="63"/>
      <c r="O47" s="63"/>
      <c r="P47" s="63"/>
      <c r="Q47" s="63"/>
    </row>
    <row r="48" spans="1:17" x14ac:dyDescent="0.25">
      <c r="A48" s="390" t="s">
        <v>295</v>
      </c>
      <c r="B48" s="391"/>
      <c r="C48" s="391"/>
      <c r="D48" s="391"/>
      <c r="E48" s="391"/>
      <c r="F48" s="391"/>
      <c r="G48" s="391"/>
      <c r="H48" s="392"/>
      <c r="K48" s="378"/>
      <c r="L48" s="65" t="s">
        <v>403</v>
      </c>
      <c r="M48" s="63"/>
      <c r="N48" s="63"/>
      <c r="O48" s="63"/>
      <c r="P48" s="63"/>
      <c r="Q48" s="63"/>
    </row>
    <row r="49" spans="1:17" x14ac:dyDescent="0.25">
      <c r="A49" s="393" t="s">
        <v>429</v>
      </c>
      <c r="B49" s="394"/>
      <c r="C49" s="394"/>
      <c r="D49" s="394"/>
      <c r="E49" s="394"/>
      <c r="F49" s="394"/>
      <c r="G49" s="394"/>
      <c r="H49" s="395"/>
      <c r="K49" s="378"/>
      <c r="L49" s="61" t="s">
        <v>404</v>
      </c>
      <c r="M49" s="61" t="e">
        <f>AVERAGE(M37:M48)</f>
        <v>#DIV/0!</v>
      </c>
      <c r="N49" s="61"/>
      <c r="O49" s="61">
        <f>MAX(O37:O48)</f>
        <v>0</v>
      </c>
      <c r="P49" s="61" t="e">
        <f>AVERAGE(P37:P48)</f>
        <v>#DIV/0!</v>
      </c>
      <c r="Q49" s="61">
        <f>MAX(Q37:Q48)</f>
        <v>0</v>
      </c>
    </row>
    <row r="50" spans="1:17" x14ac:dyDescent="0.25">
      <c r="A50" s="396"/>
      <c r="B50" s="397"/>
      <c r="C50" s="397"/>
      <c r="D50" s="397"/>
      <c r="E50" s="397"/>
      <c r="F50" s="397"/>
      <c r="G50" s="397"/>
      <c r="H50" s="398"/>
    </row>
    <row r="51" spans="1:17" ht="27.6" x14ac:dyDescent="0.25">
      <c r="A51" s="396"/>
      <c r="B51" s="397"/>
      <c r="C51" s="397"/>
      <c r="D51" s="397"/>
      <c r="E51" s="397"/>
      <c r="F51" s="397"/>
      <c r="G51" s="397"/>
      <c r="H51" s="398"/>
      <c r="K51" s="60">
        <f>+A6</f>
        <v>2022</v>
      </c>
      <c r="L51" s="60" t="s">
        <v>386</v>
      </c>
      <c r="M51" s="54" t="s">
        <v>422</v>
      </c>
      <c r="N51" s="54" t="s">
        <v>423</v>
      </c>
      <c r="O51" s="54" t="s">
        <v>424</v>
      </c>
      <c r="P51" s="66" t="s">
        <v>384</v>
      </c>
      <c r="Q51" s="66" t="s">
        <v>388</v>
      </c>
    </row>
    <row r="52" spans="1:17" x14ac:dyDescent="0.25">
      <c r="A52" s="399"/>
      <c r="B52" s="400"/>
      <c r="C52" s="400"/>
      <c r="D52" s="400"/>
      <c r="E52" s="400"/>
      <c r="F52" s="400"/>
      <c r="G52" s="400"/>
      <c r="H52" s="401"/>
      <c r="K52" s="378" t="s">
        <v>192</v>
      </c>
      <c r="L52" s="65" t="s">
        <v>389</v>
      </c>
      <c r="M52" s="63"/>
      <c r="N52" s="63"/>
      <c r="O52" s="63"/>
      <c r="P52" s="63"/>
      <c r="Q52" s="63"/>
    </row>
    <row r="53" spans="1:17" x14ac:dyDescent="0.25">
      <c r="K53" s="378"/>
      <c r="L53" s="65" t="s">
        <v>390</v>
      </c>
      <c r="M53" s="63"/>
      <c r="N53" s="63"/>
      <c r="O53" s="63"/>
      <c r="P53" s="63"/>
      <c r="Q53" s="63"/>
    </row>
    <row r="54" spans="1:17" x14ac:dyDescent="0.25">
      <c r="K54" s="378"/>
      <c r="L54" s="65" t="s">
        <v>391</v>
      </c>
      <c r="M54" s="63"/>
      <c r="N54" s="63"/>
      <c r="O54" s="63"/>
      <c r="P54" s="63"/>
      <c r="Q54" s="63"/>
    </row>
    <row r="55" spans="1:17" x14ac:dyDescent="0.25">
      <c r="K55" s="378"/>
      <c r="L55" s="65" t="s">
        <v>393</v>
      </c>
      <c r="M55" s="63"/>
      <c r="N55" s="63"/>
      <c r="O55" s="63"/>
      <c r="P55" s="63"/>
      <c r="Q55" s="63"/>
    </row>
    <row r="56" spans="1:17" x14ac:dyDescent="0.25">
      <c r="K56" s="378"/>
      <c r="L56" s="65" t="s">
        <v>395</v>
      </c>
      <c r="M56" s="63"/>
      <c r="N56" s="63"/>
      <c r="O56" s="63"/>
      <c r="P56" s="63"/>
      <c r="Q56" s="63"/>
    </row>
    <row r="57" spans="1:17" x14ac:dyDescent="0.25">
      <c r="K57" s="378"/>
      <c r="L57" s="65" t="s">
        <v>396</v>
      </c>
      <c r="M57" s="63"/>
      <c r="N57" s="63"/>
      <c r="O57" s="63"/>
      <c r="P57" s="63"/>
      <c r="Q57" s="63"/>
    </row>
    <row r="58" spans="1:17" x14ac:dyDescent="0.25">
      <c r="K58" s="378"/>
      <c r="L58" s="65" t="s">
        <v>397</v>
      </c>
      <c r="M58" s="63"/>
      <c r="N58" s="63"/>
      <c r="O58" s="63"/>
      <c r="P58" s="63"/>
      <c r="Q58" s="63"/>
    </row>
    <row r="59" spans="1:17" x14ac:dyDescent="0.25">
      <c r="K59" s="378"/>
      <c r="L59" s="65" t="s">
        <v>399</v>
      </c>
      <c r="M59" s="63"/>
      <c r="N59" s="63"/>
      <c r="O59" s="63"/>
      <c r="P59" s="63"/>
      <c r="Q59" s="63"/>
    </row>
    <row r="60" spans="1:17" x14ac:dyDescent="0.25">
      <c r="K60" s="378"/>
      <c r="L60" s="65" t="s">
        <v>400</v>
      </c>
      <c r="M60" s="63"/>
      <c r="N60" s="63"/>
      <c r="O60" s="63"/>
      <c r="P60" s="63"/>
      <c r="Q60" s="63"/>
    </row>
    <row r="61" spans="1:17" x14ac:dyDescent="0.25">
      <c r="K61" s="378"/>
      <c r="L61" s="65" t="s">
        <v>401</v>
      </c>
      <c r="M61" s="63"/>
      <c r="N61" s="63"/>
      <c r="O61" s="63"/>
      <c r="P61" s="63"/>
      <c r="Q61" s="63"/>
    </row>
    <row r="62" spans="1:17" x14ac:dyDescent="0.25">
      <c r="K62" s="378"/>
      <c r="L62" s="65" t="s">
        <v>402</v>
      </c>
      <c r="M62" s="63"/>
      <c r="N62" s="63"/>
      <c r="O62" s="63"/>
      <c r="P62" s="63"/>
      <c r="Q62" s="63"/>
    </row>
    <row r="63" spans="1:17" x14ac:dyDescent="0.25">
      <c r="K63" s="378"/>
      <c r="L63" s="65" t="s">
        <v>403</v>
      </c>
      <c r="M63" s="63"/>
      <c r="N63" s="63"/>
      <c r="O63" s="63"/>
      <c r="P63" s="63"/>
      <c r="Q63" s="63"/>
    </row>
    <row r="64" spans="1:17" x14ac:dyDescent="0.25">
      <c r="K64" s="378"/>
      <c r="L64" s="61" t="s">
        <v>404</v>
      </c>
      <c r="M64" s="61" t="e">
        <f>AVERAGE(M52:M63)</f>
        <v>#DIV/0!</v>
      </c>
      <c r="N64" s="61"/>
      <c r="O64" s="61">
        <f>MAX(O52:O63)</f>
        <v>0</v>
      </c>
      <c r="P64" s="61" t="e">
        <f>AVERAGE(P52:P63)</f>
        <v>#DIV/0!</v>
      </c>
      <c r="Q64" s="61">
        <f>MAX(Q52:Q63)</f>
        <v>0</v>
      </c>
    </row>
    <row r="66" spans="11:17" ht="27.6" x14ac:dyDescent="0.25">
      <c r="K66" s="60">
        <f>+A6</f>
        <v>2022</v>
      </c>
      <c r="L66" s="60" t="s">
        <v>386</v>
      </c>
      <c r="M66" s="54" t="s">
        <v>422</v>
      </c>
      <c r="N66" s="54" t="s">
        <v>423</v>
      </c>
      <c r="O66" s="54" t="s">
        <v>424</v>
      </c>
      <c r="P66" s="66" t="s">
        <v>384</v>
      </c>
      <c r="Q66" s="66" t="s">
        <v>388</v>
      </c>
    </row>
    <row r="67" spans="11:17" x14ac:dyDescent="0.25">
      <c r="K67" s="378" t="s">
        <v>193</v>
      </c>
      <c r="L67" s="65" t="s">
        <v>389</v>
      </c>
      <c r="M67" s="63"/>
      <c r="N67" s="63"/>
      <c r="O67" s="63"/>
      <c r="P67" s="63"/>
      <c r="Q67" s="63"/>
    </row>
    <row r="68" spans="11:17" x14ac:dyDescent="0.25">
      <c r="K68" s="378"/>
      <c r="L68" s="65" t="s">
        <v>390</v>
      </c>
      <c r="M68" s="63"/>
      <c r="N68" s="63"/>
      <c r="O68" s="63"/>
      <c r="P68" s="63"/>
      <c r="Q68" s="63"/>
    </row>
    <row r="69" spans="11:17" x14ac:dyDescent="0.25">
      <c r="K69" s="378"/>
      <c r="L69" s="65" t="s">
        <v>391</v>
      </c>
      <c r="M69" s="63"/>
      <c r="N69" s="63"/>
      <c r="O69" s="63"/>
      <c r="P69" s="63"/>
      <c r="Q69" s="63"/>
    </row>
    <row r="70" spans="11:17" x14ac:dyDescent="0.25">
      <c r="K70" s="378"/>
      <c r="L70" s="65" t="s">
        <v>393</v>
      </c>
      <c r="M70" s="63"/>
      <c r="N70" s="63"/>
      <c r="O70" s="63"/>
      <c r="P70" s="63"/>
      <c r="Q70" s="63"/>
    </row>
    <row r="71" spans="11:17" x14ac:dyDescent="0.25">
      <c r="K71" s="378"/>
      <c r="L71" s="65" t="s">
        <v>395</v>
      </c>
      <c r="M71" s="63"/>
      <c r="N71" s="63"/>
      <c r="O71" s="63"/>
      <c r="P71" s="63"/>
      <c r="Q71" s="63"/>
    </row>
    <row r="72" spans="11:17" x14ac:dyDescent="0.25">
      <c r="K72" s="378"/>
      <c r="L72" s="65" t="s">
        <v>396</v>
      </c>
      <c r="M72" s="63"/>
      <c r="N72" s="63"/>
      <c r="O72" s="63"/>
      <c r="P72" s="63"/>
      <c r="Q72" s="63"/>
    </row>
    <row r="73" spans="11:17" x14ac:dyDescent="0.25">
      <c r="K73" s="378"/>
      <c r="L73" s="65" t="s">
        <v>397</v>
      </c>
      <c r="M73" s="63"/>
      <c r="N73" s="63"/>
      <c r="O73" s="63"/>
      <c r="P73" s="63"/>
      <c r="Q73" s="63"/>
    </row>
    <row r="74" spans="11:17" x14ac:dyDescent="0.25">
      <c r="K74" s="378"/>
      <c r="L74" s="65" t="s">
        <v>399</v>
      </c>
      <c r="M74" s="63"/>
      <c r="N74" s="63"/>
      <c r="O74" s="63"/>
      <c r="P74" s="63"/>
      <c r="Q74" s="63"/>
    </row>
    <row r="75" spans="11:17" x14ac:dyDescent="0.25">
      <c r="K75" s="378"/>
      <c r="L75" s="65" t="s">
        <v>400</v>
      </c>
      <c r="M75" s="63"/>
      <c r="N75" s="63"/>
      <c r="O75" s="63"/>
      <c r="P75" s="63"/>
      <c r="Q75" s="63"/>
    </row>
    <row r="76" spans="11:17" x14ac:dyDescent="0.25">
      <c r="K76" s="378"/>
      <c r="L76" s="65" t="s">
        <v>401</v>
      </c>
      <c r="M76" s="63"/>
      <c r="N76" s="63"/>
      <c r="O76" s="63"/>
      <c r="P76" s="63"/>
      <c r="Q76" s="63"/>
    </row>
    <row r="77" spans="11:17" x14ac:dyDescent="0.25">
      <c r="K77" s="378"/>
      <c r="L77" s="65" t="s">
        <v>402</v>
      </c>
      <c r="M77" s="63"/>
      <c r="N77" s="63"/>
      <c r="O77" s="63"/>
      <c r="P77" s="63"/>
      <c r="Q77" s="63"/>
    </row>
    <row r="78" spans="11:17" x14ac:dyDescent="0.25">
      <c r="K78" s="378"/>
      <c r="L78" s="65" t="s">
        <v>403</v>
      </c>
      <c r="M78" s="63"/>
      <c r="N78" s="63"/>
      <c r="O78" s="63"/>
      <c r="P78" s="63"/>
      <c r="Q78" s="63"/>
    </row>
    <row r="79" spans="11:17" x14ac:dyDescent="0.25">
      <c r="K79" s="378"/>
      <c r="L79" s="61" t="s">
        <v>404</v>
      </c>
      <c r="M79" s="61" t="e">
        <f>AVERAGE(M67:M78)</f>
        <v>#DIV/0!</v>
      </c>
      <c r="N79" s="61"/>
      <c r="O79" s="61">
        <f>MAX(O67:O78)</f>
        <v>0</v>
      </c>
      <c r="P79" s="61" t="e">
        <f>AVERAGE(P67:P78)</f>
        <v>#DIV/0!</v>
      </c>
      <c r="Q79" s="6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C9" sqref="C9"/>
    </sheetView>
  </sheetViews>
  <sheetFormatPr defaultRowHeight="13.8" x14ac:dyDescent="0.25"/>
  <cols>
    <col min="1" max="1" width="14" style="3" customWidth="1"/>
    <col min="2" max="4" width="17" style="34" customWidth="1"/>
    <col min="5" max="5" width="14.6640625" style="34" customWidth="1"/>
    <col min="6" max="7" width="17" style="34"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
        <v>5</v>
      </c>
      <c r="B1" s="92"/>
      <c r="C1" s="92"/>
      <c r="D1" s="92"/>
      <c r="E1" s="92" t="s">
        <v>7</v>
      </c>
    </row>
    <row r="3" spans="1:19" ht="14.4" x14ac:dyDescent="0.3">
      <c r="A3" s="59" t="s">
        <v>430</v>
      </c>
      <c r="D3" s="75" t="s">
        <v>373</v>
      </c>
      <c r="G3" s="79" t="s">
        <v>374</v>
      </c>
      <c r="J3" s="9" t="s">
        <v>430</v>
      </c>
      <c r="L3" s="9"/>
      <c r="N3" s="9" t="s">
        <v>375</v>
      </c>
      <c r="Q3" s="78" t="s">
        <v>3</v>
      </c>
      <c r="R3" s="73"/>
      <c r="S3" s="73"/>
    </row>
    <row r="4" spans="1:19" ht="13.95" customHeight="1" x14ac:dyDescent="0.25">
      <c r="Q4" s="369" t="s">
        <v>376</v>
      </c>
      <c r="R4" s="369"/>
      <c r="S4" s="369"/>
    </row>
    <row r="5" spans="1:19" ht="16.2" x14ac:dyDescent="0.25">
      <c r="A5" s="67" t="s">
        <v>377</v>
      </c>
      <c r="B5" s="380" t="s">
        <v>378</v>
      </c>
      <c r="C5" s="380"/>
      <c r="D5" s="380"/>
      <c r="E5" s="380" t="s">
        <v>379</v>
      </c>
      <c r="F5" s="380"/>
      <c r="G5" s="380"/>
      <c r="J5" s="379"/>
      <c r="K5" s="379"/>
      <c r="L5" s="379"/>
      <c r="M5" s="379"/>
      <c r="N5" s="379"/>
      <c r="O5" s="379"/>
      <c r="Q5" s="369"/>
      <c r="R5" s="369"/>
      <c r="S5" s="369"/>
    </row>
    <row r="6" spans="1:19" s="57" customFormat="1" ht="37.5" customHeight="1" x14ac:dyDescent="0.3">
      <c r="A6" s="64">
        <v>2022</v>
      </c>
      <c r="B6" s="54" t="s">
        <v>431</v>
      </c>
      <c r="C6" s="54" t="s">
        <v>381</v>
      </c>
      <c r="D6" s="54" t="s">
        <v>382</v>
      </c>
      <c r="E6" s="54" t="s">
        <v>432</v>
      </c>
      <c r="F6" s="54" t="s">
        <v>384</v>
      </c>
      <c r="G6" s="54" t="s">
        <v>385</v>
      </c>
      <c r="H6" s="58"/>
      <c r="J6" s="60">
        <v>2022</v>
      </c>
      <c r="K6" s="60" t="s">
        <v>386</v>
      </c>
      <c r="L6" s="66" t="s">
        <v>381</v>
      </c>
      <c r="M6" s="66" t="s">
        <v>387</v>
      </c>
      <c r="N6" s="66" t="s">
        <v>384</v>
      </c>
      <c r="O6" s="66" t="s">
        <v>388</v>
      </c>
      <c r="Q6" s="369"/>
      <c r="R6" s="369"/>
      <c r="S6" s="369"/>
    </row>
    <row r="7" spans="1:19" x14ac:dyDescent="0.25">
      <c r="A7" s="65" t="s">
        <v>389</v>
      </c>
      <c r="B7" s="68">
        <v>0</v>
      </c>
      <c r="C7" s="63">
        <v>4</v>
      </c>
      <c r="D7" s="63">
        <v>9.5</v>
      </c>
      <c r="E7" s="62">
        <v>10</v>
      </c>
      <c r="F7" s="63">
        <v>3.9</v>
      </c>
      <c r="G7" s="63">
        <v>4.4000000000000004</v>
      </c>
      <c r="J7" s="378" t="s">
        <v>189</v>
      </c>
      <c r="K7" s="65" t="s">
        <v>389</v>
      </c>
      <c r="L7" s="63">
        <v>4</v>
      </c>
      <c r="M7" s="63">
        <v>9.5</v>
      </c>
      <c r="N7" s="63">
        <v>3.9</v>
      </c>
      <c r="O7" s="63">
        <v>4.4000000000000004</v>
      </c>
      <c r="Q7" s="369"/>
      <c r="R7" s="369"/>
      <c r="S7" s="369"/>
    </row>
    <row r="8" spans="1:19" x14ac:dyDescent="0.25">
      <c r="A8" s="65" t="s">
        <v>390</v>
      </c>
      <c r="B8" s="62">
        <v>0</v>
      </c>
      <c r="C8" s="63">
        <v>3.9</v>
      </c>
      <c r="D8" s="63">
        <v>15.6</v>
      </c>
      <c r="E8" s="62">
        <v>10</v>
      </c>
      <c r="F8" s="63">
        <v>3.9</v>
      </c>
      <c r="G8" s="63">
        <v>4.0999999999999996</v>
      </c>
      <c r="J8" s="378"/>
      <c r="K8" s="65" t="s">
        <v>390</v>
      </c>
      <c r="L8" s="63">
        <v>3.9</v>
      </c>
      <c r="M8" s="63">
        <v>15.6</v>
      </c>
      <c r="N8" s="63">
        <v>3.9</v>
      </c>
      <c r="O8" s="63">
        <v>4.0999999999999996</v>
      </c>
      <c r="Q8" s="369"/>
      <c r="R8" s="369"/>
      <c r="S8" s="369"/>
    </row>
    <row r="9" spans="1:19" x14ac:dyDescent="0.25">
      <c r="A9" s="65" t="s">
        <v>391</v>
      </c>
      <c r="B9" s="62">
        <v>0</v>
      </c>
      <c r="C9" s="63">
        <v>3.9</v>
      </c>
      <c r="D9" s="63">
        <v>6.2</v>
      </c>
      <c r="E9" s="62">
        <v>10</v>
      </c>
      <c r="F9" s="63">
        <v>3.8</v>
      </c>
      <c r="G9" s="63">
        <v>3.9</v>
      </c>
      <c r="J9" s="378"/>
      <c r="K9" s="65" t="s">
        <v>391</v>
      </c>
      <c r="L9" s="63">
        <v>3.9</v>
      </c>
      <c r="M9" s="63">
        <v>6.2</v>
      </c>
      <c r="N9" s="63">
        <v>3.8</v>
      </c>
      <c r="O9" s="63">
        <v>3.9</v>
      </c>
      <c r="Q9" s="77" t="s">
        <v>392</v>
      </c>
    </row>
    <row r="10" spans="1:19" ht="14.25" customHeight="1" x14ac:dyDescent="0.25">
      <c r="A10" s="65" t="s">
        <v>393</v>
      </c>
      <c r="B10" s="62">
        <v>0</v>
      </c>
      <c r="C10" s="63">
        <v>4.0999999999999996</v>
      </c>
      <c r="D10" s="63">
        <v>7.1</v>
      </c>
      <c r="E10" s="62">
        <v>10</v>
      </c>
      <c r="F10" s="63">
        <v>4.0999999999999996</v>
      </c>
      <c r="G10" s="63">
        <v>5.8</v>
      </c>
      <c r="J10" s="378"/>
      <c r="K10" s="65" t="s">
        <v>393</v>
      </c>
      <c r="L10" s="63">
        <v>4.0999999999999996</v>
      </c>
      <c r="M10" s="63">
        <v>7.1</v>
      </c>
      <c r="N10" s="63">
        <v>4.0999999999999996</v>
      </c>
      <c r="O10" s="63">
        <v>5.8</v>
      </c>
      <c r="Q10" s="377" t="s">
        <v>394</v>
      </c>
      <c r="R10" s="377"/>
      <c r="S10" s="377"/>
    </row>
    <row r="11" spans="1:19" x14ac:dyDescent="0.25">
      <c r="A11" s="65" t="s">
        <v>395</v>
      </c>
      <c r="B11" s="62">
        <v>0</v>
      </c>
      <c r="C11" s="63">
        <v>4.8</v>
      </c>
      <c r="D11" s="63">
        <v>28.3</v>
      </c>
      <c r="E11" s="62">
        <v>10</v>
      </c>
      <c r="F11" s="63">
        <v>4.8</v>
      </c>
      <c r="G11" s="63">
        <v>12.5</v>
      </c>
      <c r="J11" s="378"/>
      <c r="K11" s="65" t="s">
        <v>395</v>
      </c>
      <c r="L11" s="63">
        <v>4.8</v>
      </c>
      <c r="M11" s="63">
        <v>28.3</v>
      </c>
      <c r="N11" s="63">
        <v>4.8</v>
      </c>
      <c r="O11" s="63">
        <v>12.5</v>
      </c>
      <c r="Q11" s="377"/>
      <c r="R11" s="377"/>
      <c r="S11" s="377"/>
    </row>
    <row r="12" spans="1:19" x14ac:dyDescent="0.25">
      <c r="A12" s="65" t="s">
        <v>396</v>
      </c>
      <c r="B12" s="62">
        <v>0</v>
      </c>
      <c r="C12" s="63">
        <v>4.0999999999999996</v>
      </c>
      <c r="D12" s="63">
        <v>14.2</v>
      </c>
      <c r="E12" s="62">
        <v>10</v>
      </c>
      <c r="F12" s="63">
        <v>4</v>
      </c>
      <c r="G12" s="63">
        <v>5.8</v>
      </c>
      <c r="J12" s="378"/>
      <c r="K12" s="65" t="s">
        <v>396</v>
      </c>
      <c r="L12" s="63">
        <v>4.0999999999999996</v>
      </c>
      <c r="M12" s="63">
        <v>14.2</v>
      </c>
      <c r="N12" s="63">
        <v>4</v>
      </c>
      <c r="O12" s="63">
        <v>5.8</v>
      </c>
      <c r="Q12" s="377"/>
      <c r="R12" s="377"/>
      <c r="S12" s="377"/>
    </row>
    <row r="13" spans="1:19" ht="14.25" customHeight="1" x14ac:dyDescent="0.25">
      <c r="A13" s="65" t="s">
        <v>397</v>
      </c>
      <c r="B13" s="62">
        <v>0</v>
      </c>
      <c r="C13" s="63">
        <v>4.2</v>
      </c>
      <c r="D13" s="63">
        <v>24</v>
      </c>
      <c r="E13" s="62">
        <v>10</v>
      </c>
      <c r="F13" s="63">
        <v>4</v>
      </c>
      <c r="G13" s="63">
        <v>6.6</v>
      </c>
      <c r="J13" s="378"/>
      <c r="K13" s="65" t="s">
        <v>397</v>
      </c>
      <c r="L13" s="63">
        <v>4.2</v>
      </c>
      <c r="M13" s="63">
        <v>24</v>
      </c>
      <c r="N13" s="63">
        <v>4</v>
      </c>
      <c r="O13" s="63">
        <v>6.6</v>
      </c>
      <c r="Q13" s="377" t="s">
        <v>398</v>
      </c>
      <c r="R13" s="377"/>
      <c r="S13" s="377"/>
    </row>
    <row r="14" spans="1:19" x14ac:dyDescent="0.25">
      <c r="A14" s="65" t="s">
        <v>399</v>
      </c>
      <c r="B14" s="62">
        <v>0</v>
      </c>
      <c r="C14" s="63">
        <v>3.5</v>
      </c>
      <c r="D14" s="63">
        <v>5.3</v>
      </c>
      <c r="E14" s="62">
        <v>10</v>
      </c>
      <c r="F14" s="63">
        <v>3.4</v>
      </c>
      <c r="G14" s="63">
        <v>3.8</v>
      </c>
      <c r="J14" s="378"/>
      <c r="K14" s="65" t="s">
        <v>399</v>
      </c>
      <c r="L14" s="63">
        <v>3.5</v>
      </c>
      <c r="M14" s="63">
        <v>5.3</v>
      </c>
      <c r="N14" s="63">
        <v>3.4</v>
      </c>
      <c r="O14" s="63">
        <v>3.8</v>
      </c>
      <c r="Q14" s="377"/>
      <c r="R14" s="377"/>
      <c r="S14" s="377"/>
    </row>
    <row r="15" spans="1:19" x14ac:dyDescent="0.25">
      <c r="A15" s="65" t="s">
        <v>400</v>
      </c>
      <c r="B15" s="62">
        <v>0</v>
      </c>
      <c r="C15" s="63">
        <v>3.6</v>
      </c>
      <c r="D15" s="63">
        <v>6.7</v>
      </c>
      <c r="E15" s="62">
        <v>10</v>
      </c>
      <c r="F15" s="63">
        <v>3.5</v>
      </c>
      <c r="G15" s="63">
        <v>3.8</v>
      </c>
      <c r="J15" s="378"/>
      <c r="K15" s="65" t="s">
        <v>400</v>
      </c>
      <c r="L15" s="63">
        <v>3.6</v>
      </c>
      <c r="M15" s="63">
        <v>6.7</v>
      </c>
      <c r="N15" s="63">
        <v>3.5</v>
      </c>
      <c r="O15" s="63">
        <v>3.8</v>
      </c>
      <c r="Q15" s="377"/>
      <c r="R15" s="377"/>
      <c r="S15" s="377"/>
    </row>
    <row r="16" spans="1:19" x14ac:dyDescent="0.25">
      <c r="A16" s="65" t="s">
        <v>401</v>
      </c>
      <c r="B16" s="62">
        <v>0</v>
      </c>
      <c r="C16" s="63">
        <v>3.6</v>
      </c>
      <c r="D16" s="63">
        <v>8.1</v>
      </c>
      <c r="E16" s="62">
        <v>10</v>
      </c>
      <c r="F16" s="63">
        <v>3.5</v>
      </c>
      <c r="G16" s="63">
        <v>4.7</v>
      </c>
      <c r="J16" s="378"/>
      <c r="K16" s="65" t="s">
        <v>401</v>
      </c>
      <c r="L16" s="63">
        <v>3.6</v>
      </c>
      <c r="M16" s="63">
        <v>8.1</v>
      </c>
      <c r="N16" s="63">
        <v>3.5</v>
      </c>
      <c r="O16" s="63">
        <v>4.7</v>
      </c>
      <c r="Q16" s="377"/>
      <c r="R16" s="377"/>
      <c r="S16" s="377"/>
    </row>
    <row r="17" spans="1:15" x14ac:dyDescent="0.25">
      <c r="A17" s="65" t="s">
        <v>402</v>
      </c>
      <c r="B17" s="62">
        <v>0</v>
      </c>
      <c r="C17" s="63">
        <v>3.7</v>
      </c>
      <c r="D17" s="63">
        <v>6.7</v>
      </c>
      <c r="E17" s="62">
        <v>10</v>
      </c>
      <c r="F17" s="63">
        <v>3.7</v>
      </c>
      <c r="G17" s="63">
        <v>3.9</v>
      </c>
      <c r="J17" s="378"/>
      <c r="K17" s="65" t="s">
        <v>402</v>
      </c>
      <c r="L17" s="63">
        <v>3.7</v>
      </c>
      <c r="M17" s="63">
        <v>6.7</v>
      </c>
      <c r="N17" s="63">
        <v>3.7</v>
      </c>
      <c r="O17" s="63">
        <v>3.9</v>
      </c>
    </row>
    <row r="18" spans="1:15" x14ac:dyDescent="0.25">
      <c r="A18" s="65" t="s">
        <v>403</v>
      </c>
      <c r="B18" s="62">
        <v>0</v>
      </c>
      <c r="C18" s="63">
        <v>3.6</v>
      </c>
      <c r="D18" s="63">
        <v>9.5</v>
      </c>
      <c r="E18" s="62">
        <v>10</v>
      </c>
      <c r="F18" s="63">
        <v>3.5</v>
      </c>
      <c r="G18" s="63">
        <v>3.8</v>
      </c>
      <c r="J18" s="378"/>
      <c r="K18" s="65" t="s">
        <v>403</v>
      </c>
      <c r="L18" s="63">
        <v>3.6</v>
      </c>
      <c r="M18" s="63">
        <v>9.5</v>
      </c>
      <c r="N18" s="63">
        <v>3.5</v>
      </c>
      <c r="O18" s="63">
        <v>3.8</v>
      </c>
    </row>
    <row r="19" spans="1:15" x14ac:dyDescent="0.25">
      <c r="J19" s="378"/>
      <c r="K19" s="61" t="s">
        <v>404</v>
      </c>
      <c r="L19" s="61">
        <v>3.9166666666666674</v>
      </c>
      <c r="M19" s="61">
        <v>28.3</v>
      </c>
      <c r="N19" s="61">
        <v>3.8416666666666668</v>
      </c>
      <c r="O19" s="61">
        <v>12.5</v>
      </c>
    </row>
    <row r="21" spans="1:15" ht="41.4" x14ac:dyDescent="0.25">
      <c r="J21" s="60">
        <f>+A6</f>
        <v>2022</v>
      </c>
      <c r="K21" s="60" t="s">
        <v>386</v>
      </c>
      <c r="L21" s="66" t="s">
        <v>381</v>
      </c>
      <c r="M21" s="66" t="s">
        <v>387</v>
      </c>
      <c r="N21" s="66" t="s">
        <v>384</v>
      </c>
      <c r="O21" s="66" t="s">
        <v>388</v>
      </c>
    </row>
    <row r="22" spans="1:15" x14ac:dyDescent="0.25">
      <c r="J22" s="378" t="s">
        <v>190</v>
      </c>
      <c r="K22" s="65" t="s">
        <v>389</v>
      </c>
      <c r="L22" s="63"/>
      <c r="M22" s="63"/>
      <c r="N22" s="63"/>
      <c r="O22" s="63"/>
    </row>
    <row r="23" spans="1:15" x14ac:dyDescent="0.25">
      <c r="J23" s="378"/>
      <c r="K23" s="65" t="s">
        <v>390</v>
      </c>
      <c r="L23" s="63"/>
      <c r="M23" s="63"/>
      <c r="N23" s="63"/>
      <c r="O23" s="63"/>
    </row>
    <row r="24" spans="1:15" x14ac:dyDescent="0.25">
      <c r="J24" s="378"/>
      <c r="K24" s="65" t="s">
        <v>391</v>
      </c>
      <c r="L24" s="63"/>
      <c r="M24" s="63"/>
      <c r="N24" s="63"/>
      <c r="O24" s="63"/>
    </row>
    <row r="25" spans="1:15" x14ac:dyDescent="0.25">
      <c r="J25" s="378"/>
      <c r="K25" s="65" t="s">
        <v>393</v>
      </c>
      <c r="L25" s="63"/>
      <c r="M25" s="63"/>
      <c r="N25" s="63"/>
      <c r="O25" s="63"/>
    </row>
    <row r="26" spans="1:15" x14ac:dyDescent="0.25">
      <c r="J26" s="378"/>
      <c r="K26" s="65" t="s">
        <v>395</v>
      </c>
      <c r="L26" s="63"/>
      <c r="M26" s="63"/>
      <c r="N26" s="63"/>
      <c r="O26" s="63"/>
    </row>
    <row r="27" spans="1:15" x14ac:dyDescent="0.25">
      <c r="J27" s="378"/>
      <c r="K27" s="65" t="s">
        <v>396</v>
      </c>
      <c r="L27" s="63"/>
      <c r="M27" s="63"/>
      <c r="N27" s="63"/>
      <c r="O27" s="63"/>
    </row>
    <row r="28" spans="1:15" x14ac:dyDescent="0.25">
      <c r="J28" s="378"/>
      <c r="K28" s="65" t="s">
        <v>397</v>
      </c>
      <c r="L28" s="63"/>
      <c r="M28" s="63"/>
      <c r="N28" s="63"/>
      <c r="O28" s="63"/>
    </row>
    <row r="29" spans="1:15" x14ac:dyDescent="0.25">
      <c r="J29" s="378"/>
      <c r="K29" s="65" t="s">
        <v>399</v>
      </c>
      <c r="L29" s="63"/>
      <c r="M29" s="63"/>
      <c r="N29" s="63"/>
      <c r="O29" s="63"/>
    </row>
    <row r="30" spans="1:15" x14ac:dyDescent="0.25">
      <c r="J30" s="378"/>
      <c r="K30" s="65" t="s">
        <v>400</v>
      </c>
      <c r="L30" s="63"/>
      <c r="M30" s="63"/>
      <c r="N30" s="63"/>
      <c r="O30" s="63"/>
    </row>
    <row r="31" spans="1:15" x14ac:dyDescent="0.25">
      <c r="J31" s="378"/>
      <c r="K31" s="65" t="s">
        <v>401</v>
      </c>
      <c r="L31" s="63"/>
      <c r="M31" s="63"/>
      <c r="N31" s="63"/>
      <c r="O31" s="63"/>
    </row>
    <row r="32" spans="1:15" x14ac:dyDescent="0.25">
      <c r="J32" s="378"/>
      <c r="K32" s="65" t="s">
        <v>402</v>
      </c>
      <c r="L32" s="63"/>
      <c r="M32" s="63"/>
      <c r="N32" s="63"/>
      <c r="O32" s="63"/>
    </row>
    <row r="33" spans="1:15" x14ac:dyDescent="0.25">
      <c r="J33" s="378"/>
      <c r="K33" s="65" t="s">
        <v>403</v>
      </c>
      <c r="L33" s="63"/>
      <c r="M33" s="63"/>
      <c r="N33" s="63"/>
      <c r="O33" s="63"/>
    </row>
    <row r="34" spans="1:15" x14ac:dyDescent="0.25">
      <c r="J34" s="378"/>
      <c r="K34" s="61" t="s">
        <v>404</v>
      </c>
      <c r="L34" s="61" t="e">
        <f>AVERAGE(L22:L33)</f>
        <v>#DIV/0!</v>
      </c>
      <c r="M34" s="61">
        <f>MAX(M22:M33)</f>
        <v>0</v>
      </c>
      <c r="N34" s="61" t="e">
        <f>AVERAGE(N22:N33)</f>
        <v>#DIV/0!</v>
      </c>
      <c r="O34" s="61">
        <f>MAX(O22:O33)</f>
        <v>0</v>
      </c>
    </row>
    <row r="36" spans="1:15" ht="41.4" x14ac:dyDescent="0.25">
      <c r="J36" s="60">
        <f>+A6</f>
        <v>2022</v>
      </c>
      <c r="K36" s="60" t="s">
        <v>386</v>
      </c>
      <c r="L36" s="66" t="s">
        <v>381</v>
      </c>
      <c r="M36" s="66" t="s">
        <v>387</v>
      </c>
      <c r="N36" s="66" t="s">
        <v>384</v>
      </c>
      <c r="O36" s="66" t="s">
        <v>388</v>
      </c>
    </row>
    <row r="37" spans="1:15" x14ac:dyDescent="0.25">
      <c r="J37" s="378" t="s">
        <v>191</v>
      </c>
      <c r="K37" s="65" t="s">
        <v>389</v>
      </c>
      <c r="L37" s="63"/>
      <c r="M37" s="63"/>
      <c r="N37" s="63"/>
      <c r="O37" s="63"/>
    </row>
    <row r="38" spans="1:15" x14ac:dyDescent="0.25">
      <c r="J38" s="378"/>
      <c r="K38" s="65" t="s">
        <v>390</v>
      </c>
      <c r="L38" s="63"/>
      <c r="M38" s="63"/>
      <c r="N38" s="63"/>
      <c r="O38" s="63"/>
    </row>
    <row r="39" spans="1:15" x14ac:dyDescent="0.25">
      <c r="J39" s="378"/>
      <c r="K39" s="65" t="s">
        <v>391</v>
      </c>
      <c r="L39" s="63"/>
      <c r="M39" s="63"/>
      <c r="N39" s="63"/>
      <c r="O39" s="63"/>
    </row>
    <row r="40" spans="1:15" x14ac:dyDescent="0.25">
      <c r="J40" s="378"/>
      <c r="K40" s="65" t="s">
        <v>393</v>
      </c>
      <c r="L40" s="63"/>
      <c r="M40" s="63"/>
      <c r="N40" s="63"/>
      <c r="O40" s="63"/>
    </row>
    <row r="41" spans="1:15" x14ac:dyDescent="0.25">
      <c r="J41" s="378"/>
      <c r="K41" s="65" t="s">
        <v>395</v>
      </c>
      <c r="L41" s="63"/>
      <c r="M41" s="63"/>
      <c r="N41" s="63"/>
      <c r="O41" s="63"/>
    </row>
    <row r="42" spans="1:15" x14ac:dyDescent="0.25">
      <c r="J42" s="378"/>
      <c r="K42" s="65" t="s">
        <v>396</v>
      </c>
      <c r="L42" s="63"/>
      <c r="M42" s="63"/>
      <c r="N42" s="63"/>
      <c r="O42" s="63"/>
    </row>
    <row r="43" spans="1:15" x14ac:dyDescent="0.25">
      <c r="J43" s="378"/>
      <c r="K43" s="65" t="s">
        <v>397</v>
      </c>
      <c r="L43" s="63"/>
      <c r="M43" s="63"/>
      <c r="N43" s="63"/>
      <c r="O43" s="63"/>
    </row>
    <row r="44" spans="1:15" x14ac:dyDescent="0.25">
      <c r="J44" s="378"/>
      <c r="K44" s="65" t="s">
        <v>399</v>
      </c>
      <c r="L44" s="63"/>
      <c r="M44" s="63"/>
      <c r="N44" s="63"/>
      <c r="O44" s="63"/>
    </row>
    <row r="45" spans="1:15" x14ac:dyDescent="0.25">
      <c r="J45" s="378"/>
      <c r="K45" s="65" t="s">
        <v>400</v>
      </c>
      <c r="L45" s="63"/>
      <c r="M45" s="63"/>
      <c r="N45" s="63"/>
      <c r="O45" s="63"/>
    </row>
    <row r="46" spans="1:15" x14ac:dyDescent="0.25">
      <c r="J46" s="378"/>
      <c r="K46" s="65" t="s">
        <v>401</v>
      </c>
      <c r="L46" s="63"/>
      <c r="M46" s="63"/>
      <c r="N46" s="63"/>
      <c r="O46" s="63"/>
    </row>
    <row r="47" spans="1:15" x14ac:dyDescent="0.25">
      <c r="J47" s="378"/>
      <c r="K47" s="65" t="s">
        <v>402</v>
      </c>
      <c r="L47" s="63"/>
      <c r="M47" s="63"/>
      <c r="N47" s="63"/>
      <c r="O47" s="63"/>
    </row>
    <row r="48" spans="1:15" x14ac:dyDescent="0.25">
      <c r="A48" s="390" t="s">
        <v>295</v>
      </c>
      <c r="B48" s="391"/>
      <c r="C48" s="391"/>
      <c r="D48" s="391"/>
      <c r="E48" s="391"/>
      <c r="F48" s="391"/>
      <c r="G48" s="392"/>
      <c r="J48" s="378"/>
      <c r="K48" s="65" t="s">
        <v>403</v>
      </c>
      <c r="L48" s="63"/>
      <c r="M48" s="63"/>
      <c r="N48" s="63"/>
      <c r="O48" s="63"/>
    </row>
    <row r="49" spans="1:15" x14ac:dyDescent="0.25">
      <c r="A49" s="381" t="s">
        <v>433</v>
      </c>
      <c r="B49" s="382"/>
      <c r="C49" s="382"/>
      <c r="D49" s="382"/>
      <c r="E49" s="382"/>
      <c r="F49" s="382"/>
      <c r="G49" s="383"/>
      <c r="J49" s="378"/>
      <c r="K49" s="61" t="s">
        <v>404</v>
      </c>
      <c r="L49" s="61" t="e">
        <f>AVERAGE(L37:L48)</f>
        <v>#DIV/0!</v>
      </c>
      <c r="M49" s="61">
        <f>MAX(M37:M48)</f>
        <v>0</v>
      </c>
      <c r="N49" s="61" t="e">
        <f>AVERAGE(N37:N48)</f>
        <v>#DIV/0!</v>
      </c>
      <c r="O49" s="61">
        <f>MAX(O37:O48)</f>
        <v>0</v>
      </c>
    </row>
    <row r="50" spans="1:15" x14ac:dyDescent="0.25">
      <c r="A50" s="384"/>
      <c r="B50" s="385"/>
      <c r="C50" s="385"/>
      <c r="D50" s="385"/>
      <c r="E50" s="385"/>
      <c r="F50" s="385"/>
      <c r="G50" s="386"/>
    </row>
    <row r="51" spans="1:15" ht="41.4" x14ac:dyDescent="0.25">
      <c r="A51" s="384"/>
      <c r="B51" s="385"/>
      <c r="C51" s="385"/>
      <c r="D51" s="385"/>
      <c r="E51" s="385"/>
      <c r="F51" s="385"/>
      <c r="G51" s="386"/>
      <c r="J51" s="60">
        <f>+A6</f>
        <v>2022</v>
      </c>
      <c r="K51" s="60" t="s">
        <v>386</v>
      </c>
      <c r="L51" s="66" t="s">
        <v>381</v>
      </c>
      <c r="M51" s="66" t="s">
        <v>387</v>
      </c>
      <c r="N51" s="66" t="s">
        <v>384</v>
      </c>
      <c r="O51" s="66" t="s">
        <v>388</v>
      </c>
    </row>
    <row r="52" spans="1:15" x14ac:dyDescent="0.25">
      <c r="A52" s="387"/>
      <c r="B52" s="388"/>
      <c r="C52" s="388"/>
      <c r="D52" s="388"/>
      <c r="E52" s="388"/>
      <c r="F52" s="388"/>
      <c r="G52" s="389"/>
      <c r="J52" s="378" t="s">
        <v>192</v>
      </c>
      <c r="K52" s="65" t="s">
        <v>389</v>
      </c>
      <c r="L52" s="63"/>
      <c r="M52" s="63"/>
      <c r="N52" s="63"/>
      <c r="O52" s="63"/>
    </row>
    <row r="53" spans="1:15" x14ac:dyDescent="0.25">
      <c r="J53" s="378"/>
      <c r="K53" s="65" t="s">
        <v>390</v>
      </c>
      <c r="L53" s="63"/>
      <c r="M53" s="63"/>
      <c r="N53" s="63"/>
      <c r="O53" s="63"/>
    </row>
    <row r="54" spans="1:15" x14ac:dyDescent="0.25">
      <c r="J54" s="378"/>
      <c r="K54" s="65" t="s">
        <v>391</v>
      </c>
      <c r="L54" s="63"/>
      <c r="M54" s="63"/>
      <c r="N54" s="63"/>
      <c r="O54" s="63"/>
    </row>
    <row r="55" spans="1:15" x14ac:dyDescent="0.25">
      <c r="J55" s="378"/>
      <c r="K55" s="65" t="s">
        <v>393</v>
      </c>
      <c r="L55" s="63"/>
      <c r="M55" s="63"/>
      <c r="N55" s="63"/>
      <c r="O55" s="63"/>
    </row>
    <row r="56" spans="1:15" x14ac:dyDescent="0.25">
      <c r="J56" s="378"/>
      <c r="K56" s="65" t="s">
        <v>395</v>
      </c>
      <c r="L56" s="63"/>
      <c r="M56" s="63"/>
      <c r="N56" s="63"/>
      <c r="O56" s="63"/>
    </row>
    <row r="57" spans="1:15" x14ac:dyDescent="0.25">
      <c r="J57" s="378"/>
      <c r="K57" s="65" t="s">
        <v>396</v>
      </c>
      <c r="L57" s="63"/>
      <c r="M57" s="63"/>
      <c r="N57" s="63"/>
      <c r="O57" s="63"/>
    </row>
    <row r="58" spans="1:15" x14ac:dyDescent="0.25">
      <c r="J58" s="378"/>
      <c r="K58" s="65" t="s">
        <v>397</v>
      </c>
      <c r="L58" s="63"/>
      <c r="M58" s="63"/>
      <c r="N58" s="63"/>
      <c r="O58" s="63"/>
    </row>
    <row r="59" spans="1:15" x14ac:dyDescent="0.25">
      <c r="J59" s="378"/>
      <c r="K59" s="65" t="s">
        <v>399</v>
      </c>
      <c r="L59" s="63"/>
      <c r="M59" s="63"/>
      <c r="N59" s="63"/>
      <c r="O59" s="63"/>
    </row>
    <row r="60" spans="1:15" x14ac:dyDescent="0.25">
      <c r="J60" s="378"/>
      <c r="K60" s="65" t="s">
        <v>400</v>
      </c>
      <c r="L60" s="63"/>
      <c r="M60" s="63"/>
      <c r="N60" s="63"/>
      <c r="O60" s="63"/>
    </row>
    <row r="61" spans="1:15" x14ac:dyDescent="0.25">
      <c r="J61" s="378"/>
      <c r="K61" s="65" t="s">
        <v>401</v>
      </c>
      <c r="L61" s="63"/>
      <c r="M61" s="63"/>
      <c r="N61" s="63"/>
      <c r="O61" s="63"/>
    </row>
    <row r="62" spans="1:15" x14ac:dyDescent="0.25">
      <c r="J62" s="378"/>
      <c r="K62" s="65" t="s">
        <v>402</v>
      </c>
      <c r="L62" s="63"/>
      <c r="M62" s="63"/>
      <c r="N62" s="63"/>
      <c r="O62" s="63"/>
    </row>
    <row r="63" spans="1:15" x14ac:dyDescent="0.25">
      <c r="J63" s="378"/>
      <c r="K63" s="65" t="s">
        <v>403</v>
      </c>
      <c r="L63" s="63"/>
      <c r="M63" s="63"/>
      <c r="N63" s="63"/>
      <c r="O63" s="63"/>
    </row>
    <row r="64" spans="1:15" x14ac:dyDescent="0.25">
      <c r="J64" s="378"/>
      <c r="K64" s="61" t="s">
        <v>404</v>
      </c>
      <c r="L64" s="61" t="e">
        <f>AVERAGE(L52:L63)</f>
        <v>#DIV/0!</v>
      </c>
      <c r="M64" s="61">
        <f>MAX(M52:M63)</f>
        <v>0</v>
      </c>
      <c r="N64" s="61" t="e">
        <f>AVERAGE(N52:N63)</f>
        <v>#DIV/0!</v>
      </c>
      <c r="O64" s="61">
        <f>MAX(O52:O63)</f>
        <v>0</v>
      </c>
    </row>
    <row r="66" spans="10:15" ht="41.4" x14ac:dyDescent="0.25">
      <c r="J66" s="60">
        <f>+A6</f>
        <v>2022</v>
      </c>
      <c r="K66" s="60" t="s">
        <v>386</v>
      </c>
      <c r="L66" s="66" t="s">
        <v>381</v>
      </c>
      <c r="M66" s="66" t="s">
        <v>387</v>
      </c>
      <c r="N66" s="66" t="s">
        <v>384</v>
      </c>
      <c r="O66" s="66" t="s">
        <v>388</v>
      </c>
    </row>
    <row r="67" spans="10:15" x14ac:dyDescent="0.25">
      <c r="J67" s="378" t="s">
        <v>193</v>
      </c>
      <c r="K67" s="65" t="s">
        <v>389</v>
      </c>
      <c r="L67" s="63"/>
      <c r="M67" s="63"/>
      <c r="N67" s="63"/>
      <c r="O67" s="63"/>
    </row>
    <row r="68" spans="10:15" x14ac:dyDescent="0.25">
      <c r="J68" s="378"/>
      <c r="K68" s="65" t="s">
        <v>390</v>
      </c>
      <c r="L68" s="63"/>
      <c r="M68" s="63"/>
      <c r="N68" s="63"/>
      <c r="O68" s="63"/>
    </row>
    <row r="69" spans="10:15" x14ac:dyDescent="0.25">
      <c r="J69" s="378"/>
      <c r="K69" s="65" t="s">
        <v>391</v>
      </c>
      <c r="L69" s="63"/>
      <c r="M69" s="63"/>
      <c r="N69" s="63"/>
      <c r="O69" s="63"/>
    </row>
    <row r="70" spans="10:15" x14ac:dyDescent="0.25">
      <c r="J70" s="378"/>
      <c r="K70" s="65" t="s">
        <v>393</v>
      </c>
      <c r="L70" s="63"/>
      <c r="M70" s="63"/>
      <c r="N70" s="63"/>
      <c r="O70" s="63"/>
    </row>
    <row r="71" spans="10:15" x14ac:dyDescent="0.25">
      <c r="J71" s="378"/>
      <c r="K71" s="65" t="s">
        <v>395</v>
      </c>
      <c r="L71" s="63"/>
      <c r="M71" s="63"/>
      <c r="N71" s="63"/>
      <c r="O71" s="63"/>
    </row>
    <row r="72" spans="10:15" x14ac:dyDescent="0.25">
      <c r="J72" s="378"/>
      <c r="K72" s="65" t="s">
        <v>396</v>
      </c>
      <c r="L72" s="63"/>
      <c r="M72" s="63"/>
      <c r="N72" s="63"/>
      <c r="O72" s="63"/>
    </row>
    <row r="73" spans="10:15" x14ac:dyDescent="0.25">
      <c r="J73" s="378"/>
      <c r="K73" s="65" t="s">
        <v>397</v>
      </c>
      <c r="L73" s="63"/>
      <c r="M73" s="63"/>
      <c r="N73" s="63"/>
      <c r="O73" s="63"/>
    </row>
    <row r="74" spans="10:15" x14ac:dyDescent="0.25">
      <c r="J74" s="378"/>
      <c r="K74" s="65" t="s">
        <v>399</v>
      </c>
      <c r="L74" s="63"/>
      <c r="M74" s="63"/>
      <c r="N74" s="63"/>
      <c r="O74" s="63"/>
    </row>
    <row r="75" spans="10:15" x14ac:dyDescent="0.25">
      <c r="J75" s="378"/>
      <c r="K75" s="65" t="s">
        <v>400</v>
      </c>
      <c r="L75" s="63"/>
      <c r="M75" s="63"/>
      <c r="N75" s="63"/>
      <c r="O75" s="63"/>
    </row>
    <row r="76" spans="10:15" x14ac:dyDescent="0.25">
      <c r="J76" s="378"/>
      <c r="K76" s="65" t="s">
        <v>401</v>
      </c>
      <c r="L76" s="63"/>
      <c r="M76" s="63"/>
      <c r="N76" s="63"/>
      <c r="O76" s="63"/>
    </row>
    <row r="77" spans="10:15" x14ac:dyDescent="0.25">
      <c r="J77" s="378"/>
      <c r="K77" s="65" t="s">
        <v>402</v>
      </c>
      <c r="L77" s="63"/>
      <c r="M77" s="63"/>
      <c r="N77" s="63"/>
      <c r="O77" s="63"/>
    </row>
    <row r="78" spans="10:15" x14ac:dyDescent="0.25">
      <c r="J78" s="378"/>
      <c r="K78" s="65" t="s">
        <v>403</v>
      </c>
      <c r="L78" s="63"/>
      <c r="M78" s="63"/>
      <c r="N78" s="63"/>
      <c r="O78" s="63"/>
    </row>
    <row r="79" spans="10:15" x14ac:dyDescent="0.25">
      <c r="J79" s="378"/>
      <c r="K79" s="61" t="s">
        <v>404</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F45AF9-D272-46FF-BC3E-6860EF655B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3.xml><?xml version="1.0" encoding="utf-8"?>
<ds:datastoreItem xmlns:ds="http://schemas.openxmlformats.org/officeDocument/2006/customXml" ds:itemID="{7171931C-FE08-4587-A1FD-B4F74C2ED8EB}">
  <ds:schemaRefs>
    <ds:schemaRef ds:uri="Microsoft.SharePoint.Taxonomy.ContentTypeSync"/>
  </ds:schemaRefs>
</ds:datastoreItem>
</file>

<file path=customXml/itemProps4.xml><?xml version="1.0" encoding="utf-8"?>
<ds:datastoreItem xmlns:ds="http://schemas.openxmlformats.org/officeDocument/2006/customXml" ds:itemID="{130E79B3-286C-4594-AC93-4243D3FE78E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95% 10 min</vt:lpstr>
      <vt:lpstr>NH3</vt:lpstr>
      <vt:lpstr>'Air (CEMS)'!Print_Area</vt:lpstr>
      <vt:lpstr>'Air (periodic)'!Print_Area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2023-03-22T17:21:20Z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