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Kent &amp; South London/"/>
    </mc:Choice>
  </mc:AlternateContent>
  <xr:revisionPtr revIDLastSave="1" documentId="13_ncr:1_{25F8F243-0D3D-467C-B297-26804DBE89F3}" xr6:coauthVersionLast="47" xr6:coauthVersionMax="47" xr10:uidLastSave="{B129D56B-AE50-4BAA-9A19-547B49C9DA63}"/>
  <bookViews>
    <workbookView xWindow="-108" yWindow="-108" windowWidth="23256" windowHeight="12576" xr2:uid="{EE2D8CE5-FD2F-4A7B-BE8C-E1048EF63C9C}"/>
  </bookViews>
  <sheets>
    <sheet name="Cover Page" sheetId="2" r:id="rId1"/>
    <sheet name="Contents" sheetId="3" r:id="rId2"/>
    <sheet name="Facility Info" sheetId="4" r:id="rId3"/>
    <sheet name="Operational Summary" sheetId="5" r:id="rId4"/>
    <sheet name="Perf. Form 1" sheetId="7" r:id="rId5"/>
    <sheet name="Energy Form 1" sheetId="8" r:id="rId6"/>
    <sheet name="Operational Data" sheetId="6" r:id="rId7"/>
    <sheet name="Permit Compliance" sheetId="9" r:id="rId8"/>
    <sheet name="Improvements" sheetId="10" r:id="rId9"/>
    <sheet name="Public Liasion" sheetId="11" r:id="rId10"/>
    <sheet name="CO2 N2O" sheetId="34"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CO 95% 10 min" sheetId="30" r:id="rId22"/>
    <sheet name="NH3" sheetId="31" r:id="rId23"/>
  </sheets>
  <externalReferences>
    <externalReference r:id="rId24"/>
  </externalReferences>
  <definedNames>
    <definedName name="_xlnm.Print_Area" localSheetId="14">'Air (CEMS)'!$A$1:$M$30</definedName>
    <definedName name="_xlnm.Print_Area" localSheetId="13">'Air (periodic)'!$A$1:$L$41</definedName>
    <definedName name="_xlnm.Print_Area" localSheetId="20">'CO 0.5hourly'!$A$1:$G$52</definedName>
    <definedName name="_xlnm.Print_Area" localSheetId="21">'CO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5">'Energy Form 1'!$A$1:$I$28</definedName>
    <definedName name="_xlnm.Print_Area" localSheetId="2">'Facility Info'!$A$1:$I$52</definedName>
    <definedName name="_xlnm.Print_Area" localSheetId="15">HCl!$A$1:$G$52</definedName>
    <definedName name="_xlnm.Print_Area" localSheetId="8">Improvements!$A$1:$I$48</definedName>
    <definedName name="_xlnm.Print_Area" localSheetId="22">'NH3'!$A$1:$G$52</definedName>
    <definedName name="_xlnm.Print_Area" localSheetId="17">NOx!$A$1:$G$52</definedName>
    <definedName name="_xlnm.Print_Area" localSheetId="6">'Operational Data'!$A$1:$H$63</definedName>
    <definedName name="_xlnm.Print_Area" localSheetId="3">'Operational Summary'!$A$1:$I$50</definedName>
    <definedName name="_xlnm.Print_Area" localSheetId="19">Particulates!$A$1:$G$52</definedName>
    <definedName name="_xlnm.Print_Area" localSheetId="4">'Perf. Form 1'!$A$1:$J$57</definedName>
    <definedName name="_xlnm.Print_Area" localSheetId="7">'Permit Compliance'!$A$1:$J$34</definedName>
    <definedName name="_xlnm.Print_Area" localSheetId="9">'Public Liasion'!$A$1:$I$19</definedName>
    <definedName name="_xlnm.Print_Area" localSheetId="11">'Residue Quality '!$A$1:$G$33</definedName>
    <definedName name="_xlnm.Print_Area" localSheetId="16">'SO2'!$A$1:$G$52</definedName>
    <definedName name="_xlnm.Print_Area" localSheetId="18">TOC!$A$1:$G$52</definedName>
    <definedName name="_xlnm.Print_Area" localSheetId="12">Water!$A$1:$I$22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34" l="1"/>
  <c r="A1" i="34"/>
  <c r="E9" i="6"/>
  <c r="G26" i="24" l="1"/>
  <c r="F26" i="24"/>
  <c r="E26" i="24"/>
  <c r="D26" i="24"/>
  <c r="G25" i="24"/>
  <c r="G24" i="24"/>
  <c r="F25" i="24"/>
  <c r="F24" i="24"/>
  <c r="E25" i="24"/>
  <c r="D25" i="24"/>
  <c r="E24" i="24"/>
  <c r="D24" i="24"/>
  <c r="G23" i="24"/>
  <c r="F23" i="24"/>
  <c r="G22" i="24"/>
  <c r="F22" i="24"/>
  <c r="E23" i="24"/>
  <c r="D23" i="24"/>
  <c r="E22" i="24"/>
  <c r="D22" i="24"/>
  <c r="G21" i="24"/>
  <c r="G20" i="24"/>
  <c r="F21" i="24"/>
  <c r="F20" i="24"/>
  <c r="E21" i="24"/>
  <c r="D21" i="24"/>
  <c r="E20" i="24"/>
  <c r="D20" i="24"/>
  <c r="G19" i="24"/>
  <c r="F19" i="24"/>
  <c r="G18" i="24"/>
  <c r="F18" i="24"/>
  <c r="E19" i="24"/>
  <c r="D19" i="24"/>
  <c r="E18" i="24"/>
  <c r="D18" i="24"/>
  <c r="G17" i="24"/>
  <c r="F17" i="24"/>
  <c r="G16" i="24"/>
  <c r="F16" i="24"/>
  <c r="E17" i="24"/>
  <c r="D17" i="24"/>
  <c r="E16" i="24"/>
  <c r="D16" i="24"/>
  <c r="G15" i="24"/>
  <c r="G14" i="24"/>
  <c r="F15" i="24"/>
  <c r="F14" i="24"/>
  <c r="E15" i="24"/>
  <c r="E14" i="24"/>
  <c r="D14" i="24"/>
  <c r="D15" i="24"/>
  <c r="D57" i="6" l="1"/>
  <c r="E57" i="6"/>
  <c r="F57" i="6"/>
  <c r="C57" i="6"/>
  <c r="L13" i="23" l="1"/>
  <c r="L14" i="23"/>
  <c r="L15" i="23"/>
  <c r="L16" i="23"/>
  <c r="L17" i="23"/>
  <c r="L18" i="23"/>
  <c r="L19" i="23"/>
  <c r="L20" i="23"/>
  <c r="L21" i="23"/>
  <c r="L22" i="23"/>
  <c r="L23" i="23"/>
  <c r="L24" i="23"/>
  <c r="L25" i="23"/>
  <c r="L26" i="23"/>
  <c r="L27" i="23"/>
  <c r="L28" i="23"/>
  <c r="L29" i="23"/>
  <c r="L30" i="23"/>
  <c r="L31" i="23"/>
  <c r="L32" i="23"/>
  <c r="L33" i="23"/>
  <c r="L34" i="23"/>
  <c r="L35" i="23"/>
  <c r="L36" i="23"/>
  <c r="L37" i="23"/>
  <c r="L38" i="23"/>
  <c r="L12" i="23"/>
  <c r="K13" i="23"/>
  <c r="K14" i="23"/>
  <c r="K15" i="23"/>
  <c r="K16" i="23"/>
  <c r="K17" i="23"/>
  <c r="K18" i="23"/>
  <c r="K19" i="23"/>
  <c r="K20" i="23"/>
  <c r="K21" i="23"/>
  <c r="K22" i="23"/>
  <c r="K23" i="23"/>
  <c r="K24" i="23"/>
  <c r="K25" i="23"/>
  <c r="K26" i="23"/>
  <c r="K27" i="23"/>
  <c r="K28" i="23"/>
  <c r="K29" i="23"/>
  <c r="K30" i="23"/>
  <c r="K31" i="23"/>
  <c r="K32" i="23"/>
  <c r="K33" i="23"/>
  <c r="K34" i="23"/>
  <c r="K35" i="23"/>
  <c r="K36" i="23"/>
  <c r="K37" i="23"/>
  <c r="K38" i="23"/>
  <c r="K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12" i="23"/>
  <c r="G32" i="6" l="1"/>
  <c r="D12" i="8"/>
  <c r="G24" i="7" l="1"/>
  <c r="G23" i="7"/>
  <c r="G21" i="7"/>
  <c r="E20" i="7"/>
  <c r="G19" i="7"/>
  <c r="G18" i="7"/>
  <c r="E11" i="7"/>
  <c r="G58" i="6" l="1"/>
  <c r="D28" i="6" l="1"/>
  <c r="E28" i="6"/>
  <c r="F28" i="6"/>
  <c r="C28" i="6"/>
  <c r="B8" i="30" l="1"/>
  <c r="B9" i="30" s="1"/>
  <c r="B10" i="30" s="1"/>
  <c r="B11" i="30" s="1"/>
  <c r="B12" i="30" s="1"/>
  <c r="B13" i="30" s="1"/>
  <c r="B14" i="30" s="1"/>
  <c r="B15" i="30" s="1"/>
  <c r="B16" i="30" s="1"/>
  <c r="B17" i="30" s="1"/>
  <c r="B18" i="30" s="1"/>
  <c r="M19" i="13"/>
  <c r="I12" i="7" l="1"/>
  <c r="C18" i="6" l="1"/>
  <c r="G13" i="6" l="1"/>
  <c r="H13" i="6" s="1"/>
  <c r="G47" i="6"/>
  <c r="E37" i="7" s="1"/>
  <c r="J3" i="31" l="1"/>
  <c r="J3" i="30"/>
  <c r="J3" i="29"/>
  <c r="J3" i="28"/>
  <c r="J3" i="27"/>
  <c r="J3" i="26"/>
  <c r="J3" i="25"/>
  <c r="J3" i="13"/>
  <c r="G19" i="6" l="1"/>
  <c r="G63" i="6" l="1"/>
  <c r="G62" i="6"/>
  <c r="H62" i="6" s="1"/>
  <c r="G61" i="6"/>
  <c r="G55" i="6"/>
  <c r="G56" i="6"/>
  <c r="G57" i="6" l="1"/>
  <c r="D18" i="6"/>
  <c r="E18" i="6"/>
  <c r="F18" i="6"/>
  <c r="G21" i="6" l="1"/>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A6" i="31"/>
  <c r="J51" i="31" s="1"/>
  <c r="Q79" i="30"/>
  <c r="P79" i="30"/>
  <c r="O79" i="30"/>
  <c r="M79" i="30"/>
  <c r="Q64" i="30"/>
  <c r="P64" i="30"/>
  <c r="O64" i="30"/>
  <c r="M64" i="30"/>
  <c r="Q49" i="30"/>
  <c r="P49" i="30"/>
  <c r="O49" i="30"/>
  <c r="M49" i="30"/>
  <c r="Q34" i="30"/>
  <c r="P34" i="30"/>
  <c r="O34" i="30"/>
  <c r="M34" i="30"/>
  <c r="Q19" i="30"/>
  <c r="P19" i="30"/>
  <c r="O19" i="30"/>
  <c r="M19" i="30"/>
  <c r="A6" i="30"/>
  <c r="K66" i="30"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L19" i="13"/>
  <c r="A6" i="13"/>
  <c r="J66" i="13" s="1"/>
  <c r="I13" i="7" l="1"/>
  <c r="I14" i="7"/>
  <c r="I22" i="7"/>
  <c r="I20" i="7"/>
  <c r="I23" i="7"/>
  <c r="I24" i="7"/>
  <c r="I21" i="7"/>
  <c r="I11" i="7"/>
  <c r="I18" i="7"/>
  <c r="I19" i="7"/>
  <c r="H47" i="6"/>
  <c r="J36" i="27"/>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30" i="6"/>
  <c r="E30" i="6"/>
  <c r="F30" i="6"/>
  <c r="C30" i="6"/>
  <c r="G6" i="8"/>
  <c r="D6" i="8"/>
  <c r="B4" i="8"/>
  <c r="A3" i="8"/>
  <c r="A1" i="8"/>
  <c r="G25" i="7"/>
  <c r="E25" i="7"/>
  <c r="G15" i="7"/>
  <c r="E15" i="7"/>
  <c r="B4" i="7"/>
  <c r="A3" i="7"/>
  <c r="A1" i="7"/>
  <c r="A8" i="7" s="1"/>
  <c r="H63" i="6"/>
  <c r="H61" i="6"/>
  <c r="G52" i="6"/>
  <c r="G51" i="6"/>
  <c r="G50" i="6"/>
  <c r="H50" i="6" s="1"/>
  <c r="G49" i="6"/>
  <c r="H49" i="6" s="1"/>
  <c r="G48" i="6"/>
  <c r="G46" i="6"/>
  <c r="H46" i="6" s="1"/>
  <c r="G45" i="6"/>
  <c r="H45" i="6" s="1"/>
  <c r="G44" i="6"/>
  <c r="H44" i="6" s="1"/>
  <c r="G41" i="6"/>
  <c r="H41" i="6" s="1"/>
  <c r="G40" i="6"/>
  <c r="H40" i="6" s="1"/>
  <c r="G39" i="6"/>
  <c r="H39" i="6" s="1"/>
  <c r="G38" i="6"/>
  <c r="H38" i="6" s="1"/>
  <c r="G37" i="6"/>
  <c r="H37" i="6" s="1"/>
  <c r="G36" i="6"/>
  <c r="H36" i="6" s="1"/>
  <c r="G31" i="6"/>
  <c r="H31" i="6" s="1"/>
  <c r="G29" i="6"/>
  <c r="G28" i="6"/>
  <c r="H28" i="6" s="1"/>
  <c r="G27" i="6"/>
  <c r="G26" i="6"/>
  <c r="H26" i="6" s="1"/>
  <c r="G20" i="6"/>
  <c r="H20" i="6" s="1"/>
  <c r="G15" i="6"/>
  <c r="H15" i="6" s="1"/>
  <c r="G14" i="6"/>
  <c r="G12" i="6"/>
  <c r="H12" i="6" s="1"/>
  <c r="G11" i="6"/>
  <c r="G10" i="6"/>
  <c r="G9" i="6"/>
  <c r="G8" i="6"/>
  <c r="H48" i="6" l="1"/>
  <c r="E38" i="7"/>
  <c r="I15" i="7"/>
  <c r="D10" i="8"/>
  <c r="H29" i="6"/>
  <c r="D13" i="8"/>
  <c r="H32" i="6"/>
  <c r="I25" i="7"/>
  <c r="D11" i="8"/>
  <c r="H27" i="6"/>
  <c r="E35" i="7"/>
  <c r="H35" i="7" s="1"/>
  <c r="H37" i="7"/>
  <c r="E39" i="7"/>
  <c r="H39" i="7" s="1"/>
  <c r="H38" i="7"/>
  <c r="G26" i="7"/>
  <c r="G18" i="6"/>
  <c r="H21" i="6" s="1"/>
  <c r="G30" i="6"/>
  <c r="E26" i="7"/>
  <c r="E36" i="7"/>
  <c r="H36" i="7" s="1"/>
  <c r="D9" i="8"/>
  <c r="G9" i="8"/>
  <c r="A33" i="7"/>
  <c r="A45" i="7" s="1"/>
  <c r="I26" i="7" l="1"/>
  <c r="H8" i="6"/>
  <c r="H19" i="6"/>
  <c r="H10" i="6"/>
  <c r="G10" i="8"/>
  <c r="G11" i="8"/>
  <c r="H14" i="6"/>
  <c r="G13" i="8"/>
  <c r="H11" i="6"/>
  <c r="H9" i="6"/>
</calcChain>
</file>

<file path=xl/sharedStrings.xml><?xml version="1.0" encoding="utf-8"?>
<sst xmlns="http://schemas.openxmlformats.org/spreadsheetml/2006/main" count="1826" uniqueCount="498">
  <si>
    <t>Add company logo</t>
  </si>
  <si>
    <t>Version 22.2</t>
  </si>
  <si>
    <t>Add photo</t>
  </si>
  <si>
    <t>Notes:</t>
  </si>
  <si>
    <t>This template may require adjustments by individual operators to meet specific reporting requirements as defined in the site Permit(s)</t>
  </si>
  <si>
    <t>Annual Performance Report 2022</t>
  </si>
  <si>
    <t>Permit EPR/JP3135DK</t>
  </si>
  <si>
    <t>Kemsley Generating Station</t>
  </si>
  <si>
    <t>K3 CHP</t>
  </si>
  <si>
    <t>enfinium K3 CHP Operations Limited</t>
  </si>
  <si>
    <t>Year:</t>
  </si>
  <si>
    <t>Address:</t>
  </si>
  <si>
    <t>Barge Way, Sittingbourne, Kent, ME10 2FP</t>
  </si>
  <si>
    <t xml:space="preserve">Tel: </t>
  </si>
  <si>
    <t>01795 685 740</t>
  </si>
  <si>
    <t xml:space="preserve">Email: </t>
  </si>
  <si>
    <t>fiona.gormley@enfinium.co.uk</t>
  </si>
  <si>
    <t>Prepared by:</t>
  </si>
  <si>
    <t>Fiona Gormley</t>
  </si>
  <si>
    <t>Position:</t>
  </si>
  <si>
    <t>SHEQ Coordinator</t>
  </si>
  <si>
    <t>Approved by:</t>
  </si>
  <si>
    <t>Jonathan Farebrother</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</si>
  <si>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</si>
  <si>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</si>
  <si>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</si>
  <si>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</si>
  <si>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</si>
  <si>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</si>
  <si>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</si>
  <si>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</si>
  <si>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</si>
  <si>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</si>
  <si>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</si>
  <si>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</si>
  <si>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</si>
  <si>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</si>
  <si>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</si>
  <si>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</si>
  <si>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</si>
  <si>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</si>
  <si>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Carbon Dioxide Emissions</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</si>
  <si>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</si>
  <si>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</si>
  <si>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</si>
  <si>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</si>
  <si>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</si>
  <si>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</si>
  <si>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</si>
  <si>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</si>
  <si>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</si>
  <si>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</si>
  <si>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</si>
  <si>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</si>
  <si>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</si>
  <si>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All</t>
  </si>
  <si>
    <t>Final Report Version 1</t>
  </si>
  <si>
    <t>Distribution</t>
  </si>
  <si>
    <t>Copy</t>
  </si>
  <si>
    <t>Name, Role</t>
  </si>
  <si>
    <t>No.</t>
  </si>
  <si>
    <t>InstallationsKSLES@environment-agency.gov.uk - Regulator (EA)</t>
  </si>
  <si>
    <t>Jonathan.Farebrother@enfinium.co.uk - Plant Manager</t>
  </si>
  <si>
    <t>Fiona.Gormley@enfinium.co.uk - SHEQ Coordinator (Acting Environmental Manager)</t>
  </si>
  <si>
    <t>Stewart.Davies@enfinium.co.uk - Senior Environment &amp; Sustainability Advisor</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</si>
  <si>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</si>
  <si>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 xml:space="preserve"> </t>
  </si>
  <si>
    <t>Plant Description and Design</t>
  </si>
  <si>
    <r>
      <t>The Kemsley Energy Recovery Facility (ERF) forms part of the Kemsley Paper Mill installation comprising of the DS Smith Kemsley Paper Mill and the E.On combined heat and power facility. It is located at grid reference 592170,166640 to the east of Kemsley, 3 km north of Sittingbourne and 2.5 km south east of Iwade.
The installation consists of two combustion lines and processes up to 657,000 tonnes of residual waste per annum (tpa); primarily commercial and industrial (C&amp;I) waste and residual Municipal Solid Waste (MSW) which is collected and delivered by external private waste management companies.  
Energy is recovered in the process by utalising the steam generated in the boiler to drive a turbine to generate electricity. Approximately</t>
    </r>
    <r>
      <rPr>
        <sz val="10"/>
        <rFont val="Arial"/>
        <family val="2"/>
      </rPr>
      <t xml:space="preserve"> 45MW of electricity can be exported to grid per hour and 55MWth per hour o</t>
    </r>
    <r>
      <rPr>
        <sz val="10"/>
        <color theme="1"/>
        <rFont val="Arial"/>
        <family val="2"/>
      </rPr>
      <t>f steam can be supplied to neighbouring businesses (the paper mill when it is running at capacity). Recycable materials in the form of incinerator bottom ash (IBA) and metals from the IBA are also recobvered from the process. 
The existing permit (Permit number EPR/JP3135DK) allows the facility to accept municipal, industrial and commercial waste and undertake the following activities:
•	Receipt and storage of waste pending processing;
•	Electricity and steam generation; and
•	Disposal of waste arising (incinerator bottom ash (IBA) and air pollution control residues (APCR).</t>
    </r>
  </si>
  <si>
    <t xml:space="preserve">Include summary of plant design, design capacity, no. of combustion lines, electrical and heat capacity and any other general information that descibes the facility, its location and purpose </t>
  </si>
  <si>
    <t>Summary of Operational Processes and Procedures</t>
  </si>
  <si>
    <t>Municipal solid wastes and commercial wastes accepted at the installation are delivered in covered vehicles or containers. All vehicles delivering the waste are weighed in at the weighbridge before entering the Tipping Hall and being allowed to discharge waste.
The residual waste is discharged onto the tipping hall floor and pushed into the bunker using mobile and is utilised as feedstock for the ERF. The waste in the bunker is mixed with a crane to create a homogenous feedstock and to prevent anaerobic conditions and hence odour.
Waste is loaded into the incinerator, using the crane, via the feed hopper. The facility processes waste using air cooled, moving grate technology. The grate is split into 5 zones; zone 1 is the drying zone; 2-3 are the main combustion zones and 4-5 are the burn out zones. Primary and secondary air supply is controlled to ensure good combustion conditions, additional support in combustion is provided through tertiary air injection. A temperature of at least 850°C for at least 2 seconds (T2S) is achieved.
After the waste has been burned the remaining unburnt material, called incinerator bottom ash (IBA) is quenched in water. The bottom ash is transported by conveyor to an indoor storage area. The IBA is stored here until it is sent off site to a suitably licensed waste treatment facility for re-processing/recovery.
The flue gas is treated within the dry Flue Gas Treatment (FGT) system to reduce the level of pollutants emitted and to comply with the requirements of the Industrial Emissions Directive (IED) and the Environmental Permit. Oxides of Nitrogen (NOx) are abated using dry urea; acid gases such as Hydrogen Chloride (HCl) and Sulphur Dioxins (SO2) are abated using hydrated lime injection. For dioxins and mercury, Powdered Activated Carbon (PAC) abatement is used. Fabric bag filters are utilised for the abatement of particulate matter and also to collect the by-products from both reactions known as Air Pollution Control Residue (APCR) which is transferred to a silo then to a tanker (or sealed bags are sometimes used) for removal from the facility and disposal at a suitably licenced premises. 
Following clean up, the flue gas is emitted to air through the 90m high stack. The flue gases entering the stack are continuously monitored for HCl, SO2, TOC, CO, NOx, NH3 and Particulates against limits as laid down in the Environmental Permit.
The heat from the combustion process is used to turn water into high-pressure steam, that steam then powers a turbine to generate electricity for internal use and for export to the National Grid. The facility also has combined heat and power (CHP) capability and supplies the adjacent DS Smith paper mill with steam. Spent steam from the turbine is converted back to condensate in an air-cooled condenser, which feeds back into the condensate tank. The facility is designed to export approximately 45MW of electricity to the grid, and 55 MWth of steam to the paper mill when it is running at capacity.
The facility is certified to ISO 45001, 9001 and 14001 and operates an accredited Management System housing the processes and procedures to be followed. The facility has procedures in place including emergency procedures, operating instructions, method statements and risk assessments. All health, safety and environmental incidents, events and resulting investigations and actions are managed within the companies EHS reporting system.
The facility has a Computer Maintenance Management System (CMMS) in place housing all maintenance tasks and defect reporting. Planned outages take place at specified intervals to allow for boiler cleaning, statutory and essential maintenance to maintain plant reliability and efficiency.</t>
  </si>
  <si>
    <t>Include summary of key processes and procedures such as (but not limited to); waste reception, control rooms, grate, bed and boiler, energy &amp; heat  generation, cooling systems, residue management, emission controls, health and safety systems, maintenance</t>
  </si>
  <si>
    <t>Summary of Plant Operations and Maintenance during the reporting year</t>
  </si>
  <si>
    <t>The plant availability for 2022 was comparable with 2021 with slightly increased turbine availability. There was an increase in thermal energy produced delivering more steam energy to D.S. Smith. A reduction in the calorific value of the waste was observed in the second half of the year resulted in an increased throughput compared to 2021. The facility continues to maintain safe and environmentally compliant operations in accordance with the management system and legal requirements.
Detailed PPM (planned preventative maintenance) processes, in line with equipment manufacturers recommendations, are in place and managed within the companies CMMS (Computerised Maintenance management System).
Three planned maintenance outages were completed successfully and on schedule in 2022. In addition to the routine maintenance tasks and statutory inspections, 170m2 of boiler tubes were exchanged and coated to aid in the reduction of unplanned downtime due to tube leaks and improve plant availability. 
Legacy defects continue to be managed from the construction phase.</t>
  </si>
  <si>
    <t xml:space="preserve">Include summary of key operational and/or mainteanance activity undertaken in the year, such as any major component upgrades and/or replacements </t>
  </si>
  <si>
    <t>Summary of Residue Handling for the reporting year</t>
  </si>
  <si>
    <t>The residues produced from the incineration process include Incinerator Bottom Ash (IBA) and Air Pollution Control Residues (APCR). The facility has procedures in place as part of the management system for the handling of such residues.
The IBA is sampled and sent to an approved testing laboratory twice a month and for a full hazard analysis once per quarter in accordance with the Environmental Permit. All hazard analysis results have demonstrated the IBA to be non-hazardous. IBA is sent for re-processing at Fortis IBA (Andover), a fully licenced site, where the metals are removed and the IBA is used to produce construction materials.
APCR is sampled and tested by the same approved laboratory once per quarter. Due to the inevitable hazardous nature of the APCR it is sent to Augean (Peterborough) where it is treated and landfilled. enfinium continue to investigate opportunities for recycling of this material.
All testing of residues in carried out in accordance with the Industrial Emissions Directive and the ESA sampling and testing protocol.</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</si>
  <si>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</si>
  <si>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</si>
  <si>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</si>
  <si>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</si>
  <si>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</si>
  <si>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</si>
  <si>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</si>
  <si>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01st Jan 2022</t>
  </si>
  <si>
    <t>to:</t>
  </si>
  <si>
    <t>31st Dec 2022</t>
  </si>
  <si>
    <t>Annual Reporting of Waste Disposal and Recovery</t>
  </si>
  <si>
    <t>Waste Description</t>
  </si>
  <si>
    <t>Disposal Route(s)</t>
  </si>
  <si>
    <t>Disposal Tonnes</t>
  </si>
  <si>
    <t>Recovery Tonnes</t>
  </si>
  <si>
    <t>% / tonne of waste incinerated</t>
  </si>
  <si>
    <t>1) Hazardous Wastes</t>
  </si>
  <si>
    <t>APC Residues - 19 01 07*</t>
  </si>
  <si>
    <t>D09</t>
  </si>
  <si>
    <t>IBA</t>
  </si>
  <si>
    <t>-</t>
  </si>
  <si>
    <t>16 01 14 (Antifreeze)</t>
  </si>
  <si>
    <t>16 10 01 (Aq. Liquid cont. Haz)</t>
  </si>
  <si>
    <t>Total Hazardous Waste</t>
  </si>
  <si>
    <t>2) Non-Hazardous Wastes</t>
  </si>
  <si>
    <t>IBA - 19 01 12</t>
  </si>
  <si>
    <t>R11</t>
  </si>
  <si>
    <t>19 12 02 (Ferrous Metal)</t>
  </si>
  <si>
    <t>R04</t>
  </si>
  <si>
    <t>16 10 02 (Aq. Liquid)</t>
  </si>
  <si>
    <t>15 01 06 (Mixed Packaging)</t>
  </si>
  <si>
    <t>R05</t>
  </si>
  <si>
    <t>19 12 12 (Other Waste, oversize)</t>
  </si>
  <si>
    <t>20 01 38 (Wood)</t>
  </si>
  <si>
    <t>R03</t>
  </si>
  <si>
    <t xml:space="preserve">20 03 01 (Municipal)  </t>
  </si>
  <si>
    <t>R01</t>
  </si>
  <si>
    <t>Total Non-Hazardous Waste</t>
  </si>
  <si>
    <t>TOTAL WASTE</t>
  </si>
  <si>
    <t>Operator’s comments :</t>
  </si>
  <si>
    <t>Annual Reporting of Water and Other Raw Material Usage</t>
  </si>
  <si>
    <t>Raw Material</t>
  </si>
  <si>
    <t>Usage</t>
  </si>
  <si>
    <t>Unit</t>
  </si>
  <si>
    <t>Specific Usage</t>
  </si>
  <si>
    <t>Mains Water</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</si>
  <si>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</si>
  <si>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</si>
  <si>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</si>
  <si>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</si>
  <si>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</si>
  <si>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</si>
  <si>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Activated Carbon</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</si>
  <si>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</si>
  <si>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</si>
  <si>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</si>
  <si>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</si>
  <si>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</si>
  <si>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</si>
  <si>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</si>
  <si>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</si>
  <si>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</si>
  <si>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</si>
  <si>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</si>
  <si>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</si>
  <si>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</si>
  <si>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</si>
  <si>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K3 facility operates 2 lines (2 boilers and 2 emission points) with 1 common turbine. </t>
  </si>
  <si>
    <t xml:space="preserve">Signed: </t>
  </si>
  <si>
    <t>F. Gormley</t>
  </si>
  <si>
    <t>Date:</t>
  </si>
  <si>
    <t xml:space="preserve"> Annual Reporting of Energy Usage/Export</t>
  </si>
  <si>
    <t>Energy 1</t>
  </si>
  <si>
    <t>Energy Source</t>
  </si>
  <si>
    <t>Energy Usage</t>
  </si>
  <si>
    <t>Specific Useage (KWh/tonne incinerated</t>
  </si>
  <si>
    <t>Electricity Produced</t>
  </si>
  <si>
    <t>MWh</t>
  </si>
  <si>
    <t xml:space="preserve">Electricity Imported   </t>
  </si>
  <si>
    <t>Electricity Exported</t>
  </si>
  <si>
    <t>Gas Oil</t>
  </si>
  <si>
    <t>tonnes</t>
  </si>
  <si>
    <t>Steam/hot water exported</t>
  </si>
  <si>
    <t>GWh</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</si>
  <si>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</si>
  <si>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</si>
  <si>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</si>
  <si>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</si>
  <si>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</si>
  <si>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</si>
  <si>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</si>
  <si>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</si>
  <si>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</si>
  <si>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</si>
  <si>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Q1</t>
  </si>
  <si>
    <t>Q2</t>
  </si>
  <si>
    <t>Q3**</t>
  </si>
  <si>
    <t>Q4</t>
  </si>
  <si>
    <t>Year Total</t>
  </si>
  <si>
    <t>%</t>
  </si>
  <si>
    <t>Household / Local Authority</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</si>
  <si>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</si>
  <si>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</si>
  <si>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</si>
  <si>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</si>
  <si>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</si>
  <si>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</si>
  <si>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</si>
  <si>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</si>
  <si>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</si>
  <si>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</si>
  <si>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</si>
  <si>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</si>
  <si>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*Total waste combusted = Total waste processed from midnight readings derived from crane weight data.</t>
  </si>
  <si>
    <t>**25.62tonnes less than reported in Q3 returns due to a duplicate ticket correction</t>
  </si>
  <si>
    <t>Energy Useage / Export</t>
  </si>
  <si>
    <t>Q3</t>
  </si>
  <si>
    <t>KWh/te</t>
  </si>
  <si>
    <t>Power Generated</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</si>
  <si>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</si>
  <si>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</si>
  <si>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</si>
  <si>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</si>
  <si>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</si>
  <si>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</si>
  <si>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</si>
  <si>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</si>
  <si>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</si>
  <si>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</si>
  <si>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</si>
  <si>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</si>
  <si>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</si>
  <si>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</si>
  <si>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</si>
  <si>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ltrs</t>
  </si>
  <si>
    <t>Other Water</t>
  </si>
  <si>
    <t>Ammonia</t>
  </si>
  <si>
    <t>kgs</t>
  </si>
  <si>
    <t>Urea</t>
  </si>
  <si>
    <t>Lime / hydrated lime</t>
  </si>
  <si>
    <t>Fuel oil</t>
  </si>
  <si>
    <t>Gas</t>
  </si>
  <si>
    <t>cf</t>
  </si>
  <si>
    <t xml:space="preserve">Summary </t>
  </si>
  <si>
    <t>Line/Unit</t>
  </si>
  <si>
    <t xml:space="preserve">Hrs in year </t>
  </si>
  <si>
    <t>Availability of waste combustion by line, hrs</t>
  </si>
  <si>
    <t>Overall Availability, mean avg. of all lines, hrs, hrs</t>
  </si>
  <si>
    <t>Hours of turbine operations, hrs</t>
  </si>
  <si>
    <t>Hours of heat / steam export</t>
  </si>
  <si>
    <t>Net Calorific Value of waste*</t>
  </si>
  <si>
    <t>MJ/kg</t>
  </si>
  <si>
    <t xml:space="preserve">*Average per quarter and year total NCV </t>
  </si>
  <si>
    <t>Abnormal Events</t>
  </si>
  <si>
    <t>qty.</t>
  </si>
  <si>
    <t>Abnormal operation</t>
  </si>
  <si>
    <t>hours</t>
  </si>
  <si>
    <t>Permit Breaches</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</si>
  <si>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</si>
  <si>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</si>
  <si>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</si>
  <si>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</si>
  <si>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</si>
  <si>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</si>
  <si>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</si>
  <si>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</si>
  <si>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</si>
  <si>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</si>
  <si>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</si>
  <si>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</si>
  <si>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 95% of 10-min averages</t>
  </si>
  <si>
    <t>Total organic carbon</t>
  </si>
  <si>
    <t>Hydrogen chloride</t>
  </si>
  <si>
    <t>Hydrogen fluoride</t>
  </si>
  <si>
    <t>Overall</t>
  </si>
  <si>
    <t>Summary of any notifications or non-compliances under the permit</t>
  </si>
  <si>
    <t>Summary of notification or non-compliance [including Line/Reference]</t>
  </si>
  <si>
    <t xml:space="preserve">Reason </t>
  </si>
  <si>
    <t>Measures taken to prevent reoccurrence</t>
  </si>
  <si>
    <t>09.02.2022</t>
  </si>
  <si>
    <t>Schedual 5 (a) notification for steam release to atmosphe from expansion flaps.</t>
  </si>
  <si>
    <t>A tube leak on Line 1 led to an increase in boiler pressure tripping the boiler. As a result of the increase in chamber pressure two of the expansion flaps on the boiler roof opened to relieve the pressure, releasing steam to atmosphere.</t>
  </si>
  <si>
    <t>The root cause was the tube leak which is an unplanned, emergency event. The expansion flaps reales by design as an an emergency safety feature in order to reduce chamber pressure. In this instance the release could not be prevented without compromising safety.</t>
  </si>
  <si>
    <t>11.05.22</t>
  </si>
  <si>
    <t>Schedual 5 (b) notification for exceedance of the ELV for Dioxins.</t>
  </si>
  <si>
    <t>During the round of monitoring on 1 April 2022, Dioxins and Furans exceeded the emission limit value, no conclusive reason for the elevated concentration could be identified by enfinium or the testing laboratory. All other required parameters were monitored in April and were below the emissions limit values (ELVs) specified in the permit.</t>
  </si>
  <si>
    <t>The result was an anomoly for the facility with no similarly elevated concentrations during any previous monitoring campaigns being recorded. A retest was conducted demonstrating normal dioxin levels for the facility below the ELV.</t>
  </si>
  <si>
    <t>16.09.22</t>
  </si>
  <si>
    <t>10.10.22</t>
  </si>
  <si>
    <t>Pressurised containers in the system from the waste resulted in a sudden increase in boiler pressure causing one (of three) installed expansion flaps on the boiler roof to open (emergency safety feature) to relieve the pressure.</t>
  </si>
  <si>
    <t>Fuel suppliers alerted with a stern message and reminded of what constitutes unacceptable waste. Incoming waste closely monitored with increased waste inspections. Staff will be to increase awareness of retrieving pressurised containers from the waste before they enter the system.   
The opening of the expansion flaps is an emergency safety feature and hence the opening of these cannot be predicted or fully prevented in the future.</t>
  </si>
  <si>
    <t>22.12.2022</t>
  </si>
  <si>
    <r>
      <t>A tube leak on Line 1 led to an increase in boiler pressure tripping the boiler. As a result of the increase in chamber pressure</t>
    </r>
    <r>
      <rPr>
        <sz val="10"/>
        <rFont val="Arial"/>
        <family val="2"/>
      </rPr>
      <t xml:space="preserve"> two</t>
    </r>
    <r>
      <rPr>
        <sz val="10"/>
        <color theme="1"/>
        <rFont val="Arial"/>
        <family val="2"/>
      </rPr>
      <t xml:space="preserve"> of the expansion flaps on the boiler roof opened to relieve the pressure, releasing steam to atmosphere.</t>
    </r>
  </si>
  <si>
    <t>Summary of any complaints received and actions to taken to resolve them.</t>
  </si>
  <si>
    <t>Summary of complaint [including Line/Reference]</t>
  </si>
  <si>
    <t>Reason *</t>
  </si>
  <si>
    <t>No complaits received in 2022</t>
  </si>
  <si>
    <t>* including whether substantiated by the operator or the EA</t>
  </si>
  <si>
    <t>Summary of Plant Improvements</t>
  </si>
  <si>
    <t>Summary of any efficiency improvements that have been completed within the year.</t>
  </si>
  <si>
    <t xml:space="preserve">Modifications have been made to the ash discharging system allowing for the safe clearing of blockages without the need to interrupt boiler operations. The resulting benefit of the modifications is reduced downtime, lower diesel oil consumption and improved efficiency in running the plant.
During the planned outages a programme of Inconel coating application to boiler tubes has been carried out. This coating increases the resistance to corrosion and reducing downtime caused by tubes leaks. This in turn increases the availability of the plant with less downtime and re-heating of the plant meaning more efficient operations. 
The Kemsley facility continues to operate with an approved R1 Status.
</t>
  </si>
  <si>
    <t>Summary of any permit improvement conditions that have been completed within the year and the resulting environmental benefits.</t>
  </si>
  <si>
    <t xml:space="preserve">Summary the IC status:
- IC1 - Environmental Management System - Submitted 15/07/2021, Discharged 22/07/2021.  
- IC2 - Commissioning Report - Submitted 04/01/2021, Discharged 02/11/2021.
- IC3 - Performance and Optimisation of the SNCR System - Submitted 21/12/2021, EA requested further            information and it has been agreed this will be submitted as part of IC8 within the new permit.
- IC4 - Air dispersion Modeling - Submitted 08/10/2021, Awaiting response from EA.
- IC5 - T2S (Residence Time) Testing Report - Submittted 04/12/2020, Discharged 06/08/2021.
- IC6 - Review of Energy Efficiency Measures - Submitted 25/08/2021, Awaiting EA Response. 
- IC7 - Incineration of Sludges - Submitted 25/08/2021, Discharged 31/10/2022.
These submissions provide evidence that the plant has been installed and operated as per design/ permit requirements.
</t>
  </si>
  <si>
    <t>Summary of any changes to the plant or operating techniques which required a variation to the permit and a summary of the resulting environmental impact.</t>
  </si>
  <si>
    <t>No changes to plant or operating techniques requiring a variation application in 2022.</t>
  </si>
  <si>
    <t>Summary of any other improvements made to the plant or planned to be made and a summary of the resulting environmental benefits.</t>
  </si>
  <si>
    <t>A second standby Continuous Emissions Measurement System (CEMS) has been installed meaning the facility now has four CEMS, a duty and a standby on each line enabling 100% redundancy. This will provide full coverage ensuring no data is lost during malfunction of duty CEMS on either combustion lines. 
All required testing and trails in accordance with the BREF and new permit is underway and on track for completion by the set dates.</t>
  </si>
  <si>
    <t>Details of Public &amp; Stakeholder Liaison</t>
  </si>
  <si>
    <t>Summary of events held during the reporting year.</t>
  </si>
  <si>
    <t>Description</t>
  </si>
  <si>
    <t>Monthly</t>
  </si>
  <si>
    <r>
      <t xml:space="preserve">Project meeting with local businesses </t>
    </r>
    <r>
      <rPr>
        <i/>
        <sz val="10"/>
        <rFont val="Arial"/>
        <family val="2"/>
      </rPr>
      <t>(including DS Smith, E.On, FGS, MVV, McLaren Dalcour, Swale Local Council, Kent Council, Sea Terminals Ridham and other local businesses)</t>
    </r>
    <r>
      <rPr>
        <sz val="10"/>
        <rFont val="Arial"/>
        <family val="2"/>
      </rPr>
      <t>.</t>
    </r>
  </si>
  <si>
    <t xml:space="preserve">Quarterly </t>
  </si>
  <si>
    <t>Environmental meeting with DS Smith and E.On.</t>
  </si>
  <si>
    <t>List of events planned for next year</t>
  </si>
  <si>
    <r>
      <t xml:space="preserve">If you wish to be involved in the public liaison programme, please contact: </t>
    </r>
    <r>
      <rPr>
        <sz val="11"/>
        <color theme="1"/>
        <rFont val="Arial"/>
        <family val="2"/>
      </rPr>
      <t>enfinium Kemsley (01795 685 740)</t>
    </r>
  </si>
  <si>
    <t>Carbon dioxide emissions and biogenic content of waste inputs</t>
  </si>
  <si>
    <r>
      <t xml:space="preserve">Carbon dioxide emissions </t>
    </r>
    <r>
      <rPr>
        <sz val="12"/>
        <color theme="1"/>
        <rFont val="Arial"/>
        <family val="2"/>
      </rPr>
      <t>(all types of plant)</t>
    </r>
  </si>
  <si>
    <t>Annual mass of carbon dioxide released</t>
  </si>
  <si>
    <t xml:space="preserve">566,353 tonnes </t>
  </si>
  <si>
    <t>Annual mass of carbon dioxide released per tonne of waste burned</t>
  </si>
  <si>
    <t xml:space="preserve">1.04 tonnes </t>
  </si>
  <si>
    <t>Annual mass of carbon dioxide released per MWh of energy exported</t>
  </si>
  <si>
    <t xml:space="preserve">0.84 tonnes </t>
  </si>
  <si>
    <t>Description of how annual carbon dioxide mass emission has been calculated</t>
  </si>
  <si>
    <t>Mesured using calibrated CEMS</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</si>
  <si>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</si>
  <si>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</si>
  <si>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</si>
  <si>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 xml:space="preserve">34.27 tonnes </t>
  </si>
  <si>
    <t>Description of how annual nitrous oxide mass emission has been calculated</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</si>
  <si>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</si>
  <si>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</si>
  <si>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576,565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</si>
  <si>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</si>
  <si>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</si>
  <si>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</si>
  <si>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Bioma</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</si>
  <si>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</si>
  <si>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</si>
  <si>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</si>
  <si>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</si>
  <si>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</si>
  <si>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</si>
  <si>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</si>
  <si>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 xml:space="preserve">The residues produced from the process include Incinerator Bottom Ash (IBA) and Air Pollution Control Residues (APCR). 
The IBA is sampled and sent to an approved testing laboratory twice a month for analysis and both the IBA and APCR are sent for a full hazard analysis once per quarter. All hazard analysis results have demonstrated the IBA to be non-hazardous, APCR is hazardous by nature and disposed of accordingly. 
All testing of residues in carried out in accordance with the Industrial Emissions Directive and the ESA sampling and testing protocol. </t>
  </si>
  <si>
    <t>Commentary on any specific events</t>
  </si>
  <si>
    <t>Date &amp; Event</t>
  </si>
  <si>
    <t>01/01/2022 - 31/12/2022</t>
  </si>
  <si>
    <t>No specific events, all IBA for 2022 was classed as non-hazardous.</t>
  </si>
  <si>
    <t>Residue Quality Monitoring Results</t>
  </si>
  <si>
    <t xml:space="preserve">Parameter (unit) </t>
  </si>
  <si>
    <t>Limit</t>
  </si>
  <si>
    <t xml:space="preserve">Normal Operation </t>
  </si>
  <si>
    <t xml:space="preserve">Bottom ash  </t>
  </si>
  <si>
    <t>APC Residues</t>
  </si>
  <si>
    <t>Loss on Ignition (average %)</t>
  </si>
  <si>
    <t>&lt;5%</t>
  </si>
  <si>
    <t>2022 Average = 2%</t>
  </si>
  <si>
    <t>Total Organic Carbon (average %)</t>
  </si>
  <si>
    <t>&lt;3%</t>
  </si>
  <si>
    <t>2022 Average = 0.57%</t>
  </si>
  <si>
    <t>No. of Assessments Undertaken</t>
  </si>
  <si>
    <t>---</t>
  </si>
  <si>
    <t>No. of Hazardous Results</t>
  </si>
  <si>
    <t>Comments :</t>
  </si>
  <si>
    <t>LOI and TOC for the IBA are an average of the 24 samples taken in 2022, no samples exceeded the set limits within the Environmental Permit.
All samples were sent for analysis at a fully accredited laboratory.</t>
  </si>
  <si>
    <t xml:space="preserve">Water balance is achived by a attenuation pond for rainwater with a closed penstock which can emit to the Swale. Regular visual inspections to check for hydrocarbons and particulate are conducted. The penstock requires manual operation and would only be operated following heavy rainfall to prevent flooding, in which case additional inspections and pH testing would be conducted. 
</t>
  </si>
  <si>
    <t>No events in 2022.</t>
  </si>
  <si>
    <t>Emissions to Water / Sewer</t>
  </si>
  <si>
    <t>Monitoring Frequency</t>
  </si>
  <si>
    <t>Target</t>
  </si>
  <si>
    <t>Max.</t>
  </si>
  <si>
    <t>Average</t>
  </si>
  <si>
    <t xml:space="preserve">None set in any permits or consents </t>
  </si>
  <si>
    <t>Emissions to Air (Periodically Monitored)</t>
  </si>
  <si>
    <t>Summary of monitoring undertaken, standards used and compliance</t>
  </si>
  <si>
    <t>Results are below set limits where applicable and comparable with the results from 2022, with the exception of 1 untypical dioxin result (see comments). Sampling and analysis was carried out by MCERTS certified contractors in accordance with the appropriate standards.</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</si>
  <si>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</si>
  <si>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</si>
  <si>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</si>
  <si>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</si>
  <si>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</si>
  <si>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L1 Q1</t>
  </si>
  <si>
    <t>L1 Q3</t>
  </si>
  <si>
    <t>L1 Annual Average</t>
  </si>
  <si>
    <t>L2 Q1</t>
  </si>
  <si>
    <t>L2 Q3</t>
  </si>
  <si>
    <t>L2 Annual Average</t>
  </si>
  <si>
    <t>Both Line Annual Average</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</si>
  <si>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</si>
  <si>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</si>
  <si>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</si>
  <si>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</si>
  <si>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</si>
  <si>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</si>
  <si>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</si>
  <si>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</si>
  <si>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</si>
  <si>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</si>
  <si>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*see comment</t>
  </si>
  <si>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</si>
  <si>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</si>
  <si>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</si>
  <si>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</si>
  <si>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</si>
  <si>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</si>
  <si>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</si>
  <si>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</si>
  <si>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</si>
  <si>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</si>
  <si>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</si>
  <si>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</si>
  <si>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</si>
  <si>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</si>
  <si>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</si>
  <si>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</si>
  <si>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</si>
  <si>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</si>
  <si>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</si>
  <si>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</si>
  <si>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</si>
  <si>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</si>
  <si>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</si>
  <si>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</si>
  <si>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*Dioxin retest result used in above figures (in blue). The original result of 1.6ng/m3 was not typical for the facility and no route cause could be indentified by the facility or test laboratory. This was reported, investigated and then scored by the Environment Agency in CAR form JP3135DK/0439957.</t>
  </si>
  <si>
    <t>Emissions to Air (continously monitored)</t>
  </si>
  <si>
    <t>Template may require adjustment for any bespoke monitoring requirements of permit</t>
  </si>
  <si>
    <t xml:space="preserve">For 2022 the facility achieve 100% compliance with the limits set in the Environmental Permit for all continiuously monitored determinands.
HCl, SO2, NOx, TOC and CO all have limits set out in the Environmental Permit; these determinands are continuously monitored by CEMS's in compliance with EN 14181. NH3, O2, CO2 and Water Vapour and are also continuously monitored by the CEMS's.
All instruments are QAL1 compliant and undergo annual checks either in the form of a QAL2 or an Annual Surveillance Test compliant with the requirements of EN 14181.
</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</si>
  <si>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</si>
  <si>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</si>
  <si>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</si>
  <si>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</si>
  <si>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</si>
  <si>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</si>
  <si>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</si>
  <si>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</si>
  <si>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</si>
  <si>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</si>
  <si>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</si>
  <si>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</si>
  <si>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</si>
  <si>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</si>
  <si>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</si>
  <si>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</si>
  <si>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</si>
  <si>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</si>
  <si>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</si>
  <si>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</si>
  <si>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</si>
  <si>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</si>
  <si>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K3 facility operates 2 lines (2 boilers and 2 emission points) with 1 common turbine.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</si>
  <si>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</si>
  <si>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</si>
  <si>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</si>
  <si>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</si>
  <si>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</si>
  <si>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</si>
  <si>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</si>
  <si>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</si>
  <si>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</si>
  <si>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</si>
  <si>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</si>
  <si>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</si>
  <si>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</si>
  <si>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</si>
  <si>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</si>
  <si>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</si>
  <si>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</si>
  <si>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</si>
  <si>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</si>
  <si>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</si>
  <si>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</si>
  <si>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</si>
  <si>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</si>
  <si>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</si>
  <si>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</si>
  <si>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</si>
  <si>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</si>
  <si>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</si>
  <si>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</si>
  <si>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</si>
  <si>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</si>
  <si>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</si>
  <si>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</si>
  <si>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</si>
  <si>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</si>
  <si>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</si>
  <si>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</si>
  <si>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</si>
  <si>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</si>
  <si>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</si>
  <si>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</si>
  <si>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</si>
  <si>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</si>
  <si>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</si>
  <si>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</si>
  <si>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</si>
  <si>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t>
  </si>
  <si>
    <t>1/2 Hourly Reference Periods*</t>
  </si>
  <si>
    <t>1/2 hourly CO ELV</t>
  </si>
  <si>
    <t>Daily CO ELV</t>
  </si>
  <si>
    <t>N/A</t>
  </si>
  <si>
    <t>K3 facility operates 2 lines (2 boilers and 2 emission points) with 1 common turbine.
*CO permit complince at this facility is based on 95%ile 10-min avgerage not half hourly averages.</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</si>
  <si>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</si>
  <si>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</si>
  <si>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</si>
  <si>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</si>
  <si>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</si>
  <si>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</si>
  <si>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</si>
  <si>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</si>
  <si>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</si>
  <si>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</si>
  <si>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</si>
  <si>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K3 facility operates 2 lines (2 boilers and 2 emission points) with 1 common turbine.
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</si>
  <si>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</si>
  <si>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</si>
  <si>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</si>
  <si>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K3 facility operates 2 lines (2 boilers and 2 emission points) with 1 common turbine.
*An indicated ELV value of zero in the table above means that no ammonia limit is set in the permit; not that the ELV is 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</si>
</sst>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49" x14ac:knownFonts="1">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
      <sz val="10"/>
      <color rgb="FFFF0000"/>
      <name val="Arial"/>
      <family val="2"/>
    </font>
    <font>
      <sz val="10"/>
      <name val="Arial"/>
      <family val="2"/>
    </font>
    <font>
      <sz val="10"/>
      <color theme="4"/>
      <name val="Arial"/>
      <family val="2"/>
    </font>
    <font>
      <b/>
      <i/>
      <sz val="10"/>
      <color theme="1"/>
      <name val="Arial"/>
      <family val="2"/>
    </font>
    <font>
      <sz val="11"/>
      <name val="Arial"/>
      <family val="2"/>
    </font>
    <font>
      <sz val="8"/>
      <color rgb="FFFF0000"/>
      <name val="Arial"/>
      <family val="2"/>
    </font>
    <font>
      <sz val="10"/>
      <color rgb="FF000000"/>
      <name val="Arial"/>
      <family val="2"/>
    </font>
    <font>
      <sz val="12"/>
      <name val="Arial"/>
      <family val="2"/>
    </font>
    <font>
      <i/>
      <sz val="10"/>
      <name val="Arial"/>
      <family val="2"/>
    </font>
    <font>
      <i/>
      <sz val="8"/>
      <color theme="1"/>
      <name val="Arial"/>
      <family val="2"/>
    </font>
    <font>
      <i/>
      <sz val="11"/>
      <name val="Arial"/>
      <family val="2"/>
    </font>
    <font>
      <sz val="20"/>
      <color theme="1"/>
      <name val="Freestyle Script"/>
      <family val="4"/>
    </font>
    <font>
      <sz val="11"/>
      <name val="Calibri"/>
      <family val="2"/>
      <scheme val="minor"/>
    </font>
    <font>
      <b/>
      <sz val="12"/>
      <color rgb="FF000000"/>
      <name val="Arial"/>
      <family val="2"/>
    </font>
  </fonts>
  <fills count="9">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rgb="FFECECEC"/>
        <bgColor rgb="FFECECEC"/>
      </patternFill>
    </fill>
  </fills>
  <borders count="24">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style="thin">
        <color rgb="FF000000"/>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4" fillId="0" borderId="0" applyNumberFormat="0" applyFill="0" applyBorder="0" applyAlignment="0" applyProtection="0"/>
  </cellStyleXfs>
  <cellXfs count="443">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5" fillId="0" borderId="0" xfId="0" applyFont="1"/>
    <xf numFmtId="0" fontId="16"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8"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8" fillId="5" borderId="2" xfId="0" applyFont="1" applyFill="1" applyBorder="1" applyAlignment="1">
      <alignment horizontal="center"/>
    </xf>
    <xf numFmtId="0" fontId="6" fillId="0" borderId="8" xfId="0" applyFont="1" applyBorder="1" applyAlignment="1">
      <alignment horizontal="left"/>
    </xf>
    <xf numFmtId="0" fontId="20" fillId="0" borderId="0" xfId="0" applyFont="1"/>
    <xf numFmtId="0" fontId="6" fillId="0" borderId="9" xfId="0" applyFont="1" applyBorder="1"/>
    <xf numFmtId="0" fontId="21" fillId="0" borderId="0" xfId="0" applyFont="1"/>
    <xf numFmtId="0" fontId="22" fillId="0" borderId="0" xfId="0" applyFont="1"/>
    <xf numFmtId="0" fontId="23" fillId="0" borderId="0" xfId="0" applyFont="1"/>
    <xf numFmtId="0" fontId="7" fillId="0" borderId="0" xfId="0" applyFont="1" applyAlignment="1">
      <alignment horizontal="center"/>
    </xf>
    <xf numFmtId="0" fontId="25" fillId="0" borderId="0" xfId="0" applyFont="1"/>
    <xf numFmtId="0" fontId="26" fillId="0" borderId="0" xfId="0" applyFont="1"/>
    <xf numFmtId="0" fontId="27" fillId="0" borderId="0" xfId="0" applyFont="1"/>
    <xf numFmtId="0" fontId="22" fillId="0" borderId="0" xfId="0" applyFont="1" applyAlignment="1">
      <alignment horizontal="right"/>
    </xf>
    <xf numFmtId="0" fontId="28" fillId="0" borderId="0" xfId="0" applyFont="1"/>
    <xf numFmtId="0" fontId="29"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2" fontId="6" fillId="0" borderId="2" xfId="0" applyNumberFormat="1" applyFont="1" applyBorder="1"/>
    <xf numFmtId="0" fontId="33" fillId="5" borderId="2" xfId="0" applyFont="1" applyFill="1" applyBorder="1" applyAlignment="1">
      <alignment horizontal="center"/>
    </xf>
    <xf numFmtId="0" fontId="22" fillId="5" borderId="2" xfId="0" applyFont="1" applyFill="1" applyBorder="1" applyAlignment="1">
      <alignment horizontal="center"/>
    </xf>
    <xf numFmtId="0" fontId="33" fillId="0" borderId="2" xfId="0" applyFont="1" applyBorder="1" applyAlignment="1">
      <alignment horizontal="center"/>
    </xf>
    <xf numFmtId="0" fontId="6" fillId="0" borderId="0" xfId="0" applyFont="1" applyAlignment="1">
      <alignment horizontal="right"/>
    </xf>
    <xf numFmtId="164" fontId="1" fillId="2" borderId="7" xfId="1" applyNumberFormat="1" applyFont="1" applyFill="1" applyBorder="1" applyAlignment="1">
      <alignment horizontal="center"/>
    </xf>
    <xf numFmtId="164" fontId="1" fillId="2" borderId="0" xfId="1" applyNumberFormat="1" applyFont="1" applyFill="1" applyAlignment="1">
      <alignment horizontal="center"/>
    </xf>
    <xf numFmtId="164" fontId="1" fillId="2" borderId="12" xfId="1" applyNumberFormat="1" applyFont="1" applyFill="1" applyBorder="1" applyAlignment="1">
      <alignment horizontal="center"/>
    </xf>
    <xf numFmtId="0" fontId="1" fillId="0" borderId="9" xfId="0" applyFont="1" applyBorder="1"/>
    <xf numFmtId="0" fontId="1" fillId="0" borderId="0" xfId="0" applyFont="1"/>
    <xf numFmtId="0" fontId="1" fillId="0" borderId="0" xfId="0" applyFont="1" applyAlignment="1">
      <alignment horizontal="center"/>
    </xf>
    <xf numFmtId="165" fontId="1" fillId="0" borderId="10" xfId="2" applyNumberFormat="1" applyFont="1" applyBorder="1" applyAlignment="1">
      <alignment horizontal="center"/>
    </xf>
    <xf numFmtId="0" fontId="6" fillId="0" borderId="0" xfId="0" applyFont="1" applyAlignment="1">
      <alignment horizontal="left"/>
    </xf>
    <xf numFmtId="0" fontId="6" fillId="0" borderId="0" xfId="0" applyFont="1" applyAlignment="1">
      <alignment horizontal="left" vertical="top"/>
    </xf>
    <xf numFmtId="0" fontId="1" fillId="2" borderId="2" xfId="0" applyFont="1" applyFill="1" applyBorder="1" applyAlignment="1">
      <alignment vertical="center" wrapText="1"/>
    </xf>
    <xf numFmtId="0" fontId="2" fillId="2" borderId="2" xfId="0" applyFont="1" applyFill="1" applyBorder="1" applyAlignment="1">
      <alignment vertical="center"/>
    </xf>
    <xf numFmtId="166" fontId="1" fillId="0" borderId="12" xfId="0" applyNumberFormat="1" applyFont="1" applyBorder="1" applyAlignment="1">
      <alignment horizontal="center"/>
    </xf>
    <xf numFmtId="166" fontId="1" fillId="0" borderId="13" xfId="0" applyNumberFormat="1" applyFont="1" applyBorder="1" applyAlignment="1">
      <alignment horizontal="center"/>
    </xf>
    <xf numFmtId="164" fontId="1" fillId="0" borderId="10" xfId="0" applyNumberFormat="1" applyFont="1" applyBorder="1" applyAlignment="1">
      <alignment horizontal="center"/>
    </xf>
    <xf numFmtId="0" fontId="6" fillId="0" borderId="0" xfId="0" applyFont="1" applyAlignment="1">
      <alignment wrapText="1"/>
    </xf>
    <xf numFmtId="14" fontId="1" fillId="2" borderId="2" xfId="0" applyNumberFormat="1" applyFont="1" applyFill="1" applyBorder="1" applyAlignment="1">
      <alignment horizontal="left" vertical="center"/>
    </xf>
    <xf numFmtId="0" fontId="1" fillId="2" borderId="2" xfId="0" applyFont="1" applyFill="1" applyBorder="1" applyAlignment="1">
      <alignment horizontal="left" vertical="center"/>
    </xf>
    <xf numFmtId="0" fontId="1" fillId="5" borderId="2" xfId="0" applyFont="1" applyFill="1" applyBorder="1" applyAlignment="1">
      <alignment horizontal="center" vertical="center" wrapText="1"/>
    </xf>
    <xf numFmtId="0" fontId="10" fillId="5" borderId="2" xfId="0" applyFont="1" applyFill="1" applyBorder="1" applyAlignment="1">
      <alignment horizontal="center" vertical="center" wrapText="1"/>
    </xf>
    <xf numFmtId="0" fontId="38" fillId="0" borderId="2" xfId="0" applyFont="1" applyBorder="1" applyAlignment="1">
      <alignment horizontal="center" vertical="center" wrapText="1"/>
    </xf>
    <xf numFmtId="0" fontId="38" fillId="5" borderId="2" xfId="0" applyFont="1" applyFill="1" applyBorder="1" applyAlignment="1">
      <alignment horizontal="center" vertical="center" wrapText="1"/>
    </xf>
    <xf numFmtId="0" fontId="37" fillId="5" borderId="2" xfId="0" applyFont="1" applyFill="1" applyBorder="1" applyAlignment="1">
      <alignment horizontal="center" vertical="center" wrapText="1"/>
    </xf>
    <xf numFmtId="0" fontId="37" fillId="0" borderId="0" xfId="0" applyFont="1"/>
    <xf numFmtId="0" fontId="40" fillId="0" borderId="0" xfId="0" applyFont="1"/>
    <xf numFmtId="164" fontId="1" fillId="2" borderId="0" xfId="1" applyNumberFormat="1" applyFont="1" applyFill="1" applyBorder="1" applyAlignment="1">
      <alignment horizontal="center"/>
    </xf>
    <xf numFmtId="0" fontId="6" fillId="0" borderId="0" xfId="0" applyFont="1" applyAlignment="1">
      <alignment vertical="top"/>
    </xf>
    <xf numFmtId="165" fontId="1" fillId="0" borderId="8" xfId="2" applyNumberFormat="1" applyFont="1" applyFill="1" applyBorder="1" applyAlignment="1">
      <alignment horizontal="center"/>
    </xf>
    <xf numFmtId="165" fontId="1" fillId="0" borderId="10" xfId="2" applyNumberFormat="1" applyFont="1" applyFill="1" applyBorder="1" applyAlignment="1">
      <alignment horizontal="center"/>
    </xf>
    <xf numFmtId="0" fontId="44" fillId="0" borderId="0" xfId="0" applyFont="1" applyAlignment="1">
      <alignment vertical="top"/>
    </xf>
    <xf numFmtId="0" fontId="10" fillId="0" borderId="11" xfId="0" applyFont="1" applyBorder="1" applyAlignment="1">
      <alignment vertical="center"/>
    </xf>
    <xf numFmtId="0" fontId="1" fillId="0" borderId="9" xfId="0" applyFont="1" applyBorder="1" applyAlignment="1">
      <alignment vertical="center"/>
    </xf>
    <xf numFmtId="0" fontId="1" fillId="0" borderId="4" xfId="0" applyFont="1" applyBorder="1" applyAlignment="1">
      <alignment horizontal="center"/>
    </xf>
    <xf numFmtId="0" fontId="12" fillId="0" borderId="0" xfId="0" applyFont="1" applyAlignment="1">
      <alignment vertical="center"/>
    </xf>
    <xf numFmtId="0" fontId="1" fillId="2" borderId="2" xfId="0" applyFont="1" applyFill="1" applyBorder="1" applyAlignment="1">
      <alignment horizontal="center"/>
    </xf>
    <xf numFmtId="10" fontId="2" fillId="0" borderId="2" xfId="0" applyNumberFormat="1" applyFont="1" applyBorder="1" applyAlignment="1">
      <alignment horizontal="center" vertical="top"/>
    </xf>
    <xf numFmtId="0" fontId="1" fillId="2" borderId="2" xfId="0" applyFont="1" applyFill="1" applyBorder="1" applyAlignment="1">
      <alignment horizontal="left"/>
    </xf>
    <xf numFmtId="0" fontId="1" fillId="2" borderId="2" xfId="0" applyFont="1" applyFill="1" applyBorder="1" applyAlignment="1">
      <alignment horizontal="center" vertical="center" wrapText="1"/>
    </xf>
    <xf numFmtId="0" fontId="1" fillId="0" borderId="2" xfId="0" applyFont="1" applyBorder="1" applyAlignment="1">
      <alignment horizontal="left" vertical="center" wrapText="1"/>
    </xf>
    <xf numFmtId="0" fontId="1" fillId="0" borderId="2" xfId="0" applyFont="1" applyBorder="1" applyAlignment="1">
      <alignment horizontal="center" vertical="center" wrapText="1"/>
    </xf>
    <xf numFmtId="17" fontId="2" fillId="0" borderId="0" xfId="0" applyNumberFormat="1" applyFont="1"/>
    <xf numFmtId="0" fontId="2" fillId="2" borderId="0" xfId="0" applyFont="1" applyFill="1"/>
    <xf numFmtId="0" fontId="2" fillId="0" borderId="0" xfId="0" applyFont="1" applyAlignment="1">
      <alignment horizontal="left"/>
    </xf>
    <xf numFmtId="0" fontId="2" fillId="0" borderId="4" xfId="0" applyFont="1" applyBorder="1"/>
    <xf numFmtId="0" fontId="2" fillId="0" borderId="5" xfId="0" applyFont="1" applyBorder="1"/>
    <xf numFmtId="14" fontId="1" fillId="2" borderId="2" xfId="0" applyNumberFormat="1" applyFont="1" applyFill="1" applyBorder="1" applyAlignment="1">
      <alignment horizontal="center"/>
    </xf>
    <xf numFmtId="0" fontId="1" fillId="2" borderId="2" xfId="0" applyFont="1" applyFill="1" applyBorder="1" applyAlignment="1">
      <alignment horizontal="center" vertical="top"/>
    </xf>
    <xf numFmtId="0" fontId="2" fillId="0" borderId="7" xfId="0" applyFont="1" applyBorder="1"/>
    <xf numFmtId="0" fontId="2" fillId="0" borderId="8" xfId="0" applyFont="1" applyBorder="1"/>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2" borderId="2" xfId="0" applyNumberFormat="1" applyFont="1" applyFill="1" applyBorder="1" applyAlignment="1">
      <alignment horizontal="center" vertical="center" wrapText="1"/>
    </xf>
    <xf numFmtId="0" fontId="1" fillId="0" borderId="3" xfId="0" applyFont="1" applyBorder="1"/>
    <xf numFmtId="0" fontId="1" fillId="0" borderId="5" xfId="0" applyFont="1" applyBorder="1" applyAlignment="1">
      <alignment horizontal="center"/>
    </xf>
    <xf numFmtId="0" fontId="1" fillId="0" borderId="6" xfId="0" applyFont="1" applyBorder="1" applyAlignment="1">
      <alignment vertical="center"/>
    </xf>
    <xf numFmtId="165" fontId="1" fillId="0" borderId="8" xfId="2" applyNumberFormat="1" applyFont="1" applyBorder="1" applyAlignment="1">
      <alignment horizontal="center"/>
    </xf>
    <xf numFmtId="0" fontId="1" fillId="7" borderId="9" xfId="0" applyFont="1" applyFill="1" applyBorder="1" applyAlignment="1">
      <alignment vertic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12" xfId="0"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9" fontId="1" fillId="0" borderId="2" xfId="0" applyNumberFormat="1" applyFont="1" applyBorder="1" applyAlignment="1">
      <alignment horizontal="center" vertical="center" wrapText="1"/>
    </xf>
    <xf numFmtId="0" fontId="1" fillId="0" borderId="2" xfId="0" applyFont="1" applyBorder="1" applyAlignment="1">
      <alignment horizontal="center"/>
    </xf>
    <xf numFmtId="0" fontId="1" fillId="0" borderId="2" xfId="0" applyFont="1" applyBorder="1" applyAlignment="1">
      <alignment vertical="center" wrapText="1"/>
    </xf>
    <xf numFmtId="2" fontId="1" fillId="5" borderId="2" xfId="0" applyNumberFormat="1" applyFont="1" applyFill="1" applyBorder="1" applyAlignment="1">
      <alignment horizontal="center"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2" fontId="1" fillId="5" borderId="1" xfId="0" applyNumberFormat="1" applyFont="1" applyFill="1" applyBorder="1" applyAlignment="1">
      <alignment horizontal="center" vertical="center" wrapText="1"/>
    </xf>
    <xf numFmtId="0" fontId="21" fillId="0" borderId="0" xfId="0" applyFont="1" applyAlignment="1">
      <alignment horizontal="left" wrapText="1"/>
    </xf>
    <xf numFmtId="0" fontId="8" fillId="2" borderId="0" xfId="0" applyFont="1" applyFill="1" applyAlignment="1">
      <alignment horizontal="center"/>
    </xf>
    <xf numFmtId="0" fontId="2" fillId="3" borderId="0" xfId="0" applyFont="1" applyFill="1" applyAlignment="1">
      <alignment horizontal="center" vertical="center"/>
    </xf>
    <xf numFmtId="0" fontId="2" fillId="2" borderId="0" xfId="0" applyFont="1" applyFill="1" applyAlignment="1">
      <alignment horizontal="center" vertical="center"/>
    </xf>
    <xf numFmtId="0" fontId="2" fillId="2" borderId="0" xfId="0" applyFont="1" applyFill="1" applyAlignment="1">
      <alignment horizontal="center"/>
    </xf>
    <xf numFmtId="14" fontId="2" fillId="2" borderId="0" xfId="0" applyNumberFormat="1" applyFont="1" applyFill="1" applyAlignment="1">
      <alignment horizontal="center"/>
    </xf>
    <xf numFmtId="0" fontId="34" fillId="2" borderId="0" xfId="3" applyFill="1" applyAlignment="1">
      <alignment horizontal="center"/>
    </xf>
    <xf numFmtId="0" fontId="6" fillId="3" borderId="2" xfId="0" applyFont="1" applyFill="1" applyBorder="1" applyAlignment="1">
      <alignment horizontal="left"/>
    </xf>
    <xf numFmtId="0" fontId="7" fillId="0" borderId="2" xfId="0" applyFont="1" applyBorder="1" applyAlignment="1">
      <alignment horizontal="left"/>
    </xf>
    <xf numFmtId="0" fontId="1"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36" fillId="2" borderId="6" xfId="0" applyFont="1" applyFill="1" applyBorder="1" applyAlignment="1">
      <alignment horizontal="left" vertical="top" wrapText="1"/>
    </xf>
    <xf numFmtId="0" fontId="36" fillId="2" borderId="7" xfId="0" applyFont="1" applyFill="1" applyBorder="1" applyAlignment="1">
      <alignment horizontal="left" vertical="top"/>
    </xf>
    <xf numFmtId="0" fontId="36" fillId="2" borderId="8" xfId="0" applyFont="1" applyFill="1" applyBorder="1" applyAlignment="1">
      <alignment horizontal="left" vertical="top"/>
    </xf>
    <xf numFmtId="0" fontId="36" fillId="2" borderId="9" xfId="0" applyFont="1" applyFill="1" applyBorder="1" applyAlignment="1">
      <alignment horizontal="left" vertical="top"/>
    </xf>
    <xf numFmtId="0" fontId="36" fillId="2" borderId="0" xfId="0" applyFont="1" applyFill="1" applyAlignment="1">
      <alignment horizontal="left" vertical="top"/>
    </xf>
    <xf numFmtId="0" fontId="36" fillId="2" borderId="10" xfId="0" applyFont="1" applyFill="1" applyBorder="1" applyAlignment="1">
      <alignment horizontal="left" vertical="top"/>
    </xf>
    <xf numFmtId="0" fontId="36" fillId="2" borderId="11" xfId="0" applyFont="1" applyFill="1" applyBorder="1" applyAlignment="1">
      <alignment horizontal="left" vertical="top"/>
    </xf>
    <xf numFmtId="0" fontId="36" fillId="2" borderId="12" xfId="0" applyFont="1" applyFill="1" applyBorder="1" applyAlignment="1">
      <alignment horizontal="left" vertical="top"/>
    </xf>
    <xf numFmtId="0" fontId="36" fillId="2" borderId="13" xfId="0" applyFont="1" applyFill="1" applyBorder="1" applyAlignment="1">
      <alignment horizontal="left" vertical="top"/>
    </xf>
    <xf numFmtId="0" fontId="2" fillId="0" borderId="0" xfId="0" applyFont="1" applyAlignment="1">
      <alignment horizontal="left" vertical="top" wrapText="1"/>
    </xf>
    <xf numFmtId="0" fontId="42" fillId="0" borderId="0" xfId="0" applyFont="1" applyAlignment="1">
      <alignment horizontal="left" vertical="top" wrapText="1"/>
    </xf>
    <xf numFmtId="0" fontId="7" fillId="0" borderId="3" xfId="0" applyFont="1" applyBorder="1" applyAlignment="1">
      <alignment horizontal="left"/>
    </xf>
    <xf numFmtId="0" fontId="7" fillId="0" borderId="4" xfId="0" applyFont="1" applyBorder="1" applyAlignment="1">
      <alignment horizontal="left"/>
    </xf>
    <xf numFmtId="0" fontId="7" fillId="0" borderId="5" xfId="0" applyFont="1" applyBorder="1" applyAlignment="1">
      <alignment horizontal="left"/>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10" fillId="2" borderId="2" xfId="0" applyFont="1" applyFill="1" applyBorder="1" applyAlignment="1">
      <alignment vertical="center" wrapText="1"/>
    </xf>
    <xf numFmtId="0" fontId="1" fillId="2" borderId="2"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0" fillId="0" borderId="2" xfId="0" applyFont="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165" fontId="1" fillId="0" borderId="3" xfId="2" applyNumberFormat="1" applyFont="1" applyBorder="1" applyAlignment="1">
      <alignment horizontal="center" vertical="center" wrapText="1"/>
    </xf>
    <xf numFmtId="165" fontId="1" fillId="0" borderId="5" xfId="2" applyNumberFormat="1" applyFont="1" applyBorder="1" applyAlignment="1">
      <alignment horizontal="center" vertical="center" wrapText="1"/>
    </xf>
    <xf numFmtId="168" fontId="1" fillId="2" borderId="3" xfId="0" applyNumberFormat="1" applyFont="1" applyFill="1" applyBorder="1" applyAlignment="1">
      <alignment horizontal="center" vertical="center" wrapText="1"/>
    </xf>
    <xf numFmtId="168" fontId="1" fillId="2" borderId="5" xfId="0" applyNumberFormat="1" applyFont="1" applyFill="1" applyBorder="1" applyAlignment="1">
      <alignment horizontal="center" vertical="center" wrapText="1"/>
    </xf>
    <xf numFmtId="0" fontId="6" fillId="0" borderId="0" xfId="0" applyFont="1" applyAlignment="1">
      <alignment horizontal="left"/>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0" fillId="2" borderId="3" xfId="0" applyFont="1" applyFill="1" applyBorder="1" applyAlignment="1">
      <alignment horizontal="left" vertical="center" wrapText="1"/>
    </xf>
    <xf numFmtId="0" fontId="10" fillId="2" borderId="5" xfId="0" applyFont="1" applyFill="1" applyBorder="1" applyAlignment="1">
      <alignment horizontal="left" vertical="center" wrapText="1"/>
    </xf>
    <xf numFmtId="0" fontId="10" fillId="0" borderId="14" xfId="0" applyFont="1" applyBorder="1" applyAlignment="1">
      <alignment vertical="center" wrapText="1"/>
    </xf>
    <xf numFmtId="0" fontId="10" fillId="0" borderId="1" xfId="0" applyFont="1" applyBorder="1" applyAlignment="1">
      <alignment vertical="center" wrapText="1"/>
    </xf>
    <xf numFmtId="168" fontId="10" fillId="0" borderId="1" xfId="0" applyNumberFormat="1" applyFont="1" applyBorder="1" applyAlignment="1">
      <alignment horizontal="center" vertical="center" wrapText="1"/>
    </xf>
    <xf numFmtId="165" fontId="10" fillId="0" borderId="1" xfId="2" applyNumberFormat="1" applyFont="1" applyBorder="1" applyAlignment="1">
      <alignment horizontal="center" vertical="center" wrapText="1"/>
    </xf>
    <xf numFmtId="0" fontId="10" fillId="0" borderId="2" xfId="0" applyFont="1" applyBorder="1" applyAlignment="1">
      <alignmen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7" fillId="0" borderId="2" xfId="0" applyFont="1" applyBorder="1" applyAlignment="1">
      <alignment vertical="center" wrapText="1"/>
    </xf>
    <xf numFmtId="168" fontId="7" fillId="0" borderId="2" xfId="0" applyNumberFormat="1" applyFont="1" applyBorder="1" applyAlignment="1">
      <alignment horizontal="center" vertical="center" wrapText="1"/>
    </xf>
    <xf numFmtId="165" fontId="7" fillId="0" borderId="2" xfId="2"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14" fontId="6" fillId="0" borderId="12" xfId="0" applyNumberFormat="1" applyFont="1" applyBorder="1" applyAlignment="1">
      <alignment horizontal="left"/>
    </xf>
    <xf numFmtId="0" fontId="46" fillId="0" borderId="12" xfId="0" applyFont="1" applyBorder="1" applyAlignment="1">
      <alignment horizontal="left"/>
    </xf>
    <xf numFmtId="0" fontId="1" fillId="0" borderId="2" xfId="0" applyFont="1" applyBorder="1" applyAlignment="1">
      <alignment horizontal="left" vertical="center" wrapText="1"/>
    </xf>
    <xf numFmtId="0" fontId="14" fillId="4" borderId="2" xfId="0" applyFont="1" applyFill="1" applyBorder="1" applyAlignment="1">
      <alignment horizontal="left" vertical="center" wrapText="1"/>
    </xf>
    <xf numFmtId="167" fontId="6" fillId="0" borderId="0" xfId="0" applyNumberFormat="1" applyFont="1" applyAlignment="1">
      <alignment horizontal="center" vertical="top"/>
    </xf>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0" fontId="1" fillId="5" borderId="2" xfId="0" applyFont="1" applyFill="1" applyBorder="1" applyAlignment="1">
      <alignment horizontal="center" vertical="center" wrapText="1"/>
    </xf>
    <xf numFmtId="0" fontId="1" fillId="0" borderId="2" xfId="0" applyFont="1" applyBorder="1" applyAlignment="1">
      <alignment horizontal="center" vertical="center"/>
    </xf>
    <xf numFmtId="0" fontId="1" fillId="2" borderId="2" xfId="0" applyFont="1" applyFill="1" applyBorder="1" applyAlignment="1">
      <alignment horizontal="left" vertical="center" wrapText="1"/>
    </xf>
    <xf numFmtId="0" fontId="1" fillId="2" borderId="2" xfId="0" applyFont="1" applyFill="1" applyBorder="1" applyAlignment="1">
      <alignment horizontal="left" vertical="top" wrapText="1"/>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12" xfId="0" applyFont="1" applyBorder="1" applyAlignment="1">
      <alignment horizontal="center" vertical="center" textRotation="90"/>
    </xf>
    <xf numFmtId="164" fontId="6" fillId="2" borderId="7" xfId="1" applyNumberFormat="1" applyFont="1" applyFill="1" applyBorder="1" applyAlignment="1"/>
    <xf numFmtId="0" fontId="1" fillId="0" borderId="0" xfId="0" applyFont="1" applyAlignment="1">
      <alignment horizontal="center" textRotation="90"/>
    </xf>
    <xf numFmtId="0" fontId="1" fillId="2" borderId="12" xfId="0" applyFont="1" applyFill="1" applyBorder="1" applyAlignment="1">
      <alignment horizontal="center" vertical="center"/>
    </xf>
    <xf numFmtId="0" fontId="10" fillId="0" borderId="7" xfId="0" applyFont="1" applyBorder="1" applyAlignment="1">
      <alignment horizontal="center" wrapText="1"/>
    </xf>
    <xf numFmtId="0" fontId="7" fillId="0" borderId="2" xfId="0" applyFont="1" applyBorder="1" applyAlignment="1">
      <alignment horizontal="left" vertical="center" wrapText="1"/>
    </xf>
    <xf numFmtId="9"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36" fillId="2" borderId="2" xfId="0" applyFont="1" applyFill="1" applyBorder="1" applyAlignment="1">
      <alignment horizontal="left" vertical="center" wrapText="1"/>
    </xf>
    <xf numFmtId="0" fontId="1" fillId="2" borderId="3" xfId="0" applyFont="1" applyFill="1" applyBorder="1" applyAlignment="1">
      <alignment horizontal="left"/>
    </xf>
    <xf numFmtId="0" fontId="1" fillId="2" borderId="3"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36" fillId="2" borderId="3" xfId="0" applyFont="1" applyFill="1" applyBorder="1" applyAlignment="1">
      <alignment horizontal="left" vertic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35" fillId="2" borderId="7" xfId="0" applyFont="1" applyFill="1" applyBorder="1" applyAlignment="1">
      <alignment horizontal="left" vertical="top"/>
    </xf>
    <xf numFmtId="0" fontId="35" fillId="2" borderId="8" xfId="0" applyFont="1" applyFill="1" applyBorder="1" applyAlignment="1">
      <alignment horizontal="left" vertical="top"/>
    </xf>
    <xf numFmtId="0" fontId="35" fillId="2" borderId="9" xfId="0" applyFont="1" applyFill="1" applyBorder="1" applyAlignment="1">
      <alignment horizontal="left" vertical="top"/>
    </xf>
    <xf numFmtId="0" fontId="35" fillId="2" borderId="0" xfId="0" applyFont="1" applyFill="1" applyAlignment="1">
      <alignment horizontal="left" vertical="top"/>
    </xf>
    <xf numFmtId="0" fontId="35" fillId="2" borderId="10" xfId="0" applyFont="1" applyFill="1" applyBorder="1" applyAlignment="1">
      <alignment horizontal="left" vertical="top"/>
    </xf>
    <xf numFmtId="0" fontId="35" fillId="2" borderId="11" xfId="0" applyFont="1" applyFill="1" applyBorder="1" applyAlignment="1">
      <alignment horizontal="left" vertical="top"/>
    </xf>
    <xf numFmtId="0" fontId="35" fillId="2" borderId="12" xfId="0" applyFont="1" applyFill="1" applyBorder="1" applyAlignment="1">
      <alignment horizontal="left" vertical="top"/>
    </xf>
    <xf numFmtId="0" fontId="35" fillId="2" borderId="13" xfId="0" applyFont="1" applyFill="1" applyBorder="1" applyAlignment="1">
      <alignment horizontal="left" vertical="top"/>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0" fontId="36" fillId="2" borderId="7" xfId="0" applyFont="1" applyFill="1" applyBorder="1" applyAlignment="1">
      <alignment horizontal="left" vertical="top" wrapText="1"/>
    </xf>
    <xf numFmtId="0" fontId="36" fillId="2" borderId="8" xfId="0" applyFont="1" applyFill="1" applyBorder="1" applyAlignment="1">
      <alignment horizontal="left" vertical="top" wrapText="1"/>
    </xf>
    <xf numFmtId="0" fontId="36" fillId="2" borderId="11" xfId="0" applyFont="1" applyFill="1" applyBorder="1" applyAlignment="1">
      <alignment horizontal="left" vertical="top" wrapText="1"/>
    </xf>
    <xf numFmtId="0" fontId="36" fillId="2" borderId="12" xfId="0" applyFont="1" applyFill="1" applyBorder="1" applyAlignment="1">
      <alignment horizontal="left" vertical="top" wrapText="1"/>
    </xf>
    <xf numFmtId="0" fontId="36" fillId="2" borderId="13" xfId="0" applyFont="1" applyFill="1" applyBorder="1" applyAlignment="1">
      <alignment horizontal="left" vertical="top" wrapText="1"/>
    </xf>
    <xf numFmtId="0" fontId="4" fillId="0" borderId="2" xfId="0" applyFont="1" applyBorder="1" applyAlignment="1">
      <alignment vertical="top" wrapText="1"/>
    </xf>
    <xf numFmtId="0" fontId="0" fillId="0" borderId="2" xfId="0" applyBorder="1" applyAlignment="1">
      <alignment vertical="top"/>
    </xf>
    <xf numFmtId="0" fontId="45" fillId="0" borderId="3" xfId="0" applyFont="1" applyBorder="1" applyAlignment="1">
      <alignment vertical="top" wrapText="1"/>
    </xf>
    <xf numFmtId="0" fontId="47" fillId="0" borderId="5" xfId="0" applyFont="1" applyBorder="1" applyAlignment="1">
      <alignment vertical="top" wrapText="1"/>
    </xf>
    <xf numFmtId="0" fontId="2" fillId="0" borderId="0" xfId="0" applyFont="1" applyAlignment="1">
      <alignment vertical="top" wrapText="1"/>
    </xf>
    <xf numFmtId="0" fontId="0" fillId="0" borderId="0" xfId="0" applyAlignment="1">
      <alignment wrapText="1"/>
    </xf>
    <xf numFmtId="0" fontId="2" fillId="0" borderId="2" xfId="0" applyFont="1" applyBorder="1" applyAlignment="1">
      <alignment vertical="top" wrapText="1"/>
    </xf>
    <xf numFmtId="0" fontId="45" fillId="0" borderId="2" xfId="0" applyFont="1" applyBorder="1" applyAlignment="1">
      <alignment vertical="top" wrapText="1"/>
    </xf>
    <xf numFmtId="0" fontId="47" fillId="0" borderId="2" xfId="0" applyFont="1" applyBorder="1" applyAlignment="1">
      <alignment vertical="top"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7" fillId="0" borderId="2" xfId="0" applyFont="1" applyBorder="1" applyAlignment="1">
      <alignment horizontal="left" vertical="center" wrapText="1"/>
    </xf>
    <xf numFmtId="0" fontId="41" fillId="8" borderId="18" xfId="0" applyFont="1" applyFill="1" applyBorder="1" applyAlignment="1">
      <alignment vertical="top" wrapText="1"/>
    </xf>
    <xf numFmtId="0" fontId="39" fillId="0" borderId="19" xfId="0" applyFont="1" applyBorder="1" applyAlignment="1"/>
    <xf numFmtId="0" fontId="39" fillId="0" borderId="21" xfId="0" applyFont="1" applyBorder="1" applyAlignment="1"/>
    <xf numFmtId="0" fontId="39" fillId="0" borderId="22" xfId="0" applyFont="1" applyBorder="1" applyAlignment="1"/>
    <xf numFmtId="0" fontId="41" fillId="8" borderId="0" xfId="0" applyFont="1" applyFill="1" applyAlignment="1">
      <alignment vertical="top"/>
    </xf>
    <xf numFmtId="0" fontId="39" fillId="0" borderId="0" xfId="0" applyFont="1" applyAlignment="1"/>
    <xf numFmtId="0" fontId="39" fillId="0" borderId="20" xfId="0" applyFont="1" applyBorder="1" applyAlignment="1"/>
    <xf numFmtId="0" fontId="39" fillId="0" borderId="23" xfId="0" applyFont="1" applyBorder="1" applyAlignment="1"/>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0" fillId="5" borderId="3" xfId="0" applyFont="1" applyFill="1" applyBorder="1" applyAlignment="1">
      <alignment horizontal="center" vertical="center" wrapText="1"/>
    </xf>
    <xf numFmtId="0" fontId="10" fillId="5" borderId="4" xfId="0" applyFont="1" applyFill="1" applyBorder="1" applyAlignment="1">
      <alignment horizontal="center" vertical="center" wrapText="1"/>
    </xf>
    <xf numFmtId="0" fontId="10" fillId="5" borderId="5" xfId="0" applyFont="1" applyFill="1" applyBorder="1" applyAlignment="1">
      <alignment horizontal="center" vertical="center" wrapText="1"/>
    </xf>
    <xf numFmtId="0" fontId="1" fillId="5" borderId="2" xfId="0" applyFont="1" applyFill="1" applyBorder="1" applyAlignment="1">
      <alignment horizontal="left" vertical="center" wrapText="1"/>
    </xf>
    <xf numFmtId="0" fontId="22" fillId="0" borderId="0" xfId="0" applyFont="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7" fillId="0" borderId="3"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36" fillId="2" borderId="2" xfId="0" applyFont="1" applyFill="1" applyBorder="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3</c:v>
                </c:pt>
                <c:pt idx="1">
                  <c:v>3.53</c:v>
                </c:pt>
                <c:pt idx="2">
                  <c:v>2.8</c:v>
                </c:pt>
                <c:pt idx="3">
                  <c:v>2.83</c:v>
                </c:pt>
                <c:pt idx="4">
                  <c:v>3.02</c:v>
                </c:pt>
                <c:pt idx="5">
                  <c:v>3.45</c:v>
                </c:pt>
                <c:pt idx="6">
                  <c:v>3.74</c:v>
                </c:pt>
                <c:pt idx="7">
                  <c:v>4.03</c:v>
                </c:pt>
                <c:pt idx="8">
                  <c:v>3.69</c:v>
                </c:pt>
                <c:pt idx="9">
                  <c:v>3.62</c:v>
                </c:pt>
                <c:pt idx="10">
                  <c:v>3.31</c:v>
                </c:pt>
                <c:pt idx="11">
                  <c:v>3.48</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10.44</c:v>
                </c:pt>
                <c:pt idx="1">
                  <c:v>12.27</c:v>
                </c:pt>
                <c:pt idx="2">
                  <c:v>8.23</c:v>
                </c:pt>
                <c:pt idx="3">
                  <c:v>10.83</c:v>
                </c:pt>
                <c:pt idx="4">
                  <c:v>10.79</c:v>
                </c:pt>
                <c:pt idx="5">
                  <c:v>12.26</c:v>
                </c:pt>
                <c:pt idx="6">
                  <c:v>11.15</c:v>
                </c:pt>
                <c:pt idx="7">
                  <c:v>10.56</c:v>
                </c:pt>
                <c:pt idx="8">
                  <c:v>13.05</c:v>
                </c:pt>
                <c:pt idx="9">
                  <c:v>11.2</c:v>
                </c:pt>
                <c:pt idx="10">
                  <c:v>13.06</c:v>
                </c:pt>
                <c:pt idx="11">
                  <c:v>10.72</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2.98</c:v>
                </c:pt>
                <c:pt idx="1">
                  <c:v>3.54</c:v>
                </c:pt>
                <c:pt idx="2">
                  <c:v>2.79</c:v>
                </c:pt>
                <c:pt idx="3">
                  <c:v>2.83</c:v>
                </c:pt>
                <c:pt idx="4">
                  <c:v>3.02</c:v>
                </c:pt>
                <c:pt idx="5">
                  <c:v>3.45</c:v>
                </c:pt>
                <c:pt idx="6">
                  <c:v>3.74</c:v>
                </c:pt>
                <c:pt idx="7">
                  <c:v>4.05</c:v>
                </c:pt>
                <c:pt idx="8">
                  <c:v>3.74</c:v>
                </c:pt>
                <c:pt idx="9">
                  <c:v>3.62</c:v>
                </c:pt>
                <c:pt idx="10">
                  <c:v>3.33</c:v>
                </c:pt>
                <c:pt idx="11">
                  <c:v>3.54</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5.2</c:v>
                </c:pt>
                <c:pt idx="1">
                  <c:v>6.71</c:v>
                </c:pt>
                <c:pt idx="2">
                  <c:v>5.9</c:v>
                </c:pt>
                <c:pt idx="3">
                  <c:v>5.53</c:v>
                </c:pt>
                <c:pt idx="4">
                  <c:v>4.26</c:v>
                </c:pt>
                <c:pt idx="5">
                  <c:v>6.37</c:v>
                </c:pt>
                <c:pt idx="6">
                  <c:v>6.81</c:v>
                </c:pt>
                <c:pt idx="7">
                  <c:v>7.4</c:v>
                </c:pt>
                <c:pt idx="8">
                  <c:v>6.74</c:v>
                </c:pt>
                <c:pt idx="9">
                  <c:v>7.62</c:v>
                </c:pt>
                <c:pt idx="10">
                  <c:v>5.37</c:v>
                </c:pt>
                <c:pt idx="11">
                  <c:v>7.41</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2.09</c:v>
                </c:pt>
                <c:pt idx="1">
                  <c:v>7.28</c:v>
                </c:pt>
                <c:pt idx="2">
                  <c:v>6</c:v>
                </c:pt>
                <c:pt idx="3">
                  <c:v>5.97</c:v>
                </c:pt>
                <c:pt idx="4">
                  <c:v>3.41</c:v>
                </c:pt>
                <c:pt idx="5">
                  <c:v>2.42</c:v>
                </c:pt>
                <c:pt idx="6">
                  <c:v>2.21</c:v>
                </c:pt>
                <c:pt idx="7">
                  <c:v>1.23</c:v>
                </c:pt>
                <c:pt idx="8">
                  <c:v>0.91</c:v>
                </c:pt>
                <c:pt idx="9">
                  <c:v>1.95</c:v>
                </c:pt>
                <c:pt idx="10">
                  <c:v>0.94</c:v>
                </c:pt>
                <c:pt idx="11">
                  <c:v>3.36</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48.15</c:v>
                </c:pt>
                <c:pt idx="1">
                  <c:v>83.85</c:v>
                </c:pt>
                <c:pt idx="2">
                  <c:v>86.16</c:v>
                </c:pt>
                <c:pt idx="3">
                  <c:v>74.010000000000005</c:v>
                </c:pt>
                <c:pt idx="4">
                  <c:v>78.510000000000005</c:v>
                </c:pt>
                <c:pt idx="5">
                  <c:v>93.04</c:v>
                </c:pt>
                <c:pt idx="6">
                  <c:v>65.56</c:v>
                </c:pt>
                <c:pt idx="7">
                  <c:v>49.72</c:v>
                </c:pt>
                <c:pt idx="8">
                  <c:v>52.37</c:v>
                </c:pt>
                <c:pt idx="9">
                  <c:v>50.72</c:v>
                </c:pt>
                <c:pt idx="10">
                  <c:v>44.04</c:v>
                </c:pt>
                <c:pt idx="11">
                  <c:v>97.55</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2.0299999999999998</c:v>
                </c:pt>
                <c:pt idx="1">
                  <c:v>7.06</c:v>
                </c:pt>
                <c:pt idx="2">
                  <c:v>5.78</c:v>
                </c:pt>
                <c:pt idx="3">
                  <c:v>5.82</c:v>
                </c:pt>
                <c:pt idx="4">
                  <c:v>3.41</c:v>
                </c:pt>
                <c:pt idx="5">
                  <c:v>2.42</c:v>
                </c:pt>
                <c:pt idx="6">
                  <c:v>2.21</c:v>
                </c:pt>
                <c:pt idx="7">
                  <c:v>1.19</c:v>
                </c:pt>
                <c:pt idx="8">
                  <c:v>0.89</c:v>
                </c:pt>
                <c:pt idx="9">
                  <c:v>1.95</c:v>
                </c:pt>
                <c:pt idx="10">
                  <c:v>0.8</c:v>
                </c:pt>
                <c:pt idx="11">
                  <c:v>3.09</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9.2799999999999994</c:v>
                </c:pt>
                <c:pt idx="1">
                  <c:v>23.83</c:v>
                </c:pt>
                <c:pt idx="2">
                  <c:v>17.59</c:v>
                </c:pt>
                <c:pt idx="3">
                  <c:v>21.75</c:v>
                </c:pt>
                <c:pt idx="4">
                  <c:v>7.74</c:v>
                </c:pt>
                <c:pt idx="5">
                  <c:v>9.67</c:v>
                </c:pt>
                <c:pt idx="6">
                  <c:v>6.27</c:v>
                </c:pt>
                <c:pt idx="7">
                  <c:v>5.3</c:v>
                </c:pt>
                <c:pt idx="8">
                  <c:v>6</c:v>
                </c:pt>
                <c:pt idx="9">
                  <c:v>10.029999999999999</c:v>
                </c:pt>
                <c:pt idx="10">
                  <c:v>5.47</c:v>
                </c:pt>
                <c:pt idx="11">
                  <c:v>13.16</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175.3</c:v>
                </c:pt>
                <c:pt idx="1">
                  <c:v>175.43</c:v>
                </c:pt>
                <c:pt idx="2">
                  <c:v>175.75</c:v>
                </c:pt>
                <c:pt idx="3">
                  <c:v>174.86</c:v>
                </c:pt>
                <c:pt idx="4">
                  <c:v>175.43</c:v>
                </c:pt>
                <c:pt idx="5">
                  <c:v>175.33</c:v>
                </c:pt>
                <c:pt idx="6">
                  <c:v>175.25</c:v>
                </c:pt>
                <c:pt idx="7">
                  <c:v>175.26</c:v>
                </c:pt>
                <c:pt idx="8">
                  <c:v>175.55</c:v>
                </c:pt>
                <c:pt idx="9">
                  <c:v>175.43</c:v>
                </c:pt>
                <c:pt idx="10">
                  <c:v>175.53</c:v>
                </c:pt>
                <c:pt idx="11">
                  <c:v>175.27</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218.35</c:v>
                </c:pt>
                <c:pt idx="1">
                  <c:v>243.38</c:v>
                </c:pt>
                <c:pt idx="2">
                  <c:v>258.68</c:v>
                </c:pt>
                <c:pt idx="3">
                  <c:v>226.87</c:v>
                </c:pt>
                <c:pt idx="4">
                  <c:v>231.15</c:v>
                </c:pt>
                <c:pt idx="5">
                  <c:v>211.63</c:v>
                </c:pt>
                <c:pt idx="6">
                  <c:v>203.25</c:v>
                </c:pt>
                <c:pt idx="7">
                  <c:v>217.09</c:v>
                </c:pt>
                <c:pt idx="8">
                  <c:v>207.14</c:v>
                </c:pt>
                <c:pt idx="9">
                  <c:v>228.19</c:v>
                </c:pt>
                <c:pt idx="10">
                  <c:v>237.35</c:v>
                </c:pt>
                <c:pt idx="11">
                  <c:v>222.41</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175.35</c:v>
                </c:pt>
                <c:pt idx="1">
                  <c:v>175.41</c:v>
                </c:pt>
                <c:pt idx="2">
                  <c:v>175.77</c:v>
                </c:pt>
                <c:pt idx="3">
                  <c:v>174.86</c:v>
                </c:pt>
                <c:pt idx="4">
                  <c:v>175.44</c:v>
                </c:pt>
                <c:pt idx="5">
                  <c:v>175.33</c:v>
                </c:pt>
                <c:pt idx="6">
                  <c:v>175.25</c:v>
                </c:pt>
                <c:pt idx="7">
                  <c:v>175.26</c:v>
                </c:pt>
                <c:pt idx="8">
                  <c:v>175.57</c:v>
                </c:pt>
                <c:pt idx="9">
                  <c:v>175.43</c:v>
                </c:pt>
                <c:pt idx="10">
                  <c:v>175.56</c:v>
                </c:pt>
                <c:pt idx="11">
                  <c:v>175.28</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179.36</c:v>
                </c:pt>
                <c:pt idx="1">
                  <c:v>183.17</c:v>
                </c:pt>
                <c:pt idx="2">
                  <c:v>185.24</c:v>
                </c:pt>
                <c:pt idx="3">
                  <c:v>177.32</c:v>
                </c:pt>
                <c:pt idx="4">
                  <c:v>179.22</c:v>
                </c:pt>
                <c:pt idx="5">
                  <c:v>176.52</c:v>
                </c:pt>
                <c:pt idx="6">
                  <c:v>176.46</c:v>
                </c:pt>
                <c:pt idx="7">
                  <c:v>176.88</c:v>
                </c:pt>
                <c:pt idx="8">
                  <c:v>184.44</c:v>
                </c:pt>
                <c:pt idx="9">
                  <c:v>179.58</c:v>
                </c:pt>
                <c:pt idx="10">
                  <c:v>177.94</c:v>
                </c:pt>
                <c:pt idx="11">
                  <c:v>179.38</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0.15</c:v>
                </c:pt>
                <c:pt idx="1">
                  <c:v>0.11</c:v>
                </c:pt>
                <c:pt idx="2">
                  <c:v>0.13</c:v>
                </c:pt>
                <c:pt idx="3">
                  <c:v>0.14000000000000001</c:v>
                </c:pt>
                <c:pt idx="4">
                  <c:v>0.14000000000000001</c:v>
                </c:pt>
                <c:pt idx="5">
                  <c:v>0.15</c:v>
                </c:pt>
                <c:pt idx="6">
                  <c:v>0.16</c:v>
                </c:pt>
                <c:pt idx="7">
                  <c:v>0.19</c:v>
                </c:pt>
                <c:pt idx="8">
                  <c:v>0.19</c:v>
                </c:pt>
                <c:pt idx="9">
                  <c:v>0.17</c:v>
                </c:pt>
                <c:pt idx="10">
                  <c:v>0.16</c:v>
                </c:pt>
                <c:pt idx="11">
                  <c:v>0.17</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1.86</c:v>
                </c:pt>
                <c:pt idx="1">
                  <c:v>2.2599999999999998</c:v>
                </c:pt>
                <c:pt idx="2">
                  <c:v>4.49</c:v>
                </c:pt>
                <c:pt idx="3">
                  <c:v>5.81</c:v>
                </c:pt>
                <c:pt idx="4">
                  <c:v>3.01</c:v>
                </c:pt>
                <c:pt idx="5">
                  <c:v>3.76</c:v>
                </c:pt>
                <c:pt idx="6">
                  <c:v>3.15</c:v>
                </c:pt>
                <c:pt idx="7">
                  <c:v>3.51</c:v>
                </c:pt>
                <c:pt idx="8">
                  <c:v>3.33</c:v>
                </c:pt>
                <c:pt idx="9">
                  <c:v>2.23</c:v>
                </c:pt>
                <c:pt idx="10">
                  <c:v>1.79</c:v>
                </c:pt>
                <c:pt idx="11">
                  <c:v>2.64</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0.15</c:v>
                </c:pt>
                <c:pt idx="1">
                  <c:v>0.1</c:v>
                </c:pt>
                <c:pt idx="2">
                  <c:v>0.12</c:v>
                </c:pt>
                <c:pt idx="3">
                  <c:v>0.14000000000000001</c:v>
                </c:pt>
                <c:pt idx="4">
                  <c:v>0.14000000000000001</c:v>
                </c:pt>
                <c:pt idx="5">
                  <c:v>0.15</c:v>
                </c:pt>
                <c:pt idx="6">
                  <c:v>0.16</c:v>
                </c:pt>
                <c:pt idx="7">
                  <c:v>0.19</c:v>
                </c:pt>
                <c:pt idx="8">
                  <c:v>0.17</c:v>
                </c:pt>
                <c:pt idx="9">
                  <c:v>0.17</c:v>
                </c:pt>
                <c:pt idx="10">
                  <c:v>0.16</c:v>
                </c:pt>
                <c:pt idx="11">
                  <c:v>0.16</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0.35</c:v>
                </c:pt>
                <c:pt idx="1">
                  <c:v>0.32</c:v>
                </c:pt>
                <c:pt idx="2">
                  <c:v>0.33</c:v>
                </c:pt>
                <c:pt idx="3">
                  <c:v>0.32</c:v>
                </c:pt>
                <c:pt idx="4">
                  <c:v>0.26</c:v>
                </c:pt>
                <c:pt idx="5">
                  <c:v>0.28999999999999998</c:v>
                </c:pt>
                <c:pt idx="6">
                  <c:v>0.28000000000000003</c:v>
                </c:pt>
                <c:pt idx="7">
                  <c:v>0.35</c:v>
                </c:pt>
                <c:pt idx="8">
                  <c:v>0.33</c:v>
                </c:pt>
                <c:pt idx="9">
                  <c:v>0.32</c:v>
                </c:pt>
                <c:pt idx="10">
                  <c:v>0.28999999999999998</c:v>
                </c:pt>
                <c:pt idx="11">
                  <c:v>0.34</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0.15</c:v>
                </c:pt>
                <c:pt idx="1">
                  <c:v>0.19</c:v>
                </c:pt>
                <c:pt idx="2">
                  <c:v>0.31</c:v>
                </c:pt>
                <c:pt idx="3">
                  <c:v>0.18</c:v>
                </c:pt>
                <c:pt idx="4">
                  <c:v>0.16</c:v>
                </c:pt>
                <c:pt idx="5">
                  <c:v>0.17</c:v>
                </c:pt>
                <c:pt idx="6">
                  <c:v>0.22</c:v>
                </c:pt>
                <c:pt idx="7">
                  <c:v>0.2</c:v>
                </c:pt>
                <c:pt idx="8">
                  <c:v>0.26</c:v>
                </c:pt>
                <c:pt idx="9">
                  <c:v>0.26</c:v>
                </c:pt>
                <c:pt idx="10">
                  <c:v>0.23</c:v>
                </c:pt>
                <c:pt idx="11">
                  <c:v>7.0000000000000007E-2</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0.44</c:v>
                </c:pt>
                <c:pt idx="1">
                  <c:v>0.43</c:v>
                </c:pt>
                <c:pt idx="2">
                  <c:v>2.2200000000000002</c:v>
                </c:pt>
                <c:pt idx="3">
                  <c:v>0.36</c:v>
                </c:pt>
                <c:pt idx="4">
                  <c:v>0.31</c:v>
                </c:pt>
                <c:pt idx="5">
                  <c:v>0.32</c:v>
                </c:pt>
                <c:pt idx="6">
                  <c:v>1.58</c:v>
                </c:pt>
                <c:pt idx="7">
                  <c:v>1.58</c:v>
                </c:pt>
                <c:pt idx="8">
                  <c:v>2.25</c:v>
                </c:pt>
                <c:pt idx="9">
                  <c:v>2.0499999999999998</c:v>
                </c:pt>
                <c:pt idx="10">
                  <c:v>3.91</c:v>
                </c:pt>
                <c:pt idx="11">
                  <c:v>0.28000000000000003</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0.15</c:v>
                </c:pt>
                <c:pt idx="1">
                  <c:v>0.19</c:v>
                </c:pt>
                <c:pt idx="2">
                  <c:v>0.31</c:v>
                </c:pt>
                <c:pt idx="3">
                  <c:v>0.18</c:v>
                </c:pt>
                <c:pt idx="4">
                  <c:v>0.17</c:v>
                </c:pt>
                <c:pt idx="5">
                  <c:v>0.17</c:v>
                </c:pt>
                <c:pt idx="6">
                  <c:v>0.22</c:v>
                </c:pt>
                <c:pt idx="7">
                  <c:v>0.2</c:v>
                </c:pt>
                <c:pt idx="8">
                  <c:v>0.26</c:v>
                </c:pt>
                <c:pt idx="9">
                  <c:v>0.26</c:v>
                </c:pt>
                <c:pt idx="10">
                  <c:v>0.23</c:v>
                </c:pt>
                <c:pt idx="11">
                  <c:v>7.0000000000000007E-2</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0.28999999999999998</c:v>
                </c:pt>
                <c:pt idx="1">
                  <c:v>0.31</c:v>
                </c:pt>
                <c:pt idx="2">
                  <c:v>0.84</c:v>
                </c:pt>
                <c:pt idx="3">
                  <c:v>0.28000000000000003</c:v>
                </c:pt>
                <c:pt idx="4">
                  <c:v>0.27</c:v>
                </c:pt>
                <c:pt idx="5">
                  <c:v>0.27</c:v>
                </c:pt>
                <c:pt idx="6">
                  <c:v>0.53</c:v>
                </c:pt>
                <c:pt idx="7">
                  <c:v>0.53</c:v>
                </c:pt>
                <c:pt idx="8">
                  <c:v>0.66</c:v>
                </c:pt>
                <c:pt idx="9">
                  <c:v>0.78</c:v>
                </c:pt>
                <c:pt idx="10">
                  <c:v>1.18</c:v>
                </c:pt>
                <c:pt idx="11">
                  <c:v>0.09</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0">
                  <c:v>3.13</c:v>
                </c:pt>
                <c:pt idx="1">
                  <c:v>3.69</c:v>
                </c:pt>
                <c:pt idx="2">
                  <c:v>3.47</c:v>
                </c:pt>
                <c:pt idx="3">
                  <c:v>3.54</c:v>
                </c:pt>
                <c:pt idx="4">
                  <c:v>3.5</c:v>
                </c:pt>
                <c:pt idx="5">
                  <c:v>4.24</c:v>
                </c:pt>
                <c:pt idx="6">
                  <c:v>3.85</c:v>
                </c:pt>
                <c:pt idx="7">
                  <c:v>5.22</c:v>
                </c:pt>
                <c:pt idx="8">
                  <c:v>4.84</c:v>
                </c:pt>
                <c:pt idx="9">
                  <c:v>5.01</c:v>
                </c:pt>
                <c:pt idx="10">
                  <c:v>4.97</c:v>
                </c:pt>
                <c:pt idx="11">
                  <c:v>4.5</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5.6</c:v>
                </c:pt>
                <c:pt idx="1">
                  <c:v>6.42</c:v>
                </c:pt>
                <c:pt idx="2">
                  <c:v>7.15</c:v>
                </c:pt>
                <c:pt idx="3">
                  <c:v>14.56</c:v>
                </c:pt>
                <c:pt idx="4">
                  <c:v>7.25</c:v>
                </c:pt>
                <c:pt idx="5">
                  <c:v>18.649999999999999</c:v>
                </c:pt>
                <c:pt idx="6">
                  <c:v>6.4</c:v>
                </c:pt>
                <c:pt idx="7">
                  <c:v>11.64</c:v>
                </c:pt>
                <c:pt idx="8">
                  <c:v>7.72</c:v>
                </c:pt>
                <c:pt idx="9">
                  <c:v>7.65</c:v>
                </c:pt>
                <c:pt idx="10">
                  <c:v>7.17</c:v>
                </c:pt>
                <c:pt idx="11">
                  <c:v>6.81</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7.88</c:v>
                </c:pt>
                <c:pt idx="1">
                  <c:v>13.49</c:v>
                </c:pt>
                <c:pt idx="2">
                  <c:v>12.25</c:v>
                </c:pt>
                <c:pt idx="3">
                  <c:v>40.14</c:v>
                </c:pt>
                <c:pt idx="4">
                  <c:v>7.7</c:v>
                </c:pt>
                <c:pt idx="5">
                  <c:v>47.26</c:v>
                </c:pt>
                <c:pt idx="6">
                  <c:v>18.7</c:v>
                </c:pt>
                <c:pt idx="7">
                  <c:v>17.13</c:v>
                </c:pt>
                <c:pt idx="8">
                  <c:v>23.26</c:v>
                </c:pt>
                <c:pt idx="9">
                  <c:v>11.87</c:v>
                </c:pt>
                <c:pt idx="10">
                  <c:v>19.8</c:v>
                </c:pt>
                <c:pt idx="11">
                  <c:v>20.43</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254.17</c:v>
                </c:pt>
                <c:pt idx="1">
                  <c:v>482.39</c:v>
                </c:pt>
                <c:pt idx="2">
                  <c:v>651.44000000000005</c:v>
                </c:pt>
                <c:pt idx="3">
                  <c:v>1105.53</c:v>
                </c:pt>
                <c:pt idx="4">
                  <c:v>605.05999999999995</c:v>
                </c:pt>
                <c:pt idx="5">
                  <c:v>890.64</c:v>
                </c:pt>
                <c:pt idx="6">
                  <c:v>316.11</c:v>
                </c:pt>
                <c:pt idx="7">
                  <c:v>930.98</c:v>
                </c:pt>
                <c:pt idx="8">
                  <c:v>401.42</c:v>
                </c:pt>
                <c:pt idx="9">
                  <c:v>269.8</c:v>
                </c:pt>
                <c:pt idx="10">
                  <c:v>240.39</c:v>
                </c:pt>
                <c:pt idx="11">
                  <c:v>211.44</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3.14</c:v>
                </c:pt>
                <c:pt idx="1">
                  <c:v>3.64</c:v>
                </c:pt>
                <c:pt idx="2">
                  <c:v>3.48</c:v>
                </c:pt>
                <c:pt idx="3">
                  <c:v>3.54</c:v>
                </c:pt>
                <c:pt idx="4">
                  <c:v>3.5</c:v>
                </c:pt>
                <c:pt idx="5">
                  <c:v>4.24</c:v>
                </c:pt>
                <c:pt idx="6">
                  <c:v>3.85</c:v>
                </c:pt>
                <c:pt idx="7">
                  <c:v>5.22</c:v>
                </c:pt>
                <c:pt idx="8">
                  <c:v>4.84</c:v>
                </c:pt>
                <c:pt idx="9">
                  <c:v>4.99</c:v>
                </c:pt>
                <c:pt idx="10">
                  <c:v>4.97</c:v>
                </c:pt>
                <c:pt idx="11">
                  <c:v>4.51</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5.62</c:v>
                </c:pt>
                <c:pt idx="1">
                  <c:v>6.45</c:v>
                </c:pt>
                <c:pt idx="2">
                  <c:v>7.23</c:v>
                </c:pt>
                <c:pt idx="3">
                  <c:v>14.56</c:v>
                </c:pt>
                <c:pt idx="4">
                  <c:v>7.25</c:v>
                </c:pt>
                <c:pt idx="5">
                  <c:v>18.649999999999999</c:v>
                </c:pt>
                <c:pt idx="6">
                  <c:v>6.4</c:v>
                </c:pt>
                <c:pt idx="7">
                  <c:v>11.64</c:v>
                </c:pt>
                <c:pt idx="8">
                  <c:v>7.72</c:v>
                </c:pt>
                <c:pt idx="9">
                  <c:v>7.65</c:v>
                </c:pt>
                <c:pt idx="10">
                  <c:v>7.17</c:v>
                </c:pt>
                <c:pt idx="11">
                  <c:v>7.39</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0.42</c:v>
                </c:pt>
                <c:pt idx="1">
                  <c:v>0.45</c:v>
                </c:pt>
                <c:pt idx="2">
                  <c:v>0.48</c:v>
                </c:pt>
                <c:pt idx="3">
                  <c:v>0.74</c:v>
                </c:pt>
                <c:pt idx="4">
                  <c:v>0.43</c:v>
                </c:pt>
                <c:pt idx="5">
                  <c:v>0.33</c:v>
                </c:pt>
                <c:pt idx="6">
                  <c:v>0.41</c:v>
                </c:pt>
                <c:pt idx="7">
                  <c:v>0.4</c:v>
                </c:pt>
                <c:pt idx="8">
                  <c:v>0.45</c:v>
                </c:pt>
                <c:pt idx="9">
                  <c:v>0.4</c:v>
                </c:pt>
                <c:pt idx="10">
                  <c:v>0.65</c:v>
                </c:pt>
                <c:pt idx="11">
                  <c:v>0.42</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4.46</c:v>
                </c:pt>
                <c:pt idx="1">
                  <c:v>3</c:v>
                </c:pt>
                <c:pt idx="2">
                  <c:v>2.65</c:v>
                </c:pt>
                <c:pt idx="3">
                  <c:v>6.12</c:v>
                </c:pt>
                <c:pt idx="4">
                  <c:v>2.66</c:v>
                </c:pt>
                <c:pt idx="5">
                  <c:v>1.26</c:v>
                </c:pt>
                <c:pt idx="6">
                  <c:v>1.98</c:v>
                </c:pt>
                <c:pt idx="7">
                  <c:v>3.58</c:v>
                </c:pt>
                <c:pt idx="8">
                  <c:v>2.5099999999999998</c:v>
                </c:pt>
                <c:pt idx="9">
                  <c:v>2.09</c:v>
                </c:pt>
                <c:pt idx="10">
                  <c:v>5.51</c:v>
                </c:pt>
                <c:pt idx="11">
                  <c:v>2.4</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0.41</c:v>
                </c:pt>
                <c:pt idx="1">
                  <c:v>0.42</c:v>
                </c:pt>
                <c:pt idx="2">
                  <c:v>0.45</c:v>
                </c:pt>
                <c:pt idx="3">
                  <c:v>0.73</c:v>
                </c:pt>
                <c:pt idx="4">
                  <c:v>0.43</c:v>
                </c:pt>
                <c:pt idx="5">
                  <c:v>0.33</c:v>
                </c:pt>
                <c:pt idx="6">
                  <c:v>0.41</c:v>
                </c:pt>
                <c:pt idx="7">
                  <c:v>0.39</c:v>
                </c:pt>
                <c:pt idx="8">
                  <c:v>0.43</c:v>
                </c:pt>
                <c:pt idx="9">
                  <c:v>0.4</c:v>
                </c:pt>
                <c:pt idx="10">
                  <c:v>0.62</c:v>
                </c:pt>
                <c:pt idx="11">
                  <c:v>0.4</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0.8</c:v>
                </c:pt>
                <c:pt idx="1">
                  <c:v>1.36</c:v>
                </c:pt>
                <c:pt idx="2">
                  <c:v>1.37</c:v>
                </c:pt>
                <c:pt idx="3">
                  <c:v>2.04</c:v>
                </c:pt>
                <c:pt idx="4">
                  <c:v>1.1399999999999999</c:v>
                </c:pt>
                <c:pt idx="5">
                  <c:v>0.57999999999999996</c:v>
                </c:pt>
                <c:pt idx="6">
                  <c:v>0.97</c:v>
                </c:pt>
                <c:pt idx="7">
                  <c:v>0.67</c:v>
                </c:pt>
                <c:pt idx="8">
                  <c:v>0.86</c:v>
                </c:pt>
                <c:pt idx="9">
                  <c:v>1.08</c:v>
                </c:pt>
                <c:pt idx="10">
                  <c:v>1.1499999999999999</c:v>
                </c:pt>
                <c:pt idx="11">
                  <c:v>1.07</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1</xdr:col>
      <xdr:colOff>0</xdr:colOff>
      <xdr:row>7</xdr:row>
      <xdr:rowOff>0</xdr:rowOff>
    </xdr:from>
    <xdr:to>
      <xdr:col>8</xdr:col>
      <xdr:colOff>618443</xdr:colOff>
      <xdr:row>24</xdr:row>
      <xdr:rowOff>24354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 y="1333500"/>
          <a:ext cx="5457143" cy="3285714"/>
        </a:xfrm>
        <a:prstGeom prst="rect">
          <a:avLst/>
        </a:prstGeom>
      </xdr:spPr>
    </xdr:pic>
    <xdr:clientData/>
  </xdr:twoCellAnchor>
  <xdr:twoCellAnchor editAs="oneCell">
    <xdr:from>
      <xdr:col>3</xdr:col>
      <xdr:colOff>441960</xdr:colOff>
      <xdr:row>0</xdr:row>
      <xdr:rowOff>0</xdr:rowOff>
    </xdr:from>
    <xdr:to>
      <xdr:col>6</xdr:col>
      <xdr:colOff>198120</xdr:colOff>
      <xdr:row>5</xdr:row>
      <xdr:rowOff>181534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2720340" y="0"/>
          <a:ext cx="1676400" cy="113403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327660</xdr:rowOff>
        </xdr:to>
        <xdr:sp macro="" textlink="">
          <xdr:nvSpPr>
            <xdr:cNvPr id="50177" name="Object 1" hidden="1">
              <a:extLst>
                <a:ext uri="{63B3BB69-23CF-44E3-9099-C40C66FF867C}">
                  <a14:compatExt spid="_x0000_s50177"/>
                </a:ext>
                <a:ext uri="{FF2B5EF4-FFF2-40B4-BE49-F238E27FC236}">
                  <a16:creationId xmlns:a16="http://schemas.microsoft.com/office/drawing/2014/main" id="{00000000-0008-0000-0A00-000001C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Fiona.Gormley\AppData\Local\Microsoft\Windows\INetCache\Content.Outlook\FX51B5YO\Copy%20of%20EfW%20Annual%20Performance%20Report%20template%202022%20v2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Contents"/>
      <sheetName val="Facility Info"/>
      <sheetName val="Operational Data"/>
      <sheetName val="Operational Summary"/>
      <sheetName val="Perf. Form 1"/>
      <sheetName val="Energy Form 1"/>
      <sheetName val="Permit Compliance"/>
      <sheetName val="Improvements"/>
      <sheetName val="Public Liasion"/>
      <sheetName val="CO2 N2O"/>
      <sheetName val="Residue Quality "/>
      <sheetName val="Water"/>
      <sheetName val="Air (periodic)"/>
      <sheetName val="Air (CEMS)"/>
      <sheetName val="HCl"/>
      <sheetName val="SO2"/>
      <sheetName val="NOx"/>
      <sheetName val="TOC"/>
      <sheetName val="Particulates"/>
      <sheetName val="CO 0.5hourly"/>
      <sheetName val="CO 95% 10 min"/>
      <sheetName val="NH3"/>
    </sheetNames>
    <sheetDataSet>
      <sheetData sheetId="0">
        <row r="29">
          <cell r="B29" t="str">
            <v>Annual Performance Report 2022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fiona.gormley@enfinium.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topLeftCell="A22" workbookViewId="0">
      <selection activeCell="L14" sqref="L14"/>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4" width="9.33203125" style="2"/>
    <col min="15" max="15" width="9.33203125" style="2" customWidth="1"/>
    <col min="16" max="16384" width="9.33203125" style="2"/>
  </cols>
  <sheetData>
    <row r="1" spans="2:16" x14ac:dyDescent="0.25">
      <c r="B1" s="91"/>
      <c r="C1" s="91"/>
      <c r="D1" s="192" t="s">
        <v>0</v>
      </c>
      <c r="E1" s="192"/>
      <c r="F1" s="192"/>
      <c r="G1" s="192"/>
      <c r="H1" s="91"/>
      <c r="I1" s="91"/>
      <c r="J1" s="91"/>
      <c r="K1" s="91"/>
      <c r="L1" s="91"/>
      <c r="M1" s="91"/>
      <c r="N1" s="91"/>
      <c r="O1" s="91"/>
      <c r="P1" s="91"/>
    </row>
    <row r="2" spans="2:16" x14ac:dyDescent="0.25">
      <c r="B2" s="91"/>
      <c r="C2" s="91"/>
      <c r="D2" s="192"/>
      <c r="E2" s="192"/>
      <c r="F2" s="192"/>
      <c r="G2" s="192"/>
      <c r="H2" s="91"/>
      <c r="I2" s="91"/>
      <c r="J2" s="91"/>
      <c r="K2" s="91"/>
      <c r="L2" s="91"/>
      <c r="M2" s="91"/>
      <c r="N2" s="91" t="s">
        <v>1</v>
      </c>
      <c r="O2" s="91"/>
      <c r="P2" s="143"/>
    </row>
    <row r="3" spans="2:16" x14ac:dyDescent="0.25">
      <c r="B3" s="91"/>
      <c r="C3" s="91"/>
      <c r="D3" s="192"/>
      <c r="E3" s="192"/>
      <c r="F3" s="192"/>
      <c r="G3" s="192"/>
      <c r="H3" s="91"/>
      <c r="I3" s="91"/>
      <c r="J3" s="91"/>
      <c r="K3" s="91"/>
      <c r="L3" s="91"/>
      <c r="M3" s="91"/>
      <c r="N3" s="143"/>
      <c r="O3" s="91"/>
      <c r="P3" s="91"/>
    </row>
    <row r="4" spans="2:16" x14ac:dyDescent="0.25">
      <c r="B4" s="91"/>
      <c r="C4" s="91"/>
      <c r="D4" s="192"/>
      <c r="E4" s="192"/>
      <c r="F4" s="192"/>
      <c r="G4" s="192"/>
      <c r="H4" s="91"/>
      <c r="I4" s="91"/>
      <c r="J4" s="91"/>
      <c r="K4" s="91"/>
      <c r="L4" s="91"/>
      <c r="M4" s="91"/>
      <c r="N4" s="91"/>
      <c r="O4" s="91"/>
      <c r="P4" s="91"/>
    </row>
    <row r="5" spans="2:16" x14ac:dyDescent="0.25">
      <c r="B5" s="91"/>
      <c r="C5" s="91"/>
      <c r="D5" s="192"/>
      <c r="E5" s="192"/>
      <c r="F5" s="192"/>
      <c r="G5" s="192"/>
      <c r="H5" s="91"/>
      <c r="I5" s="91"/>
      <c r="J5" s="91"/>
      <c r="K5" s="91"/>
      <c r="L5" s="91"/>
      <c r="M5" s="91"/>
      <c r="N5" s="91"/>
      <c r="O5" s="91"/>
      <c r="P5" s="91"/>
    </row>
    <row r="6" spans="2:16" x14ac:dyDescent="0.25">
      <c r="B6" s="91"/>
      <c r="C6" s="91"/>
      <c r="D6" s="192"/>
      <c r="E6" s="192"/>
      <c r="F6" s="192"/>
      <c r="G6" s="192"/>
      <c r="H6" s="91"/>
      <c r="I6" s="91"/>
      <c r="J6" s="91"/>
      <c r="K6" s="91"/>
      <c r="L6" s="91"/>
      <c r="M6" s="91"/>
      <c r="N6" s="91"/>
      <c r="O6" s="91"/>
      <c r="P6" s="91"/>
    </row>
    <row r="8" spans="2:16" ht="15.75" customHeight="1" x14ac:dyDescent="0.25">
      <c r="B8" s="193" t="s">
        <v>2</v>
      </c>
      <c r="C8" s="193"/>
      <c r="D8" s="193"/>
      <c r="E8" s="193"/>
      <c r="F8" s="193"/>
      <c r="G8" s="193"/>
      <c r="H8" s="193"/>
      <c r="I8" s="193"/>
      <c r="J8" s="91"/>
      <c r="K8" s="91"/>
      <c r="L8" s="91"/>
      <c r="M8" s="91"/>
      <c r="N8" s="70"/>
      <c r="O8" s="91"/>
      <c r="P8" s="91"/>
    </row>
    <row r="9" spans="2:16" x14ac:dyDescent="0.25">
      <c r="B9" s="193"/>
      <c r="C9" s="193"/>
      <c r="D9" s="193"/>
      <c r="E9" s="193"/>
      <c r="F9" s="193"/>
      <c r="G9" s="193"/>
      <c r="H9" s="193"/>
      <c r="I9" s="193"/>
      <c r="J9" s="91"/>
      <c r="K9" s="91"/>
      <c r="L9" s="91"/>
      <c r="M9" s="91"/>
      <c r="N9" s="91"/>
      <c r="O9" s="91"/>
      <c r="P9" s="91"/>
    </row>
    <row r="10" spans="2:16" x14ac:dyDescent="0.25">
      <c r="B10" s="193"/>
      <c r="C10" s="193"/>
      <c r="D10" s="193"/>
      <c r="E10" s="193"/>
      <c r="F10" s="193"/>
      <c r="G10" s="193"/>
      <c r="H10" s="193"/>
      <c r="I10" s="193"/>
      <c r="J10" s="91"/>
      <c r="K10" s="91"/>
      <c r="L10" s="91"/>
      <c r="M10" s="91"/>
      <c r="N10" s="91"/>
      <c r="O10" s="91"/>
      <c r="P10" s="91"/>
    </row>
    <row r="11" spans="2:16" x14ac:dyDescent="0.25">
      <c r="B11" s="193"/>
      <c r="C11" s="193"/>
      <c r="D11" s="193"/>
      <c r="E11" s="193"/>
      <c r="F11" s="193"/>
      <c r="G11" s="193"/>
      <c r="H11" s="193"/>
      <c r="I11" s="193"/>
      <c r="J11" s="91"/>
      <c r="K11" s="91"/>
      <c r="L11" s="91"/>
      <c r="M11" s="91"/>
      <c r="N11" s="91"/>
      <c r="O11" s="91"/>
      <c r="P11" s="91"/>
    </row>
    <row r="12" spans="2:16" x14ac:dyDescent="0.25">
      <c r="B12" s="193"/>
      <c r="C12" s="193"/>
      <c r="D12" s="193"/>
      <c r="E12" s="193"/>
      <c r="F12" s="193"/>
      <c r="G12" s="193"/>
      <c r="H12" s="193"/>
      <c r="I12" s="193"/>
      <c r="J12" s="91"/>
      <c r="K12" s="91"/>
      <c r="L12" s="91"/>
      <c r="M12" s="91"/>
      <c r="N12" s="91"/>
      <c r="O12" s="91"/>
      <c r="P12" s="91"/>
    </row>
    <row r="13" spans="2:16" ht="15.6" x14ac:dyDescent="0.3">
      <c r="B13" s="193"/>
      <c r="C13" s="193"/>
      <c r="D13" s="193"/>
      <c r="E13" s="193"/>
      <c r="F13" s="193"/>
      <c r="G13" s="193"/>
      <c r="H13" s="193"/>
      <c r="I13" s="193"/>
      <c r="J13" s="91"/>
      <c r="K13" s="91"/>
      <c r="L13" s="91"/>
      <c r="M13" s="91"/>
      <c r="N13" s="74" t="s">
        <v>3</v>
      </c>
      <c r="O13" s="72"/>
      <c r="P13" s="72"/>
    </row>
    <row r="14" spans="2:16" ht="15.6" customHeight="1" x14ac:dyDescent="0.25">
      <c r="B14" s="193"/>
      <c r="C14" s="193"/>
      <c r="D14" s="193"/>
      <c r="E14" s="193"/>
      <c r="F14" s="193"/>
      <c r="G14" s="193"/>
      <c r="H14" s="193"/>
      <c r="I14" s="193"/>
      <c r="J14" s="91"/>
      <c r="K14" s="91"/>
      <c r="L14" s="91"/>
      <c r="M14" s="91"/>
      <c r="N14" s="190" t="s">
        <v>4</v>
      </c>
      <c r="O14" s="190"/>
      <c r="P14" s="190"/>
    </row>
    <row r="15" spans="2:16" x14ac:dyDescent="0.25">
      <c r="B15" s="193"/>
      <c r="C15" s="193"/>
      <c r="D15" s="193"/>
      <c r="E15" s="193"/>
      <c r="F15" s="193"/>
      <c r="G15" s="193"/>
      <c r="H15" s="193"/>
      <c r="I15" s="193"/>
      <c r="J15" s="91"/>
      <c r="K15" s="91"/>
      <c r="L15" s="91"/>
      <c r="M15" s="91"/>
      <c r="N15" s="190"/>
      <c r="O15" s="190"/>
      <c r="P15" s="190"/>
    </row>
    <row r="16" spans="2:16" x14ac:dyDescent="0.25">
      <c r="B16" s="193"/>
      <c r="C16" s="193"/>
      <c r="D16" s="193"/>
      <c r="E16" s="193"/>
      <c r="F16" s="193"/>
      <c r="G16" s="193"/>
      <c r="H16" s="193"/>
      <c r="I16" s="193"/>
      <c r="J16" s="91"/>
      <c r="K16" s="91"/>
      <c r="L16" s="91"/>
      <c r="M16" s="91"/>
      <c r="N16" s="190"/>
      <c r="O16" s="190"/>
      <c r="P16" s="190"/>
    </row>
    <row r="17" spans="2:16" x14ac:dyDescent="0.25">
      <c r="B17" s="193"/>
      <c r="C17" s="193"/>
      <c r="D17" s="193"/>
      <c r="E17" s="193"/>
      <c r="F17" s="193"/>
      <c r="G17" s="193"/>
      <c r="H17" s="193"/>
      <c r="I17" s="193"/>
      <c r="J17" s="91"/>
      <c r="K17" s="91"/>
      <c r="L17" s="91"/>
      <c r="M17" s="91"/>
      <c r="N17" s="190"/>
      <c r="O17" s="190"/>
      <c r="P17" s="190"/>
    </row>
    <row r="18" spans="2:16" x14ac:dyDescent="0.25">
      <c r="B18" s="193"/>
      <c r="C18" s="193"/>
      <c r="D18" s="193"/>
      <c r="E18" s="193"/>
      <c r="F18" s="193"/>
      <c r="G18" s="193"/>
      <c r="H18" s="193"/>
      <c r="I18" s="193"/>
      <c r="J18" s="91"/>
      <c r="K18" s="91"/>
      <c r="L18" s="91"/>
      <c r="M18" s="91"/>
      <c r="N18" s="190"/>
      <c r="O18" s="190"/>
      <c r="P18" s="190"/>
    </row>
    <row r="19" spans="2:16" x14ac:dyDescent="0.25">
      <c r="B19" s="193"/>
      <c r="C19" s="193"/>
      <c r="D19" s="193"/>
      <c r="E19" s="193"/>
      <c r="F19" s="193"/>
      <c r="G19" s="193"/>
      <c r="H19" s="193"/>
      <c r="I19" s="193"/>
      <c r="J19" s="91"/>
      <c r="K19" s="91"/>
      <c r="L19" s="91"/>
      <c r="M19" s="91"/>
      <c r="N19" s="190"/>
      <c r="O19" s="190"/>
      <c r="P19" s="190"/>
    </row>
    <row r="20" spans="2:16" x14ac:dyDescent="0.25">
      <c r="B20" s="193"/>
      <c r="C20" s="193"/>
      <c r="D20" s="193"/>
      <c r="E20" s="193"/>
      <c r="F20" s="193"/>
      <c r="G20" s="193"/>
      <c r="H20" s="193"/>
      <c r="I20" s="193"/>
      <c r="J20" s="91"/>
      <c r="K20" s="91"/>
      <c r="L20" s="91"/>
      <c r="M20" s="91"/>
      <c r="N20" s="91"/>
      <c r="O20" s="91"/>
      <c r="P20" s="91"/>
    </row>
    <row r="21" spans="2:16" x14ac:dyDescent="0.25">
      <c r="B21" s="193"/>
      <c r="C21" s="193"/>
      <c r="D21" s="193"/>
      <c r="E21" s="193"/>
      <c r="F21" s="193"/>
      <c r="G21" s="193"/>
      <c r="H21" s="193"/>
      <c r="I21" s="193"/>
      <c r="J21" s="91"/>
      <c r="K21" s="91"/>
      <c r="L21" s="91"/>
      <c r="M21" s="91"/>
      <c r="N21" s="91"/>
      <c r="O21" s="91"/>
      <c r="P21" s="91"/>
    </row>
    <row r="22" spans="2:16" x14ac:dyDescent="0.25">
      <c r="B22" s="193"/>
      <c r="C22" s="193"/>
      <c r="D22" s="193"/>
      <c r="E22" s="193"/>
      <c r="F22" s="193"/>
      <c r="G22" s="193"/>
      <c r="H22" s="193"/>
      <c r="I22" s="193"/>
      <c r="J22" s="91"/>
      <c r="K22" s="91"/>
      <c r="L22" s="91"/>
      <c r="M22" s="91"/>
      <c r="N22" s="91"/>
      <c r="O22" s="91"/>
      <c r="P22" s="91"/>
    </row>
    <row r="23" spans="2:16" x14ac:dyDescent="0.25">
      <c r="B23" s="193"/>
      <c r="C23" s="193"/>
      <c r="D23" s="193"/>
      <c r="E23" s="193"/>
      <c r="F23" s="193"/>
      <c r="G23" s="193"/>
      <c r="H23" s="193"/>
      <c r="I23" s="193"/>
      <c r="J23" s="91"/>
      <c r="K23" s="91"/>
      <c r="L23" s="91"/>
      <c r="M23" s="91"/>
      <c r="N23" s="91"/>
      <c r="O23" s="91"/>
      <c r="P23" s="91"/>
    </row>
    <row r="24" spans="2:16" x14ac:dyDescent="0.25">
      <c r="B24" s="193"/>
      <c r="C24" s="193"/>
      <c r="D24" s="193"/>
      <c r="E24" s="193"/>
      <c r="F24" s="193"/>
      <c r="G24" s="193"/>
      <c r="H24" s="193"/>
      <c r="I24" s="193"/>
      <c r="J24" s="91"/>
      <c r="K24" s="91"/>
      <c r="L24" s="91"/>
      <c r="M24" s="91"/>
      <c r="N24" s="91"/>
      <c r="O24" s="91"/>
      <c r="P24" s="91"/>
    </row>
    <row r="29" spans="2:16" ht="17.399999999999999" x14ac:dyDescent="0.3">
      <c r="B29" s="191" t="s">
        <v>5</v>
      </c>
      <c r="C29" s="191"/>
      <c r="D29" s="191"/>
      <c r="E29" s="191"/>
      <c r="F29" s="191"/>
      <c r="G29" s="191"/>
      <c r="H29" s="191"/>
      <c r="I29" s="191"/>
      <c r="J29" s="91"/>
      <c r="K29" s="91"/>
      <c r="L29" s="91"/>
      <c r="M29" s="91"/>
      <c r="N29" s="91"/>
      <c r="O29" s="91"/>
      <c r="P29" s="91"/>
    </row>
    <row r="30" spans="2:16" ht="17.399999999999999" x14ac:dyDescent="0.3">
      <c r="B30" s="91"/>
      <c r="C30" s="7"/>
      <c r="D30" s="8"/>
      <c r="E30" s="8"/>
      <c r="F30" s="8"/>
      <c r="G30" s="8"/>
      <c r="H30" s="8"/>
      <c r="I30" s="8"/>
      <c r="J30" s="91"/>
      <c r="K30" s="91"/>
      <c r="L30" s="91"/>
      <c r="M30" s="91"/>
      <c r="N30" s="91"/>
      <c r="O30" s="91"/>
      <c r="P30" s="91"/>
    </row>
    <row r="31" spans="2:16" ht="17.399999999999999" x14ac:dyDescent="0.3">
      <c r="B31" s="191" t="s">
        <v>6</v>
      </c>
      <c r="C31" s="191"/>
      <c r="D31" s="191"/>
      <c r="E31" s="191"/>
      <c r="F31" s="191"/>
      <c r="G31" s="191"/>
      <c r="H31" s="191"/>
      <c r="I31" s="191"/>
      <c r="J31" s="91"/>
      <c r="K31" s="91"/>
      <c r="L31" s="91"/>
      <c r="M31" s="91"/>
      <c r="N31" s="91"/>
      <c r="O31" s="91"/>
      <c r="P31" s="91"/>
    </row>
    <row r="32" spans="2:16" ht="17.399999999999999" x14ac:dyDescent="0.3">
      <c r="B32" s="91"/>
      <c r="C32" s="7"/>
      <c r="D32" s="8"/>
      <c r="E32" s="8"/>
      <c r="F32" s="8"/>
      <c r="G32" s="8"/>
      <c r="H32" s="8"/>
      <c r="I32" s="8"/>
      <c r="J32" s="91"/>
      <c r="K32" s="91"/>
      <c r="L32" s="91"/>
      <c r="M32" s="91"/>
      <c r="N32" s="91"/>
      <c r="O32" s="91"/>
      <c r="P32" s="91"/>
    </row>
    <row r="33" spans="2:9" ht="17.399999999999999" x14ac:dyDescent="0.3">
      <c r="B33" s="191" t="s">
        <v>7</v>
      </c>
      <c r="C33" s="191"/>
      <c r="D33" s="191"/>
      <c r="E33" s="191"/>
      <c r="F33" s="191"/>
      <c r="G33" s="191"/>
      <c r="H33" s="191"/>
      <c r="I33" s="191"/>
    </row>
    <row r="34" spans="2:9" ht="17.399999999999999" x14ac:dyDescent="0.3">
      <c r="B34" s="91"/>
      <c r="C34" s="7"/>
      <c r="D34" s="8"/>
      <c r="E34" s="8"/>
      <c r="F34" s="8"/>
      <c r="G34" s="8"/>
      <c r="H34" s="8"/>
      <c r="I34" s="8"/>
    </row>
    <row r="35" spans="2:9" ht="17.399999999999999" x14ac:dyDescent="0.3">
      <c r="B35" s="191" t="s">
        <v>8</v>
      </c>
      <c r="C35" s="191"/>
      <c r="D35" s="191"/>
      <c r="E35" s="191"/>
      <c r="F35" s="191"/>
      <c r="G35" s="191"/>
      <c r="H35" s="191"/>
      <c r="I35" s="191"/>
    </row>
    <row r="37" spans="2:9" ht="17.399999999999999" x14ac:dyDescent="0.3">
      <c r="B37" s="191" t="s">
        <v>9</v>
      </c>
      <c r="C37" s="191"/>
      <c r="D37" s="191"/>
      <c r="E37" s="191"/>
      <c r="F37" s="191"/>
      <c r="G37" s="191"/>
      <c r="H37" s="191"/>
      <c r="I37" s="191"/>
    </row>
    <row r="39" spans="2:9" x14ac:dyDescent="0.25">
      <c r="B39" s="91" t="s">
        <v>10</v>
      </c>
      <c r="C39" s="144">
        <v>2022</v>
      </c>
      <c r="D39" s="91"/>
      <c r="E39" s="91"/>
      <c r="F39" s="91"/>
      <c r="G39" s="91"/>
      <c r="H39" s="91"/>
      <c r="I39" s="91"/>
    </row>
    <row r="40" spans="2:9" ht="14.25" customHeight="1" x14ac:dyDescent="0.25">
      <c r="B40" s="91"/>
      <c r="C40" s="91"/>
      <c r="D40" s="91"/>
      <c r="E40" s="91"/>
      <c r="F40" s="91"/>
      <c r="G40" s="91"/>
      <c r="H40" s="91"/>
      <c r="I40" s="91"/>
    </row>
    <row r="41" spans="2:9" x14ac:dyDescent="0.25">
      <c r="B41" s="145" t="s">
        <v>11</v>
      </c>
      <c r="C41" s="194" t="s">
        <v>12</v>
      </c>
      <c r="D41" s="194"/>
      <c r="E41" s="194"/>
      <c r="F41" s="194"/>
      <c r="G41" s="194"/>
      <c r="H41" s="194"/>
      <c r="I41" s="194"/>
    </row>
    <row r="42" spans="2:9" x14ac:dyDescent="0.25">
      <c r="B42" s="145"/>
      <c r="C42" s="91"/>
      <c r="D42" s="91"/>
      <c r="E42" s="91"/>
      <c r="F42" s="91"/>
      <c r="G42" s="91"/>
      <c r="H42" s="91"/>
      <c r="I42" s="91"/>
    </row>
    <row r="43" spans="2:9" x14ac:dyDescent="0.25">
      <c r="B43" s="145" t="s">
        <v>13</v>
      </c>
      <c r="C43" s="194" t="s">
        <v>14</v>
      </c>
      <c r="D43" s="194"/>
      <c r="E43" s="194"/>
      <c r="F43" s="91"/>
      <c r="G43" s="91"/>
      <c r="H43" s="91"/>
      <c r="I43" s="91"/>
    </row>
    <row r="44" spans="2:9" x14ac:dyDescent="0.25">
      <c r="B44" s="145"/>
      <c r="C44" s="91"/>
      <c r="D44" s="91"/>
      <c r="E44" s="91"/>
      <c r="F44" s="91"/>
      <c r="G44" s="91"/>
      <c r="H44" s="91"/>
      <c r="I44" s="91"/>
    </row>
    <row r="45" spans="2:9" ht="15.6" x14ac:dyDescent="0.3">
      <c r="B45" s="145" t="s">
        <v>15</v>
      </c>
      <c r="C45" s="196" t="s">
        <v>16</v>
      </c>
      <c r="D45" s="194"/>
      <c r="E45" s="194"/>
      <c r="F45" s="91"/>
      <c r="G45" s="91"/>
      <c r="H45" s="91"/>
      <c r="I45" s="91"/>
    </row>
    <row r="46" spans="2:9" x14ac:dyDescent="0.25">
      <c r="B46" s="145"/>
      <c r="C46" s="91"/>
      <c r="D46" s="91"/>
      <c r="E46" s="91"/>
      <c r="F46" s="91"/>
      <c r="G46" s="91"/>
      <c r="H46" s="91"/>
      <c r="I46" s="91"/>
    </row>
    <row r="47" spans="2:9" x14ac:dyDescent="0.25">
      <c r="B47" s="145" t="s">
        <v>17</v>
      </c>
      <c r="C47" s="194" t="s">
        <v>18</v>
      </c>
      <c r="D47" s="194"/>
      <c r="E47" s="194"/>
      <c r="F47" s="91" t="s">
        <v>19</v>
      </c>
      <c r="G47" s="194" t="s">
        <v>20</v>
      </c>
      <c r="H47" s="194"/>
      <c r="I47" s="194"/>
    </row>
    <row r="48" spans="2:9" x14ac:dyDescent="0.25">
      <c r="B48" s="145"/>
      <c r="C48" s="91"/>
      <c r="D48" s="91"/>
      <c r="E48" s="91"/>
      <c r="F48" s="91"/>
      <c r="G48" s="91"/>
      <c r="H48" s="91"/>
      <c r="I48" s="91"/>
    </row>
    <row r="49" spans="2:9" x14ac:dyDescent="0.25">
      <c r="B49" s="145" t="s">
        <v>21</v>
      </c>
      <c r="C49" s="194" t="s">
        <v>22</v>
      </c>
      <c r="D49" s="194"/>
      <c r="E49" s="194"/>
      <c r="F49" s="91" t="s">
        <v>19</v>
      </c>
      <c r="G49" s="194" t="s">
        <v>23</v>
      </c>
      <c r="H49" s="194"/>
      <c r="I49" s="194"/>
    </row>
    <row r="50" spans="2:9" x14ac:dyDescent="0.25">
      <c r="B50" s="145"/>
      <c r="C50" s="91"/>
      <c r="D50" s="91"/>
      <c r="E50" s="91"/>
      <c r="F50" s="91"/>
      <c r="G50" s="91"/>
      <c r="H50" s="91"/>
      <c r="I50" s="91"/>
    </row>
    <row r="51" spans="2:9" x14ac:dyDescent="0.25">
      <c r="B51" s="145" t="s">
        <v>24</v>
      </c>
      <c r="C51" s="144">
        <v>1</v>
      </c>
      <c r="D51" s="91"/>
      <c r="E51" s="91"/>
      <c r="F51" s="91"/>
      <c r="G51" s="91"/>
      <c r="H51" s="91"/>
      <c r="I51" s="91"/>
    </row>
    <row r="52" spans="2:9" x14ac:dyDescent="0.25">
      <c r="B52" s="145"/>
      <c r="C52" s="91"/>
      <c r="D52" s="91"/>
      <c r="E52" s="91"/>
      <c r="F52" s="91"/>
      <c r="G52" s="91"/>
      <c r="H52" s="91"/>
      <c r="I52" s="91"/>
    </row>
    <row r="53" spans="2:9" x14ac:dyDescent="0.25">
      <c r="B53" s="145" t="s">
        <v>25</v>
      </c>
      <c r="C53" s="195">
        <v>44952</v>
      </c>
      <c r="D53" s="194"/>
      <c r="E53" s="91"/>
      <c r="F53" s="91"/>
      <c r="G53" s="91"/>
      <c r="H53" s="91"/>
      <c r="I53" s="91"/>
    </row>
  </sheetData>
  <mergeCells count="16">
    <mergeCell ref="G49:I49"/>
    <mergeCell ref="C53:D53"/>
    <mergeCell ref="B37:I37"/>
    <mergeCell ref="C41:I41"/>
    <mergeCell ref="C43:E43"/>
    <mergeCell ref="C45:E45"/>
    <mergeCell ref="G47:I47"/>
    <mergeCell ref="C47:E47"/>
    <mergeCell ref="C49:E49"/>
    <mergeCell ref="N14:P19"/>
    <mergeCell ref="B35:I35"/>
    <mergeCell ref="D1:G6"/>
    <mergeCell ref="B8:I24"/>
    <mergeCell ref="B29:I29"/>
    <mergeCell ref="B31:I31"/>
    <mergeCell ref="B33:I33"/>
  </mergeCells>
  <hyperlinks>
    <hyperlink ref="C45" r:id="rId1" xr:uid="{5C538DB5-7065-48FC-96E5-997B47175325}"/>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D26" sqref="D26"/>
    </sheetView>
  </sheetViews>
  <sheetFormatPr defaultColWidth="9.33203125" defaultRowHeight="15" x14ac:dyDescent="0.25"/>
  <cols>
    <col min="1" max="1" width="9.33203125" style="2" customWidth="1"/>
    <col min="2" max="7" width="11.6640625" style="2" customWidth="1"/>
    <col min="8" max="8" width="10.109375" style="2" bestFit="1" customWidth="1"/>
    <col min="9" max="9" width="9.33203125" style="2"/>
    <col min="10" max="10" width="11.5546875" style="2" customWidth="1"/>
    <col min="11" max="16384" width="9.33203125" style="2"/>
  </cols>
  <sheetData>
    <row r="1" spans="1:15" x14ac:dyDescent="0.25">
      <c r="A1" s="91" t="str">
        <f>+'Cover Page'!$B$29</f>
        <v>Annual Performance Report 2022</v>
      </c>
      <c r="B1" s="91"/>
      <c r="C1" s="91"/>
      <c r="D1" s="91"/>
      <c r="E1" s="91" t="str">
        <f>+'Cover Page'!$B$33</f>
        <v>Kemsley Generating Station</v>
      </c>
      <c r="F1" s="91"/>
      <c r="G1" s="91"/>
      <c r="H1" s="91"/>
      <c r="I1" s="91"/>
      <c r="J1" s="91"/>
      <c r="K1" s="91"/>
      <c r="L1" s="91"/>
      <c r="M1" s="91"/>
      <c r="N1" s="91"/>
      <c r="O1" s="91"/>
    </row>
    <row r="3" spans="1:15" ht="15.6" x14ac:dyDescent="0.3">
      <c r="A3" s="52" t="s">
        <v>26</v>
      </c>
      <c r="B3" s="146"/>
      <c r="C3" s="146"/>
      <c r="D3" s="146"/>
      <c r="E3" s="146"/>
      <c r="F3" s="146"/>
      <c r="G3" s="146"/>
      <c r="H3" s="147"/>
      <c r="I3" s="91"/>
      <c r="J3" s="91"/>
      <c r="K3" s="74" t="s">
        <v>3</v>
      </c>
      <c r="L3" s="91"/>
      <c r="M3" s="91"/>
      <c r="N3" s="91"/>
      <c r="O3" s="91"/>
    </row>
    <row r="4" spans="1:15" ht="15.6" x14ac:dyDescent="0.3">
      <c r="A4" s="5" t="s">
        <v>27</v>
      </c>
      <c r="B4" s="198" t="s">
        <v>28</v>
      </c>
      <c r="C4" s="198"/>
      <c r="D4" s="198"/>
      <c r="E4" s="198"/>
      <c r="F4" s="198"/>
      <c r="G4" s="198"/>
      <c r="H4" s="6" t="s">
        <v>29</v>
      </c>
      <c r="I4" s="91"/>
      <c r="J4" s="91"/>
      <c r="K4" s="72" t="s">
        <v>30</v>
      </c>
      <c r="L4" s="91"/>
      <c r="M4" s="91"/>
      <c r="N4" s="91"/>
      <c r="O4" s="91"/>
    </row>
    <row r="5" spans="1:15" ht="15.6" customHeight="1" x14ac:dyDescent="0.25">
      <c r="A5" s="4">
        <v>1</v>
      </c>
      <c r="B5" s="197" t="s">
        <v>31</v>
      </c>
      <c r="C5" s="197"/>
      <c r="D5" s="197"/>
      <c r="E5" s="197"/>
      <c r="F5" s="197"/>
      <c r="G5" s="197"/>
      <c r="H5" s="4">
        <v>3</v>
      </c>
      <c r="I5" s="91"/>
      <c r="J5" s="91"/>
      <c r="K5" s="190" t="s">
        <v>32</v>
      </c>
      <c r="L5" s="190"/>
      <c r="M5" s="190"/>
      <c r="N5" s="190"/>
      <c r="O5" s="190"/>
    </row>
    <row r="6" spans="1:15" x14ac:dyDescent="0.25">
      <c r="A6" s="4">
        <v>2</v>
      </c>
      <c r="B6" s="197" t="s">
        <v>33</v>
      </c>
      <c r="C6" s="197"/>
      <c r="D6" s="197"/>
      <c r="E6" s="197"/>
      <c r="F6" s="197"/>
      <c r="G6" s="197"/>
      <c r="H6" s="4">
        <v>4</v>
      </c>
      <c r="I6" s="91"/>
      <c r="J6" s="91"/>
      <c r="K6" s="190"/>
      <c r="L6" s="190"/>
      <c r="M6" s="190"/>
      <c r="N6" s="190"/>
      <c r="O6" s="190"/>
    </row>
    <row r="7" spans="1:15" ht="15.75" customHeight="1" x14ac:dyDescent="0.25">
      <c r="A7" s="4">
        <v>3</v>
      </c>
      <c r="B7" s="197" t="s">
        <v>34</v>
      </c>
      <c r="C7" s="197"/>
      <c r="D7" s="197"/>
      <c r="E7" s="197"/>
      <c r="F7" s="197"/>
      <c r="G7" s="197"/>
      <c r="H7" s="4">
        <v>5</v>
      </c>
      <c r="I7" s="91"/>
      <c r="J7" s="91"/>
      <c r="K7" s="190"/>
      <c r="L7" s="190"/>
      <c r="M7" s="190"/>
      <c r="N7" s="190"/>
      <c r="O7" s="190"/>
    </row>
    <row r="8" spans="1:15" x14ac:dyDescent="0.25">
      <c r="A8" s="4">
        <v>4</v>
      </c>
      <c r="B8" s="197" t="s">
        <v>35</v>
      </c>
      <c r="C8" s="197"/>
      <c r="D8" s="197"/>
      <c r="E8" s="197"/>
      <c r="F8" s="197"/>
      <c r="G8" s="197"/>
      <c r="H8" s="4">
        <v>6</v>
      </c>
      <c r="I8" s="91"/>
      <c r="J8" s="91"/>
      <c r="K8" s="190"/>
      <c r="L8" s="190"/>
      <c r="M8" s="190"/>
      <c r="N8" s="190"/>
      <c r="O8" s="190"/>
    </row>
    <row r="9" spans="1:15" x14ac:dyDescent="0.25">
      <c r="A9" s="4">
        <v>5</v>
      </c>
      <c r="B9" s="197" t="s">
        <v>36</v>
      </c>
      <c r="C9" s="197"/>
      <c r="D9" s="197"/>
      <c r="E9" s="197"/>
      <c r="F9" s="197"/>
      <c r="G9" s="197"/>
      <c r="H9" s="4">
        <v>7</v>
      </c>
      <c r="I9" s="91"/>
      <c r="J9" s="91"/>
      <c r="K9" s="91"/>
      <c r="L9" s="91"/>
      <c r="M9" s="91"/>
      <c r="N9" s="91"/>
      <c r="O9" s="91"/>
    </row>
    <row r="10" spans="1:15" x14ac:dyDescent="0.25">
      <c r="A10" s="4">
        <v>6</v>
      </c>
      <c r="B10" s="197" t="s">
        <v>37</v>
      </c>
      <c r="C10" s="197"/>
      <c r="D10" s="197"/>
      <c r="E10" s="197"/>
      <c r="F10" s="197"/>
      <c r="G10" s="197"/>
      <c r="H10" s="4">
        <v>8</v>
      </c>
      <c r="I10" s="91"/>
      <c r="J10" s="91"/>
      <c r="K10" s="91"/>
      <c r="L10" s="91"/>
      <c r="M10" s="91"/>
      <c r="N10" s="91"/>
      <c r="O10" s="91"/>
    </row>
    <row r="11" spans="1:15" x14ac:dyDescent="0.25">
      <c r="A11" s="4">
        <v>7</v>
      </c>
      <c r="B11" s="197" t="s">
        <v>38</v>
      </c>
      <c r="C11" s="197"/>
      <c r="D11" s="197"/>
      <c r="E11" s="197"/>
      <c r="F11" s="197"/>
      <c r="G11" s="197"/>
      <c r="H11" s="4">
        <v>9</v>
      </c>
      <c r="I11" s="91"/>
      <c r="J11" s="91"/>
      <c r="K11" s="91"/>
      <c r="L11" s="91"/>
      <c r="M11" s="91"/>
      <c r="N11" s="91"/>
      <c r="O11" s="91"/>
    </row>
    <row r="12" spans="1:15" x14ac:dyDescent="0.25">
      <c r="A12" s="4">
        <v>8</v>
      </c>
      <c r="B12" s="197" t="s">
        <v>39</v>
      </c>
      <c r="C12" s="197"/>
      <c r="D12" s="197"/>
      <c r="E12" s="197"/>
      <c r="F12" s="197"/>
      <c r="G12" s="197"/>
      <c r="H12" s="4">
        <v>10</v>
      </c>
      <c r="I12" s="91"/>
      <c r="J12" s="91"/>
      <c r="K12" s="91"/>
      <c r="L12" s="91"/>
      <c r="M12" s="91"/>
      <c r="N12" s="91"/>
      <c r="O12" s="91"/>
    </row>
    <row r="13" spans="1:15" x14ac:dyDescent="0.25">
      <c r="A13" s="4">
        <v>9</v>
      </c>
      <c r="B13" s="197" t="s">
        <v>40</v>
      </c>
      <c r="C13" s="197"/>
      <c r="D13" s="197"/>
      <c r="E13" s="197"/>
      <c r="F13" s="197"/>
      <c r="G13" s="197"/>
      <c r="H13" s="4">
        <v>11</v>
      </c>
      <c r="I13" s="91"/>
      <c r="J13" s="91"/>
      <c r="K13" s="91"/>
      <c r="L13" s="91"/>
      <c r="M13" s="91"/>
      <c r="N13" s="91"/>
      <c r="O13" s="91"/>
    </row>
    <row r="14" spans="1:15" x14ac:dyDescent="0.25">
      <c r="A14" s="4">
        <v>10</v>
      </c>
      <c r="B14" s="197" t="s">
        <v>41</v>
      </c>
      <c r="C14" s="197"/>
      <c r="D14" s="197"/>
      <c r="E14" s="197"/>
      <c r="F14" s="197"/>
      <c r="G14" s="197"/>
      <c r="H14" s="4">
        <v>12</v>
      </c>
      <c r="I14" s="91"/>
      <c r="J14" s="91"/>
      <c r="K14" s="91"/>
      <c r="L14" s="91"/>
      <c r="M14" s="91"/>
      <c r="N14" s="91"/>
      <c r="O14" s="91"/>
    </row>
    <row r="15" spans="1:15" x14ac:dyDescent="0.25">
      <c r="A15" s="4">
        <v>11</v>
      </c>
      <c r="B15" s="197" t="s">
        <v>42</v>
      </c>
      <c r="C15" s="197"/>
      <c r="D15" s="197"/>
      <c r="E15" s="197"/>
      <c r="F15" s="197"/>
      <c r="G15" s="197"/>
      <c r="H15" s="4">
        <v>13</v>
      </c>
      <c r="I15" s="91"/>
      <c r="J15" s="91"/>
      <c r="K15" s="91"/>
      <c r="L15" s="91"/>
      <c r="M15" s="91"/>
      <c r="N15" s="91"/>
      <c r="O15" s="91"/>
    </row>
    <row r="16" spans="1:15" x14ac:dyDescent="0.25">
      <c r="A16" s="4">
        <v>12</v>
      </c>
      <c r="B16" s="197" t="s">
        <v>43</v>
      </c>
      <c r="C16" s="197"/>
      <c r="D16" s="197"/>
      <c r="E16" s="197"/>
      <c r="F16" s="197"/>
      <c r="G16" s="197"/>
      <c r="H16" s="4">
        <v>14</v>
      </c>
      <c r="I16" s="91"/>
      <c r="J16" s="91"/>
      <c r="K16" s="91"/>
      <c r="L16" s="91"/>
      <c r="M16" s="91"/>
      <c r="N16" s="91"/>
      <c r="O16" s="91"/>
    </row>
    <row r="17" spans="1:8" x14ac:dyDescent="0.25">
      <c r="A17" s="4">
        <v>13</v>
      </c>
      <c r="B17" s="197" t="s">
        <v>44</v>
      </c>
      <c r="C17" s="197"/>
      <c r="D17" s="197"/>
      <c r="E17" s="197"/>
      <c r="F17" s="197"/>
      <c r="G17" s="197"/>
      <c r="H17" s="4">
        <v>15</v>
      </c>
    </row>
    <row r="18" spans="1:8" x14ac:dyDescent="0.25">
      <c r="A18" s="4">
        <v>14</v>
      </c>
      <c r="B18" s="197" t="s">
        <v>45</v>
      </c>
      <c r="C18" s="197"/>
      <c r="D18" s="197"/>
      <c r="E18" s="197"/>
      <c r="F18" s="197"/>
      <c r="G18" s="197"/>
      <c r="H18" s="4">
        <v>16</v>
      </c>
    </row>
    <row r="19" spans="1:8" x14ac:dyDescent="0.25">
      <c r="A19" s="4">
        <v>15</v>
      </c>
      <c r="B19" s="197" t="s">
        <v>46</v>
      </c>
      <c r="C19" s="197"/>
      <c r="D19" s="197"/>
      <c r="E19" s="197"/>
      <c r="F19" s="197"/>
      <c r="G19" s="197"/>
      <c r="H19" s="4">
        <v>17</v>
      </c>
    </row>
    <row r="20" spans="1:8" x14ac:dyDescent="0.25">
      <c r="A20" s="4">
        <v>16</v>
      </c>
      <c r="B20" s="197" t="s">
        <v>47</v>
      </c>
      <c r="C20" s="197"/>
      <c r="D20" s="197"/>
      <c r="E20" s="197"/>
      <c r="F20" s="197"/>
      <c r="G20" s="197"/>
      <c r="H20" s="4">
        <v>18</v>
      </c>
    </row>
    <row r="21" spans="1:8" x14ac:dyDescent="0.25">
      <c r="A21" s="4">
        <v>17</v>
      </c>
      <c r="B21" s="197" t="s">
        <v>48</v>
      </c>
      <c r="C21" s="197"/>
      <c r="D21" s="197"/>
      <c r="E21" s="197"/>
      <c r="F21" s="197"/>
      <c r="G21" s="197"/>
      <c r="H21" s="4">
        <v>19</v>
      </c>
    </row>
    <row r="22" spans="1:8" x14ac:dyDescent="0.25">
      <c r="A22" s="4">
        <v>18</v>
      </c>
      <c r="B22" s="197" t="s">
        <v>49</v>
      </c>
      <c r="C22" s="197"/>
      <c r="D22" s="197"/>
      <c r="E22" s="197"/>
      <c r="F22" s="197"/>
      <c r="G22" s="197"/>
      <c r="H22" s="4">
        <v>20</v>
      </c>
    </row>
    <row r="23" spans="1:8" x14ac:dyDescent="0.25">
      <c r="A23" s="4">
        <v>19</v>
      </c>
      <c r="B23" s="200" t="s">
        <v>50</v>
      </c>
      <c r="C23" s="201"/>
      <c r="D23" s="201"/>
      <c r="E23" s="201"/>
      <c r="F23" s="201"/>
      <c r="G23" s="202"/>
      <c r="H23" s="4">
        <v>21</v>
      </c>
    </row>
    <row r="24" spans="1:8" x14ac:dyDescent="0.25">
      <c r="A24" s="4">
        <v>20</v>
      </c>
      <c r="B24" s="200" t="s">
        <v>51</v>
      </c>
      <c r="C24" s="201"/>
      <c r="D24" s="201"/>
      <c r="E24" s="201"/>
      <c r="F24" s="201"/>
      <c r="G24" s="202"/>
      <c r="H24" s="4">
        <v>22</v>
      </c>
    </row>
    <row r="25" spans="1:8" x14ac:dyDescent="0.25">
      <c r="A25" s="4"/>
      <c r="B25" s="203"/>
      <c r="C25" s="203"/>
      <c r="D25" s="203"/>
      <c r="E25" s="203"/>
      <c r="F25" s="203"/>
      <c r="G25" s="203"/>
      <c r="H25" s="4"/>
    </row>
    <row r="27" spans="1:8" x14ac:dyDescent="0.25">
      <c r="A27" s="51" t="s">
        <v>52</v>
      </c>
      <c r="B27" s="146"/>
      <c r="C27" s="146"/>
      <c r="D27" s="146"/>
      <c r="E27" s="146"/>
      <c r="F27" s="146"/>
      <c r="G27" s="146"/>
      <c r="H27" s="147"/>
    </row>
    <row r="28" spans="1:8" x14ac:dyDescent="0.25">
      <c r="A28" s="10" t="s">
        <v>27</v>
      </c>
      <c r="B28" s="204" t="s">
        <v>53</v>
      </c>
      <c r="C28" s="204"/>
      <c r="D28" s="204"/>
      <c r="E28" s="204"/>
      <c r="F28" s="204"/>
      <c r="G28" s="204"/>
      <c r="H28" s="11" t="s">
        <v>54</v>
      </c>
    </row>
    <row r="29" spans="1:8" x14ac:dyDescent="0.25">
      <c r="A29" s="137" t="s">
        <v>55</v>
      </c>
      <c r="B29" s="205" t="s">
        <v>56</v>
      </c>
      <c r="C29" s="205"/>
      <c r="D29" s="205"/>
      <c r="E29" s="205"/>
      <c r="F29" s="205"/>
      <c r="G29" s="205"/>
      <c r="H29" s="148">
        <v>44952</v>
      </c>
    </row>
    <row r="30" spans="1:8" x14ac:dyDescent="0.25">
      <c r="A30" s="137"/>
      <c r="B30" s="205"/>
      <c r="C30" s="205"/>
      <c r="D30" s="205"/>
      <c r="E30" s="205"/>
      <c r="F30" s="205"/>
      <c r="G30" s="205"/>
      <c r="H30" s="137"/>
    </row>
    <row r="31" spans="1:8" x14ac:dyDescent="0.25">
      <c r="A31" s="137"/>
      <c r="B31" s="205"/>
      <c r="C31" s="205"/>
      <c r="D31" s="205"/>
      <c r="E31" s="205"/>
      <c r="F31" s="205"/>
      <c r="G31" s="205"/>
      <c r="H31" s="137"/>
    </row>
    <row r="32" spans="1:8" x14ac:dyDescent="0.25">
      <c r="A32" s="137"/>
      <c r="B32" s="205"/>
      <c r="C32" s="205"/>
      <c r="D32" s="205"/>
      <c r="E32" s="205"/>
      <c r="F32" s="205"/>
      <c r="G32" s="205"/>
      <c r="H32" s="137"/>
    </row>
    <row r="33" spans="1:10" x14ac:dyDescent="0.25">
      <c r="A33" s="137"/>
      <c r="B33" s="205"/>
      <c r="C33" s="205"/>
      <c r="D33" s="205"/>
      <c r="E33" s="205"/>
      <c r="F33" s="205"/>
      <c r="G33" s="205"/>
      <c r="H33" s="137"/>
      <c r="I33" s="91"/>
      <c r="J33" s="91"/>
    </row>
    <row r="35" spans="1:10" ht="14.25" customHeight="1" x14ac:dyDescent="0.25">
      <c r="A35" s="51" t="s">
        <v>57</v>
      </c>
      <c r="B35" s="146"/>
      <c r="C35" s="146"/>
      <c r="D35" s="146"/>
      <c r="E35" s="146"/>
      <c r="F35" s="146"/>
      <c r="G35" s="146"/>
      <c r="H35" s="147"/>
      <c r="I35" s="91"/>
      <c r="J35" s="91"/>
    </row>
    <row r="36" spans="1:10" x14ac:dyDescent="0.25">
      <c r="A36" s="13" t="s">
        <v>58</v>
      </c>
      <c r="B36" s="206" t="s">
        <v>59</v>
      </c>
      <c r="C36" s="206"/>
      <c r="D36" s="206"/>
      <c r="E36" s="206"/>
      <c r="F36" s="206"/>
      <c r="G36" s="206"/>
      <c r="H36" s="14" t="s">
        <v>60</v>
      </c>
      <c r="I36" s="91"/>
      <c r="J36" s="91"/>
    </row>
    <row r="37" spans="1:10" x14ac:dyDescent="0.25">
      <c r="A37" s="149"/>
      <c r="B37" s="199" t="s">
        <v>61</v>
      </c>
      <c r="C37" s="199"/>
      <c r="D37" s="199"/>
      <c r="E37" s="199"/>
      <c r="F37" s="199"/>
      <c r="G37" s="199"/>
      <c r="H37" s="149"/>
      <c r="I37" s="91"/>
      <c r="J37" s="91"/>
    </row>
    <row r="38" spans="1:10" x14ac:dyDescent="0.25">
      <c r="A38" s="149"/>
      <c r="B38" s="199" t="s">
        <v>62</v>
      </c>
      <c r="C38" s="199"/>
      <c r="D38" s="199"/>
      <c r="E38" s="199"/>
      <c r="F38" s="199"/>
      <c r="G38" s="199"/>
      <c r="H38" s="149"/>
      <c r="I38" s="91"/>
      <c r="J38" s="91"/>
    </row>
    <row r="39" spans="1:10" x14ac:dyDescent="0.25">
      <c r="A39" s="149"/>
      <c r="B39" s="199" t="s">
        <v>63</v>
      </c>
      <c r="C39" s="199"/>
      <c r="D39" s="199"/>
      <c r="E39" s="199"/>
      <c r="F39" s="199"/>
      <c r="G39" s="199"/>
      <c r="H39" s="149"/>
      <c r="I39" s="91"/>
      <c r="J39" s="91"/>
    </row>
    <row r="40" spans="1:10" x14ac:dyDescent="0.25">
      <c r="A40" s="149"/>
      <c r="B40" s="199" t="s">
        <v>64</v>
      </c>
      <c r="C40" s="199"/>
      <c r="D40" s="199"/>
      <c r="E40" s="199"/>
      <c r="F40" s="199"/>
      <c r="G40" s="199"/>
      <c r="H40" s="149"/>
      <c r="I40" s="91"/>
      <c r="J40" s="91"/>
    </row>
    <row r="41" spans="1:10" x14ac:dyDescent="0.25">
      <c r="A41" s="149"/>
      <c r="B41" s="199"/>
      <c r="C41" s="199"/>
      <c r="D41" s="199"/>
      <c r="E41" s="199"/>
      <c r="F41" s="199"/>
      <c r="G41" s="199"/>
      <c r="H41" s="149"/>
      <c r="I41" s="91"/>
      <c r="J41" s="91"/>
    </row>
    <row r="42" spans="1:10" x14ac:dyDescent="0.25">
      <c r="A42" s="149"/>
      <c r="B42" s="199"/>
      <c r="C42" s="199"/>
      <c r="D42" s="199"/>
      <c r="E42" s="199"/>
      <c r="F42" s="199"/>
      <c r="G42" s="199"/>
      <c r="H42" s="149"/>
      <c r="I42" s="91"/>
      <c r="J42" s="91"/>
    </row>
    <row r="43" spans="1:10" x14ac:dyDescent="0.25">
      <c r="A43" s="149"/>
      <c r="B43" s="199"/>
      <c r="C43" s="199"/>
      <c r="D43" s="199"/>
      <c r="E43" s="199"/>
      <c r="F43" s="199"/>
      <c r="G43" s="199"/>
      <c r="H43" s="149"/>
      <c r="I43" s="91"/>
      <c r="J43" s="91"/>
    </row>
    <row r="45" spans="1:10" x14ac:dyDescent="0.25">
      <c r="A45" s="207" t="s">
        <v>65</v>
      </c>
      <c r="B45" s="208"/>
      <c r="C45" s="208"/>
      <c r="D45" s="208"/>
      <c r="E45" s="208"/>
      <c r="F45" s="208"/>
      <c r="G45" s="208"/>
      <c r="H45" s="208"/>
      <c r="I45" s="208"/>
      <c r="J45" s="209"/>
    </row>
    <row r="46" spans="1:10" x14ac:dyDescent="0.25">
      <c r="A46" s="210"/>
      <c r="B46" s="211"/>
      <c r="C46" s="211"/>
      <c r="D46" s="211"/>
      <c r="E46" s="211"/>
      <c r="F46" s="211"/>
      <c r="G46" s="211"/>
      <c r="H46" s="211"/>
      <c r="I46" s="211"/>
      <c r="J46" s="212"/>
    </row>
    <row r="47" spans="1:10" x14ac:dyDescent="0.25">
      <c r="A47" s="210"/>
      <c r="B47" s="211"/>
      <c r="C47" s="211"/>
      <c r="D47" s="211"/>
      <c r="E47" s="211"/>
      <c r="F47" s="211"/>
      <c r="G47" s="211"/>
      <c r="H47" s="211"/>
      <c r="I47" s="211"/>
      <c r="J47" s="212"/>
    </row>
    <row r="48" spans="1:10" x14ac:dyDescent="0.25">
      <c r="A48" s="213"/>
      <c r="B48" s="214"/>
      <c r="C48" s="214"/>
      <c r="D48" s="214"/>
      <c r="E48" s="214"/>
      <c r="F48" s="214"/>
      <c r="G48" s="214"/>
      <c r="H48" s="214"/>
      <c r="I48" s="214"/>
      <c r="J48" s="215"/>
    </row>
    <row r="66" spans="6:6" x14ac:dyDescent="0.25">
      <c r="F66" s="3"/>
    </row>
  </sheetData>
  <mergeCells count="38">
    <mergeCell ref="A45:J48"/>
    <mergeCell ref="B38:G38"/>
    <mergeCell ref="B39:G39"/>
    <mergeCell ref="B40:G40"/>
    <mergeCell ref="B41:G41"/>
    <mergeCell ref="B42:G42"/>
    <mergeCell ref="B43:G43"/>
    <mergeCell ref="B37:G37"/>
    <mergeCell ref="B23:G23"/>
    <mergeCell ref="B24:G24"/>
    <mergeCell ref="B25:G25"/>
    <mergeCell ref="B28:G28"/>
    <mergeCell ref="B29:G29"/>
    <mergeCell ref="B30:G30"/>
    <mergeCell ref="B31:G31"/>
    <mergeCell ref="B32:G32"/>
    <mergeCell ref="B33:G33"/>
    <mergeCell ref="B36:G36"/>
    <mergeCell ref="B22:G22"/>
    <mergeCell ref="B10:G10"/>
    <mergeCell ref="B11:G11"/>
    <mergeCell ref="B12:G12"/>
    <mergeCell ref="B13:G13"/>
    <mergeCell ref="B15:G15"/>
    <mergeCell ref="B16:G16"/>
    <mergeCell ref="B17:G17"/>
    <mergeCell ref="B18:G18"/>
    <mergeCell ref="B19:G19"/>
    <mergeCell ref="B20:G20"/>
    <mergeCell ref="B21:G21"/>
    <mergeCell ref="B14:G14"/>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4"/>
  <sheetViews>
    <sheetView workbookViewId="0">
      <selection activeCell="A4" sqref="A4:I17"/>
    </sheetView>
  </sheetViews>
  <sheetFormatPr defaultColWidth="9.33203125" defaultRowHeight="15" x14ac:dyDescent="0.25"/>
  <cols>
    <col min="1" max="9" width="14.33203125" style="2" customWidth="1"/>
    <col min="10" max="10" width="11.5546875" style="2" customWidth="1"/>
    <col min="11" max="16384" width="9.33203125" style="2"/>
  </cols>
  <sheetData>
    <row r="1" spans="1:14" x14ac:dyDescent="0.25">
      <c r="A1" s="91" t="str">
        <f>+'Cover Page'!$B$29</f>
        <v>Annual Performance Report 2022</v>
      </c>
      <c r="B1" s="91"/>
      <c r="C1" s="91"/>
      <c r="D1" s="91"/>
      <c r="E1" s="91" t="str">
        <f>+'Cover Page'!$B$33</f>
        <v>Kemsley Generating Station</v>
      </c>
      <c r="F1" s="91"/>
      <c r="G1" s="91"/>
      <c r="H1" s="91"/>
      <c r="I1" s="91"/>
      <c r="J1" s="91"/>
      <c r="K1" s="91"/>
      <c r="L1" s="91"/>
      <c r="M1" s="91"/>
      <c r="N1" s="91"/>
    </row>
    <row r="2" spans="1:14" x14ac:dyDescent="0.25">
      <c r="A2" s="91" t="s">
        <v>66</v>
      </c>
      <c r="B2" s="91"/>
      <c r="C2" s="91"/>
      <c r="D2" s="91"/>
      <c r="E2" s="91"/>
      <c r="F2" s="91"/>
      <c r="G2" s="91"/>
      <c r="H2" s="91"/>
      <c r="I2" s="91"/>
      <c r="J2" s="91"/>
      <c r="K2" s="91"/>
      <c r="L2" s="91"/>
      <c r="M2" s="91"/>
      <c r="N2" s="91"/>
    </row>
    <row r="3" spans="1:14" ht="15.6" x14ac:dyDescent="0.3">
      <c r="A3" s="50" t="s">
        <v>67</v>
      </c>
      <c r="B3" s="150"/>
      <c r="C3" s="150"/>
      <c r="D3" s="150"/>
      <c r="E3" s="150"/>
      <c r="F3" s="150"/>
      <c r="G3" s="150"/>
      <c r="H3" s="150"/>
      <c r="I3" s="151"/>
      <c r="J3" s="91"/>
      <c r="K3" s="80" t="s">
        <v>3</v>
      </c>
      <c r="L3" s="91"/>
      <c r="M3" s="91"/>
      <c r="N3" s="91"/>
    </row>
    <row r="4" spans="1:14" ht="18.600000000000001" customHeight="1" x14ac:dyDescent="0.25">
      <c r="A4" s="216" t="s">
        <v>68</v>
      </c>
      <c r="B4" s="217"/>
      <c r="C4" s="217"/>
      <c r="D4" s="217"/>
      <c r="E4" s="217"/>
      <c r="F4" s="217"/>
      <c r="G4" s="217"/>
      <c r="H4" s="217"/>
      <c r="I4" s="218"/>
      <c r="J4" s="91"/>
      <c r="K4" s="234" t="s">
        <v>69</v>
      </c>
      <c r="L4" s="234"/>
      <c r="M4" s="234"/>
      <c r="N4" s="234"/>
    </row>
    <row r="5" spans="1:14" ht="18.600000000000001" customHeight="1" x14ac:dyDescent="0.25">
      <c r="A5" s="219"/>
      <c r="B5" s="220"/>
      <c r="C5" s="220"/>
      <c r="D5" s="220"/>
      <c r="E5" s="220"/>
      <c r="F5" s="220"/>
      <c r="G5" s="220"/>
      <c r="H5" s="220"/>
      <c r="I5" s="221"/>
      <c r="J5" s="91"/>
      <c r="K5" s="234"/>
      <c r="L5" s="234"/>
      <c r="M5" s="234"/>
      <c r="N5" s="234"/>
    </row>
    <row r="6" spans="1:14" ht="18.600000000000001" customHeight="1" x14ac:dyDescent="0.25">
      <c r="A6" s="219"/>
      <c r="B6" s="220"/>
      <c r="C6" s="220"/>
      <c r="D6" s="220"/>
      <c r="E6" s="220"/>
      <c r="F6" s="220"/>
      <c r="G6" s="220"/>
      <c r="H6" s="220"/>
      <c r="I6" s="221"/>
      <c r="J6" s="91"/>
      <c r="K6" s="234"/>
      <c r="L6" s="234"/>
      <c r="M6" s="234"/>
      <c r="N6" s="234"/>
    </row>
    <row r="7" spans="1:14" ht="18.600000000000001" customHeight="1" x14ac:dyDescent="0.25">
      <c r="A7" s="219"/>
      <c r="B7" s="220"/>
      <c r="C7" s="220"/>
      <c r="D7" s="220"/>
      <c r="E7" s="220"/>
      <c r="F7" s="220"/>
      <c r="G7" s="220"/>
      <c r="H7" s="220"/>
      <c r="I7" s="221"/>
      <c r="J7" s="91"/>
      <c r="K7" s="234"/>
      <c r="L7" s="234"/>
      <c r="M7" s="234"/>
      <c r="N7" s="234"/>
    </row>
    <row r="8" spans="1:14" ht="18.600000000000001" customHeight="1" x14ac:dyDescent="0.25">
      <c r="A8" s="219"/>
      <c r="B8" s="220"/>
      <c r="C8" s="220"/>
      <c r="D8" s="220"/>
      <c r="E8" s="220"/>
      <c r="F8" s="220"/>
      <c r="G8" s="220"/>
      <c r="H8" s="220"/>
      <c r="I8" s="221"/>
      <c r="J8" s="91"/>
      <c r="K8" s="234"/>
      <c r="L8" s="234"/>
      <c r="M8" s="234"/>
      <c r="N8" s="234"/>
    </row>
    <row r="9" spans="1:14" ht="18.600000000000001" customHeight="1" x14ac:dyDescent="0.25">
      <c r="A9" s="219"/>
      <c r="B9" s="220"/>
      <c r="C9" s="220"/>
      <c r="D9" s="220"/>
      <c r="E9" s="220"/>
      <c r="F9" s="220"/>
      <c r="G9" s="220"/>
      <c r="H9" s="220"/>
      <c r="I9" s="221"/>
      <c r="J9" s="91"/>
      <c r="K9" s="234"/>
      <c r="L9" s="234"/>
      <c r="M9" s="234"/>
      <c r="N9" s="234"/>
    </row>
    <row r="10" spans="1:14" ht="18.600000000000001" customHeight="1" x14ac:dyDescent="0.25">
      <c r="A10" s="219"/>
      <c r="B10" s="220"/>
      <c r="C10" s="220"/>
      <c r="D10" s="220"/>
      <c r="E10" s="220"/>
      <c r="F10" s="220"/>
      <c r="G10" s="220"/>
      <c r="H10" s="220"/>
      <c r="I10" s="221"/>
      <c r="J10" s="91"/>
      <c r="K10" s="234"/>
      <c r="L10" s="234"/>
      <c r="M10" s="234"/>
      <c r="N10" s="234"/>
    </row>
    <row r="11" spans="1:14" ht="18.600000000000001" customHeight="1" x14ac:dyDescent="0.25">
      <c r="A11" s="219"/>
      <c r="B11" s="220"/>
      <c r="C11" s="220"/>
      <c r="D11" s="220"/>
      <c r="E11" s="220"/>
      <c r="F11" s="220"/>
      <c r="G11" s="220"/>
      <c r="H11" s="220"/>
      <c r="I11" s="221"/>
      <c r="J11" s="91"/>
      <c r="K11" s="234"/>
      <c r="L11" s="234"/>
      <c r="M11" s="234"/>
      <c r="N11" s="234"/>
    </row>
    <row r="12" spans="1:14" ht="18.600000000000001" customHeight="1" x14ac:dyDescent="0.25">
      <c r="A12" s="219"/>
      <c r="B12" s="220"/>
      <c r="C12" s="220"/>
      <c r="D12" s="220"/>
      <c r="E12" s="220"/>
      <c r="F12" s="220"/>
      <c r="G12" s="220"/>
      <c r="H12" s="220"/>
      <c r="I12" s="221"/>
      <c r="J12" s="91"/>
      <c r="K12" s="234"/>
      <c r="L12" s="234"/>
      <c r="M12" s="234"/>
      <c r="N12" s="234"/>
    </row>
    <row r="13" spans="1:14" ht="18.600000000000001" customHeight="1" x14ac:dyDescent="0.25">
      <c r="A13" s="219"/>
      <c r="B13" s="220"/>
      <c r="C13" s="220"/>
      <c r="D13" s="220"/>
      <c r="E13" s="220"/>
      <c r="F13" s="220"/>
      <c r="G13" s="220"/>
      <c r="H13" s="220"/>
      <c r="I13" s="221"/>
      <c r="J13" s="91"/>
      <c r="K13" s="234"/>
      <c r="L13" s="234"/>
      <c r="M13" s="234"/>
      <c r="N13" s="234"/>
    </row>
    <row r="14" spans="1:14" ht="18.600000000000001" customHeight="1" x14ac:dyDescent="0.25">
      <c r="A14" s="219"/>
      <c r="B14" s="220"/>
      <c r="C14" s="220"/>
      <c r="D14" s="220"/>
      <c r="E14" s="220"/>
      <c r="F14" s="220"/>
      <c r="G14" s="220"/>
      <c r="H14" s="220"/>
      <c r="I14" s="221"/>
      <c r="J14" s="91"/>
      <c r="K14" s="91"/>
      <c r="L14" s="91"/>
      <c r="M14" s="91"/>
      <c r="N14" s="91"/>
    </row>
    <row r="15" spans="1:14" ht="18.600000000000001" customHeight="1" x14ac:dyDescent="0.25">
      <c r="A15" s="219"/>
      <c r="B15" s="220"/>
      <c r="C15" s="220"/>
      <c r="D15" s="220"/>
      <c r="E15" s="220"/>
      <c r="F15" s="220"/>
      <c r="G15" s="220"/>
      <c r="H15" s="220"/>
      <c r="I15" s="221"/>
      <c r="J15" s="91"/>
      <c r="K15" s="91"/>
      <c r="L15" s="91"/>
      <c r="M15" s="91"/>
      <c r="N15" s="91"/>
    </row>
    <row r="16" spans="1:14" ht="18.600000000000001" customHeight="1" x14ac:dyDescent="0.25">
      <c r="A16" s="219"/>
      <c r="B16" s="220"/>
      <c r="C16" s="220"/>
      <c r="D16" s="220"/>
      <c r="E16" s="220"/>
      <c r="F16" s="220"/>
      <c r="G16" s="220"/>
      <c r="H16" s="220"/>
      <c r="I16" s="221"/>
      <c r="J16" s="91"/>
      <c r="K16" s="91"/>
      <c r="L16" s="91"/>
      <c r="M16" s="91"/>
      <c r="N16" s="91"/>
    </row>
    <row r="17" spans="1:14" ht="18.600000000000001" customHeight="1" x14ac:dyDescent="0.25">
      <c r="A17" s="222"/>
      <c r="B17" s="223"/>
      <c r="C17" s="223"/>
      <c r="D17" s="223"/>
      <c r="E17" s="223"/>
      <c r="F17" s="223"/>
      <c r="G17" s="223"/>
      <c r="H17" s="223"/>
      <c r="I17" s="224"/>
      <c r="J17" s="91"/>
      <c r="K17" s="91"/>
      <c r="L17" s="91"/>
      <c r="M17" s="91"/>
      <c r="N17" s="91"/>
    </row>
    <row r="19" spans="1:14" x14ac:dyDescent="0.25">
      <c r="A19" s="50" t="s">
        <v>70</v>
      </c>
      <c r="B19" s="150"/>
      <c r="C19" s="150"/>
      <c r="D19" s="150"/>
      <c r="E19" s="150"/>
      <c r="F19" s="150"/>
      <c r="G19" s="150"/>
      <c r="H19" s="150"/>
      <c r="I19" s="151"/>
      <c r="J19" s="91"/>
      <c r="K19" s="91"/>
      <c r="L19" s="91"/>
      <c r="M19" s="91"/>
      <c r="N19" s="91"/>
    </row>
    <row r="20" spans="1:14" x14ac:dyDescent="0.25">
      <c r="A20" s="225" t="s">
        <v>71</v>
      </c>
      <c r="B20" s="226"/>
      <c r="C20" s="226"/>
      <c r="D20" s="226"/>
      <c r="E20" s="226"/>
      <c r="F20" s="226"/>
      <c r="G20" s="226"/>
      <c r="H20" s="226"/>
      <c r="I20" s="227"/>
      <c r="J20" s="91"/>
      <c r="K20" s="235" t="s">
        <v>72</v>
      </c>
      <c r="L20" s="235"/>
      <c r="M20" s="235"/>
      <c r="N20" s="235"/>
    </row>
    <row r="21" spans="1:14" x14ac:dyDescent="0.25">
      <c r="A21" s="228"/>
      <c r="B21" s="229"/>
      <c r="C21" s="229"/>
      <c r="D21" s="229"/>
      <c r="E21" s="229"/>
      <c r="F21" s="229"/>
      <c r="G21" s="229"/>
      <c r="H21" s="229"/>
      <c r="I21" s="230"/>
      <c r="J21" s="91"/>
      <c r="K21" s="235"/>
      <c r="L21" s="235"/>
      <c r="M21" s="235"/>
      <c r="N21" s="235"/>
    </row>
    <row r="22" spans="1:14" x14ac:dyDescent="0.25">
      <c r="A22" s="228"/>
      <c r="B22" s="229"/>
      <c r="C22" s="229"/>
      <c r="D22" s="229"/>
      <c r="E22" s="229"/>
      <c r="F22" s="229"/>
      <c r="G22" s="229"/>
      <c r="H22" s="229"/>
      <c r="I22" s="230"/>
      <c r="J22" s="91"/>
      <c r="K22" s="235"/>
      <c r="L22" s="235"/>
      <c r="M22" s="235"/>
      <c r="N22" s="235"/>
    </row>
    <row r="23" spans="1:14" x14ac:dyDescent="0.25">
      <c r="A23" s="228"/>
      <c r="B23" s="229"/>
      <c r="C23" s="229"/>
      <c r="D23" s="229"/>
      <c r="E23" s="229"/>
      <c r="F23" s="229"/>
      <c r="G23" s="229"/>
      <c r="H23" s="229"/>
      <c r="I23" s="230"/>
      <c r="J23" s="91"/>
      <c r="K23" s="235"/>
      <c r="L23" s="235"/>
      <c r="M23" s="235"/>
      <c r="N23" s="235"/>
    </row>
    <row r="24" spans="1:14" x14ac:dyDescent="0.25">
      <c r="A24" s="228"/>
      <c r="B24" s="229"/>
      <c r="C24" s="229"/>
      <c r="D24" s="229"/>
      <c r="E24" s="229"/>
      <c r="F24" s="229"/>
      <c r="G24" s="229"/>
      <c r="H24" s="229"/>
      <c r="I24" s="230"/>
      <c r="J24" s="91"/>
      <c r="K24" s="235"/>
      <c r="L24" s="235"/>
      <c r="M24" s="235"/>
      <c r="N24" s="235"/>
    </row>
    <row r="25" spans="1:14" x14ac:dyDescent="0.25">
      <c r="A25" s="228"/>
      <c r="B25" s="229"/>
      <c r="C25" s="229"/>
      <c r="D25" s="229"/>
      <c r="E25" s="229"/>
      <c r="F25" s="229"/>
      <c r="G25" s="229"/>
      <c r="H25" s="229"/>
      <c r="I25" s="230"/>
      <c r="J25" s="91"/>
      <c r="K25" s="235"/>
      <c r="L25" s="235"/>
      <c r="M25" s="235"/>
      <c r="N25" s="235"/>
    </row>
    <row r="26" spans="1:14" x14ac:dyDescent="0.25">
      <c r="A26" s="228"/>
      <c r="B26" s="229"/>
      <c r="C26" s="229"/>
      <c r="D26" s="229"/>
      <c r="E26" s="229"/>
      <c r="F26" s="229"/>
      <c r="G26" s="229"/>
      <c r="H26" s="229"/>
      <c r="I26" s="230"/>
      <c r="J26" s="91"/>
      <c r="K26" s="235"/>
      <c r="L26" s="235"/>
      <c r="M26" s="235"/>
      <c r="N26" s="235"/>
    </row>
    <row r="27" spans="1:14" x14ac:dyDescent="0.25">
      <c r="A27" s="228"/>
      <c r="B27" s="229"/>
      <c r="C27" s="229"/>
      <c r="D27" s="229"/>
      <c r="E27" s="229"/>
      <c r="F27" s="229"/>
      <c r="G27" s="229"/>
      <c r="H27" s="229"/>
      <c r="I27" s="230"/>
      <c r="J27" s="91"/>
      <c r="K27" s="235"/>
      <c r="L27" s="235"/>
      <c r="M27" s="235"/>
      <c r="N27" s="235"/>
    </row>
    <row r="28" spans="1:14" x14ac:dyDescent="0.25">
      <c r="A28" s="228"/>
      <c r="B28" s="229"/>
      <c r="C28" s="229"/>
      <c r="D28" s="229"/>
      <c r="E28" s="229"/>
      <c r="F28" s="229"/>
      <c r="G28" s="229"/>
      <c r="H28" s="229"/>
      <c r="I28" s="230"/>
      <c r="J28" s="91"/>
      <c r="K28" s="235"/>
      <c r="L28" s="235"/>
      <c r="M28" s="235"/>
      <c r="N28" s="235"/>
    </row>
    <row r="29" spans="1:14" x14ac:dyDescent="0.25">
      <c r="A29" s="228"/>
      <c r="B29" s="229"/>
      <c r="C29" s="229"/>
      <c r="D29" s="229"/>
      <c r="E29" s="229"/>
      <c r="F29" s="229"/>
      <c r="G29" s="229"/>
      <c r="H29" s="229"/>
      <c r="I29" s="230"/>
      <c r="J29" s="91"/>
      <c r="K29" s="235"/>
      <c r="L29" s="235"/>
      <c r="M29" s="235"/>
      <c r="N29" s="235"/>
    </row>
    <row r="30" spans="1:14" x14ac:dyDescent="0.25">
      <c r="A30" s="228"/>
      <c r="B30" s="229"/>
      <c r="C30" s="229"/>
      <c r="D30" s="229"/>
      <c r="E30" s="229"/>
      <c r="F30" s="229"/>
      <c r="G30" s="229"/>
      <c r="H30" s="229"/>
      <c r="I30" s="230"/>
      <c r="J30" s="91"/>
      <c r="K30" s="91"/>
      <c r="L30" s="91"/>
      <c r="M30" s="91"/>
      <c r="N30" s="91"/>
    </row>
    <row r="31" spans="1:14" x14ac:dyDescent="0.25">
      <c r="A31" s="228"/>
      <c r="B31" s="229"/>
      <c r="C31" s="229"/>
      <c r="D31" s="229"/>
      <c r="E31" s="229"/>
      <c r="F31" s="229"/>
      <c r="G31" s="229"/>
      <c r="H31" s="229"/>
      <c r="I31" s="230"/>
      <c r="J31" s="91"/>
      <c r="K31" s="91"/>
      <c r="L31" s="91"/>
      <c r="M31" s="91"/>
      <c r="N31" s="91"/>
    </row>
    <row r="32" spans="1:14" x14ac:dyDescent="0.25">
      <c r="A32" s="228"/>
      <c r="B32" s="229"/>
      <c r="C32" s="229"/>
      <c r="D32" s="229"/>
      <c r="E32" s="229"/>
      <c r="F32" s="229"/>
      <c r="G32" s="229"/>
      <c r="H32" s="229"/>
      <c r="I32" s="230"/>
      <c r="J32" s="91"/>
      <c r="K32" s="91"/>
      <c r="L32" s="91"/>
      <c r="M32" s="91"/>
      <c r="N32" s="91"/>
    </row>
    <row r="33" spans="1:9" x14ac:dyDescent="0.25">
      <c r="A33" s="228"/>
      <c r="B33" s="229"/>
      <c r="C33" s="229"/>
      <c r="D33" s="229"/>
      <c r="E33" s="229"/>
      <c r="F33" s="229"/>
      <c r="G33" s="229"/>
      <c r="H33" s="229"/>
      <c r="I33" s="230"/>
    </row>
    <row r="34" spans="1:9" x14ac:dyDescent="0.25">
      <c r="A34" s="228"/>
      <c r="B34" s="229"/>
      <c r="C34" s="229"/>
      <c r="D34" s="229"/>
      <c r="E34" s="229"/>
      <c r="F34" s="229"/>
      <c r="G34" s="229"/>
      <c r="H34" s="229"/>
      <c r="I34" s="230"/>
    </row>
    <row r="35" spans="1:9" x14ac:dyDescent="0.25">
      <c r="A35" s="228"/>
      <c r="B35" s="229"/>
      <c r="C35" s="229"/>
      <c r="D35" s="229"/>
      <c r="E35" s="229"/>
      <c r="F35" s="229"/>
      <c r="G35" s="229"/>
      <c r="H35" s="229"/>
      <c r="I35" s="230"/>
    </row>
    <row r="36" spans="1:9" x14ac:dyDescent="0.25">
      <c r="A36" s="228"/>
      <c r="B36" s="229"/>
      <c r="C36" s="229"/>
      <c r="D36" s="229"/>
      <c r="E36" s="229"/>
      <c r="F36" s="229"/>
      <c r="G36" s="229"/>
      <c r="H36" s="229"/>
      <c r="I36" s="230"/>
    </row>
    <row r="37" spans="1:9" x14ac:dyDescent="0.25">
      <c r="A37" s="228"/>
      <c r="B37" s="229"/>
      <c r="C37" s="229"/>
      <c r="D37" s="229"/>
      <c r="E37" s="229"/>
      <c r="F37" s="229"/>
      <c r="G37" s="229"/>
      <c r="H37" s="229"/>
      <c r="I37" s="230"/>
    </row>
    <row r="38" spans="1:9" ht="14.25" customHeight="1" x14ac:dyDescent="0.25">
      <c r="A38" s="228"/>
      <c r="B38" s="229"/>
      <c r="C38" s="229"/>
      <c r="D38" s="229"/>
      <c r="E38" s="229"/>
      <c r="F38" s="229"/>
      <c r="G38" s="229"/>
      <c r="H38" s="229"/>
      <c r="I38" s="230"/>
    </row>
    <row r="39" spans="1:9" x14ac:dyDescent="0.25">
      <c r="A39" s="228"/>
      <c r="B39" s="229"/>
      <c r="C39" s="229"/>
      <c r="D39" s="229"/>
      <c r="E39" s="229"/>
      <c r="F39" s="229"/>
      <c r="G39" s="229"/>
      <c r="H39" s="229"/>
      <c r="I39" s="230"/>
    </row>
    <row r="40" spans="1:9" x14ac:dyDescent="0.25">
      <c r="A40" s="228"/>
      <c r="B40" s="229"/>
      <c r="C40" s="229"/>
      <c r="D40" s="229"/>
      <c r="E40" s="229"/>
      <c r="F40" s="229"/>
      <c r="G40" s="229"/>
      <c r="H40" s="229"/>
      <c r="I40" s="230"/>
    </row>
    <row r="41" spans="1:9" x14ac:dyDescent="0.25">
      <c r="A41" s="228"/>
      <c r="B41" s="229"/>
      <c r="C41" s="229"/>
      <c r="D41" s="229"/>
      <c r="E41" s="229"/>
      <c r="F41" s="229"/>
      <c r="G41" s="229"/>
      <c r="H41" s="229"/>
      <c r="I41" s="230"/>
    </row>
    <row r="42" spans="1:9" x14ac:dyDescent="0.25">
      <c r="A42" s="228"/>
      <c r="B42" s="229"/>
      <c r="C42" s="229"/>
      <c r="D42" s="229"/>
      <c r="E42" s="229"/>
      <c r="F42" s="229"/>
      <c r="G42" s="229"/>
      <c r="H42" s="229"/>
      <c r="I42" s="230"/>
    </row>
    <row r="43" spans="1:9" x14ac:dyDescent="0.25">
      <c r="A43" s="228"/>
      <c r="B43" s="229"/>
      <c r="C43" s="229"/>
      <c r="D43" s="229"/>
      <c r="E43" s="229"/>
      <c r="F43" s="229"/>
      <c r="G43" s="229"/>
      <c r="H43" s="229"/>
      <c r="I43" s="230"/>
    </row>
    <row r="44" spans="1:9" x14ac:dyDescent="0.25">
      <c r="A44" s="228"/>
      <c r="B44" s="229"/>
      <c r="C44" s="229"/>
      <c r="D44" s="229"/>
      <c r="E44" s="229"/>
      <c r="F44" s="229"/>
      <c r="G44" s="229"/>
      <c r="H44" s="229"/>
      <c r="I44" s="230"/>
    </row>
    <row r="45" spans="1:9" x14ac:dyDescent="0.25">
      <c r="A45" s="228"/>
      <c r="B45" s="229"/>
      <c r="C45" s="229"/>
      <c r="D45" s="229"/>
      <c r="E45" s="229"/>
      <c r="F45" s="229"/>
      <c r="G45" s="229"/>
      <c r="H45" s="229"/>
      <c r="I45" s="230"/>
    </row>
    <row r="46" spans="1:9" x14ac:dyDescent="0.25">
      <c r="A46" s="228"/>
      <c r="B46" s="229"/>
      <c r="C46" s="229"/>
      <c r="D46" s="229"/>
      <c r="E46" s="229"/>
      <c r="F46" s="229"/>
      <c r="G46" s="229"/>
      <c r="H46" s="229"/>
      <c r="I46" s="230"/>
    </row>
    <row r="47" spans="1:9" x14ac:dyDescent="0.25">
      <c r="A47" s="228"/>
      <c r="B47" s="229"/>
      <c r="C47" s="229"/>
      <c r="D47" s="229"/>
      <c r="E47" s="229"/>
      <c r="F47" s="229"/>
      <c r="G47" s="229"/>
      <c r="H47" s="229"/>
      <c r="I47" s="230"/>
    </row>
    <row r="48" spans="1:9" x14ac:dyDescent="0.25">
      <c r="A48" s="228"/>
      <c r="B48" s="229"/>
      <c r="C48" s="229"/>
      <c r="D48" s="229"/>
      <c r="E48" s="229"/>
      <c r="F48" s="229"/>
      <c r="G48" s="229"/>
      <c r="H48" s="229"/>
      <c r="I48" s="230"/>
    </row>
    <row r="49" spans="1:9" x14ac:dyDescent="0.25">
      <c r="A49" s="228"/>
      <c r="B49" s="229"/>
      <c r="C49" s="229"/>
      <c r="D49" s="229"/>
      <c r="E49" s="229"/>
      <c r="F49" s="229"/>
      <c r="G49" s="229"/>
      <c r="H49" s="229"/>
      <c r="I49" s="230"/>
    </row>
    <row r="50" spans="1:9" x14ac:dyDescent="0.25">
      <c r="A50" s="228"/>
      <c r="B50" s="229"/>
      <c r="C50" s="229"/>
      <c r="D50" s="229"/>
      <c r="E50" s="229"/>
      <c r="F50" s="229"/>
      <c r="G50" s="229"/>
      <c r="H50" s="229"/>
      <c r="I50" s="230"/>
    </row>
    <row r="51" spans="1:9" x14ac:dyDescent="0.25">
      <c r="A51" s="228"/>
      <c r="B51" s="229"/>
      <c r="C51" s="229"/>
      <c r="D51" s="229"/>
      <c r="E51" s="229"/>
      <c r="F51" s="229"/>
      <c r="G51" s="229"/>
      <c r="H51" s="229"/>
      <c r="I51" s="230"/>
    </row>
    <row r="52" spans="1:9" x14ac:dyDescent="0.25">
      <c r="A52" s="231"/>
      <c r="B52" s="232"/>
      <c r="C52" s="232"/>
      <c r="D52" s="232"/>
      <c r="E52" s="232"/>
      <c r="F52" s="232"/>
      <c r="G52" s="232"/>
      <c r="H52" s="232"/>
      <c r="I52" s="233"/>
    </row>
    <row r="64" spans="1:9" x14ac:dyDescent="0.25">
      <c r="A64" s="91"/>
      <c r="B64" s="91"/>
      <c r="C64" s="91"/>
      <c r="D64" s="91"/>
      <c r="E64" s="91"/>
      <c r="F64" s="3"/>
      <c r="G64" s="91"/>
      <c r="H64" s="91"/>
      <c r="I64" s="91"/>
    </row>
  </sheetData>
  <mergeCells count="4">
    <mergeCell ref="A4:I17"/>
    <mergeCell ref="A20:I52"/>
    <mergeCell ref="K4:N13"/>
    <mergeCell ref="K20:N29"/>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4"/>
  <sheetViews>
    <sheetView workbookViewId="0">
      <selection activeCell="A2" sqref="A2"/>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1" t="str">
        <f>+'Cover Page'!$B$29</f>
        <v>Annual Performance Report 2022</v>
      </c>
      <c r="B1" s="91"/>
      <c r="C1" s="91"/>
      <c r="D1" s="91"/>
      <c r="E1" s="91" t="str">
        <f>+'Cover Page'!$B$33</f>
        <v>Kemsley Generating Station</v>
      </c>
      <c r="F1" s="91"/>
      <c r="G1" s="91"/>
      <c r="H1" s="91"/>
      <c r="I1" s="91"/>
      <c r="J1" s="91"/>
      <c r="K1" s="91"/>
      <c r="L1" s="91"/>
      <c r="M1" s="91"/>
      <c r="N1" s="91"/>
    </row>
    <row r="3" spans="1:14" ht="15.6" x14ac:dyDescent="0.3">
      <c r="A3" s="236" t="s">
        <v>73</v>
      </c>
      <c r="B3" s="237"/>
      <c r="C3" s="237"/>
      <c r="D3" s="237"/>
      <c r="E3" s="237"/>
      <c r="F3" s="237"/>
      <c r="G3" s="237"/>
      <c r="H3" s="237"/>
      <c r="I3" s="238"/>
      <c r="J3" s="91"/>
      <c r="K3" s="80" t="s">
        <v>3</v>
      </c>
      <c r="L3" s="91"/>
      <c r="M3" s="91"/>
      <c r="N3" s="91"/>
    </row>
    <row r="4" spans="1:14" ht="12" customHeight="1" x14ac:dyDescent="0.25">
      <c r="A4" s="225" t="s">
        <v>74</v>
      </c>
      <c r="B4" s="217"/>
      <c r="C4" s="217"/>
      <c r="D4" s="217"/>
      <c r="E4" s="217"/>
      <c r="F4" s="217"/>
      <c r="G4" s="217"/>
      <c r="H4" s="217"/>
      <c r="I4" s="218"/>
      <c r="J4" s="91"/>
      <c r="K4" s="234" t="s">
        <v>75</v>
      </c>
      <c r="L4" s="234"/>
      <c r="M4" s="234"/>
      <c r="N4" s="234"/>
    </row>
    <row r="5" spans="1:14" ht="12" customHeight="1" x14ac:dyDescent="0.25">
      <c r="A5" s="219"/>
      <c r="B5" s="220"/>
      <c r="C5" s="220"/>
      <c r="D5" s="220"/>
      <c r="E5" s="220"/>
      <c r="F5" s="220"/>
      <c r="G5" s="220"/>
      <c r="H5" s="220"/>
      <c r="I5" s="221"/>
      <c r="J5" s="91"/>
      <c r="K5" s="234"/>
      <c r="L5" s="234"/>
      <c r="M5" s="234"/>
      <c r="N5" s="234"/>
    </row>
    <row r="6" spans="1:14" ht="12" customHeight="1" x14ac:dyDescent="0.25">
      <c r="A6" s="219"/>
      <c r="B6" s="220"/>
      <c r="C6" s="220"/>
      <c r="D6" s="220"/>
      <c r="E6" s="220"/>
      <c r="F6" s="220"/>
      <c r="G6" s="220"/>
      <c r="H6" s="220"/>
      <c r="I6" s="221"/>
      <c r="J6" s="91"/>
      <c r="K6" s="234"/>
      <c r="L6" s="234"/>
      <c r="M6" s="234"/>
      <c r="N6" s="234"/>
    </row>
    <row r="7" spans="1:14" ht="12" customHeight="1" x14ac:dyDescent="0.25">
      <c r="A7" s="219"/>
      <c r="B7" s="220"/>
      <c r="C7" s="220"/>
      <c r="D7" s="220"/>
      <c r="E7" s="220"/>
      <c r="F7" s="220"/>
      <c r="G7" s="220"/>
      <c r="H7" s="220"/>
      <c r="I7" s="221"/>
      <c r="J7" s="91"/>
      <c r="K7" s="234"/>
      <c r="L7" s="234"/>
      <c r="M7" s="234"/>
      <c r="N7" s="234"/>
    </row>
    <row r="8" spans="1:14" ht="12" customHeight="1" x14ac:dyDescent="0.25">
      <c r="A8" s="219"/>
      <c r="B8" s="220"/>
      <c r="C8" s="220"/>
      <c r="D8" s="220"/>
      <c r="E8" s="220"/>
      <c r="F8" s="220"/>
      <c r="G8" s="220"/>
      <c r="H8" s="220"/>
      <c r="I8" s="221"/>
      <c r="J8" s="91"/>
      <c r="K8" s="234"/>
      <c r="L8" s="234"/>
      <c r="M8" s="234"/>
      <c r="N8" s="234"/>
    </row>
    <row r="9" spans="1:14" ht="12" customHeight="1" x14ac:dyDescent="0.25">
      <c r="A9" s="219"/>
      <c r="B9" s="220"/>
      <c r="C9" s="220"/>
      <c r="D9" s="220"/>
      <c r="E9" s="220"/>
      <c r="F9" s="220"/>
      <c r="G9" s="220"/>
      <c r="H9" s="220"/>
      <c r="I9" s="221"/>
      <c r="J9" s="91"/>
      <c r="K9" s="234"/>
      <c r="L9" s="234"/>
      <c r="M9" s="234"/>
      <c r="N9" s="234"/>
    </row>
    <row r="10" spans="1:14" ht="12" customHeight="1" x14ac:dyDescent="0.25">
      <c r="A10" s="219"/>
      <c r="B10" s="220"/>
      <c r="C10" s="220"/>
      <c r="D10" s="220"/>
      <c r="E10" s="220"/>
      <c r="F10" s="220"/>
      <c r="G10" s="220"/>
      <c r="H10" s="220"/>
      <c r="I10" s="221"/>
      <c r="J10" s="91"/>
      <c r="K10" s="234"/>
      <c r="L10" s="234"/>
      <c r="M10" s="234"/>
      <c r="N10" s="234"/>
    </row>
    <row r="11" spans="1:14" ht="12" customHeight="1" x14ac:dyDescent="0.25">
      <c r="A11" s="219"/>
      <c r="B11" s="220"/>
      <c r="C11" s="220"/>
      <c r="D11" s="220"/>
      <c r="E11" s="220"/>
      <c r="F11" s="220"/>
      <c r="G11" s="220"/>
      <c r="H11" s="220"/>
      <c r="I11" s="221"/>
      <c r="J11" s="91"/>
      <c r="K11" s="234"/>
      <c r="L11" s="234"/>
      <c r="M11" s="234"/>
      <c r="N11" s="234"/>
    </row>
    <row r="12" spans="1:14" ht="12" customHeight="1" x14ac:dyDescent="0.25">
      <c r="A12" s="219"/>
      <c r="B12" s="220"/>
      <c r="C12" s="220"/>
      <c r="D12" s="220"/>
      <c r="E12" s="220"/>
      <c r="F12" s="220"/>
      <c r="G12" s="220"/>
      <c r="H12" s="220"/>
      <c r="I12" s="221"/>
      <c r="J12" s="91"/>
      <c r="K12" s="234"/>
      <c r="L12" s="234"/>
      <c r="M12" s="234"/>
      <c r="N12" s="234"/>
    </row>
    <row r="13" spans="1:14" ht="12" customHeight="1" x14ac:dyDescent="0.25">
      <c r="A13" s="219"/>
      <c r="B13" s="220"/>
      <c r="C13" s="220"/>
      <c r="D13" s="220"/>
      <c r="E13" s="220"/>
      <c r="F13" s="220"/>
      <c r="G13" s="220"/>
      <c r="H13" s="220"/>
      <c r="I13" s="221"/>
      <c r="J13" s="91"/>
      <c r="K13" s="234"/>
      <c r="L13" s="234"/>
      <c r="M13" s="234"/>
      <c r="N13" s="234"/>
    </row>
    <row r="14" spans="1:14" ht="12" customHeight="1" x14ac:dyDescent="0.25">
      <c r="A14" s="219"/>
      <c r="B14" s="220"/>
      <c r="C14" s="220"/>
      <c r="D14" s="220"/>
      <c r="E14" s="220"/>
      <c r="F14" s="220"/>
      <c r="G14" s="220"/>
      <c r="H14" s="220"/>
      <c r="I14" s="221"/>
      <c r="J14" s="91"/>
      <c r="K14" s="91"/>
      <c r="L14" s="91"/>
      <c r="M14" s="91"/>
      <c r="N14" s="91"/>
    </row>
    <row r="15" spans="1:14" ht="12" customHeight="1" x14ac:dyDescent="0.25">
      <c r="A15" s="219"/>
      <c r="B15" s="220"/>
      <c r="C15" s="220"/>
      <c r="D15" s="220"/>
      <c r="E15" s="220"/>
      <c r="F15" s="220"/>
      <c r="G15" s="220"/>
      <c r="H15" s="220"/>
      <c r="I15" s="221"/>
      <c r="J15" s="91"/>
      <c r="K15" s="91"/>
      <c r="L15" s="91"/>
      <c r="M15" s="91"/>
      <c r="N15" s="91"/>
    </row>
    <row r="16" spans="1:14" ht="12" customHeight="1" x14ac:dyDescent="0.25">
      <c r="A16" s="219"/>
      <c r="B16" s="220"/>
      <c r="C16" s="220"/>
      <c r="D16" s="220"/>
      <c r="E16" s="220"/>
      <c r="F16" s="220"/>
      <c r="G16" s="220"/>
      <c r="H16" s="220"/>
      <c r="I16" s="221"/>
      <c r="J16" s="91"/>
      <c r="K16" s="91"/>
      <c r="L16" s="91"/>
      <c r="M16" s="91"/>
      <c r="N16" s="91"/>
    </row>
    <row r="17" spans="1:14" ht="12" customHeight="1" x14ac:dyDescent="0.25">
      <c r="A17" s="219"/>
      <c r="B17" s="220"/>
      <c r="C17" s="220"/>
      <c r="D17" s="220"/>
      <c r="E17" s="220"/>
      <c r="F17" s="220"/>
      <c r="G17" s="220"/>
      <c r="H17" s="220"/>
      <c r="I17" s="221"/>
      <c r="J17" s="91"/>
      <c r="K17" s="91"/>
      <c r="L17" s="91"/>
      <c r="M17" s="91"/>
      <c r="N17" s="91"/>
    </row>
    <row r="18" spans="1:14" ht="12" customHeight="1" x14ac:dyDescent="0.25">
      <c r="A18" s="219"/>
      <c r="B18" s="220"/>
      <c r="C18" s="220"/>
      <c r="D18" s="220"/>
      <c r="E18" s="220"/>
      <c r="F18" s="220"/>
      <c r="G18" s="220"/>
      <c r="H18" s="220"/>
      <c r="I18" s="221"/>
      <c r="J18" s="91"/>
      <c r="K18" s="91"/>
      <c r="L18" s="91"/>
      <c r="M18" s="91"/>
      <c r="N18" s="91"/>
    </row>
    <row r="19" spans="1:14" ht="12" customHeight="1" x14ac:dyDescent="0.25">
      <c r="A19" s="219"/>
      <c r="B19" s="220"/>
      <c r="C19" s="220"/>
      <c r="D19" s="220"/>
      <c r="E19" s="220"/>
      <c r="F19" s="220"/>
      <c r="G19" s="220"/>
      <c r="H19" s="220"/>
      <c r="I19" s="221"/>
      <c r="J19" s="91"/>
      <c r="K19" s="91"/>
      <c r="L19" s="91"/>
      <c r="M19" s="91"/>
      <c r="N19" s="91"/>
    </row>
    <row r="20" spans="1:14" ht="12" customHeight="1" x14ac:dyDescent="0.25">
      <c r="A20" s="219"/>
      <c r="B20" s="220"/>
      <c r="C20" s="220"/>
      <c r="D20" s="220"/>
      <c r="E20" s="220"/>
      <c r="F20" s="220"/>
      <c r="G20" s="220"/>
      <c r="H20" s="220"/>
      <c r="I20" s="221"/>
      <c r="J20" s="91"/>
      <c r="K20" s="91"/>
      <c r="L20" s="91"/>
      <c r="M20" s="91"/>
      <c r="N20" s="91"/>
    </row>
    <row r="21" spans="1:14" ht="12" customHeight="1" x14ac:dyDescent="0.25">
      <c r="A21" s="219"/>
      <c r="B21" s="220"/>
      <c r="C21" s="220"/>
      <c r="D21" s="220"/>
      <c r="E21" s="220"/>
      <c r="F21" s="220"/>
      <c r="G21" s="220"/>
      <c r="H21" s="220"/>
      <c r="I21" s="221"/>
      <c r="J21" s="91"/>
      <c r="K21" s="93"/>
      <c r="L21" s="93"/>
      <c r="M21" s="93"/>
      <c r="N21" s="93"/>
    </row>
    <row r="22" spans="1:14" ht="12" customHeight="1" x14ac:dyDescent="0.25">
      <c r="A22" s="219"/>
      <c r="B22" s="220"/>
      <c r="C22" s="220"/>
      <c r="D22" s="220"/>
      <c r="E22" s="220"/>
      <c r="F22" s="220"/>
      <c r="G22" s="220"/>
      <c r="H22" s="220"/>
      <c r="I22" s="221"/>
      <c r="J22" s="91"/>
      <c r="K22" s="93"/>
      <c r="L22" s="93"/>
      <c r="M22" s="93"/>
      <c r="N22" s="93"/>
    </row>
    <row r="23" spans="1:14" ht="12" customHeight="1" x14ac:dyDescent="0.25">
      <c r="A23" s="219"/>
      <c r="B23" s="220"/>
      <c r="C23" s="220"/>
      <c r="D23" s="220"/>
      <c r="E23" s="220"/>
      <c r="F23" s="220"/>
      <c r="G23" s="220"/>
      <c r="H23" s="220"/>
      <c r="I23" s="221"/>
      <c r="J23" s="91"/>
      <c r="K23" s="93"/>
      <c r="L23" s="93"/>
      <c r="M23" s="93"/>
      <c r="N23" s="93"/>
    </row>
    <row r="24" spans="1:14" ht="12" customHeight="1" x14ac:dyDescent="0.25">
      <c r="A24" s="219"/>
      <c r="B24" s="220"/>
      <c r="C24" s="220"/>
      <c r="D24" s="220"/>
      <c r="E24" s="220"/>
      <c r="F24" s="220"/>
      <c r="G24" s="220"/>
      <c r="H24" s="220"/>
      <c r="I24" s="221"/>
      <c r="J24" s="91"/>
      <c r="K24" s="93"/>
      <c r="L24" s="93"/>
      <c r="M24" s="93"/>
      <c r="N24" s="93"/>
    </row>
    <row r="25" spans="1:14" ht="12" customHeight="1" x14ac:dyDescent="0.25">
      <c r="A25" s="219"/>
      <c r="B25" s="220"/>
      <c r="C25" s="220"/>
      <c r="D25" s="220"/>
      <c r="E25" s="220"/>
      <c r="F25" s="220"/>
      <c r="G25" s="220"/>
      <c r="H25" s="220"/>
      <c r="I25" s="221"/>
      <c r="J25" s="91"/>
      <c r="K25" s="93"/>
      <c r="L25" s="93"/>
      <c r="M25" s="93"/>
      <c r="N25" s="93"/>
    </row>
    <row r="26" spans="1:14" ht="12" customHeight="1" x14ac:dyDescent="0.25">
      <c r="A26" s="222"/>
      <c r="B26" s="223"/>
      <c r="C26" s="223"/>
      <c r="D26" s="223"/>
      <c r="E26" s="223"/>
      <c r="F26" s="223"/>
      <c r="G26" s="223"/>
      <c r="H26" s="223"/>
      <c r="I26" s="224"/>
      <c r="J26" s="91"/>
      <c r="K26" s="93"/>
      <c r="L26" s="93"/>
      <c r="M26" s="93"/>
      <c r="N26" s="93"/>
    </row>
    <row r="27" spans="1:14" x14ac:dyDescent="0.25">
      <c r="A27" s="91"/>
      <c r="B27" s="91"/>
      <c r="C27" s="91"/>
      <c r="D27" s="91"/>
      <c r="E27" s="91"/>
      <c r="F27" s="91"/>
      <c r="G27" s="91"/>
      <c r="H27" s="91"/>
      <c r="I27" s="91"/>
      <c r="J27" s="91"/>
      <c r="K27" s="93"/>
      <c r="L27" s="93"/>
      <c r="M27" s="93"/>
      <c r="N27" s="93"/>
    </row>
    <row r="28" spans="1:14" x14ac:dyDescent="0.25">
      <c r="A28" s="236" t="s">
        <v>76</v>
      </c>
      <c r="B28" s="237"/>
      <c r="C28" s="237"/>
      <c r="D28" s="237"/>
      <c r="E28" s="237"/>
      <c r="F28" s="237"/>
      <c r="G28" s="237"/>
      <c r="H28" s="237"/>
      <c r="I28" s="238"/>
      <c r="J28" s="91"/>
      <c r="K28" s="93"/>
      <c r="L28" s="93"/>
      <c r="M28" s="93"/>
      <c r="N28" s="93"/>
    </row>
    <row r="29" spans="1:14" ht="10.199999999999999" customHeight="1" x14ac:dyDescent="0.25">
      <c r="A29" s="225" t="s">
        <v>77</v>
      </c>
      <c r="B29" s="239"/>
      <c r="C29" s="239"/>
      <c r="D29" s="239"/>
      <c r="E29" s="239"/>
      <c r="F29" s="239"/>
      <c r="G29" s="239"/>
      <c r="H29" s="239"/>
      <c r="I29" s="240"/>
      <c r="J29" s="91"/>
      <c r="K29" s="234" t="s">
        <v>78</v>
      </c>
      <c r="L29" s="234"/>
      <c r="M29" s="234"/>
      <c r="N29" s="234"/>
    </row>
    <row r="30" spans="1:14" ht="10.199999999999999" customHeight="1" x14ac:dyDescent="0.25">
      <c r="A30" s="241"/>
      <c r="B30" s="242"/>
      <c r="C30" s="242"/>
      <c r="D30" s="242"/>
      <c r="E30" s="242"/>
      <c r="F30" s="242"/>
      <c r="G30" s="242"/>
      <c r="H30" s="242"/>
      <c r="I30" s="243"/>
      <c r="J30" s="91"/>
      <c r="K30" s="234"/>
      <c r="L30" s="234"/>
      <c r="M30" s="234"/>
      <c r="N30" s="234"/>
    </row>
    <row r="31" spans="1:14" ht="10.199999999999999" customHeight="1" x14ac:dyDescent="0.25">
      <c r="A31" s="241"/>
      <c r="B31" s="242"/>
      <c r="C31" s="242"/>
      <c r="D31" s="242"/>
      <c r="E31" s="242"/>
      <c r="F31" s="242"/>
      <c r="G31" s="242"/>
      <c r="H31" s="242"/>
      <c r="I31" s="243"/>
      <c r="J31" s="91"/>
      <c r="K31" s="234"/>
      <c r="L31" s="234"/>
      <c r="M31" s="234"/>
      <c r="N31" s="234"/>
    </row>
    <row r="32" spans="1:14" ht="10.199999999999999" customHeight="1" x14ac:dyDescent="0.25">
      <c r="A32" s="241"/>
      <c r="B32" s="242"/>
      <c r="C32" s="242"/>
      <c r="D32" s="242"/>
      <c r="E32" s="242"/>
      <c r="F32" s="242"/>
      <c r="G32" s="242"/>
      <c r="H32" s="242"/>
      <c r="I32" s="243"/>
      <c r="J32" s="91"/>
      <c r="K32" s="234"/>
      <c r="L32" s="234"/>
      <c r="M32" s="234"/>
      <c r="N32" s="234"/>
    </row>
    <row r="33" spans="1:14" ht="10.199999999999999" customHeight="1" x14ac:dyDescent="0.25">
      <c r="A33" s="241"/>
      <c r="B33" s="242"/>
      <c r="C33" s="242"/>
      <c r="D33" s="242"/>
      <c r="E33" s="242"/>
      <c r="F33" s="242"/>
      <c r="G33" s="242"/>
      <c r="H33" s="242"/>
      <c r="I33" s="243"/>
      <c r="J33" s="91"/>
      <c r="K33" s="234"/>
      <c r="L33" s="234"/>
      <c r="M33" s="234"/>
      <c r="N33" s="234"/>
    </row>
    <row r="34" spans="1:14" ht="10.199999999999999" customHeight="1" x14ac:dyDescent="0.25">
      <c r="A34" s="241"/>
      <c r="B34" s="242"/>
      <c r="C34" s="242"/>
      <c r="D34" s="242"/>
      <c r="E34" s="242"/>
      <c r="F34" s="242"/>
      <c r="G34" s="242"/>
      <c r="H34" s="242"/>
      <c r="I34" s="243"/>
      <c r="J34" s="91"/>
      <c r="K34" s="234"/>
      <c r="L34" s="234"/>
      <c r="M34" s="234"/>
      <c r="N34" s="234"/>
    </row>
    <row r="35" spans="1:14" ht="10.199999999999999" customHeight="1" x14ac:dyDescent="0.25">
      <c r="A35" s="241"/>
      <c r="B35" s="242"/>
      <c r="C35" s="242"/>
      <c r="D35" s="242"/>
      <c r="E35" s="242"/>
      <c r="F35" s="242"/>
      <c r="G35" s="242"/>
      <c r="H35" s="242"/>
      <c r="I35" s="243"/>
      <c r="J35" s="91"/>
      <c r="K35" s="234"/>
      <c r="L35" s="234"/>
      <c r="M35" s="234"/>
      <c r="N35" s="234"/>
    </row>
    <row r="36" spans="1:14" ht="10.199999999999999" customHeight="1" x14ac:dyDescent="0.25">
      <c r="A36" s="241"/>
      <c r="B36" s="242"/>
      <c r="C36" s="242"/>
      <c r="D36" s="242"/>
      <c r="E36" s="242"/>
      <c r="F36" s="242"/>
      <c r="G36" s="242"/>
      <c r="H36" s="242"/>
      <c r="I36" s="243"/>
      <c r="J36" s="91"/>
      <c r="K36" s="234"/>
      <c r="L36" s="234"/>
      <c r="M36" s="234"/>
      <c r="N36" s="234"/>
    </row>
    <row r="37" spans="1:14" ht="10.199999999999999" customHeight="1" x14ac:dyDescent="0.25">
      <c r="A37" s="241"/>
      <c r="B37" s="242"/>
      <c r="C37" s="242"/>
      <c r="D37" s="242"/>
      <c r="E37" s="242"/>
      <c r="F37" s="242"/>
      <c r="G37" s="242"/>
      <c r="H37" s="242"/>
      <c r="I37" s="243"/>
      <c r="J37" s="91"/>
      <c r="K37" s="234"/>
      <c r="L37" s="234"/>
      <c r="M37" s="234"/>
      <c r="N37" s="234"/>
    </row>
    <row r="38" spans="1:14" ht="10.199999999999999" customHeight="1" x14ac:dyDescent="0.25">
      <c r="A38" s="241"/>
      <c r="B38" s="242"/>
      <c r="C38" s="242"/>
      <c r="D38" s="242"/>
      <c r="E38" s="242"/>
      <c r="F38" s="242"/>
      <c r="G38" s="242"/>
      <c r="H38" s="242"/>
      <c r="I38" s="243"/>
      <c r="J38" s="91"/>
      <c r="K38" s="234"/>
      <c r="L38" s="234"/>
      <c r="M38" s="234"/>
      <c r="N38" s="234"/>
    </row>
    <row r="39" spans="1:14" ht="10.199999999999999" customHeight="1" x14ac:dyDescent="0.25">
      <c r="A39" s="241"/>
      <c r="B39" s="242"/>
      <c r="C39" s="242"/>
      <c r="D39" s="242"/>
      <c r="E39" s="242"/>
      <c r="F39" s="242"/>
      <c r="G39" s="242"/>
      <c r="H39" s="242"/>
      <c r="I39" s="243"/>
      <c r="J39" s="91"/>
      <c r="K39" s="91"/>
      <c r="L39" s="91"/>
      <c r="M39" s="91"/>
      <c r="N39" s="91"/>
    </row>
    <row r="40" spans="1:14" ht="10.199999999999999" customHeight="1" x14ac:dyDescent="0.25">
      <c r="A40" s="241"/>
      <c r="B40" s="242"/>
      <c r="C40" s="242"/>
      <c r="D40" s="242"/>
      <c r="E40" s="242"/>
      <c r="F40" s="242"/>
      <c r="G40" s="242"/>
      <c r="H40" s="242"/>
      <c r="I40" s="243"/>
      <c r="J40" s="91"/>
      <c r="K40" s="91"/>
      <c r="L40" s="91"/>
      <c r="M40" s="91"/>
      <c r="N40" s="91"/>
    </row>
    <row r="41" spans="1:14" ht="10.199999999999999" customHeight="1" x14ac:dyDescent="0.25">
      <c r="A41" s="241"/>
      <c r="B41" s="242"/>
      <c r="C41" s="242"/>
      <c r="D41" s="242"/>
      <c r="E41" s="242"/>
      <c r="F41" s="242"/>
      <c r="G41" s="242"/>
      <c r="H41" s="242"/>
      <c r="I41" s="243"/>
      <c r="J41" s="91"/>
      <c r="K41" s="91"/>
      <c r="L41" s="91"/>
      <c r="M41" s="91"/>
      <c r="N41" s="91"/>
    </row>
    <row r="42" spans="1:14" ht="10.199999999999999" customHeight="1" x14ac:dyDescent="0.25">
      <c r="A42" s="241"/>
      <c r="B42" s="242"/>
      <c r="C42" s="242"/>
      <c r="D42" s="242"/>
      <c r="E42" s="242"/>
      <c r="F42" s="242"/>
      <c r="G42" s="242"/>
      <c r="H42" s="242"/>
      <c r="I42" s="243"/>
      <c r="J42" s="91"/>
      <c r="K42" s="91"/>
      <c r="L42" s="91"/>
      <c r="M42" s="91"/>
      <c r="N42" s="91"/>
    </row>
    <row r="43" spans="1:14" ht="10.199999999999999" customHeight="1" x14ac:dyDescent="0.25">
      <c r="A43" s="241"/>
      <c r="B43" s="242"/>
      <c r="C43" s="242"/>
      <c r="D43" s="242"/>
      <c r="E43" s="242"/>
      <c r="F43" s="242"/>
      <c r="G43" s="242"/>
      <c r="H43" s="242"/>
      <c r="I43" s="243"/>
      <c r="J43" s="91"/>
      <c r="K43" s="91"/>
      <c r="L43" s="91"/>
      <c r="M43" s="91"/>
      <c r="N43" s="91"/>
    </row>
    <row r="44" spans="1:14" ht="10.199999999999999" customHeight="1" x14ac:dyDescent="0.25">
      <c r="A44" s="241"/>
      <c r="B44" s="242"/>
      <c r="C44" s="242"/>
      <c r="D44" s="242"/>
      <c r="E44" s="242"/>
      <c r="F44" s="242"/>
      <c r="G44" s="242"/>
      <c r="H44" s="242"/>
      <c r="I44" s="243"/>
      <c r="J44" s="91"/>
      <c r="K44" s="91"/>
      <c r="L44" s="91"/>
      <c r="M44" s="91"/>
      <c r="N44" s="91"/>
    </row>
    <row r="45" spans="1:14" ht="10.199999999999999" customHeight="1" x14ac:dyDescent="0.25">
      <c r="A45" s="241"/>
      <c r="B45" s="242"/>
      <c r="C45" s="242"/>
      <c r="D45" s="242"/>
      <c r="E45" s="242"/>
      <c r="F45" s="242"/>
      <c r="G45" s="242"/>
      <c r="H45" s="242"/>
      <c r="I45" s="243"/>
      <c r="J45" s="91"/>
      <c r="K45" s="91"/>
      <c r="L45" s="91"/>
      <c r="M45" s="91"/>
      <c r="N45" s="91"/>
    </row>
    <row r="46" spans="1:14" ht="10.199999999999999" customHeight="1" x14ac:dyDescent="0.25">
      <c r="A46" s="241"/>
      <c r="B46" s="242"/>
      <c r="C46" s="242"/>
      <c r="D46" s="242"/>
      <c r="E46" s="242"/>
      <c r="F46" s="242"/>
      <c r="G46" s="242"/>
      <c r="H46" s="242"/>
      <c r="I46" s="243"/>
      <c r="J46" s="91"/>
      <c r="K46" s="91"/>
      <c r="L46" s="91"/>
      <c r="M46" s="91"/>
      <c r="N46" s="91"/>
    </row>
    <row r="47" spans="1:14" ht="10.199999999999999" customHeight="1" x14ac:dyDescent="0.25">
      <c r="A47" s="241"/>
      <c r="B47" s="242"/>
      <c r="C47" s="242"/>
      <c r="D47" s="242"/>
      <c r="E47" s="242"/>
      <c r="F47" s="242"/>
      <c r="G47" s="242"/>
      <c r="H47" s="242"/>
      <c r="I47" s="243"/>
      <c r="J47" s="91"/>
      <c r="K47" s="91"/>
      <c r="L47" s="91"/>
      <c r="M47" s="91"/>
      <c r="N47" s="91"/>
    </row>
    <row r="48" spans="1:14" ht="10.199999999999999" customHeight="1" x14ac:dyDescent="0.25">
      <c r="A48" s="241"/>
      <c r="B48" s="242"/>
      <c r="C48" s="242"/>
      <c r="D48" s="242"/>
      <c r="E48" s="242"/>
      <c r="F48" s="242"/>
      <c r="G48" s="242"/>
      <c r="H48" s="242"/>
      <c r="I48" s="243"/>
      <c r="J48" s="91"/>
      <c r="K48" s="91"/>
      <c r="L48" s="91"/>
      <c r="M48" s="91"/>
      <c r="N48" s="91"/>
    </row>
    <row r="49" spans="1:9" ht="10.199999999999999" customHeight="1" x14ac:dyDescent="0.25">
      <c r="A49" s="241"/>
      <c r="B49" s="242"/>
      <c r="C49" s="242"/>
      <c r="D49" s="242"/>
      <c r="E49" s="242"/>
      <c r="F49" s="242"/>
      <c r="G49" s="242"/>
      <c r="H49" s="242"/>
      <c r="I49" s="243"/>
    </row>
    <row r="50" spans="1:9" ht="10.199999999999999" customHeight="1" x14ac:dyDescent="0.25">
      <c r="A50" s="244"/>
      <c r="B50" s="245"/>
      <c r="C50" s="245"/>
      <c r="D50" s="245"/>
      <c r="E50" s="245"/>
      <c r="F50" s="245"/>
      <c r="G50" s="245"/>
      <c r="H50" s="245"/>
      <c r="I50" s="246"/>
    </row>
    <row r="64" spans="1:9" x14ac:dyDescent="0.25">
      <c r="A64" s="91"/>
      <c r="B64" s="91"/>
      <c r="C64" s="91"/>
      <c r="D64" s="91"/>
      <c r="E64" s="91"/>
      <c r="F64" s="3"/>
      <c r="G64" s="91"/>
      <c r="H64" s="91"/>
      <c r="I64" s="91"/>
    </row>
  </sheetData>
  <mergeCells count="6">
    <mergeCell ref="A3:I3"/>
    <mergeCell ref="A4:I26"/>
    <mergeCell ref="A29:I50"/>
    <mergeCell ref="K4:N13"/>
    <mergeCell ref="K29:N38"/>
    <mergeCell ref="A28:I28"/>
  </mergeCells>
  <pageMargins left="0.7" right="0.7" top="0.75" bottom="0.75" header="0.3" footer="0.3"/>
  <pageSetup paperSize="9" scale="87" orientation="portrait" r:id="rId1"/>
  <headerFooter scaleWithDoc="0">
    <oddFooter>&amp;C&amp;"Arial,Regular"Page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O64"/>
  <sheetViews>
    <sheetView topLeftCell="A43" workbookViewId="0">
      <selection activeCell="A56" sqref="A56:XFD56"/>
    </sheetView>
  </sheetViews>
  <sheetFormatPr defaultColWidth="9.33203125" defaultRowHeight="15" x14ac:dyDescent="0.25"/>
  <cols>
    <col min="1" max="1" width="9.33203125" style="2"/>
    <col min="2" max="2" width="20.33203125" style="2" customWidth="1"/>
    <col min="3" max="7" width="9.33203125" style="2"/>
    <col min="8" max="8" width="11" style="2" bestFit="1" customWidth="1"/>
    <col min="9" max="16384" width="9.33203125" style="2"/>
  </cols>
  <sheetData>
    <row r="1" spans="1:11" ht="15.6" x14ac:dyDescent="0.3">
      <c r="A1" s="33">
        <f>+'Cover Page'!C39</f>
        <v>2022</v>
      </c>
      <c r="B1" s="34" t="s">
        <v>79</v>
      </c>
      <c r="C1" s="34"/>
      <c r="D1" s="34"/>
      <c r="E1" s="34"/>
      <c r="F1" s="34"/>
      <c r="G1" s="34"/>
      <c r="H1" s="34"/>
      <c r="I1" s="34"/>
      <c r="J1" s="34"/>
      <c r="K1" s="91"/>
    </row>
    <row r="2" spans="1:11" ht="8.25" customHeight="1" x14ac:dyDescent="0.25">
      <c r="A2" s="91"/>
      <c r="B2" s="91"/>
      <c r="C2" s="91"/>
      <c r="D2" s="91"/>
      <c r="E2" s="91"/>
      <c r="F2" s="91"/>
      <c r="G2" s="91"/>
      <c r="H2" s="91"/>
      <c r="I2" s="91"/>
      <c r="J2" s="91"/>
      <c r="K2" s="91"/>
    </row>
    <row r="3" spans="1:11" s="3" customFormat="1" ht="13.8" x14ac:dyDescent="0.25">
      <c r="A3" s="261" t="str">
        <f>+'Cover Page'!B31</f>
        <v>Permit EPR/JP3135DK</v>
      </c>
      <c r="B3" s="261"/>
      <c r="C3" s="261"/>
      <c r="D3" s="261"/>
      <c r="E3" s="261"/>
      <c r="F3" s="3" t="s">
        <v>80</v>
      </c>
      <c r="G3" s="112" t="s">
        <v>9</v>
      </c>
      <c r="H3" s="112"/>
      <c r="I3" s="112"/>
      <c r="J3" s="111"/>
      <c r="K3" s="111"/>
    </row>
    <row r="4" spans="1:11" s="3" customFormat="1" ht="13.8" x14ac:dyDescent="0.25">
      <c r="A4" s="3" t="s">
        <v>81</v>
      </c>
      <c r="B4" s="261" t="str">
        <f>+'Cover Page'!B33:I33</f>
        <v>Kemsley Generating Station</v>
      </c>
      <c r="C4" s="261"/>
      <c r="D4" s="261"/>
      <c r="E4" s="261"/>
      <c r="F4" s="3" t="s">
        <v>82</v>
      </c>
      <c r="G4" s="3" t="s">
        <v>83</v>
      </c>
    </row>
    <row r="5" spans="1:11" s="3" customFormat="1" ht="6.75" customHeight="1" x14ac:dyDescent="0.25"/>
    <row r="6" spans="1:11" s="3" customFormat="1" ht="15.75" customHeight="1" x14ac:dyDescent="0.25">
      <c r="A6" s="3" t="s">
        <v>84</v>
      </c>
      <c r="D6" s="262" t="s">
        <v>85</v>
      </c>
      <c r="E6" s="262"/>
      <c r="F6" s="35" t="s">
        <v>86</v>
      </c>
      <c r="G6" s="262" t="s">
        <v>87</v>
      </c>
      <c r="H6" s="262"/>
    </row>
    <row r="7" spans="1:11" s="3" customFormat="1" ht="7.5" customHeight="1" x14ac:dyDescent="0.25"/>
    <row r="8" spans="1:11" s="3" customFormat="1" ht="15.6" x14ac:dyDescent="0.3">
      <c r="A8" s="9">
        <f>+A1</f>
        <v>2022</v>
      </c>
      <c r="B8" s="34" t="s">
        <v>88</v>
      </c>
      <c r="C8"/>
      <c r="D8"/>
      <c r="E8"/>
      <c r="F8"/>
      <c r="G8"/>
    </row>
    <row r="9" spans="1:11" s="3" customFormat="1" ht="28.5" customHeight="1" x14ac:dyDescent="0.25">
      <c r="A9" s="263" t="s">
        <v>89</v>
      </c>
      <c r="B9" s="263"/>
      <c r="C9" s="263" t="s">
        <v>90</v>
      </c>
      <c r="D9" s="263"/>
      <c r="E9" s="263" t="s">
        <v>91</v>
      </c>
      <c r="F9" s="263"/>
      <c r="G9" s="263" t="s">
        <v>92</v>
      </c>
      <c r="H9" s="263"/>
      <c r="I9" s="263" t="s">
        <v>93</v>
      </c>
      <c r="J9" s="263"/>
    </row>
    <row r="10" spans="1:11" s="3" customFormat="1" ht="14.25" customHeight="1" x14ac:dyDescent="0.25">
      <c r="A10" s="251" t="s">
        <v>94</v>
      </c>
      <c r="B10" s="251"/>
      <c r="C10" s="251"/>
      <c r="D10" s="251"/>
      <c r="E10" s="251"/>
      <c r="F10" s="251"/>
      <c r="G10" s="251"/>
      <c r="H10" s="251"/>
      <c r="I10" s="251"/>
      <c r="J10" s="251"/>
    </row>
    <row r="11" spans="1:11" s="3" customFormat="1" ht="14.25" customHeight="1" x14ac:dyDescent="0.25">
      <c r="A11" s="251" t="s">
        <v>95</v>
      </c>
      <c r="B11" s="251"/>
      <c r="C11" s="249" t="s">
        <v>96</v>
      </c>
      <c r="D11" s="249"/>
      <c r="E11" s="249">
        <f>3063.26+4281.34+4101.58+3832.72</f>
        <v>15278.9</v>
      </c>
      <c r="F11" s="249"/>
      <c r="G11" s="249">
        <v>0</v>
      </c>
      <c r="H11" s="249"/>
      <c r="I11" s="250">
        <f>IF((E11+G11)&gt;0,(E11+G11)/'Operational Data'!$G$21, "-")</f>
        <v>2.8182832689274812E-2</v>
      </c>
      <c r="J11" s="250"/>
    </row>
    <row r="12" spans="1:11" s="3" customFormat="1" ht="14.25" customHeight="1" x14ac:dyDescent="0.25">
      <c r="A12" s="251" t="s">
        <v>97</v>
      </c>
      <c r="B12" s="251"/>
      <c r="C12" s="249" t="s">
        <v>98</v>
      </c>
      <c r="D12" s="249"/>
      <c r="E12" s="249">
        <v>0</v>
      </c>
      <c r="F12" s="249"/>
      <c r="G12" s="249">
        <v>0</v>
      </c>
      <c r="H12" s="249"/>
      <c r="I12" s="250" t="str">
        <f>IF((E12+G12)&gt;0,(E12+G12)/'Operational Data'!$G$21, "-")</f>
        <v>-</v>
      </c>
      <c r="J12" s="250"/>
    </row>
    <row r="13" spans="1:11" s="3" customFormat="1" ht="14.25" customHeight="1" x14ac:dyDescent="0.25">
      <c r="A13" s="264" t="s">
        <v>99</v>
      </c>
      <c r="B13" s="265"/>
      <c r="C13" s="249" t="s">
        <v>96</v>
      </c>
      <c r="D13" s="249"/>
      <c r="E13" s="259">
        <v>7</v>
      </c>
      <c r="F13" s="260"/>
      <c r="G13" s="259">
        <v>0</v>
      </c>
      <c r="H13" s="260"/>
      <c r="I13" s="257">
        <f>IF((E13+G13)&gt;0,(E13+G13)/'Operational Data'!$G$21, "-")</f>
        <v>1.2911913084379352E-5</v>
      </c>
      <c r="J13" s="258"/>
    </row>
    <row r="14" spans="1:11" s="3" customFormat="1" ht="14.25" customHeight="1" x14ac:dyDescent="0.25">
      <c r="A14" s="264" t="s">
        <v>100</v>
      </c>
      <c r="B14" s="265"/>
      <c r="C14" s="249" t="s">
        <v>96</v>
      </c>
      <c r="D14" s="249"/>
      <c r="E14" s="259">
        <v>134</v>
      </c>
      <c r="F14" s="260"/>
      <c r="G14" s="259">
        <v>0</v>
      </c>
      <c r="H14" s="260"/>
      <c r="I14" s="257">
        <f>IF((E14+G14)&gt;0,(E14+G14)/'Operational Data'!$G$21, "-")</f>
        <v>2.4717090761526187E-4</v>
      </c>
      <c r="J14" s="258"/>
    </row>
    <row r="15" spans="1:11" s="3" customFormat="1" ht="14.25" customHeight="1" x14ac:dyDescent="0.25">
      <c r="A15" s="267" t="s">
        <v>101</v>
      </c>
      <c r="B15" s="267"/>
      <c r="C15" s="267"/>
      <c r="D15" s="267"/>
      <c r="E15" s="268">
        <f>SUM(E11:F14)</f>
        <v>15419.9</v>
      </c>
      <c r="F15" s="268"/>
      <c r="G15" s="268">
        <f>SUM(G11:H14)</f>
        <v>0</v>
      </c>
      <c r="H15" s="268"/>
      <c r="I15" s="269">
        <f>IF((E15+G15)&gt;0,(E15+G15)/'Operational Data'!$G$21, "-")</f>
        <v>2.8442915509974451E-2</v>
      </c>
      <c r="J15" s="269"/>
    </row>
    <row r="16" spans="1:11" s="3" customFormat="1" ht="14.25" customHeight="1" x14ac:dyDescent="0.25">
      <c r="A16" s="252"/>
      <c r="B16" s="253"/>
      <c r="C16" s="253"/>
      <c r="D16" s="253"/>
      <c r="E16" s="254"/>
      <c r="F16" s="254"/>
      <c r="G16" s="254"/>
      <c r="H16" s="254"/>
      <c r="I16" s="255"/>
      <c r="J16" s="256"/>
    </row>
    <row r="17" spans="1:15" s="3" customFormat="1" ht="14.25" customHeight="1" x14ac:dyDescent="0.25">
      <c r="A17" s="266" t="s">
        <v>102</v>
      </c>
      <c r="B17" s="266"/>
      <c r="C17" s="266"/>
      <c r="D17" s="266"/>
      <c r="E17" s="266"/>
      <c r="F17" s="266"/>
      <c r="G17" s="266"/>
      <c r="H17" s="266"/>
      <c r="I17" s="266"/>
      <c r="J17" s="266"/>
    </row>
    <row r="18" spans="1:15" ht="14.25" customHeight="1" x14ac:dyDescent="0.25">
      <c r="A18" s="251" t="s">
        <v>103</v>
      </c>
      <c r="B18" s="251"/>
      <c r="C18" s="248" t="s">
        <v>104</v>
      </c>
      <c r="D18" s="248"/>
      <c r="E18" s="248">
        <v>0</v>
      </c>
      <c r="F18" s="248"/>
      <c r="G18" s="248">
        <f>23361.18+33088.96+33624.87+29577</f>
        <v>119652.01000000001</v>
      </c>
      <c r="H18" s="248"/>
      <c r="I18" s="250">
        <f>IF((E18+G18)&gt;0,(E18+G18)/'Operational Data'!$G$21, "-")</f>
        <v>0.22070519335589844</v>
      </c>
      <c r="J18" s="250"/>
      <c r="K18" s="91"/>
      <c r="L18" s="91"/>
      <c r="M18" s="91"/>
      <c r="N18" s="91"/>
      <c r="O18" s="91"/>
    </row>
    <row r="19" spans="1:15" s="3" customFormat="1" ht="14.25" customHeight="1" x14ac:dyDescent="0.25">
      <c r="A19" s="247" t="s">
        <v>105</v>
      </c>
      <c r="B19" s="247"/>
      <c r="C19" s="248" t="s">
        <v>106</v>
      </c>
      <c r="D19" s="248"/>
      <c r="E19" s="249">
        <v>0</v>
      </c>
      <c r="F19" s="249"/>
      <c r="G19" s="249">
        <f>285.8+179.46+345.46+345.2</f>
        <v>1155.92</v>
      </c>
      <c r="H19" s="249"/>
      <c r="I19" s="250">
        <f>IF((E19+G19)&gt;0,(E19+G19)/'Operational Data'!$G$21, "-")</f>
        <v>2.1321626532136832E-3</v>
      </c>
      <c r="J19" s="250"/>
      <c r="O19" s="91"/>
    </row>
    <row r="20" spans="1:15" s="3" customFormat="1" ht="14.25" customHeight="1" x14ac:dyDescent="0.25">
      <c r="A20" s="247" t="s">
        <v>107</v>
      </c>
      <c r="B20" s="247"/>
      <c r="C20" s="248" t="s">
        <v>96</v>
      </c>
      <c r="D20" s="248"/>
      <c r="E20" s="248">
        <f>1191.3+389.7</f>
        <v>1581</v>
      </c>
      <c r="F20" s="248"/>
      <c r="G20" s="249">
        <v>0</v>
      </c>
      <c r="H20" s="249"/>
      <c r="I20" s="250">
        <f>IF((E20+G20)&gt;0,(E20+G20)/'Operational Data'!$G$21, "-")</f>
        <v>2.9162477980576793E-3</v>
      </c>
      <c r="J20" s="250"/>
      <c r="O20" s="91"/>
    </row>
    <row r="21" spans="1:15" s="3" customFormat="1" ht="14.25" customHeight="1" x14ac:dyDescent="0.25">
      <c r="A21" s="247" t="s">
        <v>108</v>
      </c>
      <c r="B21" s="247"/>
      <c r="C21" s="248" t="s">
        <v>109</v>
      </c>
      <c r="D21" s="248"/>
      <c r="E21" s="249">
        <v>0</v>
      </c>
      <c r="F21" s="249"/>
      <c r="G21" s="249">
        <f>0.36+0.68+23.25</f>
        <v>24.29</v>
      </c>
      <c r="H21" s="249"/>
      <c r="I21" s="250">
        <f>IF((E21+G21)&gt;0,(E21+G21)/'Operational Data'!$G$21, "-")</f>
        <v>4.4804338402796352E-5</v>
      </c>
      <c r="J21" s="250"/>
      <c r="O21" s="91"/>
    </row>
    <row r="22" spans="1:15" s="3" customFormat="1" ht="14.25" customHeight="1" x14ac:dyDescent="0.25">
      <c r="A22" s="247" t="s">
        <v>110</v>
      </c>
      <c r="B22" s="247"/>
      <c r="C22" s="248" t="s">
        <v>106</v>
      </c>
      <c r="D22" s="248"/>
      <c r="E22" s="249">
        <v>0</v>
      </c>
      <c r="F22" s="249"/>
      <c r="G22" s="249">
        <v>93.08</v>
      </c>
      <c r="H22" s="249"/>
      <c r="I22" s="250">
        <f>IF((E22+G22)&gt;0,(E22+G22)/'Operational Data'!$G$21, "-")</f>
        <v>1.7169155284200429E-4</v>
      </c>
      <c r="J22" s="250"/>
      <c r="O22" s="91"/>
    </row>
    <row r="23" spans="1:15" s="3" customFormat="1" ht="14.25" customHeight="1" x14ac:dyDescent="0.25">
      <c r="A23" s="247" t="s">
        <v>111</v>
      </c>
      <c r="B23" s="247"/>
      <c r="C23" s="248" t="s">
        <v>112</v>
      </c>
      <c r="D23" s="248"/>
      <c r="E23" s="249">
        <v>0</v>
      </c>
      <c r="F23" s="249"/>
      <c r="G23" s="249">
        <f>1.2+1.22+1.96+1.34</f>
        <v>5.72</v>
      </c>
      <c r="H23" s="249"/>
      <c r="I23" s="250">
        <f>IF((E23+G23)&gt;0,(E23+G23)/'Operational Data'!$G$21, "-")</f>
        <v>1.0550877548949984E-5</v>
      </c>
      <c r="J23" s="250"/>
      <c r="O23" s="91"/>
    </row>
    <row r="24" spans="1:15" s="3" customFormat="1" ht="14.25" customHeight="1" x14ac:dyDescent="0.25">
      <c r="A24" s="247" t="s">
        <v>113</v>
      </c>
      <c r="B24" s="247"/>
      <c r="C24" s="248" t="s">
        <v>114</v>
      </c>
      <c r="D24" s="248"/>
      <c r="E24" s="249">
        <v>0</v>
      </c>
      <c r="F24" s="249"/>
      <c r="G24" s="249">
        <f>12.42+11.28+2.86+3.68</f>
        <v>30.24</v>
      </c>
      <c r="H24" s="249"/>
      <c r="I24" s="250">
        <f>IF((E24+G24)&gt;0,(E24+G24)/'Operational Data'!$G$21, "-")</f>
        <v>5.5779464524518795E-5</v>
      </c>
      <c r="J24" s="250"/>
      <c r="O24" s="91"/>
    </row>
    <row r="25" spans="1:15" s="3" customFormat="1" ht="14.25" customHeight="1" x14ac:dyDescent="0.25">
      <c r="A25" s="270" t="s">
        <v>115</v>
      </c>
      <c r="B25" s="270"/>
      <c r="C25" s="270"/>
      <c r="D25" s="270"/>
      <c r="E25" s="268">
        <f>SUM(E18:F24)</f>
        <v>1581</v>
      </c>
      <c r="F25" s="268"/>
      <c r="G25" s="268">
        <f>SUM(G18:H24)</f>
        <v>120961.26000000001</v>
      </c>
      <c r="H25" s="268"/>
      <c r="I25" s="269">
        <f>IF((E25+G25)&gt;0,(E25+G25)/'Operational Data'!$G$21, "-")</f>
        <v>0.2260364300404881</v>
      </c>
      <c r="J25" s="269"/>
      <c r="O25" s="91"/>
    </row>
    <row r="26" spans="1:15" s="3" customFormat="1" ht="14.25" customHeight="1" x14ac:dyDescent="0.25">
      <c r="A26" s="280" t="s">
        <v>116</v>
      </c>
      <c r="B26" s="280"/>
      <c r="C26" s="280"/>
      <c r="D26" s="280"/>
      <c r="E26" s="281">
        <f>+E25+E15</f>
        <v>17000.900000000001</v>
      </c>
      <c r="F26" s="281"/>
      <c r="G26" s="281">
        <f>+G25+G15</f>
        <v>120961.26000000001</v>
      </c>
      <c r="H26" s="281"/>
      <c r="I26" s="282">
        <f>IF((E26+G26)&gt;0,(E26+G26)/'Operational Data'!$G$21, "-")</f>
        <v>0.25447934555046253</v>
      </c>
      <c r="J26" s="282"/>
      <c r="O26" s="91"/>
    </row>
    <row r="27" spans="1:15" s="3" customFormat="1" ht="8.25" customHeight="1" x14ac:dyDescent="0.3">
      <c r="A27" s="152"/>
      <c r="B27"/>
      <c r="C27"/>
      <c r="D27"/>
      <c r="E27"/>
      <c r="F27"/>
      <c r="G27"/>
      <c r="O27" s="91"/>
    </row>
    <row r="28" spans="1:15" s="3" customFormat="1" ht="14.25" customHeight="1" x14ac:dyDescent="0.25">
      <c r="A28" s="283" t="s">
        <v>117</v>
      </c>
      <c r="B28" s="283"/>
      <c r="C28" s="283"/>
      <c r="D28" s="283"/>
      <c r="E28" s="283"/>
      <c r="F28" s="283"/>
      <c r="G28" s="283"/>
      <c r="H28" s="283"/>
      <c r="I28" s="283"/>
      <c r="J28" s="283"/>
      <c r="O28" s="91"/>
    </row>
    <row r="29" spans="1:15" s="3" customFormat="1" ht="14.25" customHeight="1" x14ac:dyDescent="0.25">
      <c r="A29" s="284"/>
      <c r="B29" s="284"/>
      <c r="C29" s="284"/>
      <c r="D29" s="284"/>
      <c r="E29" s="284"/>
      <c r="F29" s="284"/>
      <c r="G29" s="284"/>
      <c r="H29" s="284"/>
      <c r="I29" s="284"/>
      <c r="J29" s="284"/>
      <c r="O29" s="91"/>
    </row>
    <row r="30" spans="1:15" s="3" customFormat="1" ht="14.25" customHeight="1" x14ac:dyDescent="0.25">
      <c r="A30" s="284"/>
      <c r="B30" s="284"/>
      <c r="C30" s="284"/>
      <c r="D30" s="284"/>
      <c r="E30" s="284"/>
      <c r="F30" s="284"/>
      <c r="G30" s="284"/>
      <c r="H30" s="284"/>
      <c r="I30" s="284"/>
      <c r="J30" s="284"/>
    </row>
    <row r="31" spans="1:15" s="3" customFormat="1" ht="14.25" customHeight="1" x14ac:dyDescent="0.25">
      <c r="A31" s="284"/>
      <c r="B31" s="284"/>
      <c r="C31" s="284"/>
      <c r="D31" s="284"/>
      <c r="E31" s="284"/>
      <c r="F31" s="284"/>
      <c r="G31" s="284"/>
      <c r="H31" s="284"/>
      <c r="I31" s="284"/>
      <c r="J31" s="284"/>
    </row>
    <row r="32" spans="1:15" s="3" customFormat="1" ht="14.25" customHeight="1" x14ac:dyDescent="0.3">
      <c r="A32" s="152"/>
      <c r="B32"/>
      <c r="C32"/>
      <c r="D32"/>
      <c r="E32"/>
      <c r="F32"/>
      <c r="G32"/>
    </row>
    <row r="33" spans="1:10" s="3" customFormat="1" ht="14.25" customHeight="1" x14ac:dyDescent="0.3">
      <c r="A33" s="1">
        <f>+A1</f>
        <v>2022</v>
      </c>
      <c r="B33" s="34" t="s">
        <v>118</v>
      </c>
      <c r="C33" s="34"/>
      <c r="D33" s="34"/>
      <c r="E33" s="34"/>
      <c r="F33" s="34"/>
    </row>
    <row r="34" spans="1:10" s="3" customFormat="1" ht="24.75" customHeight="1" x14ac:dyDescent="0.25">
      <c r="A34" s="271" t="s">
        <v>119</v>
      </c>
      <c r="B34" s="272"/>
      <c r="C34" s="272"/>
      <c r="D34" s="273"/>
      <c r="E34" s="38" t="s">
        <v>120</v>
      </c>
      <c r="F34" s="39"/>
      <c r="G34" s="40" t="s">
        <v>121</v>
      </c>
      <c r="H34" s="274" t="s">
        <v>122</v>
      </c>
      <c r="I34" s="275"/>
      <c r="J34" s="41" t="s">
        <v>121</v>
      </c>
    </row>
    <row r="35" spans="1:10" s="3" customFormat="1" ht="14.25" customHeight="1" x14ac:dyDescent="0.25">
      <c r="A35" s="252" t="s">
        <v>123</v>
      </c>
      <c r="B35" s="253"/>
      <c r="C35" s="253"/>
      <c r="D35" s="276"/>
      <c r="E35" s="277">
        <f>+'Operational Data'!G44</f>
        <v>12841000</v>
      </c>
      <c r="F35" s="256"/>
      <c r="G35" s="153" t="s">
        <v>124</v>
      </c>
      <c r="H35" s="278">
        <f>IF(E35&gt;0,E35/'Operational Data'!$G$21,"-")</f>
        <v>23.685982273787893</v>
      </c>
      <c r="I35" s="279"/>
      <c r="J35" s="153" t="s">
        <v>125</v>
      </c>
    </row>
    <row r="36" spans="1:10" s="3" customFormat="1" ht="14.25" customHeight="1" x14ac:dyDescent="0.25">
      <c r="A36" s="252" t="s">
        <v>126</v>
      </c>
      <c r="B36" s="253"/>
      <c r="C36" s="253"/>
      <c r="D36" s="276"/>
      <c r="E36" s="277">
        <f>+'Operational Data'!G45+'Operational Data'!G44</f>
        <v>12841000</v>
      </c>
      <c r="F36" s="256"/>
      <c r="G36" s="153" t="s">
        <v>124</v>
      </c>
      <c r="H36" s="278">
        <f>IF(E36&gt;0,E36/'Operational Data'!$G$21,"-")</f>
        <v>23.685982273787893</v>
      </c>
      <c r="I36" s="279"/>
      <c r="J36" s="153" t="s">
        <v>125</v>
      </c>
    </row>
    <row r="37" spans="1:10" s="3" customFormat="1" ht="14.25" customHeight="1" x14ac:dyDescent="0.25">
      <c r="A37" s="252" t="s">
        <v>127</v>
      </c>
      <c r="B37" s="253"/>
      <c r="C37" s="253"/>
      <c r="D37" s="276"/>
      <c r="E37" s="277">
        <f>+'Operational Data'!G47</f>
        <v>479743</v>
      </c>
      <c r="F37" s="256"/>
      <c r="G37" s="153" t="s">
        <v>128</v>
      </c>
      <c r="H37" s="278">
        <f>IF(E37&gt;0,E37/'Operational Data'!$G$21,"-")</f>
        <v>0.88491427411991475</v>
      </c>
      <c r="I37" s="279"/>
      <c r="J37" s="153" t="s">
        <v>129</v>
      </c>
    </row>
    <row r="38" spans="1:10" s="3" customFormat="1" ht="14.25" customHeight="1" x14ac:dyDescent="0.25">
      <c r="A38" s="252" t="s">
        <v>130</v>
      </c>
      <c r="B38" s="253"/>
      <c r="C38" s="253"/>
      <c r="D38" s="276"/>
      <c r="E38" s="277">
        <f>+'Operational Data'!G48</f>
        <v>156502</v>
      </c>
      <c r="F38" s="256"/>
      <c r="G38" s="153" t="s">
        <v>128</v>
      </c>
      <c r="H38" s="278">
        <f>IF(E38&gt;0,E38/'Operational Data'!$G$21,"-")</f>
        <v>0.28867717450450536</v>
      </c>
      <c r="I38" s="279"/>
      <c r="J38" s="153" t="s">
        <v>129</v>
      </c>
    </row>
    <row r="39" spans="1:10" s="3" customFormat="1" ht="14.25" customHeight="1" x14ac:dyDescent="0.25">
      <c r="A39" s="252" t="s">
        <v>131</v>
      </c>
      <c r="B39" s="253"/>
      <c r="C39" s="253"/>
      <c r="D39" s="276"/>
      <c r="E39" s="277">
        <f>+'Operational Data'!G49</f>
        <v>7478000</v>
      </c>
      <c r="F39" s="256"/>
      <c r="G39" s="153" t="s">
        <v>128</v>
      </c>
      <c r="H39" s="278">
        <f>IF(E39&gt;0,E39/'Operational Data'!$G$21,"-")</f>
        <v>13.793612292141257</v>
      </c>
      <c r="I39" s="279"/>
      <c r="J39" s="153" t="s">
        <v>129</v>
      </c>
    </row>
    <row r="40" spans="1:10" s="3" customFormat="1" ht="14.25" customHeight="1" x14ac:dyDescent="0.25">
      <c r="A40" s="285"/>
      <c r="B40" s="286"/>
      <c r="C40" s="286"/>
      <c r="D40" s="287"/>
      <c r="E40" s="288"/>
      <c r="F40" s="289"/>
      <c r="G40" s="154"/>
      <c r="H40" s="290"/>
      <c r="I40" s="291"/>
      <c r="J40" s="154"/>
    </row>
    <row r="41" spans="1:10" s="3" customFormat="1" ht="14.25" customHeight="1" x14ac:dyDescent="0.25">
      <c r="A41" s="283" t="s">
        <v>117</v>
      </c>
      <c r="B41" s="283"/>
      <c r="C41" s="283"/>
      <c r="D41" s="283"/>
      <c r="E41" s="283"/>
      <c r="F41" s="283"/>
      <c r="G41" s="283"/>
      <c r="H41" s="283"/>
      <c r="I41" s="283"/>
      <c r="J41" s="283"/>
    </row>
    <row r="42" spans="1:10" s="3" customFormat="1" ht="14.25" customHeight="1" x14ac:dyDescent="0.25">
      <c r="A42" s="284" t="s">
        <v>98</v>
      </c>
      <c r="B42" s="284"/>
      <c r="C42" s="284"/>
      <c r="D42" s="284"/>
      <c r="E42" s="284"/>
      <c r="F42" s="284"/>
      <c r="G42" s="284"/>
      <c r="H42" s="284"/>
      <c r="I42" s="284"/>
      <c r="J42" s="284"/>
    </row>
    <row r="43" spans="1:10" s="3" customFormat="1" ht="14.25" customHeight="1" x14ac:dyDescent="0.25">
      <c r="A43" s="284"/>
      <c r="B43" s="284"/>
      <c r="C43" s="284"/>
      <c r="D43" s="284"/>
      <c r="E43" s="284"/>
      <c r="F43" s="284"/>
      <c r="G43" s="284"/>
      <c r="H43" s="284"/>
      <c r="I43" s="284"/>
      <c r="J43" s="284"/>
    </row>
    <row r="44" spans="1:10" s="3" customFormat="1" ht="14.25" customHeight="1" x14ac:dyDescent="0.25">
      <c r="A44" s="42"/>
      <c r="B44" s="42"/>
      <c r="C44" s="42"/>
      <c r="D44" s="42"/>
      <c r="E44" s="42"/>
      <c r="F44" s="42"/>
      <c r="G44" s="42"/>
      <c r="H44" s="42"/>
      <c r="I44" s="42"/>
      <c r="J44" s="42"/>
    </row>
    <row r="45" spans="1:10" s="3" customFormat="1" ht="14.25" customHeight="1" x14ac:dyDescent="0.25">
      <c r="A45" s="34">
        <f>+A33</f>
        <v>2022</v>
      </c>
      <c r="B45" s="34" t="s">
        <v>132</v>
      </c>
      <c r="C45" s="34"/>
      <c r="D45" s="34"/>
      <c r="E45" s="34"/>
      <c r="F45" s="34"/>
      <c r="G45" s="91"/>
    </row>
    <row r="46" spans="1:10" ht="14.25" customHeight="1" x14ac:dyDescent="0.25">
      <c r="A46" s="295" t="s">
        <v>133</v>
      </c>
      <c r="B46" s="295"/>
      <c r="C46" s="295" t="s">
        <v>134</v>
      </c>
      <c r="D46" s="295"/>
      <c r="E46" s="295"/>
      <c r="F46" s="295"/>
      <c r="G46" s="295"/>
      <c r="H46" s="295"/>
      <c r="I46" s="295"/>
      <c r="J46" s="295"/>
    </row>
    <row r="47" spans="1:10" ht="14.25" customHeight="1" x14ac:dyDescent="0.25">
      <c r="A47" s="43"/>
      <c r="B47" s="43"/>
      <c r="C47" s="36" t="s">
        <v>135</v>
      </c>
      <c r="D47" s="36" t="s">
        <v>136</v>
      </c>
      <c r="E47" s="36" t="s">
        <v>137</v>
      </c>
      <c r="F47" s="36" t="s">
        <v>138</v>
      </c>
      <c r="G47" s="36" t="s">
        <v>139</v>
      </c>
      <c r="H47" s="36"/>
      <c r="I47" s="36" t="s">
        <v>140</v>
      </c>
      <c r="J47" s="36" t="s">
        <v>141</v>
      </c>
    </row>
    <row r="48" spans="1:10" ht="43.2" customHeight="1" x14ac:dyDescent="0.25">
      <c r="A48" s="294" t="s">
        <v>142</v>
      </c>
      <c r="B48" s="294"/>
      <c r="C48" s="113">
        <v>6973</v>
      </c>
      <c r="D48" s="113">
        <v>7551</v>
      </c>
      <c r="E48" s="113" t="s">
        <v>98</v>
      </c>
      <c r="F48" s="113" t="s">
        <v>98</v>
      </c>
      <c r="G48" s="113" t="s">
        <v>98</v>
      </c>
      <c r="H48" s="113" t="s">
        <v>98</v>
      </c>
      <c r="I48" s="114">
        <v>8301</v>
      </c>
      <c r="J48" s="114" t="s">
        <v>98</v>
      </c>
    </row>
    <row r="49" spans="1:10" ht="43.5" customHeight="1" x14ac:dyDescent="0.25">
      <c r="A49" s="294" t="s">
        <v>143</v>
      </c>
      <c r="B49" s="294"/>
      <c r="C49" s="113">
        <v>0</v>
      </c>
      <c r="D49" s="113">
        <v>0</v>
      </c>
      <c r="E49" s="113" t="s">
        <v>98</v>
      </c>
      <c r="F49" s="113" t="s">
        <v>98</v>
      </c>
      <c r="G49" s="113" t="s">
        <v>98</v>
      </c>
      <c r="H49" s="113" t="s">
        <v>98</v>
      </c>
      <c r="I49" s="114">
        <v>0</v>
      </c>
      <c r="J49" s="114" t="s">
        <v>98</v>
      </c>
    </row>
    <row r="50" spans="1:10" ht="42.75" customHeight="1" x14ac:dyDescent="0.25">
      <c r="A50" s="294" t="s">
        <v>144</v>
      </c>
      <c r="B50" s="294"/>
      <c r="C50" s="113">
        <v>0</v>
      </c>
      <c r="D50" s="113">
        <v>0</v>
      </c>
      <c r="E50" s="113" t="s">
        <v>98</v>
      </c>
      <c r="F50" s="113" t="s">
        <v>98</v>
      </c>
      <c r="G50" s="113" t="s">
        <v>98</v>
      </c>
      <c r="H50" s="113" t="s">
        <v>98</v>
      </c>
      <c r="I50" s="114">
        <v>0</v>
      </c>
      <c r="J50" s="114" t="s">
        <v>98</v>
      </c>
    </row>
    <row r="51" spans="1:10" ht="8.25" customHeight="1" x14ac:dyDescent="0.25">
      <c r="A51" s="91"/>
      <c r="B51" s="91"/>
      <c r="C51" s="91"/>
      <c r="D51" s="91"/>
      <c r="E51" s="91"/>
      <c r="F51" s="91"/>
      <c r="G51" s="91"/>
      <c r="H51" s="91"/>
      <c r="I51" s="91"/>
      <c r="J51" s="91"/>
    </row>
    <row r="52" spans="1:10" x14ac:dyDescent="0.25">
      <c r="A52" s="283" t="s">
        <v>117</v>
      </c>
      <c r="B52" s="283"/>
      <c r="C52" s="283"/>
      <c r="D52" s="283"/>
      <c r="E52" s="283"/>
      <c r="F52" s="283"/>
      <c r="G52" s="283"/>
      <c r="H52" s="283"/>
      <c r="I52" s="283"/>
      <c r="J52" s="283"/>
    </row>
    <row r="53" spans="1:10" x14ac:dyDescent="0.25">
      <c r="A53" s="284" t="s">
        <v>145</v>
      </c>
      <c r="B53" s="284"/>
      <c r="C53" s="284"/>
      <c r="D53" s="284"/>
      <c r="E53" s="284"/>
      <c r="F53" s="284"/>
      <c r="G53" s="284"/>
      <c r="H53" s="284"/>
      <c r="I53" s="284"/>
      <c r="J53" s="284"/>
    </row>
    <row r="54" spans="1:10" x14ac:dyDescent="0.25">
      <c r="A54" s="284"/>
      <c r="B54" s="284"/>
      <c r="C54" s="284"/>
      <c r="D54" s="284"/>
      <c r="E54" s="284"/>
      <c r="F54" s="284"/>
      <c r="G54" s="284"/>
      <c r="H54" s="284"/>
      <c r="I54" s="284"/>
      <c r="J54" s="284"/>
    </row>
    <row r="56" spans="1:10" ht="27" x14ac:dyDescent="0.6">
      <c r="A56" s="3" t="s">
        <v>146</v>
      </c>
      <c r="B56" s="293" t="s">
        <v>147</v>
      </c>
      <c r="C56" s="293"/>
      <c r="D56" s="3"/>
      <c r="E56" s="3" t="s">
        <v>148</v>
      </c>
      <c r="F56" s="292">
        <v>44952</v>
      </c>
      <c r="G56" s="292"/>
      <c r="H56" s="91"/>
      <c r="I56" s="91"/>
      <c r="J56" s="91"/>
    </row>
    <row r="64" spans="1:10" x14ac:dyDescent="0.25">
      <c r="A64" s="91"/>
      <c r="B64" s="91"/>
      <c r="C64" s="91"/>
      <c r="D64" s="91"/>
      <c r="E64" s="91"/>
      <c r="F64" s="3"/>
      <c r="G64" s="91"/>
      <c r="H64" s="91"/>
      <c r="I64" s="91"/>
      <c r="J64" s="91"/>
    </row>
  </sheetData>
  <mergeCells count="116">
    <mergeCell ref="F56:G56"/>
    <mergeCell ref="B56:C56"/>
    <mergeCell ref="A50:B50"/>
    <mergeCell ref="A52:J52"/>
    <mergeCell ref="A53:J54"/>
    <mergeCell ref="A41:J41"/>
    <mergeCell ref="A42:J43"/>
    <mergeCell ref="A46:B46"/>
    <mergeCell ref="C46:J46"/>
    <mergeCell ref="A48:B48"/>
    <mergeCell ref="A49:B49"/>
    <mergeCell ref="A39:D39"/>
    <mergeCell ref="E39:F39"/>
    <mergeCell ref="H39:I39"/>
    <mergeCell ref="A40:D40"/>
    <mergeCell ref="E40:F40"/>
    <mergeCell ref="H40:I40"/>
    <mergeCell ref="A37:D37"/>
    <mergeCell ref="E37:F37"/>
    <mergeCell ref="H37:I37"/>
    <mergeCell ref="A38:D38"/>
    <mergeCell ref="E38:F38"/>
    <mergeCell ref="H38:I38"/>
    <mergeCell ref="A36:D36"/>
    <mergeCell ref="E36:F36"/>
    <mergeCell ref="H36:I36"/>
    <mergeCell ref="A26:D26"/>
    <mergeCell ref="E26:F26"/>
    <mergeCell ref="G26:H26"/>
    <mergeCell ref="I26:J26"/>
    <mergeCell ref="A28:J28"/>
    <mergeCell ref="A29:J31"/>
    <mergeCell ref="A25:D25"/>
    <mergeCell ref="E25:F25"/>
    <mergeCell ref="G25:H25"/>
    <mergeCell ref="I25:J25"/>
    <mergeCell ref="A34:D34"/>
    <mergeCell ref="H34:I34"/>
    <mergeCell ref="A35:D35"/>
    <mergeCell ref="E35:F35"/>
    <mergeCell ref="H35:I35"/>
    <mergeCell ref="A23:B23"/>
    <mergeCell ref="C23:D23"/>
    <mergeCell ref="E23:F23"/>
    <mergeCell ref="G23:H23"/>
    <mergeCell ref="A22:B22"/>
    <mergeCell ref="C22:D22"/>
    <mergeCell ref="E22:F22"/>
    <mergeCell ref="G22:H22"/>
    <mergeCell ref="I22:J22"/>
    <mergeCell ref="I23:J23"/>
    <mergeCell ref="E20:F20"/>
    <mergeCell ref="I20:J20"/>
    <mergeCell ref="A20:B20"/>
    <mergeCell ref="C20:D20"/>
    <mergeCell ref="G20:H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C14:D14"/>
    <mergeCell ref="A14:B14"/>
    <mergeCell ref="I13:J13"/>
    <mergeCell ref="G13:H13"/>
    <mergeCell ref="E13:F13"/>
    <mergeCell ref="C13:D13"/>
    <mergeCell ref="A13:B13"/>
    <mergeCell ref="A17:J17"/>
    <mergeCell ref="A15:D15"/>
    <mergeCell ref="E15:F15"/>
    <mergeCell ref="G15:H15"/>
    <mergeCell ref="I15:J15"/>
    <mergeCell ref="A3:E3"/>
    <mergeCell ref="B4:E4"/>
    <mergeCell ref="D6:E6"/>
    <mergeCell ref="G6:H6"/>
    <mergeCell ref="A9:B9"/>
    <mergeCell ref="C9:D9"/>
    <mergeCell ref="E9:F9"/>
    <mergeCell ref="G9:H9"/>
    <mergeCell ref="I9:J9"/>
    <mergeCell ref="A24:B24"/>
    <mergeCell ref="C24:D24"/>
    <mergeCell ref="E24:F24"/>
    <mergeCell ref="G24:H24"/>
    <mergeCell ref="I24:J24"/>
    <mergeCell ref="A10:J10"/>
    <mergeCell ref="A11:B11"/>
    <mergeCell ref="C11:D11"/>
    <mergeCell ref="E11:F11"/>
    <mergeCell ref="G11:H11"/>
    <mergeCell ref="I11:J11"/>
    <mergeCell ref="A12:B12"/>
    <mergeCell ref="C12:D12"/>
    <mergeCell ref="E12:F12"/>
    <mergeCell ref="G12:H12"/>
    <mergeCell ref="I12:J12"/>
    <mergeCell ref="A16:B16"/>
    <mergeCell ref="C16:D16"/>
    <mergeCell ref="E16:F16"/>
    <mergeCell ref="G16:H16"/>
    <mergeCell ref="I16:J16"/>
    <mergeCell ref="I14:J14"/>
    <mergeCell ref="G14:H14"/>
    <mergeCell ref="E14:F14"/>
  </mergeCells>
  <phoneticPr fontId="24" type="noConversion"/>
  <pageMargins left="0.25" right="0.25"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3"/>
  <sheetViews>
    <sheetView topLeftCell="A12" workbookViewId="0">
      <selection activeCell="E34" sqref="E34"/>
    </sheetView>
  </sheetViews>
  <sheetFormatPr defaultColWidth="9.33203125" defaultRowHeight="15" x14ac:dyDescent="0.25"/>
  <cols>
    <col min="1" max="1" width="9.44140625" style="2" bestFit="1" customWidth="1"/>
    <col min="2" max="16384" width="9.33203125" style="2"/>
  </cols>
  <sheetData>
    <row r="1" spans="1:10" ht="15.6" x14ac:dyDescent="0.3">
      <c r="A1" s="33">
        <f>+'Cover Page'!C39</f>
        <v>2022</v>
      </c>
      <c r="B1" s="34" t="s">
        <v>149</v>
      </c>
      <c r="C1" s="34"/>
      <c r="D1" s="34"/>
      <c r="E1" s="34"/>
      <c r="F1" s="34"/>
      <c r="G1" s="34"/>
      <c r="H1" s="34"/>
      <c r="I1" s="34"/>
      <c r="J1" s="34"/>
    </row>
    <row r="3" spans="1:10" s="3" customFormat="1" ht="15" customHeight="1" x14ac:dyDescent="0.25">
      <c r="A3" s="3" t="str">
        <f>+'Cover Page'!B31</f>
        <v>Permit EPR/JP3135DK</v>
      </c>
      <c r="F3" s="3" t="s">
        <v>80</v>
      </c>
      <c r="G3" s="129" t="s">
        <v>9</v>
      </c>
      <c r="H3" s="129"/>
      <c r="I3" s="129"/>
    </row>
    <row r="4" spans="1:10" s="3" customFormat="1" ht="13.8" x14ac:dyDescent="0.25">
      <c r="A4" s="3" t="s">
        <v>81</v>
      </c>
      <c r="B4" s="261" t="str">
        <f>+'Cover Page'!B33:I33</f>
        <v>Kemsley Generating Station</v>
      </c>
      <c r="C4" s="261"/>
      <c r="D4" s="261"/>
      <c r="E4" s="261"/>
      <c r="F4" s="3" t="s">
        <v>82</v>
      </c>
      <c r="G4" s="3" t="s">
        <v>150</v>
      </c>
    </row>
    <row r="5" spans="1:10" s="3" customFormat="1" ht="13.8" x14ac:dyDescent="0.25"/>
    <row r="6" spans="1:10" s="3" customFormat="1" ht="15.75" customHeight="1" x14ac:dyDescent="0.25">
      <c r="A6" s="3" t="s">
        <v>84</v>
      </c>
      <c r="D6" s="296" t="str">
        <f>+'Perf. Form 1'!D6:E6</f>
        <v>01st Jan 2022</v>
      </c>
      <c r="E6" s="296"/>
      <c r="F6" s="35" t="s">
        <v>86</v>
      </c>
      <c r="G6" s="296" t="str">
        <f>+'Perf. Form 1'!G6:H6</f>
        <v>31st Dec 2022</v>
      </c>
      <c r="H6" s="296"/>
    </row>
    <row r="7" spans="1:10" s="3" customFormat="1" ht="14.4" x14ac:dyDescent="0.3">
      <c r="B7"/>
      <c r="C7"/>
      <c r="D7"/>
    </row>
    <row r="8" spans="1:10" s="3" customFormat="1" ht="37.5" customHeight="1" x14ac:dyDescent="0.25">
      <c r="A8" s="295" t="s">
        <v>151</v>
      </c>
      <c r="B8" s="295"/>
      <c r="C8" s="295"/>
      <c r="D8" s="263" t="s">
        <v>152</v>
      </c>
      <c r="E8" s="263"/>
      <c r="F8" s="36" t="s">
        <v>121</v>
      </c>
      <c r="G8" s="295" t="s">
        <v>153</v>
      </c>
      <c r="H8" s="295"/>
      <c r="I8" s="295"/>
    </row>
    <row r="9" spans="1:10" s="3" customFormat="1" ht="24.75" customHeight="1" x14ac:dyDescent="0.25">
      <c r="A9" s="294" t="s">
        <v>154</v>
      </c>
      <c r="B9" s="294"/>
      <c r="C9" s="294"/>
      <c r="D9" s="297">
        <f>+'Operational Data'!G26</f>
        <v>389426</v>
      </c>
      <c r="E9" s="297"/>
      <c r="F9" s="142" t="s">
        <v>155</v>
      </c>
      <c r="G9" s="298">
        <f>+'Operational Data'!H26</f>
        <v>718.31923782821627</v>
      </c>
      <c r="H9" s="298"/>
      <c r="I9" s="298"/>
    </row>
    <row r="10" spans="1:10" s="3" customFormat="1" ht="24.75" customHeight="1" x14ac:dyDescent="0.25">
      <c r="A10" s="294" t="s">
        <v>156</v>
      </c>
      <c r="B10" s="294"/>
      <c r="C10" s="294"/>
      <c r="D10" s="299">
        <f>+'Operational Data'!G29</f>
        <v>770</v>
      </c>
      <c r="E10" s="299"/>
      <c r="F10" s="142" t="s">
        <v>155</v>
      </c>
      <c r="G10" s="298">
        <f>+'Operational Data'!H29</f>
        <v>1.4203104392817287</v>
      </c>
      <c r="H10" s="298"/>
      <c r="I10" s="298"/>
    </row>
    <row r="11" spans="1:10" s="3" customFormat="1" ht="24.75" customHeight="1" x14ac:dyDescent="0.25">
      <c r="A11" s="294" t="s">
        <v>157</v>
      </c>
      <c r="B11" s="294"/>
      <c r="C11" s="294"/>
      <c r="D11" s="297">
        <f>+'Operational Data'!G27</f>
        <v>343876</v>
      </c>
      <c r="E11" s="297"/>
      <c r="F11" s="142" t="s">
        <v>155</v>
      </c>
      <c r="G11" s="298">
        <f>+'Operational Data'!H27</f>
        <v>634.29957482914767</v>
      </c>
      <c r="H11" s="298"/>
      <c r="I11" s="298"/>
    </row>
    <row r="12" spans="1:10" s="3" customFormat="1" ht="24.75" customHeight="1" x14ac:dyDescent="0.25">
      <c r="A12" s="294" t="s">
        <v>158</v>
      </c>
      <c r="B12" s="294"/>
      <c r="C12" s="294"/>
      <c r="D12" s="300">
        <f>249.74+122.87+87.44+145.07</f>
        <v>605.12</v>
      </c>
      <c r="E12" s="300"/>
      <c r="F12" s="142" t="s">
        <v>159</v>
      </c>
      <c r="G12" s="301" t="s">
        <v>98</v>
      </c>
      <c r="H12" s="301"/>
      <c r="I12" s="301"/>
    </row>
    <row r="13" spans="1:10" s="3" customFormat="1" ht="24.75" customHeight="1" x14ac:dyDescent="0.25">
      <c r="A13" s="294" t="s">
        <v>160</v>
      </c>
      <c r="B13" s="294"/>
      <c r="C13" s="294"/>
      <c r="D13" s="297">
        <f>+'Operational Data'!G32</f>
        <v>344078</v>
      </c>
      <c r="E13" s="297"/>
      <c r="F13" s="142" t="s">
        <v>161</v>
      </c>
      <c r="G13" s="298">
        <f>+'Operational Data'!H32</f>
        <v>634.67217574958272</v>
      </c>
      <c r="H13" s="298"/>
      <c r="I13" s="298"/>
    </row>
    <row r="14" spans="1:10" s="3" customFormat="1" ht="24.75" customHeight="1" x14ac:dyDescent="0.25">
      <c r="A14" s="302"/>
      <c r="B14" s="302"/>
      <c r="C14" s="302"/>
      <c r="D14" s="302"/>
      <c r="E14" s="302"/>
      <c r="F14" s="140"/>
      <c r="G14" s="205"/>
      <c r="H14" s="205"/>
      <c r="I14" s="205"/>
    </row>
    <row r="15" spans="1:10" s="3" customFormat="1" ht="24.75" customHeight="1" x14ac:dyDescent="0.25">
      <c r="A15" s="302"/>
      <c r="B15" s="302"/>
      <c r="C15" s="302"/>
      <c r="D15" s="302"/>
      <c r="E15" s="302"/>
      <c r="F15" s="140"/>
      <c r="G15" s="205"/>
      <c r="H15" s="205"/>
      <c r="I15" s="205"/>
    </row>
    <row r="16" spans="1:10" s="3" customFormat="1" ht="14.4" x14ac:dyDescent="0.3">
      <c r="A16" s="44"/>
      <c r="B16"/>
      <c r="C16"/>
      <c r="D16"/>
    </row>
    <row r="17" spans="1:9" s="3" customFormat="1" ht="24" customHeight="1" x14ac:dyDescent="0.25">
      <c r="A17" s="283" t="s">
        <v>117</v>
      </c>
      <c r="B17" s="283"/>
      <c r="C17" s="283"/>
      <c r="D17" s="283"/>
      <c r="E17" s="283"/>
      <c r="F17" s="283"/>
      <c r="G17" s="283"/>
      <c r="H17" s="283"/>
      <c r="I17" s="283"/>
    </row>
    <row r="18" spans="1:9" s="3" customFormat="1" ht="13.8" x14ac:dyDescent="0.25">
      <c r="A18" s="303" t="s">
        <v>98</v>
      </c>
      <c r="B18" s="303"/>
      <c r="C18" s="303"/>
      <c r="D18" s="303"/>
      <c r="E18" s="303"/>
      <c r="F18" s="303"/>
      <c r="G18" s="303"/>
      <c r="H18" s="303"/>
      <c r="I18" s="303"/>
    </row>
    <row r="19" spans="1:9" s="3" customFormat="1" ht="13.8" x14ac:dyDescent="0.25">
      <c r="A19" s="303"/>
      <c r="B19" s="303"/>
      <c r="C19" s="303"/>
      <c r="D19" s="303"/>
      <c r="E19" s="303"/>
      <c r="F19" s="303"/>
      <c r="G19" s="303"/>
      <c r="H19" s="303"/>
      <c r="I19" s="303"/>
    </row>
    <row r="20" spans="1:9" s="3" customFormat="1" ht="13.8" x14ac:dyDescent="0.25">
      <c r="A20" s="303"/>
      <c r="B20" s="303"/>
      <c r="C20" s="303"/>
      <c r="D20" s="303"/>
      <c r="E20" s="303"/>
      <c r="F20" s="303"/>
      <c r="G20" s="303"/>
      <c r="H20" s="303"/>
      <c r="I20" s="303"/>
    </row>
    <row r="21" spans="1:9" s="3" customFormat="1" ht="13.8" x14ac:dyDescent="0.25">
      <c r="A21" s="303"/>
      <c r="B21" s="303"/>
      <c r="C21" s="303"/>
      <c r="D21" s="303"/>
      <c r="E21" s="303"/>
      <c r="F21" s="303"/>
      <c r="G21" s="303"/>
      <c r="H21" s="303"/>
      <c r="I21" s="303"/>
    </row>
    <row r="22" spans="1:9" s="3" customFormat="1" ht="13.8" x14ac:dyDescent="0.25">
      <c r="A22" s="303"/>
      <c r="B22" s="303"/>
      <c r="C22" s="303"/>
      <c r="D22" s="303"/>
      <c r="E22" s="303"/>
      <c r="F22" s="303"/>
      <c r="G22" s="303"/>
      <c r="H22" s="303"/>
      <c r="I22" s="303"/>
    </row>
    <row r="23" spans="1:9" s="3" customFormat="1" ht="13.8" x14ac:dyDescent="0.25">
      <c r="A23" s="303"/>
      <c r="B23" s="303"/>
      <c r="C23" s="303"/>
      <c r="D23" s="303"/>
      <c r="E23" s="303"/>
      <c r="F23" s="303"/>
      <c r="G23" s="303"/>
      <c r="H23" s="303"/>
      <c r="I23" s="303"/>
    </row>
    <row r="24" spans="1:9" s="3" customFormat="1" ht="13.8" x14ac:dyDescent="0.25">
      <c r="A24" s="303"/>
      <c r="B24" s="303"/>
      <c r="C24" s="303"/>
      <c r="D24" s="303"/>
      <c r="E24" s="303"/>
      <c r="F24" s="303"/>
      <c r="G24" s="303"/>
      <c r="H24" s="303"/>
      <c r="I24" s="303"/>
    </row>
    <row r="25" spans="1:9" s="3" customFormat="1" ht="13.8" x14ac:dyDescent="0.25">
      <c r="A25" s="42"/>
      <c r="B25" s="42"/>
      <c r="C25" s="42"/>
      <c r="D25" s="42"/>
      <c r="E25" s="42"/>
      <c r="F25" s="42"/>
      <c r="G25" s="42"/>
      <c r="H25" s="42"/>
      <c r="I25" s="42"/>
    </row>
    <row r="26" spans="1:9" s="3" customFormat="1" ht="13.8" x14ac:dyDescent="0.25"/>
    <row r="27" spans="1:9" s="3" customFormat="1" ht="13.8" x14ac:dyDescent="0.25"/>
    <row r="28" spans="1:9" ht="27" x14ac:dyDescent="0.6">
      <c r="A28" s="3" t="s">
        <v>146</v>
      </c>
      <c r="B28" s="293" t="s">
        <v>147</v>
      </c>
      <c r="C28" s="293"/>
      <c r="D28" s="3"/>
      <c r="E28" s="3" t="s">
        <v>148</v>
      </c>
      <c r="F28" s="292">
        <v>44952</v>
      </c>
      <c r="G28" s="292"/>
      <c r="H28" s="91"/>
      <c r="I28" s="91"/>
    </row>
    <row r="29" spans="1:9" s="3" customFormat="1" ht="13.8" x14ac:dyDescent="0.25"/>
    <row r="30" spans="1:9" ht="14.25" customHeight="1" x14ac:dyDescent="0.25">
      <c r="A30" s="3"/>
      <c r="B30" s="3"/>
      <c r="C30" s="3"/>
      <c r="D30" s="3"/>
      <c r="E30" s="3"/>
      <c r="F30" s="3"/>
      <c r="G30" s="3"/>
      <c r="H30" s="3"/>
      <c r="I30" s="3"/>
    </row>
    <row r="31" spans="1:9" s="3" customFormat="1" ht="13.8" x14ac:dyDescent="0.25"/>
    <row r="32" spans="1:9" s="3" customFormat="1" ht="13.8" x14ac:dyDescent="0.25"/>
    <row r="33" spans="1:9" s="3" customFormat="1" x14ac:dyDescent="0.25">
      <c r="A33" s="91"/>
      <c r="B33" s="91"/>
      <c r="C33" s="91"/>
      <c r="D33" s="91"/>
      <c r="E33" s="91"/>
      <c r="F33" s="91"/>
      <c r="G33" s="91"/>
      <c r="H33" s="91"/>
      <c r="I33" s="91"/>
    </row>
    <row r="34" spans="1:9" s="3" customFormat="1" ht="13.8" x14ac:dyDescent="0.25"/>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x14ac:dyDescent="0.25">
      <c r="A42" s="3"/>
      <c r="B42" s="3"/>
      <c r="C42" s="3"/>
      <c r="D42" s="3"/>
      <c r="E42" s="3"/>
      <c r="F42" s="3"/>
      <c r="G42" s="3"/>
      <c r="H42" s="3"/>
      <c r="I42" s="3"/>
    </row>
    <row r="43" spans="1:9" x14ac:dyDescent="0.25">
      <c r="A43" s="3"/>
      <c r="B43" s="3"/>
      <c r="C43" s="3"/>
      <c r="D43" s="3"/>
      <c r="E43" s="3"/>
      <c r="F43" s="3"/>
      <c r="G43" s="3"/>
      <c r="H43" s="3"/>
      <c r="I43" s="3"/>
    </row>
    <row r="44" spans="1:9" x14ac:dyDescent="0.25">
      <c r="A44" s="3"/>
      <c r="B44" s="3"/>
      <c r="C44" s="3"/>
      <c r="D44" s="3"/>
      <c r="E44" s="3"/>
      <c r="F44" s="3"/>
      <c r="G44" s="3"/>
      <c r="H44" s="3"/>
      <c r="I44" s="3"/>
    </row>
    <row r="63" spans="6:6" x14ac:dyDescent="0.25">
      <c r="F63" s="3"/>
    </row>
  </sheetData>
  <mergeCells count="31">
    <mergeCell ref="B28:C28"/>
    <mergeCell ref="F28:G28"/>
    <mergeCell ref="A15:C15"/>
    <mergeCell ref="D15:E15"/>
    <mergeCell ref="G15:I15"/>
    <mergeCell ref="A17:I17"/>
    <mergeCell ref="A18:I24"/>
    <mergeCell ref="A13:C13"/>
    <mergeCell ref="D13:E13"/>
    <mergeCell ref="G13:I13"/>
    <mergeCell ref="A14:C14"/>
    <mergeCell ref="D14:E14"/>
    <mergeCell ref="G14:I14"/>
    <mergeCell ref="A11:C11"/>
    <mergeCell ref="D11:E11"/>
    <mergeCell ref="G11:I11"/>
    <mergeCell ref="A12:C12"/>
    <mergeCell ref="D12:E12"/>
    <mergeCell ref="G12:I12"/>
    <mergeCell ref="A9:C9"/>
    <mergeCell ref="D9:E9"/>
    <mergeCell ref="G9:I9"/>
    <mergeCell ref="A10:C10"/>
    <mergeCell ref="D10:E10"/>
    <mergeCell ref="G10:I10"/>
    <mergeCell ref="B4:E4"/>
    <mergeCell ref="D6:E6"/>
    <mergeCell ref="G6:H6"/>
    <mergeCell ref="A8:C8"/>
    <mergeCell ref="D8:E8"/>
    <mergeCell ref="G8:I8"/>
  </mergeCells>
  <pageMargins left="0.7" right="0.7"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6"/>
  <sheetViews>
    <sheetView topLeftCell="A11" workbookViewId="0">
      <selection activeCell="J16" sqref="J16"/>
    </sheetView>
  </sheetViews>
  <sheetFormatPr defaultColWidth="9.33203125" defaultRowHeight="15" x14ac:dyDescent="0.25"/>
  <cols>
    <col min="1" max="1" width="28.44140625" style="2" customWidth="1"/>
    <col min="2" max="2" width="8.33203125" style="12" customWidth="1"/>
    <col min="3" max="6" width="11" style="12" customWidth="1"/>
    <col min="7" max="7" width="11.33203125" style="15" customWidth="1"/>
    <col min="8" max="8" width="11.5546875" style="16" customWidth="1"/>
    <col min="9" max="9" width="9.33203125" style="2"/>
    <col min="10" max="10" width="50.5546875" style="2" customWidth="1"/>
    <col min="11" max="11" width="38.44140625" style="2" customWidth="1"/>
    <col min="12" max="16384" width="9.33203125" style="2"/>
  </cols>
  <sheetData>
    <row r="1" spans="1:11" x14ac:dyDescent="0.25">
      <c r="A1" s="91" t="str">
        <f>+'Cover Page'!$B$29</f>
        <v>Annual Performance Report 2022</v>
      </c>
      <c r="B1" s="91"/>
      <c r="C1" s="91"/>
      <c r="D1" s="91"/>
      <c r="E1" s="91" t="str">
        <f>+'Cover Page'!$B$33</f>
        <v>Kemsley Generating Station</v>
      </c>
      <c r="F1" s="91"/>
      <c r="G1" s="91"/>
      <c r="H1" s="91"/>
      <c r="I1" s="91"/>
      <c r="J1" s="91"/>
      <c r="K1" s="91"/>
    </row>
    <row r="3" spans="1:11" ht="15.6" x14ac:dyDescent="0.3">
      <c r="A3" s="1" t="s">
        <v>34</v>
      </c>
      <c r="B3" s="108"/>
      <c r="C3" s="108"/>
      <c r="D3" s="108"/>
      <c r="E3" s="108"/>
      <c r="F3" s="108"/>
      <c r="H3" s="109"/>
      <c r="I3" s="91"/>
      <c r="J3" s="91"/>
      <c r="K3" s="80" t="s">
        <v>3</v>
      </c>
    </row>
    <row r="4" spans="1:11" x14ac:dyDescent="0.25">
      <c r="A4" s="18" t="s">
        <v>162</v>
      </c>
      <c r="B4" s="311">
        <v>657000</v>
      </c>
      <c r="C4" s="311"/>
      <c r="D4" s="20" t="s">
        <v>163</v>
      </c>
      <c r="E4" s="19">
        <v>55</v>
      </c>
      <c r="F4" s="20" t="s">
        <v>164</v>
      </c>
      <c r="G4" s="19">
        <v>45</v>
      </c>
      <c r="H4" s="69" t="s">
        <v>165</v>
      </c>
      <c r="I4" s="91"/>
      <c r="J4" s="91"/>
      <c r="K4" s="17" t="s">
        <v>166</v>
      </c>
    </row>
    <row r="5" spans="1:11" x14ac:dyDescent="0.25">
      <c r="A5" s="21" t="s">
        <v>167</v>
      </c>
      <c r="B5" s="22">
        <v>2</v>
      </c>
      <c r="C5" s="23"/>
      <c r="D5" s="23" t="s">
        <v>168</v>
      </c>
      <c r="E5" s="23"/>
      <c r="F5" s="24">
        <v>1</v>
      </c>
      <c r="G5" s="25"/>
      <c r="H5" s="26"/>
      <c r="I5" s="91"/>
      <c r="J5" s="91"/>
      <c r="K5" s="17" t="s">
        <v>169</v>
      </c>
    </row>
    <row r="6" spans="1:11" x14ac:dyDescent="0.25">
      <c r="A6" s="3"/>
      <c r="B6" s="108"/>
      <c r="C6" s="108"/>
      <c r="D6" s="108"/>
      <c r="E6" s="108"/>
      <c r="F6" s="108"/>
      <c r="H6" s="109"/>
      <c r="I6" s="91"/>
      <c r="J6" s="91"/>
      <c r="K6" s="306" t="s">
        <v>170</v>
      </c>
    </row>
    <row r="7" spans="1:11" x14ac:dyDescent="0.25">
      <c r="A7" s="9" t="s">
        <v>171</v>
      </c>
      <c r="B7" s="155" t="s">
        <v>121</v>
      </c>
      <c r="C7" s="135" t="s">
        <v>172</v>
      </c>
      <c r="D7" s="135" t="s">
        <v>173</v>
      </c>
      <c r="E7" s="135" t="s">
        <v>174</v>
      </c>
      <c r="F7" s="135" t="s">
        <v>175</v>
      </c>
      <c r="G7" s="27" t="s">
        <v>176</v>
      </c>
      <c r="H7" s="156" t="s">
        <v>177</v>
      </c>
      <c r="I7" s="127"/>
      <c r="J7" s="91"/>
      <c r="K7" s="306"/>
    </row>
    <row r="8" spans="1:11" ht="15.75" customHeight="1" x14ac:dyDescent="0.25">
      <c r="A8" s="157" t="s">
        <v>178</v>
      </c>
      <c r="B8" s="308" t="s">
        <v>159</v>
      </c>
      <c r="C8" s="104">
        <v>72953.08</v>
      </c>
      <c r="D8" s="104">
        <v>86923.73</v>
      </c>
      <c r="E8" s="104">
        <v>84856.94</v>
      </c>
      <c r="F8" s="104">
        <v>76306.36</v>
      </c>
      <c r="G8" s="28">
        <f>SUM(C8:F8)</f>
        <v>321040.11</v>
      </c>
      <c r="H8" s="158">
        <f t="shared" ref="H8:H15" si="0">IF(G8&gt;0,G8/$G$18,"-")</f>
        <v>0.59163792759020628</v>
      </c>
      <c r="I8" s="127"/>
      <c r="J8" s="91"/>
      <c r="K8" s="307" t="s">
        <v>179</v>
      </c>
    </row>
    <row r="9" spans="1:11" x14ac:dyDescent="0.25">
      <c r="A9" s="134" t="s">
        <v>180</v>
      </c>
      <c r="B9" s="309"/>
      <c r="C9" s="128">
        <v>13562.7</v>
      </c>
      <c r="D9" s="128">
        <v>21992.43</v>
      </c>
      <c r="E9" s="128">
        <f>20981.56-25.62</f>
        <v>20955.940000000002</v>
      </c>
      <c r="F9" s="128">
        <v>25193.1</v>
      </c>
      <c r="G9" s="88">
        <f t="shared" ref="G9:G15" si="1">SUM(C9:F9)</f>
        <v>81704.170000000013</v>
      </c>
      <c r="H9" s="110">
        <f t="shared" si="0"/>
        <v>0.15057086111227011</v>
      </c>
      <c r="I9" s="127"/>
      <c r="J9" s="91"/>
      <c r="K9" s="307"/>
    </row>
    <row r="10" spans="1:11" x14ac:dyDescent="0.25">
      <c r="A10" s="134" t="s">
        <v>181</v>
      </c>
      <c r="B10" s="309"/>
      <c r="C10" s="128">
        <v>0</v>
      </c>
      <c r="D10" s="128">
        <v>0</v>
      </c>
      <c r="E10" s="128">
        <v>0</v>
      </c>
      <c r="F10" s="128">
        <v>0</v>
      </c>
      <c r="G10" s="88">
        <f t="shared" si="1"/>
        <v>0</v>
      </c>
      <c r="H10" s="110" t="str">
        <f t="shared" si="0"/>
        <v>-</v>
      </c>
      <c r="I10" s="127"/>
      <c r="J10" s="91"/>
      <c r="K10" s="307"/>
    </row>
    <row r="11" spans="1:11" x14ac:dyDescent="0.25">
      <c r="A11" s="134" t="s">
        <v>182</v>
      </c>
      <c r="B11" s="309"/>
      <c r="C11" s="128">
        <v>0</v>
      </c>
      <c r="D11" s="128">
        <v>0</v>
      </c>
      <c r="E11" s="128">
        <v>0</v>
      </c>
      <c r="F11" s="128">
        <v>0</v>
      </c>
      <c r="G11" s="88">
        <f t="shared" si="1"/>
        <v>0</v>
      </c>
      <c r="H11" s="110" t="str">
        <f t="shared" si="0"/>
        <v>-</v>
      </c>
      <c r="I11" s="127"/>
      <c r="J11" s="91"/>
      <c r="K11" s="307"/>
    </row>
    <row r="12" spans="1:11" x14ac:dyDescent="0.25">
      <c r="A12" s="134" t="s">
        <v>183</v>
      </c>
      <c r="B12" s="309"/>
      <c r="C12" s="128">
        <v>0</v>
      </c>
      <c r="D12" s="128">
        <v>0</v>
      </c>
      <c r="E12" s="128">
        <v>0</v>
      </c>
      <c r="F12" s="128">
        <v>0</v>
      </c>
      <c r="G12" s="88">
        <f t="shared" si="1"/>
        <v>0</v>
      </c>
      <c r="H12" s="110" t="str">
        <f t="shared" si="0"/>
        <v>-</v>
      </c>
      <c r="I12" s="127"/>
      <c r="J12" s="91"/>
      <c r="K12" s="307"/>
    </row>
    <row r="13" spans="1:11" x14ac:dyDescent="0.25">
      <c r="A13" s="134" t="s">
        <v>184</v>
      </c>
      <c r="B13" s="309"/>
      <c r="C13" s="128">
        <v>0</v>
      </c>
      <c r="D13" s="128">
        <v>0</v>
      </c>
      <c r="E13" s="128">
        <v>0</v>
      </c>
      <c r="F13" s="128">
        <v>0</v>
      </c>
      <c r="G13" s="88">
        <f t="shared" ref="G13" si="2">SUM(C13:F13)</f>
        <v>0</v>
      </c>
      <c r="H13" s="110" t="str">
        <f t="shared" si="0"/>
        <v>-</v>
      </c>
      <c r="I13" s="127"/>
      <c r="J13" s="91"/>
      <c r="K13" s="307"/>
    </row>
    <row r="14" spans="1:11" x14ac:dyDescent="0.25">
      <c r="A14" s="134" t="s">
        <v>185</v>
      </c>
      <c r="B14" s="309"/>
      <c r="C14" s="128">
        <v>20774.32</v>
      </c>
      <c r="D14" s="128">
        <v>35924.76</v>
      </c>
      <c r="E14" s="128">
        <v>44231.82</v>
      </c>
      <c r="F14" s="128">
        <v>38954.18</v>
      </c>
      <c r="G14" s="88">
        <f t="shared" si="1"/>
        <v>139885.07999999999</v>
      </c>
      <c r="H14" s="110">
        <f t="shared" si="0"/>
        <v>0.25779121129752358</v>
      </c>
      <c r="I14" s="127"/>
      <c r="J14" s="91"/>
      <c r="K14" s="307"/>
    </row>
    <row r="15" spans="1:11" x14ac:dyDescent="0.25">
      <c r="A15" s="159" t="s">
        <v>186</v>
      </c>
      <c r="B15" s="309"/>
      <c r="C15" s="128">
        <v>0</v>
      </c>
      <c r="D15" s="128">
        <v>0</v>
      </c>
      <c r="E15" s="128">
        <v>0</v>
      </c>
      <c r="F15" s="128">
        <v>0</v>
      </c>
      <c r="G15" s="88">
        <f t="shared" si="1"/>
        <v>0</v>
      </c>
      <c r="H15" s="110" t="str">
        <f t="shared" si="0"/>
        <v>-</v>
      </c>
      <c r="I15" s="127"/>
      <c r="J15" s="91"/>
      <c r="K15" s="307"/>
    </row>
    <row r="16" spans="1:11" x14ac:dyDescent="0.25">
      <c r="A16" s="159" t="s">
        <v>186</v>
      </c>
      <c r="B16" s="309"/>
      <c r="C16" s="128">
        <v>0</v>
      </c>
      <c r="D16" s="128">
        <v>0</v>
      </c>
      <c r="E16" s="128">
        <v>0</v>
      </c>
      <c r="F16" s="128">
        <v>0</v>
      </c>
      <c r="G16" s="88"/>
      <c r="H16" s="110"/>
      <c r="I16" s="127"/>
      <c r="J16" s="91"/>
      <c r="K16" s="307"/>
    </row>
    <row r="17" spans="1:12" x14ac:dyDescent="0.25">
      <c r="A17" s="159" t="s">
        <v>186</v>
      </c>
      <c r="B17" s="309"/>
      <c r="C17" s="128">
        <v>0</v>
      </c>
      <c r="D17" s="128">
        <v>0</v>
      </c>
      <c r="E17" s="128">
        <v>0</v>
      </c>
      <c r="F17" s="128">
        <v>0</v>
      </c>
      <c r="G17" s="88"/>
      <c r="H17" s="110"/>
      <c r="I17" s="127"/>
      <c r="J17" s="91"/>
      <c r="K17" s="307"/>
      <c r="L17" s="91"/>
    </row>
    <row r="18" spans="1:12" x14ac:dyDescent="0.25">
      <c r="A18" s="90" t="s">
        <v>187</v>
      </c>
      <c r="B18" s="309"/>
      <c r="C18" s="88">
        <f>SUM(C8:C17)</f>
        <v>107290.1</v>
      </c>
      <c r="D18" s="88">
        <f>SUM(D8:D17)</f>
        <v>144840.92000000001</v>
      </c>
      <c r="E18" s="88">
        <f>SUM(E8:E17)</f>
        <v>150044.70000000001</v>
      </c>
      <c r="F18" s="88">
        <f>SUM(F8:F17)</f>
        <v>140453.63999999998</v>
      </c>
      <c r="G18" s="88">
        <f>SUM(G8:G17)</f>
        <v>542629.36</v>
      </c>
      <c r="H18" s="131">
        <v>1</v>
      </c>
      <c r="I18" s="127"/>
      <c r="J18" s="91"/>
      <c r="K18" s="307"/>
      <c r="L18" s="91"/>
    </row>
    <row r="19" spans="1:12" x14ac:dyDescent="0.25">
      <c r="A19" s="134" t="s">
        <v>188</v>
      </c>
      <c r="B19" s="309"/>
      <c r="C19" s="128">
        <v>0</v>
      </c>
      <c r="D19" s="128">
        <v>0</v>
      </c>
      <c r="E19" s="128">
        <v>0</v>
      </c>
      <c r="F19" s="128">
        <v>0</v>
      </c>
      <c r="G19" s="88">
        <f t="shared" ref="G19" si="3">SUM(C19:F19)</f>
        <v>0</v>
      </c>
      <c r="H19" s="110" t="str">
        <f t="shared" ref="H19" si="4">IF(G19&gt;0,G19/$G$18,"-")</f>
        <v>-</v>
      </c>
      <c r="I19" s="127"/>
      <c r="J19" s="91"/>
      <c r="K19" s="307"/>
      <c r="L19" s="91"/>
    </row>
    <row r="20" spans="1:12" x14ac:dyDescent="0.25">
      <c r="A20" s="134" t="s">
        <v>189</v>
      </c>
      <c r="B20" s="309"/>
      <c r="C20" s="128">
        <v>0</v>
      </c>
      <c r="D20" s="128">
        <v>0</v>
      </c>
      <c r="E20" s="128">
        <v>0</v>
      </c>
      <c r="F20" s="128">
        <v>0</v>
      </c>
      <c r="G20" s="88">
        <f t="shared" ref="G20" si="5">SUM(C20:F20)</f>
        <v>0</v>
      </c>
      <c r="H20" s="110" t="str">
        <f>IF(G20&gt;0,G20/$G$18,"-")</f>
        <v>-</v>
      </c>
      <c r="I20" s="127"/>
      <c r="J20" s="91"/>
      <c r="K20" s="91"/>
      <c r="L20" s="91"/>
    </row>
    <row r="21" spans="1:12" x14ac:dyDescent="0.25">
      <c r="A21" s="133" t="s">
        <v>190</v>
      </c>
      <c r="B21" s="160"/>
      <c r="C21" s="89">
        <v>103592</v>
      </c>
      <c r="D21" s="89">
        <v>148412</v>
      </c>
      <c r="E21" s="89">
        <v>146338</v>
      </c>
      <c r="F21" s="89">
        <v>143793</v>
      </c>
      <c r="G21" s="30">
        <f>SUM(C21:F21)</f>
        <v>542135</v>
      </c>
      <c r="H21" s="161">
        <f>IF(G21&gt;0,G21/$G$18,"-")</f>
        <v>0.99908895456744173</v>
      </c>
      <c r="I21" s="127"/>
      <c r="J21" s="91"/>
      <c r="K21" s="91"/>
      <c r="L21" s="91"/>
    </row>
    <row r="22" spans="1:12" ht="10.95" customHeight="1" x14ac:dyDescent="0.25">
      <c r="A22" s="132" t="s">
        <v>191</v>
      </c>
      <c r="B22" s="108"/>
      <c r="C22" s="109"/>
      <c r="D22" s="109"/>
      <c r="E22" s="109"/>
      <c r="F22" s="109"/>
      <c r="G22" s="31"/>
      <c r="H22" s="109"/>
      <c r="I22" s="127"/>
      <c r="J22" s="91"/>
      <c r="K22" s="91"/>
      <c r="L22" s="91"/>
    </row>
    <row r="23" spans="1:12" ht="10.95" customHeight="1" x14ac:dyDescent="0.25">
      <c r="A23" s="132" t="s">
        <v>192</v>
      </c>
      <c r="B23" s="108"/>
      <c r="C23" s="109"/>
      <c r="D23" s="109"/>
      <c r="E23" s="109"/>
      <c r="F23" s="109"/>
      <c r="G23" s="31"/>
      <c r="H23" s="109"/>
      <c r="I23" s="127"/>
      <c r="J23" s="91"/>
      <c r="K23" s="91"/>
      <c r="L23" s="91"/>
    </row>
    <row r="24" spans="1:12" x14ac:dyDescent="0.25">
      <c r="A24" s="132"/>
      <c r="B24" s="108"/>
      <c r="C24" s="109"/>
      <c r="D24" s="109"/>
      <c r="E24" s="109"/>
      <c r="F24" s="109"/>
      <c r="G24" s="31"/>
      <c r="H24" s="109"/>
      <c r="I24" s="127"/>
      <c r="J24" s="91"/>
      <c r="K24" s="91"/>
      <c r="L24" s="91"/>
    </row>
    <row r="25" spans="1:12" x14ac:dyDescent="0.25">
      <c r="A25" s="9" t="s">
        <v>193</v>
      </c>
      <c r="B25" s="155" t="s">
        <v>121</v>
      </c>
      <c r="C25" s="162" t="s">
        <v>172</v>
      </c>
      <c r="D25" s="162" t="s">
        <v>173</v>
      </c>
      <c r="E25" s="162" t="s">
        <v>194</v>
      </c>
      <c r="F25" s="162" t="s">
        <v>175</v>
      </c>
      <c r="G25" s="32" t="s">
        <v>176</v>
      </c>
      <c r="H25" s="163" t="s">
        <v>195</v>
      </c>
      <c r="I25" s="127"/>
      <c r="J25" s="91"/>
      <c r="K25" s="91"/>
      <c r="L25" s="91"/>
    </row>
    <row r="26" spans="1:12" ht="15" customHeight="1" x14ac:dyDescent="0.25">
      <c r="A26" s="164" t="s">
        <v>196</v>
      </c>
      <c r="B26" s="308" t="s">
        <v>155</v>
      </c>
      <c r="C26" s="104">
        <v>74789</v>
      </c>
      <c r="D26" s="104">
        <v>107368</v>
      </c>
      <c r="E26" s="104">
        <v>110790</v>
      </c>
      <c r="F26" s="104">
        <v>96479</v>
      </c>
      <c r="G26" s="28">
        <f t="shared" ref="G26:G29" si="6">SUM(C26:F26)</f>
        <v>389426</v>
      </c>
      <c r="H26" s="165">
        <f>IF(G26&gt;0,G26*1000/$G$21,"-")</f>
        <v>718.31923782821627</v>
      </c>
      <c r="I26" s="127"/>
      <c r="J26" s="91"/>
      <c r="K26" s="91"/>
      <c r="L26" s="91"/>
    </row>
    <row r="27" spans="1:12" x14ac:dyDescent="0.25">
      <c r="A27" s="107" t="s">
        <v>197</v>
      </c>
      <c r="B27" s="309"/>
      <c r="C27" s="105">
        <v>66031</v>
      </c>
      <c r="D27" s="105">
        <v>94986</v>
      </c>
      <c r="E27" s="105">
        <v>97717</v>
      </c>
      <c r="F27" s="105">
        <v>85142</v>
      </c>
      <c r="G27" s="29">
        <f>SUM(C27:F27)</f>
        <v>343876</v>
      </c>
      <c r="H27" s="117">
        <f>IF(G27&gt;0,G27*1000/$G$21,"-")</f>
        <v>634.29957482914767</v>
      </c>
      <c r="I27" s="127"/>
      <c r="J27" s="91"/>
      <c r="K27" s="91"/>
      <c r="L27" s="91"/>
    </row>
    <row r="28" spans="1:12" x14ac:dyDescent="0.25">
      <c r="A28" s="107" t="s">
        <v>198</v>
      </c>
      <c r="B28" s="309"/>
      <c r="C28" s="105">
        <f>C26-C27+C29</f>
        <v>9218</v>
      </c>
      <c r="D28" s="105">
        <f t="shared" ref="D28:F28" si="7">D26-D27+D29</f>
        <v>12397</v>
      </c>
      <c r="E28" s="105">
        <f t="shared" si="7"/>
        <v>13079</v>
      </c>
      <c r="F28" s="105">
        <f t="shared" si="7"/>
        <v>11626</v>
      </c>
      <c r="G28" s="29">
        <f>SUM(C28:F28)</f>
        <v>46320</v>
      </c>
      <c r="H28" s="117">
        <f>IF(G28&gt;0,G28*1000/$G$21,"-")</f>
        <v>85.439973438350222</v>
      </c>
      <c r="I28" s="127"/>
      <c r="J28" s="91"/>
      <c r="K28" s="91"/>
      <c r="L28" s="91"/>
    </row>
    <row r="29" spans="1:12" x14ac:dyDescent="0.25">
      <c r="A29" s="107" t="s">
        <v>199</v>
      </c>
      <c r="B29" s="309"/>
      <c r="C29" s="105">
        <v>460</v>
      </c>
      <c r="D29" s="105">
        <v>15</v>
      </c>
      <c r="E29" s="105">
        <v>6</v>
      </c>
      <c r="F29" s="105">
        <v>289</v>
      </c>
      <c r="G29" s="29">
        <f t="shared" si="6"/>
        <v>770</v>
      </c>
      <c r="H29" s="117">
        <f>IF(G29&gt;0,G29*1000/$G$21,"-")</f>
        <v>1.4203104392817287</v>
      </c>
      <c r="I29" s="127"/>
      <c r="J29" s="91"/>
      <c r="K29" s="91"/>
      <c r="L29" s="91"/>
    </row>
    <row r="30" spans="1:12" x14ac:dyDescent="0.25">
      <c r="A30" s="107" t="s">
        <v>200</v>
      </c>
      <c r="B30" s="166" t="s">
        <v>177</v>
      </c>
      <c r="C30" s="167">
        <f>IF(C26&gt;0,1-C27/(C26+C29),"-")</f>
        <v>0.12249996677696717</v>
      </c>
      <c r="D30" s="167">
        <f>IF(D26&gt;0,1-D27/(D26+D29),"-")</f>
        <v>0.11544657906745015</v>
      </c>
      <c r="E30" s="167">
        <f>IF(E26&gt;0,1-E27/(E26+E29),"-")</f>
        <v>0.1180457778259143</v>
      </c>
      <c r="F30" s="167">
        <f>IF(F26&gt;0,1-F27/(F26+F29),"-")</f>
        <v>0.12014302248677244</v>
      </c>
      <c r="G30" s="167">
        <f>IF(G26&gt;0,1-G27/(G26+G29),"-")</f>
        <v>0.11870957159991391</v>
      </c>
      <c r="H30" s="117" t="s">
        <v>98</v>
      </c>
      <c r="I30" s="127"/>
      <c r="J30" s="91"/>
      <c r="K30" s="91"/>
      <c r="L30" s="91"/>
    </row>
    <row r="31" spans="1:12" x14ac:dyDescent="0.25">
      <c r="A31" s="107" t="s">
        <v>201</v>
      </c>
      <c r="B31" s="312" t="s">
        <v>155</v>
      </c>
      <c r="C31" s="105">
        <v>297007</v>
      </c>
      <c r="D31" s="105">
        <v>439623</v>
      </c>
      <c r="E31" s="105">
        <v>438805</v>
      </c>
      <c r="F31" s="105">
        <v>386349</v>
      </c>
      <c r="G31" s="29">
        <f t="shared" ref="G31" si="8">SUM(C31:F31)</f>
        <v>1561784</v>
      </c>
      <c r="H31" s="117">
        <f>IF(G31&gt;0,G31*1000/$G$21,"-")</f>
        <v>2880.802752082046</v>
      </c>
      <c r="I31" s="127"/>
      <c r="J31" s="91"/>
      <c r="K31" s="91"/>
      <c r="L31" s="91"/>
    </row>
    <row r="32" spans="1:12" x14ac:dyDescent="0.25">
      <c r="A32" s="107" t="s">
        <v>202</v>
      </c>
      <c r="B32" s="312"/>
      <c r="C32" s="105">
        <v>48298</v>
      </c>
      <c r="D32" s="105">
        <v>108537</v>
      </c>
      <c r="E32" s="105">
        <v>101432</v>
      </c>
      <c r="F32" s="105">
        <v>85811</v>
      </c>
      <c r="G32" s="29">
        <f>SUM(C32:F32)</f>
        <v>344078</v>
      </c>
      <c r="H32" s="117">
        <f>IF(G32&gt;0,G32*1000/$G$21,"-")</f>
        <v>634.67217574958272</v>
      </c>
      <c r="I32" s="127"/>
      <c r="J32" s="91"/>
      <c r="K32" s="91"/>
      <c r="L32" s="17"/>
    </row>
    <row r="33" spans="1:12" x14ac:dyDescent="0.25">
      <c r="A33" s="98" t="s">
        <v>203</v>
      </c>
      <c r="B33" s="168"/>
      <c r="C33" s="313">
        <v>0.82</v>
      </c>
      <c r="D33" s="313"/>
      <c r="E33" s="313"/>
      <c r="F33" s="313"/>
      <c r="G33" s="115" t="s">
        <v>98</v>
      </c>
      <c r="H33" s="116" t="s">
        <v>98</v>
      </c>
      <c r="I33" s="127"/>
      <c r="J33" s="91"/>
      <c r="K33" s="91"/>
      <c r="L33" s="17"/>
    </row>
    <row r="34" spans="1:12" x14ac:dyDescent="0.25">
      <c r="A34" s="3"/>
      <c r="B34" s="108"/>
      <c r="C34" s="109"/>
      <c r="D34" s="109"/>
      <c r="E34" s="109"/>
      <c r="F34" s="109"/>
      <c r="G34" s="31"/>
      <c r="H34" s="109"/>
      <c r="I34" s="127"/>
      <c r="J34" s="91"/>
      <c r="K34" s="91"/>
      <c r="L34" s="17"/>
    </row>
    <row r="35" spans="1:12" x14ac:dyDescent="0.25">
      <c r="A35" s="9" t="s">
        <v>204</v>
      </c>
      <c r="B35" s="169" t="s">
        <v>121</v>
      </c>
      <c r="C35" s="162" t="s">
        <v>172</v>
      </c>
      <c r="D35" s="162" t="s">
        <v>173</v>
      </c>
      <c r="E35" s="162" t="s">
        <v>194</v>
      </c>
      <c r="F35" s="162" t="s">
        <v>175</v>
      </c>
      <c r="G35" s="32" t="s">
        <v>176</v>
      </c>
      <c r="H35" s="170" t="s">
        <v>205</v>
      </c>
      <c r="I35" s="127"/>
      <c r="J35" s="91"/>
      <c r="K35" s="91"/>
      <c r="L35" s="17"/>
    </row>
    <row r="36" spans="1:12" ht="15" customHeight="1" x14ac:dyDescent="0.25">
      <c r="A36" s="164" t="s">
        <v>206</v>
      </c>
      <c r="B36" s="308" t="s">
        <v>159</v>
      </c>
      <c r="C36" s="104">
        <v>3063</v>
      </c>
      <c r="D36" s="104">
        <v>4281.34</v>
      </c>
      <c r="E36" s="104">
        <v>4082</v>
      </c>
      <c r="F36" s="104">
        <v>3797</v>
      </c>
      <c r="G36" s="28">
        <f t="shared" ref="G36:G37" si="9">SUM(C36:F36)</f>
        <v>15223.34</v>
      </c>
      <c r="H36" s="158">
        <f>IF(G36&gt;0,G36/$G$21,"-")</f>
        <v>2.8080348990565079E-2</v>
      </c>
      <c r="I36" s="127"/>
      <c r="J36" s="91"/>
      <c r="K36" s="17"/>
      <c r="L36" s="17"/>
    </row>
    <row r="37" spans="1:12" ht="15" customHeight="1" x14ac:dyDescent="0.25">
      <c r="A37" s="107" t="s">
        <v>207</v>
      </c>
      <c r="B37" s="309"/>
      <c r="C37" s="105">
        <v>23361</v>
      </c>
      <c r="D37" s="105">
        <v>33088.959999999999</v>
      </c>
      <c r="E37" s="105">
        <v>33575</v>
      </c>
      <c r="F37" s="105">
        <v>29582</v>
      </c>
      <c r="G37" s="29">
        <f t="shared" si="9"/>
        <v>119606.95999999999</v>
      </c>
      <c r="H37" s="110">
        <f t="shared" ref="H37:H41" si="10">IF(G37&gt;0,G37/$G$21,"-")</f>
        <v>0.22062209597240537</v>
      </c>
      <c r="I37" s="127"/>
      <c r="J37" s="91"/>
      <c r="K37" s="17"/>
      <c r="L37" s="17"/>
    </row>
    <row r="38" spans="1:12" ht="15" customHeight="1" x14ac:dyDescent="0.25">
      <c r="A38" s="107" t="s">
        <v>208</v>
      </c>
      <c r="B38" s="309"/>
      <c r="C38" s="105">
        <v>285.8</v>
      </c>
      <c r="D38" s="105">
        <v>179.46</v>
      </c>
      <c r="E38" s="105">
        <v>345.46</v>
      </c>
      <c r="F38" s="105">
        <v>345.2</v>
      </c>
      <c r="G38" s="29">
        <f t="shared" ref="G38:G41" si="11">SUM(C38:F38)</f>
        <v>1155.92</v>
      </c>
      <c r="H38" s="110">
        <f t="shared" si="10"/>
        <v>2.1321626532136832E-3</v>
      </c>
      <c r="I38" s="127"/>
      <c r="J38" s="91"/>
      <c r="K38" s="91"/>
      <c r="L38" s="91"/>
    </row>
    <row r="39" spans="1:12" x14ac:dyDescent="0.25">
      <c r="A39" s="171" t="s">
        <v>209</v>
      </c>
      <c r="B39" s="309"/>
      <c r="C39" s="105">
        <v>0</v>
      </c>
      <c r="D39" s="105">
        <v>0</v>
      </c>
      <c r="E39" s="105">
        <v>0</v>
      </c>
      <c r="F39" s="105">
        <v>0</v>
      </c>
      <c r="G39" s="29">
        <f t="shared" ref="G39" si="12">SUM(C39:F39)</f>
        <v>0</v>
      </c>
      <c r="H39" s="110" t="str">
        <f t="shared" si="10"/>
        <v>-</v>
      </c>
      <c r="I39" s="127"/>
      <c r="J39" s="91"/>
      <c r="K39" s="91"/>
      <c r="L39" s="91"/>
    </row>
    <row r="40" spans="1:12" x14ac:dyDescent="0.25">
      <c r="A40" s="171" t="s">
        <v>209</v>
      </c>
      <c r="B40" s="309"/>
      <c r="C40" s="105">
        <v>0</v>
      </c>
      <c r="D40" s="105">
        <v>0</v>
      </c>
      <c r="E40" s="105">
        <v>0</v>
      </c>
      <c r="F40" s="105">
        <v>0</v>
      </c>
      <c r="G40" s="29">
        <f t="shared" si="11"/>
        <v>0</v>
      </c>
      <c r="H40" s="110" t="str">
        <f t="shared" si="10"/>
        <v>-</v>
      </c>
      <c r="I40" s="127"/>
      <c r="J40" s="91"/>
      <c r="K40" s="91"/>
      <c r="L40" s="91"/>
    </row>
    <row r="41" spans="1:12" x14ac:dyDescent="0.25">
      <c r="A41" s="172" t="s">
        <v>209</v>
      </c>
      <c r="B41" s="310"/>
      <c r="C41" s="106">
        <v>0</v>
      </c>
      <c r="D41" s="106">
        <v>0</v>
      </c>
      <c r="E41" s="106">
        <v>0</v>
      </c>
      <c r="F41" s="106">
        <v>0</v>
      </c>
      <c r="G41" s="30">
        <f t="shared" si="11"/>
        <v>0</v>
      </c>
      <c r="H41" s="161" t="str">
        <f t="shared" si="10"/>
        <v>-</v>
      </c>
      <c r="I41" s="127"/>
      <c r="J41" s="91"/>
      <c r="K41" s="91"/>
      <c r="L41" s="91"/>
    </row>
    <row r="42" spans="1:12" x14ac:dyDescent="0.25">
      <c r="A42" s="108"/>
      <c r="B42" s="108"/>
      <c r="C42" s="109"/>
      <c r="D42" s="109"/>
      <c r="E42" s="109"/>
      <c r="F42" s="109"/>
      <c r="G42" s="31"/>
      <c r="H42" s="109"/>
      <c r="I42" s="127"/>
      <c r="J42" s="91"/>
      <c r="K42" s="91"/>
      <c r="L42" s="91"/>
    </row>
    <row r="43" spans="1:12" x14ac:dyDescent="0.25">
      <c r="A43" s="9" t="s">
        <v>210</v>
      </c>
      <c r="B43" s="173" t="s">
        <v>121</v>
      </c>
      <c r="C43" s="135" t="s">
        <v>172</v>
      </c>
      <c r="D43" s="135" t="s">
        <v>173</v>
      </c>
      <c r="E43" s="135" t="s">
        <v>194</v>
      </c>
      <c r="F43" s="135" t="s">
        <v>175</v>
      </c>
      <c r="G43" s="27" t="s">
        <v>176</v>
      </c>
      <c r="H43" s="156" t="s">
        <v>211</v>
      </c>
      <c r="I43" s="127"/>
      <c r="J43" s="91"/>
      <c r="K43" s="91"/>
      <c r="L43" s="91"/>
    </row>
    <row r="44" spans="1:12" ht="15.6" customHeight="1" x14ac:dyDescent="0.25">
      <c r="A44" s="164" t="s">
        <v>123</v>
      </c>
      <c r="B44" s="166" t="s">
        <v>212</v>
      </c>
      <c r="C44" s="104">
        <v>2204000</v>
      </c>
      <c r="D44" s="104">
        <v>3200000</v>
      </c>
      <c r="E44" s="104">
        <v>4342000</v>
      </c>
      <c r="F44" s="104">
        <v>3095000</v>
      </c>
      <c r="G44" s="28">
        <f t="shared" ref="G44:G52" si="13">SUM(C44:F44)</f>
        <v>12841000</v>
      </c>
      <c r="H44" s="174">
        <f>IF(G44&gt;0,G44/$G$21,"-")</f>
        <v>23.685982273787893</v>
      </c>
      <c r="I44" s="127"/>
      <c r="J44" s="91"/>
      <c r="K44" s="91"/>
      <c r="L44" s="91"/>
    </row>
    <row r="45" spans="1:12" x14ac:dyDescent="0.25">
      <c r="A45" s="107" t="s">
        <v>213</v>
      </c>
      <c r="B45" s="166" t="s">
        <v>212</v>
      </c>
      <c r="C45" s="105">
        <v>0</v>
      </c>
      <c r="D45" s="105">
        <v>0</v>
      </c>
      <c r="E45" s="105">
        <v>0</v>
      </c>
      <c r="F45" s="105"/>
      <c r="G45" s="29">
        <f t="shared" si="13"/>
        <v>0</v>
      </c>
      <c r="H45" s="174" t="str">
        <f t="shared" ref="H45:H50" si="14">IF(G45&gt;0,G45/$G$21,"-")</f>
        <v>-</v>
      </c>
      <c r="I45" s="127"/>
      <c r="J45" s="91"/>
      <c r="K45" s="91"/>
      <c r="L45" s="91"/>
    </row>
    <row r="46" spans="1:12" ht="15.6" customHeight="1" x14ac:dyDescent="0.25">
      <c r="A46" s="107" t="s">
        <v>214</v>
      </c>
      <c r="B46" s="166" t="s">
        <v>215</v>
      </c>
      <c r="C46" s="105">
        <v>0</v>
      </c>
      <c r="D46" s="105">
        <v>0</v>
      </c>
      <c r="E46" s="105">
        <v>0</v>
      </c>
      <c r="F46" s="105"/>
      <c r="G46" s="29">
        <f t="shared" si="13"/>
        <v>0</v>
      </c>
      <c r="H46" s="174" t="str">
        <f t="shared" si="14"/>
        <v>-</v>
      </c>
      <c r="I46" s="127"/>
      <c r="J46" s="91"/>
      <c r="K46" s="91"/>
      <c r="L46" s="91"/>
    </row>
    <row r="47" spans="1:12" ht="15.6" customHeight="1" x14ac:dyDescent="0.25">
      <c r="A47" s="107" t="s">
        <v>216</v>
      </c>
      <c r="B47" s="166" t="s">
        <v>215</v>
      </c>
      <c r="C47" s="105">
        <v>92610</v>
      </c>
      <c r="D47" s="105">
        <v>133170</v>
      </c>
      <c r="E47" s="105">
        <v>136290</v>
      </c>
      <c r="F47" s="105">
        <v>117673</v>
      </c>
      <c r="G47" s="29">
        <f t="shared" ref="G47" si="15">SUM(C47:F47)</f>
        <v>479743</v>
      </c>
      <c r="H47" s="174">
        <f t="shared" si="14"/>
        <v>0.88491427411991475</v>
      </c>
      <c r="I47" s="127"/>
      <c r="J47" s="91"/>
      <c r="K47" s="91"/>
      <c r="L47" s="91"/>
    </row>
    <row r="48" spans="1:12" x14ac:dyDescent="0.25">
      <c r="A48" s="107" t="s">
        <v>130</v>
      </c>
      <c r="B48" s="166" t="s">
        <v>215</v>
      </c>
      <c r="C48" s="105">
        <v>30672</v>
      </c>
      <c r="D48" s="105">
        <v>43302</v>
      </c>
      <c r="E48" s="105">
        <v>42153</v>
      </c>
      <c r="F48" s="105">
        <v>40375</v>
      </c>
      <c r="G48" s="29">
        <f t="shared" si="13"/>
        <v>156502</v>
      </c>
      <c r="H48" s="174">
        <f t="shared" si="14"/>
        <v>0.28867717450450536</v>
      </c>
      <c r="I48" s="127"/>
      <c r="J48" s="91"/>
      <c r="K48" s="91"/>
      <c r="L48" s="91"/>
    </row>
    <row r="49" spans="1:10" x14ac:dyDescent="0.25">
      <c r="A49" s="107" t="s">
        <v>217</v>
      </c>
      <c r="B49" s="166" t="s">
        <v>215</v>
      </c>
      <c r="C49" s="105">
        <v>1464000</v>
      </c>
      <c r="D49" s="105">
        <v>2208000</v>
      </c>
      <c r="E49" s="105">
        <v>2101000</v>
      </c>
      <c r="F49" s="105">
        <v>1705000</v>
      </c>
      <c r="G49" s="29">
        <f t="shared" si="13"/>
        <v>7478000</v>
      </c>
      <c r="H49" s="174">
        <f t="shared" si="14"/>
        <v>13.793612292141257</v>
      </c>
      <c r="I49" s="127"/>
      <c r="J49" s="91"/>
    </row>
    <row r="50" spans="1:10" x14ac:dyDescent="0.25">
      <c r="A50" s="107" t="s">
        <v>218</v>
      </c>
      <c r="B50" s="166" t="s">
        <v>212</v>
      </c>
      <c r="C50" s="105">
        <v>304563</v>
      </c>
      <c r="D50" s="105">
        <v>149844</v>
      </c>
      <c r="E50" s="105">
        <v>106639</v>
      </c>
      <c r="F50" s="105">
        <v>176693</v>
      </c>
      <c r="G50" s="29">
        <f t="shared" si="13"/>
        <v>737739</v>
      </c>
      <c r="H50" s="174">
        <f t="shared" si="14"/>
        <v>1.3608031209938485</v>
      </c>
      <c r="I50" s="127"/>
      <c r="J50" s="91"/>
    </row>
    <row r="51" spans="1:10" x14ac:dyDescent="0.25">
      <c r="A51" s="107" t="s">
        <v>219</v>
      </c>
      <c r="B51" s="166" t="s">
        <v>220</v>
      </c>
      <c r="C51" s="105">
        <v>0</v>
      </c>
      <c r="D51" s="105">
        <v>0</v>
      </c>
      <c r="E51" s="105">
        <v>0</v>
      </c>
      <c r="F51" s="105">
        <v>0</v>
      </c>
      <c r="G51" s="29">
        <f t="shared" si="13"/>
        <v>0</v>
      </c>
      <c r="H51" s="175"/>
      <c r="I51" s="127"/>
      <c r="J51" s="91"/>
    </row>
    <row r="52" spans="1:10" x14ac:dyDescent="0.25">
      <c r="A52" s="98" t="s">
        <v>209</v>
      </c>
      <c r="B52" s="176"/>
      <c r="C52" s="106">
        <v>0</v>
      </c>
      <c r="D52" s="106">
        <v>0</v>
      </c>
      <c r="E52" s="106">
        <v>0</v>
      </c>
      <c r="F52" s="106">
        <v>0</v>
      </c>
      <c r="G52" s="30">
        <f t="shared" si="13"/>
        <v>0</v>
      </c>
      <c r="H52" s="177"/>
      <c r="I52" s="127"/>
      <c r="J52" s="91"/>
    </row>
    <row r="53" spans="1:10" x14ac:dyDescent="0.25">
      <c r="A53" s="108"/>
      <c r="B53" s="108"/>
      <c r="C53" s="109"/>
      <c r="D53" s="109"/>
      <c r="E53" s="109"/>
      <c r="F53" s="109"/>
      <c r="G53" s="31"/>
      <c r="H53" s="109"/>
      <c r="I53" s="127"/>
      <c r="J53" s="91"/>
    </row>
    <row r="54" spans="1:10" x14ac:dyDescent="0.25">
      <c r="A54" s="9" t="s">
        <v>221</v>
      </c>
      <c r="B54" s="178" t="s">
        <v>222</v>
      </c>
      <c r="C54" s="162" t="s">
        <v>172</v>
      </c>
      <c r="D54" s="162" t="s">
        <v>173</v>
      </c>
      <c r="E54" s="162" t="s">
        <v>194</v>
      </c>
      <c r="F54" s="162" t="s">
        <v>175</v>
      </c>
      <c r="G54" s="32" t="s">
        <v>176</v>
      </c>
      <c r="H54" s="163"/>
      <c r="I54" s="127"/>
      <c r="J54" s="85" t="s">
        <v>223</v>
      </c>
    </row>
    <row r="55" spans="1:10" ht="14.25" customHeight="1" x14ac:dyDescent="0.25">
      <c r="A55" s="304" t="s">
        <v>224</v>
      </c>
      <c r="B55" s="162">
        <v>1</v>
      </c>
      <c r="C55" s="104">
        <v>1393</v>
      </c>
      <c r="D55" s="104">
        <v>2006.58</v>
      </c>
      <c r="E55" s="104">
        <v>1980</v>
      </c>
      <c r="F55" s="104">
        <v>1982</v>
      </c>
      <c r="G55" s="28">
        <f t="shared" ref="G55:G63" si="16">SUM(C55:F55)</f>
        <v>7361.58</v>
      </c>
      <c r="H55" s="130" t="s">
        <v>98</v>
      </c>
      <c r="I55" s="127"/>
      <c r="J55" s="87">
        <v>8760</v>
      </c>
    </row>
    <row r="56" spans="1:10" ht="14.25" customHeight="1" x14ac:dyDescent="0.25">
      <c r="A56" s="305"/>
      <c r="B56" s="109">
        <v>2</v>
      </c>
      <c r="C56" s="128">
        <v>1549</v>
      </c>
      <c r="D56" s="128">
        <v>2175.1799999999998</v>
      </c>
      <c r="E56" s="128">
        <v>2119</v>
      </c>
      <c r="F56" s="128">
        <v>1708</v>
      </c>
      <c r="G56" s="29">
        <f t="shared" si="16"/>
        <v>7551.18</v>
      </c>
      <c r="H56" s="131" t="s">
        <v>98</v>
      </c>
      <c r="I56" s="127"/>
      <c r="J56" s="91"/>
    </row>
    <row r="57" spans="1:10" ht="14.25" customHeight="1" x14ac:dyDescent="0.25">
      <c r="A57" s="107" t="s">
        <v>225</v>
      </c>
      <c r="B57" s="109" t="s">
        <v>98</v>
      </c>
      <c r="C57" s="128">
        <f>AVERAGE(C55:C56)</f>
        <v>1471</v>
      </c>
      <c r="D57" s="128">
        <f t="shared" ref="D57:F57" si="17">AVERAGE(D55:D56)</f>
        <v>2090.88</v>
      </c>
      <c r="E57" s="128">
        <f t="shared" si="17"/>
        <v>2049.5</v>
      </c>
      <c r="F57" s="128">
        <f t="shared" si="17"/>
        <v>1845</v>
      </c>
      <c r="G57" s="29">
        <f>AVERAGE(G55:G56)</f>
        <v>7456.38</v>
      </c>
      <c r="H57" s="86">
        <v>0.85099999999999998</v>
      </c>
      <c r="I57" s="127"/>
      <c r="J57" s="91"/>
    </row>
    <row r="58" spans="1:10" ht="14.25" customHeight="1" x14ac:dyDescent="0.25">
      <c r="A58" s="107" t="s">
        <v>226</v>
      </c>
      <c r="B58" s="109">
        <v>1</v>
      </c>
      <c r="C58" s="128">
        <v>1857</v>
      </c>
      <c r="D58" s="128">
        <v>2179</v>
      </c>
      <c r="E58" s="128">
        <v>2207</v>
      </c>
      <c r="F58" s="128">
        <v>2058</v>
      </c>
      <c r="G58" s="29">
        <f>SUM(C58:F58)</f>
        <v>8301</v>
      </c>
      <c r="H58" s="86">
        <v>0.94799999999999995</v>
      </c>
      <c r="I58" s="127"/>
      <c r="J58" s="91"/>
    </row>
    <row r="59" spans="1:10" x14ac:dyDescent="0.25">
      <c r="A59" s="107" t="s">
        <v>227</v>
      </c>
      <c r="B59" s="109" t="s">
        <v>98</v>
      </c>
      <c r="C59" s="128" t="s">
        <v>98</v>
      </c>
      <c r="D59" s="128" t="s">
        <v>98</v>
      </c>
      <c r="E59" s="128" t="s">
        <v>98</v>
      </c>
      <c r="F59" s="128" t="s">
        <v>98</v>
      </c>
      <c r="G59" s="29">
        <v>8033</v>
      </c>
      <c r="H59" s="110" t="s">
        <v>98</v>
      </c>
      <c r="I59" s="91"/>
      <c r="J59" s="91"/>
    </row>
    <row r="60" spans="1:10" x14ac:dyDescent="0.25">
      <c r="A60" s="107" t="s">
        <v>228</v>
      </c>
      <c r="B60" s="109" t="s">
        <v>229</v>
      </c>
      <c r="C60" s="105">
        <v>10620</v>
      </c>
      <c r="D60" s="105">
        <v>10820</v>
      </c>
      <c r="E60" s="105">
        <v>10743</v>
      </c>
      <c r="F60" s="105">
        <v>9768</v>
      </c>
      <c r="G60" s="29">
        <v>10370</v>
      </c>
      <c r="H60" s="179" t="s">
        <v>98</v>
      </c>
      <c r="I60" s="136" t="s">
        <v>230</v>
      </c>
      <c r="J60" s="91"/>
    </row>
    <row r="61" spans="1:10" x14ac:dyDescent="0.25">
      <c r="A61" s="107" t="s">
        <v>231</v>
      </c>
      <c r="B61" s="109" t="s">
        <v>232</v>
      </c>
      <c r="C61" s="105">
        <v>0</v>
      </c>
      <c r="D61" s="105">
        <v>0</v>
      </c>
      <c r="E61" s="105">
        <v>0</v>
      </c>
      <c r="F61" s="105">
        <v>0</v>
      </c>
      <c r="G61" s="29">
        <f t="shared" si="16"/>
        <v>0</v>
      </c>
      <c r="H61" s="117" t="str">
        <f>IF(G61&gt;0,"yes","no")</f>
        <v>no</v>
      </c>
      <c r="I61" s="91"/>
      <c r="J61" s="91"/>
    </row>
    <row r="62" spans="1:10" x14ac:dyDescent="0.25">
      <c r="A62" s="107" t="s">
        <v>233</v>
      </c>
      <c r="B62" s="109" t="s">
        <v>234</v>
      </c>
      <c r="C62" s="105">
        <v>0</v>
      </c>
      <c r="D62" s="105">
        <v>0</v>
      </c>
      <c r="E62" s="105">
        <v>0</v>
      </c>
      <c r="F62" s="105">
        <v>0</v>
      </c>
      <c r="G62" s="29">
        <f t="shared" si="16"/>
        <v>0</v>
      </c>
      <c r="H62" s="180">
        <f>+(G62)/J55</f>
        <v>0</v>
      </c>
      <c r="I62" s="91"/>
      <c r="J62" s="91"/>
    </row>
    <row r="63" spans="1:10" x14ac:dyDescent="0.25">
      <c r="A63" s="98" t="s">
        <v>235</v>
      </c>
      <c r="B63" s="181" t="s">
        <v>232</v>
      </c>
      <c r="C63" s="106">
        <v>0</v>
      </c>
      <c r="D63" s="106">
        <v>1</v>
      </c>
      <c r="E63" s="106">
        <v>0</v>
      </c>
      <c r="F63" s="106">
        <v>0</v>
      </c>
      <c r="G63" s="30">
        <f t="shared" si="16"/>
        <v>1</v>
      </c>
      <c r="H63" s="182" t="str">
        <f>IF(G63&gt;0,"yes","no")</f>
        <v>yes</v>
      </c>
      <c r="I63" s="91"/>
      <c r="J63" s="91"/>
    </row>
    <row r="64" spans="1:10" x14ac:dyDescent="0.25">
      <c r="A64" s="91"/>
      <c r="B64" s="108"/>
      <c r="C64" s="108"/>
      <c r="D64" s="108"/>
      <c r="E64" s="108"/>
      <c r="F64" s="108"/>
      <c r="H64" s="109"/>
      <c r="I64" s="91"/>
      <c r="J64" s="91"/>
    </row>
    <row r="65" spans="4:8" x14ac:dyDescent="0.25">
      <c r="D65" s="108"/>
      <c r="E65" s="108"/>
      <c r="F65" s="108"/>
      <c r="G65" s="108"/>
      <c r="H65" s="108"/>
    </row>
    <row r="66" spans="4:8" x14ac:dyDescent="0.25">
      <c r="D66" s="108"/>
      <c r="E66" s="108"/>
      <c r="F66" s="108"/>
      <c r="G66" s="108"/>
      <c r="H66" s="108"/>
    </row>
    <row r="67" spans="4:8" x14ac:dyDescent="0.25">
      <c r="D67" s="108"/>
      <c r="E67" s="108"/>
      <c r="F67" s="108"/>
      <c r="G67" s="108"/>
      <c r="H67" s="108"/>
    </row>
    <row r="68" spans="4:8" x14ac:dyDescent="0.25">
      <c r="D68" s="108"/>
      <c r="E68" s="108"/>
      <c r="F68" s="108"/>
      <c r="H68" s="109"/>
    </row>
    <row r="76" spans="4:8" x14ac:dyDescent="0.25">
      <c r="D76" s="108"/>
      <c r="E76" s="108"/>
      <c r="F76" s="3"/>
      <c r="H76" s="109"/>
    </row>
  </sheetData>
  <mergeCells count="9">
    <mergeCell ref="A55:A56"/>
    <mergeCell ref="K6:K7"/>
    <mergeCell ref="K8:K19"/>
    <mergeCell ref="B36:B41"/>
    <mergeCell ref="B4:C4"/>
    <mergeCell ref="B8:B20"/>
    <mergeCell ref="B26:B29"/>
    <mergeCell ref="B31:B32"/>
    <mergeCell ref="C33:F33"/>
  </mergeCells>
  <phoneticPr fontId="24" type="noConversion"/>
  <pageMargins left="0.7" right="0.7" top="0.75" bottom="0.75" header="0.3" footer="0.3"/>
  <pageSetup paperSize="9" scale="87" orientation="portrait" r:id="rId1"/>
  <headerFooter scaleWithDoc="0">
    <oddFooter>&amp;C&amp;"Arial,Regular"Page &amp;P</oddFooter>
  </headerFooter>
  <rowBreaks count="1" manualBreakCount="1">
    <brk id="52" max="16383" man="1"/>
  </rowBreaks>
  <ignoredErrors>
    <ignoredError sqref="G56" formulaRang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6"/>
  <sheetViews>
    <sheetView workbookViewId="0">
      <selection activeCell="A2" sqref="A2"/>
    </sheetView>
  </sheetViews>
  <sheetFormatPr defaultColWidth="9.33203125" defaultRowHeight="15" x14ac:dyDescent="0.25"/>
  <cols>
    <col min="1" max="1" width="12.33203125" style="2" customWidth="1"/>
    <col min="2" max="2" width="11.6640625" style="2" customWidth="1"/>
    <col min="3" max="3" width="18.33203125" style="2" bestFit="1" customWidth="1"/>
    <col min="4" max="4" width="12.5546875" style="2" bestFit="1" customWidth="1"/>
    <col min="5" max="5" width="22.33203125" style="2" customWidth="1"/>
    <col min="6" max="6" width="9.33203125" style="2"/>
    <col min="7" max="7" width="13.5546875" style="2" customWidth="1"/>
    <col min="8" max="8" width="9.33203125" style="2" customWidth="1"/>
    <col min="9" max="9" width="24.5546875" style="2" customWidth="1"/>
    <col min="10" max="10" width="9.6640625" style="2" customWidth="1"/>
    <col min="11" max="11" width="10.6640625" style="2" bestFit="1" customWidth="1"/>
    <col min="12" max="12" width="31.6640625" style="2" customWidth="1"/>
    <col min="13" max="16384" width="9.33203125" style="2"/>
  </cols>
  <sheetData>
    <row r="1" spans="1:15" x14ac:dyDescent="0.25">
      <c r="A1" s="91" t="str">
        <f>+'Cover Page'!$B$29</f>
        <v>Annual Performance Report 2022</v>
      </c>
      <c r="B1" s="91"/>
      <c r="C1" s="91"/>
      <c r="D1" s="91"/>
      <c r="E1" s="91" t="str">
        <f>+'Cover Page'!$B$33</f>
        <v>Kemsley Generating Station</v>
      </c>
      <c r="F1" s="91"/>
      <c r="G1" s="91"/>
      <c r="H1" s="91"/>
      <c r="I1" s="91"/>
      <c r="J1" s="91"/>
      <c r="K1" s="91"/>
      <c r="L1" s="91"/>
      <c r="M1" s="91"/>
      <c r="N1" s="91"/>
      <c r="O1" s="91"/>
    </row>
    <row r="3" spans="1:15" ht="15.6" x14ac:dyDescent="0.3">
      <c r="A3" s="1" t="s">
        <v>236</v>
      </c>
      <c r="B3" s="91"/>
      <c r="C3" s="91"/>
      <c r="D3" s="91"/>
      <c r="E3" s="91"/>
      <c r="F3" s="91"/>
      <c r="G3" s="91"/>
      <c r="H3" s="91"/>
      <c r="I3" s="91"/>
      <c r="J3" s="91"/>
      <c r="K3" s="91"/>
      <c r="L3" s="91"/>
      <c r="M3" s="91"/>
      <c r="N3" s="91"/>
      <c r="O3" s="91"/>
    </row>
    <row r="4" spans="1:15" x14ac:dyDescent="0.25">
      <c r="A4" s="9" t="s">
        <v>237</v>
      </c>
      <c r="B4" s="91"/>
      <c r="C4" s="91"/>
      <c r="D4" s="91"/>
      <c r="E4" s="91"/>
      <c r="F4" s="91"/>
      <c r="G4" s="91"/>
      <c r="H4" s="91"/>
      <c r="I4" s="91"/>
      <c r="J4" s="91"/>
      <c r="K4" s="91"/>
      <c r="L4" s="91"/>
      <c r="M4" s="91"/>
      <c r="N4" s="91"/>
      <c r="O4" s="91"/>
    </row>
    <row r="5" spans="1:15" x14ac:dyDescent="0.25">
      <c r="A5" s="9"/>
      <c r="B5" s="91"/>
      <c r="C5" s="91"/>
      <c r="D5" s="91"/>
      <c r="E5" s="91"/>
      <c r="F5" s="91"/>
      <c r="G5" s="91"/>
      <c r="H5" s="91"/>
      <c r="I5" s="91"/>
      <c r="J5" s="91"/>
      <c r="K5" s="91"/>
      <c r="L5" s="91"/>
      <c r="M5" s="91"/>
      <c r="N5" s="91"/>
      <c r="O5" s="91"/>
    </row>
    <row r="6" spans="1:15" x14ac:dyDescent="0.25">
      <c r="A6" s="108" t="s">
        <v>238</v>
      </c>
      <c r="B6" s="91"/>
      <c r="C6" s="91"/>
      <c r="D6" s="91"/>
      <c r="E6" s="91"/>
      <c r="F6" s="91"/>
      <c r="G6" s="91"/>
      <c r="H6" s="91"/>
      <c r="I6" s="91"/>
      <c r="J6" s="91"/>
      <c r="K6" s="91"/>
      <c r="L6" s="91"/>
      <c r="M6" s="91"/>
      <c r="N6" s="91"/>
      <c r="O6" s="91"/>
    </row>
    <row r="7" spans="1:15" s="3" customFormat="1" ht="25.5" customHeight="1" x14ac:dyDescent="0.3">
      <c r="A7" s="318" t="s">
        <v>239</v>
      </c>
      <c r="B7" s="319"/>
      <c r="C7" s="318" t="s">
        <v>240</v>
      </c>
      <c r="D7" s="320"/>
      <c r="E7" s="320"/>
      <c r="F7" s="320"/>
      <c r="G7" s="320"/>
      <c r="H7" s="320"/>
      <c r="I7" s="319"/>
      <c r="L7" s="80" t="s">
        <v>3</v>
      </c>
    </row>
    <row r="8" spans="1:15" s="3" customFormat="1" ht="22.5" customHeight="1" x14ac:dyDescent="0.25">
      <c r="A8" s="321"/>
      <c r="B8" s="322"/>
      <c r="C8" s="323" t="s">
        <v>241</v>
      </c>
      <c r="D8" s="323"/>
      <c r="E8" s="323"/>
      <c r="F8" s="323" t="s">
        <v>242</v>
      </c>
      <c r="G8" s="323"/>
      <c r="H8" s="323"/>
      <c r="I8" s="323"/>
      <c r="L8" s="234" t="s">
        <v>243</v>
      </c>
      <c r="M8" s="234"/>
      <c r="N8" s="234"/>
      <c r="O8" s="234"/>
    </row>
    <row r="9" spans="1:15" s="3" customFormat="1" ht="22.5" customHeight="1" x14ac:dyDescent="0.25">
      <c r="A9" s="315" t="s">
        <v>244</v>
      </c>
      <c r="B9" s="315"/>
      <c r="C9" s="316">
        <v>1</v>
      </c>
      <c r="D9" s="317"/>
      <c r="E9" s="317"/>
      <c r="F9" s="316">
        <v>1</v>
      </c>
      <c r="G9" s="317"/>
      <c r="H9" s="317"/>
      <c r="I9" s="317"/>
      <c r="L9" s="234"/>
      <c r="M9" s="234"/>
      <c r="N9" s="234"/>
      <c r="O9" s="234"/>
    </row>
    <row r="10" spans="1:15" s="3" customFormat="1" ht="22.5" customHeight="1" x14ac:dyDescent="0.25">
      <c r="A10" s="315" t="s">
        <v>245</v>
      </c>
      <c r="B10" s="315"/>
      <c r="C10" s="316">
        <v>1</v>
      </c>
      <c r="D10" s="317"/>
      <c r="E10" s="317"/>
      <c r="F10" s="316">
        <v>1</v>
      </c>
      <c r="G10" s="317"/>
      <c r="H10" s="317"/>
      <c r="I10" s="317"/>
      <c r="L10" s="234"/>
      <c r="M10" s="234"/>
      <c r="N10" s="234"/>
      <c r="O10" s="234"/>
    </row>
    <row r="11" spans="1:15" s="3" customFormat="1" ht="22.5" customHeight="1" x14ac:dyDescent="0.25">
      <c r="A11" s="315" t="s">
        <v>246</v>
      </c>
      <c r="B11" s="315"/>
      <c r="C11" s="316">
        <v>1</v>
      </c>
      <c r="D11" s="317"/>
      <c r="E11" s="317"/>
      <c r="F11" s="316">
        <v>1</v>
      </c>
      <c r="G11" s="317"/>
      <c r="H11" s="317"/>
      <c r="I11" s="317"/>
      <c r="L11" s="234"/>
      <c r="M11" s="234"/>
      <c r="N11" s="234"/>
      <c r="O11" s="234"/>
    </row>
    <row r="12" spans="1:15" s="3" customFormat="1" ht="22.5" customHeight="1" x14ac:dyDescent="0.25">
      <c r="A12" s="315" t="s">
        <v>247</v>
      </c>
      <c r="B12" s="315"/>
      <c r="C12" s="248" t="s">
        <v>248</v>
      </c>
      <c r="D12" s="317"/>
      <c r="E12" s="317"/>
      <c r="F12" s="316">
        <v>1</v>
      </c>
      <c r="G12" s="317"/>
      <c r="H12" s="317"/>
      <c r="I12" s="317"/>
      <c r="L12" s="234"/>
      <c r="M12" s="234"/>
      <c r="N12" s="234"/>
      <c r="O12" s="234"/>
    </row>
    <row r="13" spans="1:15" s="3" customFormat="1" ht="22.5" customHeight="1" x14ac:dyDescent="0.25">
      <c r="A13" s="315" t="s">
        <v>249</v>
      </c>
      <c r="B13" s="315"/>
      <c r="C13" s="316">
        <v>1</v>
      </c>
      <c r="D13" s="317"/>
      <c r="E13" s="317"/>
      <c r="F13" s="316">
        <v>1</v>
      </c>
      <c r="G13" s="317"/>
      <c r="H13" s="317"/>
      <c r="I13" s="317"/>
      <c r="L13" s="234"/>
      <c r="M13" s="234"/>
      <c r="N13" s="234"/>
      <c r="O13" s="234"/>
    </row>
    <row r="14" spans="1:15" s="3" customFormat="1" ht="22.5" customHeight="1" x14ac:dyDescent="0.25">
      <c r="A14" s="315" t="s">
        <v>250</v>
      </c>
      <c r="B14" s="315"/>
      <c r="C14" s="316">
        <v>1</v>
      </c>
      <c r="D14" s="317"/>
      <c r="E14" s="317"/>
      <c r="F14" s="316">
        <v>1</v>
      </c>
      <c r="G14" s="317"/>
      <c r="H14" s="317"/>
      <c r="I14" s="317"/>
      <c r="L14" s="234"/>
      <c r="M14" s="234"/>
      <c r="N14" s="234"/>
      <c r="O14" s="234"/>
    </row>
    <row r="15" spans="1:15" s="3" customFormat="1" ht="22.5" customHeight="1" x14ac:dyDescent="0.25">
      <c r="A15" s="315" t="s">
        <v>251</v>
      </c>
      <c r="B15" s="315"/>
      <c r="C15" s="316">
        <v>1</v>
      </c>
      <c r="D15" s="317"/>
      <c r="E15" s="317"/>
      <c r="F15" s="316">
        <v>1</v>
      </c>
      <c r="G15" s="317"/>
      <c r="H15" s="317"/>
      <c r="I15" s="317"/>
      <c r="L15" s="234"/>
      <c r="M15" s="234"/>
      <c r="N15" s="234"/>
      <c r="O15" s="234"/>
    </row>
    <row r="16" spans="1:15" s="3" customFormat="1" ht="22.5" customHeight="1" x14ac:dyDescent="0.25">
      <c r="A16" s="315" t="s">
        <v>252</v>
      </c>
      <c r="B16" s="315"/>
      <c r="C16" s="316">
        <v>1</v>
      </c>
      <c r="D16" s="317"/>
      <c r="E16" s="317"/>
      <c r="F16" s="316">
        <v>1</v>
      </c>
      <c r="G16" s="317"/>
      <c r="H16" s="317"/>
      <c r="I16" s="317"/>
      <c r="L16" s="234"/>
      <c r="M16" s="234"/>
      <c r="N16" s="234"/>
      <c r="O16" s="234"/>
    </row>
    <row r="17" spans="1:15" s="3" customFormat="1" ht="13.8" x14ac:dyDescent="0.25">
      <c r="L17" s="234"/>
      <c r="M17" s="234"/>
      <c r="N17" s="234"/>
      <c r="O17" s="234"/>
    </row>
    <row r="18" spans="1:15" s="44" customFormat="1" ht="21.75" customHeight="1" x14ac:dyDescent="0.3">
      <c r="A18" s="333" t="s">
        <v>253</v>
      </c>
      <c r="B18" s="334"/>
      <c r="C18" s="334"/>
      <c r="D18" s="334"/>
      <c r="E18" s="334"/>
      <c r="F18" s="334"/>
      <c r="G18" s="334"/>
      <c r="H18" s="334"/>
      <c r="I18" s="334"/>
      <c r="J18" s="334"/>
      <c r="K18" s="335"/>
    </row>
    <row r="19" spans="1:15" s="3" customFormat="1" ht="38.25" customHeight="1" x14ac:dyDescent="0.25">
      <c r="A19" s="45" t="s">
        <v>54</v>
      </c>
      <c r="B19" s="324" t="s">
        <v>254</v>
      </c>
      <c r="C19" s="324"/>
      <c r="D19" s="324"/>
      <c r="E19" s="324" t="s">
        <v>255</v>
      </c>
      <c r="F19" s="324"/>
      <c r="G19" s="324"/>
      <c r="H19" s="324" t="s">
        <v>256</v>
      </c>
      <c r="I19" s="324"/>
      <c r="J19" s="325"/>
      <c r="K19" s="71"/>
      <c r="L19" s="118"/>
    </row>
    <row r="20" spans="1:15" s="3" customFormat="1" ht="80.400000000000006" customHeight="1" x14ac:dyDescent="0.25">
      <c r="A20" s="119" t="s">
        <v>257</v>
      </c>
      <c r="B20" s="302" t="s">
        <v>258</v>
      </c>
      <c r="C20" s="302"/>
      <c r="D20" s="302"/>
      <c r="E20" s="302" t="s">
        <v>259</v>
      </c>
      <c r="F20" s="302"/>
      <c r="G20" s="302"/>
      <c r="H20" s="302" t="s">
        <v>260</v>
      </c>
      <c r="I20" s="326"/>
      <c r="J20" s="327"/>
      <c r="K20" s="71"/>
      <c r="L20" s="118"/>
    </row>
    <row r="21" spans="1:15" s="3" customFormat="1" ht="102" customHeight="1" x14ac:dyDescent="0.25">
      <c r="A21" s="120" t="s">
        <v>261</v>
      </c>
      <c r="B21" s="302" t="s">
        <v>262</v>
      </c>
      <c r="C21" s="302"/>
      <c r="D21" s="302"/>
      <c r="E21" s="302" t="s">
        <v>263</v>
      </c>
      <c r="F21" s="302"/>
      <c r="G21" s="302"/>
      <c r="H21" s="302" t="s">
        <v>264</v>
      </c>
      <c r="I21" s="302"/>
      <c r="J21" s="285"/>
      <c r="K21" s="71"/>
      <c r="L21" s="108"/>
    </row>
    <row r="22" spans="1:15" s="3" customFormat="1" ht="80.400000000000006" customHeight="1" x14ac:dyDescent="0.25">
      <c r="A22" s="120" t="s">
        <v>265</v>
      </c>
      <c r="B22" s="302" t="s">
        <v>258</v>
      </c>
      <c r="C22" s="302"/>
      <c r="D22" s="302"/>
      <c r="E22" s="328" t="s">
        <v>259</v>
      </c>
      <c r="F22" s="328"/>
      <c r="G22" s="328"/>
      <c r="H22" s="302" t="s">
        <v>260</v>
      </c>
      <c r="I22" s="326"/>
      <c r="J22" s="327"/>
      <c r="K22" s="71"/>
    </row>
    <row r="23" spans="1:15" s="3" customFormat="1" ht="141" customHeight="1" x14ac:dyDescent="0.25">
      <c r="A23" s="120" t="s">
        <v>266</v>
      </c>
      <c r="B23" s="302" t="s">
        <v>258</v>
      </c>
      <c r="C23" s="302"/>
      <c r="D23" s="302"/>
      <c r="E23" s="302" t="s">
        <v>267</v>
      </c>
      <c r="F23" s="302"/>
      <c r="G23" s="285"/>
      <c r="H23" s="328" t="s">
        <v>268</v>
      </c>
      <c r="I23" s="328"/>
      <c r="J23" s="336"/>
      <c r="K23" s="71"/>
    </row>
    <row r="24" spans="1:15" s="3" customFormat="1" ht="78.599999999999994" customHeight="1" x14ac:dyDescent="0.25">
      <c r="A24" s="120" t="s">
        <v>269</v>
      </c>
      <c r="B24" s="302" t="s">
        <v>258</v>
      </c>
      <c r="C24" s="302"/>
      <c r="D24" s="302"/>
      <c r="E24" s="302" t="s">
        <v>270</v>
      </c>
      <c r="F24" s="302"/>
      <c r="G24" s="302"/>
      <c r="H24" s="302" t="s">
        <v>260</v>
      </c>
      <c r="I24" s="326"/>
      <c r="J24" s="327"/>
      <c r="K24" s="71"/>
    </row>
    <row r="25" spans="1:15" s="3" customFormat="1" ht="13.8" x14ac:dyDescent="0.25"/>
    <row r="26" spans="1:15" s="44" customFormat="1" ht="22.5" customHeight="1" x14ac:dyDescent="0.3">
      <c r="A26" s="333" t="s">
        <v>271</v>
      </c>
      <c r="B26" s="334"/>
      <c r="C26" s="334"/>
      <c r="D26" s="334"/>
      <c r="E26" s="334"/>
      <c r="F26" s="334"/>
      <c r="G26" s="334"/>
      <c r="H26" s="334"/>
      <c r="I26" s="334"/>
      <c r="J26" s="334"/>
      <c r="K26" s="335"/>
    </row>
    <row r="27" spans="1:15" s="3" customFormat="1" ht="39" customHeight="1" x14ac:dyDescent="0.25">
      <c r="A27" s="45" t="s">
        <v>54</v>
      </c>
      <c r="B27" s="324" t="s">
        <v>272</v>
      </c>
      <c r="C27" s="324"/>
      <c r="D27" s="324"/>
      <c r="E27" s="324" t="s">
        <v>273</v>
      </c>
      <c r="F27" s="324"/>
      <c r="G27" s="324"/>
      <c r="H27" s="324" t="s">
        <v>256</v>
      </c>
      <c r="I27" s="324"/>
      <c r="J27" s="325"/>
      <c r="K27" s="71"/>
    </row>
    <row r="28" spans="1:15" s="3" customFormat="1" ht="13.8" x14ac:dyDescent="0.25">
      <c r="A28" s="330" t="s">
        <v>274</v>
      </c>
      <c r="B28" s="331"/>
      <c r="C28" s="331"/>
      <c r="D28" s="331"/>
      <c r="E28" s="331"/>
      <c r="F28" s="331"/>
      <c r="G28" s="331"/>
      <c r="H28" s="331"/>
      <c r="I28" s="331"/>
      <c r="J28" s="332"/>
      <c r="K28" s="71"/>
    </row>
    <row r="29" spans="1:15" s="3" customFormat="1" ht="13.8" x14ac:dyDescent="0.25">
      <c r="A29" s="139"/>
      <c r="B29" s="205"/>
      <c r="C29" s="205"/>
      <c r="D29" s="205"/>
      <c r="E29" s="205"/>
      <c r="F29" s="205"/>
      <c r="G29" s="205"/>
      <c r="H29" s="205"/>
      <c r="I29" s="205"/>
      <c r="J29" s="329"/>
      <c r="K29" s="71"/>
    </row>
    <row r="30" spans="1:15" ht="14.25" customHeight="1" x14ac:dyDescent="0.25">
      <c r="A30" s="139"/>
      <c r="B30" s="205"/>
      <c r="C30" s="205"/>
      <c r="D30" s="205"/>
      <c r="E30" s="205"/>
      <c r="F30" s="205"/>
      <c r="G30" s="205"/>
      <c r="H30" s="205"/>
      <c r="I30" s="205"/>
      <c r="J30" s="329"/>
      <c r="K30" s="71"/>
      <c r="L30" s="91"/>
      <c r="M30" s="91"/>
      <c r="N30" s="91"/>
      <c r="O30" s="91"/>
    </row>
    <row r="31" spans="1:15" s="3" customFormat="1" ht="13.8" x14ac:dyDescent="0.25">
      <c r="A31" s="139"/>
      <c r="B31" s="205"/>
      <c r="C31" s="205"/>
      <c r="D31" s="205"/>
      <c r="E31" s="205"/>
      <c r="F31" s="205"/>
      <c r="G31" s="205"/>
      <c r="H31" s="205"/>
      <c r="I31" s="205"/>
      <c r="J31" s="329"/>
      <c r="K31" s="71"/>
    </row>
    <row r="32" spans="1:15" s="3" customFormat="1" ht="13.8" x14ac:dyDescent="0.25">
      <c r="A32" s="139"/>
      <c r="B32" s="205"/>
      <c r="C32" s="205"/>
      <c r="D32" s="205"/>
      <c r="E32" s="205"/>
      <c r="F32" s="205"/>
      <c r="G32" s="205"/>
      <c r="H32" s="205"/>
      <c r="I32" s="205"/>
      <c r="J32" s="329"/>
      <c r="K32" s="71"/>
    </row>
    <row r="33" spans="1:10" s="3" customFormat="1" ht="29.25" customHeight="1" x14ac:dyDescent="0.25">
      <c r="A33" s="108"/>
      <c r="E33" s="314" t="s">
        <v>275</v>
      </c>
      <c r="F33" s="314"/>
      <c r="G33" s="314"/>
      <c r="H33" s="314"/>
      <c r="I33" s="314"/>
      <c r="J33" s="108"/>
    </row>
    <row r="66" spans="6:6" x14ac:dyDescent="0.25">
      <c r="F66" s="3"/>
    </row>
  </sheetData>
  <mergeCells count="67">
    <mergeCell ref="A28:J28"/>
    <mergeCell ref="A26:K26"/>
    <mergeCell ref="A18:K18"/>
    <mergeCell ref="B31:D31"/>
    <mergeCell ref="E31:G31"/>
    <mergeCell ref="H31:J31"/>
    <mergeCell ref="B27:D27"/>
    <mergeCell ref="E27:G27"/>
    <mergeCell ref="H27:J27"/>
    <mergeCell ref="B23:D23"/>
    <mergeCell ref="E23:G23"/>
    <mergeCell ref="H23:J23"/>
    <mergeCell ref="B24:D24"/>
    <mergeCell ref="E24:G24"/>
    <mergeCell ref="H24:J24"/>
    <mergeCell ref="B21:D21"/>
    <mergeCell ref="B32:D32"/>
    <mergeCell ref="E32:G32"/>
    <mergeCell ref="H32:J32"/>
    <mergeCell ref="B29:D29"/>
    <mergeCell ref="E29:G29"/>
    <mergeCell ref="H29:J29"/>
    <mergeCell ref="B30:D30"/>
    <mergeCell ref="E30:G30"/>
    <mergeCell ref="H30:J30"/>
    <mergeCell ref="E21:G21"/>
    <mergeCell ref="H21:J21"/>
    <mergeCell ref="B22:D22"/>
    <mergeCell ref="E22:G22"/>
    <mergeCell ref="H22:J22"/>
    <mergeCell ref="B19:D19"/>
    <mergeCell ref="E19:G19"/>
    <mergeCell ref="H19:J19"/>
    <mergeCell ref="B20:D20"/>
    <mergeCell ref="E20:G20"/>
    <mergeCell ref="H20:J20"/>
    <mergeCell ref="C16:E16"/>
    <mergeCell ref="F16:I16"/>
    <mergeCell ref="C15:E15"/>
    <mergeCell ref="F15:I15"/>
    <mergeCell ref="A16:B16"/>
    <mergeCell ref="F13:I13"/>
    <mergeCell ref="A14:B14"/>
    <mergeCell ref="C14:E14"/>
    <mergeCell ref="F14:I14"/>
    <mergeCell ref="A15:B15"/>
    <mergeCell ref="A7:B7"/>
    <mergeCell ref="C7:I7"/>
    <mergeCell ref="A8:B8"/>
    <mergeCell ref="C8:E8"/>
    <mergeCell ref="F8:I8"/>
    <mergeCell ref="L8:O17"/>
    <mergeCell ref="E33:I33"/>
    <mergeCell ref="A9:B9"/>
    <mergeCell ref="C9:E9"/>
    <mergeCell ref="F9:I9"/>
    <mergeCell ref="A10:B10"/>
    <mergeCell ref="C10:E10"/>
    <mergeCell ref="F10:I10"/>
    <mergeCell ref="A11:B11"/>
    <mergeCell ref="C11:E11"/>
    <mergeCell ref="F11:I11"/>
    <mergeCell ref="A12:B12"/>
    <mergeCell ref="C12:E12"/>
    <mergeCell ref="F12:I12"/>
    <mergeCell ref="A13:B13"/>
    <mergeCell ref="C13:E13"/>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A2" sqref="A2"/>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1" t="str">
        <f>+'Cover Page'!$B$29</f>
        <v>Annual Performance Report 2022</v>
      </c>
      <c r="B1" s="91"/>
      <c r="C1" s="91"/>
      <c r="D1" s="91"/>
      <c r="E1" s="91" t="str">
        <f>+'Cover Page'!$B$33</f>
        <v>Kemsley Generating Station</v>
      </c>
      <c r="F1" s="91"/>
      <c r="G1" s="91"/>
      <c r="H1" s="91"/>
      <c r="I1" s="91"/>
    </row>
    <row r="3" spans="1:9" ht="15.6" x14ac:dyDescent="0.3">
      <c r="A3" s="1" t="s">
        <v>276</v>
      </c>
      <c r="B3" s="91"/>
      <c r="C3" s="91"/>
      <c r="D3" s="91"/>
      <c r="E3" s="91"/>
      <c r="F3" s="91"/>
      <c r="G3" s="91"/>
      <c r="H3" s="91"/>
      <c r="I3" s="91"/>
    </row>
    <row r="4" spans="1:9" ht="15.6" x14ac:dyDescent="0.3">
      <c r="A4" s="1"/>
      <c r="B4" s="91"/>
      <c r="C4" s="91"/>
      <c r="D4" s="91"/>
      <c r="E4" s="91"/>
      <c r="F4" s="91"/>
      <c r="G4" s="91"/>
      <c r="H4" s="91"/>
      <c r="I4" s="91"/>
    </row>
    <row r="5" spans="1:9" s="3" customFormat="1" ht="13.8" x14ac:dyDescent="0.25">
      <c r="A5" s="348" t="s">
        <v>277</v>
      </c>
      <c r="B5" s="349"/>
      <c r="C5" s="349"/>
      <c r="D5" s="349"/>
      <c r="E5" s="349"/>
      <c r="F5" s="349"/>
      <c r="G5" s="349"/>
      <c r="H5" s="349"/>
      <c r="I5" s="350"/>
    </row>
    <row r="6" spans="1:9" s="3" customFormat="1" ht="15.75" customHeight="1" x14ac:dyDescent="0.25">
      <c r="A6" s="225" t="s">
        <v>278</v>
      </c>
      <c r="B6" s="340"/>
      <c r="C6" s="340"/>
      <c r="D6" s="340"/>
      <c r="E6" s="340"/>
      <c r="F6" s="340"/>
      <c r="G6" s="340"/>
      <c r="H6" s="340"/>
      <c r="I6" s="341"/>
    </row>
    <row r="7" spans="1:9" s="3" customFormat="1" ht="15.75" customHeight="1" x14ac:dyDescent="0.25">
      <c r="A7" s="342"/>
      <c r="B7" s="343"/>
      <c r="C7" s="343"/>
      <c r="D7" s="343"/>
      <c r="E7" s="343"/>
      <c r="F7" s="343"/>
      <c r="G7" s="343"/>
      <c r="H7" s="343"/>
      <c r="I7" s="344"/>
    </row>
    <row r="8" spans="1:9" s="3" customFormat="1" ht="15.75" customHeight="1" x14ac:dyDescent="0.25">
      <c r="A8" s="342"/>
      <c r="B8" s="343"/>
      <c r="C8" s="343"/>
      <c r="D8" s="343"/>
      <c r="E8" s="343"/>
      <c r="F8" s="343"/>
      <c r="G8" s="343"/>
      <c r="H8" s="343"/>
      <c r="I8" s="344"/>
    </row>
    <row r="9" spans="1:9" s="3" customFormat="1" ht="15.75" customHeight="1" x14ac:dyDescent="0.25">
      <c r="A9" s="342"/>
      <c r="B9" s="343"/>
      <c r="C9" s="343"/>
      <c r="D9" s="343"/>
      <c r="E9" s="343"/>
      <c r="F9" s="343"/>
      <c r="G9" s="343"/>
      <c r="H9" s="343"/>
      <c r="I9" s="344"/>
    </row>
    <row r="10" spans="1:9" s="3" customFormat="1" ht="15.75" customHeight="1" x14ac:dyDescent="0.25">
      <c r="A10" s="342"/>
      <c r="B10" s="343"/>
      <c r="C10" s="343"/>
      <c r="D10" s="343"/>
      <c r="E10" s="343"/>
      <c r="F10" s="343"/>
      <c r="G10" s="343"/>
      <c r="H10" s="343"/>
      <c r="I10" s="344"/>
    </row>
    <row r="11" spans="1:9" s="3" customFormat="1" ht="15.75" customHeight="1" x14ac:dyDescent="0.25">
      <c r="A11" s="342"/>
      <c r="B11" s="343"/>
      <c r="C11" s="343"/>
      <c r="D11" s="343"/>
      <c r="E11" s="343"/>
      <c r="F11" s="343"/>
      <c r="G11" s="343"/>
      <c r="H11" s="343"/>
      <c r="I11" s="344"/>
    </row>
    <row r="12" spans="1:9" s="3" customFormat="1" ht="15.75" customHeight="1" x14ac:dyDescent="0.25">
      <c r="A12" s="342"/>
      <c r="B12" s="343"/>
      <c r="C12" s="343"/>
      <c r="D12" s="343"/>
      <c r="E12" s="343"/>
      <c r="F12" s="343"/>
      <c r="G12" s="343"/>
      <c r="H12" s="343"/>
      <c r="I12" s="344"/>
    </row>
    <row r="13" spans="1:9" s="3" customFormat="1" ht="15.75" customHeight="1" x14ac:dyDescent="0.25">
      <c r="A13" s="342"/>
      <c r="B13" s="343"/>
      <c r="C13" s="343"/>
      <c r="D13" s="343"/>
      <c r="E13" s="343"/>
      <c r="F13" s="343"/>
      <c r="G13" s="343"/>
      <c r="H13" s="343"/>
      <c r="I13" s="344"/>
    </row>
    <row r="14" spans="1:9" s="3" customFormat="1" ht="15.75" customHeight="1" x14ac:dyDescent="0.25">
      <c r="A14" s="345"/>
      <c r="B14" s="346"/>
      <c r="C14" s="346"/>
      <c r="D14" s="346"/>
      <c r="E14" s="346"/>
      <c r="F14" s="346"/>
      <c r="G14" s="346"/>
      <c r="H14" s="346"/>
      <c r="I14" s="347"/>
    </row>
    <row r="15" spans="1:9" s="3" customFormat="1" ht="13.8" x14ac:dyDescent="0.25"/>
    <row r="16" spans="1:9" s="46" customFormat="1" ht="33.75" customHeight="1" x14ac:dyDescent="0.3">
      <c r="A16" s="337" t="s">
        <v>279</v>
      </c>
      <c r="B16" s="338"/>
      <c r="C16" s="338"/>
      <c r="D16" s="338"/>
      <c r="E16" s="338"/>
      <c r="F16" s="338"/>
      <c r="G16" s="338"/>
      <c r="H16" s="338"/>
      <c r="I16" s="339"/>
    </row>
    <row r="17" spans="1:9" ht="16.95" customHeight="1" x14ac:dyDescent="0.25">
      <c r="A17" s="225" t="s">
        <v>280</v>
      </c>
      <c r="B17" s="340"/>
      <c r="C17" s="340"/>
      <c r="D17" s="340"/>
      <c r="E17" s="340"/>
      <c r="F17" s="340"/>
      <c r="G17" s="340"/>
      <c r="H17" s="340"/>
      <c r="I17" s="341"/>
    </row>
    <row r="18" spans="1:9" ht="16.95" customHeight="1" x14ac:dyDescent="0.25">
      <c r="A18" s="342"/>
      <c r="B18" s="343"/>
      <c r="C18" s="343"/>
      <c r="D18" s="343"/>
      <c r="E18" s="343"/>
      <c r="F18" s="343"/>
      <c r="G18" s="343"/>
      <c r="H18" s="343"/>
      <c r="I18" s="344"/>
    </row>
    <row r="19" spans="1:9" ht="16.95" customHeight="1" x14ac:dyDescent="0.25">
      <c r="A19" s="342"/>
      <c r="B19" s="343"/>
      <c r="C19" s="343"/>
      <c r="D19" s="343"/>
      <c r="E19" s="343"/>
      <c r="F19" s="343"/>
      <c r="G19" s="343"/>
      <c r="H19" s="343"/>
      <c r="I19" s="344"/>
    </row>
    <row r="20" spans="1:9" ht="16.95" customHeight="1" x14ac:dyDescent="0.25">
      <c r="A20" s="342"/>
      <c r="B20" s="343"/>
      <c r="C20" s="343"/>
      <c r="D20" s="343"/>
      <c r="E20" s="343"/>
      <c r="F20" s="343"/>
      <c r="G20" s="343"/>
      <c r="H20" s="343"/>
      <c r="I20" s="344"/>
    </row>
    <row r="21" spans="1:9" ht="16.95" customHeight="1" x14ac:dyDescent="0.25">
      <c r="A21" s="342"/>
      <c r="B21" s="343"/>
      <c r="C21" s="343"/>
      <c r="D21" s="343"/>
      <c r="E21" s="343"/>
      <c r="F21" s="343"/>
      <c r="G21" s="343"/>
      <c r="H21" s="343"/>
      <c r="I21" s="344"/>
    </row>
    <row r="22" spans="1:9" ht="16.95" customHeight="1" x14ac:dyDescent="0.25">
      <c r="A22" s="342"/>
      <c r="B22" s="343"/>
      <c r="C22" s="343"/>
      <c r="D22" s="343"/>
      <c r="E22" s="343"/>
      <c r="F22" s="343"/>
      <c r="G22" s="343"/>
      <c r="H22" s="343"/>
      <c r="I22" s="344"/>
    </row>
    <row r="23" spans="1:9" ht="16.95" customHeight="1" x14ac:dyDescent="0.25">
      <c r="A23" s="342"/>
      <c r="B23" s="343"/>
      <c r="C23" s="343"/>
      <c r="D23" s="343"/>
      <c r="E23" s="343"/>
      <c r="F23" s="343"/>
      <c r="G23" s="343"/>
      <c r="H23" s="343"/>
      <c r="I23" s="344"/>
    </row>
    <row r="24" spans="1:9" ht="16.95" customHeight="1" x14ac:dyDescent="0.25">
      <c r="A24" s="342"/>
      <c r="B24" s="343"/>
      <c r="C24" s="343"/>
      <c r="D24" s="343"/>
      <c r="E24" s="343"/>
      <c r="F24" s="343"/>
      <c r="G24" s="343"/>
      <c r="H24" s="343"/>
      <c r="I24" s="344"/>
    </row>
    <row r="25" spans="1:9" ht="16.95" customHeight="1" x14ac:dyDescent="0.25">
      <c r="A25" s="345"/>
      <c r="B25" s="346"/>
      <c r="C25" s="346"/>
      <c r="D25" s="346"/>
      <c r="E25" s="346"/>
      <c r="F25" s="346"/>
      <c r="G25" s="346"/>
      <c r="H25" s="346"/>
      <c r="I25" s="347"/>
    </row>
    <row r="27" spans="1:9" ht="36.75" customHeight="1" x14ac:dyDescent="0.25">
      <c r="A27" s="337" t="s">
        <v>281</v>
      </c>
      <c r="B27" s="338"/>
      <c r="C27" s="338"/>
      <c r="D27" s="338"/>
      <c r="E27" s="338"/>
      <c r="F27" s="338"/>
      <c r="G27" s="338"/>
      <c r="H27" s="338"/>
      <c r="I27" s="339"/>
    </row>
    <row r="28" spans="1:9" ht="3.6" customHeight="1" x14ac:dyDescent="0.25">
      <c r="A28" s="225" t="s">
        <v>282</v>
      </c>
      <c r="B28" s="340"/>
      <c r="C28" s="340"/>
      <c r="D28" s="340"/>
      <c r="E28" s="340"/>
      <c r="F28" s="340"/>
      <c r="G28" s="340"/>
      <c r="H28" s="340"/>
      <c r="I28" s="341"/>
    </row>
    <row r="29" spans="1:9" ht="3.6" customHeight="1" x14ac:dyDescent="0.25">
      <c r="A29" s="342"/>
      <c r="B29" s="343"/>
      <c r="C29" s="343"/>
      <c r="D29" s="343"/>
      <c r="E29" s="343"/>
      <c r="F29" s="343"/>
      <c r="G29" s="343"/>
      <c r="H29" s="343"/>
      <c r="I29" s="344"/>
    </row>
    <row r="30" spans="1:9" ht="3.6" customHeight="1" x14ac:dyDescent="0.25">
      <c r="A30" s="342"/>
      <c r="B30" s="343"/>
      <c r="C30" s="343"/>
      <c r="D30" s="343"/>
      <c r="E30" s="343"/>
      <c r="F30" s="343"/>
      <c r="G30" s="343"/>
      <c r="H30" s="343"/>
      <c r="I30" s="344"/>
    </row>
    <row r="31" spans="1:9" ht="3.6" customHeight="1" x14ac:dyDescent="0.25">
      <c r="A31" s="342"/>
      <c r="B31" s="343"/>
      <c r="C31" s="343"/>
      <c r="D31" s="343"/>
      <c r="E31" s="343"/>
      <c r="F31" s="343"/>
      <c r="G31" s="343"/>
      <c r="H31" s="343"/>
      <c r="I31" s="344"/>
    </row>
    <row r="32" spans="1:9" ht="3.6" customHeight="1" x14ac:dyDescent="0.25">
      <c r="A32" s="342"/>
      <c r="B32" s="343"/>
      <c r="C32" s="343"/>
      <c r="D32" s="343"/>
      <c r="E32" s="343"/>
      <c r="F32" s="343"/>
      <c r="G32" s="343"/>
      <c r="H32" s="343"/>
      <c r="I32" s="344"/>
    </row>
    <row r="33" spans="1:9" ht="3.6" customHeight="1" x14ac:dyDescent="0.25">
      <c r="A33" s="342"/>
      <c r="B33" s="343"/>
      <c r="C33" s="343"/>
      <c r="D33" s="343"/>
      <c r="E33" s="343"/>
      <c r="F33" s="343"/>
      <c r="G33" s="343"/>
      <c r="H33" s="343"/>
      <c r="I33" s="344"/>
    </row>
    <row r="34" spans="1:9" ht="3.6" customHeight="1" x14ac:dyDescent="0.25">
      <c r="A34" s="342"/>
      <c r="B34" s="343"/>
      <c r="C34" s="343"/>
      <c r="D34" s="343"/>
      <c r="E34" s="343"/>
      <c r="F34" s="343"/>
      <c r="G34" s="343"/>
      <c r="H34" s="343"/>
      <c r="I34" s="344"/>
    </row>
    <row r="35" spans="1:9" ht="3.6" customHeight="1" x14ac:dyDescent="0.25">
      <c r="A35" s="342"/>
      <c r="B35" s="343"/>
      <c r="C35" s="343"/>
      <c r="D35" s="343"/>
      <c r="E35" s="343"/>
      <c r="F35" s="343"/>
      <c r="G35" s="343"/>
      <c r="H35" s="343"/>
      <c r="I35" s="344"/>
    </row>
    <row r="36" spans="1:9" ht="3.6" customHeight="1" x14ac:dyDescent="0.25">
      <c r="A36" s="345"/>
      <c r="B36" s="346"/>
      <c r="C36" s="346"/>
      <c r="D36" s="346"/>
      <c r="E36" s="346"/>
      <c r="F36" s="346"/>
      <c r="G36" s="346"/>
      <c r="H36" s="346"/>
      <c r="I36" s="347"/>
    </row>
    <row r="38" spans="1:9" ht="33" customHeight="1" x14ac:dyDescent="0.25">
      <c r="A38" s="337" t="s">
        <v>283</v>
      </c>
      <c r="B38" s="338"/>
      <c r="C38" s="338"/>
      <c r="D38" s="338"/>
      <c r="E38" s="338"/>
      <c r="F38" s="338"/>
      <c r="G38" s="338"/>
      <c r="H38" s="338"/>
      <c r="I38" s="339"/>
    </row>
    <row r="39" spans="1:9" ht="10.199999999999999" customHeight="1" x14ac:dyDescent="0.25">
      <c r="A39" s="225" t="s">
        <v>284</v>
      </c>
      <c r="B39" s="340"/>
      <c r="C39" s="340"/>
      <c r="D39" s="340"/>
      <c r="E39" s="340"/>
      <c r="F39" s="340"/>
      <c r="G39" s="340"/>
      <c r="H39" s="340"/>
      <c r="I39" s="341"/>
    </row>
    <row r="40" spans="1:9" ht="10.199999999999999" customHeight="1" x14ac:dyDescent="0.25">
      <c r="A40" s="342"/>
      <c r="B40" s="343"/>
      <c r="C40" s="343"/>
      <c r="D40" s="343"/>
      <c r="E40" s="343"/>
      <c r="F40" s="343"/>
      <c r="G40" s="343"/>
      <c r="H40" s="343"/>
      <c r="I40" s="344"/>
    </row>
    <row r="41" spans="1:9" ht="10.199999999999999" customHeight="1" x14ac:dyDescent="0.25">
      <c r="A41" s="342"/>
      <c r="B41" s="343"/>
      <c r="C41" s="343"/>
      <c r="D41" s="343"/>
      <c r="E41" s="343"/>
      <c r="F41" s="343"/>
      <c r="G41" s="343"/>
      <c r="H41" s="343"/>
      <c r="I41" s="344"/>
    </row>
    <row r="42" spans="1:9" ht="10.199999999999999" customHeight="1" x14ac:dyDescent="0.25">
      <c r="A42" s="342"/>
      <c r="B42" s="343"/>
      <c r="C42" s="343"/>
      <c r="D42" s="343"/>
      <c r="E42" s="343"/>
      <c r="F42" s="343"/>
      <c r="G42" s="343"/>
      <c r="H42" s="343"/>
      <c r="I42" s="344"/>
    </row>
    <row r="43" spans="1:9" ht="10.199999999999999" customHeight="1" x14ac:dyDescent="0.25">
      <c r="A43" s="342"/>
      <c r="B43" s="343"/>
      <c r="C43" s="343"/>
      <c r="D43" s="343"/>
      <c r="E43" s="343"/>
      <c r="F43" s="343"/>
      <c r="G43" s="343"/>
      <c r="H43" s="343"/>
      <c r="I43" s="344"/>
    </row>
    <row r="44" spans="1:9" ht="10.199999999999999" customHeight="1" x14ac:dyDescent="0.25">
      <c r="A44" s="342"/>
      <c r="B44" s="343"/>
      <c r="C44" s="343"/>
      <c r="D44" s="343"/>
      <c r="E44" s="343"/>
      <c r="F44" s="343"/>
      <c r="G44" s="343"/>
      <c r="H44" s="343"/>
      <c r="I44" s="344"/>
    </row>
    <row r="45" spans="1:9" ht="10.199999999999999" customHeight="1" x14ac:dyDescent="0.25">
      <c r="A45" s="342"/>
      <c r="B45" s="343"/>
      <c r="C45" s="343"/>
      <c r="D45" s="343"/>
      <c r="E45" s="343"/>
      <c r="F45" s="343"/>
      <c r="G45" s="343"/>
      <c r="H45" s="343"/>
      <c r="I45" s="344"/>
    </row>
    <row r="46" spans="1:9" ht="10.199999999999999" customHeight="1" x14ac:dyDescent="0.25">
      <c r="A46" s="342"/>
      <c r="B46" s="343"/>
      <c r="C46" s="343"/>
      <c r="D46" s="343"/>
      <c r="E46" s="343"/>
      <c r="F46" s="343"/>
      <c r="G46" s="343"/>
      <c r="H46" s="343"/>
      <c r="I46" s="344"/>
    </row>
    <row r="47" spans="1:9" ht="10.199999999999999" customHeight="1" x14ac:dyDescent="0.25">
      <c r="A47" s="342"/>
      <c r="B47" s="343"/>
      <c r="C47" s="343"/>
      <c r="D47" s="343"/>
      <c r="E47" s="343"/>
      <c r="F47" s="343"/>
      <c r="G47" s="343"/>
      <c r="H47" s="343"/>
      <c r="I47" s="344"/>
    </row>
    <row r="48" spans="1:9" ht="10.199999999999999" customHeight="1" x14ac:dyDescent="0.25">
      <c r="A48" s="345"/>
      <c r="B48" s="346"/>
      <c r="C48" s="346"/>
      <c r="D48" s="346"/>
      <c r="E48" s="346"/>
      <c r="F48" s="346"/>
      <c r="G48" s="346"/>
      <c r="H48" s="346"/>
      <c r="I48" s="347"/>
    </row>
    <row r="66" spans="6:6" x14ac:dyDescent="0.25">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56"/>
  <sheetViews>
    <sheetView workbookViewId="0">
      <selection activeCell="A2" sqref="A2"/>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1" t="str">
        <f>+'Cover Page'!$B$29</f>
        <v>Annual Performance Report 2022</v>
      </c>
      <c r="B1" s="91"/>
      <c r="C1" s="91"/>
      <c r="D1" s="91"/>
      <c r="E1" s="91" t="str">
        <f>+'Cover Page'!$B$33</f>
        <v>Kemsley Generating Station</v>
      </c>
      <c r="F1" s="91"/>
      <c r="G1" s="91"/>
      <c r="H1" s="91"/>
      <c r="I1" s="91"/>
    </row>
    <row r="3" spans="1:9" ht="15.6" x14ac:dyDescent="0.3">
      <c r="A3" s="1" t="s">
        <v>285</v>
      </c>
      <c r="B3" s="91"/>
      <c r="C3" s="91"/>
      <c r="D3" s="91"/>
      <c r="E3" s="91"/>
      <c r="F3" s="91"/>
      <c r="G3" s="91"/>
      <c r="H3" s="91"/>
      <c r="I3" s="91"/>
    </row>
    <row r="4" spans="1:9" ht="15.6" x14ac:dyDescent="0.3">
      <c r="A4" s="1"/>
      <c r="B4" s="91"/>
      <c r="C4" s="91"/>
      <c r="D4" s="91"/>
      <c r="E4" s="91"/>
      <c r="F4" s="91"/>
      <c r="G4" s="91"/>
      <c r="H4" s="91"/>
      <c r="I4" s="91"/>
    </row>
    <row r="5" spans="1:9" s="3" customFormat="1" ht="28.5" customHeight="1" x14ac:dyDescent="0.25">
      <c r="A5" s="348" t="s">
        <v>286</v>
      </c>
      <c r="B5" s="349"/>
      <c r="C5" s="349"/>
      <c r="D5" s="349"/>
      <c r="E5" s="349"/>
      <c r="F5" s="349"/>
      <c r="G5" s="349"/>
      <c r="H5" s="349"/>
      <c r="I5" s="350"/>
    </row>
    <row r="6" spans="1:9" s="3" customFormat="1" ht="15.75" customHeight="1" x14ac:dyDescent="0.25">
      <c r="A6" s="348" t="s">
        <v>54</v>
      </c>
      <c r="B6" s="350"/>
      <c r="C6" s="348" t="s">
        <v>287</v>
      </c>
      <c r="D6" s="349"/>
      <c r="E6" s="349"/>
      <c r="F6" s="349"/>
      <c r="G6" s="349"/>
      <c r="H6" s="349"/>
      <c r="I6" s="350"/>
    </row>
    <row r="7" spans="1:9" s="3" customFormat="1" ht="22.2" customHeight="1" x14ac:dyDescent="0.25">
      <c r="A7" s="351" t="s">
        <v>288</v>
      </c>
      <c r="B7" s="240"/>
      <c r="C7" s="225" t="s">
        <v>289</v>
      </c>
      <c r="D7" s="352"/>
      <c r="E7" s="352"/>
      <c r="F7" s="352"/>
      <c r="G7" s="352"/>
      <c r="H7" s="352"/>
      <c r="I7" s="353"/>
    </row>
    <row r="8" spans="1:9" s="3" customFormat="1" ht="22.2" customHeight="1" x14ac:dyDescent="0.25">
      <c r="A8" s="244"/>
      <c r="B8" s="246"/>
      <c r="C8" s="354"/>
      <c r="D8" s="355"/>
      <c r="E8" s="355"/>
      <c r="F8" s="355"/>
      <c r="G8" s="355"/>
      <c r="H8" s="355"/>
      <c r="I8" s="356"/>
    </row>
    <row r="9" spans="1:9" s="3" customFormat="1" ht="15.75" customHeight="1" x14ac:dyDescent="0.25">
      <c r="A9" s="351" t="s">
        <v>290</v>
      </c>
      <c r="B9" s="240"/>
      <c r="C9" s="351" t="s">
        <v>291</v>
      </c>
      <c r="D9" s="239"/>
      <c r="E9" s="239"/>
      <c r="F9" s="239"/>
      <c r="G9" s="239"/>
      <c r="H9" s="239"/>
      <c r="I9" s="240"/>
    </row>
    <row r="10" spans="1:9" s="3" customFormat="1" ht="15.75" customHeight="1" x14ac:dyDescent="0.25">
      <c r="A10" s="244"/>
      <c r="B10" s="246"/>
      <c r="C10" s="244"/>
      <c r="D10" s="245"/>
      <c r="E10" s="245"/>
      <c r="F10" s="245"/>
      <c r="G10" s="245"/>
      <c r="H10" s="245"/>
      <c r="I10" s="246"/>
    </row>
    <row r="11" spans="1:9" s="3" customFormat="1" ht="13.8" x14ac:dyDescent="0.25"/>
    <row r="12" spans="1:9" s="46" customFormat="1" ht="33.75" customHeight="1" x14ac:dyDescent="0.3">
      <c r="A12" s="337" t="s">
        <v>292</v>
      </c>
      <c r="B12" s="338"/>
      <c r="C12" s="338"/>
      <c r="D12" s="338"/>
      <c r="E12" s="338"/>
      <c r="F12" s="338"/>
      <c r="G12" s="338"/>
      <c r="H12" s="338"/>
      <c r="I12" s="339"/>
    </row>
    <row r="13" spans="1:9" ht="15.75" customHeight="1" x14ac:dyDescent="0.25">
      <c r="A13" s="348" t="s">
        <v>54</v>
      </c>
      <c r="B13" s="350"/>
      <c r="C13" s="348" t="s">
        <v>287</v>
      </c>
      <c r="D13" s="349"/>
      <c r="E13" s="349"/>
      <c r="F13" s="349"/>
      <c r="G13" s="349"/>
      <c r="H13" s="349"/>
      <c r="I13" s="350"/>
    </row>
    <row r="14" spans="1:9" ht="22.2" customHeight="1" x14ac:dyDescent="0.25">
      <c r="A14" s="351" t="s">
        <v>288</v>
      </c>
      <c r="B14" s="240"/>
      <c r="C14" s="225" t="s">
        <v>289</v>
      </c>
      <c r="D14" s="352"/>
      <c r="E14" s="352"/>
      <c r="F14" s="352"/>
      <c r="G14" s="352"/>
      <c r="H14" s="352"/>
      <c r="I14" s="353"/>
    </row>
    <row r="15" spans="1:9" ht="22.2" customHeight="1" x14ac:dyDescent="0.25">
      <c r="A15" s="244"/>
      <c r="B15" s="246"/>
      <c r="C15" s="354"/>
      <c r="D15" s="355"/>
      <c r="E15" s="355"/>
      <c r="F15" s="355"/>
      <c r="G15" s="355"/>
      <c r="H15" s="355"/>
      <c r="I15" s="356"/>
    </row>
    <row r="16" spans="1:9" ht="15.75" customHeight="1" x14ac:dyDescent="0.25">
      <c r="A16" s="351" t="s">
        <v>290</v>
      </c>
      <c r="B16" s="240"/>
      <c r="C16" s="351" t="s">
        <v>291</v>
      </c>
      <c r="D16" s="239"/>
      <c r="E16" s="239"/>
      <c r="F16" s="239"/>
      <c r="G16" s="239"/>
      <c r="H16" s="239"/>
      <c r="I16" s="240"/>
    </row>
    <row r="17" spans="1:9" ht="15.75" customHeight="1" x14ac:dyDescent="0.25">
      <c r="A17" s="244"/>
      <c r="B17" s="246"/>
      <c r="C17" s="244"/>
      <c r="D17" s="245"/>
      <c r="E17" s="245"/>
      <c r="F17" s="245"/>
      <c r="G17" s="245"/>
      <c r="H17" s="245"/>
      <c r="I17" s="246"/>
    </row>
    <row r="18" spans="1:9" ht="15.6" x14ac:dyDescent="0.3">
      <c r="A18" s="1"/>
      <c r="B18" s="91"/>
      <c r="C18" s="91"/>
      <c r="D18" s="91"/>
      <c r="E18" s="91"/>
      <c r="F18" s="91"/>
      <c r="G18" s="91"/>
      <c r="H18" s="91"/>
      <c r="I18" s="91"/>
    </row>
    <row r="19" spans="1:9" ht="36.75" customHeight="1" x14ac:dyDescent="0.25">
      <c r="A19" s="337" t="s">
        <v>293</v>
      </c>
      <c r="B19" s="338"/>
      <c r="C19" s="338"/>
      <c r="D19" s="338"/>
      <c r="E19" s="338"/>
      <c r="F19" s="338"/>
      <c r="G19" s="338"/>
      <c r="H19" s="338"/>
      <c r="I19" s="339"/>
    </row>
    <row r="56" spans="6:6" x14ac:dyDescent="0.25">
      <c r="F56" s="3"/>
    </row>
  </sheetData>
  <mergeCells count="15">
    <mergeCell ref="A5:I5"/>
    <mergeCell ref="A19:I19"/>
    <mergeCell ref="A14:B15"/>
    <mergeCell ref="C14:I15"/>
    <mergeCell ref="A16:B17"/>
    <mergeCell ref="C16:I17"/>
    <mergeCell ref="A13:B13"/>
    <mergeCell ref="C13:I13"/>
    <mergeCell ref="A6:B6"/>
    <mergeCell ref="C6:I6"/>
    <mergeCell ref="A7:B8"/>
    <mergeCell ref="C7:I8"/>
    <mergeCell ref="A9:B10"/>
    <mergeCell ref="C9:I10"/>
    <mergeCell ref="A12:I12"/>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4AC9A-82C3-4C46-9E2A-F45D5BFD75B0}">
  <sheetPr>
    <tabColor rgb="FF00B050"/>
  </sheetPr>
  <dimension ref="A1:O24"/>
  <sheetViews>
    <sheetView topLeftCell="A19" workbookViewId="0">
      <selection activeCell="B20" sqref="B20:C20"/>
    </sheetView>
  </sheetViews>
  <sheetFormatPr defaultColWidth="8.88671875" defaultRowHeight="15" x14ac:dyDescent="0.25"/>
  <cols>
    <col min="1" max="1" width="36.6640625" style="91" customWidth="1"/>
    <col min="2" max="2" width="17.6640625" style="91" customWidth="1"/>
    <col min="3" max="3" width="37.33203125" style="91" customWidth="1"/>
    <col min="4" max="14" width="8.88671875" style="91"/>
    <col min="15" max="15" width="9" style="91" customWidth="1"/>
    <col min="16" max="16384" width="8.88671875" style="91"/>
  </cols>
  <sheetData>
    <row r="1" spans="1:15" x14ac:dyDescent="0.25">
      <c r="A1" s="91" t="str">
        <f>+'[1]Cover Page'!$B$29</f>
        <v>Annual Performance Report 2022</v>
      </c>
      <c r="C1" s="91">
        <f>+'[1]Cover Page'!$B$33</f>
        <v>0</v>
      </c>
    </row>
    <row r="2" spans="1:15" ht="10.199999999999999" customHeight="1" x14ac:dyDescent="0.25"/>
    <row r="3" spans="1:15" ht="15.6" x14ac:dyDescent="0.3">
      <c r="A3" s="1" t="s">
        <v>294</v>
      </c>
      <c r="E3" s="80" t="s">
        <v>3</v>
      </c>
    </row>
    <row r="4" spans="1:15" ht="9.4499999999999993" customHeight="1" x14ac:dyDescent="0.25"/>
    <row r="5" spans="1:15" x14ac:dyDescent="0.25">
      <c r="A5" s="357" t="s">
        <v>295</v>
      </c>
      <c r="B5" s="358"/>
      <c r="C5" s="358"/>
    </row>
    <row r="6" spans="1:15" ht="30" x14ac:dyDescent="0.25">
      <c r="A6" s="92" t="s">
        <v>296</v>
      </c>
      <c r="B6" s="96" t="s">
        <v>297</v>
      </c>
      <c r="C6" s="95"/>
    </row>
    <row r="7" spans="1:15" ht="30" x14ac:dyDescent="0.25">
      <c r="A7" s="92" t="s">
        <v>298</v>
      </c>
      <c r="B7" s="96" t="s">
        <v>299</v>
      </c>
      <c r="C7" s="95"/>
    </row>
    <row r="8" spans="1:15" ht="45" x14ac:dyDescent="0.25">
      <c r="A8" s="92" t="s">
        <v>300</v>
      </c>
      <c r="B8" s="96" t="s">
        <v>301</v>
      </c>
      <c r="C8" s="95"/>
    </row>
    <row r="9" spans="1:15" ht="89.4" customHeight="1" x14ac:dyDescent="0.3">
      <c r="A9" s="92" t="s">
        <v>302</v>
      </c>
      <c r="B9" s="359" t="s">
        <v>303</v>
      </c>
      <c r="C9" s="360"/>
      <c r="E9" s="361" t="s">
        <v>304</v>
      </c>
      <c r="F9" s="362"/>
      <c r="G9" s="362"/>
      <c r="H9" s="362"/>
      <c r="I9" s="362"/>
      <c r="J9" s="362"/>
      <c r="K9" s="362"/>
      <c r="L9" s="362"/>
      <c r="M9" s="362"/>
      <c r="N9" s="362"/>
      <c r="O9" s="362"/>
    </row>
    <row r="10" spans="1:15" ht="8.6999999999999993" customHeight="1" x14ac:dyDescent="0.25">
      <c r="A10" s="93"/>
      <c r="B10" s="94"/>
      <c r="C10" s="94"/>
    </row>
    <row r="11" spans="1:15" x14ac:dyDescent="0.25">
      <c r="A11" s="363" t="s">
        <v>305</v>
      </c>
      <c r="B11" s="358"/>
      <c r="C11" s="358"/>
    </row>
    <row r="12" spans="1:15" ht="33.450000000000003" customHeight="1" x14ac:dyDescent="0.25">
      <c r="A12" s="92" t="s">
        <v>306</v>
      </c>
      <c r="B12" s="96" t="s">
        <v>307</v>
      </c>
      <c r="C12" s="95"/>
    </row>
    <row r="13" spans="1:15" ht="101.4" customHeight="1" x14ac:dyDescent="0.3">
      <c r="A13" s="92" t="s">
        <v>308</v>
      </c>
      <c r="B13" s="359" t="s">
        <v>303</v>
      </c>
      <c r="C13" s="360"/>
      <c r="E13" s="234" t="s">
        <v>309</v>
      </c>
      <c r="F13" s="362"/>
      <c r="G13" s="362"/>
      <c r="H13" s="362"/>
      <c r="I13" s="362"/>
      <c r="J13" s="362"/>
      <c r="K13" s="362"/>
      <c r="L13" s="362"/>
      <c r="M13" s="362"/>
      <c r="N13" s="362"/>
      <c r="O13" s="362"/>
    </row>
    <row r="14" spans="1:15" ht="58.95" customHeight="1" x14ac:dyDescent="0.25">
      <c r="A14" s="92" t="s">
        <v>310</v>
      </c>
      <c r="B14" s="97" t="s">
        <v>311</v>
      </c>
      <c r="C14" s="95"/>
    </row>
    <row r="15" spans="1:15" ht="6.45" customHeight="1" x14ac:dyDescent="0.25">
      <c r="A15" s="93"/>
      <c r="B15" s="94"/>
      <c r="C15" s="94"/>
    </row>
    <row r="16" spans="1:15" ht="39" customHeight="1" x14ac:dyDescent="0.25">
      <c r="A16" s="357" t="s">
        <v>312</v>
      </c>
      <c r="B16" s="358"/>
      <c r="C16" s="358"/>
    </row>
    <row r="17" spans="1:15" ht="49.2" customHeight="1" x14ac:dyDescent="0.25">
      <c r="A17" s="92" t="s">
        <v>313</v>
      </c>
      <c r="B17" s="138">
        <v>0.42799999999999999</v>
      </c>
      <c r="C17" s="95"/>
    </row>
    <row r="18" spans="1:15" ht="103.2" customHeight="1" x14ac:dyDescent="0.3">
      <c r="A18" s="92" t="s">
        <v>314</v>
      </c>
      <c r="B18" s="364" t="s">
        <v>315</v>
      </c>
      <c r="C18" s="365"/>
      <c r="E18" s="234" t="s">
        <v>316</v>
      </c>
      <c r="F18" s="362"/>
      <c r="G18" s="362"/>
      <c r="H18" s="362"/>
      <c r="I18" s="362"/>
      <c r="J18" s="362"/>
      <c r="K18" s="362"/>
      <c r="L18" s="362"/>
      <c r="M18" s="362"/>
      <c r="N18" s="362"/>
      <c r="O18" s="362"/>
    </row>
    <row r="19" spans="1:15" ht="34.200000000000003" customHeight="1" x14ac:dyDescent="0.25">
      <c r="A19" s="92" t="s">
        <v>317</v>
      </c>
      <c r="B19" s="138">
        <v>0.42</v>
      </c>
      <c r="C19" s="95"/>
    </row>
    <row r="20" spans="1:15" ht="92.4" customHeight="1" x14ac:dyDescent="0.3">
      <c r="A20" s="92" t="s">
        <v>318</v>
      </c>
      <c r="B20" s="364" t="s">
        <v>315</v>
      </c>
      <c r="C20" s="365"/>
      <c r="E20" s="234" t="s">
        <v>319</v>
      </c>
      <c r="F20" s="362"/>
      <c r="G20" s="362"/>
      <c r="H20" s="362"/>
      <c r="I20" s="362"/>
      <c r="J20" s="362"/>
      <c r="K20" s="362"/>
      <c r="L20" s="362"/>
      <c r="M20" s="362"/>
      <c r="N20" s="362"/>
      <c r="O20" s="362"/>
    </row>
    <row r="21" spans="1:15" ht="10.199999999999999" customHeight="1" x14ac:dyDescent="0.25"/>
    <row r="22" spans="1:15" x14ac:dyDescent="0.25">
      <c r="A22" s="91" t="s">
        <v>320</v>
      </c>
    </row>
    <row r="23" spans="1:15" x14ac:dyDescent="0.25">
      <c r="A23" s="303"/>
      <c r="B23" s="303"/>
      <c r="C23" s="303"/>
    </row>
    <row r="24" spans="1:15" ht="64.95" customHeight="1" x14ac:dyDescent="0.25">
      <c r="A24" s="303"/>
      <c r="B24" s="303"/>
      <c r="C24" s="303"/>
    </row>
  </sheetData>
  <mergeCells count="12">
    <mergeCell ref="A23:C24"/>
    <mergeCell ref="A5:C5"/>
    <mergeCell ref="B9:C9"/>
    <mergeCell ref="E9:O9"/>
    <mergeCell ref="A11:C11"/>
    <mergeCell ref="B13:C13"/>
    <mergeCell ref="E13:O13"/>
    <mergeCell ref="A16:C16"/>
    <mergeCell ref="B18:C18"/>
    <mergeCell ref="E18:O18"/>
    <mergeCell ref="B20:C20"/>
    <mergeCell ref="E20:O2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50177" r:id="rId4">
          <objectPr defaultSize="0" autoPict="0" r:id="rId5">
            <anchor moveWithCells="1">
              <from>
                <xdr:col>6</xdr:col>
                <xdr:colOff>60960</xdr:colOff>
                <xdr:row>1</xdr:row>
                <xdr:rowOff>38100</xdr:rowOff>
              </from>
              <to>
                <xdr:col>8</xdr:col>
                <xdr:colOff>365760</xdr:colOff>
                <xdr:row>7</xdr:row>
                <xdr:rowOff>327660</xdr:rowOff>
              </to>
            </anchor>
          </objectPr>
        </oleObject>
      </mc:Choice>
      <mc:Fallback>
        <oleObject progId="Acrobat Document" dvAspect="DVASPECT_ICON" shapeId="50177"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48"/>
  <sheetViews>
    <sheetView workbookViewId="0">
      <selection activeCell="A2" sqref="A2"/>
    </sheetView>
  </sheetViews>
  <sheetFormatPr defaultColWidth="9.33203125" defaultRowHeight="15" x14ac:dyDescent="0.25"/>
  <cols>
    <col min="1" max="1" width="9.33203125" style="2" customWidth="1"/>
    <col min="2" max="2" width="14.5546875" style="2" bestFit="1" customWidth="1"/>
    <col min="3" max="3" width="9.33203125" style="2"/>
    <col min="4" max="4" width="17.5546875" style="2" customWidth="1"/>
    <col min="5" max="5" width="9.33203125" style="2" customWidth="1"/>
    <col min="6" max="6" width="21.5546875" style="2" customWidth="1"/>
    <col min="7" max="7" width="10.44140625" style="2" customWidth="1"/>
    <col min="8" max="16384" width="9.33203125" style="2"/>
  </cols>
  <sheetData>
    <row r="1" spans="1:7" x14ac:dyDescent="0.25">
      <c r="A1" s="91" t="str">
        <f>+'Cover Page'!$B$29</f>
        <v>Annual Performance Report 2022</v>
      </c>
      <c r="B1" s="91"/>
      <c r="C1" s="91"/>
      <c r="D1" s="91"/>
      <c r="E1" s="91" t="str">
        <f>+'Cover Page'!$B$33</f>
        <v>Kemsley Generating Station</v>
      </c>
      <c r="F1" s="91"/>
      <c r="G1" s="91"/>
    </row>
    <row r="3" spans="1:7" ht="15.6" x14ac:dyDescent="0.3">
      <c r="A3" s="1" t="s">
        <v>321</v>
      </c>
      <c r="B3" s="91"/>
      <c r="C3" s="91"/>
      <c r="D3" s="91"/>
      <c r="E3" s="91"/>
      <c r="F3" s="91"/>
      <c r="G3" s="91"/>
    </row>
    <row r="4" spans="1:7" ht="15.6" x14ac:dyDescent="0.3">
      <c r="A4" s="1"/>
      <c r="B4" s="91"/>
      <c r="C4" s="91"/>
      <c r="D4" s="91"/>
      <c r="E4" s="91"/>
      <c r="F4" s="91"/>
      <c r="G4" s="91"/>
    </row>
    <row r="5" spans="1:7" s="3" customFormat="1" ht="21.75" customHeight="1" x14ac:dyDescent="0.25">
      <c r="A5" s="47" t="s">
        <v>322</v>
      </c>
      <c r="B5" s="48"/>
      <c r="C5" s="48"/>
      <c r="D5" s="48"/>
      <c r="E5" s="48"/>
      <c r="F5" s="48"/>
      <c r="G5" s="49"/>
    </row>
    <row r="6" spans="1:7" s="3" customFormat="1" ht="22.95" customHeight="1" x14ac:dyDescent="0.25">
      <c r="A6" s="216" t="s">
        <v>323</v>
      </c>
      <c r="B6" s="239"/>
      <c r="C6" s="239"/>
      <c r="D6" s="239"/>
      <c r="E6" s="239"/>
      <c r="F6" s="239"/>
      <c r="G6" s="240"/>
    </row>
    <row r="7" spans="1:7" s="3" customFormat="1" ht="22.95" customHeight="1" x14ac:dyDescent="0.25">
      <c r="A7" s="241"/>
      <c r="B7" s="242"/>
      <c r="C7" s="242"/>
      <c r="D7" s="242"/>
      <c r="E7" s="242"/>
      <c r="F7" s="242"/>
      <c r="G7" s="243"/>
    </row>
    <row r="8" spans="1:7" s="3" customFormat="1" ht="22.95" customHeight="1" x14ac:dyDescent="0.25">
      <c r="A8" s="241"/>
      <c r="B8" s="242"/>
      <c r="C8" s="242"/>
      <c r="D8" s="242"/>
      <c r="E8" s="242"/>
      <c r="F8" s="242"/>
      <c r="G8" s="243"/>
    </row>
    <row r="9" spans="1:7" s="3" customFormat="1" ht="22.95" customHeight="1" x14ac:dyDescent="0.25">
      <c r="A9" s="241"/>
      <c r="B9" s="242"/>
      <c r="C9" s="242"/>
      <c r="D9" s="242"/>
      <c r="E9" s="242"/>
      <c r="F9" s="242"/>
      <c r="G9" s="243"/>
    </row>
    <row r="10" spans="1:7" s="3" customFormat="1" ht="22.95" customHeight="1" x14ac:dyDescent="0.25">
      <c r="A10" s="241"/>
      <c r="B10" s="242"/>
      <c r="C10" s="242"/>
      <c r="D10" s="242"/>
      <c r="E10" s="242"/>
      <c r="F10" s="242"/>
      <c r="G10" s="243"/>
    </row>
    <row r="11" spans="1:7" s="3" customFormat="1" ht="22.95" customHeight="1" x14ac:dyDescent="0.25">
      <c r="A11" s="244"/>
      <c r="B11" s="245"/>
      <c r="C11" s="245"/>
      <c r="D11" s="245"/>
      <c r="E11" s="245"/>
      <c r="F11" s="245"/>
      <c r="G11" s="246"/>
    </row>
    <row r="12" spans="1:7" s="3" customFormat="1" ht="13.8" x14ac:dyDescent="0.25"/>
    <row r="13" spans="1:7" s="46" customFormat="1" ht="33.75" customHeight="1" x14ac:dyDescent="0.3">
      <c r="A13" s="337" t="s">
        <v>324</v>
      </c>
      <c r="B13" s="338"/>
      <c r="C13" s="338"/>
      <c r="D13" s="338"/>
      <c r="E13" s="338"/>
      <c r="F13" s="338"/>
      <c r="G13" s="339"/>
    </row>
    <row r="14" spans="1:7" ht="15.75" customHeight="1" x14ac:dyDescent="0.25">
      <c r="A14" s="348" t="s">
        <v>325</v>
      </c>
      <c r="B14" s="350"/>
      <c r="C14" s="348" t="s">
        <v>287</v>
      </c>
      <c r="D14" s="349"/>
      <c r="E14" s="349"/>
      <c r="F14" s="349"/>
      <c r="G14" s="349"/>
    </row>
    <row r="15" spans="1:7" ht="15.75" customHeight="1" x14ac:dyDescent="0.25">
      <c r="A15" s="369" t="s">
        <v>326</v>
      </c>
      <c r="B15" s="370"/>
      <c r="C15" s="373" t="s">
        <v>327</v>
      </c>
      <c r="D15" s="374"/>
      <c r="E15" s="374"/>
      <c r="F15" s="374"/>
      <c r="G15" s="375"/>
    </row>
    <row r="16" spans="1:7" ht="15.75" customHeight="1" x14ac:dyDescent="0.25">
      <c r="A16" s="371"/>
      <c r="B16" s="372"/>
      <c r="C16" s="376"/>
      <c r="D16" s="376"/>
      <c r="E16" s="376"/>
      <c r="F16" s="376"/>
      <c r="G16" s="372"/>
    </row>
    <row r="18" spans="1:11" x14ac:dyDescent="0.25">
      <c r="A18" s="108"/>
      <c r="B18" s="108"/>
      <c r="C18" s="108"/>
      <c r="D18" s="108"/>
      <c r="E18" s="108"/>
      <c r="F18" s="108"/>
      <c r="G18" s="108"/>
      <c r="H18" s="91"/>
      <c r="I18" s="91"/>
      <c r="J18" s="91"/>
      <c r="K18" s="91"/>
    </row>
    <row r="19" spans="1:11" s="55" customFormat="1" ht="16.5" customHeight="1" x14ac:dyDescent="0.25">
      <c r="A19" s="368" t="s">
        <v>328</v>
      </c>
      <c r="B19" s="368"/>
      <c r="C19" s="368"/>
      <c r="D19" s="368"/>
      <c r="E19" s="368"/>
      <c r="F19" s="368"/>
      <c r="G19" s="368"/>
    </row>
    <row r="20" spans="1:11" s="12" customFormat="1" ht="17.25" customHeight="1" x14ac:dyDescent="0.25">
      <c r="A20" s="378" t="s">
        <v>329</v>
      </c>
      <c r="B20" s="378"/>
      <c r="C20" s="324" t="s">
        <v>330</v>
      </c>
      <c r="D20" s="324" t="s">
        <v>331</v>
      </c>
      <c r="E20" s="324"/>
      <c r="F20" s="324"/>
      <c r="G20" s="324"/>
      <c r="H20" s="108"/>
      <c r="I20" s="108"/>
      <c r="J20" s="108"/>
      <c r="K20" s="108"/>
    </row>
    <row r="21" spans="1:11" s="12" customFormat="1" ht="17.25" customHeight="1" x14ac:dyDescent="0.25">
      <c r="A21" s="378"/>
      <c r="B21" s="378"/>
      <c r="C21" s="324"/>
      <c r="D21" s="324" t="s">
        <v>332</v>
      </c>
      <c r="E21" s="324"/>
      <c r="F21" s="324" t="s">
        <v>333</v>
      </c>
      <c r="G21" s="324"/>
      <c r="H21" s="108"/>
      <c r="I21" s="108"/>
      <c r="J21" s="108"/>
      <c r="K21" s="108"/>
    </row>
    <row r="22" spans="1:11" s="37" customFormat="1" ht="38.1" customHeight="1" x14ac:dyDescent="0.25">
      <c r="A22" s="294" t="s">
        <v>334</v>
      </c>
      <c r="B22" s="294"/>
      <c r="C22" s="183" t="s">
        <v>335</v>
      </c>
      <c r="D22" s="300" t="s">
        <v>336</v>
      </c>
      <c r="E22" s="300"/>
      <c r="F22" s="379"/>
      <c r="G22" s="380"/>
      <c r="H22" s="152"/>
      <c r="I22" s="152"/>
      <c r="J22" s="108"/>
      <c r="K22" s="108"/>
    </row>
    <row r="23" spans="1:11" s="37" customFormat="1" ht="37.950000000000003" customHeight="1" x14ac:dyDescent="0.25">
      <c r="A23" s="294" t="s">
        <v>337</v>
      </c>
      <c r="B23" s="294"/>
      <c r="C23" s="142" t="s">
        <v>338</v>
      </c>
      <c r="D23" s="300" t="s">
        <v>339</v>
      </c>
      <c r="E23" s="300"/>
      <c r="F23" s="379"/>
      <c r="G23" s="380"/>
      <c r="H23" s="152"/>
      <c r="I23" s="152"/>
      <c r="J23" s="108"/>
      <c r="K23" s="108"/>
    </row>
    <row r="24" spans="1:11" s="37" customFormat="1" ht="38.1" customHeight="1" x14ac:dyDescent="0.3">
      <c r="A24" s="294" t="s">
        <v>340</v>
      </c>
      <c r="B24" s="294"/>
      <c r="C24" s="142" t="s">
        <v>341</v>
      </c>
      <c r="D24" s="366">
        <v>24</v>
      </c>
      <c r="E24" s="367"/>
      <c r="F24" s="366">
        <v>4</v>
      </c>
      <c r="G24" s="367"/>
      <c r="H24" s="152"/>
      <c r="I24" s="152"/>
      <c r="J24" s="152"/>
      <c r="K24" s="152"/>
    </row>
    <row r="25" spans="1:11" s="37" customFormat="1" ht="38.1" customHeight="1" x14ac:dyDescent="0.3">
      <c r="A25" s="294" t="s">
        <v>342</v>
      </c>
      <c r="B25" s="294"/>
      <c r="C25" s="142" t="s">
        <v>341</v>
      </c>
      <c r="D25" s="366">
        <v>0</v>
      </c>
      <c r="E25" s="367"/>
      <c r="F25" s="379"/>
      <c r="G25" s="380"/>
      <c r="H25" s="152"/>
      <c r="I25" s="152"/>
      <c r="J25" s="152"/>
      <c r="K25" s="152"/>
    </row>
    <row r="27" spans="1:11" x14ac:dyDescent="0.25">
      <c r="A27" s="283" t="s">
        <v>343</v>
      </c>
      <c r="B27" s="283"/>
      <c r="C27" s="283"/>
      <c r="D27" s="283"/>
      <c r="E27" s="283"/>
      <c r="F27" s="283"/>
      <c r="G27" s="283"/>
      <c r="H27" s="91"/>
      <c r="I27" s="91"/>
      <c r="J27" s="91"/>
      <c r="K27" s="91"/>
    </row>
    <row r="28" spans="1:11" x14ac:dyDescent="0.25">
      <c r="A28" s="284" t="s">
        <v>344</v>
      </c>
      <c r="B28" s="377"/>
      <c r="C28" s="377"/>
      <c r="D28" s="377"/>
      <c r="E28" s="377"/>
      <c r="F28" s="377"/>
      <c r="G28" s="377"/>
      <c r="H28" s="91"/>
      <c r="I28" s="91"/>
      <c r="J28" s="91"/>
      <c r="K28" s="91"/>
    </row>
    <row r="29" spans="1:11" x14ac:dyDescent="0.25">
      <c r="A29" s="377"/>
      <c r="B29" s="377"/>
      <c r="C29" s="377"/>
      <c r="D29" s="377"/>
      <c r="E29" s="377"/>
      <c r="F29" s="377"/>
      <c r="G29" s="377"/>
      <c r="H29" s="91"/>
      <c r="I29" s="91"/>
      <c r="J29" s="91"/>
      <c r="K29" s="91"/>
    </row>
    <row r="30" spans="1:11" x14ac:dyDescent="0.25">
      <c r="A30" s="377"/>
      <c r="B30" s="377"/>
      <c r="C30" s="377"/>
      <c r="D30" s="377"/>
      <c r="E30" s="377"/>
      <c r="F30" s="377"/>
      <c r="G30" s="377"/>
      <c r="H30" s="91"/>
      <c r="I30" s="91"/>
      <c r="J30" s="91"/>
      <c r="K30" s="91"/>
    </row>
    <row r="31" spans="1:11" x14ac:dyDescent="0.25">
      <c r="A31" s="377"/>
      <c r="B31" s="377"/>
      <c r="C31" s="377"/>
      <c r="D31" s="377"/>
      <c r="E31" s="377"/>
      <c r="F31" s="377"/>
      <c r="G31" s="377"/>
      <c r="H31" s="91"/>
      <c r="I31" s="91"/>
      <c r="J31" s="91"/>
      <c r="K31" s="91"/>
    </row>
    <row r="32" spans="1:11" x14ac:dyDescent="0.25">
      <c r="A32" s="377"/>
      <c r="B32" s="377"/>
      <c r="C32" s="377"/>
      <c r="D32" s="377"/>
      <c r="E32" s="377"/>
      <c r="F32" s="377"/>
      <c r="G32" s="377"/>
      <c r="H32" s="91"/>
      <c r="I32" s="91"/>
      <c r="J32" s="91"/>
      <c r="K32" s="91"/>
    </row>
    <row r="33" spans="1:7" x14ac:dyDescent="0.25">
      <c r="A33" s="377"/>
      <c r="B33" s="377"/>
      <c r="C33" s="377"/>
      <c r="D33" s="377"/>
      <c r="E33" s="377"/>
      <c r="F33" s="377"/>
      <c r="G33" s="377"/>
    </row>
    <row r="48" spans="1:7" x14ac:dyDescent="0.25">
      <c r="A48" s="91"/>
      <c r="B48" s="91"/>
      <c r="C48" s="91"/>
      <c r="D48" s="91"/>
      <c r="E48" s="91"/>
      <c r="F48" s="3"/>
      <c r="G48" s="91"/>
    </row>
  </sheetData>
  <mergeCells count="26">
    <mergeCell ref="A28:G33"/>
    <mergeCell ref="D25:E25"/>
    <mergeCell ref="A27:G27"/>
    <mergeCell ref="A20:B21"/>
    <mergeCell ref="A22:B22"/>
    <mergeCell ref="A23:B23"/>
    <mergeCell ref="A24:B24"/>
    <mergeCell ref="A25:B25"/>
    <mergeCell ref="D22:E22"/>
    <mergeCell ref="D23:E23"/>
    <mergeCell ref="F22:G22"/>
    <mergeCell ref="F23:G23"/>
    <mergeCell ref="F24:G24"/>
    <mergeCell ref="F25:G25"/>
    <mergeCell ref="A6:G11"/>
    <mergeCell ref="D24:E24"/>
    <mergeCell ref="C20:C21"/>
    <mergeCell ref="D21:E21"/>
    <mergeCell ref="F21:G21"/>
    <mergeCell ref="D20:G20"/>
    <mergeCell ref="A19:G19"/>
    <mergeCell ref="A13:G13"/>
    <mergeCell ref="A14:B14"/>
    <mergeCell ref="C14:G14"/>
    <mergeCell ref="A15:B16"/>
    <mergeCell ref="C15:G16"/>
  </mergeCells>
  <phoneticPr fontId="24" type="noConversion"/>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58"/>
  <sheetViews>
    <sheetView workbookViewId="0">
      <selection activeCell="A2" sqref="A2"/>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1" t="str">
        <f>+'Cover Page'!$B$29</f>
        <v>Annual Performance Report 2022</v>
      </c>
      <c r="B1" s="91"/>
      <c r="C1" s="91"/>
      <c r="D1" s="91"/>
      <c r="E1" s="91" t="str">
        <f>+'Cover Page'!$B$33</f>
        <v>Kemsley Generating Station</v>
      </c>
      <c r="F1" s="91"/>
      <c r="G1" s="91"/>
      <c r="H1" s="91"/>
      <c r="I1" s="91"/>
    </row>
    <row r="3" spans="1:9" ht="15.6" x14ac:dyDescent="0.3">
      <c r="A3" s="1" t="s">
        <v>42</v>
      </c>
      <c r="B3" s="91"/>
      <c r="C3" s="91"/>
      <c r="D3" s="91"/>
      <c r="E3" s="91"/>
      <c r="F3" s="91"/>
      <c r="G3" s="91"/>
      <c r="H3" s="91"/>
      <c r="I3" s="91"/>
    </row>
    <row r="4" spans="1:9" ht="15.6" x14ac:dyDescent="0.3">
      <c r="A4" s="1"/>
      <c r="B4" s="91"/>
      <c r="C4" s="91"/>
      <c r="D4" s="91"/>
      <c r="E4" s="91"/>
      <c r="F4" s="91"/>
      <c r="G4" s="91"/>
      <c r="H4" s="91"/>
      <c r="I4" s="91"/>
    </row>
    <row r="5" spans="1:9" s="3" customFormat="1" ht="21.75" customHeight="1" x14ac:dyDescent="0.25">
      <c r="A5" s="47" t="s">
        <v>322</v>
      </c>
      <c r="B5" s="48"/>
      <c r="C5" s="48"/>
      <c r="D5" s="48"/>
      <c r="E5" s="48"/>
      <c r="F5" s="48"/>
      <c r="G5" s="48"/>
      <c r="H5" s="48"/>
      <c r="I5" s="49"/>
    </row>
    <row r="6" spans="1:9" s="3" customFormat="1" ht="41.4" customHeight="1" x14ac:dyDescent="0.25">
      <c r="A6" s="225" t="s">
        <v>345</v>
      </c>
      <c r="B6" s="352"/>
      <c r="C6" s="352"/>
      <c r="D6" s="352"/>
      <c r="E6" s="352"/>
      <c r="F6" s="352"/>
      <c r="G6" s="352"/>
      <c r="H6" s="352"/>
      <c r="I6" s="353"/>
    </row>
    <row r="7" spans="1:9" s="3" customFormat="1" ht="41.4" customHeight="1" x14ac:dyDescent="0.25">
      <c r="A7" s="354"/>
      <c r="B7" s="355"/>
      <c r="C7" s="355"/>
      <c r="D7" s="355"/>
      <c r="E7" s="355"/>
      <c r="F7" s="355"/>
      <c r="G7" s="355"/>
      <c r="H7" s="355"/>
      <c r="I7" s="356"/>
    </row>
    <row r="8" spans="1:9" s="3" customFormat="1" ht="13.8" x14ac:dyDescent="0.25"/>
    <row r="9" spans="1:9" s="46" customFormat="1" ht="33.75" customHeight="1" x14ac:dyDescent="0.3">
      <c r="A9" s="337" t="s">
        <v>324</v>
      </c>
      <c r="B9" s="338"/>
      <c r="C9" s="338"/>
      <c r="D9" s="338"/>
      <c r="E9" s="338"/>
      <c r="F9" s="338"/>
      <c r="G9" s="338"/>
      <c r="H9" s="338"/>
      <c r="I9" s="339"/>
    </row>
    <row r="10" spans="1:9" ht="15.75" customHeight="1" x14ac:dyDescent="0.25">
      <c r="A10" s="348" t="s">
        <v>325</v>
      </c>
      <c r="B10" s="350"/>
      <c r="C10" s="348" t="s">
        <v>287</v>
      </c>
      <c r="D10" s="349"/>
      <c r="E10" s="349"/>
      <c r="F10" s="349"/>
      <c r="G10" s="349"/>
      <c r="H10" s="349"/>
      <c r="I10" s="349"/>
    </row>
    <row r="11" spans="1:9" ht="15.75" customHeight="1" x14ac:dyDescent="0.25">
      <c r="A11" s="216" t="s">
        <v>98</v>
      </c>
      <c r="B11" s="218"/>
      <c r="C11" s="351" t="s">
        <v>346</v>
      </c>
      <c r="D11" s="239"/>
      <c r="E11" s="239"/>
      <c r="F11" s="239"/>
      <c r="G11" s="239"/>
      <c r="H11" s="239"/>
      <c r="I11" s="240"/>
    </row>
    <row r="12" spans="1:9" ht="15.75" customHeight="1" x14ac:dyDescent="0.25">
      <c r="A12" s="222"/>
      <c r="B12" s="224"/>
      <c r="C12" s="244"/>
      <c r="D12" s="245"/>
      <c r="E12" s="245"/>
      <c r="F12" s="245"/>
      <c r="G12" s="245"/>
      <c r="H12" s="245"/>
      <c r="I12" s="246"/>
    </row>
    <row r="14" spans="1:9" ht="22.5" customHeight="1" x14ac:dyDescent="0.25">
      <c r="A14" s="381" t="s">
        <v>347</v>
      </c>
      <c r="B14" s="382"/>
      <c r="C14" s="382"/>
      <c r="D14" s="382"/>
      <c r="E14" s="382"/>
      <c r="F14" s="382"/>
      <c r="G14" s="382"/>
      <c r="H14" s="382"/>
      <c r="I14" s="382"/>
    </row>
    <row r="15" spans="1:9" ht="19.5" customHeight="1" x14ac:dyDescent="0.25">
      <c r="A15" s="383" t="s">
        <v>133</v>
      </c>
      <c r="B15" s="384"/>
      <c r="C15" s="385"/>
      <c r="D15" s="386" t="s">
        <v>348</v>
      </c>
      <c r="E15" s="387"/>
      <c r="F15" s="53" t="s">
        <v>330</v>
      </c>
      <c r="G15" s="53" t="s">
        <v>349</v>
      </c>
      <c r="H15" s="53" t="s">
        <v>350</v>
      </c>
      <c r="I15" s="53" t="s">
        <v>351</v>
      </c>
    </row>
    <row r="16" spans="1:9" ht="15" customHeight="1" x14ac:dyDescent="0.25">
      <c r="A16" s="393" t="s">
        <v>352</v>
      </c>
      <c r="B16" s="394"/>
      <c r="C16" s="394"/>
      <c r="D16" s="394"/>
      <c r="E16" s="394"/>
      <c r="F16" s="394"/>
      <c r="G16" s="394"/>
      <c r="H16" s="394"/>
      <c r="I16" s="395"/>
    </row>
    <row r="17" spans="1:9" x14ac:dyDescent="0.25">
      <c r="A17" s="388"/>
      <c r="B17" s="389"/>
      <c r="C17" s="390"/>
      <c r="D17" s="391"/>
      <c r="E17" s="392"/>
      <c r="F17" s="121"/>
      <c r="G17" s="121"/>
      <c r="H17" s="121"/>
      <c r="I17" s="121"/>
    </row>
    <row r="18" spans="1:9" x14ac:dyDescent="0.25">
      <c r="A18" s="388"/>
      <c r="B18" s="389"/>
      <c r="C18" s="390"/>
      <c r="D18" s="391"/>
      <c r="E18" s="392"/>
      <c r="F18" s="121"/>
      <c r="G18" s="121"/>
      <c r="H18" s="121"/>
      <c r="I18" s="121"/>
    </row>
    <row r="19" spans="1:9" x14ac:dyDescent="0.25">
      <c r="A19" s="388"/>
      <c r="B19" s="389"/>
      <c r="C19" s="390"/>
      <c r="D19" s="391"/>
      <c r="E19" s="392"/>
      <c r="F19" s="121"/>
      <c r="G19" s="121"/>
      <c r="H19" s="121"/>
      <c r="I19" s="121"/>
    </row>
    <row r="20" spans="1:9" x14ac:dyDescent="0.25">
      <c r="A20" s="388"/>
      <c r="B20" s="389"/>
      <c r="C20" s="390"/>
      <c r="D20" s="391"/>
      <c r="E20" s="392"/>
      <c r="F20" s="121"/>
      <c r="G20" s="121"/>
      <c r="H20" s="121"/>
      <c r="I20" s="121"/>
    </row>
    <row r="21" spans="1:9" x14ac:dyDescent="0.25">
      <c r="A21" s="388"/>
      <c r="B21" s="389"/>
      <c r="C21" s="390"/>
      <c r="D21" s="391"/>
      <c r="E21" s="392"/>
      <c r="F21" s="121"/>
      <c r="G21" s="121"/>
      <c r="H21" s="121"/>
      <c r="I21" s="121"/>
    </row>
    <row r="22" spans="1:9" x14ac:dyDescent="0.25">
      <c r="A22" s="396"/>
      <c r="B22" s="396"/>
      <c r="C22" s="396"/>
      <c r="D22" s="391"/>
      <c r="E22" s="392"/>
      <c r="F22" s="121"/>
      <c r="G22" s="121"/>
      <c r="H22" s="121"/>
      <c r="I22" s="121"/>
    </row>
    <row r="23" spans="1:9" x14ac:dyDescent="0.25">
      <c r="A23" s="108"/>
      <c r="B23" s="108"/>
      <c r="C23" s="108"/>
      <c r="D23" s="108"/>
      <c r="E23" s="108"/>
      <c r="F23" s="108"/>
      <c r="G23" s="108"/>
      <c r="H23" s="108"/>
      <c r="I23" s="108"/>
    </row>
    <row r="24" spans="1:9" x14ac:dyDescent="0.25">
      <c r="A24" s="108"/>
      <c r="B24" s="108"/>
      <c r="C24" s="108"/>
      <c r="D24" s="108"/>
      <c r="E24" s="108"/>
      <c r="F24" s="108"/>
      <c r="G24" s="108"/>
      <c r="H24" s="108"/>
      <c r="I24" s="108"/>
    </row>
    <row r="25" spans="1:9" x14ac:dyDescent="0.25">
      <c r="A25" s="108"/>
      <c r="B25" s="108"/>
      <c r="C25" s="108"/>
      <c r="D25" s="108"/>
      <c r="E25" s="108"/>
      <c r="F25" s="108"/>
      <c r="G25" s="108"/>
      <c r="H25" s="108"/>
      <c r="I25" s="108"/>
    </row>
    <row r="58" spans="5:5" x14ac:dyDescent="0.25">
      <c r="E58" s="3"/>
    </row>
  </sheetData>
  <mergeCells count="22">
    <mergeCell ref="A18:C18"/>
    <mergeCell ref="D18:E18"/>
    <mergeCell ref="A16:I16"/>
    <mergeCell ref="A22:C22"/>
    <mergeCell ref="D22:E22"/>
    <mergeCell ref="A19:C19"/>
    <mergeCell ref="D19:E19"/>
    <mergeCell ref="A20:C20"/>
    <mergeCell ref="D20:E20"/>
    <mergeCell ref="A21:C21"/>
    <mergeCell ref="D21:E21"/>
    <mergeCell ref="A15:C15"/>
    <mergeCell ref="D15:E15"/>
    <mergeCell ref="A11:B12"/>
    <mergeCell ref="C11:I12"/>
    <mergeCell ref="A17:C17"/>
    <mergeCell ref="D17:E17"/>
    <mergeCell ref="A6:I7"/>
    <mergeCell ref="A9:I9"/>
    <mergeCell ref="A10:B10"/>
    <mergeCell ref="C10:I10"/>
    <mergeCell ref="A14:I14"/>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R64"/>
  <sheetViews>
    <sheetView workbookViewId="0">
      <selection activeCell="A2" sqref="A2"/>
    </sheetView>
  </sheetViews>
  <sheetFormatPr defaultColWidth="9.33203125" defaultRowHeight="15" x14ac:dyDescent="0.25"/>
  <cols>
    <col min="1" max="1" width="9.33203125" style="2" customWidth="1"/>
    <col min="2" max="2" width="14.5546875" style="2" bestFit="1" customWidth="1"/>
    <col min="3" max="5" width="9.33203125" style="2"/>
    <col min="6" max="9" width="9.33203125" style="2" customWidth="1"/>
    <col min="10" max="11" width="9.33203125" style="2"/>
    <col min="12" max="12" width="11.88671875" style="2" customWidth="1"/>
    <col min="13" max="16384" width="9.33203125" style="2"/>
  </cols>
  <sheetData>
    <row r="1" spans="1:18" x14ac:dyDescent="0.25">
      <c r="A1" s="91" t="str">
        <f>+'Cover Page'!$B$29</f>
        <v>Annual Performance Report 2022</v>
      </c>
      <c r="B1" s="91"/>
      <c r="C1" s="91"/>
      <c r="D1" s="91"/>
      <c r="E1" s="91" t="str">
        <f>+'Cover Page'!$B$33</f>
        <v>Kemsley Generating Station</v>
      </c>
      <c r="F1" s="91"/>
      <c r="G1" s="91"/>
      <c r="H1" s="91"/>
      <c r="I1" s="91"/>
      <c r="J1" s="91"/>
      <c r="K1" s="91"/>
      <c r="L1" s="91"/>
      <c r="M1" s="91"/>
      <c r="N1" s="91"/>
      <c r="O1" s="91"/>
      <c r="P1" s="91"/>
      <c r="Q1" s="91"/>
      <c r="R1" s="91"/>
    </row>
    <row r="2" spans="1:18" ht="7.5" customHeight="1" x14ac:dyDescent="0.25">
      <c r="A2" s="91"/>
      <c r="B2" s="91"/>
      <c r="C2" s="91"/>
      <c r="D2" s="91"/>
      <c r="E2" s="91"/>
      <c r="F2" s="91"/>
      <c r="G2" s="91"/>
      <c r="H2" s="91"/>
      <c r="I2" s="91"/>
      <c r="J2" s="91"/>
      <c r="K2" s="91"/>
      <c r="L2" s="91"/>
      <c r="M2" s="91"/>
      <c r="N2" s="91"/>
      <c r="O2" s="91"/>
      <c r="P2" s="91"/>
      <c r="Q2" s="91"/>
      <c r="R2" s="91"/>
    </row>
    <row r="3" spans="1:18" ht="15.6" x14ac:dyDescent="0.3">
      <c r="A3" s="1" t="s">
        <v>353</v>
      </c>
      <c r="B3" s="91"/>
      <c r="C3" s="91"/>
      <c r="D3" s="91"/>
      <c r="E3" s="91"/>
      <c r="F3" s="91"/>
      <c r="G3" s="91"/>
      <c r="H3" s="91"/>
      <c r="I3" s="91"/>
      <c r="J3" s="91"/>
      <c r="K3" s="91"/>
      <c r="L3" s="91"/>
      <c r="M3" s="91"/>
      <c r="N3" s="91"/>
      <c r="O3" s="91"/>
      <c r="P3" s="91"/>
      <c r="Q3" s="91"/>
      <c r="R3" s="91"/>
    </row>
    <row r="4" spans="1:18" ht="9.75" customHeight="1" x14ac:dyDescent="0.3">
      <c r="A4" s="1"/>
      <c r="B4" s="91"/>
      <c r="C4" s="91"/>
      <c r="D4" s="91"/>
      <c r="E4" s="91"/>
      <c r="F4" s="91"/>
      <c r="G4" s="91"/>
      <c r="H4" s="91"/>
      <c r="I4" s="91"/>
      <c r="J4" s="91"/>
      <c r="K4" s="91"/>
      <c r="L4" s="91"/>
      <c r="M4" s="91"/>
      <c r="N4" s="91"/>
      <c r="O4" s="91"/>
      <c r="P4" s="91"/>
      <c r="Q4" s="91"/>
      <c r="R4" s="91"/>
    </row>
    <row r="5" spans="1:18" s="3" customFormat="1" ht="21.75" customHeight="1" x14ac:dyDescent="0.3">
      <c r="A5" s="348" t="s">
        <v>354</v>
      </c>
      <c r="B5" s="349"/>
      <c r="C5" s="349"/>
      <c r="D5" s="349"/>
      <c r="E5" s="349"/>
      <c r="F5" s="349"/>
      <c r="G5" s="349"/>
      <c r="H5" s="349"/>
      <c r="I5" s="349"/>
      <c r="J5" s="349"/>
      <c r="K5" s="349"/>
      <c r="L5" s="350"/>
      <c r="O5" s="81" t="s">
        <v>3</v>
      </c>
    </row>
    <row r="6" spans="1:18" s="3" customFormat="1" ht="15.75" customHeight="1" x14ac:dyDescent="0.25">
      <c r="A6" s="225" t="s">
        <v>355</v>
      </c>
      <c r="B6" s="352"/>
      <c r="C6" s="352"/>
      <c r="D6" s="352"/>
      <c r="E6" s="352"/>
      <c r="F6" s="352"/>
      <c r="G6" s="352"/>
      <c r="H6" s="352"/>
      <c r="I6" s="352"/>
      <c r="J6" s="352"/>
      <c r="K6" s="352"/>
      <c r="L6" s="353"/>
      <c r="O6" s="397" t="s">
        <v>356</v>
      </c>
      <c r="P6" s="397"/>
      <c r="Q6" s="397"/>
      <c r="R6" s="397"/>
    </row>
    <row r="7" spans="1:18" s="3" customFormat="1" ht="15.75" customHeight="1" x14ac:dyDescent="0.25">
      <c r="A7" s="354"/>
      <c r="B7" s="355"/>
      <c r="C7" s="355"/>
      <c r="D7" s="355"/>
      <c r="E7" s="355"/>
      <c r="F7" s="355"/>
      <c r="G7" s="355"/>
      <c r="H7" s="355"/>
      <c r="I7" s="355"/>
      <c r="J7" s="355"/>
      <c r="K7" s="355"/>
      <c r="L7" s="356"/>
      <c r="O7" s="397"/>
      <c r="P7" s="397"/>
      <c r="Q7" s="397"/>
      <c r="R7" s="397"/>
    </row>
    <row r="8" spans="1:18" s="3" customFormat="1" ht="13.8" x14ac:dyDescent="0.25">
      <c r="O8" s="397"/>
      <c r="P8" s="397"/>
      <c r="Q8" s="397"/>
      <c r="R8" s="397"/>
    </row>
    <row r="9" spans="1:18" s="55" customFormat="1" ht="16.5" customHeight="1" x14ac:dyDescent="0.25">
      <c r="A9" s="368" t="s">
        <v>357</v>
      </c>
      <c r="B9" s="368"/>
      <c r="C9" s="368"/>
      <c r="D9" s="368"/>
      <c r="E9" s="368"/>
      <c r="F9" s="368"/>
      <c r="G9" s="368"/>
      <c r="H9" s="368"/>
      <c r="I9" s="368"/>
      <c r="J9" s="368"/>
      <c r="K9" s="368"/>
      <c r="L9" s="368"/>
      <c r="O9" s="397"/>
      <c r="P9" s="397"/>
      <c r="Q9" s="397"/>
      <c r="R9" s="397"/>
    </row>
    <row r="10" spans="1:18" s="55" customFormat="1" ht="16.5" customHeight="1" x14ac:dyDescent="0.25">
      <c r="A10" s="398" t="s">
        <v>239</v>
      </c>
      <c r="B10" s="399"/>
      <c r="C10" s="409" t="s">
        <v>358</v>
      </c>
      <c r="D10" s="405" t="s">
        <v>359</v>
      </c>
      <c r="E10" s="406"/>
      <c r="F10" s="402" t="s">
        <v>351</v>
      </c>
      <c r="G10" s="403"/>
      <c r="H10" s="403"/>
      <c r="I10" s="403"/>
      <c r="J10" s="403"/>
      <c r="K10" s="403"/>
      <c r="L10" s="404"/>
      <c r="O10" s="397" t="s">
        <v>360</v>
      </c>
      <c r="P10" s="397"/>
      <c r="Q10" s="397"/>
      <c r="R10" s="397"/>
    </row>
    <row r="11" spans="1:18" s="12" customFormat="1" ht="43.2" customHeight="1" x14ac:dyDescent="0.25">
      <c r="A11" s="400"/>
      <c r="B11" s="401"/>
      <c r="C11" s="410"/>
      <c r="D11" s="407"/>
      <c r="E11" s="408"/>
      <c r="F11" s="45" t="s">
        <v>361</v>
      </c>
      <c r="G11" s="45" t="s">
        <v>362</v>
      </c>
      <c r="H11" s="45" t="s">
        <v>363</v>
      </c>
      <c r="I11" s="45" t="s">
        <v>364</v>
      </c>
      <c r="J11" s="45" t="s">
        <v>365</v>
      </c>
      <c r="K11" s="45" t="s">
        <v>366</v>
      </c>
      <c r="L11" s="123" t="s">
        <v>367</v>
      </c>
      <c r="M11" s="108"/>
      <c r="N11" s="108"/>
      <c r="O11" s="397"/>
      <c r="P11" s="397"/>
      <c r="Q11" s="397"/>
      <c r="R11" s="397"/>
    </row>
    <row r="12" spans="1:18" s="12" customFormat="1" ht="23.25" customHeight="1" x14ac:dyDescent="0.25">
      <c r="A12" s="294" t="s">
        <v>251</v>
      </c>
      <c r="B12" s="294"/>
      <c r="C12" s="184" t="s">
        <v>368</v>
      </c>
      <c r="D12" s="299" t="s">
        <v>369</v>
      </c>
      <c r="E12" s="299"/>
      <c r="F12" s="121">
        <v>2.4E-2</v>
      </c>
      <c r="G12" s="121">
        <v>2.5999999999999999E-2</v>
      </c>
      <c r="H12" s="122">
        <f>AVERAGE(F12:G12)</f>
        <v>2.5000000000000001E-2</v>
      </c>
      <c r="I12" s="121">
        <v>2.5000000000000001E-2</v>
      </c>
      <c r="J12" s="121">
        <v>2.9000000000000001E-2</v>
      </c>
      <c r="K12" s="122">
        <f>AVERAGE(I12:J12)</f>
        <v>2.7000000000000003E-2</v>
      </c>
      <c r="L12" s="124">
        <f>AVERAGE(F12:G12,I12:J12)</f>
        <v>2.6000000000000002E-2</v>
      </c>
      <c r="M12" s="108"/>
      <c r="N12" s="108"/>
      <c r="O12" s="397"/>
      <c r="P12" s="397"/>
      <c r="Q12" s="397"/>
      <c r="R12" s="397"/>
    </row>
    <row r="13" spans="1:18" s="12" customFormat="1" ht="23.25" customHeight="1" x14ac:dyDescent="0.25">
      <c r="A13" s="294" t="s">
        <v>370</v>
      </c>
      <c r="B13" s="294"/>
      <c r="C13" s="184" t="s">
        <v>371</v>
      </c>
      <c r="D13" s="299" t="s">
        <v>372</v>
      </c>
      <c r="E13" s="299"/>
      <c r="F13" s="121">
        <v>8.4000000000000003E-4</v>
      </c>
      <c r="G13" s="121">
        <v>1E-3</v>
      </c>
      <c r="H13" s="122">
        <f t="shared" ref="H13:H38" si="0">AVERAGE(F13:G13)</f>
        <v>9.2000000000000003E-4</v>
      </c>
      <c r="I13" s="121">
        <v>6.6E-4</v>
      </c>
      <c r="J13" s="121">
        <v>9.2000000000000003E-4</v>
      </c>
      <c r="K13" s="122">
        <f t="shared" ref="K13:K38" si="1">AVERAGE(I13:J13)</f>
        <v>7.9000000000000001E-4</v>
      </c>
      <c r="L13" s="124">
        <f t="shared" ref="L13:L38" si="2">AVERAGE(F13:G13,I13:J13)</f>
        <v>8.5500000000000007E-4</v>
      </c>
      <c r="M13" s="108"/>
      <c r="N13" s="108"/>
      <c r="O13" s="108"/>
      <c r="P13" s="108"/>
      <c r="Q13" s="108"/>
      <c r="R13" s="108"/>
    </row>
    <row r="14" spans="1:18" s="12" customFormat="1" ht="23.25" customHeight="1" x14ac:dyDescent="0.25">
      <c r="A14" s="294" t="s">
        <v>373</v>
      </c>
      <c r="B14" s="294"/>
      <c r="C14" s="184" t="s">
        <v>371</v>
      </c>
      <c r="D14" s="299" t="s">
        <v>372</v>
      </c>
      <c r="E14" s="299"/>
      <c r="F14" s="121">
        <v>3.2000000000000001E-2</v>
      </c>
      <c r="G14" s="121">
        <v>4.7000000000000002E-3</v>
      </c>
      <c r="H14" s="122">
        <f t="shared" si="0"/>
        <v>1.8350000000000002E-2</v>
      </c>
      <c r="I14" s="121">
        <v>1.4E-3</v>
      </c>
      <c r="J14" s="121">
        <v>6.0999999999999997E-4</v>
      </c>
      <c r="K14" s="122">
        <f t="shared" si="1"/>
        <v>1.005E-3</v>
      </c>
      <c r="L14" s="124">
        <f t="shared" si="2"/>
        <v>9.6775000000000003E-3</v>
      </c>
      <c r="M14" s="108"/>
      <c r="N14" s="108"/>
      <c r="O14" s="108"/>
      <c r="P14" s="108"/>
      <c r="Q14" s="108"/>
      <c r="R14" s="108"/>
    </row>
    <row r="15" spans="1:18" s="12" customFormat="1" ht="23.25" customHeight="1" x14ac:dyDescent="0.25">
      <c r="A15" s="294" t="s">
        <v>374</v>
      </c>
      <c r="B15" s="294"/>
      <c r="C15" s="184" t="s">
        <v>371</v>
      </c>
      <c r="D15" s="299" t="s">
        <v>375</v>
      </c>
      <c r="E15" s="299"/>
      <c r="F15" s="121">
        <v>1.6E-2</v>
      </c>
      <c r="G15" s="121">
        <v>1.2E-2</v>
      </c>
      <c r="H15" s="122">
        <f t="shared" si="0"/>
        <v>1.4E-2</v>
      </c>
      <c r="I15" s="121">
        <v>2.4E-2</v>
      </c>
      <c r="J15" s="121">
        <v>6.3E-3</v>
      </c>
      <c r="K15" s="122">
        <f t="shared" si="1"/>
        <v>1.515E-2</v>
      </c>
      <c r="L15" s="124">
        <f t="shared" si="2"/>
        <v>1.4575000000000001E-2</v>
      </c>
      <c r="M15" s="108"/>
      <c r="N15" s="108"/>
      <c r="O15" s="108"/>
      <c r="P15" s="108"/>
      <c r="Q15" s="108"/>
      <c r="R15" s="108"/>
    </row>
    <row r="16" spans="1:18" s="12" customFormat="1" ht="23.25" customHeight="1" x14ac:dyDescent="0.25">
      <c r="A16" s="294" t="s">
        <v>376</v>
      </c>
      <c r="B16" s="294"/>
      <c r="C16" s="184" t="s">
        <v>371</v>
      </c>
      <c r="D16" s="299" t="s">
        <v>377</v>
      </c>
      <c r="E16" s="299"/>
      <c r="F16" s="121">
        <v>4.4999999999999999E-4</v>
      </c>
      <c r="G16" s="121">
        <v>5.0000000000000001E-3</v>
      </c>
      <c r="H16" s="122">
        <f t="shared" si="0"/>
        <v>2.725E-3</v>
      </c>
      <c r="I16" s="125">
        <v>8.5000000000000006E-3</v>
      </c>
      <c r="J16" s="121">
        <v>3.5000000000000001E-3</v>
      </c>
      <c r="K16" s="122">
        <f t="shared" si="1"/>
        <v>6.0000000000000001E-3</v>
      </c>
      <c r="L16" s="124">
        <f t="shared" si="2"/>
        <v>4.3625000000000001E-3</v>
      </c>
      <c r="M16" s="126" t="s">
        <v>378</v>
      </c>
      <c r="N16" s="108"/>
      <c r="O16" s="108"/>
      <c r="P16" s="108"/>
      <c r="Q16" s="108"/>
      <c r="R16" s="108"/>
    </row>
    <row r="17" spans="1:12" s="12" customFormat="1" ht="23.25" customHeight="1" x14ac:dyDescent="0.25">
      <c r="A17" s="294" t="s">
        <v>379</v>
      </c>
      <c r="B17" s="294"/>
      <c r="C17" s="184" t="s">
        <v>371</v>
      </c>
      <c r="D17" s="299" t="s">
        <v>380</v>
      </c>
      <c r="E17" s="299"/>
      <c r="F17" s="121">
        <v>1.9000000000000001E-4</v>
      </c>
      <c r="G17" s="121">
        <v>5.9999999999999995E-4</v>
      </c>
      <c r="H17" s="122">
        <f t="shared" si="0"/>
        <v>3.9499999999999995E-4</v>
      </c>
      <c r="I17" s="121">
        <v>0.24</v>
      </c>
      <c r="J17" s="121">
        <v>5.9000000000000003E-4</v>
      </c>
      <c r="K17" s="122">
        <f t="shared" si="1"/>
        <v>0.120295</v>
      </c>
      <c r="L17" s="124">
        <f t="shared" si="2"/>
        <v>6.0345000000000003E-2</v>
      </c>
    </row>
    <row r="18" spans="1:12" s="12" customFormat="1" ht="23.25" customHeight="1" x14ac:dyDescent="0.25">
      <c r="A18" s="294" t="s">
        <v>381</v>
      </c>
      <c r="B18" s="294"/>
      <c r="C18" s="184" t="s">
        <v>371</v>
      </c>
      <c r="D18" s="299" t="s">
        <v>380</v>
      </c>
      <c r="E18" s="299"/>
      <c r="F18" s="121">
        <v>3.6000000000000001E-5</v>
      </c>
      <c r="G18" s="121">
        <v>2.8E-5</v>
      </c>
      <c r="H18" s="122">
        <f t="shared" si="0"/>
        <v>3.1999999999999999E-5</v>
      </c>
      <c r="I18" s="121">
        <v>0.01</v>
      </c>
      <c r="J18" s="121">
        <v>2.9E-5</v>
      </c>
      <c r="K18" s="122">
        <f t="shared" si="1"/>
        <v>5.0144999999999999E-3</v>
      </c>
      <c r="L18" s="124">
        <f t="shared" si="2"/>
        <v>2.5232499999999999E-3</v>
      </c>
    </row>
    <row r="19" spans="1:12" s="12" customFormat="1" ht="23.25" customHeight="1" x14ac:dyDescent="0.25">
      <c r="A19" s="294" t="s">
        <v>382</v>
      </c>
      <c r="B19" s="294"/>
      <c r="C19" s="184" t="s">
        <v>371</v>
      </c>
      <c r="D19" s="299" t="s">
        <v>380</v>
      </c>
      <c r="E19" s="299"/>
      <c r="F19" s="121">
        <v>6.3E-3</v>
      </c>
      <c r="G19" s="121">
        <v>1.1999999999999999E-3</v>
      </c>
      <c r="H19" s="122">
        <f t="shared" si="0"/>
        <v>3.7499999999999999E-3</v>
      </c>
      <c r="I19" s="121">
        <v>0.28999999999999998</v>
      </c>
      <c r="J19" s="121">
        <v>1.1000000000000001E-3</v>
      </c>
      <c r="K19" s="122">
        <f t="shared" si="1"/>
        <v>0.14554999999999998</v>
      </c>
      <c r="L19" s="124">
        <f t="shared" si="2"/>
        <v>7.4649999999999994E-2</v>
      </c>
    </row>
    <row r="20" spans="1:12" s="12" customFormat="1" ht="23.25" customHeight="1" x14ac:dyDescent="0.25">
      <c r="A20" s="294" t="s">
        <v>383</v>
      </c>
      <c r="B20" s="294"/>
      <c r="C20" s="184" t="s">
        <v>371</v>
      </c>
      <c r="D20" s="299" t="s">
        <v>380</v>
      </c>
      <c r="E20" s="299"/>
      <c r="F20" s="121">
        <v>2.5000000000000001E-3</v>
      </c>
      <c r="G20" s="121">
        <v>4.8999999999999998E-3</v>
      </c>
      <c r="H20" s="122">
        <f t="shared" si="0"/>
        <v>3.7000000000000002E-3</v>
      </c>
      <c r="I20" s="121">
        <v>0.3</v>
      </c>
      <c r="J20" s="121">
        <v>3.3E-3</v>
      </c>
      <c r="K20" s="122">
        <f t="shared" si="1"/>
        <v>0.15165000000000001</v>
      </c>
      <c r="L20" s="124">
        <f t="shared" si="2"/>
        <v>7.7675000000000008E-2</v>
      </c>
    </row>
    <row r="21" spans="1:12" s="12" customFormat="1" ht="23.25" customHeight="1" x14ac:dyDescent="0.25">
      <c r="A21" s="294" t="s">
        <v>384</v>
      </c>
      <c r="B21" s="294"/>
      <c r="C21" s="184" t="s">
        <v>371</v>
      </c>
      <c r="D21" s="299" t="s">
        <v>380</v>
      </c>
      <c r="E21" s="299"/>
      <c r="F21" s="121">
        <v>2.7000000000000001E-3</v>
      </c>
      <c r="G21" s="121">
        <v>5.5999999999999999E-3</v>
      </c>
      <c r="H21" s="122">
        <f t="shared" si="0"/>
        <v>4.15E-3</v>
      </c>
      <c r="I21" s="121">
        <v>1.7</v>
      </c>
      <c r="J21" s="121">
        <v>3.7000000000000002E-3</v>
      </c>
      <c r="K21" s="122">
        <f t="shared" si="1"/>
        <v>0.85185</v>
      </c>
      <c r="L21" s="124">
        <f t="shared" si="2"/>
        <v>0.42799999999999999</v>
      </c>
    </row>
    <row r="22" spans="1:12" s="12" customFormat="1" ht="23.25" customHeight="1" x14ac:dyDescent="0.25">
      <c r="A22" s="294" t="s">
        <v>385</v>
      </c>
      <c r="B22" s="294"/>
      <c r="C22" s="184" t="s">
        <v>371</v>
      </c>
      <c r="D22" s="299" t="s">
        <v>380</v>
      </c>
      <c r="E22" s="299"/>
      <c r="F22" s="121">
        <v>4.7999999999999996E-3</v>
      </c>
      <c r="G22" s="121">
        <v>8.6E-3</v>
      </c>
      <c r="H22" s="122">
        <f t="shared" si="0"/>
        <v>6.6999999999999994E-3</v>
      </c>
      <c r="I22" s="121">
        <v>2.5</v>
      </c>
      <c r="J22" s="121">
        <v>6.1999999999999998E-3</v>
      </c>
      <c r="K22" s="122">
        <f t="shared" si="1"/>
        <v>1.2531000000000001</v>
      </c>
      <c r="L22" s="124">
        <f t="shared" si="2"/>
        <v>0.62990000000000002</v>
      </c>
    </row>
    <row r="23" spans="1:12" s="12" customFormat="1" ht="23.25" customHeight="1" x14ac:dyDescent="0.25">
      <c r="A23" s="294" t="s">
        <v>386</v>
      </c>
      <c r="B23" s="294"/>
      <c r="C23" s="184" t="s">
        <v>371</v>
      </c>
      <c r="D23" s="299" t="s">
        <v>387</v>
      </c>
      <c r="E23" s="299"/>
      <c r="F23" s="121">
        <v>1E-3</v>
      </c>
      <c r="G23" s="121">
        <v>1.4E-3</v>
      </c>
      <c r="H23" s="122">
        <f t="shared" si="0"/>
        <v>1.2000000000000001E-3</v>
      </c>
      <c r="I23" s="121">
        <v>5.1000000000000004E-4</v>
      </c>
      <c r="J23" s="121">
        <v>1.4E-3</v>
      </c>
      <c r="K23" s="122">
        <f t="shared" si="1"/>
        <v>9.5500000000000001E-4</v>
      </c>
      <c r="L23" s="124">
        <f t="shared" si="2"/>
        <v>1.0775000000000001E-3</v>
      </c>
    </row>
    <row r="24" spans="1:12" s="12" customFormat="1" ht="23.25" customHeight="1" x14ac:dyDescent="0.25">
      <c r="A24" s="294" t="s">
        <v>388</v>
      </c>
      <c r="B24" s="294"/>
      <c r="C24" s="184" t="s">
        <v>371</v>
      </c>
      <c r="D24" s="299" t="s">
        <v>387</v>
      </c>
      <c r="E24" s="299"/>
      <c r="F24" s="121">
        <v>3.6999999999999998E-2</v>
      </c>
      <c r="G24" s="121">
        <v>1.4E-3</v>
      </c>
      <c r="H24" s="122">
        <f t="shared" si="0"/>
        <v>1.9199999999999998E-2</v>
      </c>
      <c r="I24" s="121">
        <v>8.6999999999999994E-2</v>
      </c>
      <c r="J24" s="121">
        <v>1.4E-3</v>
      </c>
      <c r="K24" s="122">
        <f t="shared" si="1"/>
        <v>4.4199999999999996E-2</v>
      </c>
      <c r="L24" s="124">
        <f t="shared" si="2"/>
        <v>3.1699999999999999E-2</v>
      </c>
    </row>
    <row r="25" spans="1:12" s="12" customFormat="1" ht="23.25" customHeight="1" x14ac:dyDescent="0.25">
      <c r="A25" s="294" t="s">
        <v>389</v>
      </c>
      <c r="B25" s="294"/>
      <c r="C25" s="184" t="s">
        <v>371</v>
      </c>
      <c r="D25" s="299" t="s">
        <v>387</v>
      </c>
      <c r="E25" s="299"/>
      <c r="F25" s="121">
        <v>1E-3</v>
      </c>
      <c r="G25" s="121">
        <v>1.4E-3</v>
      </c>
      <c r="H25" s="122">
        <f t="shared" si="0"/>
        <v>1.2000000000000001E-3</v>
      </c>
      <c r="I25" s="121">
        <v>2.5000000000000001E-2</v>
      </c>
      <c r="J25" s="121">
        <v>1.4E-3</v>
      </c>
      <c r="K25" s="122">
        <f t="shared" si="1"/>
        <v>1.32E-2</v>
      </c>
      <c r="L25" s="124">
        <f t="shared" si="2"/>
        <v>7.1999999999999998E-3</v>
      </c>
    </row>
    <row r="26" spans="1:12" s="12" customFormat="1" ht="23.25" customHeight="1" x14ac:dyDescent="0.25">
      <c r="A26" s="294" t="s">
        <v>390</v>
      </c>
      <c r="B26" s="294"/>
      <c r="C26" s="184" t="s">
        <v>371</v>
      </c>
      <c r="D26" s="299" t="s">
        <v>387</v>
      </c>
      <c r="E26" s="299"/>
      <c r="F26" s="121">
        <v>3.5000000000000003E-2</v>
      </c>
      <c r="G26" s="121">
        <v>1.4E-3</v>
      </c>
      <c r="H26" s="122">
        <f t="shared" si="0"/>
        <v>1.8200000000000001E-2</v>
      </c>
      <c r="I26" s="121">
        <v>9.0999999999999998E-2</v>
      </c>
      <c r="J26" s="121">
        <v>1.4E-3</v>
      </c>
      <c r="K26" s="122">
        <f t="shared" si="1"/>
        <v>4.6199999999999998E-2</v>
      </c>
      <c r="L26" s="124">
        <f t="shared" si="2"/>
        <v>3.2200000000000006E-2</v>
      </c>
    </row>
    <row r="27" spans="1:12" s="12" customFormat="1" ht="23.25" customHeight="1" x14ac:dyDescent="0.25">
      <c r="A27" s="294" t="s">
        <v>391</v>
      </c>
      <c r="B27" s="294"/>
      <c r="C27" s="184" t="s">
        <v>371</v>
      </c>
      <c r="D27" s="299" t="s">
        <v>387</v>
      </c>
      <c r="E27" s="299"/>
      <c r="F27" s="121">
        <v>5.0000000000000001E-3</v>
      </c>
      <c r="G27" s="121">
        <v>1.4E-3</v>
      </c>
      <c r="H27" s="122">
        <f t="shared" si="0"/>
        <v>3.2000000000000002E-3</v>
      </c>
      <c r="I27" s="121">
        <v>9.2999999999999992E-3</v>
      </c>
      <c r="J27" s="121">
        <v>1.4E-3</v>
      </c>
      <c r="K27" s="122">
        <f t="shared" si="1"/>
        <v>5.3499999999999997E-3</v>
      </c>
      <c r="L27" s="124">
        <f t="shared" si="2"/>
        <v>4.2749999999999993E-3</v>
      </c>
    </row>
    <row r="28" spans="1:12" s="12" customFormat="1" ht="23.25" customHeight="1" x14ac:dyDescent="0.25">
      <c r="A28" s="294" t="s">
        <v>392</v>
      </c>
      <c r="B28" s="294"/>
      <c r="C28" s="184" t="s">
        <v>371</v>
      </c>
      <c r="D28" s="299" t="s">
        <v>387</v>
      </c>
      <c r="E28" s="299"/>
      <c r="F28" s="121">
        <v>0.03</v>
      </c>
      <c r="G28" s="121">
        <v>1.4E-3</v>
      </c>
      <c r="H28" s="122">
        <f t="shared" si="0"/>
        <v>1.5699999999999999E-2</v>
      </c>
      <c r="I28" s="121">
        <v>0.02</v>
      </c>
      <c r="J28" s="121">
        <v>1.4E-3</v>
      </c>
      <c r="K28" s="122">
        <f t="shared" si="1"/>
        <v>1.0699999999999999E-2</v>
      </c>
      <c r="L28" s="124">
        <f t="shared" si="2"/>
        <v>1.32E-2</v>
      </c>
    </row>
    <row r="29" spans="1:12" s="12" customFormat="1" ht="23.25" customHeight="1" x14ac:dyDescent="0.25">
      <c r="A29" s="294" t="s">
        <v>393</v>
      </c>
      <c r="B29" s="294"/>
      <c r="C29" s="184" t="s">
        <v>371</v>
      </c>
      <c r="D29" s="299" t="s">
        <v>387</v>
      </c>
      <c r="E29" s="299"/>
      <c r="F29" s="121">
        <v>2E-3</v>
      </c>
      <c r="G29" s="121">
        <v>1.4E-3</v>
      </c>
      <c r="H29" s="122">
        <f t="shared" si="0"/>
        <v>1.7000000000000001E-3</v>
      </c>
      <c r="I29" s="121">
        <v>2.3E-2</v>
      </c>
      <c r="J29" s="121">
        <v>1.4E-3</v>
      </c>
      <c r="K29" s="122">
        <f t="shared" si="1"/>
        <v>1.2199999999999999E-2</v>
      </c>
      <c r="L29" s="124">
        <f t="shared" si="2"/>
        <v>6.9499999999999996E-3</v>
      </c>
    </row>
    <row r="30" spans="1:12" s="12" customFormat="1" ht="23.25" customHeight="1" x14ac:dyDescent="0.25">
      <c r="A30" s="294" t="s">
        <v>394</v>
      </c>
      <c r="B30" s="294"/>
      <c r="C30" s="184" t="s">
        <v>371</v>
      </c>
      <c r="D30" s="299" t="s">
        <v>387</v>
      </c>
      <c r="E30" s="299"/>
      <c r="F30" s="121">
        <v>8.0000000000000002E-3</v>
      </c>
      <c r="G30" s="121">
        <v>1.4E-3</v>
      </c>
      <c r="H30" s="122">
        <f t="shared" si="0"/>
        <v>4.7000000000000002E-3</v>
      </c>
      <c r="I30" s="121">
        <v>0.04</v>
      </c>
      <c r="J30" s="121">
        <v>1.4E-3</v>
      </c>
      <c r="K30" s="122">
        <f t="shared" si="1"/>
        <v>2.07E-2</v>
      </c>
      <c r="L30" s="124">
        <f t="shared" si="2"/>
        <v>1.2699999999999999E-2</v>
      </c>
    </row>
    <row r="31" spans="1:12" s="12" customFormat="1" ht="23.25" customHeight="1" x14ac:dyDescent="0.25">
      <c r="A31" s="294" t="s">
        <v>395</v>
      </c>
      <c r="B31" s="294"/>
      <c r="C31" s="184" t="s">
        <v>371</v>
      </c>
      <c r="D31" s="299" t="s">
        <v>387</v>
      </c>
      <c r="E31" s="299"/>
      <c r="F31" s="121">
        <v>1E-3</v>
      </c>
      <c r="G31" s="121">
        <v>1.4E-3</v>
      </c>
      <c r="H31" s="122">
        <f t="shared" si="0"/>
        <v>1.2000000000000001E-3</v>
      </c>
      <c r="I31" s="121">
        <v>5.1000000000000004E-4</v>
      </c>
      <c r="J31" s="121">
        <v>1.4E-3</v>
      </c>
      <c r="K31" s="122">
        <f t="shared" si="1"/>
        <v>9.5500000000000001E-4</v>
      </c>
      <c r="L31" s="124">
        <f t="shared" si="2"/>
        <v>1.0775000000000001E-3</v>
      </c>
    </row>
    <row r="32" spans="1:12" s="12" customFormat="1" ht="23.25" customHeight="1" x14ac:dyDescent="0.25">
      <c r="A32" s="294" t="s">
        <v>396</v>
      </c>
      <c r="B32" s="294"/>
      <c r="C32" s="184" t="s">
        <v>371</v>
      </c>
      <c r="D32" s="299" t="s">
        <v>387</v>
      </c>
      <c r="E32" s="299"/>
      <c r="F32" s="121">
        <v>0.14199999999999999</v>
      </c>
      <c r="G32" s="121">
        <v>1.4E-3</v>
      </c>
      <c r="H32" s="122">
        <f t="shared" si="0"/>
        <v>7.17E-2</v>
      </c>
      <c r="I32" s="121">
        <v>0.12</v>
      </c>
      <c r="J32" s="121">
        <v>1.4E-3</v>
      </c>
      <c r="K32" s="122">
        <f t="shared" si="1"/>
        <v>6.0699999999999997E-2</v>
      </c>
      <c r="L32" s="124">
        <f t="shared" si="2"/>
        <v>6.6199999999999995E-2</v>
      </c>
    </row>
    <row r="33" spans="1:12" s="12" customFormat="1" ht="23.25" customHeight="1" x14ac:dyDescent="0.25">
      <c r="A33" s="294" t="s">
        <v>397</v>
      </c>
      <c r="B33" s="294"/>
      <c r="C33" s="184" t="s">
        <v>371</v>
      </c>
      <c r="D33" s="299" t="s">
        <v>387</v>
      </c>
      <c r="E33" s="299"/>
      <c r="F33" s="121">
        <v>1E-3</v>
      </c>
      <c r="G33" s="121">
        <v>1.4E-3</v>
      </c>
      <c r="H33" s="122">
        <f t="shared" si="0"/>
        <v>1.2000000000000001E-3</v>
      </c>
      <c r="I33" s="121">
        <v>5.1000000000000004E-4</v>
      </c>
      <c r="J33" s="121">
        <v>1.4E-3</v>
      </c>
      <c r="K33" s="122">
        <f t="shared" si="1"/>
        <v>9.5500000000000001E-4</v>
      </c>
      <c r="L33" s="124">
        <f t="shared" si="2"/>
        <v>1.0775000000000001E-3</v>
      </c>
    </row>
    <row r="34" spans="1:12" s="12" customFormat="1" ht="23.25" customHeight="1" x14ac:dyDescent="0.25">
      <c r="A34" s="294" t="s">
        <v>398</v>
      </c>
      <c r="B34" s="294"/>
      <c r="C34" s="184" t="s">
        <v>371</v>
      </c>
      <c r="D34" s="299" t="s">
        <v>387</v>
      </c>
      <c r="E34" s="299"/>
      <c r="F34" s="121">
        <v>1E-3</v>
      </c>
      <c r="G34" s="121">
        <v>1.4E-3</v>
      </c>
      <c r="H34" s="122">
        <f t="shared" si="0"/>
        <v>1.2000000000000001E-3</v>
      </c>
      <c r="I34" s="121">
        <v>5.1000000000000004E-4</v>
      </c>
      <c r="J34" s="121">
        <v>1.4E-3</v>
      </c>
      <c r="K34" s="122">
        <f t="shared" si="1"/>
        <v>9.5500000000000001E-4</v>
      </c>
      <c r="L34" s="124">
        <f t="shared" si="2"/>
        <v>1.0775000000000001E-3</v>
      </c>
    </row>
    <row r="35" spans="1:12" s="12" customFormat="1" ht="23.25" customHeight="1" x14ac:dyDescent="0.25">
      <c r="A35" s="294" t="s">
        <v>399</v>
      </c>
      <c r="B35" s="294"/>
      <c r="C35" s="184" t="s">
        <v>371</v>
      </c>
      <c r="D35" s="299" t="s">
        <v>387</v>
      </c>
      <c r="E35" s="299"/>
      <c r="F35" s="121">
        <v>1E-3</v>
      </c>
      <c r="G35" s="121">
        <v>1.4E-3</v>
      </c>
      <c r="H35" s="122">
        <f t="shared" si="0"/>
        <v>1.2000000000000001E-3</v>
      </c>
      <c r="I35" s="121">
        <v>4.7000000000000002E-3</v>
      </c>
      <c r="J35" s="121">
        <v>1.4E-3</v>
      </c>
      <c r="K35" s="122">
        <f t="shared" si="1"/>
        <v>3.0500000000000002E-3</v>
      </c>
      <c r="L35" s="124">
        <f t="shared" si="2"/>
        <v>2.1250000000000002E-3</v>
      </c>
    </row>
    <row r="36" spans="1:12" s="12" customFormat="1" ht="23.25" customHeight="1" x14ac:dyDescent="0.25">
      <c r="A36" s="294" t="s">
        <v>400</v>
      </c>
      <c r="B36" s="294"/>
      <c r="C36" s="184" t="s">
        <v>371</v>
      </c>
      <c r="D36" s="299" t="s">
        <v>387</v>
      </c>
      <c r="E36" s="299"/>
      <c r="F36" s="121">
        <v>0.96099999999999997</v>
      </c>
      <c r="G36" s="121">
        <v>1.0999999999999999E-2</v>
      </c>
      <c r="H36" s="122">
        <f t="shared" si="0"/>
        <v>0.48599999999999999</v>
      </c>
      <c r="I36" s="121">
        <v>0.23</v>
      </c>
      <c r="J36" s="121">
        <v>1.4E-2</v>
      </c>
      <c r="K36" s="122">
        <f t="shared" si="1"/>
        <v>0.12200000000000001</v>
      </c>
      <c r="L36" s="124">
        <f t="shared" si="2"/>
        <v>0.30399999999999999</v>
      </c>
    </row>
    <row r="37" spans="1:12" s="12" customFormat="1" ht="23.25" customHeight="1" x14ac:dyDescent="0.25">
      <c r="A37" s="294" t="s">
        <v>401</v>
      </c>
      <c r="B37" s="294"/>
      <c r="C37" s="184" t="s">
        <v>371</v>
      </c>
      <c r="D37" s="299" t="s">
        <v>387</v>
      </c>
      <c r="E37" s="299"/>
      <c r="F37" s="121">
        <v>2E-3</v>
      </c>
      <c r="G37" s="121">
        <v>1.4E-3</v>
      </c>
      <c r="H37" s="122">
        <f t="shared" si="0"/>
        <v>1.7000000000000001E-3</v>
      </c>
      <c r="I37" s="121">
        <v>2.8000000000000001E-2</v>
      </c>
      <c r="J37" s="121">
        <v>1.4E-3</v>
      </c>
      <c r="K37" s="122">
        <f t="shared" si="1"/>
        <v>1.47E-2</v>
      </c>
      <c r="L37" s="124">
        <f t="shared" si="2"/>
        <v>8.199999999999999E-3</v>
      </c>
    </row>
    <row r="38" spans="1:12" s="12" customFormat="1" ht="23.25" customHeight="1" x14ac:dyDescent="0.25">
      <c r="A38" s="294" t="s">
        <v>402</v>
      </c>
      <c r="B38" s="294"/>
      <c r="C38" s="184" t="s">
        <v>371</v>
      </c>
      <c r="D38" s="299" t="s">
        <v>387</v>
      </c>
      <c r="E38" s="299"/>
      <c r="F38" s="121">
        <v>3.9</v>
      </c>
      <c r="G38" s="121">
        <v>0.19</v>
      </c>
      <c r="H38" s="122">
        <f t="shared" si="0"/>
        <v>2.0449999999999999</v>
      </c>
      <c r="I38" s="121">
        <v>6.8000000000000005E-2</v>
      </c>
      <c r="J38" s="121">
        <v>5.0999999999999997E-2</v>
      </c>
      <c r="K38" s="122">
        <f t="shared" si="1"/>
        <v>5.9499999999999997E-2</v>
      </c>
      <c r="L38" s="124">
        <f t="shared" si="2"/>
        <v>1.0522499999999999</v>
      </c>
    </row>
    <row r="39" spans="1:12" x14ac:dyDescent="0.25">
      <c r="A39" s="283" t="s">
        <v>343</v>
      </c>
      <c r="B39" s="283"/>
      <c r="C39" s="283"/>
      <c r="D39" s="283"/>
      <c r="E39" s="283"/>
      <c r="F39" s="283"/>
      <c r="G39" s="283"/>
      <c r="H39" s="283"/>
      <c r="I39" s="283"/>
      <c r="J39" s="283"/>
      <c r="K39" s="283"/>
      <c r="L39" s="283"/>
    </row>
    <row r="40" spans="1:12" ht="22.95" customHeight="1" x14ac:dyDescent="0.25">
      <c r="A40" s="411" t="s">
        <v>403</v>
      </c>
      <c r="B40" s="411"/>
      <c r="C40" s="411"/>
      <c r="D40" s="411"/>
      <c r="E40" s="411"/>
      <c r="F40" s="411"/>
      <c r="G40" s="411"/>
      <c r="H40" s="411"/>
      <c r="I40" s="411"/>
      <c r="J40" s="411"/>
      <c r="K40" s="411"/>
      <c r="L40" s="411"/>
    </row>
    <row r="41" spans="1:12" ht="22.95" customHeight="1" x14ac:dyDescent="0.25">
      <c r="A41" s="411"/>
      <c r="B41" s="411"/>
      <c r="C41" s="411"/>
      <c r="D41" s="411"/>
      <c r="E41" s="411"/>
      <c r="F41" s="411"/>
      <c r="G41" s="411"/>
      <c r="H41" s="411"/>
      <c r="I41" s="411"/>
      <c r="J41" s="411"/>
      <c r="K41" s="411"/>
      <c r="L41" s="411"/>
    </row>
    <row r="64" spans="6:6" x14ac:dyDescent="0.25">
      <c r="F64" s="3"/>
    </row>
  </sheetData>
  <mergeCells count="65">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L39"/>
    <mergeCell ref="A20:B20"/>
    <mergeCell ref="A21:B21"/>
    <mergeCell ref="A22:B22"/>
    <mergeCell ref="D35:E35"/>
    <mergeCell ref="D36:E36"/>
    <mergeCell ref="A34:B34"/>
    <mergeCell ref="A35:B35"/>
    <mergeCell ref="A36:B36"/>
    <mergeCell ref="A37:B37"/>
    <mergeCell ref="A25:B25"/>
    <mergeCell ref="D33:E33"/>
    <mergeCell ref="A40:L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L10"/>
    <mergeCell ref="D10:E11"/>
    <mergeCell ref="C10:C11"/>
    <mergeCell ref="A5:L5"/>
    <mergeCell ref="O6:R9"/>
    <mergeCell ref="O10:R12"/>
    <mergeCell ref="A9:L9"/>
    <mergeCell ref="A6:L7"/>
    <mergeCell ref="A12:B12"/>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7"/>
  <sheetViews>
    <sheetView workbookViewId="0">
      <selection activeCell="A2" sqref="A2"/>
    </sheetView>
  </sheetViews>
  <sheetFormatPr defaultColWidth="9.33203125" defaultRowHeight="15" x14ac:dyDescent="0.25"/>
  <cols>
    <col min="1" max="1" width="21.33203125" style="2" customWidth="1"/>
    <col min="2" max="2" width="13.6640625" style="2" customWidth="1"/>
    <col min="3" max="3" width="16.33203125" style="2" customWidth="1"/>
    <col min="4" max="12" width="9.33203125" style="2"/>
    <col min="13" max="13" width="10.44140625" style="2" customWidth="1"/>
    <col min="14" max="16384" width="9.33203125" style="2"/>
  </cols>
  <sheetData>
    <row r="1" spans="1:16" x14ac:dyDescent="0.25">
      <c r="A1" s="91" t="str">
        <f>+'Cover Page'!$B$29</f>
        <v>Annual Performance Report 2022</v>
      </c>
      <c r="B1" s="91"/>
      <c r="C1" s="91"/>
      <c r="D1" s="91"/>
      <c r="E1" s="91"/>
      <c r="F1" s="91"/>
      <c r="G1" s="91"/>
      <c r="H1" s="91"/>
      <c r="I1" s="91" t="str">
        <f>+'Cover Page'!$B$33</f>
        <v>Kemsley Generating Station</v>
      </c>
      <c r="J1" s="91"/>
      <c r="K1" s="91"/>
      <c r="L1" s="91"/>
      <c r="M1" s="91"/>
      <c r="N1" s="91"/>
      <c r="O1" s="91"/>
      <c r="P1" s="91"/>
    </row>
    <row r="3" spans="1:16" ht="15.6" x14ac:dyDescent="0.3">
      <c r="A3" s="1" t="s">
        <v>404</v>
      </c>
      <c r="B3" s="91"/>
      <c r="C3" s="91"/>
      <c r="D3" s="91"/>
      <c r="E3" s="91"/>
      <c r="F3" s="91"/>
      <c r="G3" s="91"/>
      <c r="H3" s="91"/>
      <c r="I3" s="91"/>
      <c r="J3" s="91"/>
      <c r="K3" s="91"/>
      <c r="L3" s="91"/>
      <c r="M3" s="91"/>
      <c r="N3" s="91"/>
      <c r="O3" s="91"/>
      <c r="P3" s="91"/>
    </row>
    <row r="4" spans="1:16" ht="15.6" x14ac:dyDescent="0.3">
      <c r="A4" s="1"/>
      <c r="B4" s="91"/>
      <c r="C4" s="91"/>
      <c r="D4" s="91"/>
      <c r="E4" s="91"/>
      <c r="F4" s="91"/>
      <c r="G4" s="91"/>
      <c r="H4" s="91"/>
      <c r="I4" s="91"/>
      <c r="J4" s="91"/>
      <c r="K4" s="91"/>
      <c r="L4" s="91"/>
      <c r="M4" s="91"/>
      <c r="N4" s="91"/>
      <c r="O4" s="91"/>
      <c r="P4" s="72" t="s">
        <v>3</v>
      </c>
    </row>
    <row r="5" spans="1:16" s="3" customFormat="1" ht="21.75" customHeight="1" x14ac:dyDescent="0.3">
      <c r="A5" s="47" t="s">
        <v>354</v>
      </c>
      <c r="B5" s="48"/>
      <c r="C5" s="48"/>
      <c r="D5" s="48"/>
      <c r="E5" s="48"/>
      <c r="F5" s="48"/>
      <c r="G5" s="48"/>
      <c r="H5" s="48"/>
      <c r="I5" s="48"/>
      <c r="J5" s="48"/>
      <c r="K5" s="48"/>
      <c r="L5" s="48"/>
      <c r="M5" s="49"/>
      <c r="P5" s="73" t="s">
        <v>405</v>
      </c>
    </row>
    <row r="6" spans="1:16" s="3" customFormat="1" ht="21" customHeight="1" x14ac:dyDescent="0.25">
      <c r="A6" s="216" t="s">
        <v>406</v>
      </c>
      <c r="B6" s="239"/>
      <c r="C6" s="239"/>
      <c r="D6" s="239"/>
      <c r="E6" s="239"/>
      <c r="F6" s="239"/>
      <c r="G6" s="239"/>
      <c r="H6" s="239"/>
      <c r="I6" s="239"/>
      <c r="J6" s="239"/>
      <c r="K6" s="239"/>
      <c r="L6" s="239"/>
      <c r="M6" s="240"/>
      <c r="P6" s="3" t="s">
        <v>407</v>
      </c>
    </row>
    <row r="7" spans="1:16" s="3" customFormat="1" ht="21" customHeight="1" x14ac:dyDescent="0.25">
      <c r="A7" s="241"/>
      <c r="B7" s="242"/>
      <c r="C7" s="242"/>
      <c r="D7" s="242"/>
      <c r="E7" s="242"/>
      <c r="F7" s="242"/>
      <c r="G7" s="242"/>
      <c r="H7" s="242"/>
      <c r="I7" s="242"/>
      <c r="J7" s="242"/>
      <c r="K7" s="242"/>
      <c r="L7" s="242"/>
      <c r="M7" s="243"/>
    </row>
    <row r="8" spans="1:16" s="3" customFormat="1" ht="21" customHeight="1" x14ac:dyDescent="0.25">
      <c r="A8" s="241"/>
      <c r="B8" s="242"/>
      <c r="C8" s="242"/>
      <c r="D8" s="242"/>
      <c r="E8" s="242"/>
      <c r="F8" s="242"/>
      <c r="G8" s="242"/>
      <c r="H8" s="242"/>
      <c r="I8" s="242"/>
      <c r="J8" s="242"/>
      <c r="K8" s="242"/>
      <c r="L8" s="242"/>
      <c r="M8" s="243"/>
    </row>
    <row r="9" spans="1:16" s="3" customFormat="1" ht="21" customHeight="1" x14ac:dyDescent="0.25">
      <c r="A9" s="244"/>
      <c r="B9" s="245"/>
      <c r="C9" s="245"/>
      <c r="D9" s="245"/>
      <c r="E9" s="245"/>
      <c r="F9" s="245"/>
      <c r="G9" s="245"/>
      <c r="H9" s="245"/>
      <c r="I9" s="245"/>
      <c r="J9" s="245"/>
      <c r="K9" s="245"/>
      <c r="L9" s="245"/>
      <c r="M9" s="246"/>
    </row>
    <row r="10" spans="1:16" s="3" customFormat="1" ht="13.8" x14ac:dyDescent="0.25"/>
    <row r="11" spans="1:16" s="55" customFormat="1" ht="16.5" customHeight="1" x14ac:dyDescent="0.25">
      <c r="A11" s="368" t="s">
        <v>408</v>
      </c>
      <c r="B11" s="368"/>
      <c r="C11" s="368"/>
      <c r="D11" s="368"/>
      <c r="E11" s="368"/>
      <c r="F11" s="368"/>
      <c r="G11" s="368"/>
      <c r="H11" s="368"/>
      <c r="I11" s="368"/>
      <c r="J11" s="368"/>
      <c r="K11" s="368"/>
      <c r="L11" s="368"/>
      <c r="M11" s="368"/>
    </row>
    <row r="12" spans="1:16" s="55" customFormat="1" ht="16.5" customHeight="1" x14ac:dyDescent="0.25">
      <c r="A12" s="251" t="s">
        <v>239</v>
      </c>
      <c r="B12" s="409" t="s">
        <v>409</v>
      </c>
      <c r="C12" s="324" t="s">
        <v>359</v>
      </c>
      <c r="D12" s="325" t="s">
        <v>135</v>
      </c>
      <c r="E12" s="417"/>
      <c r="F12" s="325" t="s">
        <v>136</v>
      </c>
      <c r="G12" s="417"/>
      <c r="H12" s="325" t="s">
        <v>137</v>
      </c>
      <c r="I12" s="417"/>
      <c r="J12" s="325" t="s">
        <v>138</v>
      </c>
      <c r="K12" s="417"/>
      <c r="L12" s="325" t="s">
        <v>139</v>
      </c>
      <c r="M12" s="417"/>
    </row>
    <row r="13" spans="1:16" s="12" customFormat="1" ht="17.25" customHeight="1" x14ac:dyDescent="0.25">
      <c r="A13" s="251"/>
      <c r="B13" s="416"/>
      <c r="C13" s="324"/>
      <c r="D13" s="45" t="s">
        <v>350</v>
      </c>
      <c r="E13" s="56" t="s">
        <v>410</v>
      </c>
      <c r="F13" s="45" t="s">
        <v>350</v>
      </c>
      <c r="G13" s="56" t="s">
        <v>410</v>
      </c>
      <c r="H13" s="45" t="s">
        <v>350</v>
      </c>
      <c r="I13" s="56" t="s">
        <v>410</v>
      </c>
      <c r="J13" s="45" t="s">
        <v>350</v>
      </c>
      <c r="K13" s="56" t="s">
        <v>410</v>
      </c>
      <c r="L13" s="45" t="s">
        <v>350</v>
      </c>
      <c r="M13" s="56" t="s">
        <v>410</v>
      </c>
      <c r="N13" s="108"/>
      <c r="O13" s="108"/>
      <c r="P13" s="108"/>
    </row>
    <row r="14" spans="1:16" s="12" customFormat="1" ht="23.25" customHeight="1" x14ac:dyDescent="0.25">
      <c r="A14" s="185" t="s">
        <v>245</v>
      </c>
      <c r="B14" s="142" t="s">
        <v>411</v>
      </c>
      <c r="C14" s="142" t="s">
        <v>412</v>
      </c>
      <c r="D14" s="186">
        <f>NOx!O19</f>
        <v>179.38</v>
      </c>
      <c r="E14" s="186">
        <f>NOx!N19</f>
        <v>175.3183333333333</v>
      </c>
      <c r="F14" s="186">
        <f>NOx!O34</f>
        <v>185.24</v>
      </c>
      <c r="G14" s="186">
        <f>NOx!N34</f>
        <v>175.36999999999998</v>
      </c>
      <c r="H14" s="121" t="s">
        <v>98</v>
      </c>
      <c r="I14" s="121" t="s">
        <v>98</v>
      </c>
      <c r="J14" s="121" t="s">
        <v>98</v>
      </c>
      <c r="K14" s="121" t="s">
        <v>98</v>
      </c>
      <c r="L14" s="121" t="s">
        <v>98</v>
      </c>
      <c r="M14" s="121" t="s">
        <v>98</v>
      </c>
      <c r="N14" s="108"/>
      <c r="O14" s="108"/>
      <c r="P14" s="108"/>
    </row>
    <row r="15" spans="1:16" s="12" customFormat="1" ht="23.25" customHeight="1" x14ac:dyDescent="0.25">
      <c r="A15" s="185"/>
      <c r="B15" s="142" t="s">
        <v>413</v>
      </c>
      <c r="C15" s="142" t="s">
        <v>414</v>
      </c>
      <c r="D15" s="186">
        <f>NOx!M19</f>
        <v>237.35</v>
      </c>
      <c r="E15" s="186">
        <f>NOx!L19</f>
        <v>175.31000000000003</v>
      </c>
      <c r="F15" s="186">
        <f>NOx!M34</f>
        <v>258.68</v>
      </c>
      <c r="G15" s="186">
        <f>NOx!L34</f>
        <v>175.36833333333331</v>
      </c>
      <c r="H15" s="121" t="s">
        <v>98</v>
      </c>
      <c r="I15" s="121" t="s">
        <v>98</v>
      </c>
      <c r="J15" s="121" t="s">
        <v>98</v>
      </c>
      <c r="K15" s="121" t="s">
        <v>98</v>
      </c>
      <c r="L15" s="121" t="s">
        <v>98</v>
      </c>
      <c r="M15" s="121" t="s">
        <v>98</v>
      </c>
      <c r="N15" s="108"/>
      <c r="O15" s="108"/>
      <c r="P15" s="108"/>
    </row>
    <row r="16" spans="1:16" s="12" customFormat="1" ht="23.25" customHeight="1" x14ac:dyDescent="0.25">
      <c r="A16" s="141" t="s">
        <v>244</v>
      </c>
      <c r="B16" s="185" t="s">
        <v>411</v>
      </c>
      <c r="C16" s="142" t="s">
        <v>415</v>
      </c>
      <c r="D16" s="186">
        <f>Particulates!O19</f>
        <v>0.14000000000000001</v>
      </c>
      <c r="E16" s="186">
        <f>Particulates!N19</f>
        <v>7.7500000000000013E-2</v>
      </c>
      <c r="F16" s="186">
        <f>Particulates!O34</f>
        <v>1.18</v>
      </c>
      <c r="G16" s="186">
        <f>Particulates!N34</f>
        <v>0.3133333333333333</v>
      </c>
      <c r="H16" s="121" t="s">
        <v>98</v>
      </c>
      <c r="I16" s="121" t="s">
        <v>98</v>
      </c>
      <c r="J16" s="121" t="s">
        <v>98</v>
      </c>
      <c r="K16" s="121" t="s">
        <v>98</v>
      </c>
      <c r="L16" s="121" t="s">
        <v>98</v>
      </c>
      <c r="M16" s="121" t="s">
        <v>98</v>
      </c>
      <c r="N16" s="108"/>
      <c r="O16" s="108"/>
      <c r="P16" s="108"/>
    </row>
    <row r="17" spans="1:13" s="12" customFormat="1" ht="23.25" customHeight="1" x14ac:dyDescent="0.25">
      <c r="A17" s="141"/>
      <c r="B17" s="142" t="s">
        <v>413</v>
      </c>
      <c r="C17" s="142" t="s">
        <v>416</v>
      </c>
      <c r="D17" s="186">
        <f>Particulates!M19</f>
        <v>0.44</v>
      </c>
      <c r="E17" s="186">
        <f>Particulates!L19</f>
        <v>7.6666666666666675E-2</v>
      </c>
      <c r="F17" s="186">
        <f>Particulates!M34</f>
        <v>3.91</v>
      </c>
      <c r="G17" s="186">
        <f>Particulates!L34</f>
        <v>0.3125</v>
      </c>
      <c r="H17" s="121" t="s">
        <v>98</v>
      </c>
      <c r="I17" s="121" t="s">
        <v>98</v>
      </c>
      <c r="J17" s="121" t="s">
        <v>98</v>
      </c>
      <c r="K17" s="121" t="s">
        <v>98</v>
      </c>
      <c r="L17" s="121" t="s">
        <v>98</v>
      </c>
      <c r="M17" s="121" t="s">
        <v>98</v>
      </c>
    </row>
    <row r="18" spans="1:13" s="12" customFormat="1" ht="23.25" customHeight="1" x14ac:dyDescent="0.25">
      <c r="A18" s="141" t="s">
        <v>417</v>
      </c>
      <c r="B18" s="142" t="s">
        <v>411</v>
      </c>
      <c r="C18" s="142" t="s">
        <v>418</v>
      </c>
      <c r="D18" s="186">
        <f>TOC!O19</f>
        <v>0.34</v>
      </c>
      <c r="E18" s="186">
        <f>TOC!N19</f>
        <v>0.19999999999999998</v>
      </c>
      <c r="F18" s="186">
        <f>TOC!O34</f>
        <v>0.35</v>
      </c>
      <c r="G18" s="186">
        <f>TOC!N34</f>
        <v>0.11083333333333335</v>
      </c>
      <c r="H18" s="121" t="s">
        <v>98</v>
      </c>
      <c r="I18" s="121" t="s">
        <v>98</v>
      </c>
      <c r="J18" s="121" t="s">
        <v>98</v>
      </c>
      <c r="K18" s="121" t="s">
        <v>98</v>
      </c>
      <c r="L18" s="121" t="s">
        <v>98</v>
      </c>
      <c r="M18" s="121" t="s">
        <v>98</v>
      </c>
    </row>
    <row r="19" spans="1:13" s="12" customFormat="1" ht="23.25" customHeight="1" x14ac:dyDescent="0.25">
      <c r="A19" s="141"/>
      <c r="B19" s="142" t="s">
        <v>413</v>
      </c>
      <c r="C19" s="142" t="s">
        <v>419</v>
      </c>
      <c r="D19" s="186">
        <f>TOC!M19</f>
        <v>3.15</v>
      </c>
      <c r="E19" s="186">
        <f>TOC!L19</f>
        <v>0.20749999999999999</v>
      </c>
      <c r="F19" s="186">
        <f>TOC!M34</f>
        <v>5.81</v>
      </c>
      <c r="G19" s="186">
        <f>TOC!L34</f>
        <v>0.11166666666666669</v>
      </c>
      <c r="H19" s="121" t="s">
        <v>98</v>
      </c>
      <c r="I19" s="121" t="s">
        <v>98</v>
      </c>
      <c r="J19" s="121" t="s">
        <v>98</v>
      </c>
      <c r="K19" s="121" t="s">
        <v>98</v>
      </c>
      <c r="L19" s="121" t="s">
        <v>98</v>
      </c>
      <c r="M19" s="121" t="s">
        <v>98</v>
      </c>
    </row>
    <row r="20" spans="1:13" s="12" customFormat="1" ht="23.25" customHeight="1" x14ac:dyDescent="0.25">
      <c r="A20" s="141" t="s">
        <v>420</v>
      </c>
      <c r="B20" s="142" t="s">
        <v>411</v>
      </c>
      <c r="C20" s="142" t="s">
        <v>418</v>
      </c>
      <c r="D20" s="186">
        <f>HCl!O19</f>
        <v>7.62</v>
      </c>
      <c r="E20" s="186">
        <f>HCl!N19</f>
        <v>4.123333333333334</v>
      </c>
      <c r="F20" s="186">
        <f>HCl!O34</f>
        <v>5.07</v>
      </c>
      <c r="G20" s="186">
        <f>HCl!M34</f>
        <v>13.06</v>
      </c>
      <c r="H20" s="121" t="s">
        <v>98</v>
      </c>
      <c r="I20" s="121" t="s">
        <v>98</v>
      </c>
      <c r="J20" s="121" t="s">
        <v>98</v>
      </c>
      <c r="K20" s="121" t="s">
        <v>98</v>
      </c>
      <c r="L20" s="121" t="s">
        <v>98</v>
      </c>
      <c r="M20" s="121" t="s">
        <v>98</v>
      </c>
    </row>
    <row r="21" spans="1:13" s="12" customFormat="1" ht="23.25" customHeight="1" x14ac:dyDescent="0.25">
      <c r="A21" s="141"/>
      <c r="B21" s="142" t="s">
        <v>413</v>
      </c>
      <c r="C21" s="142" t="s">
        <v>421</v>
      </c>
      <c r="D21" s="186">
        <f>HCl!M19</f>
        <v>13.05</v>
      </c>
      <c r="E21" s="186">
        <f>HCl!L19</f>
        <v>4.0775000000000006</v>
      </c>
      <c r="F21" s="186">
        <f>HCl!N34</f>
        <v>2.7158333333333338</v>
      </c>
      <c r="G21" s="186">
        <f>HCl!L34</f>
        <v>2.7174999999999998</v>
      </c>
      <c r="H21" s="121" t="s">
        <v>98</v>
      </c>
      <c r="I21" s="121" t="s">
        <v>98</v>
      </c>
      <c r="J21" s="121" t="s">
        <v>98</v>
      </c>
      <c r="K21" s="121" t="s">
        <v>98</v>
      </c>
      <c r="L21" s="121" t="s">
        <v>98</v>
      </c>
      <c r="M21" s="121" t="s">
        <v>98</v>
      </c>
    </row>
    <row r="22" spans="1:13" s="12" customFormat="1" ht="23.25" customHeight="1" x14ac:dyDescent="0.25">
      <c r="A22" s="141" t="s">
        <v>246</v>
      </c>
      <c r="B22" s="142" t="s">
        <v>411</v>
      </c>
      <c r="C22" s="142" t="s">
        <v>422</v>
      </c>
      <c r="D22" s="186">
        <f>'SO2'!O19</f>
        <v>23.83</v>
      </c>
      <c r="E22" s="186">
        <f>'SO2'!N19</f>
        <v>2.9708333333333332</v>
      </c>
      <c r="F22" s="186">
        <f>'SO2'!O34</f>
        <v>17.59</v>
      </c>
      <c r="G22" s="186">
        <f>'SO2'!N34</f>
        <v>3.0708333333333342</v>
      </c>
      <c r="H22" s="121" t="s">
        <v>98</v>
      </c>
      <c r="I22" s="121" t="s">
        <v>98</v>
      </c>
      <c r="J22" s="121" t="s">
        <v>98</v>
      </c>
      <c r="K22" s="121" t="s">
        <v>98</v>
      </c>
      <c r="L22" s="121" t="s">
        <v>98</v>
      </c>
      <c r="M22" s="121" t="s">
        <v>98</v>
      </c>
    </row>
    <row r="23" spans="1:13" s="12" customFormat="1" ht="23.25" customHeight="1" x14ac:dyDescent="0.25">
      <c r="A23" s="141"/>
      <c r="B23" s="142" t="s">
        <v>413</v>
      </c>
      <c r="C23" s="142" t="s">
        <v>412</v>
      </c>
      <c r="D23" s="186">
        <f>'SO2'!M19</f>
        <v>93.04</v>
      </c>
      <c r="E23" s="186">
        <f>'SO2'!L19</f>
        <v>3.1541666666666668</v>
      </c>
      <c r="F23" s="186">
        <f>'SO2'!M34</f>
        <v>97.55</v>
      </c>
      <c r="G23" s="186">
        <f>'SO2'!L34</f>
        <v>3.0933333333333333</v>
      </c>
      <c r="H23" s="121" t="s">
        <v>98</v>
      </c>
      <c r="I23" s="121" t="s">
        <v>98</v>
      </c>
      <c r="J23" s="121" t="s">
        <v>98</v>
      </c>
      <c r="K23" s="121" t="s">
        <v>98</v>
      </c>
      <c r="L23" s="121" t="s">
        <v>98</v>
      </c>
      <c r="M23" s="121" t="s">
        <v>98</v>
      </c>
    </row>
    <row r="24" spans="1:13" s="12" customFormat="1" ht="23.25" customHeight="1" x14ac:dyDescent="0.25">
      <c r="A24" s="141" t="s">
        <v>423</v>
      </c>
      <c r="B24" s="142" t="s">
        <v>411</v>
      </c>
      <c r="C24" s="142" t="s">
        <v>422</v>
      </c>
      <c r="D24" s="186">
        <f>'CO 95% 10 min'!Q19</f>
        <v>10.54</v>
      </c>
      <c r="E24" s="186">
        <f>'CO 95% 10 min'!P19</f>
        <v>4.2124999999999995</v>
      </c>
      <c r="F24" s="186">
        <f>'CO 95% 10 min'!Q34</f>
        <v>18.649999999999999</v>
      </c>
      <c r="G24" s="186">
        <f>'CO 95% 10 min'!O34</f>
        <v>1105.53</v>
      </c>
      <c r="H24" s="121" t="s">
        <v>98</v>
      </c>
      <c r="I24" s="121" t="s">
        <v>98</v>
      </c>
      <c r="J24" s="121" t="s">
        <v>98</v>
      </c>
      <c r="K24" s="121" t="s">
        <v>98</v>
      </c>
      <c r="L24" s="121" t="s">
        <v>98</v>
      </c>
      <c r="M24" s="121" t="s">
        <v>98</v>
      </c>
    </row>
    <row r="25" spans="1:13" s="12" customFormat="1" ht="23.25" customHeight="1" x14ac:dyDescent="0.25">
      <c r="A25" s="141"/>
      <c r="B25" s="121" t="s">
        <v>424</v>
      </c>
      <c r="C25" s="121" t="s">
        <v>425</v>
      </c>
      <c r="D25" s="186">
        <f>'CO 95% 10 min'!O19</f>
        <v>605.05999999999995</v>
      </c>
      <c r="E25" s="186">
        <f>'CO 95% 10 min'!M19</f>
        <v>10.123333333333335</v>
      </c>
      <c r="F25" s="186">
        <f>'CO 95% 10 min'!P34</f>
        <v>4.0841666666666674</v>
      </c>
      <c r="G25" s="186">
        <f>'CO 95% 10 min'!M34</f>
        <v>19.230833333333333</v>
      </c>
      <c r="H25" s="121" t="s">
        <v>98</v>
      </c>
      <c r="I25" s="121" t="s">
        <v>98</v>
      </c>
      <c r="J25" s="121" t="s">
        <v>98</v>
      </c>
      <c r="K25" s="121" t="s">
        <v>98</v>
      </c>
      <c r="L25" s="121" t="s">
        <v>98</v>
      </c>
      <c r="M25" s="121" t="s">
        <v>98</v>
      </c>
    </row>
    <row r="26" spans="1:13" s="12" customFormat="1" ht="23.25" customHeight="1" x14ac:dyDescent="0.25">
      <c r="A26" s="187" t="s">
        <v>426</v>
      </c>
      <c r="B26" s="188" t="s">
        <v>411</v>
      </c>
      <c r="C26" s="188" t="s">
        <v>427</v>
      </c>
      <c r="D26" s="189">
        <f>'NH3'!O19</f>
        <v>2.04</v>
      </c>
      <c r="E26" s="189">
        <f>'NH3'!N19</f>
        <v>0.61166666666666669</v>
      </c>
      <c r="F26" s="189">
        <f>'NH3'!O34</f>
        <v>0.97</v>
      </c>
      <c r="G26" s="189">
        <f>'NH3'!N34</f>
        <v>0.32333333333333331</v>
      </c>
      <c r="H26" s="121" t="s">
        <v>98</v>
      </c>
      <c r="I26" s="121" t="s">
        <v>98</v>
      </c>
      <c r="J26" s="121" t="s">
        <v>98</v>
      </c>
      <c r="K26" s="121" t="s">
        <v>98</v>
      </c>
      <c r="L26" s="121" t="s">
        <v>98</v>
      </c>
      <c r="M26" s="121" t="s">
        <v>98</v>
      </c>
    </row>
    <row r="27" spans="1:13" x14ac:dyDescent="0.25">
      <c r="A27" s="412" t="s">
        <v>428</v>
      </c>
      <c r="B27" s="413"/>
      <c r="C27" s="413"/>
      <c r="D27" s="413"/>
      <c r="E27" s="413"/>
      <c r="F27" s="413"/>
      <c r="G27" s="413"/>
      <c r="H27" s="413"/>
      <c r="I27" s="413"/>
      <c r="J27" s="413"/>
      <c r="K27" s="413"/>
      <c r="L27" s="413"/>
      <c r="M27" s="414"/>
    </row>
    <row r="28" spans="1:13" x14ac:dyDescent="0.25">
      <c r="A28" s="82" t="s">
        <v>343</v>
      </c>
      <c r="B28" s="83"/>
      <c r="C28" s="83"/>
      <c r="D28" s="83"/>
      <c r="E28" s="83"/>
      <c r="F28" s="83"/>
      <c r="G28" s="83"/>
      <c r="H28" s="83"/>
      <c r="I28" s="83"/>
      <c r="J28" s="83"/>
      <c r="K28" s="83"/>
      <c r="L28" s="83"/>
      <c r="M28" s="84"/>
    </row>
    <row r="29" spans="1:13" x14ac:dyDescent="0.25">
      <c r="A29" s="415" t="s">
        <v>429</v>
      </c>
      <c r="B29" s="415"/>
      <c r="C29" s="415"/>
      <c r="D29" s="415"/>
      <c r="E29" s="415"/>
      <c r="F29" s="415"/>
      <c r="G29" s="415"/>
      <c r="H29" s="415"/>
      <c r="I29" s="415"/>
      <c r="J29" s="415"/>
      <c r="K29" s="415"/>
      <c r="L29" s="415"/>
      <c r="M29" s="415"/>
    </row>
    <row r="30" spans="1:13" x14ac:dyDescent="0.25">
      <c r="A30" s="377"/>
      <c r="B30" s="377"/>
      <c r="C30" s="377"/>
      <c r="D30" s="377"/>
      <c r="E30" s="377"/>
      <c r="F30" s="377"/>
      <c r="G30" s="377"/>
      <c r="H30" s="377"/>
      <c r="I30" s="377"/>
      <c r="J30" s="377"/>
      <c r="K30" s="377"/>
      <c r="L30" s="377"/>
      <c r="M30" s="377"/>
    </row>
    <row r="67" spans="6:6" x14ac:dyDescent="0.25">
      <c r="F67" s="3"/>
    </row>
  </sheetData>
  <mergeCells count="12">
    <mergeCell ref="A6:M9"/>
    <mergeCell ref="A27:M27"/>
    <mergeCell ref="A29:M30"/>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workbookViewId="0">
      <selection activeCell="A2" sqref="A2"/>
    </sheetView>
  </sheetViews>
  <sheetFormatPr defaultRowHeight="13.8" x14ac:dyDescent="0.25"/>
  <cols>
    <col min="1" max="1" width="14" style="3" customWidth="1"/>
    <col min="2"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1" t="str">
        <f>+'Cover Page'!$B$29</f>
        <v>Annual Performance Report 2022</v>
      </c>
      <c r="B1" s="91"/>
      <c r="C1" s="91"/>
      <c r="D1" s="91"/>
      <c r="E1" s="91" t="str">
        <f>+'Cover Page'!$B$33</f>
        <v>Kemsley Generating Station</v>
      </c>
      <c r="F1" s="91"/>
      <c r="G1" s="91"/>
    </row>
    <row r="3" spans="1:19" ht="14.4" x14ac:dyDescent="0.3">
      <c r="A3" s="59" t="s">
        <v>430</v>
      </c>
      <c r="D3" s="75" t="s">
        <v>431</v>
      </c>
      <c r="G3" s="79" t="s">
        <v>432</v>
      </c>
      <c r="J3" s="9" t="str">
        <f>+A3</f>
        <v>Monitoring of Hydrogen Chloride emissions</v>
      </c>
      <c r="L3" s="9"/>
      <c r="N3" s="9" t="s">
        <v>433</v>
      </c>
      <c r="Q3" s="78" t="s">
        <v>3</v>
      </c>
      <c r="R3" s="73"/>
      <c r="S3" s="73"/>
    </row>
    <row r="4" spans="1:19" ht="13.95" customHeight="1" x14ac:dyDescent="0.25">
      <c r="Q4" s="397" t="s">
        <v>434</v>
      </c>
      <c r="R4" s="397"/>
      <c r="S4" s="397"/>
    </row>
    <row r="5" spans="1:19" ht="16.2" x14ac:dyDescent="0.25">
      <c r="A5" s="67" t="s">
        <v>435</v>
      </c>
      <c r="B5" s="421" t="s">
        <v>436</v>
      </c>
      <c r="C5" s="421"/>
      <c r="D5" s="421"/>
      <c r="E5" s="421" t="s">
        <v>437</v>
      </c>
      <c r="F5" s="421"/>
      <c r="G5" s="421"/>
      <c r="J5" s="420"/>
      <c r="K5" s="420"/>
      <c r="L5" s="420"/>
      <c r="M5" s="420"/>
      <c r="N5" s="420"/>
      <c r="O5" s="420"/>
      <c r="Q5" s="397"/>
      <c r="R5" s="397"/>
      <c r="S5" s="397"/>
    </row>
    <row r="6" spans="1:19" s="57" customFormat="1" ht="37.5" customHeight="1" x14ac:dyDescent="0.3">
      <c r="A6" s="64">
        <f>+'Cover Page'!C39</f>
        <v>2022</v>
      </c>
      <c r="B6" s="54" t="s">
        <v>438</v>
      </c>
      <c r="C6" s="54" t="s">
        <v>439</v>
      </c>
      <c r="D6" s="54" t="s">
        <v>440</v>
      </c>
      <c r="E6" s="54" t="s">
        <v>441</v>
      </c>
      <c r="F6" s="54" t="s">
        <v>442</v>
      </c>
      <c r="G6" s="54" t="s">
        <v>443</v>
      </c>
      <c r="H6" s="58"/>
      <c r="J6" s="60">
        <f>+A6</f>
        <v>2022</v>
      </c>
      <c r="K6" s="60" t="s">
        <v>444</v>
      </c>
      <c r="L6" s="66" t="s">
        <v>439</v>
      </c>
      <c r="M6" s="66" t="s">
        <v>445</v>
      </c>
      <c r="N6" s="66" t="s">
        <v>442</v>
      </c>
      <c r="O6" s="66" t="s">
        <v>446</v>
      </c>
      <c r="Q6" s="397"/>
      <c r="R6" s="397"/>
      <c r="S6" s="397"/>
    </row>
    <row r="7" spans="1:19" ht="13.95" customHeight="1" x14ac:dyDescent="0.25">
      <c r="A7" s="65" t="s">
        <v>447</v>
      </c>
      <c r="B7" s="62">
        <v>60</v>
      </c>
      <c r="C7" s="63">
        <v>3</v>
      </c>
      <c r="D7" s="63">
        <v>10.44</v>
      </c>
      <c r="E7" s="62">
        <v>10</v>
      </c>
      <c r="F7" s="63">
        <v>2.98</v>
      </c>
      <c r="G7" s="63">
        <v>5.2</v>
      </c>
      <c r="J7" s="419" t="s">
        <v>135</v>
      </c>
      <c r="K7" s="65" t="s">
        <v>447</v>
      </c>
      <c r="L7" s="63">
        <v>3.61</v>
      </c>
      <c r="M7" s="63">
        <v>10.44</v>
      </c>
      <c r="N7" s="63">
        <v>3.59</v>
      </c>
      <c r="O7" s="63">
        <v>5.2</v>
      </c>
      <c r="Q7" s="397"/>
      <c r="R7" s="397"/>
      <c r="S7" s="397"/>
    </row>
    <row r="8" spans="1:19" x14ac:dyDescent="0.25">
      <c r="A8" s="65" t="s">
        <v>448</v>
      </c>
      <c r="B8" s="62">
        <v>60</v>
      </c>
      <c r="C8" s="63">
        <v>3.53</v>
      </c>
      <c r="D8" s="63">
        <v>12.27</v>
      </c>
      <c r="E8" s="62">
        <v>10</v>
      </c>
      <c r="F8" s="63">
        <v>3.54</v>
      </c>
      <c r="G8" s="63">
        <v>6.71</v>
      </c>
      <c r="J8" s="419"/>
      <c r="K8" s="65" t="s">
        <v>448</v>
      </c>
      <c r="L8" s="63">
        <v>4.4000000000000004</v>
      </c>
      <c r="M8" s="63">
        <v>12.27</v>
      </c>
      <c r="N8" s="63">
        <v>4.4800000000000004</v>
      </c>
      <c r="O8" s="63">
        <v>6.71</v>
      </c>
      <c r="Q8" s="397"/>
      <c r="R8" s="397"/>
      <c r="S8" s="397"/>
    </row>
    <row r="9" spans="1:19" x14ac:dyDescent="0.25">
      <c r="A9" s="65" t="s">
        <v>449</v>
      </c>
      <c r="B9" s="62">
        <v>60</v>
      </c>
      <c r="C9" s="63">
        <v>2.8</v>
      </c>
      <c r="D9" s="63">
        <v>8.23</v>
      </c>
      <c r="E9" s="62">
        <v>10</v>
      </c>
      <c r="F9" s="63">
        <v>2.79</v>
      </c>
      <c r="G9" s="63">
        <v>5.9</v>
      </c>
      <c r="J9" s="419"/>
      <c r="K9" s="65" t="s">
        <v>449</v>
      </c>
      <c r="L9" s="63">
        <v>4.33</v>
      </c>
      <c r="M9" s="63">
        <v>8.23</v>
      </c>
      <c r="N9" s="63">
        <v>4.43</v>
      </c>
      <c r="O9" s="63">
        <v>5.9</v>
      </c>
      <c r="Q9" s="77" t="s">
        <v>450</v>
      </c>
    </row>
    <row r="10" spans="1:19" ht="13.95" customHeight="1" x14ac:dyDescent="0.25">
      <c r="A10" s="65" t="s">
        <v>451</v>
      </c>
      <c r="B10" s="62">
        <v>60</v>
      </c>
      <c r="C10" s="63">
        <v>2.83</v>
      </c>
      <c r="D10" s="63">
        <v>10.83</v>
      </c>
      <c r="E10" s="62">
        <v>10</v>
      </c>
      <c r="F10" s="63">
        <v>2.83</v>
      </c>
      <c r="G10" s="63">
        <v>5.53</v>
      </c>
      <c r="J10" s="419"/>
      <c r="K10" s="65" t="s">
        <v>451</v>
      </c>
      <c r="L10" s="63">
        <v>3.4</v>
      </c>
      <c r="M10" s="63">
        <v>10.83</v>
      </c>
      <c r="N10" s="63">
        <v>3.42</v>
      </c>
      <c r="O10" s="63">
        <v>5.53</v>
      </c>
      <c r="Q10" s="418" t="s">
        <v>452</v>
      </c>
      <c r="R10" s="418"/>
      <c r="S10" s="418"/>
    </row>
    <row r="11" spans="1:19" x14ac:dyDescent="0.25">
      <c r="A11" s="65" t="s">
        <v>453</v>
      </c>
      <c r="B11" s="62">
        <v>60</v>
      </c>
      <c r="C11" s="63">
        <v>3.02</v>
      </c>
      <c r="D11" s="63">
        <v>10.79</v>
      </c>
      <c r="E11" s="62">
        <v>10</v>
      </c>
      <c r="F11" s="63">
        <v>3.02</v>
      </c>
      <c r="G11" s="63">
        <v>4.26</v>
      </c>
      <c r="J11" s="419"/>
      <c r="K11" s="65" t="s">
        <v>453</v>
      </c>
      <c r="L11" s="63">
        <v>3.36</v>
      </c>
      <c r="M11" s="63">
        <v>10.79</v>
      </c>
      <c r="N11" s="63">
        <v>3.38</v>
      </c>
      <c r="O11" s="63">
        <v>4.26</v>
      </c>
      <c r="Q11" s="418"/>
      <c r="R11" s="418"/>
      <c r="S11" s="418"/>
    </row>
    <row r="12" spans="1:19" x14ac:dyDescent="0.25">
      <c r="A12" s="65" t="s">
        <v>454</v>
      </c>
      <c r="B12" s="62">
        <v>60</v>
      </c>
      <c r="C12" s="63">
        <v>3.45</v>
      </c>
      <c r="D12" s="63">
        <v>12.26</v>
      </c>
      <c r="E12" s="62">
        <v>10</v>
      </c>
      <c r="F12" s="63">
        <v>3.45</v>
      </c>
      <c r="G12" s="63">
        <v>6.37</v>
      </c>
      <c r="J12" s="419"/>
      <c r="K12" s="65" t="s">
        <v>454</v>
      </c>
      <c r="L12" s="63">
        <v>4.13</v>
      </c>
      <c r="M12" s="63">
        <v>12.26</v>
      </c>
      <c r="N12" s="63">
        <v>4.13</v>
      </c>
      <c r="O12" s="63">
        <v>6.37</v>
      </c>
      <c r="Q12" s="418"/>
      <c r="R12" s="418"/>
      <c r="S12" s="418"/>
    </row>
    <row r="13" spans="1:19" ht="13.95" customHeight="1" x14ac:dyDescent="0.25">
      <c r="A13" s="65" t="s">
        <v>455</v>
      </c>
      <c r="B13" s="62">
        <v>60</v>
      </c>
      <c r="C13" s="63">
        <v>3.74</v>
      </c>
      <c r="D13" s="63">
        <v>11.15</v>
      </c>
      <c r="E13" s="62">
        <v>10</v>
      </c>
      <c r="F13" s="63">
        <v>3.74</v>
      </c>
      <c r="G13" s="63">
        <v>6.81</v>
      </c>
      <c r="J13" s="419"/>
      <c r="K13" s="65" t="s">
        <v>455</v>
      </c>
      <c r="L13" s="63">
        <v>4.7699999999999996</v>
      </c>
      <c r="M13" s="63">
        <v>11.15</v>
      </c>
      <c r="N13" s="63">
        <v>4.7699999999999996</v>
      </c>
      <c r="O13" s="63">
        <v>6.81</v>
      </c>
      <c r="Q13" s="418" t="s">
        <v>456</v>
      </c>
      <c r="R13" s="418"/>
      <c r="S13" s="418"/>
    </row>
    <row r="14" spans="1:19" x14ac:dyDescent="0.25">
      <c r="A14" s="65" t="s">
        <v>457</v>
      </c>
      <c r="B14" s="62">
        <v>60</v>
      </c>
      <c r="C14" s="63">
        <v>4.03</v>
      </c>
      <c r="D14" s="63">
        <v>10.56</v>
      </c>
      <c r="E14" s="62">
        <v>10</v>
      </c>
      <c r="F14" s="63">
        <v>4.05</v>
      </c>
      <c r="G14" s="63">
        <v>7.4</v>
      </c>
      <c r="J14" s="419"/>
      <c r="K14" s="65" t="s">
        <v>457</v>
      </c>
      <c r="L14" s="63">
        <v>4.72</v>
      </c>
      <c r="M14" s="63">
        <v>10.56</v>
      </c>
      <c r="N14" s="63">
        <v>4.72</v>
      </c>
      <c r="O14" s="63">
        <v>7.4</v>
      </c>
      <c r="Q14" s="418"/>
      <c r="R14" s="418"/>
      <c r="S14" s="418"/>
    </row>
    <row r="15" spans="1:19" x14ac:dyDescent="0.25">
      <c r="A15" s="65" t="s">
        <v>458</v>
      </c>
      <c r="B15" s="62">
        <v>60</v>
      </c>
      <c r="C15" s="63">
        <v>3.69</v>
      </c>
      <c r="D15" s="63">
        <v>13.05</v>
      </c>
      <c r="E15" s="62">
        <v>10</v>
      </c>
      <c r="F15" s="63">
        <v>3.74</v>
      </c>
      <c r="G15" s="63">
        <v>6.74</v>
      </c>
      <c r="J15" s="419"/>
      <c r="K15" s="65" t="s">
        <v>458</v>
      </c>
      <c r="L15" s="63">
        <v>4.09</v>
      </c>
      <c r="M15" s="63">
        <v>13.05</v>
      </c>
      <c r="N15" s="63">
        <v>4.25</v>
      </c>
      <c r="O15" s="63">
        <v>6.74</v>
      </c>
      <c r="Q15" s="418"/>
      <c r="R15" s="418"/>
      <c r="S15" s="418"/>
    </row>
    <row r="16" spans="1:19" x14ac:dyDescent="0.25">
      <c r="A16" s="65" t="s">
        <v>459</v>
      </c>
      <c r="B16" s="62">
        <v>60</v>
      </c>
      <c r="C16" s="63">
        <v>3.62</v>
      </c>
      <c r="D16" s="63">
        <v>11.2</v>
      </c>
      <c r="E16" s="62">
        <v>10</v>
      </c>
      <c r="F16" s="63">
        <v>3.62</v>
      </c>
      <c r="G16" s="63">
        <v>7.62</v>
      </c>
      <c r="J16" s="419"/>
      <c r="K16" s="65" t="s">
        <v>459</v>
      </c>
      <c r="L16" s="63">
        <v>4.5</v>
      </c>
      <c r="M16" s="63">
        <v>11.2</v>
      </c>
      <c r="N16" s="63">
        <v>4.5</v>
      </c>
      <c r="O16" s="63">
        <v>7.62</v>
      </c>
      <c r="Q16" s="418"/>
      <c r="R16" s="418"/>
      <c r="S16" s="418"/>
    </row>
    <row r="17" spans="1:15" x14ac:dyDescent="0.25">
      <c r="A17" s="65" t="s">
        <v>460</v>
      </c>
      <c r="B17" s="62">
        <v>60</v>
      </c>
      <c r="C17" s="63">
        <v>3.31</v>
      </c>
      <c r="D17" s="63">
        <v>13.06</v>
      </c>
      <c r="E17" s="62">
        <v>10</v>
      </c>
      <c r="F17" s="63">
        <v>3.33</v>
      </c>
      <c r="G17" s="63">
        <v>5.37</v>
      </c>
      <c r="J17" s="419"/>
      <c r="K17" s="65" t="s">
        <v>460</v>
      </c>
      <c r="L17" s="63">
        <v>3.63</v>
      </c>
      <c r="M17" s="63">
        <v>9.66</v>
      </c>
      <c r="N17" s="63">
        <v>3.7</v>
      </c>
      <c r="O17" s="63">
        <v>5.37</v>
      </c>
    </row>
    <row r="18" spans="1:15" x14ac:dyDescent="0.25">
      <c r="A18" s="65" t="s">
        <v>461</v>
      </c>
      <c r="B18" s="62">
        <v>60</v>
      </c>
      <c r="C18" s="63">
        <v>3.48</v>
      </c>
      <c r="D18" s="63">
        <v>10.72</v>
      </c>
      <c r="E18" s="62">
        <v>10</v>
      </c>
      <c r="F18" s="63">
        <v>3.54</v>
      </c>
      <c r="G18" s="63">
        <v>7.41</v>
      </c>
      <c r="J18" s="419"/>
      <c r="K18" s="65" t="s">
        <v>461</v>
      </c>
      <c r="L18" s="63">
        <v>3.99</v>
      </c>
      <c r="M18" s="63">
        <v>10.57</v>
      </c>
      <c r="N18" s="63">
        <v>4.1100000000000003</v>
      </c>
      <c r="O18" s="63">
        <v>7.41</v>
      </c>
    </row>
    <row r="19" spans="1:15" x14ac:dyDescent="0.25">
      <c r="J19" s="419"/>
      <c r="K19" s="61" t="s">
        <v>462</v>
      </c>
      <c r="L19" s="99">
        <f>AVERAGE(L7:L18)</f>
        <v>4.0775000000000006</v>
      </c>
      <c r="M19" s="99">
        <f>MAX(M7:M18)</f>
        <v>13.05</v>
      </c>
      <c r="N19" s="99">
        <f>AVERAGE(N7:N18)</f>
        <v>4.123333333333334</v>
      </c>
      <c r="O19" s="99">
        <f>MAX(O7:O18)</f>
        <v>7.62</v>
      </c>
    </row>
    <row r="21" spans="1:15" ht="41.4" x14ac:dyDescent="0.25">
      <c r="J21" s="60">
        <f>+A6</f>
        <v>2022</v>
      </c>
      <c r="K21" s="60" t="s">
        <v>444</v>
      </c>
      <c r="L21" s="66" t="s">
        <v>439</v>
      </c>
      <c r="M21" s="66" t="s">
        <v>445</v>
      </c>
      <c r="N21" s="66" t="s">
        <v>442</v>
      </c>
      <c r="O21" s="66" t="s">
        <v>446</v>
      </c>
    </row>
    <row r="22" spans="1:15" x14ac:dyDescent="0.25">
      <c r="J22" s="419" t="s">
        <v>136</v>
      </c>
      <c r="K22" s="65" t="s">
        <v>447</v>
      </c>
      <c r="L22" s="63">
        <v>1.89</v>
      </c>
      <c r="M22" s="63">
        <v>5.14</v>
      </c>
      <c r="N22" s="63">
        <v>1.88</v>
      </c>
      <c r="O22" s="63">
        <v>2.59</v>
      </c>
    </row>
    <row r="23" spans="1:15" x14ac:dyDescent="0.25">
      <c r="J23" s="419"/>
      <c r="K23" s="65" t="s">
        <v>448</v>
      </c>
      <c r="L23" s="63">
        <v>2.84</v>
      </c>
      <c r="M23" s="63">
        <v>9.3699999999999992</v>
      </c>
      <c r="N23" s="63">
        <v>2.84</v>
      </c>
      <c r="O23" s="63">
        <v>4.87</v>
      </c>
    </row>
    <row r="24" spans="1:15" x14ac:dyDescent="0.25">
      <c r="J24" s="419"/>
      <c r="K24" s="65" t="s">
        <v>449</v>
      </c>
      <c r="L24" s="63">
        <v>2.19</v>
      </c>
      <c r="M24" s="63">
        <v>7.09</v>
      </c>
      <c r="N24" s="63">
        <v>2.2000000000000002</v>
      </c>
      <c r="O24" s="63">
        <v>3.68</v>
      </c>
    </row>
    <row r="25" spans="1:15" x14ac:dyDescent="0.25">
      <c r="J25" s="419"/>
      <c r="K25" s="65" t="s">
        <v>451</v>
      </c>
      <c r="L25" s="63">
        <v>2.37</v>
      </c>
      <c r="M25" s="63">
        <v>6.56</v>
      </c>
      <c r="N25" s="63">
        <v>2.37</v>
      </c>
      <c r="O25" s="63">
        <v>3.33</v>
      </c>
    </row>
    <row r="26" spans="1:15" x14ac:dyDescent="0.25">
      <c r="J26" s="419"/>
      <c r="K26" s="65" t="s">
        <v>453</v>
      </c>
      <c r="L26" s="63">
        <v>2.69</v>
      </c>
      <c r="M26" s="63">
        <v>7.58</v>
      </c>
      <c r="N26" s="63">
        <v>2.69</v>
      </c>
      <c r="O26" s="63">
        <v>3.49</v>
      </c>
    </row>
    <row r="27" spans="1:15" x14ac:dyDescent="0.25">
      <c r="J27" s="419"/>
      <c r="K27" s="65" t="s">
        <v>454</v>
      </c>
      <c r="L27" s="63">
        <v>2.77</v>
      </c>
      <c r="M27" s="63">
        <v>7.98</v>
      </c>
      <c r="N27" s="63">
        <v>2.77</v>
      </c>
      <c r="O27" s="63">
        <v>3.92</v>
      </c>
    </row>
    <row r="28" spans="1:15" x14ac:dyDescent="0.25">
      <c r="J28" s="419"/>
      <c r="K28" s="65" t="s">
        <v>455</v>
      </c>
      <c r="L28" s="63">
        <v>2.72</v>
      </c>
      <c r="M28" s="63">
        <v>9.49</v>
      </c>
      <c r="N28" s="63">
        <v>2.72</v>
      </c>
      <c r="O28" s="63">
        <v>3.59</v>
      </c>
    </row>
    <row r="29" spans="1:15" x14ac:dyDescent="0.25">
      <c r="J29" s="419"/>
      <c r="K29" s="65" t="s">
        <v>457</v>
      </c>
      <c r="L29" s="63">
        <v>3.25</v>
      </c>
      <c r="M29" s="63">
        <v>9.94</v>
      </c>
      <c r="N29" s="63">
        <v>3.25</v>
      </c>
      <c r="O29" s="63">
        <v>4.3899999999999997</v>
      </c>
    </row>
    <row r="30" spans="1:15" x14ac:dyDescent="0.25">
      <c r="J30" s="419"/>
      <c r="K30" s="65" t="s">
        <v>458</v>
      </c>
      <c r="L30" s="63">
        <v>3.42</v>
      </c>
      <c r="M30" s="63">
        <v>11.26</v>
      </c>
      <c r="N30" s="63">
        <v>3.42</v>
      </c>
      <c r="O30" s="63">
        <v>4.87</v>
      </c>
    </row>
    <row r="31" spans="1:15" x14ac:dyDescent="0.25">
      <c r="J31" s="419"/>
      <c r="K31" s="65" t="s">
        <v>459</v>
      </c>
      <c r="L31" s="63">
        <v>2.74</v>
      </c>
      <c r="M31" s="63">
        <v>10.84</v>
      </c>
      <c r="N31" s="63">
        <v>2.74</v>
      </c>
      <c r="O31" s="63">
        <v>5.07</v>
      </c>
    </row>
    <row r="32" spans="1:15" x14ac:dyDescent="0.25">
      <c r="J32" s="419"/>
      <c r="K32" s="65" t="s">
        <v>460</v>
      </c>
      <c r="L32" s="63">
        <v>2.89</v>
      </c>
      <c r="M32" s="63">
        <v>13.06</v>
      </c>
      <c r="N32" s="63">
        <v>2.87</v>
      </c>
      <c r="O32" s="63">
        <v>3.97</v>
      </c>
    </row>
    <row r="33" spans="1:15" x14ac:dyDescent="0.25">
      <c r="J33" s="419"/>
      <c r="K33" s="65" t="s">
        <v>461</v>
      </c>
      <c r="L33" s="63">
        <v>2.84</v>
      </c>
      <c r="M33" s="63">
        <v>10.72</v>
      </c>
      <c r="N33" s="63">
        <v>2.84</v>
      </c>
      <c r="O33" s="63">
        <v>4.0999999999999996</v>
      </c>
    </row>
    <row r="34" spans="1:15" x14ac:dyDescent="0.25">
      <c r="J34" s="419"/>
      <c r="K34" s="61" t="s">
        <v>462</v>
      </c>
      <c r="L34" s="99">
        <f>AVERAGE(L22:L33)</f>
        <v>2.7174999999999998</v>
      </c>
      <c r="M34" s="99">
        <f>MAX(M22:M33)</f>
        <v>13.06</v>
      </c>
      <c r="N34" s="99">
        <f>AVERAGE(N22:N33)</f>
        <v>2.7158333333333338</v>
      </c>
      <c r="O34" s="99">
        <f>MAX(O22:O33)</f>
        <v>5.07</v>
      </c>
    </row>
    <row r="36" spans="1:15" ht="41.4" x14ac:dyDescent="0.25">
      <c r="J36" s="60">
        <f>+A6</f>
        <v>2022</v>
      </c>
      <c r="K36" s="60" t="s">
        <v>444</v>
      </c>
      <c r="L36" s="66" t="s">
        <v>439</v>
      </c>
      <c r="M36" s="66" t="s">
        <v>445</v>
      </c>
      <c r="N36" s="66" t="s">
        <v>442</v>
      </c>
      <c r="O36" s="66" t="s">
        <v>446</v>
      </c>
    </row>
    <row r="37" spans="1:15" x14ac:dyDescent="0.25">
      <c r="J37" s="419" t="s">
        <v>137</v>
      </c>
      <c r="K37" s="65" t="s">
        <v>447</v>
      </c>
      <c r="L37" s="63"/>
      <c r="M37" s="63"/>
      <c r="N37" s="63"/>
      <c r="O37" s="63"/>
    </row>
    <row r="38" spans="1:15" x14ac:dyDescent="0.25">
      <c r="J38" s="419"/>
      <c r="K38" s="65" t="s">
        <v>448</v>
      </c>
      <c r="L38" s="63"/>
      <c r="M38" s="63"/>
      <c r="N38" s="63"/>
      <c r="O38" s="63"/>
    </row>
    <row r="39" spans="1:15" x14ac:dyDescent="0.25">
      <c r="J39" s="419"/>
      <c r="K39" s="65" t="s">
        <v>449</v>
      </c>
      <c r="L39" s="63"/>
      <c r="M39" s="63"/>
      <c r="N39" s="63"/>
      <c r="O39" s="63"/>
    </row>
    <row r="40" spans="1:15" x14ac:dyDescent="0.25">
      <c r="J40" s="419"/>
      <c r="K40" s="65" t="s">
        <v>451</v>
      </c>
      <c r="L40" s="63"/>
      <c r="M40" s="63"/>
      <c r="N40" s="63"/>
      <c r="O40" s="63"/>
    </row>
    <row r="41" spans="1:15" x14ac:dyDescent="0.25">
      <c r="J41" s="419"/>
      <c r="K41" s="65" t="s">
        <v>453</v>
      </c>
      <c r="L41" s="63"/>
      <c r="M41" s="63"/>
      <c r="N41" s="63"/>
      <c r="O41" s="63"/>
    </row>
    <row r="42" spans="1:15" x14ac:dyDescent="0.25">
      <c r="J42" s="419"/>
      <c r="K42" s="65" t="s">
        <v>454</v>
      </c>
      <c r="L42" s="63"/>
      <c r="M42" s="63"/>
      <c r="N42" s="63"/>
      <c r="O42" s="63"/>
    </row>
    <row r="43" spans="1:15" x14ac:dyDescent="0.25">
      <c r="J43" s="419"/>
      <c r="K43" s="65" t="s">
        <v>455</v>
      </c>
      <c r="L43" s="63"/>
      <c r="M43" s="63"/>
      <c r="N43" s="63"/>
      <c r="O43" s="63"/>
    </row>
    <row r="44" spans="1:15" x14ac:dyDescent="0.25">
      <c r="J44" s="419"/>
      <c r="K44" s="65" t="s">
        <v>457</v>
      </c>
      <c r="L44" s="63"/>
      <c r="M44" s="63"/>
      <c r="N44" s="63"/>
      <c r="O44" s="63"/>
    </row>
    <row r="45" spans="1:15" x14ac:dyDescent="0.25">
      <c r="J45" s="419"/>
      <c r="K45" s="65" t="s">
        <v>458</v>
      </c>
      <c r="L45" s="63"/>
      <c r="M45" s="63"/>
      <c r="N45" s="63"/>
      <c r="O45" s="63"/>
    </row>
    <row r="46" spans="1:15" x14ac:dyDescent="0.25">
      <c r="J46" s="419"/>
      <c r="K46" s="65" t="s">
        <v>459</v>
      </c>
      <c r="L46" s="63"/>
      <c r="M46" s="63"/>
      <c r="N46" s="63"/>
      <c r="O46" s="63"/>
    </row>
    <row r="47" spans="1:15" x14ac:dyDescent="0.25">
      <c r="J47" s="419"/>
      <c r="K47" s="65" t="s">
        <v>460</v>
      </c>
      <c r="L47" s="63"/>
      <c r="M47" s="63"/>
      <c r="N47" s="63"/>
      <c r="O47" s="63"/>
    </row>
    <row r="48" spans="1:15" x14ac:dyDescent="0.25">
      <c r="A48" s="431" t="s">
        <v>343</v>
      </c>
      <c r="B48" s="432"/>
      <c r="C48" s="432"/>
      <c r="D48" s="432"/>
      <c r="E48" s="432"/>
      <c r="F48" s="432"/>
      <c r="G48" s="433"/>
      <c r="J48" s="419"/>
      <c r="K48" s="65" t="s">
        <v>461</v>
      </c>
      <c r="L48" s="63"/>
      <c r="M48" s="63"/>
      <c r="N48" s="63"/>
      <c r="O48" s="63"/>
    </row>
    <row r="49" spans="1:15" x14ac:dyDescent="0.25">
      <c r="A49" s="422" t="s">
        <v>429</v>
      </c>
      <c r="B49" s="423"/>
      <c r="C49" s="423"/>
      <c r="D49" s="423"/>
      <c r="E49" s="423"/>
      <c r="F49" s="423"/>
      <c r="G49" s="424"/>
      <c r="J49" s="419"/>
      <c r="K49" s="61" t="s">
        <v>462</v>
      </c>
      <c r="L49" s="61" t="e">
        <f>AVERAGE(L37:L48)</f>
        <v>#DIV/0!</v>
      </c>
      <c r="M49" s="61">
        <f>MAX(M37:M48)</f>
        <v>0</v>
      </c>
      <c r="N49" s="61" t="e">
        <f>AVERAGE(N37:N48)</f>
        <v>#DIV/0!</v>
      </c>
      <c r="O49" s="61">
        <f>MAX(O37:O48)</f>
        <v>0</v>
      </c>
    </row>
    <row r="50" spans="1:15" x14ac:dyDescent="0.25">
      <c r="A50" s="425"/>
      <c r="B50" s="426"/>
      <c r="C50" s="426"/>
      <c r="D50" s="426"/>
      <c r="E50" s="426"/>
      <c r="F50" s="426"/>
      <c r="G50" s="427"/>
    </row>
    <row r="51" spans="1:15" ht="41.4" x14ac:dyDescent="0.25">
      <c r="A51" s="425"/>
      <c r="B51" s="426"/>
      <c r="C51" s="426"/>
      <c r="D51" s="426"/>
      <c r="E51" s="426"/>
      <c r="F51" s="426"/>
      <c r="G51" s="427"/>
      <c r="J51" s="60">
        <f>+A6</f>
        <v>2022</v>
      </c>
      <c r="K51" s="60" t="s">
        <v>444</v>
      </c>
      <c r="L51" s="66" t="s">
        <v>439</v>
      </c>
      <c r="M51" s="66" t="s">
        <v>445</v>
      </c>
      <c r="N51" s="66" t="s">
        <v>442</v>
      </c>
      <c r="O51" s="66" t="s">
        <v>446</v>
      </c>
    </row>
    <row r="52" spans="1:15" x14ac:dyDescent="0.25">
      <c r="A52" s="428"/>
      <c r="B52" s="429"/>
      <c r="C52" s="429"/>
      <c r="D52" s="429"/>
      <c r="E52" s="429"/>
      <c r="F52" s="429"/>
      <c r="G52" s="430"/>
      <c r="J52" s="419" t="s">
        <v>138</v>
      </c>
      <c r="K52" s="65" t="s">
        <v>447</v>
      </c>
      <c r="L52" s="63"/>
      <c r="M52" s="63"/>
      <c r="N52" s="63"/>
      <c r="O52" s="63"/>
    </row>
    <row r="53" spans="1:15" x14ac:dyDescent="0.25">
      <c r="J53" s="419"/>
      <c r="K53" s="65" t="s">
        <v>448</v>
      </c>
      <c r="L53" s="63"/>
      <c r="M53" s="63"/>
      <c r="N53" s="63"/>
      <c r="O53" s="63"/>
    </row>
    <row r="54" spans="1:15" x14ac:dyDescent="0.25">
      <c r="J54" s="419"/>
      <c r="K54" s="65" t="s">
        <v>449</v>
      </c>
      <c r="L54" s="63"/>
      <c r="M54" s="63"/>
      <c r="N54" s="63"/>
      <c r="O54" s="63"/>
    </row>
    <row r="55" spans="1:15" x14ac:dyDescent="0.25">
      <c r="J55" s="419"/>
      <c r="K55" s="65" t="s">
        <v>451</v>
      </c>
      <c r="L55" s="63"/>
      <c r="M55" s="63"/>
      <c r="N55" s="63"/>
      <c r="O55" s="63"/>
    </row>
    <row r="56" spans="1:15" x14ac:dyDescent="0.25">
      <c r="J56" s="419"/>
      <c r="K56" s="65" t="s">
        <v>453</v>
      </c>
      <c r="L56" s="63"/>
      <c r="M56" s="63"/>
      <c r="N56" s="63"/>
      <c r="O56" s="63"/>
    </row>
    <row r="57" spans="1:15" x14ac:dyDescent="0.25">
      <c r="J57" s="419"/>
      <c r="K57" s="65" t="s">
        <v>454</v>
      </c>
      <c r="L57" s="63"/>
      <c r="M57" s="63"/>
      <c r="N57" s="63"/>
      <c r="O57" s="63"/>
    </row>
    <row r="58" spans="1:15" x14ac:dyDescent="0.25">
      <c r="J58" s="419"/>
      <c r="K58" s="65" t="s">
        <v>455</v>
      </c>
      <c r="L58" s="63"/>
      <c r="M58" s="63"/>
      <c r="N58" s="63"/>
      <c r="O58" s="63"/>
    </row>
    <row r="59" spans="1:15" x14ac:dyDescent="0.25">
      <c r="J59" s="419"/>
      <c r="K59" s="65" t="s">
        <v>457</v>
      </c>
      <c r="L59" s="63"/>
      <c r="M59" s="63"/>
      <c r="N59" s="63"/>
      <c r="O59" s="63"/>
    </row>
    <row r="60" spans="1:15" x14ac:dyDescent="0.25">
      <c r="J60" s="419"/>
      <c r="K60" s="65" t="s">
        <v>458</v>
      </c>
      <c r="L60" s="63"/>
      <c r="M60" s="63"/>
      <c r="N60" s="63"/>
      <c r="O60" s="63"/>
    </row>
    <row r="61" spans="1:15" x14ac:dyDescent="0.25">
      <c r="J61" s="419"/>
      <c r="K61" s="65" t="s">
        <v>459</v>
      </c>
      <c r="L61" s="63"/>
      <c r="M61" s="63"/>
      <c r="N61" s="63"/>
      <c r="O61" s="63"/>
    </row>
    <row r="62" spans="1:15" x14ac:dyDescent="0.25">
      <c r="J62" s="419"/>
      <c r="K62" s="65" t="s">
        <v>460</v>
      </c>
      <c r="L62" s="63"/>
      <c r="M62" s="63"/>
      <c r="N62" s="63"/>
      <c r="O62" s="63"/>
    </row>
    <row r="63" spans="1:15" x14ac:dyDescent="0.25">
      <c r="J63" s="419"/>
      <c r="K63" s="65" t="s">
        <v>461</v>
      </c>
      <c r="L63" s="63"/>
      <c r="M63" s="63"/>
      <c r="N63" s="63"/>
      <c r="O63" s="63"/>
    </row>
    <row r="64" spans="1:15" x14ac:dyDescent="0.25">
      <c r="J64" s="419"/>
      <c r="K64" s="61" t="s">
        <v>462</v>
      </c>
      <c r="L64" s="61" t="e">
        <f>AVERAGE(L52:L63)</f>
        <v>#DIV/0!</v>
      </c>
      <c r="M64" s="61">
        <f>MAX(M52:M63)</f>
        <v>0</v>
      </c>
      <c r="N64" s="61" t="e">
        <f>AVERAGE(N52:N63)</f>
        <v>#DIV/0!</v>
      </c>
      <c r="O64" s="61">
        <f>MAX(O52:O63)</f>
        <v>0</v>
      </c>
    </row>
    <row r="66" spans="10:15" ht="41.4" x14ac:dyDescent="0.25">
      <c r="J66" s="60">
        <f>+A6</f>
        <v>2022</v>
      </c>
      <c r="K66" s="60" t="s">
        <v>444</v>
      </c>
      <c r="L66" s="66" t="s">
        <v>439</v>
      </c>
      <c r="M66" s="66" t="s">
        <v>445</v>
      </c>
      <c r="N66" s="66" t="s">
        <v>442</v>
      </c>
      <c r="O66" s="66" t="s">
        <v>446</v>
      </c>
    </row>
    <row r="67" spans="10:15" x14ac:dyDescent="0.25">
      <c r="J67" s="419" t="s">
        <v>139</v>
      </c>
      <c r="K67" s="65" t="s">
        <v>447</v>
      </c>
      <c r="L67" s="63"/>
      <c r="M67" s="63"/>
      <c r="N67" s="63"/>
      <c r="O67" s="63"/>
    </row>
    <row r="68" spans="10:15" x14ac:dyDescent="0.25">
      <c r="J68" s="419"/>
      <c r="K68" s="65" t="s">
        <v>448</v>
      </c>
      <c r="L68" s="63"/>
      <c r="M68" s="63"/>
      <c r="N68" s="63"/>
      <c r="O68" s="63"/>
    </row>
    <row r="69" spans="10:15" x14ac:dyDescent="0.25">
      <c r="J69" s="419"/>
      <c r="K69" s="65" t="s">
        <v>449</v>
      </c>
      <c r="L69" s="63"/>
      <c r="M69" s="63"/>
      <c r="N69" s="63"/>
      <c r="O69" s="63"/>
    </row>
    <row r="70" spans="10:15" x14ac:dyDescent="0.25">
      <c r="J70" s="419"/>
      <c r="K70" s="65" t="s">
        <v>451</v>
      </c>
      <c r="L70" s="63"/>
      <c r="M70" s="63"/>
      <c r="N70" s="63"/>
      <c r="O70" s="63"/>
    </row>
    <row r="71" spans="10:15" x14ac:dyDescent="0.25">
      <c r="J71" s="419"/>
      <c r="K71" s="65" t="s">
        <v>453</v>
      </c>
      <c r="L71" s="63"/>
      <c r="M71" s="63"/>
      <c r="N71" s="63"/>
      <c r="O71" s="63"/>
    </row>
    <row r="72" spans="10:15" x14ac:dyDescent="0.25">
      <c r="J72" s="419"/>
      <c r="K72" s="65" t="s">
        <v>454</v>
      </c>
      <c r="L72" s="63"/>
      <c r="M72" s="63"/>
      <c r="N72" s="63"/>
      <c r="O72" s="63"/>
    </row>
    <row r="73" spans="10:15" x14ac:dyDescent="0.25">
      <c r="J73" s="419"/>
      <c r="K73" s="65" t="s">
        <v>455</v>
      </c>
      <c r="L73" s="63"/>
      <c r="M73" s="63"/>
      <c r="N73" s="63"/>
      <c r="O73" s="63"/>
    </row>
    <row r="74" spans="10:15" x14ac:dyDescent="0.25">
      <c r="J74" s="419"/>
      <c r="K74" s="65" t="s">
        <v>457</v>
      </c>
      <c r="L74" s="63"/>
      <c r="M74" s="63"/>
      <c r="N74" s="63"/>
      <c r="O74" s="63"/>
    </row>
    <row r="75" spans="10:15" x14ac:dyDescent="0.25">
      <c r="J75" s="419"/>
      <c r="K75" s="65" t="s">
        <v>458</v>
      </c>
      <c r="L75" s="63"/>
      <c r="M75" s="63"/>
      <c r="N75" s="63"/>
      <c r="O75" s="63"/>
    </row>
    <row r="76" spans="10:15" x14ac:dyDescent="0.25">
      <c r="J76" s="419"/>
      <c r="K76" s="65" t="s">
        <v>459</v>
      </c>
      <c r="L76" s="63"/>
      <c r="M76" s="63"/>
      <c r="N76" s="63"/>
      <c r="O76" s="63"/>
    </row>
    <row r="77" spans="10:15" x14ac:dyDescent="0.25">
      <c r="J77" s="419"/>
      <c r="K77" s="65" t="s">
        <v>460</v>
      </c>
      <c r="L77" s="63"/>
      <c r="M77" s="63"/>
      <c r="N77" s="63"/>
      <c r="O77" s="63"/>
    </row>
    <row r="78" spans="10:15" x14ac:dyDescent="0.25">
      <c r="J78" s="419"/>
      <c r="K78" s="65" t="s">
        <v>461</v>
      </c>
      <c r="L78" s="63"/>
      <c r="M78" s="63"/>
      <c r="N78" s="63"/>
      <c r="O78" s="63"/>
    </row>
    <row r="79" spans="10:15" x14ac:dyDescent="0.25">
      <c r="J79" s="419"/>
      <c r="K79" s="61" t="s">
        <v>462</v>
      </c>
      <c r="L79" s="61" t="e">
        <f>AVERAGE(L67:L78)</f>
        <v>#DIV/0!</v>
      </c>
      <c r="M79" s="61">
        <f>MAX(M67:M78)</f>
        <v>0</v>
      </c>
      <c r="N79" s="61" t="e">
        <f>AVERAGE(N67:N78)</f>
        <v>#DIV/0!</v>
      </c>
      <c r="O79" s="61">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workbookViewId="0">
      <selection activeCell="A2" sqref="A2"/>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8.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1" t="str">
        <f>+'Cover Page'!$B$29</f>
        <v>Annual Performance Report 2022</v>
      </c>
      <c r="B1" s="91"/>
      <c r="C1" s="91"/>
      <c r="D1" s="91"/>
      <c r="E1" s="91" t="str">
        <f>+'Cover Page'!$B$33</f>
        <v>Kemsley Generating Station</v>
      </c>
      <c r="F1" s="91"/>
      <c r="G1" s="91"/>
    </row>
    <row r="3" spans="1:19" ht="14.4" x14ac:dyDescent="0.3">
      <c r="A3" s="59" t="s">
        <v>463</v>
      </c>
      <c r="D3" s="75" t="s">
        <v>431</v>
      </c>
      <c r="G3" s="79" t="s">
        <v>432</v>
      </c>
      <c r="J3" s="9" t="str">
        <f>+A3</f>
        <v>Monitoring of Sulphur dioxide emissions</v>
      </c>
      <c r="L3" s="9"/>
      <c r="N3" s="9" t="s">
        <v>433</v>
      </c>
      <c r="Q3" s="78" t="s">
        <v>3</v>
      </c>
      <c r="R3" s="73"/>
      <c r="S3" s="73"/>
    </row>
    <row r="4" spans="1:19" ht="13.95" customHeight="1" x14ac:dyDescent="0.25">
      <c r="Q4" s="397" t="s">
        <v>434</v>
      </c>
      <c r="R4" s="397"/>
      <c r="S4" s="397"/>
    </row>
    <row r="5" spans="1:19" ht="16.2" x14ac:dyDescent="0.25">
      <c r="A5" s="67" t="s">
        <v>435</v>
      </c>
      <c r="B5" s="421" t="s">
        <v>436</v>
      </c>
      <c r="C5" s="421"/>
      <c r="D5" s="421"/>
      <c r="E5" s="421" t="s">
        <v>437</v>
      </c>
      <c r="F5" s="421"/>
      <c r="G5" s="421"/>
      <c r="J5" s="420"/>
      <c r="K5" s="420"/>
      <c r="L5" s="420"/>
      <c r="M5" s="420"/>
      <c r="N5" s="420"/>
      <c r="O5" s="420"/>
      <c r="Q5" s="397"/>
      <c r="R5" s="397"/>
      <c r="S5" s="397"/>
    </row>
    <row r="6" spans="1:19" s="57" customFormat="1" ht="37.5" customHeight="1" x14ac:dyDescent="0.3">
      <c r="A6" s="64">
        <f>+'Cover Page'!C39</f>
        <v>2022</v>
      </c>
      <c r="B6" s="54" t="s">
        <v>464</v>
      </c>
      <c r="C6" s="54" t="s">
        <v>439</v>
      </c>
      <c r="D6" s="54" t="s">
        <v>440</v>
      </c>
      <c r="E6" s="54" t="s">
        <v>465</v>
      </c>
      <c r="F6" s="54" t="s">
        <v>442</v>
      </c>
      <c r="G6" s="54" t="s">
        <v>443</v>
      </c>
      <c r="H6" s="58"/>
      <c r="J6" s="60">
        <f>+A6</f>
        <v>2022</v>
      </c>
      <c r="K6" s="60" t="s">
        <v>444</v>
      </c>
      <c r="L6" s="66" t="s">
        <v>439</v>
      </c>
      <c r="M6" s="66" t="s">
        <v>445</v>
      </c>
      <c r="N6" s="66" t="s">
        <v>442</v>
      </c>
      <c r="O6" s="66" t="s">
        <v>446</v>
      </c>
      <c r="Q6" s="397"/>
      <c r="R6" s="397"/>
      <c r="S6" s="397"/>
    </row>
    <row r="7" spans="1:19" x14ac:dyDescent="0.25">
      <c r="A7" s="65" t="s">
        <v>447</v>
      </c>
      <c r="B7" s="62">
        <v>200</v>
      </c>
      <c r="C7" s="63">
        <v>2.09</v>
      </c>
      <c r="D7" s="63">
        <v>48.15</v>
      </c>
      <c r="E7" s="62">
        <v>50</v>
      </c>
      <c r="F7" s="63">
        <v>2.0299999999999998</v>
      </c>
      <c r="G7" s="63">
        <v>9.2799999999999994</v>
      </c>
      <c r="J7" s="419" t="s">
        <v>135</v>
      </c>
      <c r="K7" s="65" t="s">
        <v>447</v>
      </c>
      <c r="L7" s="63">
        <v>2</v>
      </c>
      <c r="M7" s="63">
        <v>48.15</v>
      </c>
      <c r="N7" s="63">
        <v>1.89</v>
      </c>
      <c r="O7" s="63">
        <v>9.2799999999999994</v>
      </c>
      <c r="Q7" s="397"/>
      <c r="R7" s="397"/>
      <c r="S7" s="397"/>
    </row>
    <row r="8" spans="1:19" x14ac:dyDescent="0.25">
      <c r="A8" s="65" t="s">
        <v>448</v>
      </c>
      <c r="B8" s="62">
        <v>200</v>
      </c>
      <c r="C8" s="63">
        <v>7.28</v>
      </c>
      <c r="D8" s="63">
        <v>83.85</v>
      </c>
      <c r="E8" s="62">
        <v>50</v>
      </c>
      <c r="F8" s="63">
        <v>7.06</v>
      </c>
      <c r="G8" s="63">
        <v>23.83</v>
      </c>
      <c r="J8" s="419"/>
      <c r="K8" s="65" t="s">
        <v>448</v>
      </c>
      <c r="L8" s="63">
        <v>8.01</v>
      </c>
      <c r="M8" s="63">
        <v>83.85</v>
      </c>
      <c r="N8" s="63">
        <v>7.51</v>
      </c>
      <c r="O8" s="63">
        <v>23.83</v>
      </c>
      <c r="Q8" s="397"/>
      <c r="R8" s="397"/>
      <c r="S8" s="397"/>
    </row>
    <row r="9" spans="1:19" x14ac:dyDescent="0.25">
      <c r="A9" s="65" t="s">
        <v>449</v>
      </c>
      <c r="B9" s="62">
        <v>200</v>
      </c>
      <c r="C9" s="63">
        <v>6</v>
      </c>
      <c r="D9" s="63">
        <v>86.16</v>
      </c>
      <c r="E9" s="62">
        <v>50</v>
      </c>
      <c r="F9" s="63">
        <v>5.78</v>
      </c>
      <c r="G9" s="63">
        <v>17.59</v>
      </c>
      <c r="J9" s="419"/>
      <c r="K9" s="65" t="s">
        <v>449</v>
      </c>
      <c r="L9" s="63">
        <v>4.6100000000000003</v>
      </c>
      <c r="M9" s="63">
        <v>86.16</v>
      </c>
      <c r="N9" s="63">
        <v>3.58</v>
      </c>
      <c r="O9" s="63">
        <v>7.13</v>
      </c>
      <c r="Q9" s="77" t="s">
        <v>450</v>
      </c>
    </row>
    <row r="10" spans="1:19" ht="14.25" customHeight="1" x14ac:dyDescent="0.25">
      <c r="A10" s="65" t="s">
        <v>451</v>
      </c>
      <c r="B10" s="62">
        <v>200</v>
      </c>
      <c r="C10" s="63">
        <v>5.97</v>
      </c>
      <c r="D10" s="63">
        <v>74.010000000000005</v>
      </c>
      <c r="E10" s="62">
        <v>50</v>
      </c>
      <c r="F10" s="63">
        <v>5.82</v>
      </c>
      <c r="G10" s="63">
        <v>21.75</v>
      </c>
      <c r="J10" s="419"/>
      <c r="K10" s="65" t="s">
        <v>451</v>
      </c>
      <c r="L10" s="63">
        <v>6.63</v>
      </c>
      <c r="M10" s="63">
        <v>74.010000000000005</v>
      </c>
      <c r="N10" s="63">
        <v>6.25</v>
      </c>
      <c r="O10" s="63">
        <v>21.75</v>
      </c>
      <c r="Q10" s="418" t="s">
        <v>452</v>
      </c>
      <c r="R10" s="418"/>
      <c r="S10" s="418"/>
    </row>
    <row r="11" spans="1:19" x14ac:dyDescent="0.25">
      <c r="A11" s="65" t="s">
        <v>453</v>
      </c>
      <c r="B11" s="62">
        <v>200</v>
      </c>
      <c r="C11" s="63">
        <v>3.41</v>
      </c>
      <c r="D11" s="63">
        <v>78.510000000000005</v>
      </c>
      <c r="E11" s="62">
        <v>50</v>
      </c>
      <c r="F11" s="63">
        <v>3.41</v>
      </c>
      <c r="G11" s="63">
        <v>7.74</v>
      </c>
      <c r="J11" s="419"/>
      <c r="K11" s="65" t="s">
        <v>453</v>
      </c>
      <c r="L11" s="63">
        <v>3.85</v>
      </c>
      <c r="M11" s="63">
        <v>78.510000000000005</v>
      </c>
      <c r="N11" s="63">
        <v>3.87</v>
      </c>
      <c r="O11" s="63">
        <v>7.74</v>
      </c>
      <c r="Q11" s="418"/>
      <c r="R11" s="418"/>
      <c r="S11" s="418"/>
    </row>
    <row r="12" spans="1:19" x14ac:dyDescent="0.25">
      <c r="A12" s="65" t="s">
        <v>454</v>
      </c>
      <c r="B12" s="62">
        <v>200</v>
      </c>
      <c r="C12" s="63">
        <v>2.42</v>
      </c>
      <c r="D12" s="63">
        <v>93.04</v>
      </c>
      <c r="E12" s="62">
        <v>50</v>
      </c>
      <c r="F12" s="63">
        <v>2.42</v>
      </c>
      <c r="G12" s="63">
        <v>9.67</v>
      </c>
      <c r="J12" s="419"/>
      <c r="K12" s="65" t="s">
        <v>454</v>
      </c>
      <c r="L12" s="63">
        <v>4.66</v>
      </c>
      <c r="M12" s="63">
        <v>93.04</v>
      </c>
      <c r="N12" s="63">
        <v>4.66</v>
      </c>
      <c r="O12" s="63">
        <v>9.67</v>
      </c>
      <c r="Q12" s="418"/>
      <c r="R12" s="418"/>
      <c r="S12" s="418"/>
    </row>
    <row r="13" spans="1:19" ht="14.25" customHeight="1" x14ac:dyDescent="0.25">
      <c r="A13" s="65" t="s">
        <v>455</v>
      </c>
      <c r="B13" s="62">
        <v>200</v>
      </c>
      <c r="C13" s="63">
        <v>2.21</v>
      </c>
      <c r="D13" s="63">
        <v>65.56</v>
      </c>
      <c r="E13" s="62">
        <v>50</v>
      </c>
      <c r="F13" s="63">
        <v>2.21</v>
      </c>
      <c r="G13" s="63">
        <v>6.27</v>
      </c>
      <c r="J13" s="419"/>
      <c r="K13" s="65" t="s">
        <v>455</v>
      </c>
      <c r="L13" s="63">
        <v>2.14</v>
      </c>
      <c r="M13" s="63">
        <v>42.27</v>
      </c>
      <c r="N13" s="63">
        <v>2.14</v>
      </c>
      <c r="O13" s="63">
        <v>5.21</v>
      </c>
      <c r="Q13" s="418" t="s">
        <v>456</v>
      </c>
      <c r="R13" s="418"/>
      <c r="S13" s="418"/>
    </row>
    <row r="14" spans="1:19" x14ac:dyDescent="0.25">
      <c r="A14" s="65" t="s">
        <v>457</v>
      </c>
      <c r="B14" s="62">
        <v>200</v>
      </c>
      <c r="C14" s="63">
        <v>1.23</v>
      </c>
      <c r="D14" s="63">
        <v>49.72</v>
      </c>
      <c r="E14" s="62">
        <v>50</v>
      </c>
      <c r="F14" s="63">
        <v>1.19</v>
      </c>
      <c r="G14" s="63">
        <v>5.3</v>
      </c>
      <c r="J14" s="419"/>
      <c r="K14" s="65" t="s">
        <v>457</v>
      </c>
      <c r="L14" s="63">
        <v>0.44</v>
      </c>
      <c r="M14" s="63">
        <v>34.79</v>
      </c>
      <c r="N14" s="63">
        <v>0.44</v>
      </c>
      <c r="O14" s="63">
        <v>4.83</v>
      </c>
      <c r="Q14" s="418"/>
      <c r="R14" s="418"/>
      <c r="S14" s="418"/>
    </row>
    <row r="15" spans="1:19" x14ac:dyDescent="0.25">
      <c r="A15" s="65" t="s">
        <v>458</v>
      </c>
      <c r="B15" s="62">
        <v>200</v>
      </c>
      <c r="C15" s="63">
        <v>0.91</v>
      </c>
      <c r="D15" s="63">
        <v>52.37</v>
      </c>
      <c r="E15" s="62">
        <v>50</v>
      </c>
      <c r="F15" s="63">
        <v>0.89</v>
      </c>
      <c r="G15" s="63">
        <v>6</v>
      </c>
      <c r="J15" s="419"/>
      <c r="K15" s="65" t="s">
        <v>458</v>
      </c>
      <c r="L15" s="63">
        <v>-0.31</v>
      </c>
      <c r="M15" s="63">
        <v>36.659999999999997</v>
      </c>
      <c r="N15" s="63">
        <v>0</v>
      </c>
      <c r="O15" s="63">
        <v>2.88</v>
      </c>
      <c r="Q15" s="418"/>
      <c r="R15" s="418"/>
      <c r="S15" s="418"/>
    </row>
    <row r="16" spans="1:19" x14ac:dyDescent="0.25">
      <c r="A16" s="65" t="s">
        <v>459</v>
      </c>
      <c r="B16" s="62">
        <v>200</v>
      </c>
      <c r="C16" s="63">
        <v>1.95</v>
      </c>
      <c r="D16" s="63">
        <v>50.72</v>
      </c>
      <c r="E16" s="62">
        <v>50</v>
      </c>
      <c r="F16" s="63">
        <v>1.95</v>
      </c>
      <c r="G16" s="63">
        <v>10.029999999999999</v>
      </c>
      <c r="J16" s="419"/>
      <c r="K16" s="65" t="s">
        <v>459</v>
      </c>
      <c r="L16" s="63">
        <v>2.0099999999999998</v>
      </c>
      <c r="M16" s="63">
        <v>46.48</v>
      </c>
      <c r="N16" s="63">
        <v>2.0099999999999998</v>
      </c>
      <c r="O16" s="63">
        <v>10.029999999999999</v>
      </c>
      <c r="Q16" s="418"/>
      <c r="R16" s="418"/>
      <c r="S16" s="418"/>
    </row>
    <row r="17" spans="1:15" x14ac:dyDescent="0.25">
      <c r="A17" s="65" t="s">
        <v>460</v>
      </c>
      <c r="B17" s="62">
        <v>200</v>
      </c>
      <c r="C17" s="63">
        <v>0.94</v>
      </c>
      <c r="D17" s="63">
        <v>44.04</v>
      </c>
      <c r="E17" s="62">
        <v>50</v>
      </c>
      <c r="F17" s="63">
        <v>0.8</v>
      </c>
      <c r="G17" s="63">
        <v>5.47</v>
      </c>
      <c r="J17" s="419"/>
      <c r="K17" s="65" t="s">
        <v>460</v>
      </c>
      <c r="L17" s="63">
        <v>0.67</v>
      </c>
      <c r="M17" s="63">
        <v>29.13</v>
      </c>
      <c r="N17" s="63">
        <v>0.44</v>
      </c>
      <c r="O17" s="63">
        <v>5.47</v>
      </c>
    </row>
    <row r="18" spans="1:15" x14ac:dyDescent="0.25">
      <c r="A18" s="65" t="s">
        <v>461</v>
      </c>
      <c r="B18" s="62">
        <v>200</v>
      </c>
      <c r="C18" s="63">
        <v>3.36</v>
      </c>
      <c r="D18" s="63">
        <v>97.55</v>
      </c>
      <c r="E18" s="62">
        <v>50</v>
      </c>
      <c r="F18" s="63">
        <v>3.09</v>
      </c>
      <c r="G18" s="63">
        <v>13.16</v>
      </c>
      <c r="J18" s="419"/>
      <c r="K18" s="65" t="s">
        <v>461</v>
      </c>
      <c r="L18" s="63">
        <v>3.14</v>
      </c>
      <c r="M18" s="63">
        <v>67.87</v>
      </c>
      <c r="N18" s="63">
        <v>2.86</v>
      </c>
      <c r="O18" s="63">
        <v>13.16</v>
      </c>
    </row>
    <row r="19" spans="1:15" x14ac:dyDescent="0.25">
      <c r="J19" s="419"/>
      <c r="K19" s="61" t="s">
        <v>462</v>
      </c>
      <c r="L19" s="99">
        <f>AVERAGE(L7:L18)</f>
        <v>3.1541666666666668</v>
      </c>
      <c r="M19" s="99">
        <f>MAX(M7:M18)</f>
        <v>93.04</v>
      </c>
      <c r="N19" s="99">
        <f>AVERAGE(N7:N18)</f>
        <v>2.9708333333333332</v>
      </c>
      <c r="O19" s="99">
        <f>MAX(O7:O18)</f>
        <v>23.83</v>
      </c>
    </row>
    <row r="21" spans="1:15" ht="27.6" x14ac:dyDescent="0.25">
      <c r="J21" s="60">
        <f>+A6</f>
        <v>2022</v>
      </c>
      <c r="K21" s="60" t="s">
        <v>444</v>
      </c>
      <c r="L21" s="66" t="s">
        <v>439</v>
      </c>
      <c r="M21" s="66" t="s">
        <v>445</v>
      </c>
      <c r="N21" s="66" t="s">
        <v>442</v>
      </c>
      <c r="O21" s="66" t="s">
        <v>446</v>
      </c>
    </row>
    <row r="22" spans="1:15" x14ac:dyDescent="0.25">
      <c r="J22" s="419" t="s">
        <v>136</v>
      </c>
      <c r="K22" s="65" t="s">
        <v>447</v>
      </c>
      <c r="L22" s="63">
        <v>2.25</v>
      </c>
      <c r="M22" s="63">
        <v>32.130000000000003</v>
      </c>
      <c r="N22" s="63">
        <v>2.2799999999999998</v>
      </c>
      <c r="O22" s="63">
        <v>6.44</v>
      </c>
    </row>
    <row r="23" spans="1:15" x14ac:dyDescent="0.25">
      <c r="J23" s="419"/>
      <c r="K23" s="65" t="s">
        <v>448</v>
      </c>
      <c r="L23" s="63">
        <v>6.71</v>
      </c>
      <c r="M23" s="63">
        <v>71.790000000000006</v>
      </c>
      <c r="N23" s="63">
        <v>6.72</v>
      </c>
      <c r="O23" s="63">
        <v>17.34</v>
      </c>
    </row>
    <row r="24" spans="1:15" x14ac:dyDescent="0.25">
      <c r="J24" s="419"/>
      <c r="K24" s="65" t="s">
        <v>449</v>
      </c>
      <c r="L24" s="63">
        <v>6.56</v>
      </c>
      <c r="M24" s="63">
        <v>62.59</v>
      </c>
      <c r="N24" s="63">
        <v>6.58</v>
      </c>
      <c r="O24" s="63">
        <v>17.59</v>
      </c>
    </row>
    <row r="25" spans="1:15" x14ac:dyDescent="0.25">
      <c r="J25" s="419"/>
      <c r="K25" s="65" t="s">
        <v>451</v>
      </c>
      <c r="L25" s="63">
        <v>5.45</v>
      </c>
      <c r="M25" s="63">
        <v>68.900000000000006</v>
      </c>
      <c r="N25" s="63">
        <v>5.48</v>
      </c>
      <c r="O25" s="63">
        <v>15.32</v>
      </c>
    </row>
    <row r="26" spans="1:15" x14ac:dyDescent="0.25">
      <c r="J26" s="419"/>
      <c r="K26" s="65" t="s">
        <v>453</v>
      </c>
      <c r="L26" s="63">
        <v>2.98</v>
      </c>
      <c r="M26" s="63">
        <v>51.31</v>
      </c>
      <c r="N26" s="63">
        <v>2.98</v>
      </c>
      <c r="O26" s="63">
        <v>6.75</v>
      </c>
    </row>
    <row r="27" spans="1:15" x14ac:dyDescent="0.25">
      <c r="J27" s="419"/>
      <c r="K27" s="65" t="s">
        <v>454</v>
      </c>
      <c r="L27" s="63">
        <v>0.19</v>
      </c>
      <c r="M27" s="63">
        <v>46.72</v>
      </c>
      <c r="N27" s="63">
        <v>0.19</v>
      </c>
      <c r="O27" s="63">
        <v>3.39</v>
      </c>
    </row>
    <row r="28" spans="1:15" x14ac:dyDescent="0.25">
      <c r="J28" s="419"/>
      <c r="K28" s="65" t="s">
        <v>455</v>
      </c>
      <c r="L28" s="63">
        <v>2.2799999999999998</v>
      </c>
      <c r="M28" s="63">
        <v>65.56</v>
      </c>
      <c r="N28" s="63">
        <v>2.2799999999999998</v>
      </c>
      <c r="O28" s="63">
        <v>6.27</v>
      </c>
    </row>
    <row r="29" spans="1:15" x14ac:dyDescent="0.25">
      <c r="J29" s="419"/>
      <c r="K29" s="65" t="s">
        <v>457</v>
      </c>
      <c r="L29" s="63">
        <v>2.12</v>
      </c>
      <c r="M29" s="63">
        <v>49.72</v>
      </c>
      <c r="N29" s="63">
        <v>2.1</v>
      </c>
      <c r="O29" s="63">
        <v>5.3</v>
      </c>
    </row>
    <row r="30" spans="1:15" x14ac:dyDescent="0.25">
      <c r="J30" s="419"/>
      <c r="K30" s="65" t="s">
        <v>458</v>
      </c>
      <c r="L30" s="63">
        <v>1.75</v>
      </c>
      <c r="M30" s="63">
        <v>52.37</v>
      </c>
      <c r="N30" s="63">
        <v>1.75</v>
      </c>
      <c r="O30" s="63">
        <v>6</v>
      </c>
    </row>
    <row r="31" spans="1:15" x14ac:dyDescent="0.25">
      <c r="J31" s="419"/>
      <c r="K31" s="65" t="s">
        <v>459</v>
      </c>
      <c r="L31" s="63">
        <v>1.89</v>
      </c>
      <c r="M31" s="63">
        <v>50.72</v>
      </c>
      <c r="N31" s="63">
        <v>1.89</v>
      </c>
      <c r="O31" s="63">
        <v>5.27</v>
      </c>
    </row>
    <row r="32" spans="1:15" x14ac:dyDescent="0.25">
      <c r="J32" s="419"/>
      <c r="K32" s="65" t="s">
        <v>460</v>
      </c>
      <c r="L32" s="63">
        <v>1.29</v>
      </c>
      <c r="M32" s="63">
        <v>44.04</v>
      </c>
      <c r="N32" s="63">
        <v>1.24</v>
      </c>
      <c r="O32" s="63">
        <v>5.29</v>
      </c>
    </row>
    <row r="33" spans="1:15" x14ac:dyDescent="0.25">
      <c r="J33" s="419"/>
      <c r="K33" s="65" t="s">
        <v>461</v>
      </c>
      <c r="L33" s="63">
        <v>3.65</v>
      </c>
      <c r="M33" s="63">
        <v>97.55</v>
      </c>
      <c r="N33" s="63">
        <v>3.36</v>
      </c>
      <c r="O33" s="63">
        <v>11.6</v>
      </c>
    </row>
    <row r="34" spans="1:15" x14ac:dyDescent="0.25">
      <c r="J34" s="419"/>
      <c r="K34" s="61" t="s">
        <v>462</v>
      </c>
      <c r="L34" s="99">
        <f>AVERAGE(L22:L33)</f>
        <v>3.0933333333333333</v>
      </c>
      <c r="M34" s="99">
        <f>MAX(M22:M33)</f>
        <v>97.55</v>
      </c>
      <c r="N34" s="99">
        <f>AVERAGE(N22:N33)</f>
        <v>3.0708333333333342</v>
      </c>
      <c r="O34" s="99">
        <f>MAX(O22:O33)</f>
        <v>17.59</v>
      </c>
    </row>
    <row r="36" spans="1:15" ht="27.6" x14ac:dyDescent="0.25">
      <c r="J36" s="60">
        <f>+A6</f>
        <v>2022</v>
      </c>
      <c r="K36" s="60" t="s">
        <v>444</v>
      </c>
      <c r="L36" s="66" t="s">
        <v>439</v>
      </c>
      <c r="M36" s="66" t="s">
        <v>445</v>
      </c>
      <c r="N36" s="66" t="s">
        <v>442</v>
      </c>
      <c r="O36" s="66" t="s">
        <v>446</v>
      </c>
    </row>
    <row r="37" spans="1:15" x14ac:dyDescent="0.25">
      <c r="J37" s="419" t="s">
        <v>137</v>
      </c>
      <c r="K37" s="65" t="s">
        <v>447</v>
      </c>
      <c r="L37" s="63"/>
      <c r="M37" s="63"/>
      <c r="N37" s="63"/>
      <c r="O37" s="63"/>
    </row>
    <row r="38" spans="1:15" x14ac:dyDescent="0.25">
      <c r="J38" s="419"/>
      <c r="K38" s="65" t="s">
        <v>448</v>
      </c>
      <c r="L38" s="63"/>
      <c r="M38" s="63"/>
      <c r="N38" s="63"/>
      <c r="O38" s="63"/>
    </row>
    <row r="39" spans="1:15" x14ac:dyDescent="0.25">
      <c r="J39" s="419"/>
      <c r="K39" s="65" t="s">
        <v>449</v>
      </c>
      <c r="L39" s="63"/>
      <c r="M39" s="63"/>
      <c r="N39" s="63"/>
      <c r="O39" s="63"/>
    </row>
    <row r="40" spans="1:15" x14ac:dyDescent="0.25">
      <c r="J40" s="419"/>
      <c r="K40" s="65" t="s">
        <v>451</v>
      </c>
      <c r="L40" s="63"/>
      <c r="M40" s="63"/>
      <c r="N40" s="63"/>
      <c r="O40" s="63"/>
    </row>
    <row r="41" spans="1:15" x14ac:dyDescent="0.25">
      <c r="J41" s="419"/>
      <c r="K41" s="65" t="s">
        <v>453</v>
      </c>
      <c r="L41" s="63"/>
      <c r="M41" s="63"/>
      <c r="N41" s="63"/>
      <c r="O41" s="63"/>
    </row>
    <row r="42" spans="1:15" x14ac:dyDescent="0.25">
      <c r="J42" s="419"/>
      <c r="K42" s="65" t="s">
        <v>454</v>
      </c>
      <c r="L42" s="63"/>
      <c r="M42" s="63"/>
      <c r="N42" s="63"/>
      <c r="O42" s="63"/>
    </row>
    <row r="43" spans="1:15" x14ac:dyDescent="0.25">
      <c r="J43" s="419"/>
      <c r="K43" s="65" t="s">
        <v>455</v>
      </c>
      <c r="L43" s="63"/>
      <c r="M43" s="63"/>
      <c r="N43" s="63"/>
      <c r="O43" s="63"/>
    </row>
    <row r="44" spans="1:15" x14ac:dyDescent="0.25">
      <c r="J44" s="419"/>
      <c r="K44" s="65" t="s">
        <v>457</v>
      </c>
      <c r="L44" s="63"/>
      <c r="M44" s="63"/>
      <c r="N44" s="63"/>
      <c r="O44" s="63"/>
    </row>
    <row r="45" spans="1:15" x14ac:dyDescent="0.25">
      <c r="J45" s="419"/>
      <c r="K45" s="65" t="s">
        <v>458</v>
      </c>
      <c r="L45" s="63"/>
      <c r="M45" s="63"/>
      <c r="N45" s="63"/>
      <c r="O45" s="63"/>
    </row>
    <row r="46" spans="1:15" x14ac:dyDescent="0.25">
      <c r="J46" s="419"/>
      <c r="K46" s="65" t="s">
        <v>459</v>
      </c>
      <c r="L46" s="63"/>
      <c r="M46" s="63"/>
      <c r="N46" s="63"/>
      <c r="O46" s="63"/>
    </row>
    <row r="47" spans="1:15" x14ac:dyDescent="0.25">
      <c r="J47" s="419"/>
      <c r="K47" s="65" t="s">
        <v>460</v>
      </c>
      <c r="L47" s="63"/>
      <c r="M47" s="63"/>
      <c r="N47" s="63"/>
      <c r="O47" s="63"/>
    </row>
    <row r="48" spans="1:15" x14ac:dyDescent="0.25">
      <c r="A48" s="431" t="s">
        <v>343</v>
      </c>
      <c r="B48" s="432"/>
      <c r="C48" s="432"/>
      <c r="D48" s="432"/>
      <c r="E48" s="432"/>
      <c r="F48" s="432"/>
      <c r="G48" s="433"/>
      <c r="J48" s="419"/>
      <c r="K48" s="65" t="s">
        <v>461</v>
      </c>
      <c r="L48" s="63"/>
      <c r="M48" s="63"/>
      <c r="N48" s="63"/>
      <c r="O48" s="63"/>
    </row>
    <row r="49" spans="1:15" x14ac:dyDescent="0.25">
      <c r="A49" s="422" t="s">
        <v>429</v>
      </c>
      <c r="B49" s="423"/>
      <c r="C49" s="423"/>
      <c r="D49" s="423"/>
      <c r="E49" s="423"/>
      <c r="F49" s="423"/>
      <c r="G49" s="424"/>
      <c r="J49" s="419"/>
      <c r="K49" s="61" t="s">
        <v>462</v>
      </c>
      <c r="L49" s="61" t="e">
        <f>AVERAGE(L37:L48)</f>
        <v>#DIV/0!</v>
      </c>
      <c r="M49" s="61">
        <f>MAX(M37:M48)</f>
        <v>0</v>
      </c>
      <c r="N49" s="61" t="e">
        <f>AVERAGE(N37:N48)</f>
        <v>#DIV/0!</v>
      </c>
      <c r="O49" s="61">
        <f>MAX(O37:O48)</f>
        <v>0</v>
      </c>
    </row>
    <row r="50" spans="1:15" x14ac:dyDescent="0.25">
      <c r="A50" s="425"/>
      <c r="B50" s="426"/>
      <c r="C50" s="426"/>
      <c r="D50" s="426"/>
      <c r="E50" s="426"/>
      <c r="F50" s="426"/>
      <c r="G50" s="427"/>
    </row>
    <row r="51" spans="1:15" ht="27.6" x14ac:dyDescent="0.25">
      <c r="A51" s="425"/>
      <c r="B51" s="426"/>
      <c r="C51" s="426"/>
      <c r="D51" s="426"/>
      <c r="E51" s="426"/>
      <c r="F51" s="426"/>
      <c r="G51" s="427"/>
      <c r="J51" s="60">
        <f>+A6</f>
        <v>2022</v>
      </c>
      <c r="K51" s="60" t="s">
        <v>444</v>
      </c>
      <c r="L51" s="66" t="s">
        <v>439</v>
      </c>
      <c r="M51" s="66" t="s">
        <v>445</v>
      </c>
      <c r="N51" s="66" t="s">
        <v>442</v>
      </c>
      <c r="O51" s="66" t="s">
        <v>446</v>
      </c>
    </row>
    <row r="52" spans="1:15" x14ac:dyDescent="0.25">
      <c r="A52" s="428"/>
      <c r="B52" s="429"/>
      <c r="C52" s="429"/>
      <c r="D52" s="429"/>
      <c r="E52" s="429"/>
      <c r="F52" s="429"/>
      <c r="G52" s="430"/>
      <c r="J52" s="419" t="s">
        <v>138</v>
      </c>
      <c r="K52" s="65" t="s">
        <v>447</v>
      </c>
      <c r="L52" s="63"/>
      <c r="M52" s="63"/>
      <c r="N52" s="63"/>
      <c r="O52" s="63"/>
    </row>
    <row r="53" spans="1:15" x14ac:dyDescent="0.25">
      <c r="J53" s="419"/>
      <c r="K53" s="65" t="s">
        <v>448</v>
      </c>
      <c r="L53" s="63"/>
      <c r="M53" s="63"/>
      <c r="N53" s="63"/>
      <c r="O53" s="63"/>
    </row>
    <row r="54" spans="1:15" x14ac:dyDescent="0.25">
      <c r="J54" s="419"/>
      <c r="K54" s="65" t="s">
        <v>449</v>
      </c>
      <c r="L54" s="63"/>
      <c r="M54" s="63"/>
      <c r="N54" s="63"/>
      <c r="O54" s="63"/>
    </row>
    <row r="55" spans="1:15" x14ac:dyDescent="0.25">
      <c r="J55" s="419"/>
      <c r="K55" s="65" t="s">
        <v>451</v>
      </c>
      <c r="L55" s="63"/>
      <c r="M55" s="63"/>
      <c r="N55" s="63"/>
      <c r="O55" s="63"/>
    </row>
    <row r="56" spans="1:15" x14ac:dyDescent="0.25">
      <c r="J56" s="419"/>
      <c r="K56" s="65" t="s">
        <v>453</v>
      </c>
      <c r="L56" s="63"/>
      <c r="M56" s="63"/>
      <c r="N56" s="63"/>
      <c r="O56" s="63"/>
    </row>
    <row r="57" spans="1:15" x14ac:dyDescent="0.25">
      <c r="J57" s="419"/>
      <c r="K57" s="65" t="s">
        <v>454</v>
      </c>
      <c r="L57" s="63"/>
      <c r="M57" s="63"/>
      <c r="N57" s="63"/>
      <c r="O57" s="63"/>
    </row>
    <row r="58" spans="1:15" x14ac:dyDescent="0.25">
      <c r="J58" s="419"/>
      <c r="K58" s="65" t="s">
        <v>455</v>
      </c>
      <c r="L58" s="63"/>
      <c r="M58" s="63"/>
      <c r="N58" s="63"/>
      <c r="O58" s="63"/>
    </row>
    <row r="59" spans="1:15" x14ac:dyDescent="0.25">
      <c r="J59" s="419"/>
      <c r="K59" s="65" t="s">
        <v>457</v>
      </c>
      <c r="L59" s="63"/>
      <c r="M59" s="63"/>
      <c r="N59" s="63"/>
      <c r="O59" s="63"/>
    </row>
    <row r="60" spans="1:15" x14ac:dyDescent="0.25">
      <c r="J60" s="419"/>
      <c r="K60" s="65" t="s">
        <v>458</v>
      </c>
      <c r="L60" s="63"/>
      <c r="M60" s="63"/>
      <c r="N60" s="63"/>
      <c r="O60" s="63"/>
    </row>
    <row r="61" spans="1:15" x14ac:dyDescent="0.25">
      <c r="J61" s="419"/>
      <c r="K61" s="65" t="s">
        <v>459</v>
      </c>
      <c r="L61" s="63"/>
      <c r="M61" s="63"/>
      <c r="N61" s="63"/>
      <c r="O61" s="63"/>
    </row>
    <row r="62" spans="1:15" x14ac:dyDescent="0.25">
      <c r="J62" s="419"/>
      <c r="K62" s="65" t="s">
        <v>460</v>
      </c>
      <c r="L62" s="63"/>
      <c r="M62" s="63"/>
      <c r="N62" s="63"/>
      <c r="O62" s="63"/>
    </row>
    <row r="63" spans="1:15" x14ac:dyDescent="0.25">
      <c r="J63" s="419"/>
      <c r="K63" s="65" t="s">
        <v>461</v>
      </c>
      <c r="L63" s="63"/>
      <c r="M63" s="63"/>
      <c r="N63" s="63"/>
      <c r="O63" s="63"/>
    </row>
    <row r="64" spans="1:15" x14ac:dyDescent="0.25">
      <c r="J64" s="419"/>
      <c r="K64" s="61" t="s">
        <v>462</v>
      </c>
      <c r="L64" s="61" t="e">
        <f>AVERAGE(L52:L63)</f>
        <v>#DIV/0!</v>
      </c>
      <c r="M64" s="61">
        <f>MAX(M52:M63)</f>
        <v>0</v>
      </c>
      <c r="N64" s="61" t="e">
        <f>AVERAGE(N52:N63)</f>
        <v>#DIV/0!</v>
      </c>
      <c r="O64" s="61">
        <f>MAX(O52:O63)</f>
        <v>0</v>
      </c>
    </row>
    <row r="66" spans="10:15" ht="27.6" x14ac:dyDescent="0.25">
      <c r="J66" s="60">
        <f>+A6</f>
        <v>2022</v>
      </c>
      <c r="K66" s="60" t="s">
        <v>444</v>
      </c>
      <c r="L66" s="66" t="s">
        <v>439</v>
      </c>
      <c r="M66" s="66" t="s">
        <v>445</v>
      </c>
      <c r="N66" s="66" t="s">
        <v>442</v>
      </c>
      <c r="O66" s="66" t="s">
        <v>446</v>
      </c>
    </row>
    <row r="67" spans="10:15" x14ac:dyDescent="0.25">
      <c r="J67" s="419" t="s">
        <v>139</v>
      </c>
      <c r="K67" s="65" t="s">
        <v>447</v>
      </c>
      <c r="L67" s="63"/>
      <c r="M67" s="63"/>
      <c r="N67" s="63"/>
      <c r="O67" s="63"/>
    </row>
    <row r="68" spans="10:15" x14ac:dyDescent="0.25">
      <c r="J68" s="419"/>
      <c r="K68" s="65" t="s">
        <v>448</v>
      </c>
      <c r="L68" s="63"/>
      <c r="M68" s="63"/>
      <c r="N68" s="63"/>
      <c r="O68" s="63"/>
    </row>
    <row r="69" spans="10:15" x14ac:dyDescent="0.25">
      <c r="J69" s="419"/>
      <c r="K69" s="65" t="s">
        <v>449</v>
      </c>
      <c r="L69" s="63"/>
      <c r="M69" s="63"/>
      <c r="N69" s="63"/>
      <c r="O69" s="63"/>
    </row>
    <row r="70" spans="10:15" x14ac:dyDescent="0.25">
      <c r="J70" s="419"/>
      <c r="K70" s="65" t="s">
        <v>451</v>
      </c>
      <c r="L70" s="63"/>
      <c r="M70" s="63"/>
      <c r="N70" s="63"/>
      <c r="O70" s="63"/>
    </row>
    <row r="71" spans="10:15" x14ac:dyDescent="0.25">
      <c r="J71" s="419"/>
      <c r="K71" s="65" t="s">
        <v>453</v>
      </c>
      <c r="L71" s="63"/>
      <c r="M71" s="63"/>
      <c r="N71" s="63"/>
      <c r="O71" s="63"/>
    </row>
    <row r="72" spans="10:15" x14ac:dyDescent="0.25">
      <c r="J72" s="419"/>
      <c r="K72" s="65" t="s">
        <v>454</v>
      </c>
      <c r="L72" s="63"/>
      <c r="M72" s="63"/>
      <c r="N72" s="63"/>
      <c r="O72" s="63"/>
    </row>
    <row r="73" spans="10:15" x14ac:dyDescent="0.25">
      <c r="J73" s="419"/>
      <c r="K73" s="65" t="s">
        <v>455</v>
      </c>
      <c r="L73" s="63"/>
      <c r="M73" s="63"/>
      <c r="N73" s="63"/>
      <c r="O73" s="63"/>
    </row>
    <row r="74" spans="10:15" x14ac:dyDescent="0.25">
      <c r="J74" s="419"/>
      <c r="K74" s="65" t="s">
        <v>457</v>
      </c>
      <c r="L74" s="63"/>
      <c r="M74" s="63"/>
      <c r="N74" s="63"/>
      <c r="O74" s="63"/>
    </row>
    <row r="75" spans="10:15" x14ac:dyDescent="0.25">
      <c r="J75" s="419"/>
      <c r="K75" s="65" t="s">
        <v>458</v>
      </c>
      <c r="L75" s="63"/>
      <c r="M75" s="63"/>
      <c r="N75" s="63"/>
      <c r="O75" s="63"/>
    </row>
    <row r="76" spans="10:15" x14ac:dyDescent="0.25">
      <c r="J76" s="419"/>
      <c r="K76" s="65" t="s">
        <v>459</v>
      </c>
      <c r="L76" s="63"/>
      <c r="M76" s="63"/>
      <c r="N76" s="63"/>
      <c r="O76" s="63"/>
    </row>
    <row r="77" spans="10:15" x14ac:dyDescent="0.25">
      <c r="J77" s="419"/>
      <c r="K77" s="65" t="s">
        <v>460</v>
      </c>
      <c r="L77" s="63"/>
      <c r="M77" s="63"/>
      <c r="N77" s="63"/>
      <c r="O77" s="63"/>
    </row>
    <row r="78" spans="10:15" x14ac:dyDescent="0.25">
      <c r="J78" s="419"/>
      <c r="K78" s="65" t="s">
        <v>461</v>
      </c>
      <c r="L78" s="63"/>
      <c r="M78" s="63"/>
      <c r="N78" s="63"/>
      <c r="O78" s="63"/>
    </row>
    <row r="79" spans="10:15" x14ac:dyDescent="0.25">
      <c r="J79" s="419"/>
      <c r="K79" s="61" t="s">
        <v>462</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workbookViewId="0">
      <selection activeCell="A2" sqref="A2"/>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1" t="str">
        <f>+'Cover Page'!$B$29</f>
        <v>Annual Performance Report 2022</v>
      </c>
      <c r="B1" s="91"/>
      <c r="C1" s="91"/>
      <c r="D1" s="91"/>
      <c r="E1" s="91" t="str">
        <f>+'Cover Page'!$B$33</f>
        <v>Kemsley Generating Station</v>
      </c>
      <c r="F1" s="91"/>
    </row>
    <row r="3" spans="1:19" ht="14.4" x14ac:dyDescent="0.3">
      <c r="A3" s="59" t="s">
        <v>466</v>
      </c>
      <c r="D3" s="75" t="s">
        <v>431</v>
      </c>
      <c r="G3" s="79" t="s">
        <v>432</v>
      </c>
      <c r="J3" s="9" t="str">
        <f>+A3</f>
        <v>Monitoring of Oxides of Nitrogen emissions</v>
      </c>
      <c r="L3" s="9"/>
      <c r="N3" s="9" t="s">
        <v>433</v>
      </c>
      <c r="Q3" s="78" t="s">
        <v>3</v>
      </c>
      <c r="R3" s="73"/>
      <c r="S3" s="73"/>
    </row>
    <row r="4" spans="1:19" ht="13.95" customHeight="1" x14ac:dyDescent="0.25">
      <c r="Q4" s="397" t="s">
        <v>434</v>
      </c>
      <c r="R4" s="397"/>
      <c r="S4" s="397"/>
    </row>
    <row r="5" spans="1:19" ht="16.2" x14ac:dyDescent="0.25">
      <c r="A5" s="67" t="s">
        <v>435</v>
      </c>
      <c r="B5" s="421" t="s">
        <v>436</v>
      </c>
      <c r="C5" s="421"/>
      <c r="D5" s="421"/>
      <c r="E5" s="421" t="s">
        <v>437</v>
      </c>
      <c r="F5" s="421"/>
      <c r="G5" s="421"/>
      <c r="J5" s="420"/>
      <c r="K5" s="420"/>
      <c r="L5" s="420"/>
      <c r="M5" s="420"/>
      <c r="N5" s="420"/>
      <c r="O5" s="420"/>
      <c r="Q5" s="397"/>
      <c r="R5" s="397"/>
      <c r="S5" s="397"/>
    </row>
    <row r="6" spans="1:19" s="57" customFormat="1" ht="37.5" customHeight="1" x14ac:dyDescent="0.3">
      <c r="A6" s="64">
        <f>+'Cover Page'!C39</f>
        <v>2022</v>
      </c>
      <c r="B6" s="54" t="s">
        <v>467</v>
      </c>
      <c r="C6" s="54" t="s">
        <v>439</v>
      </c>
      <c r="D6" s="54" t="s">
        <v>440</v>
      </c>
      <c r="E6" s="54" t="s">
        <v>468</v>
      </c>
      <c r="F6" s="54" t="s">
        <v>442</v>
      </c>
      <c r="G6" s="54" t="s">
        <v>443</v>
      </c>
      <c r="H6" s="58"/>
      <c r="J6" s="60">
        <f>+A6</f>
        <v>2022</v>
      </c>
      <c r="K6" s="60" t="s">
        <v>444</v>
      </c>
      <c r="L6" s="66" t="s">
        <v>439</v>
      </c>
      <c r="M6" s="66" t="s">
        <v>445</v>
      </c>
      <c r="N6" s="66" t="s">
        <v>442</v>
      </c>
      <c r="O6" s="66" t="s">
        <v>446</v>
      </c>
      <c r="Q6" s="397"/>
      <c r="R6" s="397"/>
      <c r="S6" s="397"/>
    </row>
    <row r="7" spans="1:19" x14ac:dyDescent="0.25">
      <c r="A7" s="65" t="s">
        <v>447</v>
      </c>
      <c r="B7" s="62">
        <v>400</v>
      </c>
      <c r="C7" s="63">
        <v>175.3</v>
      </c>
      <c r="D7" s="63">
        <v>218.35</v>
      </c>
      <c r="E7" s="62">
        <v>200</v>
      </c>
      <c r="F7" s="63">
        <v>175.35</v>
      </c>
      <c r="G7" s="63">
        <v>179.36</v>
      </c>
      <c r="J7" s="419" t="s">
        <v>135</v>
      </c>
      <c r="K7" s="65" t="s">
        <v>447</v>
      </c>
      <c r="L7" s="63">
        <v>175.36</v>
      </c>
      <c r="M7" s="63">
        <v>218.35</v>
      </c>
      <c r="N7" s="63">
        <v>175.43</v>
      </c>
      <c r="O7" s="63">
        <v>179.36</v>
      </c>
      <c r="Q7" s="397"/>
      <c r="R7" s="397"/>
      <c r="S7" s="397"/>
    </row>
    <row r="8" spans="1:19" x14ac:dyDescent="0.25">
      <c r="A8" s="65" t="s">
        <v>448</v>
      </c>
      <c r="B8" s="62">
        <v>400</v>
      </c>
      <c r="C8" s="63">
        <v>175.43</v>
      </c>
      <c r="D8" s="63">
        <v>243.38</v>
      </c>
      <c r="E8" s="62">
        <v>200</v>
      </c>
      <c r="F8" s="63">
        <v>175.41</v>
      </c>
      <c r="G8" s="63">
        <v>183.17</v>
      </c>
      <c r="J8" s="419"/>
      <c r="K8" s="65" t="s">
        <v>448</v>
      </c>
      <c r="L8" s="63">
        <v>175.26</v>
      </c>
      <c r="M8" s="63">
        <v>214.76</v>
      </c>
      <c r="N8" s="63">
        <v>175.2</v>
      </c>
      <c r="O8" s="63">
        <v>175.98</v>
      </c>
      <c r="Q8" s="397"/>
      <c r="R8" s="397"/>
      <c r="S8" s="397"/>
    </row>
    <row r="9" spans="1:19" x14ac:dyDescent="0.25">
      <c r="A9" s="65" t="s">
        <v>449</v>
      </c>
      <c r="B9" s="62">
        <v>400</v>
      </c>
      <c r="C9" s="63">
        <v>175.75</v>
      </c>
      <c r="D9" s="63">
        <v>258.68</v>
      </c>
      <c r="E9" s="62">
        <v>200</v>
      </c>
      <c r="F9" s="63">
        <v>175.77</v>
      </c>
      <c r="G9" s="63">
        <v>185.24</v>
      </c>
      <c r="J9" s="419"/>
      <c r="K9" s="65" t="s">
        <v>449</v>
      </c>
      <c r="L9" s="63">
        <v>175.21</v>
      </c>
      <c r="M9" s="63">
        <v>201.9</v>
      </c>
      <c r="N9" s="63">
        <v>175.21</v>
      </c>
      <c r="O9" s="63">
        <v>175.36</v>
      </c>
      <c r="Q9" s="77" t="s">
        <v>450</v>
      </c>
    </row>
    <row r="10" spans="1:19" ht="14.25" customHeight="1" x14ac:dyDescent="0.25">
      <c r="A10" s="65" t="s">
        <v>451</v>
      </c>
      <c r="B10" s="62">
        <v>400</v>
      </c>
      <c r="C10" s="63">
        <v>174.86</v>
      </c>
      <c r="D10" s="63">
        <v>226.87</v>
      </c>
      <c r="E10" s="62">
        <v>200</v>
      </c>
      <c r="F10" s="63">
        <v>174.86</v>
      </c>
      <c r="G10" s="63">
        <v>177.32</v>
      </c>
      <c r="J10" s="419"/>
      <c r="K10" s="65" t="s">
        <v>451</v>
      </c>
      <c r="L10" s="63">
        <v>174.71</v>
      </c>
      <c r="M10" s="63">
        <v>203.76</v>
      </c>
      <c r="N10" s="63">
        <v>174.7</v>
      </c>
      <c r="O10" s="63">
        <v>177.3</v>
      </c>
      <c r="Q10" s="418" t="s">
        <v>452</v>
      </c>
      <c r="R10" s="418"/>
      <c r="S10" s="418"/>
    </row>
    <row r="11" spans="1:19" x14ac:dyDescent="0.25">
      <c r="A11" s="65" t="s">
        <v>453</v>
      </c>
      <c r="B11" s="62">
        <v>400</v>
      </c>
      <c r="C11" s="63">
        <v>175.43</v>
      </c>
      <c r="D11" s="63">
        <v>231.15</v>
      </c>
      <c r="E11" s="62">
        <v>200</v>
      </c>
      <c r="F11" s="63">
        <v>175.44</v>
      </c>
      <c r="G11" s="63">
        <v>179.22</v>
      </c>
      <c r="J11" s="419"/>
      <c r="K11" s="65" t="s">
        <v>453</v>
      </c>
      <c r="L11" s="63">
        <v>175.58</v>
      </c>
      <c r="M11" s="63">
        <v>231.15</v>
      </c>
      <c r="N11" s="63">
        <v>175.6</v>
      </c>
      <c r="O11" s="63">
        <v>179.22</v>
      </c>
      <c r="Q11" s="418"/>
      <c r="R11" s="418"/>
      <c r="S11" s="418"/>
    </row>
    <row r="12" spans="1:19" x14ac:dyDescent="0.25">
      <c r="A12" s="65" t="s">
        <v>454</v>
      </c>
      <c r="B12" s="62">
        <v>400</v>
      </c>
      <c r="C12" s="63">
        <v>175.33</v>
      </c>
      <c r="D12" s="63">
        <v>211.63</v>
      </c>
      <c r="E12" s="62">
        <v>200</v>
      </c>
      <c r="F12" s="63">
        <v>175.33</v>
      </c>
      <c r="G12" s="63">
        <v>176.52</v>
      </c>
      <c r="J12" s="419"/>
      <c r="K12" s="65" t="s">
        <v>454</v>
      </c>
      <c r="L12" s="63">
        <v>175.34</v>
      </c>
      <c r="M12" s="63">
        <v>207.72</v>
      </c>
      <c r="N12" s="63">
        <v>175.34</v>
      </c>
      <c r="O12" s="63">
        <v>176.52</v>
      </c>
      <c r="Q12" s="418"/>
      <c r="R12" s="418"/>
      <c r="S12" s="418"/>
    </row>
    <row r="13" spans="1:19" ht="14.25" customHeight="1" x14ac:dyDescent="0.25">
      <c r="A13" s="65" t="s">
        <v>455</v>
      </c>
      <c r="B13" s="62">
        <v>400</v>
      </c>
      <c r="C13" s="63">
        <v>175.25</v>
      </c>
      <c r="D13" s="63">
        <v>203.25</v>
      </c>
      <c r="E13" s="62">
        <v>200</v>
      </c>
      <c r="F13" s="63">
        <v>175.25</v>
      </c>
      <c r="G13" s="63">
        <v>176.46</v>
      </c>
      <c r="J13" s="419"/>
      <c r="K13" s="65" t="s">
        <v>455</v>
      </c>
      <c r="L13" s="63">
        <v>175.23</v>
      </c>
      <c r="M13" s="63">
        <v>199.1</v>
      </c>
      <c r="N13" s="63">
        <v>175.23</v>
      </c>
      <c r="O13" s="63">
        <v>176.18</v>
      </c>
      <c r="Q13" s="418" t="s">
        <v>456</v>
      </c>
      <c r="R13" s="418"/>
      <c r="S13" s="418"/>
    </row>
    <row r="14" spans="1:19" x14ac:dyDescent="0.25">
      <c r="A14" s="65" t="s">
        <v>457</v>
      </c>
      <c r="B14" s="62">
        <v>400</v>
      </c>
      <c r="C14" s="63">
        <v>175.26</v>
      </c>
      <c r="D14" s="63">
        <v>217.09</v>
      </c>
      <c r="E14" s="62">
        <v>200</v>
      </c>
      <c r="F14" s="63">
        <v>175.26</v>
      </c>
      <c r="G14" s="63">
        <v>176.88</v>
      </c>
      <c r="J14" s="419"/>
      <c r="K14" s="65" t="s">
        <v>457</v>
      </c>
      <c r="L14" s="63">
        <v>175.29</v>
      </c>
      <c r="M14" s="63">
        <v>217.09</v>
      </c>
      <c r="N14" s="63">
        <v>175.29</v>
      </c>
      <c r="O14" s="63">
        <v>176.88</v>
      </c>
      <c r="Q14" s="418"/>
      <c r="R14" s="418"/>
      <c r="S14" s="418"/>
    </row>
    <row r="15" spans="1:19" x14ac:dyDescent="0.25">
      <c r="A15" s="65" t="s">
        <v>458</v>
      </c>
      <c r="B15" s="62">
        <v>400</v>
      </c>
      <c r="C15" s="63">
        <v>175.55</v>
      </c>
      <c r="D15" s="63">
        <v>207.14</v>
      </c>
      <c r="E15" s="62">
        <v>200</v>
      </c>
      <c r="F15" s="63">
        <v>175.57</v>
      </c>
      <c r="G15" s="63">
        <v>184.44</v>
      </c>
      <c r="J15" s="419"/>
      <c r="K15" s="65" t="s">
        <v>458</v>
      </c>
      <c r="L15" s="63">
        <v>175.25</v>
      </c>
      <c r="M15" s="63">
        <v>207.14</v>
      </c>
      <c r="N15" s="63">
        <v>175.26</v>
      </c>
      <c r="O15" s="63">
        <v>176.14</v>
      </c>
      <c r="Q15" s="418"/>
      <c r="R15" s="418"/>
      <c r="S15" s="418"/>
    </row>
    <row r="16" spans="1:19" x14ac:dyDescent="0.25">
      <c r="A16" s="65" t="s">
        <v>459</v>
      </c>
      <c r="B16" s="62">
        <v>400</v>
      </c>
      <c r="C16" s="63">
        <v>175.43</v>
      </c>
      <c r="D16" s="63">
        <v>228.19</v>
      </c>
      <c r="E16" s="62">
        <v>200</v>
      </c>
      <c r="F16" s="63">
        <v>175.43</v>
      </c>
      <c r="G16" s="63">
        <v>179.58</v>
      </c>
      <c r="J16" s="419"/>
      <c r="K16" s="65" t="s">
        <v>459</v>
      </c>
      <c r="L16" s="63">
        <v>175.28</v>
      </c>
      <c r="M16" s="63">
        <v>225.72</v>
      </c>
      <c r="N16" s="63">
        <v>175.28</v>
      </c>
      <c r="O16" s="63">
        <v>176.57</v>
      </c>
      <c r="Q16" s="418"/>
      <c r="R16" s="418"/>
      <c r="S16" s="418"/>
    </row>
    <row r="17" spans="1:15" x14ac:dyDescent="0.25">
      <c r="A17" s="65" t="s">
        <v>460</v>
      </c>
      <c r="B17" s="62">
        <v>400</v>
      </c>
      <c r="C17" s="63">
        <v>175.53</v>
      </c>
      <c r="D17" s="63">
        <v>237.35</v>
      </c>
      <c r="E17" s="62">
        <v>200</v>
      </c>
      <c r="F17" s="63">
        <v>175.56</v>
      </c>
      <c r="G17" s="63">
        <v>177.94</v>
      </c>
      <c r="J17" s="419"/>
      <c r="K17" s="65" t="s">
        <v>460</v>
      </c>
      <c r="L17" s="63">
        <v>175.72</v>
      </c>
      <c r="M17" s="63">
        <v>237.35</v>
      </c>
      <c r="N17" s="63">
        <v>175.77</v>
      </c>
      <c r="O17" s="63">
        <v>177.94</v>
      </c>
    </row>
    <row r="18" spans="1:15" x14ac:dyDescent="0.25">
      <c r="A18" s="65" t="s">
        <v>461</v>
      </c>
      <c r="B18" s="62">
        <v>400</v>
      </c>
      <c r="C18" s="63">
        <v>175.27</v>
      </c>
      <c r="D18" s="63">
        <v>222.41</v>
      </c>
      <c r="E18" s="62">
        <v>200</v>
      </c>
      <c r="F18" s="63">
        <v>175.28</v>
      </c>
      <c r="G18" s="63">
        <v>179.38</v>
      </c>
      <c r="J18" s="419"/>
      <c r="K18" s="65" t="s">
        <v>461</v>
      </c>
      <c r="L18" s="63">
        <v>175.49</v>
      </c>
      <c r="M18" s="63">
        <v>222.41</v>
      </c>
      <c r="N18" s="63">
        <v>175.51</v>
      </c>
      <c r="O18" s="63">
        <v>179.38</v>
      </c>
    </row>
    <row r="19" spans="1:15" x14ac:dyDescent="0.25">
      <c r="J19" s="419"/>
      <c r="K19" s="61" t="s">
        <v>462</v>
      </c>
      <c r="L19" s="99">
        <f>AVERAGE(L7:L18)</f>
        <v>175.31000000000003</v>
      </c>
      <c r="M19" s="99">
        <f>MAX(M7:M18)</f>
        <v>237.35</v>
      </c>
      <c r="N19" s="99">
        <f>AVERAGE(N7:N18)</f>
        <v>175.3183333333333</v>
      </c>
      <c r="O19" s="99">
        <f>MAX(O7:O18)</f>
        <v>179.38</v>
      </c>
    </row>
    <row r="21" spans="1:15" ht="41.4" x14ac:dyDescent="0.25">
      <c r="J21" s="60">
        <f>+A6</f>
        <v>2022</v>
      </c>
      <c r="K21" s="60" t="s">
        <v>444</v>
      </c>
      <c r="L21" s="66" t="s">
        <v>439</v>
      </c>
      <c r="M21" s="66" t="s">
        <v>445</v>
      </c>
      <c r="N21" s="66" t="s">
        <v>442</v>
      </c>
      <c r="O21" s="66" t="s">
        <v>446</v>
      </c>
    </row>
    <row r="22" spans="1:15" x14ac:dyDescent="0.25">
      <c r="J22" s="419" t="s">
        <v>136</v>
      </c>
      <c r="K22" s="65" t="s">
        <v>447</v>
      </c>
      <c r="L22" s="63">
        <v>175.21</v>
      </c>
      <c r="M22" s="63">
        <v>203.82</v>
      </c>
      <c r="N22" s="63">
        <v>175.22</v>
      </c>
      <c r="O22" s="63">
        <v>176.18</v>
      </c>
    </row>
    <row r="23" spans="1:15" x14ac:dyDescent="0.25">
      <c r="J23" s="419"/>
      <c r="K23" s="65" t="s">
        <v>448</v>
      </c>
      <c r="L23" s="63">
        <v>175.56</v>
      </c>
      <c r="M23" s="63">
        <v>243.38</v>
      </c>
      <c r="N23" s="63">
        <v>175.57</v>
      </c>
      <c r="O23" s="63">
        <v>183.17</v>
      </c>
    </row>
    <row r="24" spans="1:15" x14ac:dyDescent="0.25">
      <c r="J24" s="419"/>
      <c r="K24" s="65" t="s">
        <v>449</v>
      </c>
      <c r="L24" s="63">
        <v>175.97</v>
      </c>
      <c r="M24" s="63">
        <v>258.68</v>
      </c>
      <c r="N24" s="63">
        <v>175.97</v>
      </c>
      <c r="O24" s="63">
        <v>185.24</v>
      </c>
    </row>
    <row r="25" spans="1:15" x14ac:dyDescent="0.25">
      <c r="J25" s="419"/>
      <c r="K25" s="65" t="s">
        <v>451</v>
      </c>
      <c r="L25" s="63">
        <v>174.98</v>
      </c>
      <c r="M25" s="63">
        <v>226.87</v>
      </c>
      <c r="N25" s="63">
        <v>174.98</v>
      </c>
      <c r="O25" s="63">
        <v>177.32</v>
      </c>
    </row>
    <row r="26" spans="1:15" x14ac:dyDescent="0.25">
      <c r="J26" s="419"/>
      <c r="K26" s="65" t="s">
        <v>453</v>
      </c>
      <c r="L26" s="63">
        <v>175.28</v>
      </c>
      <c r="M26" s="63">
        <v>197.38</v>
      </c>
      <c r="N26" s="63">
        <v>175.28</v>
      </c>
      <c r="O26" s="63">
        <v>176.69</v>
      </c>
    </row>
    <row r="27" spans="1:15" x14ac:dyDescent="0.25">
      <c r="J27" s="419"/>
      <c r="K27" s="65" t="s">
        <v>454</v>
      </c>
      <c r="L27" s="63">
        <v>175.32</v>
      </c>
      <c r="M27" s="63">
        <v>211.63</v>
      </c>
      <c r="N27" s="63">
        <v>175.32</v>
      </c>
      <c r="O27" s="63">
        <v>176.48</v>
      </c>
    </row>
    <row r="28" spans="1:15" x14ac:dyDescent="0.25">
      <c r="J28" s="419"/>
      <c r="K28" s="65" t="s">
        <v>455</v>
      </c>
      <c r="L28" s="63">
        <v>175.26</v>
      </c>
      <c r="M28" s="63">
        <v>203.25</v>
      </c>
      <c r="N28" s="63">
        <v>175.26</v>
      </c>
      <c r="O28" s="63">
        <v>176.46</v>
      </c>
    </row>
    <row r="29" spans="1:15" x14ac:dyDescent="0.25">
      <c r="J29" s="419"/>
      <c r="K29" s="65" t="s">
        <v>457</v>
      </c>
      <c r="L29" s="63">
        <v>175.23</v>
      </c>
      <c r="M29" s="63">
        <v>198.93</v>
      </c>
      <c r="N29" s="63">
        <v>175.22</v>
      </c>
      <c r="O29" s="63">
        <v>175.68</v>
      </c>
    </row>
    <row r="30" spans="1:15" x14ac:dyDescent="0.25">
      <c r="J30" s="419"/>
      <c r="K30" s="65" t="s">
        <v>458</v>
      </c>
      <c r="L30" s="63">
        <v>175.76</v>
      </c>
      <c r="M30" s="63">
        <v>204.76</v>
      </c>
      <c r="N30" s="63">
        <v>175.76</v>
      </c>
      <c r="O30" s="63">
        <v>184.44</v>
      </c>
    </row>
    <row r="31" spans="1:15" x14ac:dyDescent="0.25">
      <c r="J31" s="419"/>
      <c r="K31" s="65" t="s">
        <v>459</v>
      </c>
      <c r="L31" s="63">
        <v>175.58</v>
      </c>
      <c r="M31" s="63">
        <v>228.19</v>
      </c>
      <c r="N31" s="63">
        <v>175.58</v>
      </c>
      <c r="O31" s="63">
        <v>179.58</v>
      </c>
    </row>
    <row r="32" spans="1:15" x14ac:dyDescent="0.25">
      <c r="J32" s="419"/>
      <c r="K32" s="65" t="s">
        <v>460</v>
      </c>
      <c r="L32" s="63">
        <v>175.29</v>
      </c>
      <c r="M32" s="63">
        <v>224.2</v>
      </c>
      <c r="N32" s="63">
        <v>175.3</v>
      </c>
      <c r="O32" s="63">
        <v>175.94</v>
      </c>
    </row>
    <row r="33" spans="1:15" x14ac:dyDescent="0.25">
      <c r="J33" s="419"/>
      <c r="K33" s="65" t="s">
        <v>461</v>
      </c>
      <c r="L33" s="63">
        <v>174.98</v>
      </c>
      <c r="M33" s="63">
        <v>194.43</v>
      </c>
      <c r="N33" s="63">
        <v>174.98</v>
      </c>
      <c r="O33" s="63">
        <v>175.37</v>
      </c>
    </row>
    <row r="34" spans="1:15" x14ac:dyDescent="0.25">
      <c r="J34" s="419"/>
      <c r="K34" s="61" t="s">
        <v>462</v>
      </c>
      <c r="L34" s="99">
        <f>AVERAGE(L22:L33)</f>
        <v>175.36833333333331</v>
      </c>
      <c r="M34" s="99">
        <f>MAX(M22:M33)</f>
        <v>258.68</v>
      </c>
      <c r="N34" s="99">
        <f>AVERAGE(N22:N33)</f>
        <v>175.36999999999998</v>
      </c>
      <c r="O34" s="99">
        <f>MAX(O22:O33)</f>
        <v>185.24</v>
      </c>
    </row>
    <row r="36" spans="1:15" ht="41.4" x14ac:dyDescent="0.25">
      <c r="J36" s="60">
        <f>+A6</f>
        <v>2022</v>
      </c>
      <c r="K36" s="60" t="s">
        <v>444</v>
      </c>
      <c r="L36" s="66" t="s">
        <v>439</v>
      </c>
      <c r="M36" s="66" t="s">
        <v>445</v>
      </c>
      <c r="N36" s="66" t="s">
        <v>442</v>
      </c>
      <c r="O36" s="66" t="s">
        <v>446</v>
      </c>
    </row>
    <row r="37" spans="1:15" x14ac:dyDescent="0.25">
      <c r="J37" s="419" t="s">
        <v>137</v>
      </c>
      <c r="K37" s="65" t="s">
        <v>447</v>
      </c>
      <c r="L37" s="63"/>
      <c r="M37" s="63"/>
      <c r="N37" s="63"/>
      <c r="O37" s="63"/>
    </row>
    <row r="38" spans="1:15" x14ac:dyDescent="0.25">
      <c r="J38" s="419"/>
      <c r="K38" s="65" t="s">
        <v>448</v>
      </c>
      <c r="L38" s="63"/>
      <c r="M38" s="63"/>
      <c r="N38" s="63"/>
      <c r="O38" s="63"/>
    </row>
    <row r="39" spans="1:15" x14ac:dyDescent="0.25">
      <c r="J39" s="419"/>
      <c r="K39" s="65" t="s">
        <v>449</v>
      </c>
      <c r="L39" s="63"/>
      <c r="M39" s="63"/>
      <c r="N39" s="63"/>
      <c r="O39" s="63"/>
    </row>
    <row r="40" spans="1:15" x14ac:dyDescent="0.25">
      <c r="J40" s="419"/>
      <c r="K40" s="65" t="s">
        <v>451</v>
      </c>
      <c r="L40" s="63"/>
      <c r="M40" s="63"/>
      <c r="N40" s="63"/>
      <c r="O40" s="63"/>
    </row>
    <row r="41" spans="1:15" x14ac:dyDescent="0.25">
      <c r="J41" s="419"/>
      <c r="K41" s="65" t="s">
        <v>453</v>
      </c>
      <c r="L41" s="63"/>
      <c r="M41" s="63"/>
      <c r="N41" s="63"/>
      <c r="O41" s="63"/>
    </row>
    <row r="42" spans="1:15" x14ac:dyDescent="0.25">
      <c r="J42" s="419"/>
      <c r="K42" s="65" t="s">
        <v>454</v>
      </c>
      <c r="L42" s="63"/>
      <c r="M42" s="63"/>
      <c r="N42" s="63"/>
      <c r="O42" s="63"/>
    </row>
    <row r="43" spans="1:15" x14ac:dyDescent="0.25">
      <c r="J43" s="419"/>
      <c r="K43" s="65" t="s">
        <v>455</v>
      </c>
      <c r="L43" s="63"/>
      <c r="M43" s="63"/>
      <c r="N43" s="63"/>
      <c r="O43" s="63"/>
    </row>
    <row r="44" spans="1:15" x14ac:dyDescent="0.25">
      <c r="J44" s="419"/>
      <c r="K44" s="65" t="s">
        <v>457</v>
      </c>
      <c r="L44" s="63"/>
      <c r="M44" s="63"/>
      <c r="N44" s="63"/>
      <c r="O44" s="63"/>
    </row>
    <row r="45" spans="1:15" x14ac:dyDescent="0.25">
      <c r="J45" s="419"/>
      <c r="K45" s="65" t="s">
        <v>458</v>
      </c>
      <c r="L45" s="63"/>
      <c r="M45" s="63"/>
      <c r="N45" s="63"/>
      <c r="O45" s="63"/>
    </row>
    <row r="46" spans="1:15" x14ac:dyDescent="0.25">
      <c r="J46" s="419"/>
      <c r="K46" s="65" t="s">
        <v>459</v>
      </c>
      <c r="L46" s="63"/>
      <c r="M46" s="63"/>
      <c r="N46" s="63"/>
      <c r="O46" s="63"/>
    </row>
    <row r="47" spans="1:15" x14ac:dyDescent="0.25">
      <c r="J47" s="419"/>
      <c r="K47" s="65" t="s">
        <v>460</v>
      </c>
      <c r="L47" s="63"/>
      <c r="M47" s="63"/>
      <c r="N47" s="63"/>
      <c r="O47" s="63"/>
    </row>
    <row r="48" spans="1:15" x14ac:dyDescent="0.25">
      <c r="A48" s="431" t="s">
        <v>343</v>
      </c>
      <c r="B48" s="432"/>
      <c r="C48" s="432"/>
      <c r="D48" s="432"/>
      <c r="E48" s="432"/>
      <c r="F48" s="432"/>
      <c r="G48" s="433"/>
      <c r="J48" s="419"/>
      <c r="K48" s="65" t="s">
        <v>461</v>
      </c>
      <c r="L48" s="63"/>
      <c r="M48" s="63"/>
      <c r="N48" s="63"/>
      <c r="O48" s="63"/>
    </row>
    <row r="49" spans="1:15" x14ac:dyDescent="0.25">
      <c r="A49" s="422" t="s">
        <v>429</v>
      </c>
      <c r="B49" s="423"/>
      <c r="C49" s="423"/>
      <c r="D49" s="423"/>
      <c r="E49" s="423"/>
      <c r="F49" s="423"/>
      <c r="G49" s="424"/>
      <c r="J49" s="419"/>
      <c r="K49" s="61" t="s">
        <v>462</v>
      </c>
      <c r="L49" s="61" t="e">
        <f>AVERAGE(L37:L48)</f>
        <v>#DIV/0!</v>
      </c>
      <c r="M49" s="61">
        <f>MAX(M37:M48)</f>
        <v>0</v>
      </c>
      <c r="N49" s="61" t="e">
        <f>AVERAGE(N37:N48)</f>
        <v>#DIV/0!</v>
      </c>
      <c r="O49" s="61">
        <f>MAX(O37:O48)</f>
        <v>0</v>
      </c>
    </row>
    <row r="50" spans="1:15" x14ac:dyDescent="0.25">
      <c r="A50" s="425"/>
      <c r="B50" s="426"/>
      <c r="C50" s="426"/>
      <c r="D50" s="426"/>
      <c r="E50" s="426"/>
      <c r="F50" s="426"/>
      <c r="G50" s="427"/>
    </row>
    <row r="51" spans="1:15" ht="41.4" x14ac:dyDescent="0.25">
      <c r="A51" s="425"/>
      <c r="B51" s="426"/>
      <c r="C51" s="426"/>
      <c r="D51" s="426"/>
      <c r="E51" s="426"/>
      <c r="F51" s="426"/>
      <c r="G51" s="427"/>
      <c r="J51" s="60">
        <f>+A6</f>
        <v>2022</v>
      </c>
      <c r="K51" s="60" t="s">
        <v>444</v>
      </c>
      <c r="L51" s="66" t="s">
        <v>439</v>
      </c>
      <c r="M51" s="66" t="s">
        <v>445</v>
      </c>
      <c r="N51" s="66" t="s">
        <v>442</v>
      </c>
      <c r="O51" s="66" t="s">
        <v>446</v>
      </c>
    </row>
    <row r="52" spans="1:15" x14ac:dyDescent="0.25">
      <c r="A52" s="428"/>
      <c r="B52" s="429"/>
      <c r="C52" s="429"/>
      <c r="D52" s="429"/>
      <c r="E52" s="429"/>
      <c r="F52" s="429"/>
      <c r="G52" s="430"/>
      <c r="J52" s="419" t="s">
        <v>138</v>
      </c>
      <c r="K52" s="65" t="s">
        <v>447</v>
      </c>
      <c r="L52" s="63"/>
      <c r="M52" s="63"/>
      <c r="N52" s="63"/>
      <c r="O52" s="63"/>
    </row>
    <row r="53" spans="1:15" x14ac:dyDescent="0.25">
      <c r="J53" s="419"/>
      <c r="K53" s="65" t="s">
        <v>448</v>
      </c>
      <c r="L53" s="63"/>
      <c r="M53" s="63"/>
      <c r="N53" s="63"/>
      <c r="O53" s="63"/>
    </row>
    <row r="54" spans="1:15" x14ac:dyDescent="0.25">
      <c r="J54" s="419"/>
      <c r="K54" s="65" t="s">
        <v>449</v>
      </c>
      <c r="L54" s="63"/>
      <c r="M54" s="63"/>
      <c r="N54" s="63"/>
      <c r="O54" s="63"/>
    </row>
    <row r="55" spans="1:15" x14ac:dyDescent="0.25">
      <c r="J55" s="419"/>
      <c r="K55" s="65" t="s">
        <v>451</v>
      </c>
      <c r="L55" s="63"/>
      <c r="M55" s="63"/>
      <c r="N55" s="63"/>
      <c r="O55" s="63"/>
    </row>
    <row r="56" spans="1:15" x14ac:dyDescent="0.25">
      <c r="J56" s="419"/>
      <c r="K56" s="65" t="s">
        <v>453</v>
      </c>
      <c r="L56" s="63"/>
      <c r="M56" s="63"/>
      <c r="N56" s="63"/>
      <c r="O56" s="63"/>
    </row>
    <row r="57" spans="1:15" x14ac:dyDescent="0.25">
      <c r="J57" s="419"/>
      <c r="K57" s="65" t="s">
        <v>454</v>
      </c>
      <c r="L57" s="63"/>
      <c r="M57" s="63"/>
      <c r="N57" s="63"/>
      <c r="O57" s="63"/>
    </row>
    <row r="58" spans="1:15" x14ac:dyDescent="0.25">
      <c r="J58" s="419"/>
      <c r="K58" s="65" t="s">
        <v>455</v>
      </c>
      <c r="L58" s="63"/>
      <c r="M58" s="63"/>
      <c r="N58" s="63"/>
      <c r="O58" s="63"/>
    </row>
    <row r="59" spans="1:15" x14ac:dyDescent="0.25">
      <c r="J59" s="419"/>
      <c r="K59" s="65" t="s">
        <v>457</v>
      </c>
      <c r="L59" s="63"/>
      <c r="M59" s="63"/>
      <c r="N59" s="63"/>
      <c r="O59" s="63"/>
    </row>
    <row r="60" spans="1:15" x14ac:dyDescent="0.25">
      <c r="J60" s="419"/>
      <c r="K60" s="65" t="s">
        <v>458</v>
      </c>
      <c r="L60" s="63"/>
      <c r="M60" s="63"/>
      <c r="N60" s="63"/>
      <c r="O60" s="63"/>
    </row>
    <row r="61" spans="1:15" x14ac:dyDescent="0.25">
      <c r="J61" s="419"/>
      <c r="K61" s="65" t="s">
        <v>459</v>
      </c>
      <c r="L61" s="63"/>
      <c r="M61" s="63"/>
      <c r="N61" s="63"/>
      <c r="O61" s="63"/>
    </row>
    <row r="62" spans="1:15" x14ac:dyDescent="0.25">
      <c r="J62" s="419"/>
      <c r="K62" s="65" t="s">
        <v>460</v>
      </c>
      <c r="L62" s="63"/>
      <c r="M62" s="63"/>
      <c r="N62" s="63"/>
      <c r="O62" s="63"/>
    </row>
    <row r="63" spans="1:15" x14ac:dyDescent="0.25">
      <c r="J63" s="419"/>
      <c r="K63" s="65" t="s">
        <v>461</v>
      </c>
      <c r="L63" s="63"/>
      <c r="M63" s="63"/>
      <c r="N63" s="63"/>
      <c r="O63" s="63"/>
    </row>
    <row r="64" spans="1:15" x14ac:dyDescent="0.25">
      <c r="J64" s="419"/>
      <c r="K64" s="61" t="s">
        <v>462</v>
      </c>
      <c r="L64" s="61" t="e">
        <f>AVERAGE(L52:L63)</f>
        <v>#DIV/0!</v>
      </c>
      <c r="M64" s="61">
        <f>MAX(M52:M63)</f>
        <v>0</v>
      </c>
      <c r="N64" s="61" t="e">
        <f>AVERAGE(N52:N63)</f>
        <v>#DIV/0!</v>
      </c>
      <c r="O64" s="61">
        <f>MAX(O52:O63)</f>
        <v>0</v>
      </c>
    </row>
    <row r="66" spans="10:15" ht="41.4" x14ac:dyDescent="0.25">
      <c r="J66" s="60">
        <f>+A6</f>
        <v>2022</v>
      </c>
      <c r="K66" s="60" t="s">
        <v>444</v>
      </c>
      <c r="L66" s="66" t="s">
        <v>439</v>
      </c>
      <c r="M66" s="66" t="s">
        <v>445</v>
      </c>
      <c r="N66" s="66" t="s">
        <v>442</v>
      </c>
      <c r="O66" s="66" t="s">
        <v>446</v>
      </c>
    </row>
    <row r="67" spans="10:15" x14ac:dyDescent="0.25">
      <c r="J67" s="419" t="s">
        <v>139</v>
      </c>
      <c r="K67" s="65" t="s">
        <v>447</v>
      </c>
      <c r="L67" s="63"/>
      <c r="M67" s="63"/>
      <c r="N67" s="63"/>
      <c r="O67" s="63"/>
    </row>
    <row r="68" spans="10:15" x14ac:dyDescent="0.25">
      <c r="J68" s="419"/>
      <c r="K68" s="65" t="s">
        <v>448</v>
      </c>
      <c r="L68" s="63"/>
      <c r="M68" s="63"/>
      <c r="N68" s="63"/>
      <c r="O68" s="63"/>
    </row>
    <row r="69" spans="10:15" x14ac:dyDescent="0.25">
      <c r="J69" s="419"/>
      <c r="K69" s="65" t="s">
        <v>449</v>
      </c>
      <c r="L69" s="63"/>
      <c r="M69" s="63"/>
      <c r="N69" s="63"/>
      <c r="O69" s="63"/>
    </row>
    <row r="70" spans="10:15" x14ac:dyDescent="0.25">
      <c r="J70" s="419"/>
      <c r="K70" s="65" t="s">
        <v>451</v>
      </c>
      <c r="L70" s="63"/>
      <c r="M70" s="63"/>
      <c r="N70" s="63"/>
      <c r="O70" s="63"/>
    </row>
    <row r="71" spans="10:15" x14ac:dyDescent="0.25">
      <c r="J71" s="419"/>
      <c r="K71" s="65" t="s">
        <v>453</v>
      </c>
      <c r="L71" s="63"/>
      <c r="M71" s="63"/>
      <c r="N71" s="63"/>
      <c r="O71" s="63"/>
    </row>
    <row r="72" spans="10:15" x14ac:dyDescent="0.25">
      <c r="J72" s="419"/>
      <c r="K72" s="65" t="s">
        <v>454</v>
      </c>
      <c r="L72" s="63"/>
      <c r="M72" s="63"/>
      <c r="N72" s="63"/>
      <c r="O72" s="63"/>
    </row>
    <row r="73" spans="10:15" x14ac:dyDescent="0.25">
      <c r="J73" s="419"/>
      <c r="K73" s="65" t="s">
        <v>455</v>
      </c>
      <c r="L73" s="63"/>
      <c r="M73" s="63"/>
      <c r="N73" s="63"/>
      <c r="O73" s="63"/>
    </row>
    <row r="74" spans="10:15" x14ac:dyDescent="0.25">
      <c r="J74" s="419"/>
      <c r="K74" s="65" t="s">
        <v>457</v>
      </c>
      <c r="L74" s="63"/>
      <c r="M74" s="63"/>
      <c r="N74" s="63"/>
      <c r="O74" s="63"/>
    </row>
    <row r="75" spans="10:15" x14ac:dyDescent="0.25">
      <c r="J75" s="419"/>
      <c r="K75" s="65" t="s">
        <v>458</v>
      </c>
      <c r="L75" s="63"/>
      <c r="M75" s="63"/>
      <c r="N75" s="63"/>
      <c r="O75" s="63"/>
    </row>
    <row r="76" spans="10:15" x14ac:dyDescent="0.25">
      <c r="J76" s="419"/>
      <c r="K76" s="65" t="s">
        <v>459</v>
      </c>
      <c r="L76" s="63"/>
      <c r="M76" s="63"/>
      <c r="N76" s="63"/>
      <c r="O76" s="63"/>
    </row>
    <row r="77" spans="10:15" x14ac:dyDescent="0.25">
      <c r="J77" s="419"/>
      <c r="K77" s="65" t="s">
        <v>460</v>
      </c>
      <c r="L77" s="63"/>
      <c r="M77" s="63"/>
      <c r="N77" s="63"/>
      <c r="O77" s="63"/>
    </row>
    <row r="78" spans="10:15" x14ac:dyDescent="0.25">
      <c r="J78" s="419"/>
      <c r="K78" s="65" t="s">
        <v>461</v>
      </c>
      <c r="L78" s="63"/>
      <c r="M78" s="63"/>
      <c r="N78" s="63"/>
      <c r="O78" s="63"/>
    </row>
    <row r="79" spans="10:15" x14ac:dyDescent="0.25">
      <c r="J79" s="419"/>
      <c r="K79" s="61" t="s">
        <v>462</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workbookViewId="0">
      <selection activeCell="A2" sqref="A2"/>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1" t="str">
        <f>+'Cover Page'!$B$29</f>
        <v>Annual Performance Report 2022</v>
      </c>
      <c r="B1" s="91"/>
      <c r="C1" s="91"/>
      <c r="D1" s="91"/>
      <c r="E1" s="91" t="str">
        <f>+'Cover Page'!$B$33</f>
        <v>Kemsley Generating Station</v>
      </c>
    </row>
    <row r="3" spans="1:19" ht="14.4" x14ac:dyDescent="0.3">
      <c r="A3" s="59" t="s">
        <v>469</v>
      </c>
      <c r="D3" s="75" t="s">
        <v>431</v>
      </c>
      <c r="G3" s="79" t="s">
        <v>432</v>
      </c>
      <c r="J3" s="9" t="str">
        <f>+A3</f>
        <v>Monitoring of Total organic carbon emissions</v>
      </c>
      <c r="L3" s="9"/>
      <c r="N3" s="9" t="s">
        <v>433</v>
      </c>
      <c r="Q3" s="78" t="s">
        <v>3</v>
      </c>
      <c r="R3" s="73"/>
      <c r="S3" s="73"/>
    </row>
    <row r="4" spans="1:19" ht="13.95" customHeight="1" x14ac:dyDescent="0.25">
      <c r="Q4" s="397" t="s">
        <v>434</v>
      </c>
      <c r="R4" s="397"/>
      <c r="S4" s="397"/>
    </row>
    <row r="5" spans="1:19" ht="16.2" x14ac:dyDescent="0.25">
      <c r="A5" s="67" t="s">
        <v>435</v>
      </c>
      <c r="B5" s="421" t="s">
        <v>436</v>
      </c>
      <c r="C5" s="421"/>
      <c r="D5" s="421"/>
      <c r="E5" s="421" t="s">
        <v>437</v>
      </c>
      <c r="F5" s="421"/>
      <c r="G5" s="421"/>
      <c r="J5" s="420"/>
      <c r="K5" s="420"/>
      <c r="L5" s="420"/>
      <c r="M5" s="420"/>
      <c r="N5" s="420"/>
      <c r="O5" s="420"/>
      <c r="Q5" s="397"/>
      <c r="R5" s="397"/>
      <c r="S5" s="397"/>
    </row>
    <row r="6" spans="1:19" s="57" customFormat="1" ht="37.5" customHeight="1" x14ac:dyDescent="0.3">
      <c r="A6" s="64">
        <f>+'Cover Page'!C39</f>
        <v>2022</v>
      </c>
      <c r="B6" s="54" t="s">
        <v>470</v>
      </c>
      <c r="C6" s="54" t="s">
        <v>439</v>
      </c>
      <c r="D6" s="54" t="s">
        <v>440</v>
      </c>
      <c r="E6" s="54" t="s">
        <v>471</v>
      </c>
      <c r="F6" s="54" t="s">
        <v>442</v>
      </c>
      <c r="G6" s="54" t="s">
        <v>443</v>
      </c>
      <c r="H6" s="58"/>
      <c r="J6" s="60">
        <f>+A6</f>
        <v>2022</v>
      </c>
      <c r="K6" s="60" t="s">
        <v>444</v>
      </c>
      <c r="L6" s="66" t="s">
        <v>439</v>
      </c>
      <c r="M6" s="66" t="s">
        <v>445</v>
      </c>
      <c r="N6" s="66" t="s">
        <v>442</v>
      </c>
      <c r="O6" s="66" t="s">
        <v>446</v>
      </c>
      <c r="Q6" s="397"/>
      <c r="R6" s="397"/>
      <c r="S6" s="397"/>
    </row>
    <row r="7" spans="1:19" x14ac:dyDescent="0.25">
      <c r="A7" s="65" t="s">
        <v>447</v>
      </c>
      <c r="B7" s="62">
        <v>20</v>
      </c>
      <c r="C7" s="63">
        <v>0.15</v>
      </c>
      <c r="D7" s="63">
        <v>1.86</v>
      </c>
      <c r="E7" s="62">
        <v>10</v>
      </c>
      <c r="F7" s="63">
        <v>0.15</v>
      </c>
      <c r="G7" s="63">
        <v>0.35</v>
      </c>
      <c r="J7" s="419" t="s">
        <v>135</v>
      </c>
      <c r="K7" s="65" t="s">
        <v>447</v>
      </c>
      <c r="L7" s="63">
        <v>0.15</v>
      </c>
      <c r="M7" s="63">
        <v>1.35</v>
      </c>
      <c r="N7" s="63">
        <v>0.14000000000000001</v>
      </c>
      <c r="O7" s="63">
        <v>0.28999999999999998</v>
      </c>
      <c r="Q7" s="397"/>
      <c r="R7" s="397"/>
      <c r="S7" s="397"/>
    </row>
    <row r="8" spans="1:19" x14ac:dyDescent="0.25">
      <c r="A8" s="65" t="s">
        <v>448</v>
      </c>
      <c r="B8" s="62">
        <v>20</v>
      </c>
      <c r="C8" s="63">
        <v>0.11</v>
      </c>
      <c r="D8" s="63">
        <v>2.2599999999999998</v>
      </c>
      <c r="E8" s="62">
        <v>10</v>
      </c>
      <c r="F8" s="63">
        <v>0.1</v>
      </c>
      <c r="G8" s="63">
        <v>0.32</v>
      </c>
      <c r="J8" s="419"/>
      <c r="K8" s="65" t="s">
        <v>448</v>
      </c>
      <c r="L8" s="63">
        <v>0.18</v>
      </c>
      <c r="M8" s="63">
        <v>2.2000000000000002</v>
      </c>
      <c r="N8" s="63">
        <v>0.17</v>
      </c>
      <c r="O8" s="63">
        <v>0.32</v>
      </c>
      <c r="Q8" s="397"/>
      <c r="R8" s="397"/>
      <c r="S8" s="397"/>
    </row>
    <row r="9" spans="1:19" x14ac:dyDescent="0.25">
      <c r="A9" s="65" t="s">
        <v>449</v>
      </c>
      <c r="B9" s="62">
        <v>20</v>
      </c>
      <c r="C9" s="63">
        <v>0.13</v>
      </c>
      <c r="D9" s="63">
        <v>4.49</v>
      </c>
      <c r="E9" s="62">
        <v>10</v>
      </c>
      <c r="F9" s="63">
        <v>0.12</v>
      </c>
      <c r="G9" s="63">
        <v>0.33</v>
      </c>
      <c r="J9" s="419"/>
      <c r="K9" s="65" t="s">
        <v>449</v>
      </c>
      <c r="L9" s="63">
        <v>0.23</v>
      </c>
      <c r="M9" s="63">
        <v>1.22</v>
      </c>
      <c r="N9" s="63">
        <v>0.23</v>
      </c>
      <c r="O9" s="63">
        <v>0.33</v>
      </c>
      <c r="Q9" s="77" t="s">
        <v>450</v>
      </c>
    </row>
    <row r="10" spans="1:19" ht="14.25" customHeight="1" x14ac:dyDescent="0.25">
      <c r="A10" s="65" t="s">
        <v>451</v>
      </c>
      <c r="B10" s="62">
        <v>20</v>
      </c>
      <c r="C10" s="63">
        <v>0.14000000000000001</v>
      </c>
      <c r="D10" s="63">
        <v>5.81</v>
      </c>
      <c r="E10" s="62">
        <v>10</v>
      </c>
      <c r="F10" s="63">
        <v>0.14000000000000001</v>
      </c>
      <c r="G10" s="63">
        <v>0.32</v>
      </c>
      <c r="J10" s="419"/>
      <c r="K10" s="65" t="s">
        <v>451</v>
      </c>
      <c r="L10" s="63">
        <v>0.21</v>
      </c>
      <c r="M10" s="63">
        <v>1.17</v>
      </c>
      <c r="N10" s="63">
        <v>0.2</v>
      </c>
      <c r="O10" s="63">
        <v>0.32</v>
      </c>
      <c r="Q10" s="418" t="s">
        <v>452</v>
      </c>
      <c r="R10" s="418"/>
      <c r="S10" s="418"/>
    </row>
    <row r="11" spans="1:19" x14ac:dyDescent="0.25">
      <c r="A11" s="65" t="s">
        <v>453</v>
      </c>
      <c r="B11" s="62">
        <v>20</v>
      </c>
      <c r="C11" s="63">
        <v>0.14000000000000001</v>
      </c>
      <c r="D11" s="63">
        <v>3.01</v>
      </c>
      <c r="E11" s="62">
        <v>10</v>
      </c>
      <c r="F11" s="63">
        <v>0.14000000000000001</v>
      </c>
      <c r="G11" s="63">
        <v>0.26</v>
      </c>
      <c r="J11" s="419"/>
      <c r="K11" s="65" t="s">
        <v>453</v>
      </c>
      <c r="L11" s="63">
        <v>0.19</v>
      </c>
      <c r="M11" s="63">
        <v>3.01</v>
      </c>
      <c r="N11" s="63">
        <v>0.19</v>
      </c>
      <c r="O11" s="63">
        <v>0.24</v>
      </c>
      <c r="Q11" s="418"/>
      <c r="R11" s="418"/>
      <c r="S11" s="418"/>
    </row>
    <row r="12" spans="1:19" x14ac:dyDescent="0.25">
      <c r="A12" s="65" t="s">
        <v>454</v>
      </c>
      <c r="B12" s="62">
        <v>20</v>
      </c>
      <c r="C12" s="63">
        <v>0.15</v>
      </c>
      <c r="D12" s="63">
        <v>3.76</v>
      </c>
      <c r="E12" s="62">
        <v>10</v>
      </c>
      <c r="F12" s="63">
        <v>0.15</v>
      </c>
      <c r="G12" s="63">
        <v>0.28999999999999998</v>
      </c>
      <c r="J12" s="419"/>
      <c r="K12" s="65" t="s">
        <v>454</v>
      </c>
      <c r="L12" s="63">
        <v>0.19</v>
      </c>
      <c r="M12" s="63">
        <v>1.48</v>
      </c>
      <c r="N12" s="63">
        <v>0.19</v>
      </c>
      <c r="O12" s="63">
        <v>0.25</v>
      </c>
      <c r="Q12" s="418"/>
      <c r="R12" s="418"/>
      <c r="S12" s="418"/>
    </row>
    <row r="13" spans="1:19" ht="14.25" customHeight="1" x14ac:dyDescent="0.25">
      <c r="A13" s="65" t="s">
        <v>455</v>
      </c>
      <c r="B13" s="62">
        <v>20</v>
      </c>
      <c r="C13" s="63">
        <v>0.16</v>
      </c>
      <c r="D13" s="63">
        <v>3.15</v>
      </c>
      <c r="E13" s="62">
        <v>10</v>
      </c>
      <c r="F13" s="63">
        <v>0.16</v>
      </c>
      <c r="G13" s="63">
        <v>0.28000000000000003</v>
      </c>
      <c r="J13" s="419"/>
      <c r="K13" s="65" t="s">
        <v>455</v>
      </c>
      <c r="L13" s="63">
        <v>0.21</v>
      </c>
      <c r="M13" s="63">
        <v>3.15</v>
      </c>
      <c r="N13" s="63">
        <v>0.21</v>
      </c>
      <c r="O13" s="63">
        <v>0.28000000000000003</v>
      </c>
      <c r="Q13" s="418" t="s">
        <v>456</v>
      </c>
      <c r="R13" s="418"/>
      <c r="S13" s="418"/>
    </row>
    <row r="14" spans="1:19" x14ac:dyDescent="0.25">
      <c r="A14" s="65" t="s">
        <v>457</v>
      </c>
      <c r="B14" s="62">
        <v>20</v>
      </c>
      <c r="C14" s="63">
        <v>0.19</v>
      </c>
      <c r="D14" s="63">
        <v>3.51</v>
      </c>
      <c r="E14" s="62">
        <v>10</v>
      </c>
      <c r="F14" s="63">
        <v>0.19</v>
      </c>
      <c r="G14" s="63">
        <v>0.35</v>
      </c>
      <c r="J14" s="419"/>
      <c r="K14" s="65" t="s">
        <v>457</v>
      </c>
      <c r="L14" s="63">
        <v>0.21</v>
      </c>
      <c r="M14" s="63">
        <v>2.25</v>
      </c>
      <c r="N14" s="63">
        <v>0.21</v>
      </c>
      <c r="O14" s="63">
        <v>0.28000000000000003</v>
      </c>
      <c r="Q14" s="418"/>
      <c r="R14" s="418"/>
      <c r="S14" s="418"/>
    </row>
    <row r="15" spans="1:19" x14ac:dyDescent="0.25">
      <c r="A15" s="65" t="s">
        <v>458</v>
      </c>
      <c r="B15" s="62">
        <v>20</v>
      </c>
      <c r="C15" s="63">
        <v>0.19</v>
      </c>
      <c r="D15" s="63">
        <v>3.33</v>
      </c>
      <c r="E15" s="62">
        <v>10</v>
      </c>
      <c r="F15" s="63">
        <v>0.17</v>
      </c>
      <c r="G15" s="63">
        <v>0.33</v>
      </c>
      <c r="J15" s="419"/>
      <c r="K15" s="65" t="s">
        <v>458</v>
      </c>
      <c r="L15" s="63">
        <v>0.26</v>
      </c>
      <c r="M15" s="63">
        <v>3.01</v>
      </c>
      <c r="N15" s="63">
        <v>0.23</v>
      </c>
      <c r="O15" s="63">
        <v>0.33</v>
      </c>
      <c r="Q15" s="418"/>
      <c r="R15" s="418"/>
      <c r="S15" s="418"/>
    </row>
    <row r="16" spans="1:19" x14ac:dyDescent="0.25">
      <c r="A16" s="65" t="s">
        <v>459</v>
      </c>
      <c r="B16" s="62">
        <v>20</v>
      </c>
      <c r="C16" s="63">
        <v>0.17</v>
      </c>
      <c r="D16" s="63">
        <v>2.23</v>
      </c>
      <c r="E16" s="62">
        <v>10</v>
      </c>
      <c r="F16" s="63">
        <v>0.17</v>
      </c>
      <c r="G16" s="63">
        <v>0.32</v>
      </c>
      <c r="J16" s="419"/>
      <c r="K16" s="65" t="s">
        <v>459</v>
      </c>
      <c r="L16" s="63">
        <v>0.22</v>
      </c>
      <c r="M16" s="63">
        <v>2.23</v>
      </c>
      <c r="N16" s="63">
        <v>0.22</v>
      </c>
      <c r="O16" s="63">
        <v>0.32</v>
      </c>
      <c r="Q16" s="418"/>
      <c r="R16" s="418"/>
      <c r="S16" s="418"/>
    </row>
    <row r="17" spans="1:15" x14ac:dyDescent="0.25">
      <c r="A17" s="65" t="s">
        <v>460</v>
      </c>
      <c r="B17" s="62">
        <v>20</v>
      </c>
      <c r="C17" s="63">
        <v>0.16</v>
      </c>
      <c r="D17" s="63">
        <v>1.79</v>
      </c>
      <c r="E17" s="62">
        <v>10</v>
      </c>
      <c r="F17" s="63">
        <v>0.16</v>
      </c>
      <c r="G17" s="63">
        <v>0.28999999999999998</v>
      </c>
      <c r="J17" s="419"/>
      <c r="K17" s="65" t="s">
        <v>460</v>
      </c>
      <c r="L17" s="63">
        <v>0.21</v>
      </c>
      <c r="M17" s="63">
        <v>1.79</v>
      </c>
      <c r="N17" s="63">
        <v>0.2</v>
      </c>
      <c r="O17" s="63">
        <v>0.28999999999999998</v>
      </c>
    </row>
    <row r="18" spans="1:15" x14ac:dyDescent="0.25">
      <c r="A18" s="65" t="s">
        <v>461</v>
      </c>
      <c r="B18" s="62">
        <v>20</v>
      </c>
      <c r="C18" s="63">
        <v>0.17</v>
      </c>
      <c r="D18" s="63">
        <v>2.64</v>
      </c>
      <c r="E18" s="62">
        <v>10</v>
      </c>
      <c r="F18" s="63">
        <v>0.16</v>
      </c>
      <c r="G18" s="63">
        <v>0.34</v>
      </c>
      <c r="J18" s="419"/>
      <c r="K18" s="65" t="s">
        <v>461</v>
      </c>
      <c r="L18" s="63">
        <v>0.23</v>
      </c>
      <c r="M18" s="63">
        <v>2.64</v>
      </c>
      <c r="N18" s="63">
        <v>0.21</v>
      </c>
      <c r="O18" s="63">
        <v>0.34</v>
      </c>
    </row>
    <row r="19" spans="1:15" x14ac:dyDescent="0.25">
      <c r="J19" s="419"/>
      <c r="K19" s="61" t="s">
        <v>462</v>
      </c>
      <c r="L19" s="99">
        <f>AVERAGE(L7:L18)</f>
        <v>0.20749999999999999</v>
      </c>
      <c r="M19" s="99">
        <f>MAX(M7:M18)</f>
        <v>3.15</v>
      </c>
      <c r="N19" s="99">
        <f>AVERAGE(N7:N18)</f>
        <v>0.19999999999999998</v>
      </c>
      <c r="O19" s="99">
        <f>MAX(O7:O18)</f>
        <v>0.34</v>
      </c>
    </row>
    <row r="21" spans="1:15" ht="41.4" x14ac:dyDescent="0.25">
      <c r="J21" s="60">
        <f>+A6</f>
        <v>2022</v>
      </c>
      <c r="K21" s="60" t="s">
        <v>444</v>
      </c>
      <c r="L21" s="66" t="s">
        <v>439</v>
      </c>
      <c r="M21" s="66" t="s">
        <v>445</v>
      </c>
      <c r="N21" s="66" t="s">
        <v>442</v>
      </c>
      <c r="O21" s="66" t="s">
        <v>446</v>
      </c>
    </row>
    <row r="22" spans="1:15" x14ac:dyDescent="0.25">
      <c r="J22" s="419" t="s">
        <v>136</v>
      </c>
      <c r="K22" s="65" t="s">
        <v>447</v>
      </c>
      <c r="L22" s="63">
        <v>0.15</v>
      </c>
      <c r="M22" s="63">
        <v>1.86</v>
      </c>
      <c r="N22" s="63">
        <v>0.15</v>
      </c>
      <c r="O22" s="63">
        <v>0.35</v>
      </c>
    </row>
    <row r="23" spans="1:15" x14ac:dyDescent="0.25">
      <c r="J23" s="419"/>
      <c r="K23" s="65" t="s">
        <v>448</v>
      </c>
      <c r="L23" s="63">
        <v>0.05</v>
      </c>
      <c r="M23" s="63">
        <v>2.2599999999999998</v>
      </c>
      <c r="N23" s="63">
        <v>0.05</v>
      </c>
      <c r="O23" s="63">
        <v>0.25</v>
      </c>
    </row>
    <row r="24" spans="1:15" x14ac:dyDescent="0.25">
      <c r="J24" s="419"/>
      <c r="K24" s="65" t="s">
        <v>449</v>
      </c>
      <c r="L24" s="63">
        <v>0.09</v>
      </c>
      <c r="M24" s="63">
        <v>4.49</v>
      </c>
      <c r="N24" s="63">
        <v>0.09</v>
      </c>
      <c r="O24" s="63">
        <v>0.23</v>
      </c>
    </row>
    <row r="25" spans="1:15" x14ac:dyDescent="0.25">
      <c r="J25" s="419"/>
      <c r="K25" s="65" t="s">
        <v>451</v>
      </c>
      <c r="L25" s="63">
        <v>0.09</v>
      </c>
      <c r="M25" s="63">
        <v>5.81</v>
      </c>
      <c r="N25" s="63">
        <v>0.09</v>
      </c>
      <c r="O25" s="63">
        <v>0.18</v>
      </c>
    </row>
    <row r="26" spans="1:15" x14ac:dyDescent="0.25">
      <c r="J26" s="419"/>
      <c r="K26" s="65" t="s">
        <v>453</v>
      </c>
      <c r="L26" s="63">
        <v>0.09</v>
      </c>
      <c r="M26" s="63">
        <v>2.57</v>
      </c>
      <c r="N26" s="63">
        <v>0.09</v>
      </c>
      <c r="O26" s="63">
        <v>0.26</v>
      </c>
    </row>
    <row r="27" spans="1:15" x14ac:dyDescent="0.25">
      <c r="J27" s="419"/>
      <c r="K27" s="65" t="s">
        <v>454</v>
      </c>
      <c r="L27" s="63">
        <v>0.12</v>
      </c>
      <c r="M27" s="63">
        <v>3.76</v>
      </c>
      <c r="N27" s="63">
        <v>0.12</v>
      </c>
      <c r="O27" s="63">
        <v>0.28999999999999998</v>
      </c>
    </row>
    <row r="28" spans="1:15" x14ac:dyDescent="0.25">
      <c r="J28" s="419"/>
      <c r="K28" s="65" t="s">
        <v>455</v>
      </c>
      <c r="L28" s="63">
        <v>0.12</v>
      </c>
      <c r="M28" s="63">
        <v>2.02</v>
      </c>
      <c r="N28" s="63">
        <v>0.12</v>
      </c>
      <c r="O28" s="63">
        <v>0.23</v>
      </c>
    </row>
    <row r="29" spans="1:15" x14ac:dyDescent="0.25">
      <c r="J29" s="419"/>
      <c r="K29" s="65" t="s">
        <v>457</v>
      </c>
      <c r="L29" s="63">
        <v>0.17</v>
      </c>
      <c r="M29" s="63">
        <v>3.51</v>
      </c>
      <c r="N29" s="63">
        <v>0.16</v>
      </c>
      <c r="O29" s="63">
        <v>0.35</v>
      </c>
    </row>
    <row r="30" spans="1:15" x14ac:dyDescent="0.25">
      <c r="J30" s="419"/>
      <c r="K30" s="65" t="s">
        <v>458</v>
      </c>
      <c r="L30" s="63">
        <v>0.14000000000000001</v>
      </c>
      <c r="M30" s="63">
        <v>3.33</v>
      </c>
      <c r="N30" s="63">
        <v>0.14000000000000001</v>
      </c>
      <c r="O30" s="63">
        <v>0.25</v>
      </c>
    </row>
    <row r="31" spans="1:15" x14ac:dyDescent="0.25">
      <c r="J31" s="419"/>
      <c r="K31" s="65" t="s">
        <v>459</v>
      </c>
      <c r="L31" s="63">
        <v>0.11</v>
      </c>
      <c r="M31" s="63">
        <v>1.84</v>
      </c>
      <c r="N31" s="63">
        <v>0.11</v>
      </c>
      <c r="O31" s="63">
        <v>0.17</v>
      </c>
    </row>
    <row r="32" spans="1:15" x14ac:dyDescent="0.25">
      <c r="J32" s="419"/>
      <c r="K32" s="65" t="s">
        <v>460</v>
      </c>
      <c r="L32" s="63">
        <v>0.11</v>
      </c>
      <c r="M32" s="63">
        <v>1.35</v>
      </c>
      <c r="N32" s="63">
        <v>0.11</v>
      </c>
      <c r="O32" s="63">
        <v>0.19</v>
      </c>
    </row>
    <row r="33" spans="1:15" x14ac:dyDescent="0.25">
      <c r="J33" s="419"/>
      <c r="K33" s="65" t="s">
        <v>461</v>
      </c>
      <c r="L33" s="63">
        <v>0.1</v>
      </c>
      <c r="M33" s="63">
        <v>2.19</v>
      </c>
      <c r="N33" s="63">
        <v>0.1</v>
      </c>
      <c r="O33" s="63">
        <v>0.16</v>
      </c>
    </row>
    <row r="34" spans="1:15" x14ac:dyDescent="0.25">
      <c r="J34" s="419"/>
      <c r="K34" s="61" t="s">
        <v>462</v>
      </c>
      <c r="L34" s="99">
        <f>AVERAGE(L22:L33)</f>
        <v>0.11166666666666669</v>
      </c>
      <c r="M34" s="99">
        <f>MAX(M22:M33)</f>
        <v>5.81</v>
      </c>
      <c r="N34" s="99">
        <f>AVERAGE(N22:N33)</f>
        <v>0.11083333333333335</v>
      </c>
      <c r="O34" s="99">
        <f>MAX(O22:O33)</f>
        <v>0.35</v>
      </c>
    </row>
    <row r="36" spans="1:15" ht="41.4" x14ac:dyDescent="0.25">
      <c r="J36" s="60">
        <f>+A6</f>
        <v>2022</v>
      </c>
      <c r="K36" s="60" t="s">
        <v>444</v>
      </c>
      <c r="L36" s="66" t="s">
        <v>439</v>
      </c>
      <c r="M36" s="66" t="s">
        <v>445</v>
      </c>
      <c r="N36" s="66" t="s">
        <v>442</v>
      </c>
      <c r="O36" s="66" t="s">
        <v>446</v>
      </c>
    </row>
    <row r="37" spans="1:15" x14ac:dyDescent="0.25">
      <c r="J37" s="419" t="s">
        <v>137</v>
      </c>
      <c r="K37" s="65" t="s">
        <v>447</v>
      </c>
      <c r="L37" s="63"/>
      <c r="M37" s="63"/>
      <c r="N37" s="63"/>
      <c r="O37" s="63"/>
    </row>
    <row r="38" spans="1:15" x14ac:dyDescent="0.25">
      <c r="J38" s="419"/>
      <c r="K38" s="65" t="s">
        <v>448</v>
      </c>
      <c r="L38" s="63"/>
      <c r="M38" s="63"/>
      <c r="N38" s="63"/>
      <c r="O38" s="63"/>
    </row>
    <row r="39" spans="1:15" x14ac:dyDescent="0.25">
      <c r="J39" s="419"/>
      <c r="K39" s="65" t="s">
        <v>449</v>
      </c>
      <c r="L39" s="63"/>
      <c r="M39" s="63"/>
      <c r="N39" s="63"/>
      <c r="O39" s="63"/>
    </row>
    <row r="40" spans="1:15" x14ac:dyDescent="0.25">
      <c r="J40" s="419"/>
      <c r="K40" s="65" t="s">
        <v>451</v>
      </c>
      <c r="L40" s="63"/>
      <c r="M40" s="63"/>
      <c r="N40" s="63"/>
      <c r="O40" s="63"/>
    </row>
    <row r="41" spans="1:15" x14ac:dyDescent="0.25">
      <c r="J41" s="419"/>
      <c r="K41" s="65" t="s">
        <v>453</v>
      </c>
      <c r="L41" s="63"/>
      <c r="M41" s="63"/>
      <c r="N41" s="63"/>
      <c r="O41" s="63"/>
    </row>
    <row r="42" spans="1:15" x14ac:dyDescent="0.25">
      <c r="J42" s="419"/>
      <c r="K42" s="65" t="s">
        <v>454</v>
      </c>
      <c r="L42" s="63"/>
      <c r="M42" s="63"/>
      <c r="N42" s="63"/>
      <c r="O42" s="63"/>
    </row>
    <row r="43" spans="1:15" x14ac:dyDescent="0.25">
      <c r="J43" s="419"/>
      <c r="K43" s="65" t="s">
        <v>455</v>
      </c>
      <c r="L43" s="63"/>
      <c r="M43" s="63"/>
      <c r="N43" s="63"/>
      <c r="O43" s="63"/>
    </row>
    <row r="44" spans="1:15" x14ac:dyDescent="0.25">
      <c r="J44" s="419"/>
      <c r="K44" s="65" t="s">
        <v>457</v>
      </c>
      <c r="L44" s="63"/>
      <c r="M44" s="63"/>
      <c r="N44" s="63"/>
      <c r="O44" s="63"/>
    </row>
    <row r="45" spans="1:15" x14ac:dyDescent="0.25">
      <c r="J45" s="419"/>
      <c r="K45" s="65" t="s">
        <v>458</v>
      </c>
      <c r="L45" s="63"/>
      <c r="M45" s="63"/>
      <c r="N45" s="63"/>
      <c r="O45" s="63"/>
    </row>
    <row r="46" spans="1:15" x14ac:dyDescent="0.25">
      <c r="J46" s="419"/>
      <c r="K46" s="65" t="s">
        <v>459</v>
      </c>
      <c r="L46" s="63"/>
      <c r="M46" s="63"/>
      <c r="N46" s="63"/>
      <c r="O46" s="63"/>
    </row>
    <row r="47" spans="1:15" x14ac:dyDescent="0.25">
      <c r="J47" s="419"/>
      <c r="K47" s="65" t="s">
        <v>460</v>
      </c>
      <c r="L47" s="63"/>
      <c r="M47" s="63"/>
      <c r="N47" s="63"/>
      <c r="O47" s="63"/>
    </row>
    <row r="48" spans="1:15" x14ac:dyDescent="0.25">
      <c r="A48" s="431" t="s">
        <v>343</v>
      </c>
      <c r="B48" s="432"/>
      <c r="C48" s="432"/>
      <c r="D48" s="432"/>
      <c r="E48" s="432"/>
      <c r="F48" s="432"/>
      <c r="G48" s="433"/>
      <c r="J48" s="419"/>
      <c r="K48" s="65" t="s">
        <v>461</v>
      </c>
      <c r="L48" s="63"/>
      <c r="M48" s="63"/>
      <c r="N48" s="63"/>
      <c r="O48" s="63"/>
    </row>
    <row r="49" spans="1:15" x14ac:dyDescent="0.25">
      <c r="A49" s="422" t="s">
        <v>429</v>
      </c>
      <c r="B49" s="423"/>
      <c r="C49" s="423"/>
      <c r="D49" s="423"/>
      <c r="E49" s="423"/>
      <c r="F49" s="423"/>
      <c r="G49" s="424"/>
      <c r="J49" s="419"/>
      <c r="K49" s="61" t="s">
        <v>462</v>
      </c>
      <c r="L49" s="61" t="e">
        <f>AVERAGE(L37:L48)</f>
        <v>#DIV/0!</v>
      </c>
      <c r="M49" s="61">
        <f>MAX(M37:M48)</f>
        <v>0</v>
      </c>
      <c r="N49" s="61" t="e">
        <f>AVERAGE(N37:N48)</f>
        <v>#DIV/0!</v>
      </c>
      <c r="O49" s="61">
        <f>MAX(O37:O48)</f>
        <v>0</v>
      </c>
    </row>
    <row r="50" spans="1:15" x14ac:dyDescent="0.25">
      <c r="A50" s="425"/>
      <c r="B50" s="426"/>
      <c r="C50" s="426"/>
      <c r="D50" s="426"/>
      <c r="E50" s="426"/>
      <c r="F50" s="426"/>
      <c r="G50" s="427"/>
    </row>
    <row r="51" spans="1:15" ht="41.4" x14ac:dyDescent="0.25">
      <c r="A51" s="425"/>
      <c r="B51" s="426"/>
      <c r="C51" s="426"/>
      <c r="D51" s="426"/>
      <c r="E51" s="426"/>
      <c r="F51" s="426"/>
      <c r="G51" s="427"/>
      <c r="J51" s="60">
        <f>+A6</f>
        <v>2022</v>
      </c>
      <c r="K51" s="60" t="s">
        <v>444</v>
      </c>
      <c r="L51" s="66" t="s">
        <v>439</v>
      </c>
      <c r="M51" s="66" t="s">
        <v>445</v>
      </c>
      <c r="N51" s="66" t="s">
        <v>442</v>
      </c>
      <c r="O51" s="66" t="s">
        <v>446</v>
      </c>
    </row>
    <row r="52" spans="1:15" x14ac:dyDescent="0.25">
      <c r="A52" s="428"/>
      <c r="B52" s="429"/>
      <c r="C52" s="429"/>
      <c r="D52" s="429"/>
      <c r="E52" s="429"/>
      <c r="F52" s="429"/>
      <c r="G52" s="430"/>
      <c r="J52" s="419" t="s">
        <v>138</v>
      </c>
      <c r="K52" s="65" t="s">
        <v>447</v>
      </c>
      <c r="L52" s="63"/>
      <c r="M52" s="63"/>
      <c r="N52" s="63"/>
      <c r="O52" s="63"/>
    </row>
    <row r="53" spans="1:15" x14ac:dyDescent="0.25">
      <c r="J53" s="419"/>
      <c r="K53" s="65" t="s">
        <v>448</v>
      </c>
      <c r="L53" s="63"/>
      <c r="M53" s="63"/>
      <c r="N53" s="63"/>
      <c r="O53" s="63"/>
    </row>
    <row r="54" spans="1:15" x14ac:dyDescent="0.25">
      <c r="J54" s="419"/>
      <c r="K54" s="65" t="s">
        <v>449</v>
      </c>
      <c r="L54" s="63"/>
      <c r="M54" s="63"/>
      <c r="N54" s="63"/>
      <c r="O54" s="63"/>
    </row>
    <row r="55" spans="1:15" x14ac:dyDescent="0.25">
      <c r="J55" s="419"/>
      <c r="K55" s="65" t="s">
        <v>451</v>
      </c>
      <c r="L55" s="63"/>
      <c r="M55" s="63"/>
      <c r="N55" s="63"/>
      <c r="O55" s="63"/>
    </row>
    <row r="56" spans="1:15" x14ac:dyDescent="0.25">
      <c r="J56" s="419"/>
      <c r="K56" s="65" t="s">
        <v>453</v>
      </c>
      <c r="L56" s="63"/>
      <c r="M56" s="63"/>
      <c r="N56" s="63"/>
      <c r="O56" s="63"/>
    </row>
    <row r="57" spans="1:15" x14ac:dyDescent="0.25">
      <c r="J57" s="419"/>
      <c r="K57" s="65" t="s">
        <v>454</v>
      </c>
      <c r="L57" s="63"/>
      <c r="M57" s="63"/>
      <c r="N57" s="63"/>
      <c r="O57" s="63"/>
    </row>
    <row r="58" spans="1:15" x14ac:dyDescent="0.25">
      <c r="J58" s="419"/>
      <c r="K58" s="65" t="s">
        <v>455</v>
      </c>
      <c r="L58" s="63"/>
      <c r="M58" s="63"/>
      <c r="N58" s="63"/>
      <c r="O58" s="63"/>
    </row>
    <row r="59" spans="1:15" x14ac:dyDescent="0.25">
      <c r="J59" s="419"/>
      <c r="K59" s="65" t="s">
        <v>457</v>
      </c>
      <c r="L59" s="63"/>
      <c r="M59" s="63"/>
      <c r="N59" s="63"/>
      <c r="O59" s="63"/>
    </row>
    <row r="60" spans="1:15" x14ac:dyDescent="0.25">
      <c r="J60" s="419"/>
      <c r="K60" s="65" t="s">
        <v>458</v>
      </c>
      <c r="L60" s="63"/>
      <c r="M60" s="63"/>
      <c r="N60" s="63"/>
      <c r="O60" s="63"/>
    </row>
    <row r="61" spans="1:15" x14ac:dyDescent="0.25">
      <c r="J61" s="419"/>
      <c r="K61" s="65" t="s">
        <v>459</v>
      </c>
      <c r="L61" s="63"/>
      <c r="M61" s="63"/>
      <c r="N61" s="63"/>
      <c r="O61" s="63"/>
    </row>
    <row r="62" spans="1:15" x14ac:dyDescent="0.25">
      <c r="J62" s="419"/>
      <c r="K62" s="65" t="s">
        <v>460</v>
      </c>
      <c r="L62" s="63"/>
      <c r="M62" s="63"/>
      <c r="N62" s="63"/>
      <c r="O62" s="63"/>
    </row>
    <row r="63" spans="1:15" x14ac:dyDescent="0.25">
      <c r="J63" s="419"/>
      <c r="K63" s="65" t="s">
        <v>461</v>
      </c>
      <c r="L63" s="63"/>
      <c r="M63" s="63"/>
      <c r="N63" s="63"/>
      <c r="O63" s="63"/>
    </row>
    <row r="64" spans="1:15" x14ac:dyDescent="0.25">
      <c r="J64" s="419"/>
      <c r="K64" s="61" t="s">
        <v>462</v>
      </c>
      <c r="L64" s="61" t="e">
        <f>AVERAGE(L52:L63)</f>
        <v>#DIV/0!</v>
      </c>
      <c r="M64" s="61">
        <f>MAX(M52:M63)</f>
        <v>0</v>
      </c>
      <c r="N64" s="61" t="e">
        <f>AVERAGE(N52:N63)</f>
        <v>#DIV/0!</v>
      </c>
      <c r="O64" s="61">
        <f>MAX(O52:O63)</f>
        <v>0</v>
      </c>
    </row>
    <row r="66" spans="10:15" ht="41.4" x14ac:dyDescent="0.25">
      <c r="J66" s="60">
        <f>+A6</f>
        <v>2022</v>
      </c>
      <c r="K66" s="60" t="s">
        <v>444</v>
      </c>
      <c r="L66" s="66" t="s">
        <v>439</v>
      </c>
      <c r="M66" s="66" t="s">
        <v>445</v>
      </c>
      <c r="N66" s="66" t="s">
        <v>442</v>
      </c>
      <c r="O66" s="66" t="s">
        <v>446</v>
      </c>
    </row>
    <row r="67" spans="10:15" x14ac:dyDescent="0.25">
      <c r="J67" s="419" t="s">
        <v>139</v>
      </c>
      <c r="K67" s="65" t="s">
        <v>447</v>
      </c>
      <c r="L67" s="63"/>
      <c r="M67" s="63"/>
      <c r="N67" s="63"/>
      <c r="O67" s="63"/>
    </row>
    <row r="68" spans="10:15" x14ac:dyDescent="0.25">
      <c r="J68" s="419"/>
      <c r="K68" s="65" t="s">
        <v>448</v>
      </c>
      <c r="L68" s="63"/>
      <c r="M68" s="63"/>
      <c r="N68" s="63"/>
      <c r="O68" s="63"/>
    </row>
    <row r="69" spans="10:15" x14ac:dyDescent="0.25">
      <c r="J69" s="419"/>
      <c r="K69" s="65" t="s">
        <v>449</v>
      </c>
      <c r="L69" s="63"/>
      <c r="M69" s="63"/>
      <c r="N69" s="63"/>
      <c r="O69" s="63"/>
    </row>
    <row r="70" spans="10:15" x14ac:dyDescent="0.25">
      <c r="J70" s="419"/>
      <c r="K70" s="65" t="s">
        <v>451</v>
      </c>
      <c r="L70" s="63"/>
      <c r="M70" s="63"/>
      <c r="N70" s="63"/>
      <c r="O70" s="63"/>
    </row>
    <row r="71" spans="10:15" x14ac:dyDescent="0.25">
      <c r="J71" s="419"/>
      <c r="K71" s="65" t="s">
        <v>453</v>
      </c>
      <c r="L71" s="63"/>
      <c r="M71" s="63"/>
      <c r="N71" s="63"/>
      <c r="O71" s="63"/>
    </row>
    <row r="72" spans="10:15" x14ac:dyDescent="0.25">
      <c r="J72" s="419"/>
      <c r="K72" s="65" t="s">
        <v>454</v>
      </c>
      <c r="L72" s="63"/>
      <c r="M72" s="63"/>
      <c r="N72" s="63"/>
      <c r="O72" s="63"/>
    </row>
    <row r="73" spans="10:15" x14ac:dyDescent="0.25">
      <c r="J73" s="419"/>
      <c r="K73" s="65" t="s">
        <v>455</v>
      </c>
      <c r="L73" s="63"/>
      <c r="M73" s="63"/>
      <c r="N73" s="63"/>
      <c r="O73" s="63"/>
    </row>
    <row r="74" spans="10:15" x14ac:dyDescent="0.25">
      <c r="J74" s="419"/>
      <c r="K74" s="65" t="s">
        <v>457</v>
      </c>
      <c r="L74" s="63"/>
      <c r="M74" s="63"/>
      <c r="N74" s="63"/>
      <c r="O74" s="63"/>
    </row>
    <row r="75" spans="10:15" x14ac:dyDescent="0.25">
      <c r="J75" s="419"/>
      <c r="K75" s="65" t="s">
        <v>458</v>
      </c>
      <c r="L75" s="63"/>
      <c r="M75" s="63"/>
      <c r="N75" s="63"/>
      <c r="O75" s="63"/>
    </row>
    <row r="76" spans="10:15" x14ac:dyDescent="0.25">
      <c r="J76" s="419"/>
      <c r="K76" s="65" t="s">
        <v>459</v>
      </c>
      <c r="L76" s="63"/>
      <c r="M76" s="63"/>
      <c r="N76" s="63"/>
      <c r="O76" s="63"/>
    </row>
    <row r="77" spans="10:15" x14ac:dyDescent="0.25">
      <c r="J77" s="419"/>
      <c r="K77" s="65" t="s">
        <v>460</v>
      </c>
      <c r="L77" s="63"/>
      <c r="M77" s="63"/>
      <c r="N77" s="63"/>
      <c r="O77" s="63"/>
    </row>
    <row r="78" spans="10:15" x14ac:dyDescent="0.25">
      <c r="J78" s="419"/>
      <c r="K78" s="65" t="s">
        <v>461</v>
      </c>
      <c r="L78" s="63"/>
      <c r="M78" s="63"/>
      <c r="N78" s="63"/>
      <c r="O78" s="63"/>
    </row>
    <row r="79" spans="10:15" x14ac:dyDescent="0.25">
      <c r="J79" s="419"/>
      <c r="K79" s="61" t="s">
        <v>462</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workbookViewId="0">
      <selection activeCell="A2" sqref="A2"/>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1" t="str">
        <f>+'Cover Page'!$B$29</f>
        <v>Annual Performance Report 2022</v>
      </c>
      <c r="B1" s="91"/>
      <c r="C1" s="91"/>
      <c r="D1" s="91"/>
      <c r="E1" s="91" t="str">
        <f>+'Cover Page'!$B$33</f>
        <v>Kemsley Generating Station</v>
      </c>
    </row>
    <row r="3" spans="1:19" ht="14.4" x14ac:dyDescent="0.3">
      <c r="A3" s="59" t="s">
        <v>472</v>
      </c>
      <c r="D3" s="75" t="s">
        <v>431</v>
      </c>
      <c r="G3" s="79" t="s">
        <v>432</v>
      </c>
      <c r="J3" s="9" t="str">
        <f>+A3</f>
        <v>Monitoring of Particulate matter emissions</v>
      </c>
      <c r="L3" s="9"/>
      <c r="N3" s="9" t="s">
        <v>433</v>
      </c>
      <c r="Q3" s="78" t="s">
        <v>3</v>
      </c>
      <c r="R3" s="73"/>
      <c r="S3" s="73"/>
    </row>
    <row r="4" spans="1:19" ht="13.95" customHeight="1" x14ac:dyDescent="0.25">
      <c r="Q4" s="397" t="s">
        <v>434</v>
      </c>
      <c r="R4" s="397"/>
      <c r="S4" s="397"/>
    </row>
    <row r="5" spans="1:19" ht="16.2" x14ac:dyDescent="0.25">
      <c r="A5" s="67" t="s">
        <v>435</v>
      </c>
      <c r="B5" s="421" t="s">
        <v>436</v>
      </c>
      <c r="C5" s="421"/>
      <c r="D5" s="421"/>
      <c r="E5" s="421" t="s">
        <v>437</v>
      </c>
      <c r="F5" s="421"/>
      <c r="G5" s="421"/>
      <c r="J5" s="420"/>
      <c r="K5" s="420"/>
      <c r="L5" s="420"/>
      <c r="M5" s="420"/>
      <c r="N5" s="420"/>
      <c r="O5" s="420"/>
      <c r="Q5" s="397"/>
      <c r="R5" s="397"/>
      <c r="S5" s="397"/>
    </row>
    <row r="6" spans="1:19" s="57" customFormat="1" ht="37.5" customHeight="1" x14ac:dyDescent="0.3">
      <c r="A6" s="64">
        <f>+'Cover Page'!C39</f>
        <v>2022</v>
      </c>
      <c r="B6" s="54" t="s">
        <v>473</v>
      </c>
      <c r="C6" s="54" t="s">
        <v>439</v>
      </c>
      <c r="D6" s="54" t="s">
        <v>440</v>
      </c>
      <c r="E6" s="54" t="s">
        <v>474</v>
      </c>
      <c r="F6" s="54" t="s">
        <v>442</v>
      </c>
      <c r="G6" s="54" t="s">
        <v>443</v>
      </c>
      <c r="H6" s="58"/>
      <c r="J6" s="60">
        <f>+A6</f>
        <v>2022</v>
      </c>
      <c r="K6" s="60" t="s">
        <v>444</v>
      </c>
      <c r="L6" s="66" t="s">
        <v>439</v>
      </c>
      <c r="M6" s="66" t="s">
        <v>445</v>
      </c>
      <c r="N6" s="66" t="s">
        <v>442</v>
      </c>
      <c r="O6" s="66" t="s">
        <v>446</v>
      </c>
      <c r="Q6" s="397"/>
      <c r="R6" s="397"/>
      <c r="S6" s="397"/>
    </row>
    <row r="7" spans="1:19" x14ac:dyDescent="0.25">
      <c r="A7" s="65" t="s">
        <v>447</v>
      </c>
      <c r="B7" s="62">
        <v>30</v>
      </c>
      <c r="C7" s="63">
        <v>0.15</v>
      </c>
      <c r="D7" s="63">
        <v>0.44</v>
      </c>
      <c r="E7" s="62">
        <v>10</v>
      </c>
      <c r="F7" s="63">
        <v>0.15</v>
      </c>
      <c r="G7" s="63">
        <v>0.28999999999999998</v>
      </c>
      <c r="J7" s="419" t="s">
        <v>135</v>
      </c>
      <c r="K7" s="65" t="s">
        <v>447</v>
      </c>
      <c r="L7" s="63">
        <v>0.08</v>
      </c>
      <c r="M7" s="63">
        <v>0.44</v>
      </c>
      <c r="N7" s="63">
        <v>0.08</v>
      </c>
      <c r="O7" s="63">
        <v>0.12</v>
      </c>
      <c r="Q7" s="397"/>
      <c r="R7" s="397"/>
      <c r="S7" s="397"/>
    </row>
    <row r="8" spans="1:19" x14ac:dyDescent="0.25">
      <c r="A8" s="65" t="s">
        <v>448</v>
      </c>
      <c r="B8" s="62">
        <v>30</v>
      </c>
      <c r="C8" s="63">
        <v>0.19</v>
      </c>
      <c r="D8" s="63">
        <v>0.43</v>
      </c>
      <c r="E8" s="62">
        <v>10</v>
      </c>
      <c r="F8" s="63">
        <v>0.19</v>
      </c>
      <c r="G8" s="63">
        <v>0.31</v>
      </c>
      <c r="J8" s="419"/>
      <c r="K8" s="65" t="s">
        <v>448</v>
      </c>
      <c r="L8" s="63">
        <v>0.08</v>
      </c>
      <c r="M8" s="63">
        <v>0.09</v>
      </c>
      <c r="N8" s="63">
        <v>0.08</v>
      </c>
      <c r="O8" s="63">
        <v>0.08</v>
      </c>
      <c r="Q8" s="397"/>
      <c r="R8" s="397"/>
      <c r="S8" s="397"/>
    </row>
    <row r="9" spans="1:19" x14ac:dyDescent="0.25">
      <c r="A9" s="65" t="s">
        <v>449</v>
      </c>
      <c r="B9" s="62">
        <v>30</v>
      </c>
      <c r="C9" s="63">
        <v>0.31</v>
      </c>
      <c r="D9" s="63">
        <v>2.2200000000000002</v>
      </c>
      <c r="E9" s="62">
        <v>10</v>
      </c>
      <c r="F9" s="63">
        <v>0.31</v>
      </c>
      <c r="G9" s="63">
        <v>0.84</v>
      </c>
      <c r="J9" s="419"/>
      <c r="K9" s="65" t="s">
        <v>449</v>
      </c>
      <c r="L9" s="63">
        <v>0.08</v>
      </c>
      <c r="M9" s="63">
        <v>0.1</v>
      </c>
      <c r="N9" s="63">
        <v>0.08</v>
      </c>
      <c r="O9" s="63">
        <v>0.08</v>
      </c>
      <c r="Q9" s="77" t="s">
        <v>450</v>
      </c>
    </row>
    <row r="10" spans="1:19" ht="14.25" customHeight="1" x14ac:dyDescent="0.25">
      <c r="A10" s="65" t="s">
        <v>451</v>
      </c>
      <c r="B10" s="62">
        <v>30</v>
      </c>
      <c r="C10" s="63">
        <v>0.18</v>
      </c>
      <c r="D10" s="63">
        <v>0.36</v>
      </c>
      <c r="E10" s="62">
        <v>10</v>
      </c>
      <c r="F10" s="63">
        <v>0.18</v>
      </c>
      <c r="G10" s="63">
        <v>0.28000000000000003</v>
      </c>
      <c r="J10" s="419"/>
      <c r="K10" s="65" t="s">
        <v>451</v>
      </c>
      <c r="L10" s="63">
        <v>0.08</v>
      </c>
      <c r="M10" s="63">
        <v>0.12</v>
      </c>
      <c r="N10" s="63">
        <v>0.08</v>
      </c>
      <c r="O10" s="63">
        <v>0.08</v>
      </c>
      <c r="Q10" s="418" t="s">
        <v>452</v>
      </c>
      <c r="R10" s="418"/>
      <c r="S10" s="418"/>
    </row>
    <row r="11" spans="1:19" x14ac:dyDescent="0.25">
      <c r="A11" s="65" t="s">
        <v>453</v>
      </c>
      <c r="B11" s="62">
        <v>30</v>
      </c>
      <c r="C11" s="63">
        <v>0.16</v>
      </c>
      <c r="D11" s="63">
        <v>0.31</v>
      </c>
      <c r="E11" s="62">
        <v>10</v>
      </c>
      <c r="F11" s="63">
        <v>0.17</v>
      </c>
      <c r="G11" s="63">
        <v>0.27</v>
      </c>
      <c r="J11" s="419"/>
      <c r="K11" s="65" t="s">
        <v>453</v>
      </c>
      <c r="L11" s="63">
        <v>0.08</v>
      </c>
      <c r="M11" s="63">
        <v>0.09</v>
      </c>
      <c r="N11" s="63">
        <v>0.08</v>
      </c>
      <c r="O11" s="63">
        <v>0.08</v>
      </c>
      <c r="Q11" s="418"/>
      <c r="R11" s="418"/>
      <c r="S11" s="418"/>
    </row>
    <row r="12" spans="1:19" x14ac:dyDescent="0.25">
      <c r="A12" s="65" t="s">
        <v>454</v>
      </c>
      <c r="B12" s="62">
        <v>30</v>
      </c>
      <c r="C12" s="63">
        <v>0.17</v>
      </c>
      <c r="D12" s="63">
        <v>0.32</v>
      </c>
      <c r="E12" s="62">
        <v>10</v>
      </c>
      <c r="F12" s="63">
        <v>0.17</v>
      </c>
      <c r="G12" s="63">
        <v>0.27</v>
      </c>
      <c r="J12" s="419"/>
      <c r="K12" s="65" t="s">
        <v>454</v>
      </c>
      <c r="L12" s="63">
        <v>0.08</v>
      </c>
      <c r="M12" s="63">
        <v>0.28000000000000003</v>
      </c>
      <c r="N12" s="63">
        <v>0.08</v>
      </c>
      <c r="O12" s="63">
        <v>0.09</v>
      </c>
      <c r="Q12" s="418"/>
      <c r="R12" s="418"/>
      <c r="S12" s="418"/>
    </row>
    <row r="13" spans="1:19" ht="14.25" customHeight="1" x14ac:dyDescent="0.25">
      <c r="A13" s="65" t="s">
        <v>455</v>
      </c>
      <c r="B13" s="62">
        <v>30</v>
      </c>
      <c r="C13" s="63">
        <v>0.22</v>
      </c>
      <c r="D13" s="63">
        <v>1.58</v>
      </c>
      <c r="E13" s="62">
        <v>10</v>
      </c>
      <c r="F13" s="63">
        <v>0.22</v>
      </c>
      <c r="G13" s="63">
        <v>0.53</v>
      </c>
      <c r="J13" s="419"/>
      <c r="K13" s="65" t="s">
        <v>455</v>
      </c>
      <c r="L13" s="63">
        <v>0.08</v>
      </c>
      <c r="M13" s="63">
        <v>0.1</v>
      </c>
      <c r="N13" s="63">
        <v>0.08</v>
      </c>
      <c r="O13" s="63">
        <v>0.08</v>
      </c>
      <c r="Q13" s="418" t="s">
        <v>456</v>
      </c>
      <c r="R13" s="418"/>
      <c r="S13" s="418"/>
    </row>
    <row r="14" spans="1:19" x14ac:dyDescent="0.25">
      <c r="A14" s="65" t="s">
        <v>457</v>
      </c>
      <c r="B14" s="62">
        <v>30</v>
      </c>
      <c r="C14" s="63">
        <v>0.2</v>
      </c>
      <c r="D14" s="63">
        <v>1.58</v>
      </c>
      <c r="E14" s="62">
        <v>10</v>
      </c>
      <c r="F14" s="63">
        <v>0.2</v>
      </c>
      <c r="G14" s="63">
        <v>0.53</v>
      </c>
      <c r="J14" s="419"/>
      <c r="K14" s="65" t="s">
        <v>457</v>
      </c>
      <c r="L14" s="63">
        <v>0.08</v>
      </c>
      <c r="M14" s="63">
        <v>0.22</v>
      </c>
      <c r="N14" s="63">
        <v>0.08</v>
      </c>
      <c r="O14" s="63">
        <v>0.14000000000000001</v>
      </c>
      <c r="Q14" s="418"/>
      <c r="R14" s="418"/>
      <c r="S14" s="418"/>
    </row>
    <row r="15" spans="1:19" x14ac:dyDescent="0.25">
      <c r="A15" s="65" t="s">
        <v>458</v>
      </c>
      <c r="B15" s="62">
        <v>30</v>
      </c>
      <c r="C15" s="63">
        <v>0.26</v>
      </c>
      <c r="D15" s="63">
        <v>2.25</v>
      </c>
      <c r="E15" s="62">
        <v>10</v>
      </c>
      <c r="F15" s="63">
        <v>0.26</v>
      </c>
      <c r="G15" s="63">
        <v>0.66</v>
      </c>
      <c r="J15" s="419"/>
      <c r="K15" s="65" t="s">
        <v>458</v>
      </c>
      <c r="L15" s="63">
        <v>0.08</v>
      </c>
      <c r="M15" s="63">
        <v>0.12</v>
      </c>
      <c r="N15" s="63">
        <v>0.08</v>
      </c>
      <c r="O15" s="63">
        <v>0.09</v>
      </c>
      <c r="Q15" s="418"/>
      <c r="R15" s="418"/>
      <c r="S15" s="418"/>
    </row>
    <row r="16" spans="1:19" x14ac:dyDescent="0.25">
      <c r="A16" s="65" t="s">
        <v>459</v>
      </c>
      <c r="B16" s="62">
        <v>30</v>
      </c>
      <c r="C16" s="63">
        <v>0.26</v>
      </c>
      <c r="D16" s="63">
        <v>2.0499999999999998</v>
      </c>
      <c r="E16" s="62">
        <v>10</v>
      </c>
      <c r="F16" s="63">
        <v>0.26</v>
      </c>
      <c r="G16" s="63">
        <v>0.78</v>
      </c>
      <c r="J16" s="419"/>
      <c r="K16" s="65" t="s">
        <v>459</v>
      </c>
      <c r="L16" s="63">
        <v>7.0000000000000007E-2</v>
      </c>
      <c r="M16" s="63">
        <v>0.09</v>
      </c>
      <c r="N16" s="63">
        <v>7.0000000000000007E-2</v>
      </c>
      <c r="O16" s="63">
        <v>0.08</v>
      </c>
      <c r="Q16" s="418"/>
      <c r="R16" s="418"/>
      <c r="S16" s="418"/>
    </row>
    <row r="17" spans="1:15" x14ac:dyDescent="0.25">
      <c r="A17" s="65" t="s">
        <v>460</v>
      </c>
      <c r="B17" s="62">
        <v>30</v>
      </c>
      <c r="C17" s="63">
        <v>0.23</v>
      </c>
      <c r="D17" s="63">
        <v>3.91</v>
      </c>
      <c r="E17" s="62">
        <v>10</v>
      </c>
      <c r="F17" s="63">
        <v>0.23</v>
      </c>
      <c r="G17" s="63">
        <v>1.18</v>
      </c>
      <c r="J17" s="419"/>
      <c r="K17" s="65" t="s">
        <v>460</v>
      </c>
      <c r="L17" s="63">
        <v>0.06</v>
      </c>
      <c r="M17" s="63">
        <v>0.19</v>
      </c>
      <c r="N17" s="63">
        <v>7.0000000000000007E-2</v>
      </c>
      <c r="O17" s="63">
        <v>0.09</v>
      </c>
    </row>
    <row r="18" spans="1:15" x14ac:dyDescent="0.25">
      <c r="A18" s="65" t="s">
        <v>461</v>
      </c>
      <c r="B18" s="62">
        <v>30</v>
      </c>
      <c r="C18" s="63">
        <v>7.0000000000000007E-2</v>
      </c>
      <c r="D18" s="63">
        <v>0.28000000000000003</v>
      </c>
      <c r="E18" s="62">
        <v>10</v>
      </c>
      <c r="F18" s="63">
        <v>7.0000000000000007E-2</v>
      </c>
      <c r="G18" s="63">
        <v>0.09</v>
      </c>
      <c r="J18" s="419"/>
      <c r="K18" s="65" t="s">
        <v>461</v>
      </c>
      <c r="L18" s="63">
        <v>7.0000000000000007E-2</v>
      </c>
      <c r="M18" s="63">
        <v>0.28000000000000003</v>
      </c>
      <c r="N18" s="63">
        <v>7.0000000000000007E-2</v>
      </c>
      <c r="O18" s="63">
        <v>7.0000000000000007E-2</v>
      </c>
    </row>
    <row r="19" spans="1:15" x14ac:dyDescent="0.25">
      <c r="J19" s="419"/>
      <c r="K19" s="61" t="s">
        <v>462</v>
      </c>
      <c r="L19" s="99">
        <f>AVERAGE(L7:L18)</f>
        <v>7.6666666666666675E-2</v>
      </c>
      <c r="M19" s="99">
        <f>MAX(M7:M18)</f>
        <v>0.44</v>
      </c>
      <c r="N19" s="99">
        <f>AVERAGE(N7:N18)</f>
        <v>7.7500000000000013E-2</v>
      </c>
      <c r="O19" s="99">
        <f>MAX(O7:O18)</f>
        <v>0.14000000000000001</v>
      </c>
    </row>
    <row r="21" spans="1:15" ht="41.4" x14ac:dyDescent="0.25">
      <c r="J21" s="60">
        <f>+A6</f>
        <v>2022</v>
      </c>
      <c r="K21" s="60" t="s">
        <v>444</v>
      </c>
      <c r="L21" s="66" t="s">
        <v>439</v>
      </c>
      <c r="M21" s="66" t="s">
        <v>445</v>
      </c>
      <c r="N21" s="66" t="s">
        <v>442</v>
      </c>
      <c r="O21" s="66" t="s">
        <v>446</v>
      </c>
    </row>
    <row r="22" spans="1:15" x14ac:dyDescent="0.25">
      <c r="J22" s="419" t="s">
        <v>136</v>
      </c>
      <c r="K22" s="65" t="s">
        <v>447</v>
      </c>
      <c r="L22" s="63">
        <v>0.28000000000000003</v>
      </c>
      <c r="M22" s="63">
        <v>0.34</v>
      </c>
      <c r="N22" s="63">
        <v>0.28000000000000003</v>
      </c>
      <c r="O22" s="63">
        <v>0.28999999999999998</v>
      </c>
    </row>
    <row r="23" spans="1:15" x14ac:dyDescent="0.25">
      <c r="J23" s="419"/>
      <c r="K23" s="65" t="s">
        <v>448</v>
      </c>
      <c r="L23" s="63">
        <v>0.27</v>
      </c>
      <c r="M23" s="63">
        <v>0.43</v>
      </c>
      <c r="N23" s="63">
        <v>0.27</v>
      </c>
      <c r="O23" s="63">
        <v>0.31</v>
      </c>
    </row>
    <row r="24" spans="1:15" x14ac:dyDescent="0.25">
      <c r="J24" s="419"/>
      <c r="K24" s="65" t="s">
        <v>449</v>
      </c>
      <c r="L24" s="63">
        <v>0.4</v>
      </c>
      <c r="M24" s="63">
        <v>2.2200000000000002</v>
      </c>
      <c r="N24" s="63">
        <v>0.4</v>
      </c>
      <c r="O24" s="63">
        <v>0.84</v>
      </c>
    </row>
    <row r="25" spans="1:15" x14ac:dyDescent="0.25">
      <c r="J25" s="419"/>
      <c r="K25" s="65" t="s">
        <v>451</v>
      </c>
      <c r="L25" s="63">
        <v>0.26</v>
      </c>
      <c r="M25" s="63">
        <v>0.36</v>
      </c>
      <c r="N25" s="63">
        <v>0.26</v>
      </c>
      <c r="O25" s="63">
        <v>0.28000000000000003</v>
      </c>
    </row>
    <row r="26" spans="1:15" x14ac:dyDescent="0.25">
      <c r="J26" s="419"/>
      <c r="K26" s="65" t="s">
        <v>453</v>
      </c>
      <c r="L26" s="63">
        <v>0.25</v>
      </c>
      <c r="M26" s="63">
        <v>0.31</v>
      </c>
      <c r="N26" s="63">
        <v>0.25</v>
      </c>
      <c r="O26" s="63">
        <v>0.27</v>
      </c>
    </row>
    <row r="27" spans="1:15" x14ac:dyDescent="0.25">
      <c r="J27" s="419"/>
      <c r="K27" s="65" t="s">
        <v>454</v>
      </c>
      <c r="L27" s="63">
        <v>0.25</v>
      </c>
      <c r="M27" s="63">
        <v>0.32</v>
      </c>
      <c r="N27" s="63">
        <v>0.25</v>
      </c>
      <c r="O27" s="63">
        <v>0.27</v>
      </c>
    </row>
    <row r="28" spans="1:15" x14ac:dyDescent="0.25">
      <c r="J28" s="419"/>
      <c r="K28" s="65" t="s">
        <v>455</v>
      </c>
      <c r="L28" s="63">
        <v>0.36</v>
      </c>
      <c r="M28" s="63">
        <v>1.58</v>
      </c>
      <c r="N28" s="63">
        <v>0.36</v>
      </c>
      <c r="O28" s="63">
        <v>0.53</v>
      </c>
    </row>
    <row r="29" spans="1:15" x14ac:dyDescent="0.25">
      <c r="J29" s="419"/>
      <c r="K29" s="65" t="s">
        <v>457</v>
      </c>
      <c r="L29" s="63">
        <v>0.34</v>
      </c>
      <c r="M29" s="63">
        <v>1.58</v>
      </c>
      <c r="N29" s="63">
        <v>0.34</v>
      </c>
      <c r="O29" s="63">
        <v>0.53</v>
      </c>
    </row>
    <row r="30" spans="1:15" x14ac:dyDescent="0.25">
      <c r="J30" s="419"/>
      <c r="K30" s="65" t="s">
        <v>458</v>
      </c>
      <c r="L30" s="63">
        <v>0.38</v>
      </c>
      <c r="M30" s="63">
        <v>2.25</v>
      </c>
      <c r="N30" s="63">
        <v>0.38</v>
      </c>
      <c r="O30" s="63">
        <v>0.66</v>
      </c>
    </row>
    <row r="31" spans="1:15" x14ac:dyDescent="0.25">
      <c r="J31" s="419"/>
      <c r="K31" s="65" t="s">
        <v>459</v>
      </c>
      <c r="L31" s="63">
        <v>0.45</v>
      </c>
      <c r="M31" s="63">
        <v>2.0499999999999998</v>
      </c>
      <c r="N31" s="63">
        <v>0.45</v>
      </c>
      <c r="O31" s="63">
        <v>0.78</v>
      </c>
    </row>
    <row r="32" spans="1:15" x14ac:dyDescent="0.25">
      <c r="J32" s="419"/>
      <c r="K32" s="65" t="s">
        <v>460</v>
      </c>
      <c r="L32" s="63">
        <v>0.43</v>
      </c>
      <c r="M32" s="63">
        <v>3.91</v>
      </c>
      <c r="N32" s="63">
        <v>0.44</v>
      </c>
      <c r="O32" s="63">
        <v>1.18</v>
      </c>
    </row>
    <row r="33" spans="1:15" x14ac:dyDescent="0.25">
      <c r="J33" s="419"/>
      <c r="K33" s="65" t="s">
        <v>461</v>
      </c>
      <c r="L33" s="63">
        <v>0.08</v>
      </c>
      <c r="M33" s="63">
        <v>0.15</v>
      </c>
      <c r="N33" s="63">
        <v>0.08</v>
      </c>
      <c r="O33" s="63">
        <v>0.09</v>
      </c>
    </row>
    <row r="34" spans="1:15" x14ac:dyDescent="0.25">
      <c r="J34" s="419"/>
      <c r="K34" s="61" t="s">
        <v>462</v>
      </c>
      <c r="L34" s="99">
        <f>AVERAGE(L22:L33)</f>
        <v>0.3125</v>
      </c>
      <c r="M34" s="99">
        <f>MAX(M22:M33)</f>
        <v>3.91</v>
      </c>
      <c r="N34" s="99">
        <f>AVERAGE(N22:N33)</f>
        <v>0.3133333333333333</v>
      </c>
      <c r="O34" s="99">
        <f>MAX(O22:O33)</f>
        <v>1.18</v>
      </c>
    </row>
    <row r="36" spans="1:15" ht="41.4" x14ac:dyDescent="0.25">
      <c r="J36" s="60">
        <f>+A6</f>
        <v>2022</v>
      </c>
      <c r="K36" s="60" t="s">
        <v>444</v>
      </c>
      <c r="L36" s="66" t="s">
        <v>439</v>
      </c>
      <c r="M36" s="66" t="s">
        <v>445</v>
      </c>
      <c r="N36" s="66" t="s">
        <v>442</v>
      </c>
      <c r="O36" s="66" t="s">
        <v>446</v>
      </c>
    </row>
    <row r="37" spans="1:15" x14ac:dyDescent="0.25">
      <c r="J37" s="419" t="s">
        <v>137</v>
      </c>
      <c r="K37" s="65" t="s">
        <v>447</v>
      </c>
      <c r="L37" s="63"/>
      <c r="M37" s="63"/>
      <c r="N37" s="63"/>
      <c r="O37" s="63"/>
    </row>
    <row r="38" spans="1:15" x14ac:dyDescent="0.25">
      <c r="J38" s="419"/>
      <c r="K38" s="65" t="s">
        <v>448</v>
      </c>
      <c r="L38" s="63"/>
      <c r="M38" s="63"/>
      <c r="N38" s="63"/>
      <c r="O38" s="63"/>
    </row>
    <row r="39" spans="1:15" x14ac:dyDescent="0.25">
      <c r="J39" s="419"/>
      <c r="K39" s="65" t="s">
        <v>449</v>
      </c>
      <c r="L39" s="63"/>
      <c r="M39" s="63"/>
      <c r="N39" s="63"/>
      <c r="O39" s="63"/>
    </row>
    <row r="40" spans="1:15" x14ac:dyDescent="0.25">
      <c r="J40" s="419"/>
      <c r="K40" s="65" t="s">
        <v>451</v>
      </c>
      <c r="L40" s="63"/>
      <c r="M40" s="63"/>
      <c r="N40" s="63"/>
      <c r="O40" s="63"/>
    </row>
    <row r="41" spans="1:15" x14ac:dyDescent="0.25">
      <c r="J41" s="419"/>
      <c r="K41" s="65" t="s">
        <v>453</v>
      </c>
      <c r="L41" s="63"/>
      <c r="M41" s="63"/>
      <c r="N41" s="63"/>
      <c r="O41" s="63"/>
    </row>
    <row r="42" spans="1:15" x14ac:dyDescent="0.25">
      <c r="J42" s="419"/>
      <c r="K42" s="65" t="s">
        <v>454</v>
      </c>
      <c r="L42" s="63"/>
      <c r="M42" s="63"/>
      <c r="N42" s="63"/>
      <c r="O42" s="63"/>
    </row>
    <row r="43" spans="1:15" x14ac:dyDescent="0.25">
      <c r="J43" s="419"/>
      <c r="K43" s="65" t="s">
        <v>455</v>
      </c>
      <c r="L43" s="63"/>
      <c r="M43" s="63"/>
      <c r="N43" s="63"/>
      <c r="O43" s="63"/>
    </row>
    <row r="44" spans="1:15" x14ac:dyDescent="0.25">
      <c r="J44" s="419"/>
      <c r="K44" s="65" t="s">
        <v>457</v>
      </c>
      <c r="L44" s="63"/>
      <c r="M44" s="63"/>
      <c r="N44" s="63"/>
      <c r="O44" s="63"/>
    </row>
    <row r="45" spans="1:15" x14ac:dyDescent="0.25">
      <c r="J45" s="419"/>
      <c r="K45" s="65" t="s">
        <v>458</v>
      </c>
      <c r="L45" s="63"/>
      <c r="M45" s="63"/>
      <c r="N45" s="63"/>
      <c r="O45" s="63"/>
    </row>
    <row r="46" spans="1:15" x14ac:dyDescent="0.25">
      <c r="J46" s="419"/>
      <c r="K46" s="65" t="s">
        <v>459</v>
      </c>
      <c r="L46" s="63"/>
      <c r="M46" s="63"/>
      <c r="N46" s="63"/>
      <c r="O46" s="63"/>
    </row>
    <row r="47" spans="1:15" x14ac:dyDescent="0.25">
      <c r="J47" s="419"/>
      <c r="K47" s="65" t="s">
        <v>460</v>
      </c>
      <c r="L47" s="63"/>
      <c r="M47" s="63"/>
      <c r="N47" s="63"/>
      <c r="O47" s="63"/>
    </row>
    <row r="48" spans="1:15" x14ac:dyDescent="0.25">
      <c r="A48" s="431" t="s">
        <v>343</v>
      </c>
      <c r="B48" s="432"/>
      <c r="C48" s="432"/>
      <c r="D48" s="432"/>
      <c r="E48" s="432"/>
      <c r="F48" s="432"/>
      <c r="G48" s="433"/>
      <c r="J48" s="419"/>
      <c r="K48" s="65" t="s">
        <v>461</v>
      </c>
      <c r="L48" s="63"/>
      <c r="M48" s="63"/>
      <c r="N48" s="63"/>
      <c r="O48" s="63"/>
    </row>
    <row r="49" spans="1:15" x14ac:dyDescent="0.25">
      <c r="A49" s="422" t="s">
        <v>429</v>
      </c>
      <c r="B49" s="423"/>
      <c r="C49" s="423"/>
      <c r="D49" s="423"/>
      <c r="E49" s="423"/>
      <c r="F49" s="423"/>
      <c r="G49" s="424"/>
      <c r="J49" s="419"/>
      <c r="K49" s="61" t="s">
        <v>462</v>
      </c>
      <c r="L49" s="61" t="e">
        <f>AVERAGE(L37:L48)</f>
        <v>#DIV/0!</v>
      </c>
      <c r="M49" s="61">
        <f>MAX(M37:M48)</f>
        <v>0</v>
      </c>
      <c r="N49" s="61" t="e">
        <f>AVERAGE(N37:N48)</f>
        <v>#DIV/0!</v>
      </c>
      <c r="O49" s="61">
        <f>MAX(O37:O48)</f>
        <v>0</v>
      </c>
    </row>
    <row r="50" spans="1:15" x14ac:dyDescent="0.25">
      <c r="A50" s="425"/>
      <c r="B50" s="426"/>
      <c r="C50" s="426"/>
      <c r="D50" s="426"/>
      <c r="E50" s="426"/>
      <c r="F50" s="426"/>
      <c r="G50" s="427"/>
    </row>
    <row r="51" spans="1:15" ht="41.4" x14ac:dyDescent="0.25">
      <c r="A51" s="425"/>
      <c r="B51" s="426"/>
      <c r="C51" s="426"/>
      <c r="D51" s="426"/>
      <c r="E51" s="426"/>
      <c r="F51" s="426"/>
      <c r="G51" s="427"/>
      <c r="J51" s="60">
        <f>+A6</f>
        <v>2022</v>
      </c>
      <c r="K51" s="60" t="s">
        <v>444</v>
      </c>
      <c r="L51" s="66" t="s">
        <v>439</v>
      </c>
      <c r="M51" s="66" t="s">
        <v>445</v>
      </c>
      <c r="N51" s="66" t="s">
        <v>442</v>
      </c>
      <c r="O51" s="66" t="s">
        <v>446</v>
      </c>
    </row>
    <row r="52" spans="1:15" x14ac:dyDescent="0.25">
      <c r="A52" s="428"/>
      <c r="B52" s="429"/>
      <c r="C52" s="429"/>
      <c r="D52" s="429"/>
      <c r="E52" s="429"/>
      <c r="F52" s="429"/>
      <c r="G52" s="430"/>
      <c r="J52" s="419" t="s">
        <v>138</v>
      </c>
      <c r="K52" s="65" t="s">
        <v>447</v>
      </c>
      <c r="L52" s="63"/>
      <c r="M52" s="63"/>
      <c r="N52" s="63"/>
      <c r="O52" s="63"/>
    </row>
    <row r="53" spans="1:15" x14ac:dyDescent="0.25">
      <c r="J53" s="419"/>
      <c r="K53" s="65" t="s">
        <v>448</v>
      </c>
      <c r="L53" s="63"/>
      <c r="M53" s="63"/>
      <c r="N53" s="63"/>
      <c r="O53" s="63"/>
    </row>
    <row r="54" spans="1:15" x14ac:dyDescent="0.25">
      <c r="J54" s="419"/>
      <c r="K54" s="65" t="s">
        <v>449</v>
      </c>
      <c r="L54" s="63"/>
      <c r="M54" s="63"/>
      <c r="N54" s="63"/>
      <c r="O54" s="63"/>
    </row>
    <row r="55" spans="1:15" x14ac:dyDescent="0.25">
      <c r="J55" s="419"/>
      <c r="K55" s="65" t="s">
        <v>451</v>
      </c>
      <c r="L55" s="63"/>
      <c r="M55" s="63"/>
      <c r="N55" s="63"/>
      <c r="O55" s="63"/>
    </row>
    <row r="56" spans="1:15" x14ac:dyDescent="0.25">
      <c r="J56" s="419"/>
      <c r="K56" s="65" t="s">
        <v>453</v>
      </c>
      <c r="L56" s="63"/>
      <c r="M56" s="63"/>
      <c r="N56" s="63"/>
      <c r="O56" s="63"/>
    </row>
    <row r="57" spans="1:15" x14ac:dyDescent="0.25">
      <c r="J57" s="419"/>
      <c r="K57" s="65" t="s">
        <v>454</v>
      </c>
      <c r="L57" s="63"/>
      <c r="M57" s="63"/>
      <c r="N57" s="63"/>
      <c r="O57" s="63"/>
    </row>
    <row r="58" spans="1:15" x14ac:dyDescent="0.25">
      <c r="J58" s="419"/>
      <c r="K58" s="65" t="s">
        <v>455</v>
      </c>
      <c r="L58" s="63"/>
      <c r="M58" s="63"/>
      <c r="N58" s="63"/>
      <c r="O58" s="63"/>
    </row>
    <row r="59" spans="1:15" x14ac:dyDescent="0.25">
      <c r="J59" s="419"/>
      <c r="K59" s="65" t="s">
        <v>457</v>
      </c>
      <c r="L59" s="63"/>
      <c r="M59" s="63"/>
      <c r="N59" s="63"/>
      <c r="O59" s="63"/>
    </row>
    <row r="60" spans="1:15" x14ac:dyDescent="0.25">
      <c r="J60" s="419"/>
      <c r="K60" s="65" t="s">
        <v>458</v>
      </c>
      <c r="L60" s="63"/>
      <c r="M60" s="63"/>
      <c r="N60" s="63"/>
      <c r="O60" s="63"/>
    </row>
    <row r="61" spans="1:15" x14ac:dyDescent="0.25">
      <c r="J61" s="419"/>
      <c r="K61" s="65" t="s">
        <v>459</v>
      </c>
      <c r="L61" s="63"/>
      <c r="M61" s="63"/>
      <c r="N61" s="63"/>
      <c r="O61" s="63"/>
    </row>
    <row r="62" spans="1:15" x14ac:dyDescent="0.25">
      <c r="J62" s="419"/>
      <c r="K62" s="65" t="s">
        <v>460</v>
      </c>
      <c r="L62" s="63"/>
      <c r="M62" s="63"/>
      <c r="N62" s="63"/>
      <c r="O62" s="63"/>
    </row>
    <row r="63" spans="1:15" x14ac:dyDescent="0.25">
      <c r="J63" s="419"/>
      <c r="K63" s="65" t="s">
        <v>461</v>
      </c>
      <c r="L63" s="63"/>
      <c r="M63" s="63"/>
      <c r="N63" s="63"/>
      <c r="O63" s="63"/>
    </row>
    <row r="64" spans="1:15" x14ac:dyDescent="0.25">
      <c r="J64" s="419"/>
      <c r="K64" s="61" t="s">
        <v>462</v>
      </c>
      <c r="L64" s="61" t="e">
        <f>AVERAGE(L52:L63)</f>
        <v>#DIV/0!</v>
      </c>
      <c r="M64" s="61">
        <f>MAX(M52:M63)</f>
        <v>0</v>
      </c>
      <c r="N64" s="61" t="e">
        <f>AVERAGE(N52:N63)</f>
        <v>#DIV/0!</v>
      </c>
      <c r="O64" s="61">
        <f>MAX(O52:O63)</f>
        <v>0</v>
      </c>
    </row>
    <row r="66" spans="10:15" ht="41.4" x14ac:dyDescent="0.25">
      <c r="J66" s="60">
        <f>+A6</f>
        <v>2022</v>
      </c>
      <c r="K66" s="60" t="s">
        <v>444</v>
      </c>
      <c r="L66" s="66" t="s">
        <v>439</v>
      </c>
      <c r="M66" s="66" t="s">
        <v>445</v>
      </c>
      <c r="N66" s="66" t="s">
        <v>442</v>
      </c>
      <c r="O66" s="66" t="s">
        <v>446</v>
      </c>
    </row>
    <row r="67" spans="10:15" x14ac:dyDescent="0.25">
      <c r="J67" s="419" t="s">
        <v>139</v>
      </c>
      <c r="K67" s="65" t="s">
        <v>447</v>
      </c>
      <c r="L67" s="63"/>
      <c r="M67" s="63"/>
      <c r="N67" s="63"/>
      <c r="O67" s="63"/>
    </row>
    <row r="68" spans="10:15" x14ac:dyDescent="0.25">
      <c r="J68" s="419"/>
      <c r="K68" s="65" t="s">
        <v>448</v>
      </c>
      <c r="L68" s="63"/>
      <c r="M68" s="63"/>
      <c r="N68" s="63"/>
      <c r="O68" s="63"/>
    </row>
    <row r="69" spans="10:15" x14ac:dyDescent="0.25">
      <c r="J69" s="419"/>
      <c r="K69" s="65" t="s">
        <v>449</v>
      </c>
      <c r="L69" s="63"/>
      <c r="M69" s="63"/>
      <c r="N69" s="63"/>
      <c r="O69" s="63"/>
    </row>
    <row r="70" spans="10:15" x14ac:dyDescent="0.25">
      <c r="J70" s="419"/>
      <c r="K70" s="65" t="s">
        <v>451</v>
      </c>
      <c r="L70" s="63"/>
      <c r="M70" s="63"/>
      <c r="N70" s="63"/>
      <c r="O70" s="63"/>
    </row>
    <row r="71" spans="10:15" x14ac:dyDescent="0.25">
      <c r="J71" s="419"/>
      <c r="K71" s="65" t="s">
        <v>453</v>
      </c>
      <c r="L71" s="63"/>
      <c r="M71" s="63"/>
      <c r="N71" s="63"/>
      <c r="O71" s="63"/>
    </row>
    <row r="72" spans="10:15" x14ac:dyDescent="0.25">
      <c r="J72" s="419"/>
      <c r="K72" s="65" t="s">
        <v>454</v>
      </c>
      <c r="L72" s="63"/>
      <c r="M72" s="63"/>
      <c r="N72" s="63"/>
      <c r="O72" s="63"/>
    </row>
    <row r="73" spans="10:15" x14ac:dyDescent="0.25">
      <c r="J73" s="419"/>
      <c r="K73" s="65" t="s">
        <v>455</v>
      </c>
      <c r="L73" s="63"/>
      <c r="M73" s="63"/>
      <c r="N73" s="63"/>
      <c r="O73" s="63"/>
    </row>
    <row r="74" spans="10:15" x14ac:dyDescent="0.25">
      <c r="J74" s="419"/>
      <c r="K74" s="65" t="s">
        <v>457</v>
      </c>
      <c r="L74" s="63"/>
      <c r="M74" s="63"/>
      <c r="N74" s="63"/>
      <c r="O74" s="63"/>
    </row>
    <row r="75" spans="10:15" x14ac:dyDescent="0.25">
      <c r="J75" s="419"/>
      <c r="K75" s="65" t="s">
        <v>458</v>
      </c>
      <c r="L75" s="63"/>
      <c r="M75" s="63"/>
      <c r="N75" s="63"/>
      <c r="O75" s="63"/>
    </row>
    <row r="76" spans="10:15" x14ac:dyDescent="0.25">
      <c r="J76" s="419"/>
      <c r="K76" s="65" t="s">
        <v>459</v>
      </c>
      <c r="L76" s="63"/>
      <c r="M76" s="63"/>
      <c r="N76" s="63"/>
      <c r="O76" s="63"/>
    </row>
    <row r="77" spans="10:15" x14ac:dyDescent="0.25">
      <c r="J77" s="419"/>
      <c r="K77" s="65" t="s">
        <v>460</v>
      </c>
      <c r="L77" s="63"/>
      <c r="M77" s="63"/>
      <c r="N77" s="63"/>
      <c r="O77" s="63"/>
    </row>
    <row r="78" spans="10:15" x14ac:dyDescent="0.25">
      <c r="J78" s="419"/>
      <c r="K78" s="65" t="s">
        <v>461</v>
      </c>
      <c r="L78" s="63"/>
      <c r="M78" s="63"/>
      <c r="N78" s="63"/>
      <c r="O78" s="63"/>
    </row>
    <row r="79" spans="10:15" x14ac:dyDescent="0.25">
      <c r="J79" s="419"/>
      <c r="K79" s="61" t="s">
        <v>462</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workbookViewId="0">
      <selection activeCell="A2" sqref="A2"/>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1" t="str">
        <f>+'Cover Page'!$B$29</f>
        <v>Annual Performance Report 2022</v>
      </c>
      <c r="B1" s="91"/>
      <c r="C1" s="91"/>
      <c r="D1" s="91"/>
      <c r="E1" s="91" t="str">
        <f>+'Cover Page'!$B$33</f>
        <v>Kemsley Generating Station</v>
      </c>
    </row>
    <row r="3" spans="1:19" ht="14.4" x14ac:dyDescent="0.3">
      <c r="A3" s="59" t="s">
        <v>475</v>
      </c>
      <c r="D3" s="75" t="s">
        <v>431</v>
      </c>
      <c r="G3" s="79" t="s">
        <v>432</v>
      </c>
      <c r="I3" s="103" t="s">
        <v>476</v>
      </c>
      <c r="J3" s="9" t="str">
        <f>+A3</f>
        <v>Monitoring of Carbon Monoxide (half hourly)</v>
      </c>
      <c r="L3" s="9"/>
      <c r="N3" s="9" t="s">
        <v>433</v>
      </c>
      <c r="Q3" s="78" t="s">
        <v>3</v>
      </c>
      <c r="R3" s="73"/>
      <c r="S3" s="73"/>
    </row>
    <row r="4" spans="1:19" ht="13.95" customHeight="1" x14ac:dyDescent="0.25">
      <c r="Q4" s="397" t="s">
        <v>434</v>
      </c>
      <c r="R4" s="397"/>
      <c r="S4" s="397"/>
    </row>
    <row r="5" spans="1:19" ht="16.2" x14ac:dyDescent="0.25">
      <c r="A5" s="67" t="s">
        <v>435</v>
      </c>
      <c r="B5" s="421" t="s">
        <v>477</v>
      </c>
      <c r="C5" s="421"/>
      <c r="D5" s="421"/>
      <c r="E5" s="421" t="s">
        <v>437</v>
      </c>
      <c r="F5" s="421"/>
      <c r="G5" s="421"/>
      <c r="J5" s="420"/>
      <c r="K5" s="420"/>
      <c r="L5" s="420"/>
      <c r="M5" s="420"/>
      <c r="N5" s="420"/>
      <c r="O5" s="420"/>
      <c r="Q5" s="397"/>
      <c r="R5" s="397"/>
      <c r="S5" s="397"/>
    </row>
    <row r="6" spans="1:19" s="57" customFormat="1" ht="37.5" customHeight="1" x14ac:dyDescent="0.3">
      <c r="A6" s="64">
        <f>+'Cover Page'!C39</f>
        <v>2022</v>
      </c>
      <c r="B6" s="54" t="s">
        <v>478</v>
      </c>
      <c r="C6" s="54" t="s">
        <v>439</v>
      </c>
      <c r="D6" s="54" t="s">
        <v>440</v>
      </c>
      <c r="E6" s="54" t="s">
        <v>479</v>
      </c>
      <c r="F6" s="54" t="s">
        <v>442</v>
      </c>
      <c r="G6" s="54" t="s">
        <v>443</v>
      </c>
      <c r="H6" s="58"/>
      <c r="J6" s="60">
        <f>+A6</f>
        <v>2022</v>
      </c>
      <c r="K6" s="60" t="s">
        <v>444</v>
      </c>
      <c r="L6" s="66" t="s">
        <v>439</v>
      </c>
      <c r="M6" s="66" t="s">
        <v>445</v>
      </c>
      <c r="N6" s="66" t="s">
        <v>442</v>
      </c>
      <c r="O6" s="66" t="s">
        <v>446</v>
      </c>
      <c r="Q6" s="397"/>
      <c r="R6" s="397"/>
      <c r="S6" s="397"/>
    </row>
    <row r="7" spans="1:19" ht="14.4" x14ac:dyDescent="0.3">
      <c r="A7" s="65" t="s">
        <v>447</v>
      </c>
      <c r="B7" s="100">
        <v>100</v>
      </c>
      <c r="C7" s="101" t="s">
        <v>480</v>
      </c>
      <c r="D7" s="101" t="s">
        <v>480</v>
      </c>
      <c r="E7" s="68">
        <v>50</v>
      </c>
      <c r="F7" s="63">
        <v>3.13</v>
      </c>
      <c r="G7" s="63">
        <v>5.6</v>
      </c>
      <c r="J7" s="419" t="s">
        <v>135</v>
      </c>
      <c r="K7" s="65" t="s">
        <v>447</v>
      </c>
      <c r="L7" s="101" t="s">
        <v>480</v>
      </c>
      <c r="M7" s="101" t="s">
        <v>480</v>
      </c>
      <c r="N7" s="63">
        <v>3.33</v>
      </c>
      <c r="O7" s="63">
        <v>4.12</v>
      </c>
      <c r="Q7" s="397"/>
      <c r="R7" s="397"/>
      <c r="S7" s="397"/>
    </row>
    <row r="8" spans="1:19" ht="14.4" x14ac:dyDescent="0.3">
      <c r="A8" s="65" t="s">
        <v>448</v>
      </c>
      <c r="B8" s="102">
        <v>100</v>
      </c>
      <c r="C8" s="101" t="s">
        <v>480</v>
      </c>
      <c r="D8" s="101" t="s">
        <v>480</v>
      </c>
      <c r="E8" s="62">
        <v>50</v>
      </c>
      <c r="F8" s="63">
        <v>3.69</v>
      </c>
      <c r="G8" s="63">
        <v>6.42</v>
      </c>
      <c r="J8" s="419"/>
      <c r="K8" s="65" t="s">
        <v>448</v>
      </c>
      <c r="L8" s="101" t="s">
        <v>480</v>
      </c>
      <c r="M8" s="101" t="s">
        <v>480</v>
      </c>
      <c r="N8" s="63">
        <v>3.99</v>
      </c>
      <c r="O8" s="63">
        <v>6.15</v>
      </c>
      <c r="Q8" s="397"/>
      <c r="R8" s="397"/>
      <c r="S8" s="397"/>
    </row>
    <row r="9" spans="1:19" ht="14.4" x14ac:dyDescent="0.3">
      <c r="A9" s="65" t="s">
        <v>449</v>
      </c>
      <c r="B9" s="102">
        <v>100</v>
      </c>
      <c r="C9" s="101" t="s">
        <v>480</v>
      </c>
      <c r="D9" s="101" t="s">
        <v>480</v>
      </c>
      <c r="E9" s="62">
        <v>50</v>
      </c>
      <c r="F9" s="63">
        <v>3.47</v>
      </c>
      <c r="G9" s="63">
        <v>7.15</v>
      </c>
      <c r="J9" s="419"/>
      <c r="K9" s="65" t="s">
        <v>449</v>
      </c>
      <c r="L9" s="101" t="s">
        <v>480</v>
      </c>
      <c r="M9" s="101" t="s">
        <v>480</v>
      </c>
      <c r="N9" s="63">
        <v>3.36</v>
      </c>
      <c r="O9" s="63">
        <v>3.95</v>
      </c>
      <c r="Q9" s="77" t="s">
        <v>450</v>
      </c>
    </row>
    <row r="10" spans="1:19" ht="14.25" customHeight="1" x14ac:dyDescent="0.3">
      <c r="A10" s="65" t="s">
        <v>451</v>
      </c>
      <c r="B10" s="102">
        <v>100</v>
      </c>
      <c r="C10" s="101" t="s">
        <v>480</v>
      </c>
      <c r="D10" s="101" t="s">
        <v>480</v>
      </c>
      <c r="E10" s="62">
        <v>50</v>
      </c>
      <c r="F10" s="63">
        <v>3.54</v>
      </c>
      <c r="G10" s="63">
        <v>14.56</v>
      </c>
      <c r="J10" s="419"/>
      <c r="K10" s="65" t="s">
        <v>451</v>
      </c>
      <c r="L10" s="101" t="s">
        <v>480</v>
      </c>
      <c r="M10" s="101" t="s">
        <v>480</v>
      </c>
      <c r="N10" s="63">
        <v>3.19</v>
      </c>
      <c r="O10" s="63">
        <v>4.01</v>
      </c>
      <c r="Q10" s="418" t="s">
        <v>452</v>
      </c>
      <c r="R10" s="418"/>
      <c r="S10" s="418"/>
    </row>
    <row r="11" spans="1:19" ht="14.4" x14ac:dyDescent="0.3">
      <c r="A11" s="65" t="s">
        <v>453</v>
      </c>
      <c r="B11" s="102">
        <v>100</v>
      </c>
      <c r="C11" s="101" t="s">
        <v>480</v>
      </c>
      <c r="D11" s="101" t="s">
        <v>480</v>
      </c>
      <c r="E11" s="62">
        <v>50</v>
      </c>
      <c r="F11" s="63">
        <v>3.5</v>
      </c>
      <c r="G11" s="63">
        <v>7.25</v>
      </c>
      <c r="J11" s="419"/>
      <c r="K11" s="65" t="s">
        <v>453</v>
      </c>
      <c r="L11" s="101" t="s">
        <v>480</v>
      </c>
      <c r="M11" s="101" t="s">
        <v>480</v>
      </c>
      <c r="N11" s="63">
        <v>3.55</v>
      </c>
      <c r="O11" s="63">
        <v>7.25</v>
      </c>
      <c r="Q11" s="418"/>
      <c r="R11" s="418"/>
      <c r="S11" s="418"/>
    </row>
    <row r="12" spans="1:19" ht="14.4" x14ac:dyDescent="0.3">
      <c r="A12" s="65" t="s">
        <v>454</v>
      </c>
      <c r="B12" s="102">
        <v>100</v>
      </c>
      <c r="C12" s="101" t="s">
        <v>480</v>
      </c>
      <c r="D12" s="101" t="s">
        <v>480</v>
      </c>
      <c r="E12" s="62">
        <v>50</v>
      </c>
      <c r="F12" s="63">
        <v>4.24</v>
      </c>
      <c r="G12" s="63">
        <v>18.649999999999999</v>
      </c>
      <c r="J12" s="419"/>
      <c r="K12" s="65" t="s">
        <v>454</v>
      </c>
      <c r="L12" s="101" t="s">
        <v>480</v>
      </c>
      <c r="M12" s="101" t="s">
        <v>480</v>
      </c>
      <c r="N12" s="63">
        <v>3.36</v>
      </c>
      <c r="O12" s="63">
        <v>6.92</v>
      </c>
      <c r="Q12" s="418"/>
      <c r="R12" s="418"/>
      <c r="S12" s="418"/>
    </row>
    <row r="13" spans="1:19" ht="14.25" customHeight="1" x14ac:dyDescent="0.3">
      <c r="A13" s="65" t="s">
        <v>455</v>
      </c>
      <c r="B13" s="102">
        <v>100</v>
      </c>
      <c r="C13" s="101" t="s">
        <v>480</v>
      </c>
      <c r="D13" s="101" t="s">
        <v>480</v>
      </c>
      <c r="E13" s="62">
        <v>50</v>
      </c>
      <c r="F13" s="63">
        <v>3.85</v>
      </c>
      <c r="G13" s="63">
        <v>6.4</v>
      </c>
      <c r="J13" s="419"/>
      <c r="K13" s="65" t="s">
        <v>455</v>
      </c>
      <c r="L13" s="101" t="s">
        <v>480</v>
      </c>
      <c r="M13" s="101" t="s">
        <v>480</v>
      </c>
      <c r="N13" s="63">
        <v>3.66</v>
      </c>
      <c r="O13" s="63">
        <v>5.96</v>
      </c>
      <c r="Q13" s="418" t="s">
        <v>456</v>
      </c>
      <c r="R13" s="418"/>
      <c r="S13" s="418"/>
    </row>
    <row r="14" spans="1:19" ht="14.4" x14ac:dyDescent="0.3">
      <c r="A14" s="65" t="s">
        <v>457</v>
      </c>
      <c r="B14" s="102">
        <v>100</v>
      </c>
      <c r="C14" s="101" t="s">
        <v>480</v>
      </c>
      <c r="D14" s="101" t="s">
        <v>480</v>
      </c>
      <c r="E14" s="62">
        <v>50</v>
      </c>
      <c r="F14" s="63">
        <v>5.22</v>
      </c>
      <c r="G14" s="63">
        <v>11.64</v>
      </c>
      <c r="J14" s="419"/>
      <c r="K14" s="65" t="s">
        <v>457</v>
      </c>
      <c r="L14" s="101" t="s">
        <v>480</v>
      </c>
      <c r="M14" s="101" t="s">
        <v>480</v>
      </c>
      <c r="N14" s="63">
        <v>5.04</v>
      </c>
      <c r="O14" s="63">
        <v>10.54</v>
      </c>
      <c r="Q14" s="418"/>
      <c r="R14" s="418"/>
      <c r="S14" s="418"/>
    </row>
    <row r="15" spans="1:19" ht="14.4" x14ac:dyDescent="0.3">
      <c r="A15" s="65" t="s">
        <v>458</v>
      </c>
      <c r="B15" s="102">
        <v>100</v>
      </c>
      <c r="C15" s="101" t="s">
        <v>480</v>
      </c>
      <c r="D15" s="101" t="s">
        <v>480</v>
      </c>
      <c r="E15" s="62">
        <v>50</v>
      </c>
      <c r="F15" s="63">
        <v>4.84</v>
      </c>
      <c r="G15" s="63">
        <v>7.72</v>
      </c>
      <c r="J15" s="419"/>
      <c r="K15" s="65" t="s">
        <v>458</v>
      </c>
      <c r="L15" s="101" t="s">
        <v>480</v>
      </c>
      <c r="M15" s="101" t="s">
        <v>480</v>
      </c>
      <c r="N15" s="63">
        <v>5.42</v>
      </c>
      <c r="O15" s="63">
        <v>6.68</v>
      </c>
      <c r="Q15" s="418"/>
      <c r="R15" s="418"/>
      <c r="S15" s="418"/>
    </row>
    <row r="16" spans="1:19" ht="14.4" x14ac:dyDescent="0.3">
      <c r="A16" s="65" t="s">
        <v>459</v>
      </c>
      <c r="B16" s="102">
        <v>100</v>
      </c>
      <c r="C16" s="101" t="s">
        <v>480</v>
      </c>
      <c r="D16" s="101" t="s">
        <v>480</v>
      </c>
      <c r="E16" s="62">
        <v>50</v>
      </c>
      <c r="F16" s="63">
        <v>5.01</v>
      </c>
      <c r="G16" s="63">
        <v>7.65</v>
      </c>
      <c r="J16" s="419"/>
      <c r="K16" s="65" t="s">
        <v>459</v>
      </c>
      <c r="L16" s="101" t="s">
        <v>480</v>
      </c>
      <c r="M16" s="101" t="s">
        <v>480</v>
      </c>
      <c r="N16" s="63">
        <v>5.21</v>
      </c>
      <c r="O16" s="63">
        <v>7.51</v>
      </c>
      <c r="Q16" s="418"/>
      <c r="R16" s="418"/>
      <c r="S16" s="418"/>
    </row>
    <row r="17" spans="1:15" ht="14.4" x14ac:dyDescent="0.3">
      <c r="A17" s="65" t="s">
        <v>460</v>
      </c>
      <c r="B17" s="102">
        <v>100</v>
      </c>
      <c r="C17" s="101" t="s">
        <v>480</v>
      </c>
      <c r="D17" s="101" t="s">
        <v>480</v>
      </c>
      <c r="E17" s="62">
        <v>50</v>
      </c>
      <c r="F17" s="63">
        <v>4.97</v>
      </c>
      <c r="G17" s="63">
        <v>7.17</v>
      </c>
      <c r="J17" s="419"/>
      <c r="K17" s="65" t="s">
        <v>460</v>
      </c>
      <c r="L17" s="101" t="s">
        <v>480</v>
      </c>
      <c r="M17" s="101" t="s">
        <v>480</v>
      </c>
      <c r="N17" s="63">
        <v>5.27</v>
      </c>
      <c r="O17" s="63">
        <v>7.17</v>
      </c>
    </row>
    <row r="18" spans="1:15" ht="14.4" x14ac:dyDescent="0.3">
      <c r="A18" s="65" t="s">
        <v>461</v>
      </c>
      <c r="B18" s="102">
        <v>100</v>
      </c>
      <c r="C18" s="101" t="s">
        <v>480</v>
      </c>
      <c r="D18" s="101" t="s">
        <v>480</v>
      </c>
      <c r="E18" s="62">
        <v>50</v>
      </c>
      <c r="F18" s="63">
        <v>4.5</v>
      </c>
      <c r="G18" s="63">
        <v>6.81</v>
      </c>
      <c r="J18" s="419"/>
      <c r="K18" s="65" t="s">
        <v>461</v>
      </c>
      <c r="L18" s="101" t="s">
        <v>480</v>
      </c>
      <c r="M18" s="101" t="s">
        <v>480</v>
      </c>
      <c r="N18" s="63">
        <v>5.28</v>
      </c>
      <c r="O18" s="63">
        <v>6.81</v>
      </c>
    </row>
    <row r="19" spans="1:15" x14ac:dyDescent="0.25">
      <c r="J19" s="419"/>
      <c r="K19" s="61" t="s">
        <v>462</v>
      </c>
      <c r="L19" s="99" t="e">
        <f>AVERAGE(L7:L18)</f>
        <v>#DIV/0!</v>
      </c>
      <c r="M19" s="99">
        <f>MAX(M7:M18)</f>
        <v>0</v>
      </c>
      <c r="N19" s="99">
        <f>AVERAGE(N7:N18)</f>
        <v>4.2216666666666667</v>
      </c>
      <c r="O19" s="99">
        <f>MAX(O7:O18)</f>
        <v>10.54</v>
      </c>
    </row>
    <row r="21" spans="1:15" ht="41.4" x14ac:dyDescent="0.25">
      <c r="J21" s="60">
        <f>+A6</f>
        <v>2022</v>
      </c>
      <c r="K21" s="60" t="s">
        <v>444</v>
      </c>
      <c r="L21" s="66" t="s">
        <v>439</v>
      </c>
      <c r="M21" s="66" t="s">
        <v>445</v>
      </c>
      <c r="N21" s="66" t="s">
        <v>442</v>
      </c>
      <c r="O21" s="66" t="s">
        <v>446</v>
      </c>
    </row>
    <row r="22" spans="1:15" ht="14.4" x14ac:dyDescent="0.3">
      <c r="J22" s="419" t="s">
        <v>136</v>
      </c>
      <c r="K22" s="65" t="s">
        <v>447</v>
      </c>
      <c r="L22" s="101" t="s">
        <v>480</v>
      </c>
      <c r="M22" s="101" t="s">
        <v>480</v>
      </c>
      <c r="N22" s="63">
        <v>2.79</v>
      </c>
      <c r="O22" s="63">
        <v>5.6</v>
      </c>
    </row>
    <row r="23" spans="1:15" ht="14.4" x14ac:dyDescent="0.3">
      <c r="J23" s="419"/>
      <c r="K23" s="65" t="s">
        <v>448</v>
      </c>
      <c r="L23" s="101" t="s">
        <v>480</v>
      </c>
      <c r="M23" s="101" t="s">
        <v>480</v>
      </c>
      <c r="N23" s="63">
        <v>3.47</v>
      </c>
      <c r="O23" s="63">
        <v>6.42</v>
      </c>
    </row>
    <row r="24" spans="1:15" ht="14.4" x14ac:dyDescent="0.3">
      <c r="J24" s="419"/>
      <c r="K24" s="65" t="s">
        <v>449</v>
      </c>
      <c r="L24" s="101" t="s">
        <v>480</v>
      </c>
      <c r="M24" s="101" t="s">
        <v>480</v>
      </c>
      <c r="N24" s="63">
        <v>3.52</v>
      </c>
      <c r="O24" s="63">
        <v>7.15</v>
      </c>
    </row>
    <row r="25" spans="1:15" ht="14.4" x14ac:dyDescent="0.3">
      <c r="J25" s="419"/>
      <c r="K25" s="65" t="s">
        <v>451</v>
      </c>
      <c r="L25" s="101" t="s">
        <v>480</v>
      </c>
      <c r="M25" s="101" t="s">
        <v>480</v>
      </c>
      <c r="N25" s="63">
        <v>3.82</v>
      </c>
      <c r="O25" s="63">
        <v>14.56</v>
      </c>
    </row>
    <row r="26" spans="1:15" ht="14.4" x14ac:dyDescent="0.3">
      <c r="J26" s="419"/>
      <c r="K26" s="65" t="s">
        <v>453</v>
      </c>
      <c r="L26" s="101" t="s">
        <v>480</v>
      </c>
      <c r="M26" s="101" t="s">
        <v>480</v>
      </c>
      <c r="N26" s="63">
        <v>3.45</v>
      </c>
      <c r="O26" s="63">
        <v>7.22</v>
      </c>
    </row>
    <row r="27" spans="1:15" ht="14.4" x14ac:dyDescent="0.3">
      <c r="J27" s="419"/>
      <c r="K27" s="65" t="s">
        <v>454</v>
      </c>
      <c r="L27" s="101" t="s">
        <v>480</v>
      </c>
      <c r="M27" s="101" t="s">
        <v>480</v>
      </c>
      <c r="N27" s="63">
        <v>5.1100000000000003</v>
      </c>
      <c r="O27" s="63">
        <v>18.649999999999999</v>
      </c>
    </row>
    <row r="28" spans="1:15" ht="14.4" x14ac:dyDescent="0.3">
      <c r="J28" s="419"/>
      <c r="K28" s="65" t="s">
        <v>455</v>
      </c>
      <c r="L28" s="101" t="s">
        <v>480</v>
      </c>
      <c r="M28" s="101" t="s">
        <v>480</v>
      </c>
      <c r="N28" s="63">
        <v>4.05</v>
      </c>
      <c r="O28" s="63">
        <v>6.4</v>
      </c>
    </row>
    <row r="29" spans="1:15" ht="14.4" x14ac:dyDescent="0.3">
      <c r="J29" s="419"/>
      <c r="K29" s="65" t="s">
        <v>457</v>
      </c>
      <c r="L29" s="101" t="s">
        <v>480</v>
      </c>
      <c r="M29" s="101" t="s">
        <v>480</v>
      </c>
      <c r="N29" s="63">
        <v>5.44</v>
      </c>
      <c r="O29" s="63">
        <v>11.64</v>
      </c>
    </row>
    <row r="30" spans="1:15" ht="14.4" x14ac:dyDescent="0.3">
      <c r="J30" s="419"/>
      <c r="K30" s="65" t="s">
        <v>458</v>
      </c>
      <c r="L30" s="101" t="s">
        <v>480</v>
      </c>
      <c r="M30" s="101" t="s">
        <v>480</v>
      </c>
      <c r="N30" s="63">
        <v>4.47</v>
      </c>
      <c r="O30" s="63">
        <v>7.72</v>
      </c>
    </row>
    <row r="31" spans="1:15" ht="14.4" x14ac:dyDescent="0.3">
      <c r="J31" s="419"/>
      <c r="K31" s="65" t="s">
        <v>459</v>
      </c>
      <c r="L31" s="101" t="s">
        <v>480</v>
      </c>
      <c r="M31" s="101" t="s">
        <v>480</v>
      </c>
      <c r="N31" s="63">
        <v>4.8</v>
      </c>
      <c r="O31" s="63">
        <v>7.65</v>
      </c>
    </row>
    <row r="32" spans="1:15" ht="14.4" x14ac:dyDescent="0.3">
      <c r="J32" s="419"/>
      <c r="K32" s="65" t="s">
        <v>460</v>
      </c>
      <c r="L32" s="101" t="s">
        <v>480</v>
      </c>
      <c r="M32" s="101" t="s">
        <v>480</v>
      </c>
      <c r="N32" s="63">
        <v>4.5999999999999996</v>
      </c>
      <c r="O32" s="63">
        <v>6.3</v>
      </c>
    </row>
    <row r="33" spans="1:15" ht="14.4" x14ac:dyDescent="0.3">
      <c r="J33" s="419"/>
      <c r="K33" s="65" t="s">
        <v>461</v>
      </c>
      <c r="L33" s="101" t="s">
        <v>480</v>
      </c>
      <c r="M33" s="101" t="s">
        <v>480</v>
      </c>
      <c r="N33" s="63">
        <v>3.53</v>
      </c>
      <c r="O33" s="63">
        <v>6.09</v>
      </c>
    </row>
    <row r="34" spans="1:15" x14ac:dyDescent="0.25">
      <c r="J34" s="419"/>
      <c r="K34" s="61" t="s">
        <v>462</v>
      </c>
      <c r="L34" s="61" t="e">
        <f>AVERAGE(L22:L33)</f>
        <v>#DIV/0!</v>
      </c>
      <c r="M34" s="61">
        <f>MAX(M22:M33)</f>
        <v>0</v>
      </c>
      <c r="N34" s="99">
        <f>AVERAGE(N22:N33)</f>
        <v>4.0875000000000004</v>
      </c>
      <c r="O34" s="61">
        <f>MAX(O22:O33)</f>
        <v>18.649999999999999</v>
      </c>
    </row>
    <row r="36" spans="1:15" ht="41.4" x14ac:dyDescent="0.25">
      <c r="J36" s="60">
        <f>+A6</f>
        <v>2022</v>
      </c>
      <c r="K36" s="60" t="s">
        <v>444</v>
      </c>
      <c r="L36" s="66" t="s">
        <v>439</v>
      </c>
      <c r="M36" s="66" t="s">
        <v>445</v>
      </c>
      <c r="N36" s="66" t="s">
        <v>442</v>
      </c>
      <c r="O36" s="66" t="s">
        <v>446</v>
      </c>
    </row>
    <row r="37" spans="1:15" x14ac:dyDescent="0.25">
      <c r="J37" s="419" t="s">
        <v>137</v>
      </c>
      <c r="K37" s="65" t="s">
        <v>447</v>
      </c>
      <c r="L37" s="63"/>
      <c r="M37" s="63"/>
      <c r="N37" s="63"/>
      <c r="O37" s="63"/>
    </row>
    <row r="38" spans="1:15" x14ac:dyDescent="0.25">
      <c r="J38" s="419"/>
      <c r="K38" s="65" t="s">
        <v>448</v>
      </c>
      <c r="L38" s="63"/>
      <c r="M38" s="63"/>
      <c r="N38" s="63"/>
      <c r="O38" s="63"/>
    </row>
    <row r="39" spans="1:15" x14ac:dyDescent="0.25">
      <c r="J39" s="419"/>
      <c r="K39" s="65" t="s">
        <v>449</v>
      </c>
      <c r="L39" s="63"/>
      <c r="M39" s="63"/>
      <c r="N39" s="63"/>
      <c r="O39" s="63"/>
    </row>
    <row r="40" spans="1:15" x14ac:dyDescent="0.25">
      <c r="J40" s="419"/>
      <c r="K40" s="65" t="s">
        <v>451</v>
      </c>
      <c r="L40" s="63"/>
      <c r="M40" s="63"/>
      <c r="N40" s="63"/>
      <c r="O40" s="63"/>
    </row>
    <row r="41" spans="1:15" x14ac:dyDescent="0.25">
      <c r="J41" s="419"/>
      <c r="K41" s="65" t="s">
        <v>453</v>
      </c>
      <c r="L41" s="63"/>
      <c r="M41" s="63"/>
      <c r="N41" s="63"/>
      <c r="O41" s="63"/>
    </row>
    <row r="42" spans="1:15" x14ac:dyDescent="0.25">
      <c r="J42" s="419"/>
      <c r="K42" s="65" t="s">
        <v>454</v>
      </c>
      <c r="L42" s="63"/>
      <c r="M42" s="63"/>
      <c r="N42" s="63"/>
      <c r="O42" s="63"/>
    </row>
    <row r="43" spans="1:15" x14ac:dyDescent="0.25">
      <c r="J43" s="419"/>
      <c r="K43" s="65" t="s">
        <v>455</v>
      </c>
      <c r="L43" s="63"/>
      <c r="M43" s="63"/>
      <c r="N43" s="63"/>
      <c r="O43" s="63"/>
    </row>
    <row r="44" spans="1:15" x14ac:dyDescent="0.25">
      <c r="J44" s="419"/>
      <c r="K44" s="65" t="s">
        <v>457</v>
      </c>
      <c r="L44" s="63"/>
      <c r="M44" s="63"/>
      <c r="N44" s="63"/>
      <c r="O44" s="63"/>
    </row>
    <row r="45" spans="1:15" x14ac:dyDescent="0.25">
      <c r="J45" s="419"/>
      <c r="K45" s="65" t="s">
        <v>458</v>
      </c>
      <c r="L45" s="63"/>
      <c r="M45" s="63"/>
      <c r="N45" s="63"/>
      <c r="O45" s="63"/>
    </row>
    <row r="46" spans="1:15" x14ac:dyDescent="0.25">
      <c r="J46" s="419"/>
      <c r="K46" s="65" t="s">
        <v>459</v>
      </c>
      <c r="L46" s="63"/>
      <c r="M46" s="63"/>
      <c r="N46" s="63"/>
      <c r="O46" s="63"/>
    </row>
    <row r="47" spans="1:15" x14ac:dyDescent="0.25">
      <c r="J47" s="419"/>
      <c r="K47" s="65" t="s">
        <v>460</v>
      </c>
      <c r="L47" s="63"/>
      <c r="M47" s="63"/>
      <c r="N47" s="63"/>
      <c r="O47" s="63"/>
    </row>
    <row r="48" spans="1:15" x14ac:dyDescent="0.25">
      <c r="A48" s="431" t="s">
        <v>343</v>
      </c>
      <c r="B48" s="432"/>
      <c r="C48" s="432"/>
      <c r="D48" s="432"/>
      <c r="E48" s="432"/>
      <c r="F48" s="432"/>
      <c r="G48" s="433"/>
      <c r="J48" s="419"/>
      <c r="K48" s="65" t="s">
        <v>461</v>
      </c>
      <c r="L48" s="63"/>
      <c r="M48" s="63"/>
      <c r="N48" s="63"/>
      <c r="O48" s="63"/>
    </row>
    <row r="49" spans="1:15" x14ac:dyDescent="0.25">
      <c r="A49" s="434" t="s">
        <v>481</v>
      </c>
      <c r="B49" s="423"/>
      <c r="C49" s="423"/>
      <c r="D49" s="423"/>
      <c r="E49" s="423"/>
      <c r="F49" s="423"/>
      <c r="G49" s="424"/>
      <c r="J49" s="419"/>
      <c r="K49" s="61" t="s">
        <v>462</v>
      </c>
      <c r="L49" s="61" t="e">
        <f>AVERAGE(L37:L48)</f>
        <v>#DIV/0!</v>
      </c>
      <c r="M49" s="61">
        <f>MAX(M37:M48)</f>
        <v>0</v>
      </c>
      <c r="N49" s="61" t="e">
        <f>AVERAGE(N37:N48)</f>
        <v>#DIV/0!</v>
      </c>
      <c r="O49" s="61">
        <f>MAX(O37:O48)</f>
        <v>0</v>
      </c>
    </row>
    <row r="50" spans="1:15" x14ac:dyDescent="0.25">
      <c r="A50" s="425"/>
      <c r="B50" s="426"/>
      <c r="C50" s="426"/>
      <c r="D50" s="426"/>
      <c r="E50" s="426"/>
      <c r="F50" s="426"/>
      <c r="G50" s="427"/>
    </row>
    <row r="51" spans="1:15" ht="41.4" x14ac:dyDescent="0.25">
      <c r="A51" s="425"/>
      <c r="B51" s="426"/>
      <c r="C51" s="426"/>
      <c r="D51" s="426"/>
      <c r="E51" s="426"/>
      <c r="F51" s="426"/>
      <c r="G51" s="427"/>
      <c r="J51" s="60">
        <f>+A6</f>
        <v>2022</v>
      </c>
      <c r="K51" s="60" t="s">
        <v>444</v>
      </c>
      <c r="L51" s="66" t="s">
        <v>439</v>
      </c>
      <c r="M51" s="66" t="s">
        <v>445</v>
      </c>
      <c r="N51" s="66" t="s">
        <v>442</v>
      </c>
      <c r="O51" s="66" t="s">
        <v>446</v>
      </c>
    </row>
    <row r="52" spans="1:15" x14ac:dyDescent="0.25">
      <c r="A52" s="428"/>
      <c r="B52" s="429"/>
      <c r="C52" s="429"/>
      <c r="D52" s="429"/>
      <c r="E52" s="429"/>
      <c r="F52" s="429"/>
      <c r="G52" s="430"/>
      <c r="J52" s="419" t="s">
        <v>138</v>
      </c>
      <c r="K52" s="65" t="s">
        <v>447</v>
      </c>
      <c r="L52" s="63"/>
      <c r="M52" s="63"/>
      <c r="N52" s="63"/>
      <c r="O52" s="63"/>
    </row>
    <row r="53" spans="1:15" x14ac:dyDescent="0.25">
      <c r="J53" s="419"/>
      <c r="K53" s="65" t="s">
        <v>448</v>
      </c>
      <c r="L53" s="63"/>
      <c r="M53" s="63"/>
      <c r="N53" s="63"/>
      <c r="O53" s="63"/>
    </row>
    <row r="54" spans="1:15" x14ac:dyDescent="0.25">
      <c r="J54" s="419"/>
      <c r="K54" s="65" t="s">
        <v>449</v>
      </c>
      <c r="L54" s="63"/>
      <c r="M54" s="63"/>
      <c r="N54" s="63"/>
      <c r="O54" s="63"/>
    </row>
    <row r="55" spans="1:15" x14ac:dyDescent="0.25">
      <c r="J55" s="419"/>
      <c r="K55" s="65" t="s">
        <v>451</v>
      </c>
      <c r="L55" s="63"/>
      <c r="M55" s="63"/>
      <c r="N55" s="63"/>
      <c r="O55" s="63"/>
    </row>
    <row r="56" spans="1:15" x14ac:dyDescent="0.25">
      <c r="J56" s="419"/>
      <c r="K56" s="65" t="s">
        <v>453</v>
      </c>
      <c r="L56" s="63"/>
      <c r="M56" s="63"/>
      <c r="N56" s="63"/>
      <c r="O56" s="63"/>
    </row>
    <row r="57" spans="1:15" x14ac:dyDescent="0.25">
      <c r="J57" s="419"/>
      <c r="K57" s="65" t="s">
        <v>454</v>
      </c>
      <c r="L57" s="63"/>
      <c r="M57" s="63"/>
      <c r="N57" s="63"/>
      <c r="O57" s="63"/>
    </row>
    <row r="58" spans="1:15" x14ac:dyDescent="0.25">
      <c r="J58" s="419"/>
      <c r="K58" s="65" t="s">
        <v>455</v>
      </c>
      <c r="L58" s="63"/>
      <c r="M58" s="63"/>
      <c r="N58" s="63"/>
      <c r="O58" s="63"/>
    </row>
    <row r="59" spans="1:15" x14ac:dyDescent="0.25">
      <c r="J59" s="419"/>
      <c r="K59" s="65" t="s">
        <v>457</v>
      </c>
      <c r="L59" s="63"/>
      <c r="M59" s="63"/>
      <c r="N59" s="63"/>
      <c r="O59" s="63"/>
    </row>
    <row r="60" spans="1:15" x14ac:dyDescent="0.25">
      <c r="J60" s="419"/>
      <c r="K60" s="65" t="s">
        <v>458</v>
      </c>
      <c r="L60" s="63"/>
      <c r="M60" s="63"/>
      <c r="N60" s="63"/>
      <c r="O60" s="63"/>
    </row>
    <row r="61" spans="1:15" x14ac:dyDescent="0.25">
      <c r="J61" s="419"/>
      <c r="K61" s="65" t="s">
        <v>459</v>
      </c>
      <c r="L61" s="63"/>
      <c r="M61" s="63"/>
      <c r="N61" s="63"/>
      <c r="O61" s="63"/>
    </row>
    <row r="62" spans="1:15" x14ac:dyDescent="0.25">
      <c r="J62" s="419"/>
      <c r="K62" s="65" t="s">
        <v>460</v>
      </c>
      <c r="L62" s="63"/>
      <c r="M62" s="63"/>
      <c r="N62" s="63"/>
      <c r="O62" s="63"/>
    </row>
    <row r="63" spans="1:15" x14ac:dyDescent="0.25">
      <c r="J63" s="419"/>
      <c r="K63" s="65" t="s">
        <v>461</v>
      </c>
      <c r="L63" s="63"/>
      <c r="M63" s="63"/>
      <c r="N63" s="63"/>
      <c r="O63" s="63"/>
    </row>
    <row r="64" spans="1:15" x14ac:dyDescent="0.25">
      <c r="J64" s="419"/>
      <c r="K64" s="61" t="s">
        <v>462</v>
      </c>
      <c r="L64" s="61" t="e">
        <f>AVERAGE(L52:L63)</f>
        <v>#DIV/0!</v>
      </c>
      <c r="M64" s="61">
        <f>MAX(M52:M63)</f>
        <v>0</v>
      </c>
      <c r="N64" s="61" t="e">
        <f>AVERAGE(N52:N63)</f>
        <v>#DIV/0!</v>
      </c>
      <c r="O64" s="61">
        <f>MAX(O52:O63)</f>
        <v>0</v>
      </c>
    </row>
    <row r="66" spans="10:15" ht="41.4" x14ac:dyDescent="0.25">
      <c r="J66" s="60">
        <f>+A6</f>
        <v>2022</v>
      </c>
      <c r="K66" s="60" t="s">
        <v>444</v>
      </c>
      <c r="L66" s="66" t="s">
        <v>439</v>
      </c>
      <c r="M66" s="66" t="s">
        <v>445</v>
      </c>
      <c r="N66" s="66" t="s">
        <v>442</v>
      </c>
      <c r="O66" s="66" t="s">
        <v>446</v>
      </c>
    </row>
    <row r="67" spans="10:15" x14ac:dyDescent="0.25">
      <c r="J67" s="419" t="s">
        <v>139</v>
      </c>
      <c r="K67" s="65" t="s">
        <v>447</v>
      </c>
      <c r="L67" s="63"/>
      <c r="M67" s="63"/>
      <c r="N67" s="63"/>
      <c r="O67" s="63"/>
    </row>
    <row r="68" spans="10:15" x14ac:dyDescent="0.25">
      <c r="J68" s="419"/>
      <c r="K68" s="65" t="s">
        <v>448</v>
      </c>
      <c r="L68" s="63"/>
      <c r="M68" s="63"/>
      <c r="N68" s="63"/>
      <c r="O68" s="63"/>
    </row>
    <row r="69" spans="10:15" x14ac:dyDescent="0.25">
      <c r="J69" s="419"/>
      <c r="K69" s="65" t="s">
        <v>449</v>
      </c>
      <c r="L69" s="63"/>
      <c r="M69" s="63"/>
      <c r="N69" s="63"/>
      <c r="O69" s="63"/>
    </row>
    <row r="70" spans="10:15" x14ac:dyDescent="0.25">
      <c r="J70" s="419"/>
      <c r="K70" s="65" t="s">
        <v>451</v>
      </c>
      <c r="L70" s="63"/>
      <c r="M70" s="63"/>
      <c r="N70" s="63"/>
      <c r="O70" s="63"/>
    </row>
    <row r="71" spans="10:15" x14ac:dyDescent="0.25">
      <c r="J71" s="419"/>
      <c r="K71" s="65" t="s">
        <v>453</v>
      </c>
      <c r="L71" s="63"/>
      <c r="M71" s="63"/>
      <c r="N71" s="63"/>
      <c r="O71" s="63"/>
    </row>
    <row r="72" spans="10:15" x14ac:dyDescent="0.25">
      <c r="J72" s="419"/>
      <c r="K72" s="65" t="s">
        <v>454</v>
      </c>
      <c r="L72" s="63"/>
      <c r="M72" s="63"/>
      <c r="N72" s="63"/>
      <c r="O72" s="63"/>
    </row>
    <row r="73" spans="10:15" x14ac:dyDescent="0.25">
      <c r="J73" s="419"/>
      <c r="K73" s="65" t="s">
        <v>455</v>
      </c>
      <c r="L73" s="63"/>
      <c r="M73" s="63"/>
      <c r="N73" s="63"/>
      <c r="O73" s="63"/>
    </row>
    <row r="74" spans="10:15" x14ac:dyDescent="0.25">
      <c r="J74" s="419"/>
      <c r="K74" s="65" t="s">
        <v>457</v>
      </c>
      <c r="L74" s="63"/>
      <c r="M74" s="63"/>
      <c r="N74" s="63"/>
      <c r="O74" s="63"/>
    </row>
    <row r="75" spans="10:15" x14ac:dyDescent="0.25">
      <c r="J75" s="419"/>
      <c r="K75" s="65" t="s">
        <v>458</v>
      </c>
      <c r="L75" s="63"/>
      <c r="M75" s="63"/>
      <c r="N75" s="63"/>
      <c r="O75" s="63"/>
    </row>
    <row r="76" spans="10:15" x14ac:dyDescent="0.25">
      <c r="J76" s="419"/>
      <c r="K76" s="65" t="s">
        <v>459</v>
      </c>
      <c r="L76" s="63"/>
      <c r="M76" s="63"/>
      <c r="N76" s="63"/>
      <c r="O76" s="63"/>
    </row>
    <row r="77" spans="10:15" x14ac:dyDescent="0.25">
      <c r="J77" s="419"/>
      <c r="K77" s="65" t="s">
        <v>460</v>
      </c>
      <c r="L77" s="63"/>
      <c r="M77" s="63"/>
      <c r="N77" s="63"/>
      <c r="O77" s="63"/>
    </row>
    <row r="78" spans="10:15" x14ac:dyDescent="0.25">
      <c r="J78" s="419"/>
      <c r="K78" s="65" t="s">
        <v>461</v>
      </c>
      <c r="L78" s="63"/>
      <c r="M78" s="63"/>
      <c r="N78" s="63"/>
      <c r="O78" s="63"/>
    </row>
    <row r="79" spans="10:15" x14ac:dyDescent="0.25">
      <c r="J79" s="419"/>
      <c r="K79" s="61" t="s">
        <v>462</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workbookViewId="0">
      <selection activeCell="A2" sqref="A2"/>
    </sheetView>
  </sheetViews>
  <sheetFormatPr defaultRowHeight="13.8" x14ac:dyDescent="0.25"/>
  <cols>
    <col min="1" max="1" width="14" style="3" customWidth="1"/>
    <col min="2" max="2" width="12.6640625" style="35" customWidth="1"/>
    <col min="3" max="3" width="15.33203125" style="35" customWidth="1"/>
    <col min="4" max="4" width="17.6640625" style="35" customWidth="1"/>
    <col min="5" max="5" width="14.6640625" style="35" customWidth="1"/>
    <col min="6" max="6" width="11.5546875" style="35" customWidth="1"/>
    <col min="7" max="7" width="15" style="35" customWidth="1"/>
    <col min="8" max="8" width="14.6640625" style="35" customWidth="1"/>
    <col min="9" max="12" width="9.33203125" style="3"/>
    <col min="13" max="13" width="15.44140625" style="3" customWidth="1"/>
    <col min="14" max="14" width="17.6640625" style="3" customWidth="1"/>
    <col min="15" max="15" width="17.44140625" style="3" bestFit="1" customWidth="1"/>
    <col min="16" max="16" width="13.6640625" style="3" customWidth="1"/>
    <col min="17" max="17" width="15" style="3" customWidth="1"/>
    <col min="18" max="20" width="9.33203125" style="3"/>
    <col min="21" max="21" width="22.44140625" style="3" customWidth="1"/>
    <col min="22" max="258" width="9.33203125" style="3"/>
    <col min="259" max="259" width="14" style="3" customWidth="1"/>
    <col min="260" max="265" width="10.33203125" style="3" customWidth="1"/>
    <col min="266" max="514" width="9.33203125" style="3"/>
    <col min="515" max="515" width="14" style="3" customWidth="1"/>
    <col min="516" max="521" width="10.33203125" style="3" customWidth="1"/>
    <col min="522" max="770" width="9.33203125" style="3"/>
    <col min="771" max="771" width="14" style="3" customWidth="1"/>
    <col min="772" max="777" width="10.33203125" style="3" customWidth="1"/>
    <col min="778" max="1026" width="9.33203125" style="3"/>
    <col min="1027" max="1027" width="14" style="3" customWidth="1"/>
    <col min="1028" max="1033" width="10.33203125" style="3" customWidth="1"/>
    <col min="1034" max="1282" width="9.33203125" style="3"/>
    <col min="1283" max="1283" width="14" style="3" customWidth="1"/>
    <col min="1284" max="1289" width="10.33203125" style="3" customWidth="1"/>
    <col min="1290" max="1538" width="9.33203125" style="3"/>
    <col min="1539" max="1539" width="14" style="3" customWidth="1"/>
    <col min="1540" max="1545" width="10.33203125" style="3" customWidth="1"/>
    <col min="1546" max="1794" width="9.33203125" style="3"/>
    <col min="1795" max="1795" width="14" style="3" customWidth="1"/>
    <col min="1796" max="1801" width="10.33203125" style="3" customWidth="1"/>
    <col min="1802" max="2050" width="9.33203125" style="3"/>
    <col min="2051" max="2051" width="14" style="3" customWidth="1"/>
    <col min="2052" max="2057" width="10.33203125" style="3" customWidth="1"/>
    <col min="2058" max="2306" width="9.33203125" style="3"/>
    <col min="2307" max="2307" width="14" style="3" customWidth="1"/>
    <col min="2308" max="2313" width="10.33203125" style="3" customWidth="1"/>
    <col min="2314" max="2562" width="9.33203125" style="3"/>
    <col min="2563" max="2563" width="14" style="3" customWidth="1"/>
    <col min="2564" max="2569" width="10.33203125" style="3" customWidth="1"/>
    <col min="2570" max="2818" width="9.33203125" style="3"/>
    <col min="2819" max="2819" width="14" style="3" customWidth="1"/>
    <col min="2820" max="2825" width="10.33203125" style="3" customWidth="1"/>
    <col min="2826" max="3074" width="9.33203125" style="3"/>
    <col min="3075" max="3075" width="14" style="3" customWidth="1"/>
    <col min="3076" max="3081" width="10.33203125" style="3" customWidth="1"/>
    <col min="3082" max="3330" width="9.33203125" style="3"/>
    <col min="3331" max="3331" width="14" style="3" customWidth="1"/>
    <col min="3332" max="3337" width="10.33203125" style="3" customWidth="1"/>
    <col min="3338" max="3586" width="9.33203125" style="3"/>
    <col min="3587" max="3587" width="14" style="3" customWidth="1"/>
    <col min="3588" max="3593" width="10.33203125" style="3" customWidth="1"/>
    <col min="3594" max="3842" width="9.33203125" style="3"/>
    <col min="3843" max="3843" width="14" style="3" customWidth="1"/>
    <col min="3844" max="3849" width="10.33203125" style="3" customWidth="1"/>
    <col min="3850" max="4098" width="9.33203125" style="3"/>
    <col min="4099" max="4099" width="14" style="3" customWidth="1"/>
    <col min="4100" max="4105" width="10.33203125" style="3" customWidth="1"/>
    <col min="4106" max="4354" width="9.33203125" style="3"/>
    <col min="4355" max="4355" width="14" style="3" customWidth="1"/>
    <col min="4356" max="4361" width="10.33203125" style="3" customWidth="1"/>
    <col min="4362" max="4610" width="9.33203125" style="3"/>
    <col min="4611" max="4611" width="14" style="3" customWidth="1"/>
    <col min="4612" max="4617" width="10.33203125" style="3" customWidth="1"/>
    <col min="4618" max="4866" width="9.33203125" style="3"/>
    <col min="4867" max="4867" width="14" style="3" customWidth="1"/>
    <col min="4868" max="4873" width="10.33203125" style="3" customWidth="1"/>
    <col min="4874" max="5122" width="9.33203125" style="3"/>
    <col min="5123" max="5123" width="14" style="3" customWidth="1"/>
    <col min="5124" max="5129" width="10.33203125" style="3" customWidth="1"/>
    <col min="5130" max="5378" width="9.33203125" style="3"/>
    <col min="5379" max="5379" width="14" style="3" customWidth="1"/>
    <col min="5380" max="5385" width="10.33203125" style="3" customWidth="1"/>
    <col min="5386" max="5634" width="9.33203125" style="3"/>
    <col min="5635" max="5635" width="14" style="3" customWidth="1"/>
    <col min="5636" max="5641" width="10.33203125" style="3" customWidth="1"/>
    <col min="5642" max="5890" width="9.33203125" style="3"/>
    <col min="5891" max="5891" width="14" style="3" customWidth="1"/>
    <col min="5892" max="5897" width="10.33203125" style="3" customWidth="1"/>
    <col min="5898" max="6146" width="9.33203125" style="3"/>
    <col min="6147" max="6147" width="14" style="3" customWidth="1"/>
    <col min="6148" max="6153" width="10.33203125" style="3" customWidth="1"/>
    <col min="6154" max="6402" width="9.33203125" style="3"/>
    <col min="6403" max="6403" width="14" style="3" customWidth="1"/>
    <col min="6404" max="6409" width="10.33203125" style="3" customWidth="1"/>
    <col min="6410" max="6658" width="9.33203125" style="3"/>
    <col min="6659" max="6659" width="14" style="3" customWidth="1"/>
    <col min="6660" max="6665" width="10.33203125" style="3" customWidth="1"/>
    <col min="6666" max="6914" width="9.33203125" style="3"/>
    <col min="6915" max="6915" width="14" style="3" customWidth="1"/>
    <col min="6916" max="6921" width="10.33203125" style="3" customWidth="1"/>
    <col min="6922" max="7170" width="9.33203125" style="3"/>
    <col min="7171" max="7171" width="14" style="3" customWidth="1"/>
    <col min="7172" max="7177" width="10.33203125" style="3" customWidth="1"/>
    <col min="7178" max="7426" width="9.33203125" style="3"/>
    <col min="7427" max="7427" width="14" style="3" customWidth="1"/>
    <col min="7428" max="7433" width="10.33203125" style="3" customWidth="1"/>
    <col min="7434" max="7682" width="9.33203125" style="3"/>
    <col min="7683" max="7683" width="14" style="3" customWidth="1"/>
    <col min="7684" max="7689" width="10.33203125" style="3" customWidth="1"/>
    <col min="7690" max="7938" width="9.33203125" style="3"/>
    <col min="7939" max="7939" width="14" style="3" customWidth="1"/>
    <col min="7940" max="7945" width="10.33203125" style="3" customWidth="1"/>
    <col min="7946" max="8194" width="9.33203125" style="3"/>
    <col min="8195" max="8195" width="14" style="3" customWidth="1"/>
    <col min="8196" max="8201" width="10.33203125" style="3" customWidth="1"/>
    <col min="8202" max="8450" width="9.33203125" style="3"/>
    <col min="8451" max="8451" width="14" style="3" customWidth="1"/>
    <col min="8452" max="8457" width="10.33203125" style="3" customWidth="1"/>
    <col min="8458" max="8706" width="9.33203125" style="3"/>
    <col min="8707" max="8707" width="14" style="3" customWidth="1"/>
    <col min="8708" max="8713" width="10.33203125" style="3" customWidth="1"/>
    <col min="8714" max="8962" width="9.33203125" style="3"/>
    <col min="8963" max="8963" width="14" style="3" customWidth="1"/>
    <col min="8964" max="8969" width="10.33203125" style="3" customWidth="1"/>
    <col min="8970" max="9218" width="9.33203125" style="3"/>
    <col min="9219" max="9219" width="14" style="3" customWidth="1"/>
    <col min="9220" max="9225" width="10.33203125" style="3" customWidth="1"/>
    <col min="9226" max="9474" width="9.33203125" style="3"/>
    <col min="9475" max="9475" width="14" style="3" customWidth="1"/>
    <col min="9476" max="9481" width="10.33203125" style="3" customWidth="1"/>
    <col min="9482" max="9730" width="9.33203125" style="3"/>
    <col min="9731" max="9731" width="14" style="3" customWidth="1"/>
    <col min="9732" max="9737" width="10.33203125" style="3" customWidth="1"/>
    <col min="9738" max="9986" width="9.33203125" style="3"/>
    <col min="9987" max="9987" width="14" style="3" customWidth="1"/>
    <col min="9988" max="9993" width="10.33203125" style="3" customWidth="1"/>
    <col min="9994" max="10242" width="9.33203125" style="3"/>
    <col min="10243" max="10243" width="14" style="3" customWidth="1"/>
    <col min="10244" max="10249" width="10.33203125" style="3" customWidth="1"/>
    <col min="10250" max="10498" width="9.33203125" style="3"/>
    <col min="10499" max="10499" width="14" style="3" customWidth="1"/>
    <col min="10500" max="10505" width="10.33203125" style="3" customWidth="1"/>
    <col min="10506" max="10754" width="9.33203125" style="3"/>
    <col min="10755" max="10755" width="14" style="3" customWidth="1"/>
    <col min="10756" max="10761" width="10.33203125" style="3" customWidth="1"/>
    <col min="10762" max="11010" width="9.33203125" style="3"/>
    <col min="11011" max="11011" width="14" style="3" customWidth="1"/>
    <col min="11012" max="11017" width="10.33203125" style="3" customWidth="1"/>
    <col min="11018" max="11266" width="9.33203125" style="3"/>
    <col min="11267" max="11267" width="14" style="3" customWidth="1"/>
    <col min="11268" max="11273" width="10.33203125" style="3" customWidth="1"/>
    <col min="11274" max="11522" width="9.33203125" style="3"/>
    <col min="11523" max="11523" width="14" style="3" customWidth="1"/>
    <col min="11524" max="11529" width="10.33203125" style="3" customWidth="1"/>
    <col min="11530" max="11778" width="9.33203125" style="3"/>
    <col min="11779" max="11779" width="14" style="3" customWidth="1"/>
    <col min="11780" max="11785" width="10.33203125" style="3" customWidth="1"/>
    <col min="11786" max="12034" width="9.33203125" style="3"/>
    <col min="12035" max="12035" width="14" style="3" customWidth="1"/>
    <col min="12036" max="12041" width="10.33203125" style="3" customWidth="1"/>
    <col min="12042" max="12290" width="9.33203125" style="3"/>
    <col min="12291" max="12291" width="14" style="3" customWidth="1"/>
    <col min="12292" max="12297" width="10.33203125" style="3" customWidth="1"/>
    <col min="12298" max="12546" width="9.33203125" style="3"/>
    <col min="12547" max="12547" width="14" style="3" customWidth="1"/>
    <col min="12548" max="12553" width="10.33203125" style="3" customWidth="1"/>
    <col min="12554" max="12802" width="9.33203125" style="3"/>
    <col min="12803" max="12803" width="14" style="3" customWidth="1"/>
    <col min="12804" max="12809" width="10.33203125" style="3" customWidth="1"/>
    <col min="12810" max="13058" width="9.33203125" style="3"/>
    <col min="13059" max="13059" width="14" style="3" customWidth="1"/>
    <col min="13060" max="13065" width="10.33203125" style="3" customWidth="1"/>
    <col min="13066" max="13314" width="9.33203125" style="3"/>
    <col min="13315" max="13315" width="14" style="3" customWidth="1"/>
    <col min="13316" max="13321" width="10.33203125" style="3" customWidth="1"/>
    <col min="13322" max="13570" width="9.33203125" style="3"/>
    <col min="13571" max="13571" width="14" style="3" customWidth="1"/>
    <col min="13572" max="13577" width="10.33203125" style="3" customWidth="1"/>
    <col min="13578" max="13826" width="9.33203125" style="3"/>
    <col min="13827" max="13827" width="14" style="3" customWidth="1"/>
    <col min="13828" max="13833" width="10.33203125" style="3" customWidth="1"/>
    <col min="13834" max="14082" width="9.33203125" style="3"/>
    <col min="14083" max="14083" width="14" style="3" customWidth="1"/>
    <col min="14084" max="14089" width="10.33203125" style="3" customWidth="1"/>
    <col min="14090" max="14338" width="9.33203125" style="3"/>
    <col min="14339" max="14339" width="14" style="3" customWidth="1"/>
    <col min="14340" max="14345" width="10.33203125" style="3" customWidth="1"/>
    <col min="14346" max="14594" width="9.33203125" style="3"/>
    <col min="14595" max="14595" width="14" style="3" customWidth="1"/>
    <col min="14596" max="14601" width="10.33203125" style="3" customWidth="1"/>
    <col min="14602" max="14850" width="9.33203125" style="3"/>
    <col min="14851" max="14851" width="14" style="3" customWidth="1"/>
    <col min="14852" max="14857" width="10.33203125" style="3" customWidth="1"/>
    <col min="14858" max="15106" width="9.33203125" style="3"/>
    <col min="15107" max="15107" width="14" style="3" customWidth="1"/>
    <col min="15108" max="15113" width="10.33203125" style="3" customWidth="1"/>
    <col min="15114" max="15362" width="9.33203125" style="3"/>
    <col min="15363" max="15363" width="14" style="3" customWidth="1"/>
    <col min="15364" max="15369" width="10.33203125" style="3" customWidth="1"/>
    <col min="15370" max="15618" width="9.33203125" style="3"/>
    <col min="15619" max="15619" width="14" style="3" customWidth="1"/>
    <col min="15620" max="15625" width="10.33203125" style="3" customWidth="1"/>
    <col min="15626" max="15874" width="9.33203125" style="3"/>
    <col min="15875" max="15875" width="14" style="3" customWidth="1"/>
    <col min="15876" max="15881" width="10.33203125" style="3" customWidth="1"/>
    <col min="15882" max="16130" width="9.33203125" style="3"/>
    <col min="16131" max="16131" width="14" style="3" customWidth="1"/>
    <col min="16132" max="16137" width="10.33203125" style="3" customWidth="1"/>
    <col min="16138" max="16384" width="9.33203125" style="3"/>
  </cols>
  <sheetData>
    <row r="1" spans="1:21" ht="15" x14ac:dyDescent="0.25">
      <c r="A1" s="91" t="str">
        <f>+'Cover Page'!$B$29</f>
        <v>Annual Performance Report 2022</v>
      </c>
      <c r="B1" s="91"/>
      <c r="C1" s="91"/>
      <c r="D1" s="91"/>
      <c r="E1" s="91" t="str">
        <f>+'Cover Page'!$B$33</f>
        <v>Kemsley Generating Station</v>
      </c>
    </row>
    <row r="3" spans="1:21" ht="14.4" x14ac:dyDescent="0.3">
      <c r="A3" s="59" t="s">
        <v>482</v>
      </c>
      <c r="E3" s="75" t="s">
        <v>431</v>
      </c>
      <c r="H3" s="79" t="s">
        <v>483</v>
      </c>
      <c r="J3" s="9" t="str">
        <f>+A3</f>
        <v>Monitoring of Carbon Monoxide (10-minute avg)</v>
      </c>
      <c r="L3" s="9"/>
      <c r="O3" s="9" t="s">
        <v>433</v>
      </c>
      <c r="Q3" s="76" t="s">
        <v>3</v>
      </c>
      <c r="S3" s="78" t="s">
        <v>3</v>
      </c>
      <c r="T3" s="73"/>
      <c r="U3" s="73"/>
    </row>
    <row r="4" spans="1:21" ht="13.95" customHeight="1" x14ac:dyDescent="0.25">
      <c r="S4" s="397" t="s">
        <v>484</v>
      </c>
      <c r="T4" s="397"/>
      <c r="U4" s="397"/>
    </row>
    <row r="5" spans="1:21" ht="16.2" x14ac:dyDescent="0.25">
      <c r="A5" s="67" t="s">
        <v>435</v>
      </c>
      <c r="B5" s="421" t="s">
        <v>485</v>
      </c>
      <c r="C5" s="421"/>
      <c r="D5" s="421"/>
      <c r="E5" s="421"/>
      <c r="F5" s="421" t="s">
        <v>437</v>
      </c>
      <c r="G5" s="421"/>
      <c r="H5" s="421"/>
      <c r="K5" s="420"/>
      <c r="L5" s="420"/>
      <c r="M5" s="420"/>
      <c r="N5" s="420"/>
      <c r="O5" s="420"/>
      <c r="P5" s="420"/>
      <c r="Q5" s="420"/>
      <c r="S5" s="397"/>
      <c r="T5" s="397"/>
      <c r="U5" s="397"/>
    </row>
    <row r="6" spans="1:21" s="57" customFormat="1" ht="37.5" customHeight="1" x14ac:dyDescent="0.3">
      <c r="A6" s="64">
        <f>+'Cover Page'!C39</f>
        <v>2022</v>
      </c>
      <c r="B6" s="54" t="s">
        <v>486</v>
      </c>
      <c r="C6" s="54" t="s">
        <v>487</v>
      </c>
      <c r="D6" s="54" t="s">
        <v>488</v>
      </c>
      <c r="E6" s="54" t="s">
        <v>489</v>
      </c>
      <c r="F6" s="54" t="s">
        <v>479</v>
      </c>
      <c r="G6" s="54" t="s">
        <v>442</v>
      </c>
      <c r="H6" s="54" t="s">
        <v>443</v>
      </c>
      <c r="I6" s="58"/>
      <c r="K6" s="60">
        <f>+A6</f>
        <v>2022</v>
      </c>
      <c r="L6" s="60" t="s">
        <v>444</v>
      </c>
      <c r="M6" s="54" t="s">
        <v>487</v>
      </c>
      <c r="N6" s="54" t="s">
        <v>488</v>
      </c>
      <c r="O6" s="54" t="s">
        <v>489</v>
      </c>
      <c r="P6" s="66" t="s">
        <v>442</v>
      </c>
      <c r="Q6" s="66" t="s">
        <v>446</v>
      </c>
      <c r="S6" s="397"/>
      <c r="T6" s="397"/>
      <c r="U6" s="397"/>
    </row>
    <row r="7" spans="1:21" x14ac:dyDescent="0.25">
      <c r="A7" s="65" t="s">
        <v>447</v>
      </c>
      <c r="B7" s="62">
        <v>150</v>
      </c>
      <c r="C7" s="63">
        <v>7.88</v>
      </c>
      <c r="D7" s="63">
        <v>3.16</v>
      </c>
      <c r="E7" s="63">
        <v>254.17</v>
      </c>
      <c r="F7" s="62">
        <v>50</v>
      </c>
      <c r="G7" s="63">
        <v>3.14</v>
      </c>
      <c r="H7" s="63">
        <v>5.62</v>
      </c>
      <c r="K7" s="419" t="s">
        <v>135</v>
      </c>
      <c r="L7" s="65" t="s">
        <v>447</v>
      </c>
      <c r="M7" s="63">
        <v>7.88</v>
      </c>
      <c r="N7" s="63">
        <v>3.37</v>
      </c>
      <c r="O7" s="63">
        <v>138.97</v>
      </c>
      <c r="P7" s="63">
        <v>3.33</v>
      </c>
      <c r="Q7" s="63">
        <v>4.12</v>
      </c>
      <c r="S7" s="397"/>
      <c r="T7" s="397"/>
      <c r="U7" s="397"/>
    </row>
    <row r="8" spans="1:21" x14ac:dyDescent="0.25">
      <c r="A8" s="65" t="s">
        <v>448</v>
      </c>
      <c r="B8" s="62">
        <f>+B7</f>
        <v>150</v>
      </c>
      <c r="C8" s="63">
        <v>13.49</v>
      </c>
      <c r="D8" s="63">
        <v>3.64</v>
      </c>
      <c r="E8" s="63">
        <v>482.39</v>
      </c>
      <c r="F8" s="62">
        <v>50</v>
      </c>
      <c r="G8" s="63">
        <v>3.64</v>
      </c>
      <c r="H8" s="63">
        <v>6.45</v>
      </c>
      <c r="K8" s="419"/>
      <c r="L8" s="65" t="s">
        <v>448</v>
      </c>
      <c r="M8" s="63">
        <v>11.67</v>
      </c>
      <c r="N8" s="63">
        <v>3.85</v>
      </c>
      <c r="O8" s="63">
        <v>240.53</v>
      </c>
      <c r="P8" s="63">
        <v>3.86</v>
      </c>
      <c r="Q8" s="63">
        <v>6.15</v>
      </c>
      <c r="S8" s="397"/>
      <c r="T8" s="397"/>
      <c r="U8" s="397"/>
    </row>
    <row r="9" spans="1:21" x14ac:dyDescent="0.25">
      <c r="A9" s="65" t="s">
        <v>449</v>
      </c>
      <c r="B9" s="62">
        <f t="shared" ref="B9:B18" si="0">+B8</f>
        <v>150</v>
      </c>
      <c r="C9" s="63">
        <v>12.25</v>
      </c>
      <c r="D9" s="63">
        <v>3.48</v>
      </c>
      <c r="E9" s="63">
        <v>651.44000000000005</v>
      </c>
      <c r="F9" s="62">
        <v>50</v>
      </c>
      <c r="G9" s="63">
        <v>3.48</v>
      </c>
      <c r="H9" s="63">
        <v>7.23</v>
      </c>
      <c r="K9" s="419"/>
      <c r="L9" s="65" t="s">
        <v>449</v>
      </c>
      <c r="M9" s="63">
        <v>7.26</v>
      </c>
      <c r="N9" s="63">
        <v>3.38</v>
      </c>
      <c r="O9" s="63">
        <v>135.49</v>
      </c>
      <c r="P9" s="63">
        <v>3.36</v>
      </c>
      <c r="Q9" s="63">
        <v>3.95</v>
      </c>
      <c r="S9" s="77" t="s">
        <v>490</v>
      </c>
    </row>
    <row r="10" spans="1:21" x14ac:dyDescent="0.25">
      <c r="A10" s="65" t="s">
        <v>451</v>
      </c>
      <c r="B10" s="62">
        <f t="shared" si="0"/>
        <v>150</v>
      </c>
      <c r="C10" s="63">
        <v>40.14</v>
      </c>
      <c r="D10" s="63">
        <v>3.55</v>
      </c>
      <c r="E10" s="63">
        <v>1105.53</v>
      </c>
      <c r="F10" s="62">
        <v>50</v>
      </c>
      <c r="G10" s="63">
        <v>3.54</v>
      </c>
      <c r="H10" s="63">
        <v>14.56</v>
      </c>
      <c r="K10" s="419"/>
      <c r="L10" s="65" t="s">
        <v>451</v>
      </c>
      <c r="M10" s="63">
        <v>5.24</v>
      </c>
      <c r="N10" s="63">
        <v>3.22</v>
      </c>
      <c r="O10" s="63">
        <v>168.26</v>
      </c>
      <c r="P10" s="63">
        <v>3.19</v>
      </c>
      <c r="Q10" s="63">
        <v>4.01</v>
      </c>
      <c r="S10" s="418" t="s">
        <v>491</v>
      </c>
      <c r="T10" s="418"/>
      <c r="U10" s="418"/>
    </row>
    <row r="11" spans="1:21" x14ac:dyDescent="0.25">
      <c r="A11" s="65" t="s">
        <v>453</v>
      </c>
      <c r="B11" s="62">
        <f t="shared" si="0"/>
        <v>150</v>
      </c>
      <c r="C11" s="63">
        <v>7.7</v>
      </c>
      <c r="D11" s="63">
        <v>3.49</v>
      </c>
      <c r="E11" s="63">
        <v>605.05999999999995</v>
      </c>
      <c r="F11" s="62">
        <v>50</v>
      </c>
      <c r="G11" s="63">
        <v>3.5</v>
      </c>
      <c r="H11" s="63">
        <v>7.25</v>
      </c>
      <c r="K11" s="419"/>
      <c r="L11" s="65" t="s">
        <v>453</v>
      </c>
      <c r="M11" s="63">
        <v>6.97</v>
      </c>
      <c r="N11" s="63">
        <v>3.54</v>
      </c>
      <c r="O11" s="63">
        <v>605.05999999999995</v>
      </c>
      <c r="P11" s="63">
        <v>3.55</v>
      </c>
      <c r="Q11" s="63">
        <v>7.25</v>
      </c>
      <c r="S11" s="418"/>
      <c r="T11" s="418"/>
      <c r="U11" s="418"/>
    </row>
    <row r="12" spans="1:21" x14ac:dyDescent="0.25">
      <c r="A12" s="65" t="s">
        <v>454</v>
      </c>
      <c r="B12" s="62">
        <f t="shared" si="0"/>
        <v>150</v>
      </c>
      <c r="C12" s="63">
        <v>47.26</v>
      </c>
      <c r="D12" s="63">
        <v>4.24</v>
      </c>
      <c r="E12" s="63">
        <v>890.64</v>
      </c>
      <c r="F12" s="62">
        <v>50</v>
      </c>
      <c r="G12" s="63">
        <v>4.24</v>
      </c>
      <c r="H12" s="63">
        <v>18.649999999999999</v>
      </c>
      <c r="K12" s="419"/>
      <c r="L12" s="65" t="s">
        <v>454</v>
      </c>
      <c r="M12" s="63">
        <v>8.65</v>
      </c>
      <c r="N12" s="63">
        <v>3.36</v>
      </c>
      <c r="O12" s="63">
        <v>322.33</v>
      </c>
      <c r="P12" s="63">
        <v>3.36</v>
      </c>
      <c r="Q12" s="63">
        <v>6.92</v>
      </c>
      <c r="S12" s="418"/>
      <c r="T12" s="418"/>
      <c r="U12" s="418"/>
    </row>
    <row r="13" spans="1:21" x14ac:dyDescent="0.25">
      <c r="A13" s="65" t="s">
        <v>455</v>
      </c>
      <c r="B13" s="62">
        <f t="shared" si="0"/>
        <v>150</v>
      </c>
      <c r="C13" s="63">
        <v>18.7</v>
      </c>
      <c r="D13" s="63">
        <v>3.85</v>
      </c>
      <c r="E13" s="63">
        <v>316.11</v>
      </c>
      <c r="F13" s="62">
        <v>50</v>
      </c>
      <c r="G13" s="63">
        <v>3.85</v>
      </c>
      <c r="H13" s="63">
        <v>6.4</v>
      </c>
      <c r="K13" s="419"/>
      <c r="L13" s="65" t="s">
        <v>455</v>
      </c>
      <c r="M13" s="63">
        <v>8.43</v>
      </c>
      <c r="N13" s="63">
        <v>3.66</v>
      </c>
      <c r="O13" s="63">
        <v>316.11</v>
      </c>
      <c r="P13" s="63">
        <v>3.65</v>
      </c>
      <c r="Q13" s="63">
        <v>5.96</v>
      </c>
      <c r="S13" s="418" t="s">
        <v>492</v>
      </c>
      <c r="T13" s="418"/>
      <c r="U13" s="418"/>
    </row>
    <row r="14" spans="1:21" x14ac:dyDescent="0.25">
      <c r="A14" s="65" t="s">
        <v>457</v>
      </c>
      <c r="B14" s="62">
        <f t="shared" si="0"/>
        <v>150</v>
      </c>
      <c r="C14" s="63">
        <v>17.13</v>
      </c>
      <c r="D14" s="63">
        <v>5.35</v>
      </c>
      <c r="E14" s="63">
        <v>930.98</v>
      </c>
      <c r="F14" s="62">
        <v>50</v>
      </c>
      <c r="G14" s="63">
        <v>5.22</v>
      </c>
      <c r="H14" s="63">
        <v>11.64</v>
      </c>
      <c r="K14" s="419"/>
      <c r="L14" s="65" t="s">
        <v>457</v>
      </c>
      <c r="M14" s="63">
        <v>13.27</v>
      </c>
      <c r="N14" s="63">
        <v>5.04</v>
      </c>
      <c r="O14" s="63">
        <v>437.22</v>
      </c>
      <c r="P14" s="63">
        <v>5.04</v>
      </c>
      <c r="Q14" s="63">
        <v>10.54</v>
      </c>
      <c r="S14" s="418"/>
      <c r="T14" s="418"/>
      <c r="U14" s="418"/>
    </row>
    <row r="15" spans="1:21" x14ac:dyDescent="0.25">
      <c r="A15" s="65" t="s">
        <v>458</v>
      </c>
      <c r="B15" s="62">
        <f t="shared" si="0"/>
        <v>150</v>
      </c>
      <c r="C15" s="63">
        <v>23.26</v>
      </c>
      <c r="D15" s="63">
        <v>4.8600000000000003</v>
      </c>
      <c r="E15" s="63">
        <v>401.42</v>
      </c>
      <c r="F15" s="62">
        <v>50</v>
      </c>
      <c r="G15" s="63">
        <v>4.84</v>
      </c>
      <c r="H15" s="63">
        <v>7.72</v>
      </c>
      <c r="K15" s="419"/>
      <c r="L15" s="65" t="s">
        <v>458</v>
      </c>
      <c r="M15" s="63">
        <v>10.34</v>
      </c>
      <c r="N15" s="63">
        <v>5.44</v>
      </c>
      <c r="O15" s="63">
        <v>199.88</v>
      </c>
      <c r="P15" s="63">
        <v>5.42</v>
      </c>
      <c r="Q15" s="63">
        <v>6.68</v>
      </c>
      <c r="S15" s="418"/>
      <c r="T15" s="418"/>
      <c r="U15" s="418"/>
    </row>
    <row r="16" spans="1:21" x14ac:dyDescent="0.25">
      <c r="A16" s="65" t="s">
        <v>459</v>
      </c>
      <c r="B16" s="62">
        <f t="shared" si="0"/>
        <v>150</v>
      </c>
      <c r="C16" s="63">
        <v>11.87</v>
      </c>
      <c r="D16" s="63">
        <v>4.99</v>
      </c>
      <c r="E16" s="63">
        <v>269.8</v>
      </c>
      <c r="F16" s="62">
        <v>50</v>
      </c>
      <c r="G16" s="63">
        <v>4.99</v>
      </c>
      <c r="H16" s="63">
        <v>7.65</v>
      </c>
      <c r="K16" s="419"/>
      <c r="L16" s="65" t="s">
        <v>459</v>
      </c>
      <c r="M16" s="63">
        <v>11.87</v>
      </c>
      <c r="N16" s="63">
        <v>5.21</v>
      </c>
      <c r="O16" s="63">
        <v>269.8</v>
      </c>
      <c r="P16" s="63">
        <v>5.21</v>
      </c>
      <c r="Q16" s="63">
        <v>7.51</v>
      </c>
      <c r="S16" s="418"/>
      <c r="T16" s="418"/>
      <c r="U16" s="418"/>
    </row>
    <row r="17" spans="1:17" x14ac:dyDescent="0.25">
      <c r="A17" s="65" t="s">
        <v>460</v>
      </c>
      <c r="B17" s="62">
        <f t="shared" si="0"/>
        <v>150</v>
      </c>
      <c r="C17" s="63">
        <v>19.8</v>
      </c>
      <c r="D17" s="63">
        <v>4.99</v>
      </c>
      <c r="E17" s="63">
        <v>240.39</v>
      </c>
      <c r="F17" s="62">
        <v>50</v>
      </c>
      <c r="G17" s="63">
        <v>4.97</v>
      </c>
      <c r="H17" s="63">
        <v>7.17</v>
      </c>
      <c r="K17" s="419"/>
      <c r="L17" s="65" t="s">
        <v>460</v>
      </c>
      <c r="M17" s="63">
        <v>9.4700000000000006</v>
      </c>
      <c r="N17" s="63">
        <v>5.32</v>
      </c>
      <c r="O17" s="63">
        <v>240.39</v>
      </c>
      <c r="P17" s="63">
        <v>5.27</v>
      </c>
      <c r="Q17" s="63">
        <v>7.17</v>
      </c>
    </row>
    <row r="18" spans="1:17" x14ac:dyDescent="0.25">
      <c r="A18" s="65" t="s">
        <v>461</v>
      </c>
      <c r="B18" s="62">
        <f t="shared" si="0"/>
        <v>150</v>
      </c>
      <c r="C18" s="63">
        <v>20.43</v>
      </c>
      <c r="D18" s="63">
        <v>4.5</v>
      </c>
      <c r="E18" s="63">
        <v>211.44</v>
      </c>
      <c r="F18" s="62">
        <v>50</v>
      </c>
      <c r="G18" s="63">
        <v>4.51</v>
      </c>
      <c r="H18" s="63">
        <v>7.39</v>
      </c>
      <c r="K18" s="419"/>
      <c r="L18" s="65" t="s">
        <v>461</v>
      </c>
      <c r="M18" s="63">
        <v>20.43</v>
      </c>
      <c r="N18" s="63">
        <v>5.23</v>
      </c>
      <c r="O18" s="63">
        <v>185.91</v>
      </c>
      <c r="P18" s="63">
        <v>5.31</v>
      </c>
      <c r="Q18" s="63">
        <v>7.39</v>
      </c>
    </row>
    <row r="19" spans="1:17" x14ac:dyDescent="0.25">
      <c r="K19" s="419"/>
      <c r="L19" s="61" t="s">
        <v>462</v>
      </c>
      <c r="M19" s="99">
        <f>AVERAGE(M7:M18)</f>
        <v>10.123333333333335</v>
      </c>
      <c r="N19" s="99"/>
      <c r="O19" s="99">
        <f>MAX(O7:O18)</f>
        <v>605.05999999999995</v>
      </c>
      <c r="P19" s="99">
        <f>AVERAGE(P7:P18)</f>
        <v>4.2124999999999995</v>
      </c>
      <c r="Q19" s="99">
        <f>MAX(Q7:Q18)</f>
        <v>10.54</v>
      </c>
    </row>
    <row r="21" spans="1:17" ht="27.6" x14ac:dyDescent="0.25">
      <c r="K21" s="60">
        <f>+A6</f>
        <v>2022</v>
      </c>
      <c r="L21" s="60" t="s">
        <v>444</v>
      </c>
      <c r="M21" s="54" t="s">
        <v>487</v>
      </c>
      <c r="N21" s="54" t="s">
        <v>488</v>
      </c>
      <c r="O21" s="54" t="s">
        <v>489</v>
      </c>
      <c r="P21" s="66" t="s">
        <v>442</v>
      </c>
      <c r="Q21" s="66" t="s">
        <v>446</v>
      </c>
    </row>
    <row r="22" spans="1:17" x14ac:dyDescent="0.25">
      <c r="K22" s="419" t="s">
        <v>136</v>
      </c>
      <c r="L22" s="65" t="s">
        <v>447</v>
      </c>
      <c r="M22" s="63">
        <v>7.85</v>
      </c>
      <c r="N22" s="63">
        <v>2.77</v>
      </c>
      <c r="O22" s="63">
        <v>254.17</v>
      </c>
      <c r="P22" s="63">
        <v>2.79</v>
      </c>
      <c r="Q22" s="63">
        <v>5.62</v>
      </c>
    </row>
    <row r="23" spans="1:17" x14ac:dyDescent="0.25">
      <c r="K23" s="419"/>
      <c r="L23" s="65" t="s">
        <v>448</v>
      </c>
      <c r="M23" s="63">
        <v>13.49</v>
      </c>
      <c r="N23" s="63">
        <v>3.48</v>
      </c>
      <c r="O23" s="63">
        <v>482.39</v>
      </c>
      <c r="P23" s="63">
        <v>3.47</v>
      </c>
      <c r="Q23" s="63">
        <v>6.45</v>
      </c>
    </row>
    <row r="24" spans="1:17" x14ac:dyDescent="0.25">
      <c r="K24" s="419"/>
      <c r="L24" s="65" t="s">
        <v>449</v>
      </c>
      <c r="M24" s="63">
        <v>12.25</v>
      </c>
      <c r="N24" s="63">
        <v>3.53</v>
      </c>
      <c r="O24" s="63">
        <v>651.44000000000005</v>
      </c>
      <c r="P24" s="63">
        <v>3.52</v>
      </c>
      <c r="Q24" s="63">
        <v>7.23</v>
      </c>
    </row>
    <row r="25" spans="1:17" x14ac:dyDescent="0.25">
      <c r="K25" s="419"/>
      <c r="L25" s="65" t="s">
        <v>451</v>
      </c>
      <c r="M25" s="63">
        <v>40.14</v>
      </c>
      <c r="N25" s="63">
        <v>3.81</v>
      </c>
      <c r="O25" s="63">
        <v>1105.53</v>
      </c>
      <c r="P25" s="63">
        <v>3.82</v>
      </c>
      <c r="Q25" s="63">
        <v>14.56</v>
      </c>
    </row>
    <row r="26" spans="1:17" x14ac:dyDescent="0.25">
      <c r="K26" s="419"/>
      <c r="L26" s="65" t="s">
        <v>453</v>
      </c>
      <c r="M26" s="63">
        <v>7.7</v>
      </c>
      <c r="N26" s="63">
        <v>3.45</v>
      </c>
      <c r="O26" s="63">
        <v>550.07000000000005</v>
      </c>
      <c r="P26" s="63">
        <v>3.45</v>
      </c>
      <c r="Q26" s="63">
        <v>7.22</v>
      </c>
    </row>
    <row r="27" spans="1:17" x14ac:dyDescent="0.25">
      <c r="K27" s="419"/>
      <c r="L27" s="65" t="s">
        <v>454</v>
      </c>
      <c r="M27" s="63">
        <v>47.26</v>
      </c>
      <c r="N27" s="63">
        <v>5.1100000000000003</v>
      </c>
      <c r="O27" s="63">
        <v>890.64</v>
      </c>
      <c r="P27" s="63">
        <v>5.1100000000000003</v>
      </c>
      <c r="Q27" s="63">
        <v>18.649999999999999</v>
      </c>
    </row>
    <row r="28" spans="1:17" x14ac:dyDescent="0.25">
      <c r="K28" s="419"/>
      <c r="L28" s="65" t="s">
        <v>455</v>
      </c>
      <c r="M28" s="63">
        <v>18.7</v>
      </c>
      <c r="N28" s="63">
        <v>4.05</v>
      </c>
      <c r="O28" s="63">
        <v>201.64</v>
      </c>
      <c r="P28" s="63">
        <v>4.05</v>
      </c>
      <c r="Q28" s="63">
        <v>6.4</v>
      </c>
    </row>
    <row r="29" spans="1:17" x14ac:dyDescent="0.25">
      <c r="K29" s="419"/>
      <c r="L29" s="65" t="s">
        <v>457</v>
      </c>
      <c r="M29" s="63">
        <v>17.13</v>
      </c>
      <c r="N29" s="63">
        <v>5.7</v>
      </c>
      <c r="O29" s="63">
        <v>930.98</v>
      </c>
      <c r="P29" s="63">
        <v>5.44</v>
      </c>
      <c r="Q29" s="63">
        <v>11.64</v>
      </c>
    </row>
    <row r="30" spans="1:17" x14ac:dyDescent="0.25">
      <c r="K30" s="419"/>
      <c r="L30" s="65" t="s">
        <v>458</v>
      </c>
      <c r="M30" s="63">
        <v>23.26</v>
      </c>
      <c r="N30" s="63">
        <v>4.47</v>
      </c>
      <c r="O30" s="63">
        <v>401.42</v>
      </c>
      <c r="P30" s="63">
        <v>4.47</v>
      </c>
      <c r="Q30" s="63">
        <v>7.72</v>
      </c>
    </row>
    <row r="31" spans="1:17" x14ac:dyDescent="0.25">
      <c r="K31" s="419"/>
      <c r="L31" s="65" t="s">
        <v>459</v>
      </c>
      <c r="M31" s="63">
        <v>10.96</v>
      </c>
      <c r="N31" s="63">
        <v>4.76</v>
      </c>
      <c r="O31" s="63">
        <v>230.83</v>
      </c>
      <c r="P31" s="63">
        <v>4.76</v>
      </c>
      <c r="Q31" s="63">
        <v>7.65</v>
      </c>
    </row>
    <row r="32" spans="1:17" x14ac:dyDescent="0.25">
      <c r="K32" s="419"/>
      <c r="L32" s="65" t="s">
        <v>460</v>
      </c>
      <c r="M32" s="63">
        <v>19.8</v>
      </c>
      <c r="N32" s="63">
        <v>4.57</v>
      </c>
      <c r="O32" s="63">
        <v>180.25</v>
      </c>
      <c r="P32" s="63">
        <v>4.5999999999999996</v>
      </c>
      <c r="Q32" s="63">
        <v>6.3</v>
      </c>
    </row>
    <row r="33" spans="1:17" x14ac:dyDescent="0.25">
      <c r="K33" s="419"/>
      <c r="L33" s="65" t="s">
        <v>461</v>
      </c>
      <c r="M33" s="63">
        <v>12.23</v>
      </c>
      <c r="N33" s="63">
        <v>3.57</v>
      </c>
      <c r="O33" s="63">
        <v>211.44</v>
      </c>
      <c r="P33" s="63">
        <v>3.53</v>
      </c>
      <c r="Q33" s="63">
        <v>6.09</v>
      </c>
    </row>
    <row r="34" spans="1:17" x14ac:dyDescent="0.25">
      <c r="K34" s="419"/>
      <c r="L34" s="61" t="s">
        <v>462</v>
      </c>
      <c r="M34" s="99">
        <f>AVERAGE(M22:M33)</f>
        <v>19.230833333333333</v>
      </c>
      <c r="N34" s="99"/>
      <c r="O34" s="99">
        <f>MAX(O22:O33)</f>
        <v>1105.53</v>
      </c>
      <c r="P34" s="99">
        <f>AVERAGE(P22:P33)</f>
        <v>4.0841666666666674</v>
      </c>
      <c r="Q34" s="99">
        <f>MAX(Q22:Q33)</f>
        <v>18.649999999999999</v>
      </c>
    </row>
    <row r="36" spans="1:17" ht="27.6" x14ac:dyDescent="0.25">
      <c r="K36" s="60">
        <f>+A6</f>
        <v>2022</v>
      </c>
      <c r="L36" s="60" t="s">
        <v>444</v>
      </c>
      <c r="M36" s="54" t="s">
        <v>487</v>
      </c>
      <c r="N36" s="54" t="s">
        <v>488</v>
      </c>
      <c r="O36" s="54" t="s">
        <v>489</v>
      </c>
      <c r="P36" s="66" t="s">
        <v>442</v>
      </c>
      <c r="Q36" s="66" t="s">
        <v>446</v>
      </c>
    </row>
    <row r="37" spans="1:17" x14ac:dyDescent="0.25">
      <c r="K37" s="419" t="s">
        <v>137</v>
      </c>
      <c r="L37" s="65" t="s">
        <v>447</v>
      </c>
      <c r="M37" s="63"/>
      <c r="N37" s="63"/>
      <c r="O37" s="63"/>
      <c r="P37" s="63"/>
      <c r="Q37" s="63"/>
    </row>
    <row r="38" spans="1:17" x14ac:dyDescent="0.25">
      <c r="K38" s="419"/>
      <c r="L38" s="65" t="s">
        <v>448</v>
      </c>
      <c r="M38" s="63"/>
      <c r="N38" s="63"/>
      <c r="O38" s="63"/>
      <c r="P38" s="63"/>
      <c r="Q38" s="63"/>
    </row>
    <row r="39" spans="1:17" x14ac:dyDescent="0.25">
      <c r="K39" s="419"/>
      <c r="L39" s="65" t="s">
        <v>449</v>
      </c>
      <c r="M39" s="63"/>
      <c r="N39" s="63"/>
      <c r="O39" s="63"/>
      <c r="P39" s="63"/>
      <c r="Q39" s="63"/>
    </row>
    <row r="40" spans="1:17" x14ac:dyDescent="0.25">
      <c r="K40" s="419"/>
      <c r="L40" s="65" t="s">
        <v>451</v>
      </c>
      <c r="M40" s="63"/>
      <c r="N40" s="63"/>
      <c r="O40" s="63"/>
      <c r="P40" s="63"/>
      <c r="Q40" s="63"/>
    </row>
    <row r="41" spans="1:17" x14ac:dyDescent="0.25">
      <c r="K41" s="419"/>
      <c r="L41" s="65" t="s">
        <v>453</v>
      </c>
      <c r="M41" s="63"/>
      <c r="N41" s="63"/>
      <c r="O41" s="63"/>
      <c r="P41" s="63"/>
      <c r="Q41" s="63"/>
    </row>
    <row r="42" spans="1:17" x14ac:dyDescent="0.25">
      <c r="K42" s="419"/>
      <c r="L42" s="65" t="s">
        <v>454</v>
      </c>
      <c r="M42" s="63"/>
      <c r="N42" s="63"/>
      <c r="O42" s="63"/>
      <c r="P42" s="63"/>
      <c r="Q42" s="63"/>
    </row>
    <row r="43" spans="1:17" x14ac:dyDescent="0.25">
      <c r="K43" s="419"/>
      <c r="L43" s="65" t="s">
        <v>455</v>
      </c>
      <c r="M43" s="63"/>
      <c r="N43" s="63"/>
      <c r="O43" s="63"/>
      <c r="P43" s="63"/>
      <c r="Q43" s="63"/>
    </row>
    <row r="44" spans="1:17" x14ac:dyDescent="0.25">
      <c r="K44" s="419"/>
      <c r="L44" s="65" t="s">
        <v>457</v>
      </c>
      <c r="M44" s="63"/>
      <c r="N44" s="63"/>
      <c r="O44" s="63"/>
      <c r="P44" s="63"/>
      <c r="Q44" s="63"/>
    </row>
    <row r="45" spans="1:17" x14ac:dyDescent="0.25">
      <c r="K45" s="419"/>
      <c r="L45" s="65" t="s">
        <v>458</v>
      </c>
      <c r="M45" s="63"/>
      <c r="N45" s="63"/>
      <c r="O45" s="63"/>
      <c r="P45" s="63"/>
      <c r="Q45" s="63"/>
    </row>
    <row r="46" spans="1:17" x14ac:dyDescent="0.25">
      <c r="K46" s="419"/>
      <c r="L46" s="65" t="s">
        <v>459</v>
      </c>
      <c r="M46" s="63"/>
      <c r="N46" s="63"/>
      <c r="O46" s="63"/>
      <c r="P46" s="63"/>
      <c r="Q46" s="63"/>
    </row>
    <row r="47" spans="1:17" x14ac:dyDescent="0.25">
      <c r="K47" s="419"/>
      <c r="L47" s="65" t="s">
        <v>460</v>
      </c>
      <c r="M47" s="63"/>
      <c r="N47" s="63"/>
      <c r="O47" s="63"/>
      <c r="P47" s="63"/>
      <c r="Q47" s="63"/>
    </row>
    <row r="48" spans="1:17" x14ac:dyDescent="0.25">
      <c r="A48" s="431" t="s">
        <v>343</v>
      </c>
      <c r="B48" s="432"/>
      <c r="C48" s="432"/>
      <c r="D48" s="432"/>
      <c r="E48" s="432"/>
      <c r="F48" s="432"/>
      <c r="G48" s="432"/>
      <c r="H48" s="433"/>
      <c r="K48" s="419"/>
      <c r="L48" s="65" t="s">
        <v>461</v>
      </c>
      <c r="M48" s="63"/>
      <c r="N48" s="63"/>
      <c r="O48" s="63"/>
      <c r="P48" s="63"/>
      <c r="Q48" s="63"/>
    </row>
    <row r="49" spans="1:17" x14ac:dyDescent="0.25">
      <c r="A49" s="434" t="s">
        <v>493</v>
      </c>
      <c r="B49" s="435"/>
      <c r="C49" s="435"/>
      <c r="D49" s="435"/>
      <c r="E49" s="435"/>
      <c r="F49" s="435"/>
      <c r="G49" s="435"/>
      <c r="H49" s="436"/>
      <c r="K49" s="419"/>
      <c r="L49" s="61" t="s">
        <v>462</v>
      </c>
      <c r="M49" s="61" t="e">
        <f>AVERAGE(M37:M48)</f>
        <v>#DIV/0!</v>
      </c>
      <c r="N49" s="61"/>
      <c r="O49" s="61">
        <f>MAX(O37:O48)</f>
        <v>0</v>
      </c>
      <c r="P49" s="61" t="e">
        <f>AVERAGE(P37:P48)</f>
        <v>#DIV/0!</v>
      </c>
      <c r="Q49" s="61">
        <f>MAX(Q37:Q48)</f>
        <v>0</v>
      </c>
    </row>
    <row r="50" spans="1:17" ht="29.4" customHeight="1" x14ac:dyDescent="0.25">
      <c r="A50" s="437"/>
      <c r="B50" s="438"/>
      <c r="C50" s="438"/>
      <c r="D50" s="438"/>
      <c r="E50" s="438"/>
      <c r="F50" s="438"/>
      <c r="G50" s="438"/>
      <c r="H50" s="439"/>
    </row>
    <row r="51" spans="1:17" ht="27.6" x14ac:dyDescent="0.25">
      <c r="A51" s="437"/>
      <c r="B51" s="438"/>
      <c r="C51" s="438"/>
      <c r="D51" s="438"/>
      <c r="E51" s="438"/>
      <c r="F51" s="438"/>
      <c r="G51" s="438"/>
      <c r="H51" s="439"/>
      <c r="K51" s="60">
        <f>+A6</f>
        <v>2022</v>
      </c>
      <c r="L51" s="60" t="s">
        <v>444</v>
      </c>
      <c r="M51" s="54" t="s">
        <v>487</v>
      </c>
      <c r="N51" s="54" t="s">
        <v>488</v>
      </c>
      <c r="O51" s="54" t="s">
        <v>489</v>
      </c>
      <c r="P51" s="66" t="s">
        <v>442</v>
      </c>
      <c r="Q51" s="66" t="s">
        <v>446</v>
      </c>
    </row>
    <row r="52" spans="1:17" x14ac:dyDescent="0.25">
      <c r="A52" s="440"/>
      <c r="B52" s="441"/>
      <c r="C52" s="441"/>
      <c r="D52" s="441"/>
      <c r="E52" s="441"/>
      <c r="F52" s="441"/>
      <c r="G52" s="441"/>
      <c r="H52" s="442"/>
      <c r="K52" s="419" t="s">
        <v>138</v>
      </c>
      <c r="L52" s="65" t="s">
        <v>447</v>
      </c>
      <c r="M52" s="63"/>
      <c r="N52" s="63"/>
      <c r="O52" s="63"/>
      <c r="P52" s="63"/>
      <c r="Q52" s="63"/>
    </row>
    <row r="53" spans="1:17" x14ac:dyDescent="0.25">
      <c r="K53" s="419"/>
      <c r="L53" s="65" t="s">
        <v>448</v>
      </c>
      <c r="M53" s="63"/>
      <c r="N53" s="63"/>
      <c r="O53" s="63"/>
      <c r="P53" s="63"/>
      <c r="Q53" s="63"/>
    </row>
    <row r="54" spans="1:17" x14ac:dyDescent="0.25">
      <c r="K54" s="419"/>
      <c r="L54" s="65" t="s">
        <v>449</v>
      </c>
      <c r="M54" s="63"/>
      <c r="N54" s="63"/>
      <c r="O54" s="63"/>
      <c r="P54" s="63"/>
      <c r="Q54" s="63"/>
    </row>
    <row r="55" spans="1:17" x14ac:dyDescent="0.25">
      <c r="K55" s="419"/>
      <c r="L55" s="65" t="s">
        <v>451</v>
      </c>
      <c r="M55" s="63"/>
      <c r="N55" s="63"/>
      <c r="O55" s="63"/>
      <c r="P55" s="63"/>
      <c r="Q55" s="63"/>
    </row>
    <row r="56" spans="1:17" x14ac:dyDescent="0.25">
      <c r="K56" s="419"/>
      <c r="L56" s="65" t="s">
        <v>453</v>
      </c>
      <c r="M56" s="63"/>
      <c r="N56" s="63"/>
      <c r="O56" s="63"/>
      <c r="P56" s="63"/>
      <c r="Q56" s="63"/>
    </row>
    <row r="57" spans="1:17" x14ac:dyDescent="0.25">
      <c r="K57" s="419"/>
      <c r="L57" s="65" t="s">
        <v>454</v>
      </c>
      <c r="M57" s="63"/>
      <c r="N57" s="63"/>
      <c r="O57" s="63"/>
      <c r="P57" s="63"/>
      <c r="Q57" s="63"/>
    </row>
    <row r="58" spans="1:17" x14ac:dyDescent="0.25">
      <c r="K58" s="419"/>
      <c r="L58" s="65" t="s">
        <v>455</v>
      </c>
      <c r="M58" s="63"/>
      <c r="N58" s="63"/>
      <c r="O58" s="63"/>
      <c r="P58" s="63"/>
      <c r="Q58" s="63"/>
    </row>
    <row r="59" spans="1:17" x14ac:dyDescent="0.25">
      <c r="K59" s="419"/>
      <c r="L59" s="65" t="s">
        <v>457</v>
      </c>
      <c r="M59" s="63"/>
      <c r="N59" s="63"/>
      <c r="O59" s="63"/>
      <c r="P59" s="63"/>
      <c r="Q59" s="63"/>
    </row>
    <row r="60" spans="1:17" x14ac:dyDescent="0.25">
      <c r="K60" s="419"/>
      <c r="L60" s="65" t="s">
        <v>458</v>
      </c>
      <c r="M60" s="63"/>
      <c r="N60" s="63"/>
      <c r="O60" s="63"/>
      <c r="P60" s="63"/>
      <c r="Q60" s="63"/>
    </row>
    <row r="61" spans="1:17" x14ac:dyDescent="0.25">
      <c r="K61" s="419"/>
      <c r="L61" s="65" t="s">
        <v>459</v>
      </c>
      <c r="M61" s="63"/>
      <c r="N61" s="63"/>
      <c r="O61" s="63"/>
      <c r="P61" s="63"/>
      <c r="Q61" s="63"/>
    </row>
    <row r="62" spans="1:17" x14ac:dyDescent="0.25">
      <c r="K62" s="419"/>
      <c r="L62" s="65" t="s">
        <v>460</v>
      </c>
      <c r="M62" s="63"/>
      <c r="N62" s="63"/>
      <c r="O62" s="63"/>
      <c r="P62" s="63"/>
      <c r="Q62" s="63"/>
    </row>
    <row r="63" spans="1:17" x14ac:dyDescent="0.25">
      <c r="K63" s="419"/>
      <c r="L63" s="65" t="s">
        <v>461</v>
      </c>
      <c r="M63" s="63"/>
      <c r="N63" s="63"/>
      <c r="O63" s="63"/>
      <c r="P63" s="63"/>
      <c r="Q63" s="63"/>
    </row>
    <row r="64" spans="1:17" x14ac:dyDescent="0.25">
      <c r="K64" s="419"/>
      <c r="L64" s="61" t="s">
        <v>462</v>
      </c>
      <c r="M64" s="61" t="e">
        <f>AVERAGE(M52:M63)</f>
        <v>#DIV/0!</v>
      </c>
      <c r="N64" s="61"/>
      <c r="O64" s="61">
        <f>MAX(O52:O63)</f>
        <v>0</v>
      </c>
      <c r="P64" s="61" t="e">
        <f>AVERAGE(P52:P63)</f>
        <v>#DIV/0!</v>
      </c>
      <c r="Q64" s="61">
        <f>MAX(Q52:Q63)</f>
        <v>0</v>
      </c>
    </row>
    <row r="66" spans="11:17" ht="27.6" x14ac:dyDescent="0.25">
      <c r="K66" s="60">
        <f>+A6</f>
        <v>2022</v>
      </c>
      <c r="L66" s="60" t="s">
        <v>444</v>
      </c>
      <c r="M66" s="54" t="s">
        <v>487</v>
      </c>
      <c r="N66" s="54" t="s">
        <v>488</v>
      </c>
      <c r="O66" s="54" t="s">
        <v>489</v>
      </c>
      <c r="P66" s="66" t="s">
        <v>442</v>
      </c>
      <c r="Q66" s="66" t="s">
        <v>446</v>
      </c>
    </row>
    <row r="67" spans="11:17" x14ac:dyDescent="0.25">
      <c r="K67" s="419" t="s">
        <v>139</v>
      </c>
      <c r="L67" s="65" t="s">
        <v>447</v>
      </c>
      <c r="M67" s="63"/>
      <c r="N67" s="63"/>
      <c r="O67" s="63"/>
      <c r="P67" s="63"/>
      <c r="Q67" s="63"/>
    </row>
    <row r="68" spans="11:17" x14ac:dyDescent="0.25">
      <c r="K68" s="419"/>
      <c r="L68" s="65" t="s">
        <v>448</v>
      </c>
      <c r="M68" s="63"/>
      <c r="N68" s="63"/>
      <c r="O68" s="63"/>
      <c r="P68" s="63"/>
      <c r="Q68" s="63"/>
    </row>
    <row r="69" spans="11:17" x14ac:dyDescent="0.25">
      <c r="K69" s="419"/>
      <c r="L69" s="65" t="s">
        <v>449</v>
      </c>
      <c r="M69" s="63"/>
      <c r="N69" s="63"/>
      <c r="O69" s="63"/>
      <c r="P69" s="63"/>
      <c r="Q69" s="63"/>
    </row>
    <row r="70" spans="11:17" x14ac:dyDescent="0.25">
      <c r="K70" s="419"/>
      <c r="L70" s="65" t="s">
        <v>451</v>
      </c>
      <c r="M70" s="63"/>
      <c r="N70" s="63"/>
      <c r="O70" s="63"/>
      <c r="P70" s="63"/>
      <c r="Q70" s="63"/>
    </row>
    <row r="71" spans="11:17" x14ac:dyDescent="0.25">
      <c r="K71" s="419"/>
      <c r="L71" s="65" t="s">
        <v>453</v>
      </c>
      <c r="M71" s="63"/>
      <c r="N71" s="63"/>
      <c r="O71" s="63"/>
      <c r="P71" s="63"/>
      <c r="Q71" s="63"/>
    </row>
    <row r="72" spans="11:17" x14ac:dyDescent="0.25">
      <c r="K72" s="419"/>
      <c r="L72" s="65" t="s">
        <v>454</v>
      </c>
      <c r="M72" s="63"/>
      <c r="N72" s="63"/>
      <c r="O72" s="63"/>
      <c r="P72" s="63"/>
      <c r="Q72" s="63"/>
    </row>
    <row r="73" spans="11:17" x14ac:dyDescent="0.25">
      <c r="K73" s="419"/>
      <c r="L73" s="65" t="s">
        <v>455</v>
      </c>
      <c r="M73" s="63"/>
      <c r="N73" s="63"/>
      <c r="O73" s="63"/>
      <c r="P73" s="63"/>
      <c r="Q73" s="63"/>
    </row>
    <row r="74" spans="11:17" x14ac:dyDescent="0.25">
      <c r="K74" s="419"/>
      <c r="L74" s="65" t="s">
        <v>457</v>
      </c>
      <c r="M74" s="63"/>
      <c r="N74" s="63"/>
      <c r="O74" s="63"/>
      <c r="P74" s="63"/>
      <c r="Q74" s="63"/>
    </row>
    <row r="75" spans="11:17" x14ac:dyDescent="0.25">
      <c r="K75" s="419"/>
      <c r="L75" s="65" t="s">
        <v>458</v>
      </c>
      <c r="M75" s="63"/>
      <c r="N75" s="63"/>
      <c r="O75" s="63"/>
      <c r="P75" s="63"/>
      <c r="Q75" s="63"/>
    </row>
    <row r="76" spans="11:17" x14ac:dyDescent="0.25">
      <c r="K76" s="419"/>
      <c r="L76" s="65" t="s">
        <v>459</v>
      </c>
      <c r="M76" s="63"/>
      <c r="N76" s="63"/>
      <c r="O76" s="63"/>
      <c r="P76" s="63"/>
      <c r="Q76" s="63"/>
    </row>
    <row r="77" spans="11:17" x14ac:dyDescent="0.25">
      <c r="K77" s="419"/>
      <c r="L77" s="65" t="s">
        <v>460</v>
      </c>
      <c r="M77" s="63"/>
      <c r="N77" s="63"/>
      <c r="O77" s="63"/>
      <c r="P77" s="63"/>
      <c r="Q77" s="63"/>
    </row>
    <row r="78" spans="11:17" x14ac:dyDescent="0.25">
      <c r="K78" s="419"/>
      <c r="L78" s="65" t="s">
        <v>461</v>
      </c>
      <c r="M78" s="63"/>
      <c r="N78" s="63"/>
      <c r="O78" s="63"/>
      <c r="P78" s="63"/>
      <c r="Q78" s="63"/>
    </row>
    <row r="79" spans="11:17" x14ac:dyDescent="0.25">
      <c r="K79" s="419"/>
      <c r="L79" s="61" t="s">
        <v>462</v>
      </c>
      <c r="M79" s="61" t="e">
        <f>AVERAGE(M67:M78)</f>
        <v>#DIV/0!</v>
      </c>
      <c r="N79" s="61"/>
      <c r="O79" s="61">
        <f>MAX(O67:O78)</f>
        <v>0</v>
      </c>
      <c r="P79" s="61" t="e">
        <f>AVERAGE(P67:P78)</f>
        <v>#DIV/0!</v>
      </c>
      <c r="Q79" s="61">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election activeCell="A2" sqref="A2"/>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1" t="str">
        <f>+'Cover Page'!$B$29</f>
        <v>Annual Performance Report 2022</v>
      </c>
      <c r="B1" s="91"/>
      <c r="C1" s="91"/>
      <c r="D1" s="91"/>
      <c r="E1" s="91" t="str">
        <f>+'Cover Page'!$B$33</f>
        <v>Kemsley Generating Station</v>
      </c>
    </row>
    <row r="3" spans="1:19" ht="14.4" x14ac:dyDescent="0.3">
      <c r="A3" s="59" t="s">
        <v>494</v>
      </c>
      <c r="D3" s="75" t="s">
        <v>431</v>
      </c>
      <c r="G3" s="79" t="s">
        <v>432</v>
      </c>
      <c r="J3" s="9" t="str">
        <f>+A3</f>
        <v xml:space="preserve">Monitoring of Ammnonia emissions </v>
      </c>
      <c r="L3" s="9"/>
      <c r="N3" s="9" t="s">
        <v>433</v>
      </c>
      <c r="Q3" s="78" t="s">
        <v>3</v>
      </c>
      <c r="R3" s="73"/>
      <c r="S3" s="73"/>
    </row>
    <row r="4" spans="1:19" ht="13.95" customHeight="1" x14ac:dyDescent="0.25">
      <c r="Q4" s="397" t="s">
        <v>434</v>
      </c>
      <c r="R4" s="397"/>
      <c r="S4" s="397"/>
    </row>
    <row r="5" spans="1:19" ht="16.2" x14ac:dyDescent="0.25">
      <c r="A5" s="67" t="s">
        <v>435</v>
      </c>
      <c r="B5" s="421" t="s">
        <v>436</v>
      </c>
      <c r="C5" s="421"/>
      <c r="D5" s="421"/>
      <c r="E5" s="421" t="s">
        <v>437</v>
      </c>
      <c r="F5" s="421"/>
      <c r="G5" s="421"/>
      <c r="J5" s="420"/>
      <c r="K5" s="420"/>
      <c r="L5" s="420"/>
      <c r="M5" s="420"/>
      <c r="N5" s="420"/>
      <c r="O5" s="420"/>
      <c r="Q5" s="397"/>
      <c r="R5" s="397"/>
      <c r="S5" s="397"/>
    </row>
    <row r="6" spans="1:19" s="57" customFormat="1" ht="37.5" customHeight="1" x14ac:dyDescent="0.3">
      <c r="A6" s="64">
        <f>+'Cover Page'!C39</f>
        <v>2022</v>
      </c>
      <c r="B6" s="54" t="s">
        <v>495</v>
      </c>
      <c r="C6" s="54" t="s">
        <v>439</v>
      </c>
      <c r="D6" s="54" t="s">
        <v>440</v>
      </c>
      <c r="E6" s="54" t="s">
        <v>496</v>
      </c>
      <c r="F6" s="54" t="s">
        <v>442</v>
      </c>
      <c r="G6" s="54" t="s">
        <v>443</v>
      </c>
      <c r="H6" s="58"/>
      <c r="J6" s="60">
        <f>+A6</f>
        <v>2022</v>
      </c>
      <c r="K6" s="60" t="s">
        <v>444</v>
      </c>
      <c r="L6" s="66" t="s">
        <v>439</v>
      </c>
      <c r="M6" s="66" t="s">
        <v>445</v>
      </c>
      <c r="N6" s="66" t="s">
        <v>442</v>
      </c>
      <c r="O6" s="66" t="s">
        <v>446</v>
      </c>
      <c r="Q6" s="397"/>
      <c r="R6" s="397"/>
      <c r="S6" s="397"/>
    </row>
    <row r="7" spans="1:19" x14ac:dyDescent="0.25">
      <c r="A7" s="65" t="s">
        <v>447</v>
      </c>
      <c r="B7" s="62">
        <v>0</v>
      </c>
      <c r="C7" s="63">
        <v>0.42</v>
      </c>
      <c r="D7" s="63">
        <v>4.46</v>
      </c>
      <c r="E7" s="62">
        <v>10</v>
      </c>
      <c r="F7" s="63">
        <v>0.41</v>
      </c>
      <c r="G7" s="63">
        <v>0.8</v>
      </c>
      <c r="J7" s="419" t="s">
        <v>135</v>
      </c>
      <c r="K7" s="65" t="s">
        <v>447</v>
      </c>
      <c r="L7" s="63">
        <v>0.52</v>
      </c>
      <c r="M7" s="63">
        <v>4.46</v>
      </c>
      <c r="N7" s="63">
        <v>0.5</v>
      </c>
      <c r="O7" s="63">
        <v>0.8</v>
      </c>
      <c r="Q7" s="397"/>
      <c r="R7" s="397"/>
      <c r="S7" s="397"/>
    </row>
    <row r="8" spans="1:19" x14ac:dyDescent="0.25">
      <c r="A8" s="65" t="s">
        <v>448</v>
      </c>
      <c r="B8" s="62">
        <v>0</v>
      </c>
      <c r="C8" s="63">
        <v>0.45</v>
      </c>
      <c r="D8" s="63">
        <v>3</v>
      </c>
      <c r="E8" s="62">
        <v>10</v>
      </c>
      <c r="F8" s="63">
        <v>0.42</v>
      </c>
      <c r="G8" s="63">
        <v>1.36</v>
      </c>
      <c r="J8" s="419"/>
      <c r="K8" s="65" t="s">
        <v>448</v>
      </c>
      <c r="L8" s="63">
        <v>0.64</v>
      </c>
      <c r="M8" s="63">
        <v>3</v>
      </c>
      <c r="N8" s="63">
        <v>0.61</v>
      </c>
      <c r="O8" s="63">
        <v>1.36</v>
      </c>
      <c r="Q8" s="397"/>
      <c r="R8" s="397"/>
      <c r="S8" s="397"/>
    </row>
    <row r="9" spans="1:19" x14ac:dyDescent="0.25">
      <c r="A9" s="65" t="s">
        <v>449</v>
      </c>
      <c r="B9" s="62">
        <v>0</v>
      </c>
      <c r="C9" s="63">
        <v>0.48</v>
      </c>
      <c r="D9" s="63">
        <v>2.65</v>
      </c>
      <c r="E9" s="62">
        <v>10</v>
      </c>
      <c r="F9" s="63">
        <v>0.45</v>
      </c>
      <c r="G9" s="63">
        <v>1.37</v>
      </c>
      <c r="J9" s="419"/>
      <c r="K9" s="65" t="s">
        <v>449</v>
      </c>
      <c r="L9" s="63">
        <v>0.99</v>
      </c>
      <c r="M9" s="63">
        <v>2.65</v>
      </c>
      <c r="N9" s="63">
        <v>0.94</v>
      </c>
      <c r="O9" s="63">
        <v>1.37</v>
      </c>
      <c r="Q9" s="77" t="s">
        <v>450</v>
      </c>
    </row>
    <row r="10" spans="1:19" ht="14.25" customHeight="1" x14ac:dyDescent="0.25">
      <c r="A10" s="65" t="s">
        <v>451</v>
      </c>
      <c r="B10" s="62">
        <v>0</v>
      </c>
      <c r="C10" s="63">
        <v>0.74</v>
      </c>
      <c r="D10" s="63">
        <v>6.12</v>
      </c>
      <c r="E10" s="62">
        <v>10</v>
      </c>
      <c r="F10" s="63">
        <v>0.73</v>
      </c>
      <c r="G10" s="63">
        <v>2.04</v>
      </c>
      <c r="J10" s="419"/>
      <c r="K10" s="65" t="s">
        <v>451</v>
      </c>
      <c r="L10" s="63">
        <v>1.29</v>
      </c>
      <c r="M10" s="63">
        <v>6.12</v>
      </c>
      <c r="N10" s="63">
        <v>1.26</v>
      </c>
      <c r="O10" s="63">
        <v>2.04</v>
      </c>
      <c r="Q10" s="418" t="s">
        <v>452</v>
      </c>
      <c r="R10" s="418"/>
      <c r="S10" s="418"/>
    </row>
    <row r="11" spans="1:19" x14ac:dyDescent="0.25">
      <c r="A11" s="65" t="s">
        <v>453</v>
      </c>
      <c r="B11" s="62">
        <v>0</v>
      </c>
      <c r="C11" s="63">
        <v>0.43</v>
      </c>
      <c r="D11" s="63">
        <v>2.66</v>
      </c>
      <c r="E11" s="62">
        <v>10</v>
      </c>
      <c r="F11" s="63">
        <v>0.43</v>
      </c>
      <c r="G11" s="63">
        <v>1.1399999999999999</v>
      </c>
      <c r="J11" s="419"/>
      <c r="K11" s="65" t="s">
        <v>453</v>
      </c>
      <c r="L11" s="63">
        <v>0.57999999999999996</v>
      </c>
      <c r="M11" s="63">
        <v>2.66</v>
      </c>
      <c r="N11" s="63">
        <v>0.56999999999999995</v>
      </c>
      <c r="O11" s="63">
        <v>1.1399999999999999</v>
      </c>
      <c r="Q11" s="418"/>
      <c r="R11" s="418"/>
      <c r="S11" s="418"/>
    </row>
    <row r="12" spans="1:19" x14ac:dyDescent="0.25">
      <c r="A12" s="65" t="s">
        <v>454</v>
      </c>
      <c r="B12" s="62">
        <v>0</v>
      </c>
      <c r="C12" s="63">
        <v>0.33</v>
      </c>
      <c r="D12" s="63">
        <v>1.26</v>
      </c>
      <c r="E12" s="62">
        <v>10</v>
      </c>
      <c r="F12" s="63">
        <v>0.33</v>
      </c>
      <c r="G12" s="63">
        <v>0.57999999999999996</v>
      </c>
      <c r="J12" s="419"/>
      <c r="K12" s="65" t="s">
        <v>454</v>
      </c>
      <c r="L12" s="63">
        <v>0.39</v>
      </c>
      <c r="M12" s="63">
        <v>1.26</v>
      </c>
      <c r="N12" s="63">
        <v>0.39</v>
      </c>
      <c r="O12" s="63">
        <v>0.57999999999999996</v>
      </c>
      <c r="Q12" s="418"/>
      <c r="R12" s="418"/>
      <c r="S12" s="418"/>
    </row>
    <row r="13" spans="1:19" ht="14.25" customHeight="1" x14ac:dyDescent="0.25">
      <c r="A13" s="65" t="s">
        <v>455</v>
      </c>
      <c r="B13" s="62">
        <v>0</v>
      </c>
      <c r="C13" s="63">
        <v>0.41</v>
      </c>
      <c r="D13" s="63">
        <v>1.98</v>
      </c>
      <c r="E13" s="62">
        <v>10</v>
      </c>
      <c r="F13" s="63">
        <v>0.41</v>
      </c>
      <c r="G13" s="63">
        <v>0.97</v>
      </c>
      <c r="J13" s="419"/>
      <c r="K13" s="65" t="s">
        <v>455</v>
      </c>
      <c r="L13" s="63">
        <v>0.34</v>
      </c>
      <c r="M13" s="63">
        <v>1.27</v>
      </c>
      <c r="N13" s="63">
        <v>0.34</v>
      </c>
      <c r="O13" s="63">
        <v>0.7</v>
      </c>
      <c r="Q13" s="418" t="s">
        <v>456</v>
      </c>
      <c r="R13" s="418"/>
      <c r="S13" s="418"/>
    </row>
    <row r="14" spans="1:19" x14ac:dyDescent="0.25">
      <c r="A14" s="65" t="s">
        <v>457</v>
      </c>
      <c r="B14" s="62">
        <v>0</v>
      </c>
      <c r="C14" s="63">
        <v>0.4</v>
      </c>
      <c r="D14" s="63">
        <v>3.58</v>
      </c>
      <c r="E14" s="62">
        <v>10</v>
      </c>
      <c r="F14" s="63">
        <v>0.39</v>
      </c>
      <c r="G14" s="63">
        <v>0.67</v>
      </c>
      <c r="J14" s="419"/>
      <c r="K14" s="65" t="s">
        <v>457</v>
      </c>
      <c r="L14" s="63">
        <v>0.33</v>
      </c>
      <c r="M14" s="63">
        <v>3.58</v>
      </c>
      <c r="N14" s="63">
        <v>0.33</v>
      </c>
      <c r="O14" s="63">
        <v>0.54</v>
      </c>
      <c r="Q14" s="418"/>
      <c r="R14" s="418"/>
      <c r="S14" s="418"/>
    </row>
    <row r="15" spans="1:19" x14ac:dyDescent="0.25">
      <c r="A15" s="65" t="s">
        <v>458</v>
      </c>
      <c r="B15" s="62">
        <v>0</v>
      </c>
      <c r="C15" s="63">
        <v>0.45</v>
      </c>
      <c r="D15" s="63">
        <v>2.5099999999999998</v>
      </c>
      <c r="E15" s="62">
        <v>10</v>
      </c>
      <c r="F15" s="63">
        <v>0.43</v>
      </c>
      <c r="G15" s="63">
        <v>0.86</v>
      </c>
      <c r="J15" s="419"/>
      <c r="K15" s="65" t="s">
        <v>458</v>
      </c>
      <c r="L15" s="63">
        <v>0.56000000000000005</v>
      </c>
      <c r="M15" s="63">
        <v>2.5099999999999998</v>
      </c>
      <c r="N15" s="63">
        <v>0.54</v>
      </c>
      <c r="O15" s="63">
        <v>0.86</v>
      </c>
      <c r="Q15" s="418"/>
      <c r="R15" s="418"/>
      <c r="S15" s="418"/>
    </row>
    <row r="16" spans="1:19" x14ac:dyDescent="0.25">
      <c r="A16" s="65" t="s">
        <v>459</v>
      </c>
      <c r="B16" s="62">
        <v>0</v>
      </c>
      <c r="C16" s="63">
        <v>0.4</v>
      </c>
      <c r="D16" s="63">
        <v>2.09</v>
      </c>
      <c r="E16" s="62">
        <v>10</v>
      </c>
      <c r="F16" s="63">
        <v>0.4</v>
      </c>
      <c r="G16" s="63">
        <v>1.08</v>
      </c>
      <c r="J16" s="419"/>
      <c r="K16" s="65" t="s">
        <v>459</v>
      </c>
      <c r="L16" s="63">
        <v>0.45</v>
      </c>
      <c r="M16" s="63">
        <v>2.09</v>
      </c>
      <c r="N16" s="63">
        <v>0.45</v>
      </c>
      <c r="O16" s="63">
        <v>1.08</v>
      </c>
      <c r="Q16" s="418"/>
      <c r="R16" s="418"/>
      <c r="S16" s="418"/>
    </row>
    <row r="17" spans="1:15" x14ac:dyDescent="0.25">
      <c r="A17" s="65" t="s">
        <v>460</v>
      </c>
      <c r="B17" s="62">
        <v>0</v>
      </c>
      <c r="C17" s="63">
        <v>0.65</v>
      </c>
      <c r="D17" s="63">
        <v>5.51</v>
      </c>
      <c r="E17" s="62">
        <v>10</v>
      </c>
      <c r="F17" s="63">
        <v>0.62</v>
      </c>
      <c r="G17" s="63">
        <v>1.1499999999999999</v>
      </c>
      <c r="J17" s="419"/>
      <c r="K17" s="65" t="s">
        <v>460</v>
      </c>
      <c r="L17" s="63">
        <v>0.84</v>
      </c>
      <c r="M17" s="63">
        <v>5.51</v>
      </c>
      <c r="N17" s="63">
        <v>0.79</v>
      </c>
      <c r="O17" s="63">
        <v>1.1499999999999999</v>
      </c>
    </row>
    <row r="18" spans="1:15" x14ac:dyDescent="0.25">
      <c r="A18" s="65" t="s">
        <v>461</v>
      </c>
      <c r="B18" s="62">
        <v>0</v>
      </c>
      <c r="C18" s="63">
        <v>0.42</v>
      </c>
      <c r="D18" s="63">
        <v>2.4</v>
      </c>
      <c r="E18" s="62">
        <v>10</v>
      </c>
      <c r="F18" s="63">
        <v>0.4</v>
      </c>
      <c r="G18" s="63">
        <v>1.07</v>
      </c>
      <c r="J18" s="419"/>
      <c r="K18" s="65" t="s">
        <v>461</v>
      </c>
      <c r="L18" s="63">
        <v>0.62</v>
      </c>
      <c r="M18" s="63">
        <v>2.4</v>
      </c>
      <c r="N18" s="63">
        <v>0.62</v>
      </c>
      <c r="O18" s="63">
        <v>1.07</v>
      </c>
    </row>
    <row r="19" spans="1:15" x14ac:dyDescent="0.25">
      <c r="J19" s="419"/>
      <c r="K19" s="61" t="s">
        <v>462</v>
      </c>
      <c r="L19" s="99">
        <f>AVERAGE(L7:L18)</f>
        <v>0.62916666666666676</v>
      </c>
      <c r="M19" s="99">
        <f>MAX(M7:M18)</f>
        <v>6.12</v>
      </c>
      <c r="N19" s="99">
        <f>AVERAGE(N7:N18)</f>
        <v>0.61166666666666669</v>
      </c>
      <c r="O19" s="99">
        <f>MAX(O7:O18)</f>
        <v>2.04</v>
      </c>
    </row>
    <row r="21" spans="1:15" ht="41.4" x14ac:dyDescent="0.25">
      <c r="J21" s="60">
        <f>+A6</f>
        <v>2022</v>
      </c>
      <c r="K21" s="60" t="s">
        <v>444</v>
      </c>
      <c r="L21" s="66" t="s">
        <v>439</v>
      </c>
      <c r="M21" s="66" t="s">
        <v>445</v>
      </c>
      <c r="N21" s="66" t="s">
        <v>442</v>
      </c>
      <c r="O21" s="66" t="s">
        <v>446</v>
      </c>
    </row>
    <row r="22" spans="1:15" x14ac:dyDescent="0.25">
      <c r="J22" s="419" t="s">
        <v>136</v>
      </c>
      <c r="K22" s="65" t="s">
        <v>447</v>
      </c>
      <c r="L22" s="63">
        <v>0.25</v>
      </c>
      <c r="M22" s="63">
        <v>0.71</v>
      </c>
      <c r="N22" s="63">
        <v>0.24</v>
      </c>
      <c r="O22" s="63">
        <v>0.31</v>
      </c>
    </row>
    <row r="23" spans="1:15" x14ac:dyDescent="0.25">
      <c r="J23" s="419"/>
      <c r="K23" s="65" t="s">
        <v>448</v>
      </c>
      <c r="L23" s="63">
        <v>0.28999999999999998</v>
      </c>
      <c r="M23" s="63">
        <v>1.72</v>
      </c>
      <c r="N23" s="63">
        <v>0.28999999999999998</v>
      </c>
      <c r="O23" s="63">
        <v>0.94</v>
      </c>
    </row>
    <row r="24" spans="1:15" x14ac:dyDescent="0.25">
      <c r="J24" s="419"/>
      <c r="K24" s="65" t="s">
        <v>449</v>
      </c>
      <c r="L24" s="63">
        <v>0.28000000000000003</v>
      </c>
      <c r="M24" s="63">
        <v>2.02</v>
      </c>
      <c r="N24" s="63">
        <v>0.28000000000000003</v>
      </c>
      <c r="O24" s="63">
        <v>0.7</v>
      </c>
    </row>
    <row r="25" spans="1:15" x14ac:dyDescent="0.25">
      <c r="J25" s="419"/>
      <c r="K25" s="65" t="s">
        <v>451</v>
      </c>
      <c r="L25" s="63">
        <v>0.31</v>
      </c>
      <c r="M25" s="63">
        <v>1.72</v>
      </c>
      <c r="N25" s="63">
        <v>0.31</v>
      </c>
      <c r="O25" s="63">
        <v>0.66</v>
      </c>
    </row>
    <row r="26" spans="1:15" x14ac:dyDescent="0.25">
      <c r="J26" s="419"/>
      <c r="K26" s="65" t="s">
        <v>453</v>
      </c>
      <c r="L26" s="63">
        <v>0.28999999999999998</v>
      </c>
      <c r="M26" s="63">
        <v>1.2</v>
      </c>
      <c r="N26" s="63">
        <v>0.28999999999999998</v>
      </c>
      <c r="O26" s="63">
        <v>0.53</v>
      </c>
    </row>
    <row r="27" spans="1:15" x14ac:dyDescent="0.25">
      <c r="J27" s="419"/>
      <c r="K27" s="65" t="s">
        <v>454</v>
      </c>
      <c r="L27" s="63">
        <v>0.27</v>
      </c>
      <c r="M27" s="63">
        <v>0.91</v>
      </c>
      <c r="N27" s="63">
        <v>0.27</v>
      </c>
      <c r="O27" s="63">
        <v>0.39</v>
      </c>
    </row>
    <row r="28" spans="1:15" x14ac:dyDescent="0.25">
      <c r="J28" s="419"/>
      <c r="K28" s="65" t="s">
        <v>455</v>
      </c>
      <c r="L28" s="63">
        <v>0.49</v>
      </c>
      <c r="M28" s="63">
        <v>1.98</v>
      </c>
      <c r="N28" s="63">
        <v>0.49</v>
      </c>
      <c r="O28" s="63">
        <v>0.97</v>
      </c>
    </row>
    <row r="29" spans="1:15" x14ac:dyDescent="0.25">
      <c r="J29" s="419"/>
      <c r="K29" s="65" t="s">
        <v>457</v>
      </c>
      <c r="L29" s="63">
        <v>0.48</v>
      </c>
      <c r="M29" s="63">
        <v>2.25</v>
      </c>
      <c r="N29" s="63">
        <v>0.46</v>
      </c>
      <c r="O29" s="63">
        <v>0.67</v>
      </c>
    </row>
    <row r="30" spans="1:15" x14ac:dyDescent="0.25">
      <c r="J30" s="419"/>
      <c r="K30" s="65" t="s">
        <v>458</v>
      </c>
      <c r="L30" s="63">
        <v>0.36</v>
      </c>
      <c r="M30" s="63">
        <v>1.38</v>
      </c>
      <c r="N30" s="63">
        <v>0.36</v>
      </c>
      <c r="O30" s="63">
        <v>0.62</v>
      </c>
    </row>
    <row r="31" spans="1:15" x14ac:dyDescent="0.25">
      <c r="J31" s="419"/>
      <c r="K31" s="65" t="s">
        <v>459</v>
      </c>
      <c r="L31" s="63">
        <v>0.35</v>
      </c>
      <c r="M31" s="63">
        <v>1.51</v>
      </c>
      <c r="N31" s="63">
        <v>0.35</v>
      </c>
      <c r="O31" s="63">
        <v>0.71</v>
      </c>
    </row>
    <row r="32" spans="1:15" x14ac:dyDescent="0.25">
      <c r="J32" s="419"/>
      <c r="K32" s="65" t="s">
        <v>460</v>
      </c>
      <c r="L32" s="63">
        <v>0.41</v>
      </c>
      <c r="M32" s="63">
        <v>1.7</v>
      </c>
      <c r="N32" s="63">
        <v>0.41</v>
      </c>
      <c r="O32" s="63">
        <v>0.64</v>
      </c>
    </row>
    <row r="33" spans="1:15" x14ac:dyDescent="0.25">
      <c r="J33" s="419"/>
      <c r="K33" s="65" t="s">
        <v>461</v>
      </c>
      <c r="L33" s="63">
        <v>0.16</v>
      </c>
      <c r="M33" s="63">
        <v>2.17</v>
      </c>
      <c r="N33" s="63">
        <v>0.13</v>
      </c>
      <c r="O33" s="63">
        <v>0.91</v>
      </c>
    </row>
    <row r="34" spans="1:15" x14ac:dyDescent="0.25">
      <c r="J34" s="419"/>
      <c r="K34" s="61" t="s">
        <v>462</v>
      </c>
      <c r="L34" s="99">
        <f>AVERAGE(L22:L33)</f>
        <v>0.32833333333333337</v>
      </c>
      <c r="M34" s="99">
        <f>MAX(M22:M33)</f>
        <v>2.25</v>
      </c>
      <c r="N34" s="99">
        <f>AVERAGE(N22:N33)</f>
        <v>0.32333333333333331</v>
      </c>
      <c r="O34" s="99">
        <f>MAX(O22:O33)</f>
        <v>0.97</v>
      </c>
    </row>
    <row r="36" spans="1:15" ht="41.4" x14ac:dyDescent="0.25">
      <c r="J36" s="60">
        <f>+A6</f>
        <v>2022</v>
      </c>
      <c r="K36" s="60" t="s">
        <v>444</v>
      </c>
      <c r="L36" s="66" t="s">
        <v>439</v>
      </c>
      <c r="M36" s="66" t="s">
        <v>445</v>
      </c>
      <c r="N36" s="66" t="s">
        <v>442</v>
      </c>
      <c r="O36" s="66" t="s">
        <v>446</v>
      </c>
    </row>
    <row r="37" spans="1:15" x14ac:dyDescent="0.25">
      <c r="J37" s="419" t="s">
        <v>137</v>
      </c>
      <c r="K37" s="65" t="s">
        <v>447</v>
      </c>
      <c r="L37" s="63"/>
      <c r="M37" s="63"/>
      <c r="N37" s="63"/>
      <c r="O37" s="63"/>
    </row>
    <row r="38" spans="1:15" x14ac:dyDescent="0.25">
      <c r="J38" s="419"/>
      <c r="K38" s="65" t="s">
        <v>448</v>
      </c>
      <c r="L38" s="63"/>
      <c r="M38" s="63"/>
      <c r="N38" s="63"/>
      <c r="O38" s="63"/>
    </row>
    <row r="39" spans="1:15" x14ac:dyDescent="0.25">
      <c r="J39" s="419"/>
      <c r="K39" s="65" t="s">
        <v>449</v>
      </c>
      <c r="L39" s="63"/>
      <c r="M39" s="63"/>
      <c r="N39" s="63"/>
      <c r="O39" s="63"/>
    </row>
    <row r="40" spans="1:15" x14ac:dyDescent="0.25">
      <c r="J40" s="419"/>
      <c r="K40" s="65" t="s">
        <v>451</v>
      </c>
      <c r="L40" s="63"/>
      <c r="M40" s="63"/>
      <c r="N40" s="63"/>
      <c r="O40" s="63"/>
    </row>
    <row r="41" spans="1:15" x14ac:dyDescent="0.25">
      <c r="J41" s="419"/>
      <c r="K41" s="65" t="s">
        <v>453</v>
      </c>
      <c r="L41" s="63"/>
      <c r="M41" s="63"/>
      <c r="N41" s="63"/>
      <c r="O41" s="63"/>
    </row>
    <row r="42" spans="1:15" x14ac:dyDescent="0.25">
      <c r="J42" s="419"/>
      <c r="K42" s="65" t="s">
        <v>454</v>
      </c>
      <c r="L42" s="63"/>
      <c r="M42" s="63"/>
      <c r="N42" s="63"/>
      <c r="O42" s="63"/>
    </row>
    <row r="43" spans="1:15" x14ac:dyDescent="0.25">
      <c r="J43" s="419"/>
      <c r="K43" s="65" t="s">
        <v>455</v>
      </c>
      <c r="L43" s="63"/>
      <c r="M43" s="63"/>
      <c r="N43" s="63"/>
      <c r="O43" s="63"/>
    </row>
    <row r="44" spans="1:15" x14ac:dyDescent="0.25">
      <c r="J44" s="419"/>
      <c r="K44" s="65" t="s">
        <v>457</v>
      </c>
      <c r="L44" s="63"/>
      <c r="M44" s="63"/>
      <c r="N44" s="63"/>
      <c r="O44" s="63"/>
    </row>
    <row r="45" spans="1:15" x14ac:dyDescent="0.25">
      <c r="J45" s="419"/>
      <c r="K45" s="65" t="s">
        <v>458</v>
      </c>
      <c r="L45" s="63"/>
      <c r="M45" s="63"/>
      <c r="N45" s="63"/>
      <c r="O45" s="63"/>
    </row>
    <row r="46" spans="1:15" x14ac:dyDescent="0.25">
      <c r="J46" s="419"/>
      <c r="K46" s="65" t="s">
        <v>459</v>
      </c>
      <c r="L46" s="63"/>
      <c r="M46" s="63"/>
      <c r="N46" s="63"/>
      <c r="O46" s="63"/>
    </row>
    <row r="47" spans="1:15" x14ac:dyDescent="0.25">
      <c r="J47" s="419"/>
      <c r="K47" s="65" t="s">
        <v>460</v>
      </c>
      <c r="L47" s="63"/>
      <c r="M47" s="63"/>
      <c r="N47" s="63"/>
      <c r="O47" s="63"/>
    </row>
    <row r="48" spans="1:15" x14ac:dyDescent="0.25">
      <c r="A48" s="431" t="s">
        <v>343</v>
      </c>
      <c r="B48" s="432"/>
      <c r="C48" s="432"/>
      <c r="D48" s="432"/>
      <c r="E48" s="432"/>
      <c r="F48" s="432"/>
      <c r="G48" s="433"/>
      <c r="J48" s="419"/>
      <c r="K48" s="65" t="s">
        <v>461</v>
      </c>
      <c r="L48" s="63"/>
      <c r="M48" s="63"/>
      <c r="N48" s="63"/>
      <c r="O48" s="63"/>
    </row>
    <row r="49" spans="1:15" x14ac:dyDescent="0.25">
      <c r="A49" s="434" t="s">
        <v>497</v>
      </c>
      <c r="B49" s="423"/>
      <c r="C49" s="423"/>
      <c r="D49" s="423"/>
      <c r="E49" s="423"/>
      <c r="F49" s="423"/>
      <c r="G49" s="424"/>
      <c r="J49" s="419"/>
      <c r="K49" s="61" t="s">
        <v>462</v>
      </c>
      <c r="L49" s="61" t="e">
        <f>AVERAGE(L37:L48)</f>
        <v>#DIV/0!</v>
      </c>
      <c r="M49" s="61">
        <f>MAX(M37:M48)</f>
        <v>0</v>
      </c>
      <c r="N49" s="61" t="e">
        <f>AVERAGE(N37:N48)</f>
        <v>#DIV/0!</v>
      </c>
      <c r="O49" s="61">
        <f>MAX(O37:O48)</f>
        <v>0</v>
      </c>
    </row>
    <row r="50" spans="1:15" x14ac:dyDescent="0.25">
      <c r="A50" s="425"/>
      <c r="B50" s="426"/>
      <c r="C50" s="426"/>
      <c r="D50" s="426"/>
      <c r="E50" s="426"/>
      <c r="F50" s="426"/>
      <c r="G50" s="427"/>
    </row>
    <row r="51" spans="1:15" ht="41.4" x14ac:dyDescent="0.25">
      <c r="A51" s="425"/>
      <c r="B51" s="426"/>
      <c r="C51" s="426"/>
      <c r="D51" s="426"/>
      <c r="E51" s="426"/>
      <c r="F51" s="426"/>
      <c r="G51" s="427"/>
      <c r="J51" s="60">
        <f>+A6</f>
        <v>2022</v>
      </c>
      <c r="K51" s="60" t="s">
        <v>444</v>
      </c>
      <c r="L51" s="66" t="s">
        <v>439</v>
      </c>
      <c r="M51" s="66" t="s">
        <v>445</v>
      </c>
      <c r="N51" s="66" t="s">
        <v>442</v>
      </c>
      <c r="O51" s="66" t="s">
        <v>446</v>
      </c>
    </row>
    <row r="52" spans="1:15" x14ac:dyDescent="0.25">
      <c r="A52" s="428"/>
      <c r="B52" s="429"/>
      <c r="C52" s="429"/>
      <c r="D52" s="429"/>
      <c r="E52" s="429"/>
      <c r="F52" s="429"/>
      <c r="G52" s="430"/>
      <c r="J52" s="419" t="s">
        <v>138</v>
      </c>
      <c r="K52" s="65" t="s">
        <v>447</v>
      </c>
      <c r="L52" s="63"/>
      <c r="M52" s="63"/>
      <c r="N52" s="63"/>
      <c r="O52" s="63"/>
    </row>
    <row r="53" spans="1:15" x14ac:dyDescent="0.25">
      <c r="J53" s="419"/>
      <c r="K53" s="65" t="s">
        <v>448</v>
      </c>
      <c r="L53" s="63"/>
      <c r="M53" s="63"/>
      <c r="N53" s="63"/>
      <c r="O53" s="63"/>
    </row>
    <row r="54" spans="1:15" x14ac:dyDescent="0.25">
      <c r="J54" s="419"/>
      <c r="K54" s="65" t="s">
        <v>449</v>
      </c>
      <c r="L54" s="63"/>
      <c r="M54" s="63"/>
      <c r="N54" s="63"/>
      <c r="O54" s="63"/>
    </row>
    <row r="55" spans="1:15" x14ac:dyDescent="0.25">
      <c r="J55" s="419"/>
      <c r="K55" s="65" t="s">
        <v>451</v>
      </c>
      <c r="L55" s="63"/>
      <c r="M55" s="63"/>
      <c r="N55" s="63"/>
      <c r="O55" s="63"/>
    </row>
    <row r="56" spans="1:15" x14ac:dyDescent="0.25">
      <c r="J56" s="419"/>
      <c r="K56" s="65" t="s">
        <v>453</v>
      </c>
      <c r="L56" s="63"/>
      <c r="M56" s="63"/>
      <c r="N56" s="63"/>
      <c r="O56" s="63"/>
    </row>
    <row r="57" spans="1:15" x14ac:dyDescent="0.25">
      <c r="J57" s="419"/>
      <c r="K57" s="65" t="s">
        <v>454</v>
      </c>
      <c r="L57" s="63"/>
      <c r="M57" s="63"/>
      <c r="N57" s="63"/>
      <c r="O57" s="63"/>
    </row>
    <row r="58" spans="1:15" x14ac:dyDescent="0.25">
      <c r="J58" s="419"/>
      <c r="K58" s="65" t="s">
        <v>455</v>
      </c>
      <c r="L58" s="63"/>
      <c r="M58" s="63"/>
      <c r="N58" s="63"/>
      <c r="O58" s="63"/>
    </row>
    <row r="59" spans="1:15" x14ac:dyDescent="0.25">
      <c r="J59" s="419"/>
      <c r="K59" s="65" t="s">
        <v>457</v>
      </c>
      <c r="L59" s="63"/>
      <c r="M59" s="63"/>
      <c r="N59" s="63"/>
      <c r="O59" s="63"/>
    </row>
    <row r="60" spans="1:15" x14ac:dyDescent="0.25">
      <c r="J60" s="419"/>
      <c r="K60" s="65" t="s">
        <v>458</v>
      </c>
      <c r="L60" s="63"/>
      <c r="M60" s="63"/>
      <c r="N60" s="63"/>
      <c r="O60" s="63"/>
    </row>
    <row r="61" spans="1:15" x14ac:dyDescent="0.25">
      <c r="J61" s="419"/>
      <c r="K61" s="65" t="s">
        <v>459</v>
      </c>
      <c r="L61" s="63"/>
      <c r="M61" s="63"/>
      <c r="N61" s="63"/>
      <c r="O61" s="63"/>
    </row>
    <row r="62" spans="1:15" x14ac:dyDescent="0.25">
      <c r="J62" s="419"/>
      <c r="K62" s="65" t="s">
        <v>460</v>
      </c>
      <c r="L62" s="63"/>
      <c r="M62" s="63"/>
      <c r="N62" s="63"/>
      <c r="O62" s="63"/>
    </row>
    <row r="63" spans="1:15" x14ac:dyDescent="0.25">
      <c r="J63" s="419"/>
      <c r="K63" s="65" t="s">
        <v>461</v>
      </c>
      <c r="L63" s="63"/>
      <c r="M63" s="63"/>
      <c r="N63" s="63"/>
      <c r="O63" s="63"/>
    </row>
    <row r="64" spans="1:15" x14ac:dyDescent="0.25">
      <c r="J64" s="419"/>
      <c r="K64" s="61" t="s">
        <v>462</v>
      </c>
      <c r="L64" s="61" t="e">
        <f>AVERAGE(L52:L63)</f>
        <v>#DIV/0!</v>
      </c>
      <c r="M64" s="61">
        <f>MAX(M52:M63)</f>
        <v>0</v>
      </c>
      <c r="N64" s="61" t="e">
        <f>AVERAGE(N52:N63)</f>
        <v>#DIV/0!</v>
      </c>
      <c r="O64" s="61">
        <f>MAX(O52:O63)</f>
        <v>0</v>
      </c>
    </row>
    <row r="66" spans="10:15" ht="41.4" x14ac:dyDescent="0.25">
      <c r="J66" s="60">
        <f>+A6</f>
        <v>2022</v>
      </c>
      <c r="K66" s="60" t="s">
        <v>444</v>
      </c>
      <c r="L66" s="66" t="s">
        <v>439</v>
      </c>
      <c r="M66" s="66" t="s">
        <v>445</v>
      </c>
      <c r="N66" s="66" t="s">
        <v>442</v>
      </c>
      <c r="O66" s="66" t="s">
        <v>446</v>
      </c>
    </row>
    <row r="67" spans="10:15" x14ac:dyDescent="0.25">
      <c r="J67" s="419" t="s">
        <v>139</v>
      </c>
      <c r="K67" s="65" t="s">
        <v>447</v>
      </c>
      <c r="L67" s="63"/>
      <c r="M67" s="63"/>
      <c r="N67" s="63"/>
      <c r="O67" s="63"/>
    </row>
    <row r="68" spans="10:15" x14ac:dyDescent="0.25">
      <c r="J68" s="419"/>
      <c r="K68" s="65" t="s">
        <v>448</v>
      </c>
      <c r="L68" s="63"/>
      <c r="M68" s="63"/>
      <c r="N68" s="63"/>
      <c r="O68" s="63"/>
    </row>
    <row r="69" spans="10:15" x14ac:dyDescent="0.25">
      <c r="J69" s="419"/>
      <c r="K69" s="65" t="s">
        <v>449</v>
      </c>
      <c r="L69" s="63"/>
      <c r="M69" s="63"/>
      <c r="N69" s="63"/>
      <c r="O69" s="63"/>
    </row>
    <row r="70" spans="10:15" x14ac:dyDescent="0.25">
      <c r="J70" s="419"/>
      <c r="K70" s="65" t="s">
        <v>451</v>
      </c>
      <c r="L70" s="63"/>
      <c r="M70" s="63"/>
      <c r="N70" s="63"/>
      <c r="O70" s="63"/>
    </row>
    <row r="71" spans="10:15" x14ac:dyDescent="0.25">
      <c r="J71" s="419"/>
      <c r="K71" s="65" t="s">
        <v>453</v>
      </c>
      <c r="L71" s="63"/>
      <c r="M71" s="63"/>
      <c r="N71" s="63"/>
      <c r="O71" s="63"/>
    </row>
    <row r="72" spans="10:15" x14ac:dyDescent="0.25">
      <c r="J72" s="419"/>
      <c r="K72" s="65" t="s">
        <v>454</v>
      </c>
      <c r="L72" s="63"/>
      <c r="M72" s="63"/>
      <c r="N72" s="63"/>
      <c r="O72" s="63"/>
    </row>
    <row r="73" spans="10:15" x14ac:dyDescent="0.25">
      <c r="J73" s="419"/>
      <c r="K73" s="65" t="s">
        <v>455</v>
      </c>
      <c r="L73" s="63"/>
      <c r="M73" s="63"/>
      <c r="N73" s="63"/>
      <c r="O73" s="63"/>
    </row>
    <row r="74" spans="10:15" x14ac:dyDescent="0.25">
      <c r="J74" s="419"/>
      <c r="K74" s="65" t="s">
        <v>457</v>
      </c>
      <c r="L74" s="63"/>
      <c r="M74" s="63"/>
      <c r="N74" s="63"/>
      <c r="O74" s="63"/>
    </row>
    <row r="75" spans="10:15" x14ac:dyDescent="0.25">
      <c r="J75" s="419"/>
      <c r="K75" s="65" t="s">
        <v>458</v>
      </c>
      <c r="L75" s="63"/>
      <c r="M75" s="63"/>
      <c r="N75" s="63"/>
      <c r="O75" s="63"/>
    </row>
    <row r="76" spans="10:15" x14ac:dyDescent="0.25">
      <c r="J76" s="419"/>
      <c r="K76" s="65" t="s">
        <v>459</v>
      </c>
      <c r="L76" s="63"/>
      <c r="M76" s="63"/>
      <c r="N76" s="63"/>
      <c r="O76" s="63"/>
    </row>
    <row r="77" spans="10:15" x14ac:dyDescent="0.25">
      <c r="J77" s="419"/>
      <c r="K77" s="65" t="s">
        <v>460</v>
      </c>
      <c r="L77" s="63"/>
      <c r="M77" s="63"/>
      <c r="N77" s="63"/>
      <c r="O77" s="63"/>
    </row>
    <row r="78" spans="10:15" x14ac:dyDescent="0.25">
      <c r="J78" s="419"/>
      <c r="K78" s="65" t="s">
        <v>461</v>
      </c>
      <c r="L78" s="63"/>
      <c r="M78" s="63"/>
      <c r="N78" s="63"/>
      <c r="O78" s="63"/>
    </row>
    <row r="79" spans="10:15" x14ac:dyDescent="0.25">
      <c r="J79" s="419"/>
      <c r="K79" s="61" t="s">
        <v>462</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1117845-93f6-4da3-abaa-fcb4fa669c78" ContentTypeId="0x010100A5BF1C78D9F64B679A5EBDE1C6598EBC01" PreviousValue="false"/>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Props1.xml><?xml version="1.0" encoding="utf-8"?>
<ds:datastoreItem xmlns:ds="http://schemas.openxmlformats.org/officeDocument/2006/customXml" ds:itemID="{A69C830A-BDC7-48F7-B31A-8A21A38B1EC0}">
  <ds:schemaRefs>
    <ds:schemaRef ds:uri="Microsoft.SharePoint.Taxonomy.ContentTypeSync"/>
  </ds:schemaRefs>
</ds:datastoreItem>
</file>

<file path=customXml/itemProps2.xml><?xml version="1.0" encoding="utf-8"?>
<ds:datastoreItem xmlns:ds="http://schemas.openxmlformats.org/officeDocument/2006/customXml" ds:itemID="{A6B88B3B-4A17-4205-A341-5940897F62F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4.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662745e8-e224-48e8-a2e3-254862b8c2f5"/>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23</vt:i4>
      </vt:variant>
    </vt:vector>
  </HeadingPairs>
  <TitlesOfParts>
    <vt:vector size="46" baseType="lpstr">
      <vt:lpstr>Cover Page</vt:lpstr>
      <vt:lpstr>Contents</vt:lpstr>
      <vt:lpstr>Facility Info</vt:lpstr>
      <vt:lpstr>Operational Summary</vt:lpstr>
      <vt:lpstr>Perf. Form 1</vt:lpstr>
      <vt:lpstr>Energy Form 1</vt:lpstr>
      <vt:lpstr>Operational Data</vt:lpstr>
      <vt:lpstr>Permit Compliance</vt:lpstr>
      <vt:lpstr>Improvements</vt:lpstr>
      <vt:lpstr>Public Liasion</vt:lpstr>
      <vt:lpstr>CO2 N2O</vt:lpstr>
      <vt:lpstr>Residue Quality </vt:lpstr>
      <vt:lpstr>Water</vt:lpstr>
      <vt:lpstr>Air (periodic)</vt:lpstr>
      <vt:lpstr>Air (CEMS)</vt:lpstr>
      <vt:lpstr>HCl</vt:lpstr>
      <vt:lpstr>SO2</vt:lpstr>
      <vt:lpstr>NOx</vt:lpstr>
      <vt:lpstr>TOC</vt:lpstr>
      <vt:lpstr>Particulates</vt:lpstr>
      <vt:lpstr>CO 0.5hourly</vt:lpstr>
      <vt:lpstr>CO 95% 10 min</vt:lpstr>
      <vt:lpstr>NH3</vt:lpstr>
      <vt:lpstr>'Air (CEMS)'!Print_Area</vt:lpstr>
      <vt:lpstr>'Air (periodic)'!Print_Area</vt:lpstr>
      <vt:lpstr>'CO 0.5hourly'!Print_Area</vt:lpstr>
      <vt:lpstr>'CO 95% 10 min'!Print_Area</vt:lpstr>
      <vt:lpstr>'CO2 N2O'!Print_Area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dcterms:created xsi:type="dcterms:W3CDTF">2019-04-02T06:44:55Z</dcterms:created>
  <dcterms:modified xsi:type="dcterms:W3CDTF">2023-03-22T17:10:26Z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