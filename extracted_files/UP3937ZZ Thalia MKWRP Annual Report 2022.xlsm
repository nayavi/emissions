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15" codeName="{00000000-0000-0000-0000-000000000000}"/>
  <workbookPr codeName="ThisWorkbook" defaultThemeVersion="166925"/>
  <mc:AlternateContent xmlns:mc="http://schemas.openxmlformats.org/markup-compatibility/2006">
    <mc:Choice Requires="x15">
      <x15ac:absPath xmlns:x15ac="http://schemas.microsoft.com/office/spreadsheetml/2010/11/ac" url="C:\Add to DMS New\"/>
    </mc:Choice>
  </mc:AlternateContent>
  <xr:revisionPtr revIDLastSave="1" documentId="8_{E5C223FD-A0CA-4681-90DC-098940DA9AB0}" xr6:coauthVersionLast="47" xr6:coauthVersionMax="47" xr10:uidLastSave="{A11E8714-F374-4F50-9EDB-8D447DF86C78}"/>
  <bookViews>
    <workbookView xWindow="-108" yWindow="-108" windowWidth="23256" windowHeight="12576" tabRatio="900" activeTab="3" xr2:uid="{00000000-000D-0000-FFFF-FFFF00000000}"/>
  </bookViews>
  <sheets>
    <sheet name="Cover Page" sheetId="2" r:id="rId1"/>
    <sheet name="Contents" sheetId="3" r:id="rId2"/>
    <sheet name="Facility Info" sheetId="4" r:id="rId3"/>
    <sheet name="Sheet1" sheetId="32" r:id="rId4"/>
    <sheet name="Operational Data" sheetId="6" r:id="rId5"/>
    <sheet name="Operational Summary" sheetId="5" r:id="rId6"/>
    <sheet name="Perf. Form 1" sheetId="7" r:id="rId7"/>
    <sheet name="Energy Form 1" sheetId="8" r:id="rId8"/>
    <sheet name="Permit Compliance" sheetId="9" r:id="rId9"/>
    <sheet name="Improvements" sheetId="10" r:id="rId10"/>
    <sheet name="Public Liasion" sheetId="11"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r:id="rId21"/>
    <sheet name="CO 95% 10 min" sheetId="30" r:id="rId22"/>
    <sheet name="NH3" sheetId="31" r:id="rId23"/>
  </sheets>
  <definedNames>
    <definedName name="_xlnm.Print_Area" localSheetId="14">'Air (CEMS)'!$A$1:$M$31</definedName>
    <definedName name="_xlnm.Print_Area" localSheetId="13">'Air (periodic)'!$A$1:$J$41</definedName>
    <definedName name="_xlnm.Print_Area" localSheetId="20">'CO 0.5hourly'!$A$1:$G$52</definedName>
    <definedName name="_xlnm.Print_Area" localSheetId="21">'CO 95% 10 min'!$A$1:$H$52</definedName>
    <definedName name="_xlnm.Print_Area" localSheetId="1">Contents!$A$1:$J$47</definedName>
    <definedName name="_xlnm.Print_Area" localSheetId="0">'Cover Page'!$A$1:$J$55</definedName>
    <definedName name="_xlnm.Print_Area" localSheetId="7">'Energy Form 1'!$A$1:$I$29</definedName>
    <definedName name="_xlnm.Print_Area" localSheetId="2">'Facility Info'!$A$1:$I$54</definedName>
    <definedName name="_xlnm.Print_Area" localSheetId="15">HCl!$A$1:$G$52</definedName>
    <definedName name="_xlnm.Print_Area" localSheetId="9">Improvements!$A$1:$J$48</definedName>
    <definedName name="_xlnm.Print_Area" localSheetId="22">'NH3'!$A$1:$G$52</definedName>
    <definedName name="_xlnm.Print_Area" localSheetId="17">NOx!$A$1:$G$52</definedName>
    <definedName name="_xlnm.Print_Area" localSheetId="4">'Operational Data'!$A$1:$H$61</definedName>
    <definedName name="_xlnm.Print_Area" localSheetId="5">'Operational Summary'!$A$1:$I$52</definedName>
    <definedName name="_xlnm.Print_Area" localSheetId="19">Particulates!$A$1:$G$52</definedName>
    <definedName name="_xlnm.Print_Area" localSheetId="6">'Perf. Form 1'!$A$1:$J$56</definedName>
    <definedName name="_xlnm.Print_Area" localSheetId="8">'Permit Compliance'!$A$1:$J$35</definedName>
    <definedName name="_xlnm.Print_Area" localSheetId="10">'Public Liasion'!$A$1:$J$29</definedName>
    <definedName name="_xlnm.Print_Area" localSheetId="11">'Residue Quality '!$A$1:$G$41</definedName>
    <definedName name="_xlnm.Print_Area" localSheetId="16">'SO2'!$A$1:$G$52</definedName>
    <definedName name="_xlnm.Print_Area" localSheetId="18">TOC!$A$1:$G$52</definedName>
    <definedName name="_xlnm.Print_Area" localSheetId="12">Water!$A$1:$J$30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 i="26" l="1"/>
  <c r="D9" i="26"/>
  <c r="D10" i="26"/>
  <c r="D11" i="26"/>
  <c r="D12" i="26"/>
  <c r="D13" i="26"/>
  <c r="D14" i="26"/>
  <c r="D15" i="26"/>
  <c r="D16" i="26"/>
  <c r="D17" i="26"/>
  <c r="D18" i="26"/>
  <c r="D7" i="26"/>
  <c r="M19" i="26"/>
  <c r="D8" i="6"/>
  <c r="D8" i="28"/>
  <c r="D9" i="28"/>
  <c r="D10" i="28"/>
  <c r="D11" i="28"/>
  <c r="D12" i="28"/>
  <c r="D13" i="28"/>
  <c r="D14" i="28"/>
  <c r="D15" i="28"/>
  <c r="D16" i="28"/>
  <c r="D17" i="28"/>
  <c r="D18" i="28"/>
  <c r="D7" i="28"/>
  <c r="C8" i="28"/>
  <c r="C9" i="28"/>
  <c r="C10" i="28"/>
  <c r="C11" i="28"/>
  <c r="C12" i="28"/>
  <c r="C13" i="28"/>
  <c r="C14" i="28"/>
  <c r="C15" i="28"/>
  <c r="C16" i="28"/>
  <c r="C17" i="28"/>
  <c r="C18" i="28"/>
  <c r="C7" i="28"/>
  <c r="D8" i="27"/>
  <c r="D9" i="27"/>
  <c r="D10" i="27"/>
  <c r="D11" i="27"/>
  <c r="D12" i="27"/>
  <c r="D13" i="27"/>
  <c r="D14" i="27"/>
  <c r="D15" i="27"/>
  <c r="D16" i="27"/>
  <c r="D17" i="27"/>
  <c r="D18" i="27"/>
  <c r="D7" i="27"/>
  <c r="C8" i="27"/>
  <c r="C9" i="27"/>
  <c r="C10" i="27"/>
  <c r="C11" i="27"/>
  <c r="C12" i="27"/>
  <c r="C13" i="27"/>
  <c r="C14" i="27"/>
  <c r="C15" i="27"/>
  <c r="C16" i="27"/>
  <c r="C17" i="27"/>
  <c r="C18" i="27"/>
  <c r="C7" i="27"/>
  <c r="C8" i="26"/>
  <c r="C9" i="26"/>
  <c r="C10" i="26"/>
  <c r="C11" i="26"/>
  <c r="C12" i="26"/>
  <c r="C13" i="26"/>
  <c r="C14" i="26"/>
  <c r="C15" i="26"/>
  <c r="C16" i="26"/>
  <c r="C17" i="26"/>
  <c r="C18" i="26"/>
  <c r="C7" i="26"/>
  <c r="D8" i="25"/>
  <c r="D9" i="25"/>
  <c r="D10" i="25"/>
  <c r="D11" i="25"/>
  <c r="D12" i="25"/>
  <c r="D13" i="25"/>
  <c r="D14" i="25"/>
  <c r="D15" i="25"/>
  <c r="D16" i="25"/>
  <c r="D17" i="25"/>
  <c r="D18" i="25"/>
  <c r="D7" i="25"/>
  <c r="C8" i="25"/>
  <c r="C9" i="25"/>
  <c r="C10" i="25"/>
  <c r="C11" i="25"/>
  <c r="C12" i="25"/>
  <c r="C13" i="25"/>
  <c r="C14" i="25"/>
  <c r="C15" i="25"/>
  <c r="C16" i="25"/>
  <c r="C17" i="25"/>
  <c r="C18" i="25"/>
  <c r="C7" i="25"/>
  <c r="D8" i="13"/>
  <c r="D9" i="13"/>
  <c r="D10" i="13"/>
  <c r="D11" i="13"/>
  <c r="D12" i="13"/>
  <c r="D13" i="13"/>
  <c r="D14" i="13"/>
  <c r="D15" i="13"/>
  <c r="D16" i="13"/>
  <c r="D17" i="13"/>
  <c r="D18" i="13"/>
  <c r="D7" i="13"/>
  <c r="C9" i="13"/>
  <c r="C10" i="13"/>
  <c r="C11" i="13"/>
  <c r="C12" i="13"/>
  <c r="C13" i="13"/>
  <c r="C14" i="13"/>
  <c r="C15" i="13"/>
  <c r="C16" i="13"/>
  <c r="C17" i="13"/>
  <c r="C18" i="13"/>
  <c r="C8" i="13"/>
  <c r="C7" i="13"/>
  <c r="N19" i="30"/>
  <c r="N19" i="26"/>
  <c r="O19" i="26"/>
  <c r="D25" i="6"/>
  <c r="E25" i="6"/>
  <c r="F25" i="6"/>
  <c r="C25" i="6"/>
  <c r="C27" i="6"/>
  <c r="C8" i="6"/>
  <c r="J3" i="31"/>
  <c r="J3" i="30"/>
  <c r="J3" i="29"/>
  <c r="J3" i="28"/>
  <c r="J3" i="27"/>
  <c r="J3" i="26"/>
  <c r="J3" i="25"/>
  <c r="J3" i="13"/>
  <c r="G19" i="6" l="1"/>
  <c r="H19" i="6" s="1"/>
  <c r="G55" i="6" l="1"/>
  <c r="G56" i="6" l="1"/>
  <c r="G61" i="6"/>
  <c r="G60" i="6"/>
  <c r="G59" i="6"/>
  <c r="G58" i="6"/>
  <c r="G51" i="6"/>
  <c r="G52" i="6"/>
  <c r="G53" i="6"/>
  <c r="G54" i="6"/>
  <c r="G57" i="6"/>
  <c r="E1" i="31" l="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J36" i="27" l="1"/>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I23" i="7"/>
  <c r="I22" i="7"/>
  <c r="I12" i="7"/>
  <c r="I14" i="7"/>
  <c r="I15" i="7"/>
  <c r="D27" i="6"/>
  <c r="E8" i="6" s="1"/>
  <c r="E27" i="6"/>
  <c r="F8" i="6" s="1"/>
  <c r="F27" i="6"/>
  <c r="G7" i="8"/>
  <c r="D7" i="8"/>
  <c r="B5" i="8"/>
  <c r="G3" i="8"/>
  <c r="A3" i="8"/>
  <c r="A1" i="8"/>
  <c r="G24" i="7"/>
  <c r="E24" i="7"/>
  <c r="G16" i="7"/>
  <c r="E16" i="7"/>
  <c r="B4" i="7"/>
  <c r="G3" i="7"/>
  <c r="A3" i="7"/>
  <c r="A1" i="7"/>
  <c r="A8" i="7" s="1"/>
  <c r="H61" i="6"/>
  <c r="H60" i="6"/>
  <c r="H59" i="6"/>
  <c r="H58" i="6"/>
  <c r="G48" i="6"/>
  <c r="H48" i="6" s="1"/>
  <c r="G47" i="6"/>
  <c r="H47" i="6" s="1"/>
  <c r="G46" i="6"/>
  <c r="H46" i="6" s="1"/>
  <c r="G45" i="6"/>
  <c r="E38" i="7" s="1"/>
  <c r="G44" i="6"/>
  <c r="E37" i="7" s="1"/>
  <c r="G43" i="6"/>
  <c r="E36" i="7" s="1"/>
  <c r="H36" i="7" s="1"/>
  <c r="G42" i="6"/>
  <c r="H42" i="6" s="1"/>
  <c r="G41" i="6"/>
  <c r="E34" i="7" s="1"/>
  <c r="H34" i="7" s="1"/>
  <c r="G38" i="6"/>
  <c r="H38" i="6" s="1"/>
  <c r="G37" i="6"/>
  <c r="H37" i="6" s="1"/>
  <c r="G36" i="6"/>
  <c r="H36" i="6" s="1"/>
  <c r="G35" i="6"/>
  <c r="G34" i="6"/>
  <c r="G33" i="6"/>
  <c r="G29" i="6"/>
  <c r="D14" i="8" s="1"/>
  <c r="G28" i="6"/>
  <c r="H28" i="6" s="1"/>
  <c r="G26" i="6"/>
  <c r="D11" i="8" s="1"/>
  <c r="G25" i="6"/>
  <c r="G24" i="6"/>
  <c r="D12" i="8" s="1"/>
  <c r="G23" i="6"/>
  <c r="G20" i="6"/>
  <c r="H20" i="6" s="1"/>
  <c r="G15" i="6"/>
  <c r="H15" i="6" s="1"/>
  <c r="G14" i="6"/>
  <c r="H14" i="6" s="1"/>
  <c r="G13" i="6"/>
  <c r="G12" i="6"/>
  <c r="G11" i="6"/>
  <c r="G10" i="6"/>
  <c r="G9" i="6"/>
  <c r="H41" i="6" l="1"/>
  <c r="G25" i="7"/>
  <c r="H29" i="6"/>
  <c r="G27" i="6"/>
  <c r="H43" i="6"/>
  <c r="E25" i="7"/>
  <c r="E35" i="7"/>
  <c r="H35" i="7" s="1"/>
  <c r="D10" i="8"/>
  <c r="A32" i="7"/>
  <c r="A44" i="7" s="1"/>
  <c r="H10" i="6" l="1"/>
  <c r="H13" i="6"/>
  <c r="G14" i="8"/>
  <c r="H11" i="6"/>
  <c r="H9" i="6"/>
  <c r="G8" i="6"/>
  <c r="G18" i="6" s="1"/>
  <c r="H37" i="7" l="1"/>
  <c r="H44" i="6"/>
  <c r="H8" i="6"/>
  <c r="I21" i="7"/>
  <c r="I20" i="7"/>
  <c r="I19" i="7"/>
  <c r="I11" i="7"/>
  <c r="H25" i="6"/>
  <c r="I16" i="7"/>
  <c r="I24" i="7"/>
  <c r="I25" i="7"/>
  <c r="H38" i="7"/>
  <c r="H45" i="6"/>
  <c r="H26" i="6"/>
  <c r="G11" i="8" s="1"/>
  <c r="H35" i="6"/>
  <c r="H24" i="6"/>
  <c r="G12" i="8" s="1"/>
  <c r="H34" i="6"/>
  <c r="H33" i="6"/>
  <c r="H12" i="6"/>
  <c r="H18" i="6"/>
  <c r="H23" i="6"/>
  <c r="G10" i="8" s="1"/>
</calcChain>
</file>

<file path=xl/sharedStrings.xml><?xml version="1.0" encoding="utf-8"?>
<sst xmlns="http://schemas.openxmlformats.org/spreadsheetml/2006/main" count="1676" uniqueCount="429">
  <si>
    <t>Add company logo</t>
  </si>
  <si>
    <t xml:space="preserve">Version 2.1 </t>
  </si>
  <si>
    <t>Add photo</t>
  </si>
  <si>
    <t>Notes:</t>
  </si>
  <si>
    <t>This template may require adjustments by individual operators to meet specific reporting requirements as defined in the site Permit(s)</t>
  </si>
  <si>
    <t>Annual Performance Report 2022</t>
  </si>
  <si>
    <t>Permit EPR/HP3323PW/T001</t>
  </si>
  <si>
    <t>Name of Facility: Thalia MK ODC Limited</t>
  </si>
  <si>
    <t>other name of facility Milton Keynes Waste Recovery Park</t>
  </si>
  <si>
    <t>Thalia</t>
  </si>
  <si>
    <t>Year:</t>
  </si>
  <si>
    <t>Address:</t>
  </si>
  <si>
    <t>9 Dickens Road, Old Wolverton, Milton Keynes, MK12 5QF</t>
  </si>
  <si>
    <t xml:space="preserve">Tel: </t>
  </si>
  <si>
    <t xml:space="preserve">Email: </t>
  </si>
  <si>
    <t>robert.Fontana@thalia.co.uk</t>
  </si>
  <si>
    <t>Prepared by:</t>
  </si>
  <si>
    <t>Robert Fontana</t>
  </si>
  <si>
    <t>Position:</t>
  </si>
  <si>
    <t>Compliance Manager</t>
  </si>
  <si>
    <t>Approved by:</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</si>
  <si>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</si>
  <si>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</si>
  <si>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</si>
  <si>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</si>
  <si>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</si>
  <si>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</si>
  <si>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</si>
  <si>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</si>
  <si>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</si>
  <si>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</si>
  <si>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</si>
  <si>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</si>
  <si>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</si>
  <si>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</si>
  <si>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</si>
  <si>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</si>
  <si>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</si>
  <si>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</si>
  <si>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</si>
  <si>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</si>
  <si>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</si>
  <si>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</si>
  <si>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</si>
  <si>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</si>
  <si>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</si>
  <si>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</si>
  <si>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</si>
  <si>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</si>
  <si>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</si>
  <si>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</si>
  <si>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</si>
  <si>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</si>
  <si>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</si>
  <si>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</si>
  <si>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</si>
  <si>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</si>
  <si>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bespoke permit controls the operation of the Installation, comprising of three listed activities, and their respective directly associated activities for the recovery or a mix of recovery and disposal of non-hazardous waste with a capacity exceeding 75 tonnes per day through the Mechanical biological treatment (MT) department the organic fraction is removed and transferred via conveyor to the Anaerobic digestor (AD) facility.  Activities associated with the Advanced thermal treatment (ATT) are receipt and storage of municipal waste, production of steam and electricity, abatement of flue gas and handling and testing of incinerator Bottom Ash (IBA) and Air Pollution Residue (APCR).</t>
  </si>
  <si>
    <t xml:space="preserve">Include summary of plant design, design capacity, no. of combustion lines, electrical and heat capacity and any other general information that descibes the facility, its location and purpose </t>
  </si>
  <si>
    <t>Summary of Operational Processes and Procedures</t>
  </si>
  <si>
    <t>Mechanical Treatment (MT)
The Mechanical Treatment (MT) plant can process up to 140,000 tonnes per annum (tpa) of municipal, industrial and commercial residual waste. It enables recyclates to be removed from the waste, it feeds the ATT process and it will extract up to 32,000 tonnes of organic waste per annum which is transferred to the onsite anaerobic digestion (AD) and in-vessel composting (IVC) plant. It utilises a series of physical separation techniques: Waste reception; trommels; shredding; ballistic separation; near infra-red separation; air knives; magnetic separation and use of manual pickers. 
Air from the dust filter units from the MT waste reception and tipping halls is extracted to two carbon filter units to control odour. Negative pressure and is maintained within the MT hall to limit the release of fugitive emissions including odour. 
Advanced Thermal Treatment (ATT)
Advanced thermal treatment (ATT) by gasification will process up to 94,000 tpa. The plant consists of two lines of ATT which will thermally treat waste to produce syngas through gasification, which is combusted to generate high temperature steam which in turn drive a turbine to produce electricity. 
Electricity Generation
The syngas produced in the gasification process flows into the oxidation chamber. The oxidation chamber is designed to ensure a residence time greater than two seconds at a temperature of above 850°C. 
Following the oxidation of the syn gas, flue gas at approximately 900°C, flows around the outside of the tubes in the water tube boiler. The flue gas then flows through the tubes for two passes through the smoke tube boiler. Finally the flue gas flows around the outside of the tubes in the economiser. The flue gas leaving the economiser is approximately 150°C, an acceptable temperature for the flue gas cleaning system. 
The steam turbine and condenser system produce electricity from the steam generated in the heat recovery and steam generation system. There is one turbine system for the two ATT lines. Approximately 6.0 MWe of electricity is generated by a steam turbine which is fed by the steam generating boiler. The electricity is used at the facility and also exported to the national grid.
Anaerobic Digestion (AD)
A biological treatment process classified as a Section 5.4 Part A(1)(b)(i) activity will comprise of the following processes. 
Anaerobic Digestion (AD) will process the extracted organic fraction of the incoming residual, industrial and commercial waste from the MT plant. The biogas from the anaerobic digesters will be combusted in two gas engines (DAA) to generate approximately 1 MWe of electricity, which will be exported to the national grid. 
Exhaust gases from the two AD engines is released via two 26m high stacks. The flare is for use in emergency situations and at start up and shut down, which has been designed to meet the same emission standards. However emissions from the flare will not be routinely monitored. 
In-Vessel Composting (IVC) process the digestate emerging from the AD fermenters following two periods in the Aerated Static Pile (ASP). Forced aeration, heating and pressure ventilation within the ASP reduces moisture content and allow aerobic conditions to develop. The output from the ASP system is screened using a trommel screen. Oversized material is discharged on a conveyor for return as feed for the ATT facility. 
Three sealed aerobic tunnels heat and process the screened output from the AD digesters. The tunnels are equipped with an aerated floor system and a roof blower system. Once the required temperature within the mass has been achieved, the material is retrieved from the rear of the vessels into the compost storage building, where the material is held while quality testing is conducted. 
Leachate from the composting ASPs and tunnels will gravitate into the central leachate collection manifold. This will be pumped into the leachate storage tank. 
Emission Control
Exhaust gases from ATT will be treated by an air pollution control system that will consist of flue gas recirculation to reduce the amount of NOx formed in the oxidation chamber, dry lime injection (for acid gases), activated carbon (for dioxins, furans and mercury) and a bag filter system (for particulate matter). 
Emissions from the ATT process will be released via two 55m high stacks. The emission to air will comply with the emission limits in Annex VI of the Industrial Emissions Directive (IED). 
Emissions Monitoring
Continuous and periodic monitoring is undertaken for the flue gases in the stack as required by the permit. 
Air Pollution Control Residue (APCR)
Solid residues are sampled on a regular basis to assess bottom ash burnout and to monitor the levels of specified pollutants. Bottom ash from the gasifiers will be removed from site for appropriate treatment, recovery or disposal. Prior to collection it will be stored in the ash bunker to the south of the ATT facility.</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</si>
  <si>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</si>
  <si>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</si>
  <si>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</si>
  <si>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</si>
  <si>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</si>
  <si>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No. of combustion lines</t>
  </si>
  <si>
    <t>No. of Turbines:</t>
  </si>
  <si>
    <t>Waste types received</t>
  </si>
  <si>
    <t>Unit</t>
  </si>
  <si>
    <t>Q1</t>
  </si>
  <si>
    <t>Q2</t>
  </si>
  <si>
    <t>Q3</t>
  </si>
  <si>
    <t>Q4</t>
  </si>
  <si>
    <t>Year Total</t>
  </si>
  <si>
    <t>%</t>
  </si>
  <si>
    <t>Household / Local Authority</t>
  </si>
  <si>
    <t>tonnes</t>
  </si>
  <si>
    <t xml:space="preserve">Commercial &amp; Industrial </t>
  </si>
  <si>
    <t xml:space="preserve">Hazardous </t>
  </si>
  <si>
    <t>Clinical</t>
  </si>
  <si>
    <t xml:space="preserve">Waste wood (biomass) </t>
  </si>
  <si>
    <t xml:space="preserve">Refuse derived fuel </t>
  </si>
  <si>
    <t xml:space="preserve">Solid recovered fuel </t>
  </si>
  <si>
    <t>Other [Please specify]</t>
  </si>
  <si>
    <t>Total waste received</t>
  </si>
  <si>
    <t xml:space="preserve">Rejected Waste </t>
  </si>
  <si>
    <t>Waste transferred out</t>
  </si>
  <si>
    <t>Energy Useage / Export</t>
  </si>
  <si>
    <t>KWh/te</t>
  </si>
  <si>
    <t>Power Generated</t>
  </si>
  <si>
    <t>MWh</t>
  </si>
  <si>
    <t>Power Exported</t>
  </si>
  <si>
    <t>Power Used on site</t>
  </si>
  <si>
    <t>Power Imported</t>
  </si>
  <si>
    <t>Parasitic Load</t>
  </si>
  <si>
    <t>Thermal Energy Produced</t>
  </si>
  <si>
    <t>GWh</t>
  </si>
  <si>
    <t>Thermal Energy Exported</t>
  </si>
  <si>
    <t>R1 value</t>
  </si>
  <si>
    <t>Design / Operational / n/a</t>
  </si>
  <si>
    <t>Waste Disposal &amp; Recovery</t>
  </si>
  <si>
    <t>% inputs</t>
  </si>
  <si>
    <t>APC Residues - produced</t>
  </si>
  <si>
    <t>IBA - produced</t>
  </si>
  <si>
    <t>Metals recycling</t>
  </si>
  <si>
    <t>Other</t>
  </si>
  <si>
    <t>Raw Material Usage</t>
  </si>
  <si>
    <t>kg or Ltr /te</t>
  </si>
  <si>
    <t>Mains Water</t>
  </si>
  <si>
    <r>
      <t>m</t>
    </r>
    <r>
      <rPr>
        <vertAlign val="superscript"/>
        <sz val="10"/>
        <color theme="1"/>
        <rFont val="Arial"/>
        <family val="2"/>
      </rPr>
      <t>3</t>
    </r>
  </si>
  <si>
    <t>Other Water</t>
  </si>
  <si>
    <t>Ammonia / Urea</t>
  </si>
  <si>
    <t>kgs</t>
  </si>
  <si>
    <t>Activated Carbon</t>
  </si>
  <si>
    <t>Lime / hydrated lime</t>
  </si>
  <si>
    <t>Fuel oil</t>
  </si>
  <si>
    <t>ltrs</t>
  </si>
  <si>
    <t>Gas</t>
  </si>
  <si>
    <t>cf</t>
  </si>
  <si>
    <t>Summary of Hours</t>
  </si>
  <si>
    <t>Line/Unit</t>
  </si>
  <si>
    <t>Hours of waste combustion, total</t>
  </si>
  <si>
    <t xml:space="preserve"> x %</t>
  </si>
  <si>
    <t>x %</t>
  </si>
  <si>
    <t>Hours of turbine operations, total</t>
  </si>
  <si>
    <t>Hours of heat / steam export</t>
  </si>
  <si>
    <t>Abnormal Events</t>
  </si>
  <si>
    <t>qty.</t>
  </si>
  <si>
    <t>Abnormal operation</t>
  </si>
  <si>
    <t>hours</t>
  </si>
  <si>
    <t>Permit Breaches</t>
  </si>
  <si>
    <t>Summary of Plant Operations and Maintenance during the reporting year</t>
  </si>
  <si>
    <t>ATT began to see large reliatbility improvements, after a slow start during Q1 due to numerous software glitches when leaving the winter shutdown.
Through Q2 and Q3, average availability peaked at over 85%, with fuel tonnages increasing and power export at a record high. Unfortunately, underlying manufacturing issues have been encountered in the boiler system, resulting in the loss of operations for the entirety of Q4.</t>
  </si>
  <si>
    <t xml:space="preserve">Include summary of key operational and/or mainteanance activity undertaken in the year, such as any major component upgrades and/or replacements </t>
  </si>
  <si>
    <t>Summary of Residue Handling for the reporting year</t>
  </si>
  <si>
    <t>add text here, 
(alt enter to make new para)</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</si>
  <si>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</si>
  <si>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</si>
  <si>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</si>
  <si>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</si>
  <si>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</si>
  <si>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</si>
  <si>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</si>
  <si>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</si>
  <si>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</si>
  <si>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</si>
  <si>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</si>
  <si>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</si>
  <si>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</si>
  <si>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</si>
  <si>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</si>
  <si>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</si>
  <si>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O.C.O Technology</t>
  </si>
  <si>
    <t xml:space="preserve">Contaminated Turbid Water
</t>
  </si>
  <si>
    <t>Minworth Sewage Treatment Works - STW Ltd</t>
  </si>
  <si>
    <t>Central Waste Oil Collections Ltd</t>
  </si>
  <si>
    <t>APC Dust</t>
  </si>
  <si>
    <t>Sneyd Hill Transfer and Treatment Centre</t>
  </si>
  <si>
    <t>Boiler Dust</t>
  </si>
  <si>
    <t>Total Hazardous Waste</t>
  </si>
  <si>
    <t>2) Non-Hazardous Wastes</t>
  </si>
  <si>
    <t>IBA</t>
  </si>
  <si>
    <t>Johnsons Aggregate Recycling LTD +Storefield Aggregate</t>
  </si>
  <si>
    <t xml:space="preserve"> Metals</t>
  </si>
  <si>
    <t>Morris metals + Westbrook waste</t>
  </si>
  <si>
    <t>Ammonium SULPHATE</t>
  </si>
  <si>
    <t>Eco Option</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</si>
  <si>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</si>
  <si>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</si>
  <si>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</si>
  <si>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</si>
  <si>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</si>
  <si>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</si>
  <si>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</si>
  <si>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</si>
  <si>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</si>
  <si>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</si>
  <si>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</si>
  <si>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</si>
  <si>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</si>
  <si>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</si>
  <si>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</si>
  <si>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</si>
  <si>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</si>
  <si>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</si>
  <si>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</si>
  <si>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CHP1</t>
  </si>
  <si>
    <t>CHP2</t>
  </si>
  <si>
    <t>Turbine 1</t>
  </si>
  <si>
    <t>Turbine 2</t>
  </si>
  <si>
    <t>Operating hours for the year, hours</t>
  </si>
  <si>
    <t>Number of periods of abnormal operation, qty.</t>
  </si>
  <si>
    <t>Cumulative hours of abnormal operation for this year, hours</t>
  </si>
  <si>
    <t>In Quarter 1's submisson we highlighted 4 instances across an 11 day period where our WID reports showed spikes in CO on line 1. This was reported via Schedule 5's, however, these were deemed false readings due to a communications error with the CEMS system</t>
  </si>
  <si>
    <t xml:space="preserve">Signed: </t>
  </si>
  <si>
    <t>R Fontana</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</si>
  <si>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</si>
  <si>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</si>
  <si>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</si>
  <si>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</si>
  <si>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</si>
  <si>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</si>
  <si>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</si>
  <si>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</si>
  <si>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</si>
  <si>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</si>
  <si>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litres</t>
  </si>
  <si>
    <t>Steam/hot water exported</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</si>
  <si>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</si>
  <si>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</si>
  <si>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</si>
  <si>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</si>
  <si>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</si>
  <si>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</si>
  <si>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</si>
  <si>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</si>
  <si>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</si>
  <si>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</si>
  <si>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</si>
  <si>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99.52% of 10-min averages</t>
  </si>
  <si>
    <t>Total organic carbon</t>
  </si>
  <si>
    <t>Hydrogen chloride</t>
  </si>
  <si>
    <t>Hydrogen fluoride</t>
  </si>
  <si>
    <t>N/A</t>
  </si>
  <si>
    <t>Summary of any notifications or non-compliances under the permit</t>
  </si>
  <si>
    <t>Summary of notification or non-compliance [including Line/Reference]</t>
  </si>
  <si>
    <t xml:space="preserve">Reason </t>
  </si>
  <si>
    <t>Measures taken to prevent reoccurrence</t>
  </si>
  <si>
    <t>Possible breach in 10 min average of 95th % of CO on Line 1 stack A6</t>
  </si>
  <si>
    <t xml:space="preserve">Line was on burners only </t>
  </si>
  <si>
    <t xml:space="preserve">Outside normal operating conditions                                                                                                                            </t>
  </si>
  <si>
    <t>Possible breach in half hourly limit of SO2 on line 1 stack A</t>
  </si>
  <si>
    <t xml:space="preserve">Shut down for planned mainenance </t>
  </si>
  <si>
    <t xml:space="preserve">Cool down process reviewed. Non breach but team briefed </t>
  </si>
  <si>
    <t>Summary of any complaints received and actions to taken to resolve them.</t>
  </si>
  <si>
    <t>Summary of complaint [including Line/Reference]</t>
  </si>
  <si>
    <t>Reason *</t>
  </si>
  <si>
    <t>Odour x 2</t>
  </si>
  <si>
    <t>Unfounded - Operator</t>
  </si>
  <si>
    <t>Odour</t>
  </si>
  <si>
    <t>Odour x 3</t>
  </si>
  <si>
    <t>Odour x 4</t>
  </si>
  <si>
    <t>Odour x 5</t>
  </si>
  <si>
    <t>Odour x 6</t>
  </si>
  <si>
    <t>Odour x 8</t>
  </si>
  <si>
    <t>Summary of actions throughtout the year</t>
  </si>
  <si>
    <t>Changed carbon in filter on LEV system to virgin from regen</t>
  </si>
  <si>
    <t>Additional monitoing in place on carbon</t>
  </si>
  <si>
    <t>Increased frequency of off site sniff testing during hotter months</t>
  </si>
  <si>
    <t>Full review of odour mgmt plan</t>
  </si>
  <si>
    <t>Summary of Plant Improvements</t>
  </si>
  <si>
    <t>Summary of any efficiency improvements that have been completed within the year.</t>
  </si>
  <si>
    <t>ATT boiler repair to maximise plant efficieny and improve stability with regards to line operation and continuous running.
Envisoft attended site to deliver additional CEMs training to operators 
Revamp the mechanical department, by incorperating a new welding team. More in house works being taken on, with greater understanding towards the plant and its needs.
Planner onboarded and shutdown activity managed more efficiently
Implimented further concrete A-frames to help seperate waste
Consolodation of inhouse night shift
Insourced hand sorters
Increased training on the AD operation to ATT ops
Stand by and duty acid scrubber pmps installed
Criticals spares list updated and parts secured
Shift patterns reviewed to provide further coverage in the AD
Virgin carbon used in place of regen along with additonal monitoring/samples taken
Increased IBA oftakers and contingency plans considered for the plant
Tipping hall doors fully available (2 x in &amp; 2 x out). Replaced in &amp; outbound fast acting doors with new, set up service contract with new door supplier/fitter, and have spare in stores along with critical parts in house.</t>
  </si>
  <si>
    <t>Summary of any permit improvement conditions that have been completed within the year and the resulting environmental benefits.</t>
  </si>
  <si>
    <t>None</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</si>
  <si>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</si>
  <si>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</si>
  <si>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 xml:space="preserve">Increased acid tank size to improve capacity and reduce risk of supply issues and frequency of deliveries
Sonic cleaning of the boiler system to be implimented in 2023
Major inspection/works on the turbine 
</t>
  </si>
  <si>
    <t>Details of Public &amp; Stakeholder Liasion</t>
  </si>
  <si>
    <t>Summary of events held during the reporting year.</t>
  </si>
  <si>
    <t>Description</t>
  </si>
  <si>
    <t xml:space="preserve">First Public Liaison group following covid restrictions. Attended by reps from local commnity groups, Thalia SMT, EA officers Emma D'Avilar &amp; James Pyme, and MKCC. Discussed: operational update, odour management, local communications and supporting local environmental projects </t>
  </si>
  <si>
    <t>Attended by reps from local commnity groups, Thalia SMT &amp; MKCC. Discussed: Operational overview, H&amp;S, Odour, &amp; processing of waste.</t>
  </si>
  <si>
    <t>List of events planned for next year</t>
  </si>
  <si>
    <t>Dates TBC</t>
  </si>
  <si>
    <t>If you wish to be involved in the public liasion programme, please contact _________________</t>
  </si>
  <si>
    <t>Residue Quality Monitoring Requirements</t>
  </si>
  <si>
    <t>Summary of monitoring undertaken and compliance</t>
  </si>
  <si>
    <t xml:space="preserve">Two samples of IBA per month were sent for hazard analysis between January and September only, as  gasification stopped for Q4. Quarterly samples of APCR were sent Q1 to Q3 in 2022.  Compliance samples were sent for analysis Q1 to Q3 in line with our permit. </t>
  </si>
  <si>
    <t>Commentary on any specific events</t>
  </si>
  <si>
    <t>Date &amp; Event</t>
  </si>
  <si>
    <t>Residue Quality Monitoring Results</t>
  </si>
  <si>
    <t xml:space="preserve">Parameter (unit) </t>
  </si>
  <si>
    <t>Limit</t>
  </si>
  <si>
    <t xml:space="preserve">Normal Operation </t>
  </si>
  <si>
    <t xml:space="preserve">Bottom ash  </t>
  </si>
  <si>
    <t>Loss on Ignition (%)</t>
  </si>
  <si>
    <t>&lt;5%</t>
  </si>
  <si>
    <t>ToC (%)</t>
  </si>
  <si>
    <t>&lt;3%</t>
  </si>
  <si>
    <t>No. of Assessments Undertaken</t>
  </si>
  <si>
    <t>---</t>
  </si>
  <si>
    <t>No. of Hazardous Assessments</t>
  </si>
  <si>
    <t>Comments :</t>
  </si>
  <si>
    <t>Loss on Ignition (%) and ToC (%) values taken from August 2022 Q3 samples, as annual October sample not taken due to shutdown from September onwards</t>
  </si>
  <si>
    <t xml:space="preserve">We have no permit related emissions to water.									
									</t>
  </si>
  <si>
    <t>Emissions to Water / Sewer</t>
  </si>
  <si>
    <t>Monitoring Frequency</t>
  </si>
  <si>
    <t>Target</t>
  </si>
  <si>
    <t>Max.</t>
  </si>
  <si>
    <t>Average</t>
  </si>
  <si>
    <t>Summary of monitoring undertaken, standards used and compliance</t>
  </si>
  <si>
    <t>Monitoring is to be completed bi-annually however this was missed in Q3 due to an admistritive error with Elements LTD.
We notified the EA and sceduled this for Nov 22 (Q4), however, we have been unable to complete this due to both 
lines 1 &amp; 2 still being off with the ongoing boiler issued found during the september planned outage.</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</si>
  <si>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</si>
  <si>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</si>
  <si>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</si>
  <si>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</si>
  <si>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</si>
  <si>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A4</t>
  </si>
  <si>
    <t>A5</t>
  </si>
  <si>
    <t>1 hr</t>
  </si>
  <si>
    <r>
      <t>2 mg/m</t>
    </r>
    <r>
      <rPr>
        <vertAlign val="superscript"/>
        <sz val="10"/>
        <color theme="1"/>
        <rFont val="Arial"/>
        <family val="2"/>
      </rPr>
      <t>3</t>
    </r>
  </si>
  <si>
    <t>&lt;0.03</t>
  </si>
  <si>
    <t>Cd and Th and their compounds</t>
  </si>
  <si>
    <t>6-8hrs</t>
  </si>
  <si>
    <r>
      <t>0.05 mg/m</t>
    </r>
    <r>
      <rPr>
        <vertAlign val="superscript"/>
        <sz val="10"/>
        <color theme="1"/>
        <rFont val="Arial"/>
        <family val="2"/>
      </rPr>
      <t>3</t>
    </r>
  </si>
  <si>
    <t>&lt;0.001</t>
  </si>
  <si>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</si>
  <si>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</si>
  <si>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</si>
  <si>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</si>
  <si>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</si>
  <si>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</si>
  <si>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</si>
  <si>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</si>
  <si>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</si>
  <si>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</si>
  <si>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</si>
  <si>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</si>
  <si>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</si>
  <si>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</si>
  <si>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</si>
  <si>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</si>
  <si>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</si>
  <si>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</si>
  <si>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</si>
  <si>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</si>
  <si>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</si>
  <si>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</si>
  <si>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</si>
  <si>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</si>
  <si>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</si>
  <si>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</si>
  <si>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</si>
  <si>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</si>
  <si>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</si>
  <si>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 xml:space="preserve">A1 = Line 1 A2 = Line 2 </t>
  </si>
  <si>
    <t>Emissions to Air (continously monitored)</t>
  </si>
  <si>
    <t>Template may require adjustment for any bespoke monitoring requirements of permit</t>
  </si>
  <si>
    <t>Results of emissions to air that are continuously monitored</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</si>
  <si>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</si>
  <si>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</si>
  <si>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</si>
  <si>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</si>
  <si>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</si>
  <si>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</si>
  <si>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</si>
  <si>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</si>
  <si>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</si>
  <si>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</si>
  <si>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</si>
  <si>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</si>
  <si>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</si>
  <si>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</si>
  <si>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</si>
  <si>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</si>
  <si>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</si>
  <si>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n/a</t>
  </si>
  <si>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</si>
  <si>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</si>
  <si>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</si>
  <si>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</si>
  <si>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</si>
  <si>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</si>
  <si>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</si>
  <si>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</si>
  <si>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</si>
  <si>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</si>
  <si>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</si>
  <si>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</si>
  <si>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</si>
  <si>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</si>
  <si>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</si>
  <si>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</si>
  <si>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</si>
  <si>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</si>
  <si>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</si>
  <si>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</si>
  <si>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</si>
  <si>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</si>
  <si>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</si>
  <si>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</si>
  <si>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</si>
  <si>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</si>
  <si>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</si>
  <si>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rgb="FF000000"/>
        <rFont val="Arial"/>
      </rPr>
      <t>Mean</t>
    </r>
    <r>
      <rPr>
        <sz val="11"/>
        <color rgb="FF000000"/>
        <rFont val="Arial"/>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</si>
  <si>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</si>
  <si>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</si>
  <si>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</si>
  <si>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</si>
  <si>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</si>
  <si>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</si>
  <si>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</si>
  <si>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</si>
  <si>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</si>
  <si>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</si>
  <si>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</si>
  <si>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</si>
  <si>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</si>
  <si>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r>
      <rPr>
        <b/>
        <sz val="11"/>
        <color theme="1"/>
        <rFont val="Arial"/>
        <family val="2"/>
      </rPr>
      <t>Mean</t>
    </r>
    <r>
      <rPr>
        <sz val="11"/>
        <color theme="1"/>
        <rFont val="Arial"/>
        <family val="2"/>
      </rPr>
      <t>: for 1/2 hourly and daily periods calculate mean of values across all operational combustion lines for the month</t>
    </r>
  </si>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</sst>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40">
    <font>
      <sz val="11"/>
      <color theme="1"/>
      <name val="Calibri"/>
      <family val="2"/>
      <scheme val="minor"/>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u/>
      <sz val="11"/>
      <color theme="10"/>
      <name val="Calibri"/>
      <family val="2"/>
      <scheme val="minor"/>
    </font>
    <font>
      <b/>
      <sz val="14"/>
      <color rgb="FF000000"/>
      <name val="Arial"/>
      <family val="2"/>
    </font>
    <font>
      <sz val="12"/>
      <color rgb="FF000000"/>
      <name val="Arial"/>
      <family val="2"/>
    </font>
    <font>
      <sz val="10"/>
      <color rgb="FF000000"/>
      <name val="Arial"/>
      <family val="2"/>
    </font>
    <font>
      <b/>
      <sz val="11"/>
      <color theme="1"/>
      <name val="Calibri"/>
      <family val="2"/>
      <scheme val="minor"/>
    </font>
    <font>
      <sz val="11"/>
      <color rgb="FF000000"/>
      <name val="Calibri"/>
      <family val="2"/>
    </font>
    <font>
      <sz val="10"/>
      <color rgb="FF000000"/>
      <name val="Arial"/>
      <charset val="1"/>
    </font>
    <font>
      <b/>
      <sz val="10"/>
      <color rgb="FF000000"/>
      <name val="Arial"/>
      <family val="2"/>
    </font>
    <font>
      <b/>
      <sz val="11"/>
      <color rgb="FF000000"/>
      <name val="Arial"/>
    </font>
    <font>
      <sz val="11"/>
      <color rgb="FF000000"/>
      <name val="Arial"/>
    </font>
  </fonts>
  <fills count="13">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rgb="FFEDEDED"/>
        <bgColor rgb="FF000000"/>
      </patternFill>
    </fill>
    <fill>
      <patternFill patternType="solid">
        <fgColor indexed="65"/>
        <bgColor indexed="64"/>
      </patternFill>
    </fill>
    <fill>
      <patternFill patternType="solid">
        <fgColor rgb="FFFFFF00"/>
        <bgColor indexed="64"/>
      </patternFill>
    </fill>
    <fill>
      <patternFill patternType="solid">
        <fgColor rgb="FFFFFFFF"/>
        <bgColor indexed="64"/>
      </patternFill>
    </fill>
    <fill>
      <patternFill patternType="solid">
        <fgColor rgb="FFE7E6E6"/>
        <bgColor indexed="64"/>
      </patternFill>
    </fill>
  </fills>
  <borders count="26">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right style="thin">
        <color rgb="FF000000"/>
      </right>
      <top style="thin">
        <color indexed="64"/>
      </top>
      <bottom style="thin">
        <color indexed="64"/>
      </bottom>
      <diagonal/>
    </border>
    <border>
      <left style="thin">
        <color indexed="64"/>
      </left>
      <right style="thick">
        <color indexed="64"/>
      </right>
      <top/>
      <bottom style="thin">
        <color indexed="6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top style="thin">
        <color rgb="FF000000"/>
      </top>
      <bottom style="thin">
        <color rgb="FF000000"/>
      </bottom>
      <diagonal/>
    </border>
  </borders>
  <cellStyleXfs count="4">
    <xf numFmtId="0" fontId="0" fillId="0" borderId="0"/>
    <xf numFmtId="43" fontId="2" fillId="0" borderId="0" applyFont="0" applyFill="0" applyBorder="0" applyAlignment="0" applyProtection="0"/>
    <xf numFmtId="9" fontId="2" fillId="0" borderId="0" applyFont="0" applyFill="0" applyBorder="0" applyAlignment="0" applyProtection="0"/>
    <xf numFmtId="0" fontId="30" fillId="0" borderId="0" applyNumberFormat="0" applyFill="0" applyBorder="0" applyAlignment="0" applyProtection="0"/>
  </cellStyleXfs>
  <cellXfs count="437">
    <xf numFmtId="0" fontId="0" fillId="0" borderId="0" xfId="0"/>
    <xf numFmtId="0" fontId="3" fillId="0" borderId="0" xfId="0" applyFont="1"/>
    <xf numFmtId="0" fontId="4" fillId="0" borderId="0" xfId="0" applyFont="1"/>
    <xf numFmtId="0" fontId="5" fillId="0" borderId="0" xfId="0" applyFont="1"/>
    <xf numFmtId="0" fontId="5" fillId="2" borderId="2" xfId="0" applyFont="1" applyFill="1" applyBorder="1" applyAlignment="1">
      <alignment horizontal="center"/>
    </xf>
    <xf numFmtId="0" fontId="6" fillId="0" borderId="2" xfId="0" applyFont="1" applyBorder="1" applyAlignment="1">
      <alignment horizontal="center"/>
    </xf>
    <xf numFmtId="0" fontId="6" fillId="0" borderId="2" xfId="0" applyFont="1" applyBorder="1"/>
    <xf numFmtId="0" fontId="7" fillId="0" borderId="0" xfId="0" applyFont="1"/>
    <xf numFmtId="0" fontId="8" fillId="0" borderId="0" xfId="0" applyFont="1"/>
    <xf numFmtId="0" fontId="6" fillId="0" borderId="0" xfId="0" applyFont="1"/>
    <xf numFmtId="0" fontId="9" fillId="0" borderId="2" xfId="0" applyFont="1" applyBorder="1" applyAlignment="1">
      <alignment horizontal="center"/>
    </xf>
    <xf numFmtId="0" fontId="9" fillId="0" borderId="2" xfId="0" applyFont="1" applyBorder="1"/>
    <xf numFmtId="0" fontId="10" fillId="2" borderId="2" xfId="0" applyFont="1" applyFill="1" applyBorder="1" applyAlignment="1">
      <alignment horizontal="center"/>
    </xf>
    <xf numFmtId="0" fontId="10" fillId="2" borderId="2" xfId="0" applyFont="1" applyFill="1" applyBorder="1" applyAlignment="1">
      <alignment horizontal="left"/>
    </xf>
    <xf numFmtId="0" fontId="10" fillId="0" borderId="0" xfId="0" applyFont="1"/>
    <xf numFmtId="0" fontId="9" fillId="0" borderId="2" xfId="0" applyFont="1" applyBorder="1" applyAlignment="1">
      <alignment horizontal="center" vertical="top"/>
    </xf>
    <xf numFmtId="0" fontId="9" fillId="0" borderId="2" xfId="0" applyFont="1" applyBorder="1" applyAlignment="1">
      <alignment vertical="top"/>
    </xf>
    <xf numFmtId="0" fontId="10" fillId="2" borderId="2" xfId="0" applyFont="1" applyFill="1" applyBorder="1" applyAlignment="1">
      <alignment horizontal="center" vertical="top"/>
    </xf>
    <xf numFmtId="0" fontId="9" fillId="0" borderId="0" xfId="0" applyFont="1"/>
    <xf numFmtId="0" fontId="10" fillId="0" borderId="0" xfId="0" applyFont="1" applyAlignment="1">
      <alignment horizontal="center"/>
    </xf>
    <xf numFmtId="0" fontId="11" fillId="0" borderId="0" xfId="0" applyFont="1"/>
    <xf numFmtId="0" fontId="5" fillId="0" borderId="6" xfId="0" applyFont="1" applyBorder="1"/>
    <xf numFmtId="164" fontId="5" fillId="2" borderId="7" xfId="1" applyNumberFormat="1" applyFont="1" applyFill="1" applyBorder="1"/>
    <xf numFmtId="0" fontId="5" fillId="3" borderId="7" xfId="0" applyFont="1" applyFill="1" applyBorder="1" applyAlignment="1">
      <alignment vertical="center"/>
    </xf>
    <xf numFmtId="0" fontId="5" fillId="0" borderId="11" xfId="0" applyFont="1" applyBorder="1"/>
    <xf numFmtId="0" fontId="5" fillId="2" borderId="12" xfId="0" applyFont="1" applyFill="1" applyBorder="1" applyAlignment="1">
      <alignment horizontal="center" vertical="center"/>
    </xf>
    <xf numFmtId="0" fontId="5" fillId="0" borderId="12" xfId="0" applyFont="1" applyBorder="1"/>
    <xf numFmtId="0" fontId="5" fillId="2" borderId="12" xfId="0" applyFont="1" applyFill="1" applyBorder="1" applyAlignment="1">
      <alignment horizontal="center"/>
    </xf>
    <xf numFmtId="0" fontId="6" fillId="0" borderId="12" xfId="0" applyFont="1" applyBorder="1"/>
    <xf numFmtId="0" fontId="5" fillId="0" borderId="13" xfId="0" applyFont="1" applyBorder="1" applyAlignment="1">
      <alignment horizontal="center"/>
    </xf>
    <xf numFmtId="0" fontId="10" fillId="0" borderId="3" xfId="0" applyFont="1" applyBorder="1"/>
    <xf numFmtId="0" fontId="10" fillId="0" borderId="4" xfId="0" applyFont="1" applyBorder="1" applyAlignment="1">
      <alignment horizontal="center"/>
    </xf>
    <xf numFmtId="0" fontId="9" fillId="0" borderId="4" xfId="0" applyFont="1" applyBorder="1" applyAlignment="1">
      <alignment horizontal="center"/>
    </xf>
    <xf numFmtId="0" fontId="10" fillId="0" borderId="5" xfId="0" applyFont="1" applyBorder="1" applyAlignment="1">
      <alignment horizontal="center"/>
    </xf>
    <xf numFmtId="0" fontId="10" fillId="0" borderId="6" xfId="0" applyFont="1" applyBorder="1" applyAlignment="1">
      <alignment vertical="center"/>
    </xf>
    <xf numFmtId="164" fontId="10" fillId="2" borderId="7" xfId="1" applyNumberFormat="1" applyFont="1" applyFill="1" applyBorder="1" applyAlignment="1">
      <alignment horizontal="center"/>
    </xf>
    <xf numFmtId="164" fontId="9" fillId="0" borderId="7" xfId="1" applyNumberFormat="1" applyFont="1" applyBorder="1" applyAlignment="1">
      <alignment horizontal="center"/>
    </xf>
    <xf numFmtId="165" fontId="10" fillId="0" borderId="10" xfId="2" applyNumberFormat="1" applyFont="1" applyBorder="1" applyAlignment="1">
      <alignment horizontal="center"/>
    </xf>
    <xf numFmtId="0" fontId="10" fillId="0" borderId="9" xfId="0" applyFont="1" applyBorder="1" applyAlignment="1">
      <alignment vertical="center"/>
    </xf>
    <xf numFmtId="164" fontId="10" fillId="2" borderId="0" xfId="1" applyNumberFormat="1" applyFont="1" applyFill="1" applyAlignment="1">
      <alignment horizontal="center"/>
    </xf>
    <xf numFmtId="164" fontId="9" fillId="0" borderId="0" xfId="1" applyNumberFormat="1" applyFont="1" applyAlignment="1">
      <alignment horizontal="center"/>
    </xf>
    <xf numFmtId="0" fontId="9" fillId="0" borderId="9" xfId="0" applyFont="1" applyBorder="1" applyAlignment="1">
      <alignment vertical="center"/>
    </xf>
    <xf numFmtId="0" fontId="10" fillId="0" borderId="11" xfId="0" applyFont="1" applyBorder="1" applyAlignment="1">
      <alignment vertical="center"/>
    </xf>
    <xf numFmtId="164" fontId="10" fillId="2" borderId="12" xfId="1" applyNumberFormat="1" applyFont="1" applyFill="1" applyBorder="1" applyAlignment="1">
      <alignment horizontal="center"/>
    </xf>
    <xf numFmtId="164" fontId="9" fillId="0" borderId="12" xfId="1" applyNumberFormat="1" applyFont="1" applyBorder="1" applyAlignment="1">
      <alignment horizontal="center"/>
    </xf>
    <xf numFmtId="0" fontId="9" fillId="0" borderId="0" xfId="0" applyFont="1" applyAlignment="1">
      <alignment horizontal="center"/>
    </xf>
    <xf numFmtId="0" fontId="10" fillId="0" borderId="7" xfId="0" applyFont="1" applyBorder="1" applyAlignment="1">
      <alignment horizontal="center"/>
    </xf>
    <xf numFmtId="0" fontId="9" fillId="0" borderId="7" xfId="0" applyFont="1" applyBorder="1" applyAlignment="1">
      <alignment horizontal="center"/>
    </xf>
    <xf numFmtId="0" fontId="10" fillId="0" borderId="8" xfId="0" applyFont="1" applyBorder="1" applyAlignment="1">
      <alignment horizontal="center"/>
    </xf>
    <xf numFmtId="0" fontId="10" fillId="0" borderId="6" xfId="0" applyFont="1" applyBorder="1"/>
    <xf numFmtId="164" fontId="10" fillId="0" borderId="8" xfId="0" applyNumberFormat="1" applyFont="1" applyBorder="1" applyAlignment="1">
      <alignment horizontal="center"/>
    </xf>
    <xf numFmtId="0" fontId="10" fillId="0" borderId="9" xfId="0" applyFont="1" applyBorder="1"/>
    <xf numFmtId="164" fontId="10" fillId="0" borderId="10" xfId="0" applyNumberFormat="1" applyFont="1" applyBorder="1" applyAlignment="1">
      <alignment horizontal="center"/>
    </xf>
    <xf numFmtId="0" fontId="10" fillId="0" borderId="0" xfId="0" applyFont="1" applyAlignment="1">
      <alignment horizontal="center" vertical="center"/>
    </xf>
    <xf numFmtId="165" fontId="10" fillId="0" borderId="0" xfId="2" applyNumberFormat="1" applyFont="1" applyAlignment="1">
      <alignment horizontal="center" vertical="center"/>
    </xf>
    <xf numFmtId="0" fontId="10" fillId="0" borderId="11" xfId="0" applyFont="1" applyBorder="1"/>
    <xf numFmtId="0" fontId="10" fillId="0" borderId="12" xfId="0" applyFont="1" applyBorder="1"/>
    <xf numFmtId="0" fontId="10" fillId="0" borderId="6" xfId="0" applyFont="1" applyBorder="1" applyAlignment="1">
      <alignment horizontal="center" vertical="center"/>
    </xf>
    <xf numFmtId="0" fontId="10" fillId="0" borderId="8" xfId="0" quotePrefix="1" applyFont="1" applyBorder="1" applyAlignment="1">
      <alignment horizontal="center"/>
    </xf>
    <xf numFmtId="165" fontId="10" fillId="0" borderId="8" xfId="2" applyNumberFormat="1" applyFont="1" applyBorder="1" applyAlignment="1">
      <alignment horizontal="center"/>
    </xf>
    <xf numFmtId="0" fontId="10" fillId="2" borderId="9" xfId="0" applyFont="1" applyFill="1" applyBorder="1"/>
    <xf numFmtId="0" fontId="10" fillId="2" borderId="11" xfId="0" applyFont="1" applyFill="1" applyBorder="1"/>
    <xf numFmtId="165" fontId="10" fillId="0" borderId="13" xfId="2" applyNumberFormat="1" applyFont="1" applyBorder="1" applyAlignment="1">
      <alignment horizontal="center"/>
    </xf>
    <xf numFmtId="0" fontId="10" fillId="0" borderId="3" xfId="0" applyFont="1" applyBorder="1" applyAlignment="1">
      <alignment horizontal="center" vertical="center"/>
    </xf>
    <xf numFmtId="43" fontId="10" fillId="0" borderId="10" xfId="0" applyNumberFormat="1" applyFont="1" applyBorder="1" applyAlignment="1">
      <alignment horizontal="center" vertical="center"/>
    </xf>
    <xf numFmtId="0" fontId="10" fillId="2" borderId="12" xfId="0" applyFont="1" applyFill="1" applyBorder="1" applyAlignment="1">
      <alignment horizontal="center" vertical="center"/>
    </xf>
    <xf numFmtId="43" fontId="10" fillId="0" borderId="13" xfId="0" applyNumberFormat="1" applyFont="1" applyBorder="1" applyAlignment="1">
      <alignment horizontal="center" vertical="center"/>
    </xf>
    <xf numFmtId="0" fontId="10" fillId="0" borderId="6" xfId="0" applyFont="1" applyBorder="1" applyAlignment="1">
      <alignment horizontal="center"/>
    </xf>
    <xf numFmtId="10" fontId="10" fillId="0" borderId="10" xfId="2" applyNumberFormat="1" applyFont="1" applyBorder="1" applyAlignment="1">
      <alignment horizontal="center"/>
    </xf>
    <xf numFmtId="0" fontId="10" fillId="0" borderId="12" xfId="0" applyFont="1" applyBorder="1" applyAlignment="1">
      <alignment horizontal="center"/>
    </xf>
    <xf numFmtId="164" fontId="10" fillId="0" borderId="13" xfId="0" applyNumberFormat="1" applyFont="1" applyBorder="1" applyAlignment="1">
      <alignment horizontal="center"/>
    </xf>
    <xf numFmtId="0" fontId="3" fillId="0" borderId="0" xfId="0" applyFont="1" applyAlignment="1">
      <alignment horizontal="right"/>
    </xf>
    <xf numFmtId="0" fontId="3" fillId="0" borderId="0" xfId="0" applyFont="1" applyAlignment="1">
      <alignment vertical="center"/>
    </xf>
    <xf numFmtId="0" fontId="5" fillId="0" borderId="0" xfId="0" applyFont="1" applyAlignment="1">
      <alignment horizontal="center"/>
    </xf>
    <xf numFmtId="0" fontId="13" fillId="4" borderId="2" xfId="0" applyFont="1" applyFill="1" applyBorder="1" applyAlignment="1">
      <alignment horizontal="center" vertical="center" wrapText="1"/>
    </xf>
    <xf numFmtId="0" fontId="10" fillId="0" borderId="2" xfId="0" applyFont="1" applyBorder="1" applyAlignment="1">
      <alignment horizontal="left" vertical="center" wrapText="1"/>
    </xf>
    <xf numFmtId="0" fontId="10" fillId="2" borderId="2" xfId="0" applyFont="1" applyFill="1" applyBorder="1" applyAlignment="1">
      <alignment horizontal="center" vertical="center" wrapText="1"/>
    </xf>
    <xf numFmtId="0" fontId="10" fillId="2" borderId="2" xfId="0" applyFont="1" applyFill="1" applyBorder="1" applyAlignment="1">
      <alignment vertical="center" wrapText="1"/>
    </xf>
    <xf numFmtId="0" fontId="10" fillId="0" borderId="2" xfId="0" applyFont="1" applyBorder="1" applyAlignment="1">
      <alignment vertical="center" wrapText="1"/>
    </xf>
    <xf numFmtId="0" fontId="10" fillId="0" borderId="0" xfId="0" applyFont="1" applyAlignment="1">
      <alignment vertical="center"/>
    </xf>
    <xf numFmtId="0" fontId="13" fillId="4" borderId="6" xfId="0" applyFont="1" applyFill="1" applyBorder="1" applyAlignment="1">
      <alignment vertical="center" wrapText="1"/>
    </xf>
    <xf numFmtId="0" fontId="13" fillId="4" borderId="8" xfId="0" applyFont="1" applyFill="1" applyBorder="1" applyAlignment="1">
      <alignment vertical="center" wrapText="1"/>
    </xf>
    <xf numFmtId="0" fontId="13" fillId="4" borderId="1" xfId="0" applyFont="1" applyFill="1" applyBorder="1" applyAlignment="1">
      <alignment horizontal="center" vertical="center" wrapText="1"/>
    </xf>
    <xf numFmtId="0" fontId="13" fillId="4" borderId="1" xfId="0" applyFont="1" applyFill="1" applyBorder="1" applyAlignment="1">
      <alignment vertical="center" wrapText="1"/>
    </xf>
    <xf numFmtId="4" fontId="10" fillId="0" borderId="2" xfId="0" applyNumberFormat="1" applyFont="1" applyBorder="1" applyAlignment="1">
      <alignment horizontal="center" vertical="center" wrapText="1"/>
    </xf>
    <xf numFmtId="4" fontId="10" fillId="2" borderId="2" xfId="0" applyNumberFormat="1" applyFont="1" applyFill="1" applyBorder="1" applyAlignment="1">
      <alignment horizontal="center" vertical="center" wrapText="1"/>
    </xf>
    <xf numFmtId="0" fontId="5" fillId="0" borderId="0" xfId="0" applyFont="1" applyAlignment="1">
      <alignment horizontal="left" vertical="top" wrapText="1"/>
    </xf>
    <xf numFmtId="0" fontId="13" fillId="4" borderId="2" xfId="0" applyFont="1" applyFill="1" applyBorder="1" applyAlignment="1">
      <alignment vertical="center" wrapText="1"/>
    </xf>
    <xf numFmtId="0" fontId="14" fillId="0" borderId="12" xfId="0" applyFont="1" applyBorder="1"/>
    <xf numFmtId="0" fontId="5" fillId="0" borderId="0" xfId="0" applyFont="1" applyAlignment="1">
      <alignment vertical="center"/>
    </xf>
    <xf numFmtId="0" fontId="9" fillId="0" borderId="2" xfId="0" applyFont="1" applyBorder="1" applyAlignment="1">
      <alignment horizontal="center" vertical="center" wrapText="1"/>
    </xf>
    <xf numFmtId="14" fontId="10" fillId="2" borderId="2" xfId="0" applyNumberFormat="1" applyFont="1" applyFill="1" applyBorder="1" applyAlignment="1">
      <alignment horizontal="left"/>
    </xf>
    <xf numFmtId="0" fontId="4" fillId="0" borderId="0" xfId="0" applyFont="1" applyAlignment="1">
      <alignment horizontal="left" vertical="center" wrapText="1"/>
    </xf>
    <xf numFmtId="0" fontId="6" fillId="0" borderId="3" xfId="0" applyFont="1" applyBorder="1" applyAlignment="1">
      <alignment vertical="center"/>
    </xf>
    <xf numFmtId="0" fontId="6" fillId="0" borderId="4" xfId="0" applyFont="1" applyBorder="1" applyAlignment="1">
      <alignment vertical="center"/>
    </xf>
    <xf numFmtId="0" fontId="6" fillId="0" borderId="5" xfId="0" applyFont="1" applyBorder="1" applyAlignment="1">
      <alignment vertical="center"/>
    </xf>
    <xf numFmtId="0" fontId="6" fillId="0" borderId="6" xfId="0" applyFont="1" applyBorder="1"/>
    <xf numFmtId="0" fontId="6" fillId="0" borderId="3" xfId="0" applyFont="1" applyBorder="1"/>
    <xf numFmtId="0" fontId="3" fillId="0" borderId="3" xfId="0" applyFont="1" applyBorder="1"/>
    <xf numFmtId="0" fontId="10" fillId="0" borderId="2" xfId="0" applyFont="1" applyBorder="1" applyAlignment="1">
      <alignment horizontal="center"/>
    </xf>
    <xf numFmtId="0" fontId="9" fillId="0" borderId="2" xfId="0" applyFont="1" applyBorder="1" applyAlignment="1">
      <alignment horizontal="center" vertical="center"/>
    </xf>
    <xf numFmtId="0" fontId="10" fillId="0" borderId="2" xfId="0" applyFont="1" applyBorder="1" applyAlignment="1">
      <alignment horizontal="center" vertical="center" wrapText="1"/>
    </xf>
    <xf numFmtId="0" fontId="10" fillId="5" borderId="2" xfId="0" applyFont="1" applyFill="1" applyBorder="1" applyAlignment="1">
      <alignment horizontal="center" vertical="center" wrapText="1"/>
    </xf>
    <xf numFmtId="0" fontId="6" fillId="0" borderId="2" xfId="0" applyFont="1" applyBorder="1" applyAlignment="1">
      <alignment horizontal="center" vertical="center" wrapText="1"/>
    </xf>
    <xf numFmtId="0" fontId="15" fillId="0" borderId="0" xfId="0" applyFont="1"/>
    <xf numFmtId="9" fontId="10" fillId="0" borderId="2" xfId="0" applyNumberFormat="1" applyFont="1" applyBorder="1" applyAlignment="1">
      <alignment horizontal="center" vertical="center" wrapText="1"/>
    </xf>
    <xf numFmtId="0" fontId="16" fillId="0" borderId="2" xfId="0" applyFont="1" applyBorder="1" applyAlignment="1">
      <alignment horizontal="center"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6" fillId="0" borderId="0" xfId="0" applyFont="1" applyAlignment="1">
      <alignment vertical="top"/>
    </xf>
    <xf numFmtId="0" fontId="6" fillId="0" borderId="2" xfId="0" applyFont="1" applyBorder="1" applyAlignment="1">
      <alignment horizontal="center" vertical="center"/>
    </xf>
    <xf numFmtId="0" fontId="5" fillId="0" borderId="2" xfId="0" applyFont="1" applyBorder="1"/>
    <xf numFmtId="0" fontId="18" fillId="0" borderId="2" xfId="0" applyFont="1" applyBorder="1" applyAlignment="1">
      <alignment horizontal="center"/>
    </xf>
    <xf numFmtId="0" fontId="5" fillId="5" borderId="2" xfId="0" applyFont="1" applyFill="1" applyBorder="1" applyAlignment="1">
      <alignment horizontal="center"/>
    </xf>
    <xf numFmtId="0" fontId="6" fillId="0" borderId="2" xfId="0" applyFont="1" applyBorder="1" applyAlignment="1">
      <alignment horizontal="left" vertical="center"/>
    </xf>
    <xf numFmtId="0" fontId="5" fillId="0" borderId="2" xfId="0" applyFont="1" applyBorder="1" applyAlignment="1">
      <alignment horizontal="left"/>
    </xf>
    <xf numFmtId="0" fontId="6" fillId="0" borderId="1" xfId="0" applyFont="1" applyBorder="1" applyAlignment="1">
      <alignment horizontal="center" vertical="center" wrapText="1"/>
    </xf>
    <xf numFmtId="0" fontId="6" fillId="0" borderId="0" xfId="0" applyFont="1" applyAlignment="1">
      <alignment vertical="center"/>
    </xf>
    <xf numFmtId="0" fontId="18" fillId="5" borderId="2" xfId="0" applyFont="1" applyFill="1" applyBorder="1" applyAlignment="1">
      <alignment horizontal="center"/>
    </xf>
    <xf numFmtId="0" fontId="5" fillId="0" borderId="8" xfId="0" applyFont="1" applyBorder="1" applyAlignment="1">
      <alignment horizontal="left"/>
    </xf>
    <xf numFmtId="0" fontId="20" fillId="0" borderId="0" xfId="0" applyFont="1"/>
    <xf numFmtId="164" fontId="10" fillId="2" borderId="0" xfId="1" applyNumberFormat="1" applyFont="1" applyFill="1" applyBorder="1" applyAlignment="1">
      <alignment horizontal="center"/>
    </xf>
    <xf numFmtId="43" fontId="10" fillId="0" borderId="8" xfId="0" applyNumberFormat="1" applyFont="1" applyBorder="1" applyAlignment="1">
      <alignment horizontal="center" vertical="center"/>
    </xf>
    <xf numFmtId="0" fontId="10" fillId="7" borderId="9" xfId="0" applyFont="1" applyFill="1" applyBorder="1" applyAlignment="1">
      <alignment vertical="center"/>
    </xf>
    <xf numFmtId="0" fontId="5" fillId="0" borderId="9" xfId="0" applyFont="1" applyBorder="1"/>
    <xf numFmtId="0" fontId="21" fillId="0" borderId="0" xfId="0" applyFont="1"/>
    <xf numFmtId="0" fontId="22" fillId="0" borderId="0" xfId="0" applyFont="1"/>
    <xf numFmtId="0" fontId="23" fillId="0" borderId="0" xfId="0" applyFont="1"/>
    <xf numFmtId="0" fontId="10" fillId="0" borderId="7" xfId="0" applyFont="1" applyBorder="1" applyAlignment="1">
      <alignment horizontal="center" vertical="center"/>
    </xf>
    <xf numFmtId="0" fontId="6" fillId="0" borderId="0" xfId="0" applyFont="1" applyAlignment="1">
      <alignment horizontal="center"/>
    </xf>
    <xf numFmtId="0" fontId="25" fillId="0" borderId="0" xfId="0" applyFont="1"/>
    <xf numFmtId="0" fontId="26" fillId="0" borderId="0" xfId="0" applyFont="1"/>
    <xf numFmtId="0" fontId="27" fillId="0" borderId="0" xfId="0" applyFont="1"/>
    <xf numFmtId="0" fontId="22" fillId="0" borderId="0" xfId="0" applyFont="1" applyAlignment="1">
      <alignment horizontal="right"/>
    </xf>
    <xf numFmtId="0" fontId="28" fillId="0" borderId="0" xfId="0" applyFont="1"/>
    <xf numFmtId="0" fontId="29" fillId="0" borderId="0" xfId="0" applyFont="1"/>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10" fillId="5" borderId="1" xfId="0" applyFont="1" applyFill="1" applyBorder="1" applyAlignment="1">
      <alignment horizontal="center" vertical="center" wrapText="1"/>
    </xf>
    <xf numFmtId="0" fontId="6" fillId="0" borderId="11" xfId="0" applyFont="1" applyBorder="1" applyAlignment="1">
      <alignment horizontal="left" vertical="top" wrapText="1"/>
    </xf>
    <xf numFmtId="0" fontId="6" fillId="0" borderId="12" xfId="0" applyFont="1" applyBorder="1" applyAlignment="1">
      <alignment horizontal="left" vertical="top" wrapText="1"/>
    </xf>
    <xf numFmtId="0" fontId="6" fillId="0" borderId="13" xfId="0" applyFont="1" applyBorder="1" applyAlignment="1">
      <alignment horizontal="left" vertical="top" wrapText="1"/>
    </xf>
    <xf numFmtId="0" fontId="1" fillId="0" borderId="0" xfId="0" applyFont="1"/>
    <xf numFmtId="17" fontId="1" fillId="0" borderId="0" xfId="0" applyNumberFormat="1" applyFont="1"/>
    <xf numFmtId="0" fontId="1" fillId="2" borderId="0" xfId="0" applyFont="1" applyFill="1"/>
    <xf numFmtId="0" fontId="1" fillId="0" borderId="0" xfId="0" applyFont="1" applyAlignment="1">
      <alignment horizontal="left"/>
    </xf>
    <xf numFmtId="0" fontId="1" fillId="0" borderId="4" xfId="0" applyFont="1" applyBorder="1"/>
    <xf numFmtId="0" fontId="1" fillId="0" borderId="5" xfId="0" applyFont="1" applyBorder="1"/>
    <xf numFmtId="0" fontId="1" fillId="0" borderId="7"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1" fillId="0" borderId="0" xfId="0" applyFont="1" applyAlignment="1">
      <alignment vertical="top" wrapText="1"/>
    </xf>
    <xf numFmtId="0" fontId="1" fillId="2" borderId="2" xfId="0" applyFont="1" applyFill="1" applyBorder="1"/>
    <xf numFmtId="0" fontId="10" fillId="2" borderId="3" xfId="0" applyFont="1" applyFill="1" applyBorder="1" applyAlignment="1">
      <alignment horizontal="left"/>
    </xf>
    <xf numFmtId="14" fontId="33" fillId="8" borderId="14" xfId="0" applyNumberFormat="1" applyFont="1" applyFill="1" applyBorder="1"/>
    <xf numFmtId="0" fontId="33" fillId="8" borderId="12" xfId="0" applyFont="1" applyFill="1" applyBorder="1"/>
    <xf numFmtId="0" fontId="33" fillId="8" borderId="13" xfId="0" applyFont="1" applyFill="1" applyBorder="1"/>
    <xf numFmtId="14" fontId="10" fillId="2" borderId="2" xfId="0" applyNumberFormat="1" applyFont="1" applyFill="1" applyBorder="1" applyAlignment="1">
      <alignment horizontal="center"/>
    </xf>
    <xf numFmtId="14" fontId="33" fillId="8" borderId="2" xfId="0" applyNumberFormat="1" applyFont="1" applyFill="1" applyBorder="1" applyAlignment="1">
      <alignment horizontal="center"/>
    </xf>
    <xf numFmtId="14" fontId="33" fillId="8" borderId="14" xfId="0" applyNumberFormat="1" applyFont="1" applyFill="1" applyBorder="1" applyAlignment="1">
      <alignment horizontal="center"/>
    </xf>
    <xf numFmtId="0" fontId="33" fillId="8" borderId="12" xfId="0" applyFont="1" applyFill="1" applyBorder="1" applyAlignment="1">
      <alignment horizontal="left" vertical="center"/>
    </xf>
    <xf numFmtId="0" fontId="33" fillId="8" borderId="13" xfId="0" applyFont="1" applyFill="1" applyBorder="1" applyAlignment="1">
      <alignment horizontal="left" vertical="center"/>
    </xf>
    <xf numFmtId="164" fontId="1" fillId="0" borderId="0" xfId="0" applyNumberFormat="1" applyFont="1"/>
    <xf numFmtId="0" fontId="10" fillId="11" borderId="9" xfId="0" applyFont="1" applyFill="1" applyBorder="1"/>
    <xf numFmtId="0" fontId="10" fillId="11" borderId="6" xfId="0" applyFont="1" applyFill="1" applyBorder="1"/>
    <xf numFmtId="4" fontId="34" fillId="9" borderId="19" xfId="0" applyNumberFormat="1" applyFont="1" applyFill="1" applyBorder="1" applyAlignment="1">
      <alignment horizontal="left"/>
    </xf>
    <xf numFmtId="164" fontId="10" fillId="12" borderId="7" xfId="1" applyNumberFormat="1" applyFont="1" applyFill="1" applyBorder="1" applyAlignment="1">
      <alignment horizontal="center"/>
    </xf>
    <xf numFmtId="0" fontId="35" fillId="0" borderId="2" xfId="0" applyFont="1" applyBorder="1"/>
    <xf numFmtId="0" fontId="35" fillId="0" borderId="14" xfId="0" applyFont="1" applyBorder="1"/>
    <xf numFmtId="0" fontId="5" fillId="5" borderId="2" xfId="0" applyFont="1" applyFill="1" applyBorder="1" applyAlignment="1">
      <alignment horizontal="center" vertical="center"/>
    </xf>
    <xf numFmtId="0" fontId="35" fillId="0" borderId="2" xfId="0" applyFont="1" applyBorder="1" applyAlignment="1">
      <alignment horizontal="center" vertical="center"/>
    </xf>
    <xf numFmtId="0" fontId="35" fillId="0" borderId="14" xfId="0" applyFont="1" applyBorder="1" applyAlignment="1">
      <alignment horizontal="center" vertical="center"/>
    </xf>
    <xf numFmtId="0" fontId="35" fillId="0" borderId="2" xfId="0" applyFont="1" applyBorder="1" applyAlignment="1">
      <alignment horizontal="center"/>
    </xf>
    <xf numFmtId="0" fontId="35" fillId="0" borderId="14" xfId="0" applyFont="1" applyBorder="1" applyAlignment="1">
      <alignment horizontal="center"/>
    </xf>
    <xf numFmtId="0" fontId="5" fillId="0" borderId="2" xfId="0" applyFont="1" applyBorder="1" applyAlignment="1">
      <alignment horizontal="center"/>
    </xf>
    <xf numFmtId="0" fontId="35" fillId="0" borderId="20" xfId="0" applyFont="1" applyBorder="1" applyAlignment="1">
      <alignment horizontal="center"/>
    </xf>
    <xf numFmtId="0" fontId="18" fillId="0" borderId="3" xfId="0" applyFont="1" applyBorder="1" applyAlignment="1">
      <alignment horizontal="center"/>
    </xf>
    <xf numFmtId="0" fontId="5" fillId="0" borderId="14" xfId="0" applyFont="1" applyBorder="1" applyAlignment="1">
      <alignment horizontal="center"/>
    </xf>
    <xf numFmtId="0" fontId="35" fillId="0" borderId="23" xfId="0" applyFont="1" applyBorder="1" applyAlignment="1">
      <alignment horizontal="center"/>
    </xf>
    <xf numFmtId="0" fontId="10" fillId="0" borderId="2" xfId="0" applyFont="1" applyBorder="1" applyAlignment="1">
      <alignment horizontal="center" vertical="center"/>
    </xf>
    <xf numFmtId="0" fontId="33" fillId="0" borderId="0" xfId="0" applyFont="1" applyAlignment="1">
      <alignment horizontal="center"/>
    </xf>
    <xf numFmtId="0" fontId="18" fillId="5" borderId="3" xfId="0" applyFont="1" applyFill="1" applyBorder="1" applyAlignment="1">
      <alignment horizontal="center"/>
    </xf>
    <xf numFmtId="0" fontId="18" fillId="5" borderId="4" xfId="0" applyFont="1" applyFill="1" applyBorder="1" applyAlignment="1">
      <alignment horizontal="center"/>
    </xf>
    <xf numFmtId="0" fontId="18" fillId="0" borderId="4" xfId="0" applyFont="1" applyBorder="1" applyAlignment="1">
      <alignment horizontal="center"/>
    </xf>
    <xf numFmtId="0" fontId="18" fillId="0" borderId="5" xfId="0" applyFont="1" applyBorder="1" applyAlignment="1">
      <alignment horizontal="center"/>
    </xf>
    <xf numFmtId="14" fontId="14" fillId="0" borderId="12" xfId="0" applyNumberFormat="1" applyFont="1" applyBorder="1"/>
    <xf numFmtId="0" fontId="35" fillId="12" borderId="23" xfId="0" applyFont="1" applyFill="1" applyBorder="1" applyAlignment="1">
      <alignment horizontal="center"/>
    </xf>
    <xf numFmtId="0" fontId="35" fillId="12" borderId="20" xfId="0" applyFont="1" applyFill="1" applyBorder="1" applyAlignment="1">
      <alignment horizontal="center"/>
    </xf>
    <xf numFmtId="0" fontId="5" fillId="12" borderId="14" xfId="0" applyFont="1" applyFill="1" applyBorder="1" applyAlignment="1">
      <alignment horizontal="center"/>
    </xf>
    <xf numFmtId="0" fontId="5" fillId="12" borderId="2" xfId="0" applyFont="1" applyFill="1" applyBorder="1" applyAlignment="1">
      <alignment horizontal="center"/>
    </xf>
    <xf numFmtId="0" fontId="21" fillId="0" borderId="0" xfId="0" applyFont="1" applyAlignment="1">
      <alignment horizontal="left" wrapText="1"/>
    </xf>
    <xf numFmtId="0" fontId="7" fillId="2" borderId="0" xfId="0" applyFont="1" applyFill="1" applyAlignment="1">
      <alignment horizontal="center"/>
    </xf>
    <xf numFmtId="0" fontId="1" fillId="2" borderId="0" xfId="0" applyFont="1" applyFill="1" applyAlignment="1">
      <alignment horizontal="center" vertical="center"/>
    </xf>
    <xf numFmtId="0" fontId="1" fillId="2" borderId="0" xfId="0" applyFont="1" applyFill="1" applyAlignment="1">
      <alignment horizontal="center"/>
    </xf>
    <xf numFmtId="15" fontId="32" fillId="8" borderId="0" xfId="0" applyNumberFormat="1" applyFont="1" applyFill="1" applyAlignment="1">
      <alignment horizontal="center"/>
    </xf>
    <xf numFmtId="0" fontId="32" fillId="8" borderId="0" xfId="0" applyFont="1" applyFill="1" applyAlignment="1">
      <alignment horizontal="center"/>
    </xf>
    <xf numFmtId="0" fontId="31" fillId="8" borderId="0" xfId="0" applyFont="1" applyFill="1" applyAlignment="1">
      <alignment horizontal="center"/>
    </xf>
    <xf numFmtId="0" fontId="30" fillId="8" borderId="0" xfId="3" applyFill="1" applyBorder="1" applyAlignment="1"/>
    <xf numFmtId="0" fontId="5" fillId="3" borderId="2" xfId="0" applyFont="1" applyFill="1" applyBorder="1" applyAlignment="1">
      <alignment horizontal="left"/>
    </xf>
    <xf numFmtId="0" fontId="6" fillId="0" borderId="2" xfId="0" applyFont="1" applyBorder="1" applyAlignment="1">
      <alignment horizontal="left"/>
    </xf>
    <xf numFmtId="0" fontId="10" fillId="2" borderId="2" xfId="0" applyFont="1" applyFill="1" applyBorder="1" applyAlignment="1">
      <alignment horizontal="left" vertical="top"/>
    </xf>
    <xf numFmtId="0" fontId="5" fillId="3" borderId="3" xfId="0" applyFont="1" applyFill="1" applyBorder="1" applyAlignment="1">
      <alignment horizontal="left"/>
    </xf>
    <xf numFmtId="0" fontId="5" fillId="3" borderId="4" xfId="0" applyFont="1" applyFill="1" applyBorder="1" applyAlignment="1">
      <alignment horizontal="left"/>
    </xf>
    <xf numFmtId="0" fontId="5" fillId="3" borderId="5" xfId="0" applyFont="1" applyFill="1" applyBorder="1" applyAlignment="1">
      <alignment horizontal="left"/>
    </xf>
    <xf numFmtId="0" fontId="5" fillId="2" borderId="2" xfId="0" applyFont="1" applyFill="1" applyBorder="1" applyAlignment="1">
      <alignment horizontal="left"/>
    </xf>
    <xf numFmtId="0" fontId="9" fillId="0" borderId="2" xfId="0" applyFont="1" applyBorder="1" applyAlignment="1">
      <alignment horizontal="left"/>
    </xf>
    <xf numFmtId="0" fontId="10" fillId="2" borderId="2" xfId="0" applyFont="1" applyFill="1" applyBorder="1" applyAlignment="1">
      <alignment horizontal="left"/>
    </xf>
    <xf numFmtId="0" fontId="9" fillId="0" borderId="2" xfId="0" applyFont="1" applyBorder="1" applyAlignment="1">
      <alignment horizontal="left" vertical="top"/>
    </xf>
    <xf numFmtId="0" fontId="10" fillId="0" borderId="6" xfId="0" applyFont="1" applyBorder="1" applyAlignment="1">
      <alignment horizontal="left" vertical="top" wrapText="1"/>
    </xf>
    <xf numFmtId="0" fontId="10" fillId="0" borderId="7" xfId="0" applyFont="1" applyBorder="1" applyAlignment="1">
      <alignment horizontal="left" vertical="top" wrapText="1"/>
    </xf>
    <xf numFmtId="0" fontId="10" fillId="0" borderId="8" xfId="0" applyFont="1" applyBorder="1" applyAlignment="1">
      <alignment horizontal="left" vertical="top" wrapText="1"/>
    </xf>
    <xf numFmtId="0" fontId="10" fillId="0" borderId="9" xfId="0" applyFont="1" applyBorder="1" applyAlignment="1">
      <alignment horizontal="left" vertical="top" wrapText="1"/>
    </xf>
    <xf numFmtId="0" fontId="10" fillId="0" borderId="0" xfId="0" applyFont="1" applyAlignment="1">
      <alignment horizontal="left" vertical="top" wrapText="1"/>
    </xf>
    <xf numFmtId="0" fontId="10" fillId="0" borderId="10" xfId="0" applyFont="1" applyBorder="1" applyAlignment="1">
      <alignment horizontal="left" vertical="top" wrapText="1"/>
    </xf>
    <xf numFmtId="0" fontId="10" fillId="0" borderId="11" xfId="0" applyFont="1" applyBorder="1" applyAlignment="1">
      <alignment horizontal="left" vertical="top" wrapText="1"/>
    </xf>
    <xf numFmtId="0" fontId="10" fillId="0" borderId="12" xfId="0" applyFont="1" applyBorder="1" applyAlignment="1">
      <alignment horizontal="left" vertical="top" wrapText="1"/>
    </xf>
    <xf numFmtId="0" fontId="10" fillId="0" borderId="13" xfId="0" applyFont="1" applyBorder="1" applyAlignment="1">
      <alignment horizontal="left" vertical="top" wrapText="1"/>
    </xf>
    <xf numFmtId="0" fontId="10" fillId="2" borderId="6" xfId="0" applyFont="1" applyFill="1" applyBorder="1" applyAlignment="1">
      <alignment horizontal="left" vertical="top" wrapText="1"/>
    </xf>
    <xf numFmtId="0" fontId="10" fillId="2" borderId="7"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9" xfId="0" applyFont="1" applyFill="1" applyBorder="1" applyAlignment="1">
      <alignment horizontal="left" vertical="top" wrapText="1"/>
    </xf>
    <xf numFmtId="0" fontId="10" fillId="2" borderId="0" xfId="0" applyFont="1" applyFill="1" applyAlignment="1">
      <alignment horizontal="left" vertical="top" wrapText="1"/>
    </xf>
    <xf numFmtId="0" fontId="10" fillId="2" borderId="10" xfId="0" applyFont="1" applyFill="1" applyBorder="1" applyAlignment="1">
      <alignment horizontal="left" vertical="top" wrapText="1"/>
    </xf>
    <xf numFmtId="0" fontId="10" fillId="2" borderId="11" xfId="0" applyFont="1" applyFill="1" applyBorder="1" applyAlignment="1">
      <alignment horizontal="left" vertical="top" wrapText="1"/>
    </xf>
    <xf numFmtId="0" fontId="10" fillId="2" borderId="12" xfId="0" applyFont="1" applyFill="1" applyBorder="1" applyAlignment="1">
      <alignment horizontal="left" vertical="top" wrapText="1"/>
    </xf>
    <xf numFmtId="0" fontId="10" fillId="2" borderId="13" xfId="0" applyFont="1" applyFill="1" applyBorder="1" applyAlignment="1">
      <alignment horizontal="left" vertical="top" wrapText="1"/>
    </xf>
    <xf numFmtId="0" fontId="1" fillId="0" borderId="0" xfId="0" applyFont="1" applyAlignment="1">
      <alignment horizontal="left" vertical="top" wrapText="1"/>
    </xf>
    <xf numFmtId="0" fontId="10" fillId="0" borderId="7" xfId="0" applyFont="1" applyBorder="1" applyAlignment="1">
      <alignment horizontal="center" vertical="center" textRotation="90"/>
    </xf>
    <xf numFmtId="0" fontId="10" fillId="0" borderId="0" xfId="0" applyFont="1" applyAlignment="1">
      <alignment horizontal="center" vertical="center" textRotation="90"/>
    </xf>
    <xf numFmtId="0" fontId="10" fillId="0" borderId="12" xfId="0" applyFont="1" applyBorder="1" applyAlignment="1">
      <alignment horizontal="center" vertical="center" textRotation="90"/>
    </xf>
    <xf numFmtId="43" fontId="10" fillId="2" borderId="12" xfId="1" applyFont="1" applyFill="1" applyBorder="1" applyAlignment="1">
      <alignment horizontal="center"/>
    </xf>
    <xf numFmtId="166" fontId="10" fillId="2" borderId="12" xfId="0" applyNumberFormat="1" applyFont="1" applyFill="1" applyBorder="1" applyAlignment="1">
      <alignment horizontal="center"/>
    </xf>
    <xf numFmtId="166" fontId="10" fillId="2" borderId="13" xfId="0" applyNumberFormat="1" applyFont="1" applyFill="1" applyBorder="1" applyAlignment="1">
      <alignment horizontal="center"/>
    </xf>
    <xf numFmtId="164" fontId="5" fillId="2" borderId="7" xfId="1" applyNumberFormat="1" applyFont="1" applyFill="1" applyBorder="1" applyAlignment="1"/>
    <xf numFmtId="0" fontId="10" fillId="0" borderId="0" xfId="0" applyFont="1" applyAlignment="1">
      <alignment horizontal="center" textRotation="90"/>
    </xf>
    <xf numFmtId="0" fontId="10" fillId="2" borderId="7" xfId="0" applyFont="1" applyFill="1" applyBorder="1" applyAlignment="1">
      <alignment horizontal="left" vertical="top"/>
    </xf>
    <xf numFmtId="0" fontId="10" fillId="2" borderId="8" xfId="0" applyFont="1" applyFill="1" applyBorder="1" applyAlignment="1">
      <alignment horizontal="left" vertical="top"/>
    </xf>
    <xf numFmtId="0" fontId="10" fillId="2" borderId="9" xfId="0" applyFont="1" applyFill="1" applyBorder="1" applyAlignment="1">
      <alignment horizontal="left" vertical="top"/>
    </xf>
    <xf numFmtId="0" fontId="10" fillId="2" borderId="0" xfId="0" applyFont="1" applyFill="1" applyAlignment="1">
      <alignment horizontal="left" vertical="top"/>
    </xf>
    <xf numFmtId="0" fontId="10" fillId="2" borderId="10" xfId="0" applyFont="1" applyFill="1" applyBorder="1" applyAlignment="1">
      <alignment horizontal="left" vertical="top"/>
    </xf>
    <xf numFmtId="0" fontId="10" fillId="2" borderId="11" xfId="0" applyFont="1" applyFill="1" applyBorder="1" applyAlignment="1">
      <alignment horizontal="left" vertical="top"/>
    </xf>
    <xf numFmtId="0" fontId="10" fillId="2" borderId="12" xfId="0" applyFont="1" applyFill="1" applyBorder="1" applyAlignment="1">
      <alignment horizontal="left" vertical="top"/>
    </xf>
    <xf numFmtId="0" fontId="10" fillId="2" borderId="13" xfId="0" applyFont="1" applyFill="1" applyBorder="1" applyAlignment="1">
      <alignment horizontal="left" vertical="top"/>
    </xf>
    <xf numFmtId="0" fontId="10" fillId="0" borderId="2" xfId="0" applyFont="1" applyBorder="1" applyAlignment="1">
      <alignment horizontal="left" vertical="center" wrapText="1"/>
    </xf>
    <xf numFmtId="0" fontId="10" fillId="2" borderId="1" xfId="0" applyFont="1" applyFill="1" applyBorder="1" applyAlignment="1">
      <alignment horizontal="center" vertical="center" wrapText="1"/>
    </xf>
    <xf numFmtId="168" fontId="10" fillId="2" borderId="1" xfId="0" applyNumberFormat="1" applyFont="1" applyFill="1" applyBorder="1" applyAlignment="1">
      <alignment horizontal="center" vertical="center" wrapText="1"/>
    </xf>
    <xf numFmtId="165" fontId="10" fillId="0" borderId="1" xfId="2" applyNumberFormat="1" applyFont="1" applyBorder="1" applyAlignment="1">
      <alignment horizontal="center" vertical="center" wrapText="1"/>
    </xf>
    <xf numFmtId="0" fontId="5" fillId="0" borderId="0" xfId="0" applyFont="1" applyAlignment="1">
      <alignment horizontal="left"/>
    </xf>
    <xf numFmtId="0" fontId="5" fillId="0" borderId="0" xfId="0" applyFont="1" applyAlignment="1">
      <alignment horizontal="left" vertical="top"/>
    </xf>
    <xf numFmtId="167" fontId="5" fillId="2" borderId="0" xfId="0" applyNumberFormat="1" applyFont="1" applyFill="1" applyAlignment="1">
      <alignment horizontal="center" vertical="top"/>
    </xf>
    <xf numFmtId="0" fontId="13" fillId="4" borderId="2" xfId="0" applyFont="1" applyFill="1" applyBorder="1" applyAlignment="1">
      <alignment horizontal="center" vertical="center" wrapText="1"/>
    </xf>
    <xf numFmtId="0" fontId="10" fillId="11" borderId="1" xfId="0" applyFont="1" applyFill="1" applyBorder="1" applyAlignment="1">
      <alignment horizontal="left" vertical="center"/>
    </xf>
    <xf numFmtId="0" fontId="10" fillId="11" borderId="6" xfId="0" applyFont="1" applyFill="1" applyBorder="1" applyAlignment="1">
      <alignment horizontal="left" vertical="center"/>
    </xf>
    <xf numFmtId="0" fontId="35" fillId="0" borderId="22" xfId="0" applyFont="1" applyBorder="1" applyAlignment="1">
      <alignment horizontal="left" vertical="center" wrapText="1"/>
    </xf>
    <xf numFmtId="0" fontId="10" fillId="10" borderId="24" xfId="0" applyFont="1" applyFill="1" applyBorder="1" applyAlignment="1">
      <alignment horizontal="left" vertical="center" wrapText="1"/>
    </xf>
    <xf numFmtId="168" fontId="35" fillId="0" borderId="22" xfId="0" applyNumberFormat="1" applyFont="1" applyBorder="1" applyAlignment="1">
      <alignment horizontal="center" vertical="center" wrapText="1"/>
    </xf>
    <xf numFmtId="168" fontId="10" fillId="2" borderId="22" xfId="0" applyNumberFormat="1" applyFont="1" applyFill="1" applyBorder="1" applyAlignment="1">
      <alignment horizontal="center" vertical="center" wrapText="1"/>
    </xf>
    <xf numFmtId="168" fontId="10" fillId="2" borderId="8" xfId="0" applyNumberFormat="1" applyFont="1" applyFill="1" applyBorder="1" applyAlignment="1">
      <alignment horizontal="center" vertical="center" wrapText="1"/>
    </xf>
    <xf numFmtId="0" fontId="10" fillId="11" borderId="20" xfId="0" applyFont="1" applyFill="1" applyBorder="1" applyAlignment="1">
      <alignment horizontal="left" vertical="center" wrapText="1"/>
    </xf>
    <xf numFmtId="0" fontId="35" fillId="0" borderId="0" xfId="0" applyFont="1" applyAlignment="1">
      <alignment horizontal="center" vertical="center"/>
    </xf>
    <xf numFmtId="0" fontId="10" fillId="2" borderId="15" xfId="0" applyFont="1" applyFill="1" applyBorder="1" applyAlignment="1">
      <alignment horizontal="center" vertical="center"/>
    </xf>
    <xf numFmtId="168" fontId="35" fillId="0" borderId="0" xfId="0" applyNumberFormat="1" applyFont="1" applyAlignment="1">
      <alignment horizontal="center" vertical="center" wrapText="1"/>
    </xf>
    <xf numFmtId="168" fontId="10" fillId="2" borderId="15" xfId="0" applyNumberFormat="1" applyFont="1" applyFill="1" applyBorder="1" applyAlignment="1">
      <alignment horizontal="center" vertical="center" wrapText="1"/>
    </xf>
    <xf numFmtId="165" fontId="10" fillId="0" borderId="15" xfId="2" applyNumberFormat="1" applyFont="1" applyBorder="1" applyAlignment="1">
      <alignment horizontal="center" vertical="center" wrapText="1"/>
    </xf>
    <xf numFmtId="0" fontId="35" fillId="0" borderId="20" xfId="0" applyFont="1" applyBorder="1" applyAlignment="1">
      <alignment horizontal="left" vertical="center"/>
    </xf>
    <xf numFmtId="0" fontId="35" fillId="0" borderId="23" xfId="0" applyFont="1" applyBorder="1" applyAlignment="1">
      <alignment horizontal="left" vertical="center"/>
    </xf>
    <xf numFmtId="168" fontId="35" fillId="0" borderId="20" xfId="0" applyNumberFormat="1" applyFont="1" applyBorder="1" applyAlignment="1">
      <alignment horizontal="center" vertical="center" wrapText="1"/>
    </xf>
    <xf numFmtId="168" fontId="10" fillId="2" borderId="25" xfId="0" applyNumberFormat="1" applyFont="1" applyFill="1" applyBorder="1" applyAlignment="1">
      <alignment horizontal="center" vertical="center" wrapText="1"/>
    </xf>
    <xf numFmtId="168" fontId="10" fillId="2" borderId="21" xfId="0" applyNumberFormat="1" applyFont="1" applyFill="1" applyBorder="1" applyAlignment="1">
      <alignment horizontal="center" vertical="center" wrapText="1"/>
    </xf>
    <xf numFmtId="165" fontId="10" fillId="0" borderId="23" xfId="2" applyNumberFormat="1" applyFont="1" applyBorder="1" applyAlignment="1">
      <alignment horizontal="center" vertical="center" wrapText="1"/>
    </xf>
    <xf numFmtId="165" fontId="10" fillId="0" borderId="21" xfId="2" applyNumberFormat="1" applyFont="1" applyBorder="1" applyAlignment="1">
      <alignment horizontal="center" vertical="center" wrapText="1"/>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4" fontId="10" fillId="0" borderId="4" xfId="0" applyNumberFormat="1" applyFont="1" applyBorder="1" applyAlignment="1">
      <alignment horizontal="center" vertical="center" wrapText="1"/>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14" xfId="0" applyFont="1" applyBorder="1" applyAlignment="1">
      <alignment vertical="center" wrapText="1"/>
    </xf>
    <xf numFmtId="0" fontId="10" fillId="11" borderId="14" xfId="0" applyFont="1" applyFill="1" applyBorder="1" applyAlignment="1">
      <alignment horizontal="left" vertical="center" wrapText="1"/>
    </xf>
    <xf numFmtId="0" fontId="10" fillId="11" borderId="11" xfId="0" applyFont="1" applyFill="1" applyBorder="1" applyAlignment="1">
      <alignment horizontal="left" vertical="center" wrapText="1"/>
    </xf>
    <xf numFmtId="0" fontId="35" fillId="0" borderId="20" xfId="0" applyFont="1" applyBorder="1" applyAlignment="1">
      <alignment horizontal="center" vertical="center"/>
    </xf>
    <xf numFmtId="0" fontId="10" fillId="2" borderId="20" xfId="0" applyFont="1" applyFill="1" applyBorder="1" applyAlignment="1">
      <alignment horizontal="center" vertical="center"/>
    </xf>
    <xf numFmtId="168" fontId="35" fillId="0" borderId="21" xfId="0" applyNumberFormat="1" applyFont="1" applyBorder="1" applyAlignment="1">
      <alignment horizontal="center" vertical="center" wrapText="1"/>
    </xf>
    <xf numFmtId="168" fontId="10" fillId="2" borderId="20" xfId="0" applyNumberFormat="1" applyFont="1" applyFill="1" applyBorder="1" applyAlignment="1">
      <alignment horizontal="center" vertical="center" wrapText="1"/>
    </xf>
    <xf numFmtId="0" fontId="10" fillId="0" borderId="1" xfId="0" applyFont="1" applyBorder="1" applyAlignment="1">
      <alignment vertical="center" wrapText="1"/>
    </xf>
    <xf numFmtId="0" fontId="10" fillId="0" borderId="15" xfId="0" applyFont="1" applyBorder="1" applyAlignment="1">
      <alignment vertical="center" wrapText="1"/>
    </xf>
    <xf numFmtId="168" fontId="10" fillId="0" borderId="15" xfId="0" applyNumberFormat="1" applyFont="1" applyBorder="1" applyAlignment="1">
      <alignment horizontal="center" vertical="center" wrapText="1"/>
    </xf>
    <xf numFmtId="168" fontId="10" fillId="0" borderId="1" xfId="0" applyNumberFormat="1" applyFont="1" applyBorder="1" applyAlignment="1">
      <alignment horizontal="center" vertical="center" wrapText="1"/>
    </xf>
    <xf numFmtId="0" fontId="10" fillId="2" borderId="2" xfId="0" applyFont="1" applyFill="1" applyBorder="1" applyAlignment="1">
      <alignment horizontal="center" vertical="center" wrapText="1"/>
    </xf>
    <xf numFmtId="0" fontId="10" fillId="2" borderId="2" xfId="0" applyFont="1" applyFill="1" applyBorder="1" applyAlignment="1">
      <alignment vertical="center" wrapText="1"/>
    </xf>
    <xf numFmtId="0" fontId="10" fillId="0" borderId="2" xfId="0" applyFont="1" applyBorder="1" applyAlignment="1">
      <alignment vertical="center" wrapText="1"/>
    </xf>
    <xf numFmtId="0" fontId="13" fillId="4" borderId="9" xfId="0" applyFont="1" applyFill="1" applyBorder="1" applyAlignment="1">
      <alignment horizontal="center" vertical="center" wrapText="1"/>
    </xf>
    <xf numFmtId="0" fontId="13" fillId="4" borderId="0" xfId="0" applyFont="1" applyFill="1" applyAlignment="1">
      <alignment horizontal="center" vertical="center" wrapText="1"/>
    </xf>
    <xf numFmtId="0" fontId="13" fillId="4" borderId="10" xfId="0" applyFont="1" applyFill="1" applyBorder="1" applyAlignment="1">
      <alignment horizontal="center" vertical="center" wrapText="1"/>
    </xf>
    <xf numFmtId="0" fontId="13" fillId="4" borderId="6" xfId="0" applyFont="1" applyFill="1" applyBorder="1" applyAlignment="1">
      <alignment horizontal="center" vertical="center" wrapText="1"/>
    </xf>
    <xf numFmtId="0" fontId="13" fillId="4" borderId="8" xfId="0" applyFont="1" applyFill="1" applyBorder="1" applyAlignment="1">
      <alignment horizontal="center" vertical="center" wrapText="1"/>
    </xf>
    <xf numFmtId="0" fontId="10" fillId="0" borderId="5" xfId="0" applyFont="1" applyBorder="1" applyAlignment="1">
      <alignment horizontal="left" vertical="center" wrapText="1"/>
    </xf>
    <xf numFmtId="0" fontId="10" fillId="0" borderId="3" xfId="0" applyFont="1" applyBorder="1" applyAlignment="1">
      <alignment horizontal="center" vertical="center" wrapText="1"/>
    </xf>
    <xf numFmtId="4" fontId="10" fillId="0" borderId="3" xfId="0" applyNumberFormat="1" applyFont="1" applyBorder="1" applyAlignment="1">
      <alignment horizontal="center" vertical="center" wrapText="1"/>
    </xf>
    <xf numFmtId="4" fontId="10" fillId="0" borderId="5" xfId="0" applyNumberFormat="1" applyFont="1" applyBorder="1" applyAlignment="1">
      <alignment horizontal="center" vertical="center" wrapText="1"/>
    </xf>
    <xf numFmtId="0" fontId="9" fillId="0" borderId="2" xfId="0" applyFont="1" applyBorder="1" applyAlignment="1">
      <alignment vertical="center" wrapText="1"/>
    </xf>
    <xf numFmtId="168" fontId="9" fillId="0" borderId="2" xfId="0" applyNumberFormat="1" applyFont="1" applyBorder="1" applyAlignment="1">
      <alignment horizontal="center" vertical="center" wrapText="1"/>
    </xf>
    <xf numFmtId="165" fontId="10" fillId="0" borderId="2" xfId="2" applyNumberFormat="1" applyFont="1" applyBorder="1" applyAlignment="1">
      <alignment horizontal="center" vertical="center" wrapText="1"/>
    </xf>
    <xf numFmtId="0" fontId="6" fillId="0" borderId="2" xfId="0" applyFont="1" applyBorder="1" applyAlignment="1">
      <alignment horizontal="left" vertical="top" wrapText="1"/>
    </xf>
    <xf numFmtId="0" fontId="5" fillId="2" borderId="2" xfId="0" applyFont="1" applyFill="1" applyBorder="1" applyAlignment="1">
      <alignment horizontal="left" vertical="top" wrapText="1"/>
    </xf>
    <xf numFmtId="0" fontId="10" fillId="2" borderId="3" xfId="0" applyFont="1" applyFill="1" applyBorder="1" applyAlignment="1">
      <alignment horizontal="left" vertical="center" wrapText="1"/>
    </xf>
    <xf numFmtId="0" fontId="10" fillId="2" borderId="4" xfId="0" applyFont="1" applyFill="1" applyBorder="1" applyAlignment="1">
      <alignment horizontal="left" vertical="center" wrapText="1"/>
    </xf>
    <xf numFmtId="0" fontId="10" fillId="2" borderId="5" xfId="0" applyFont="1" applyFill="1" applyBorder="1" applyAlignment="1">
      <alignment horizontal="left" vertical="center" wrapText="1"/>
    </xf>
    <xf numFmtId="0" fontId="10" fillId="2" borderId="3" xfId="0" applyFont="1" applyFill="1" applyBorder="1" applyAlignment="1">
      <alignment horizontal="center" vertical="center" wrapText="1"/>
    </xf>
    <xf numFmtId="0" fontId="10" fillId="2" borderId="5" xfId="0" applyFont="1" applyFill="1" applyBorder="1" applyAlignment="1">
      <alignment horizontal="center" vertical="center" wrapText="1"/>
    </xf>
    <xf numFmtId="4" fontId="10" fillId="2" borderId="3" xfId="0" applyNumberFormat="1" applyFont="1" applyFill="1" applyBorder="1" applyAlignment="1">
      <alignment horizontal="center" vertical="center" wrapText="1"/>
    </xf>
    <xf numFmtId="4" fontId="10" fillId="2" borderId="5" xfId="0" applyNumberFormat="1" applyFont="1" applyFill="1" applyBorder="1" applyAlignment="1">
      <alignment horizontal="center" vertical="center" wrapText="1"/>
    </xf>
    <xf numFmtId="0" fontId="13" fillId="4" borderId="2" xfId="0" applyFont="1" applyFill="1" applyBorder="1" applyAlignment="1">
      <alignment horizontal="left" vertical="center" wrapText="1"/>
    </xf>
    <xf numFmtId="0" fontId="5" fillId="0" borderId="0" xfId="0" applyFont="1" applyAlignment="1">
      <alignment horizontal="center" vertical="top"/>
    </xf>
    <xf numFmtId="167" fontId="5" fillId="0" borderId="0" xfId="0" applyNumberFormat="1" applyFont="1" applyAlignment="1">
      <alignment horizontal="center" vertical="top"/>
    </xf>
    <xf numFmtId="3" fontId="10" fillId="0" borderId="2" xfId="0" applyNumberFormat="1" applyFont="1" applyBorder="1" applyAlignment="1">
      <alignment horizontal="center" vertical="center" wrapText="1"/>
    </xf>
    <xf numFmtId="1" fontId="10" fillId="0" borderId="2" xfId="0" applyNumberFormat="1" applyFont="1" applyBorder="1" applyAlignment="1">
      <alignment horizontal="center" vertical="center"/>
    </xf>
    <xf numFmtId="0" fontId="10" fillId="0" borderId="2" xfId="0" applyFont="1" applyBorder="1" applyAlignment="1">
      <alignment horizontal="center" vertical="center" wrapText="1"/>
    </xf>
    <xf numFmtId="0" fontId="10" fillId="0" borderId="2" xfId="0" applyFont="1" applyBorder="1" applyAlignment="1">
      <alignment horizontal="center" vertical="center"/>
    </xf>
    <xf numFmtId="0" fontId="10" fillId="2" borderId="2" xfId="0" applyFont="1" applyFill="1" applyBorder="1" applyAlignment="1">
      <alignment horizontal="left" vertical="center" wrapText="1"/>
    </xf>
    <xf numFmtId="0" fontId="10" fillId="2" borderId="2" xfId="0" applyFont="1" applyFill="1" applyBorder="1" applyAlignment="1">
      <alignment horizontal="left" vertical="top" wrapText="1"/>
    </xf>
    <xf numFmtId="0" fontId="10" fillId="2" borderId="3" xfId="0" applyFont="1" applyFill="1" applyBorder="1" applyAlignment="1">
      <alignment horizontal="left"/>
    </xf>
    <xf numFmtId="0" fontId="33" fillId="8" borderId="3" xfId="0" applyFont="1" applyFill="1" applyBorder="1" applyAlignment="1">
      <alignment horizontal="left"/>
    </xf>
    <xf numFmtId="0" fontId="33" fillId="8" borderId="4" xfId="0" applyFont="1" applyFill="1" applyBorder="1" applyAlignment="1">
      <alignment horizontal="left"/>
    </xf>
    <xf numFmtId="0" fontId="33" fillId="8" borderId="5" xfId="0" applyFont="1" applyFill="1" applyBorder="1" applyAlignment="1">
      <alignment horizontal="left"/>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0" xfId="0" applyFont="1" applyAlignment="1">
      <alignment horizontal="center" vertical="center"/>
    </xf>
    <xf numFmtId="0" fontId="6" fillId="0" borderId="2" xfId="0" applyFont="1" applyBorder="1" applyAlignment="1">
      <alignment horizontal="left" vertical="center" wrapText="1"/>
    </xf>
    <xf numFmtId="9" fontId="10" fillId="0" borderId="2" xfId="0" applyNumberFormat="1" applyFont="1" applyBorder="1" applyAlignment="1">
      <alignment horizontal="center" vertical="center"/>
    </xf>
    <xf numFmtId="9" fontId="36" fillId="0" borderId="2" xfId="0" applyNumberFormat="1" applyFont="1" applyBorder="1" applyAlignment="1">
      <alignment horizontal="center" vertical="center"/>
    </xf>
    <xf numFmtId="0" fontId="10" fillId="2" borderId="2" xfId="0" applyFont="1" applyFill="1" applyBorder="1" applyAlignment="1">
      <alignment horizontal="left"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4"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6" fillId="3" borderId="2" xfId="0" applyFont="1" applyFill="1" applyBorder="1" applyAlignment="1">
      <alignment horizontal="center" vertical="center"/>
    </xf>
    <xf numFmtId="10" fontId="10" fillId="0" borderId="2" xfId="0" applyNumberFormat="1" applyFont="1" applyBorder="1" applyAlignment="1">
      <alignment horizontal="center" vertical="center"/>
    </xf>
    <xf numFmtId="10" fontId="10" fillId="2" borderId="2" xfId="0" applyNumberFormat="1" applyFont="1" applyFill="1" applyBorder="1" applyAlignment="1">
      <alignment horizontal="center" vertical="center"/>
    </xf>
    <xf numFmtId="9" fontId="10" fillId="2" borderId="2" xfId="0" applyNumberFormat="1" applyFont="1" applyFill="1" applyBorder="1" applyAlignment="1">
      <alignment horizontal="center" vertical="center"/>
    </xf>
    <xf numFmtId="0" fontId="10" fillId="2" borderId="2" xfId="0" applyFont="1" applyFill="1" applyBorder="1" applyAlignment="1">
      <alignment horizontal="center" vertical="center"/>
    </xf>
    <xf numFmtId="0" fontId="5" fillId="7" borderId="3" xfId="0" applyFont="1" applyFill="1" applyBorder="1" applyAlignment="1">
      <alignment horizontal="center"/>
    </xf>
    <xf numFmtId="0" fontId="5" fillId="7" borderId="5" xfId="0" applyFont="1" applyFill="1" applyBorder="1" applyAlignment="1">
      <alignment horizontal="center"/>
    </xf>
    <xf numFmtId="0" fontId="9" fillId="0" borderId="2" xfId="0" applyFont="1" applyBorder="1" applyAlignment="1">
      <alignment horizontal="center" vertical="center" wrapText="1"/>
    </xf>
    <xf numFmtId="0" fontId="9" fillId="0" borderId="3" xfId="0" applyFont="1" applyBorder="1" applyAlignment="1">
      <alignment horizontal="center" vertical="center" wrapText="1"/>
    </xf>
    <xf numFmtId="0" fontId="10" fillId="2" borderId="2" xfId="0" applyFont="1" applyFill="1" applyBorder="1" applyAlignment="1">
      <alignment horizontal="left" wrapText="1"/>
    </xf>
    <xf numFmtId="0" fontId="10" fillId="2" borderId="3" xfId="0" applyFont="1" applyFill="1" applyBorder="1" applyAlignment="1">
      <alignment horizontal="left" wrapText="1"/>
    </xf>
    <xf numFmtId="0" fontId="33" fillId="8" borderId="4" xfId="0" applyFont="1" applyFill="1" applyBorder="1" applyAlignment="1">
      <alignment horizontal="left" vertical="center"/>
    </xf>
    <xf numFmtId="0" fontId="33" fillId="8" borderId="5" xfId="0" applyFont="1" applyFill="1" applyBorder="1" applyAlignment="1">
      <alignment horizontal="left" vertical="center"/>
    </xf>
    <xf numFmtId="0" fontId="37" fillId="8" borderId="3" xfId="0" applyFont="1" applyFill="1" applyBorder="1" applyAlignment="1">
      <alignment horizontal="center"/>
    </xf>
    <xf numFmtId="0" fontId="37" fillId="8" borderId="4" xfId="0" applyFont="1" applyFill="1" applyBorder="1" applyAlignment="1">
      <alignment horizontal="center"/>
    </xf>
    <xf numFmtId="0" fontId="37" fillId="8" borderId="5" xfId="0" applyFont="1" applyFill="1" applyBorder="1" applyAlignment="1">
      <alignment horizontal="center"/>
    </xf>
    <xf numFmtId="0" fontId="33" fillId="8" borderId="18" xfId="0" applyFont="1" applyFill="1" applyBorder="1" applyAlignment="1">
      <alignment horizontal="left"/>
    </xf>
    <xf numFmtId="0" fontId="6" fillId="0" borderId="3" xfId="0" applyFont="1" applyBorder="1" applyAlignment="1">
      <alignment horizontal="left" vertical="center" wrapText="1"/>
    </xf>
    <xf numFmtId="0" fontId="6" fillId="0" borderId="4" xfId="0" applyFont="1" applyBorder="1" applyAlignment="1">
      <alignment horizontal="left" vertical="center" wrapText="1"/>
    </xf>
    <xf numFmtId="0" fontId="6" fillId="0" borderId="5" xfId="0" applyFont="1" applyBorder="1" applyAlignment="1">
      <alignment horizontal="left" vertical="center" wrapText="1"/>
    </xf>
    <xf numFmtId="0" fontId="6" fillId="0" borderId="3" xfId="0" applyFont="1" applyBorder="1" applyAlignment="1">
      <alignment horizontal="left" vertical="center"/>
    </xf>
    <xf numFmtId="0" fontId="6" fillId="0" borderId="4" xfId="0" applyFont="1" applyBorder="1" applyAlignment="1">
      <alignment horizontal="left" vertical="center"/>
    </xf>
    <xf numFmtId="0" fontId="6" fillId="0" borderId="5" xfId="0" applyFont="1" applyBorder="1" applyAlignment="1">
      <alignment horizontal="left" vertical="center"/>
    </xf>
    <xf numFmtId="0" fontId="10" fillId="2" borderId="6" xfId="0" applyFont="1" applyFill="1" applyBorder="1" applyAlignment="1">
      <alignment horizontal="left" vertical="top"/>
    </xf>
    <xf numFmtId="14" fontId="10" fillId="2" borderId="6" xfId="0" applyNumberFormat="1" applyFont="1" applyFill="1" applyBorder="1" applyAlignment="1">
      <alignment horizontal="left" vertical="top"/>
    </xf>
    <xf numFmtId="0" fontId="10" fillId="5" borderId="2" xfId="0" applyFont="1" applyFill="1" applyBorder="1" applyAlignment="1">
      <alignment horizontal="center" vertical="center" wrapText="1"/>
    </xf>
    <xf numFmtId="0" fontId="17" fillId="0" borderId="2" xfId="0" applyFont="1" applyBorder="1" applyAlignment="1">
      <alignment horizontal="left" vertical="center" wrapText="1"/>
    </xf>
    <xf numFmtId="0" fontId="9" fillId="3" borderId="2" xfId="0" applyFont="1" applyFill="1" applyBorder="1" applyAlignment="1">
      <alignment horizontal="left" vertical="center" wrapText="1"/>
    </xf>
    <xf numFmtId="0" fontId="10" fillId="6" borderId="16" xfId="0" applyFont="1" applyFill="1" applyBorder="1" applyAlignment="1">
      <alignment horizontal="center" vertical="center" wrapText="1"/>
    </xf>
    <xf numFmtId="0" fontId="10" fillId="6" borderId="17" xfId="0" applyFont="1" applyFill="1" applyBorder="1" applyAlignment="1">
      <alignment horizontal="center" vertical="center" wrapText="1"/>
    </xf>
    <xf numFmtId="0" fontId="10" fillId="5" borderId="3" xfId="0" applyFont="1" applyFill="1" applyBorder="1" applyAlignment="1">
      <alignment horizontal="center" vertical="center" wrapText="1"/>
    </xf>
    <xf numFmtId="0" fontId="10" fillId="5" borderId="5" xfId="0" applyFont="1" applyFill="1" applyBorder="1" applyAlignment="1">
      <alignment horizontal="center" vertical="center" wrapText="1"/>
    </xf>
    <xf numFmtId="0" fontId="6" fillId="0" borderId="11" xfId="0" applyFont="1" applyBorder="1" applyAlignment="1">
      <alignment horizontal="left" vertical="center" wrapText="1"/>
    </xf>
    <xf numFmtId="0" fontId="6" fillId="0" borderId="12" xfId="0" applyFont="1" applyBorder="1" applyAlignment="1">
      <alignment horizontal="left" vertical="center" wrapText="1"/>
    </xf>
    <xf numFmtId="0" fontId="9" fillId="0" borderId="6" xfId="0" applyFont="1" applyBorder="1" applyAlignment="1">
      <alignment horizontal="left" vertical="center"/>
    </xf>
    <xf numFmtId="0" fontId="9" fillId="0" borderId="7" xfId="0" applyFont="1" applyBorder="1" applyAlignment="1">
      <alignment horizontal="left" vertical="center"/>
    </xf>
    <xf numFmtId="0" fontId="9" fillId="0" borderId="8" xfId="0" applyFont="1" applyBorder="1" applyAlignment="1">
      <alignment horizontal="left" vertical="center"/>
    </xf>
    <xf numFmtId="0" fontId="9" fillId="0" borderId="3" xfId="0" applyFont="1" applyBorder="1" applyAlignment="1">
      <alignment horizontal="center" vertical="center"/>
    </xf>
    <xf numFmtId="0" fontId="9" fillId="0" borderId="4" xfId="0" applyFont="1" applyBorder="1" applyAlignment="1">
      <alignment horizontal="center" vertical="center"/>
    </xf>
    <xf numFmtId="0" fontId="9" fillId="0" borderId="5" xfId="0" applyFont="1" applyBorder="1" applyAlignment="1">
      <alignment horizontal="center" vertical="center"/>
    </xf>
    <xf numFmtId="0" fontId="10" fillId="5" borderId="6" xfId="0" applyFont="1" applyFill="1" applyBorder="1" applyAlignment="1">
      <alignment horizontal="left" vertical="center" wrapText="1"/>
    </xf>
    <xf numFmtId="0" fontId="10" fillId="5" borderId="7" xfId="0" applyFont="1" applyFill="1" applyBorder="1" applyAlignment="1">
      <alignment horizontal="left" vertical="center" wrapText="1"/>
    </xf>
    <xf numFmtId="0" fontId="10" fillId="5" borderId="8" xfId="0" applyFont="1" applyFill="1" applyBorder="1" applyAlignment="1">
      <alignment horizontal="left" vertical="center" wrapText="1"/>
    </xf>
    <xf numFmtId="0" fontId="10" fillId="5" borderId="3" xfId="0" applyFont="1" applyFill="1" applyBorder="1" applyAlignment="1">
      <alignment horizontal="left" vertical="center" wrapText="1"/>
    </xf>
    <xf numFmtId="0" fontId="10" fillId="5" borderId="4" xfId="0" applyFont="1" applyFill="1" applyBorder="1" applyAlignment="1">
      <alignment horizontal="left" vertical="center" wrapText="1"/>
    </xf>
    <xf numFmtId="0" fontId="10" fillId="5" borderId="5" xfId="0" applyFont="1" applyFill="1" applyBorder="1" applyAlignment="1">
      <alignment horizontal="left" vertical="center" wrapText="1"/>
    </xf>
    <xf numFmtId="0" fontId="10" fillId="5" borderId="2" xfId="0" applyFont="1" applyFill="1" applyBorder="1" applyAlignment="1">
      <alignment horizontal="left" vertical="center" wrapText="1"/>
    </xf>
    <xf numFmtId="0" fontId="22" fillId="0" borderId="0" xfId="0" applyFont="1" applyAlignment="1">
      <alignment horizontal="left" vertical="top" wrapText="1"/>
    </xf>
    <xf numFmtId="0" fontId="9" fillId="0" borderId="6" xfId="0" applyFont="1" applyBorder="1" applyAlignment="1">
      <alignment horizontal="left" vertical="center" wrapText="1"/>
    </xf>
    <xf numFmtId="0" fontId="9" fillId="0" borderId="8" xfId="0" applyFont="1" applyBorder="1" applyAlignment="1">
      <alignment horizontal="left" vertical="center" wrapText="1"/>
    </xf>
    <xf numFmtId="0" fontId="9" fillId="0" borderId="9" xfId="0" applyFont="1" applyBorder="1" applyAlignment="1">
      <alignment horizontal="left" vertical="center" wrapText="1"/>
    </xf>
    <xf numFmtId="0" fontId="9" fillId="0" borderId="10" xfId="0" applyFont="1" applyBorder="1" applyAlignment="1">
      <alignment horizontal="left" vertical="center" wrapText="1"/>
    </xf>
    <xf numFmtId="0" fontId="17" fillId="0" borderId="3" xfId="0" applyFont="1" applyBorder="1" applyAlignment="1">
      <alignment horizontal="center" vertical="center" wrapText="1"/>
    </xf>
    <xf numFmtId="0" fontId="17" fillId="0" borderId="4"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6" xfId="0" applyFont="1" applyBorder="1" applyAlignment="1">
      <alignment horizontal="center" vertical="center" wrapText="1"/>
    </xf>
    <xf numFmtId="0" fontId="9" fillId="0" borderId="8"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0" xfId="0" applyFont="1" applyBorder="1" applyAlignment="1">
      <alignment horizontal="center" vertical="center" wrapText="1"/>
    </xf>
    <xf numFmtId="0" fontId="9" fillId="0" borderId="1" xfId="0" applyFont="1" applyBorder="1" applyAlignment="1">
      <alignment horizontal="center" vertical="center" wrapText="1"/>
    </xf>
    <xf numFmtId="0" fontId="9" fillId="0" borderId="15" xfId="0" applyFont="1" applyBorder="1" applyAlignment="1">
      <alignment horizontal="center" vertical="center" wrapText="1"/>
    </xf>
    <xf numFmtId="0" fontId="5" fillId="2" borderId="2" xfId="0" applyFont="1" applyFill="1" applyBorder="1" applyAlignment="1">
      <alignment horizontal="left" vertical="top"/>
    </xf>
    <xf numFmtId="0" fontId="11" fillId="0" borderId="6" xfId="0" applyFont="1" applyBorder="1" applyAlignment="1">
      <alignment horizontal="right" vertical="top" wrapText="1"/>
    </xf>
    <xf numFmtId="0" fontId="11" fillId="0" borderId="7" xfId="0" applyFont="1" applyBorder="1" applyAlignment="1">
      <alignment horizontal="right" vertical="top" wrapText="1"/>
    </xf>
    <xf numFmtId="0" fontId="11" fillId="0" borderId="8" xfId="0" applyFont="1" applyBorder="1" applyAlignment="1">
      <alignment horizontal="right" vertical="top" wrapText="1"/>
    </xf>
    <xf numFmtId="0" fontId="5" fillId="2" borderId="6" xfId="0" applyFont="1" applyFill="1" applyBorder="1" applyAlignment="1">
      <alignment horizontal="left" vertical="top"/>
    </xf>
    <xf numFmtId="0" fontId="5" fillId="2" borderId="7" xfId="0" applyFont="1" applyFill="1" applyBorder="1" applyAlignment="1">
      <alignment horizontal="left" vertical="top"/>
    </xf>
    <xf numFmtId="0" fontId="5" fillId="2" borderId="8" xfId="0" applyFont="1" applyFill="1" applyBorder="1" applyAlignment="1">
      <alignment horizontal="left" vertical="top"/>
    </xf>
    <xf numFmtId="0" fontId="5" fillId="2" borderId="11" xfId="0" applyFont="1" applyFill="1" applyBorder="1" applyAlignment="1">
      <alignment horizontal="left" vertical="top"/>
    </xf>
    <xf numFmtId="0" fontId="5" fillId="2" borderId="12" xfId="0" applyFont="1" applyFill="1" applyBorder="1" applyAlignment="1">
      <alignment horizontal="left" vertical="top"/>
    </xf>
    <xf numFmtId="0" fontId="5" fillId="2" borderId="13" xfId="0" applyFont="1" applyFill="1" applyBorder="1" applyAlignment="1">
      <alignment horizontal="left" vertical="top"/>
    </xf>
    <xf numFmtId="0" fontId="9" fillId="0" borderId="2" xfId="0" applyFont="1" applyBorder="1" applyAlignment="1">
      <alignment horizontal="left" vertical="center" wrapText="1"/>
    </xf>
    <xf numFmtId="0" fontId="9" fillId="0" borderId="14" xfId="0" applyFont="1" applyBorder="1" applyAlignment="1">
      <alignment horizontal="center" vertical="center" wrapText="1"/>
    </xf>
    <xf numFmtId="0" fontId="9" fillId="0" borderId="5" xfId="0" applyFont="1" applyBorder="1" applyAlignment="1">
      <alignment horizontal="center" vertical="center" wrapText="1"/>
    </xf>
    <xf numFmtId="0" fontId="5" fillId="0" borderId="0" xfId="0" applyFont="1" applyAlignment="1">
      <alignment horizontal="left" wrapText="1"/>
    </xf>
    <xf numFmtId="0" fontId="5" fillId="0" borderId="2" xfId="0" applyFont="1" applyBorder="1" applyAlignment="1">
      <alignment horizontal="center" vertical="center"/>
    </xf>
    <xf numFmtId="0" fontId="6" fillId="0" borderId="12" xfId="0" applyFont="1" applyBorder="1" applyAlignment="1">
      <alignment horizontal="center"/>
    </xf>
    <xf numFmtId="0" fontId="6" fillId="0" borderId="2" xfId="0" applyFont="1" applyBorder="1" applyAlignment="1">
      <alignment horizontal="center"/>
    </xf>
    <xf numFmtId="0" fontId="5" fillId="2" borderId="9" xfId="0" applyFont="1" applyFill="1" applyBorder="1" applyAlignment="1">
      <alignment horizontal="left" vertical="top"/>
    </xf>
    <xf numFmtId="0" fontId="5" fillId="2" borderId="0" xfId="0" applyFont="1" applyFill="1" applyAlignment="1">
      <alignment horizontal="left" vertical="top"/>
    </xf>
    <xf numFmtId="0" fontId="5" fillId="2" borderId="10" xfId="0" applyFont="1" applyFill="1" applyBorder="1" applyAlignment="1">
      <alignment horizontal="left" vertical="top"/>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6" fillId="0" borderId="5" xfId="0" applyFont="1" applyBorder="1" applyAlignment="1">
      <alignment horizontal="left" vertical="top" wrapText="1"/>
    </xf>
    <xf numFmtId="0" fontId="39" fillId="0" borderId="0" xfId="0" applyFont="1" applyAlignment="1">
      <alignment horizontal="left" wrapText="1"/>
    </xf>
    <xf numFmtId="0" fontId="5" fillId="2" borderId="6" xfId="0" applyFont="1" applyFill="1" applyBorder="1" applyAlignment="1">
      <alignment horizontal="left" vertical="top" wrapText="1"/>
    </xf>
    <xf numFmtId="0" fontId="5" fillId="2" borderId="7" xfId="0" applyFont="1" applyFill="1" applyBorder="1" applyAlignment="1">
      <alignment horizontal="left" vertical="top" wrapText="1"/>
    </xf>
    <xf numFmtId="0" fontId="5" fillId="2" borderId="8" xfId="0" applyFont="1" applyFill="1" applyBorder="1" applyAlignment="1">
      <alignment horizontal="left" vertical="top" wrapText="1"/>
    </xf>
    <xf numFmtId="0" fontId="5" fillId="2" borderId="9" xfId="0" applyFont="1" applyFill="1" applyBorder="1" applyAlignment="1">
      <alignment horizontal="left" vertical="top" wrapText="1"/>
    </xf>
    <xf numFmtId="0" fontId="5" fillId="2" borderId="0" xfId="0" applyFont="1" applyFill="1" applyAlignment="1">
      <alignment horizontal="left" vertical="top" wrapText="1"/>
    </xf>
    <xf numFmtId="0" fontId="5" fillId="2" borderId="10" xfId="0" applyFont="1" applyFill="1" applyBorder="1" applyAlignment="1">
      <alignment horizontal="left" vertical="top" wrapText="1"/>
    </xf>
    <xf numFmtId="0" fontId="5" fillId="2" borderId="11" xfId="0" applyFont="1" applyFill="1" applyBorder="1" applyAlignment="1">
      <alignment horizontal="left" vertical="top" wrapText="1"/>
    </xf>
    <xf numFmtId="0" fontId="5" fillId="2" borderId="12" xfId="0" applyFont="1" applyFill="1" applyBorder="1" applyAlignment="1">
      <alignment horizontal="left" vertical="top" wrapText="1"/>
    </xf>
    <xf numFmtId="0" fontId="5" fillId="2" borderId="13" xfId="0" applyFont="1" applyFill="1" applyBorder="1" applyAlignment="1">
      <alignment horizontal="left" vertical="top" wrapText="1"/>
    </xf>
    <xf numFmtId="0" fontId="32" fillId="8" borderId="0" xfId="0" applyFont="1" applyFill="1" applyAlignment="1"/>
    <xf numFmtId="0" fontId="33" fillId="8" borderId="3" xfId="0" applyFont="1" applyFill="1" applyBorder="1" applyAlignment="1"/>
    <xf numFmtId="0" fontId="33" fillId="8" borderId="4" xfId="0" applyFont="1" applyFill="1" applyBorder="1" applyAlignment="1"/>
    <xf numFmtId="0" fontId="33" fillId="8" borderId="5" xfId="0" applyFont="1" applyFill="1" applyBorder="1" applyAlignment="1"/>
    <xf numFmtId="0" fontId="33" fillId="8" borderId="18" xfId="0" applyFont="1" applyFill="1" applyBorder="1" applyAlignment="1"/>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1.25</c:v>
                </c:pt>
                <c:pt idx="1">
                  <c:v>1.2999999999999998</c:v>
                </c:pt>
                <c:pt idx="2">
                  <c:v>1.9</c:v>
                </c:pt>
                <c:pt idx="3">
                  <c:v>1.85</c:v>
                </c:pt>
                <c:pt idx="4">
                  <c:v>1.4</c:v>
                </c:pt>
                <c:pt idx="5">
                  <c:v>1.85</c:v>
                </c:pt>
                <c:pt idx="6">
                  <c:v>2.0499999999999998</c:v>
                </c:pt>
                <c:pt idx="7">
                  <c:v>1.85</c:v>
                </c:pt>
                <c:pt idx="8">
                  <c:v>1.5499999999999998</c:v>
                </c:pt>
                <c:pt idx="9">
                  <c:v>0</c:v>
                </c:pt>
                <c:pt idx="10">
                  <c:v>0</c:v>
                </c:pt>
                <c:pt idx="11">
                  <c:v>0</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5.25</c:v>
                </c:pt>
                <c:pt idx="1">
                  <c:v>6.85</c:v>
                </c:pt>
                <c:pt idx="2">
                  <c:v>33.65</c:v>
                </c:pt>
                <c:pt idx="3">
                  <c:v>7.35</c:v>
                </c:pt>
                <c:pt idx="4">
                  <c:v>12.2</c:v>
                </c:pt>
                <c:pt idx="5">
                  <c:v>5.8</c:v>
                </c:pt>
                <c:pt idx="6">
                  <c:v>29.15</c:v>
                </c:pt>
                <c:pt idx="7">
                  <c:v>13.450000000000001</c:v>
                </c:pt>
                <c:pt idx="8">
                  <c:v>16.350000000000001</c:v>
                </c:pt>
                <c:pt idx="9">
                  <c:v>0</c:v>
                </c:pt>
                <c:pt idx="10">
                  <c:v>0</c:v>
                </c:pt>
                <c:pt idx="11">
                  <c:v>0</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1.25</c:v>
                </c:pt>
                <c:pt idx="1">
                  <c:v>1.3</c:v>
                </c:pt>
                <c:pt idx="2">
                  <c:v>1.9</c:v>
                </c:pt>
                <c:pt idx="3">
                  <c:v>1.85</c:v>
                </c:pt>
                <c:pt idx="4">
                  <c:v>1.4</c:v>
                </c:pt>
                <c:pt idx="5">
                  <c:v>1.85</c:v>
                </c:pt>
                <c:pt idx="6">
                  <c:v>2.0499999999999998</c:v>
                </c:pt>
                <c:pt idx="7">
                  <c:v>1.85</c:v>
                </c:pt>
                <c:pt idx="8">
                  <c:v>1.55</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1.65</c:v>
                </c:pt>
                <c:pt idx="1">
                  <c:v>2.25</c:v>
                </c:pt>
                <c:pt idx="2">
                  <c:v>4.5999999999999996</c:v>
                </c:pt>
                <c:pt idx="3">
                  <c:v>2.85</c:v>
                </c:pt>
                <c:pt idx="4">
                  <c:v>2.85</c:v>
                </c:pt>
                <c:pt idx="5">
                  <c:v>2.75</c:v>
                </c:pt>
                <c:pt idx="6">
                  <c:v>3.95</c:v>
                </c:pt>
                <c:pt idx="7">
                  <c:v>2.65</c:v>
                </c:pt>
                <c:pt idx="8">
                  <c:v>2.4500000000000002</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4607760"/>
        <c:axId val="304608152"/>
      </c:lineChart>
      <c:catAx>
        <c:axId val="304607760"/>
        <c:scaling>
          <c:orientation val="minMax"/>
        </c:scaling>
        <c:delete val="0"/>
        <c:axPos val="b"/>
        <c:numFmt formatCode="General" sourceLinked="1"/>
        <c:majorTickMark val="out"/>
        <c:minorTickMark val="none"/>
        <c:tickLblPos val="nextTo"/>
        <c:crossAx val="304608152"/>
        <c:crosses val="autoZero"/>
        <c:auto val="1"/>
        <c:lblAlgn val="ctr"/>
        <c:lblOffset val="100"/>
        <c:noMultiLvlLbl val="0"/>
      </c:catAx>
      <c:valAx>
        <c:axId val="3046081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460776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9.3000000000000007</c:v>
                </c:pt>
                <c:pt idx="1">
                  <c:v>10.15</c:v>
                </c:pt>
                <c:pt idx="2">
                  <c:v>14.65</c:v>
                </c:pt>
                <c:pt idx="3">
                  <c:v>16.75</c:v>
                </c:pt>
                <c:pt idx="4">
                  <c:v>14.25</c:v>
                </c:pt>
                <c:pt idx="5">
                  <c:v>13.75</c:v>
                </c:pt>
                <c:pt idx="6">
                  <c:v>14.05</c:v>
                </c:pt>
                <c:pt idx="7">
                  <c:v>14.7</c:v>
                </c:pt>
                <c:pt idx="8">
                  <c:v>13</c:v>
                </c:pt>
                <c:pt idx="9">
                  <c:v>0</c:v>
                </c:pt>
                <c:pt idx="10">
                  <c:v>0</c:v>
                </c:pt>
                <c:pt idx="11">
                  <c:v>0</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127.05</c:v>
                </c:pt>
                <c:pt idx="1">
                  <c:v>112.35</c:v>
                </c:pt>
                <c:pt idx="2">
                  <c:v>125.85</c:v>
                </c:pt>
                <c:pt idx="3">
                  <c:v>66.3</c:v>
                </c:pt>
                <c:pt idx="4">
                  <c:v>128.30000000000001</c:v>
                </c:pt>
                <c:pt idx="5">
                  <c:v>72.349999999999994</c:v>
                </c:pt>
                <c:pt idx="6">
                  <c:v>82.6</c:v>
                </c:pt>
                <c:pt idx="7">
                  <c:v>80.25</c:v>
                </c:pt>
                <c:pt idx="8">
                  <c:v>56.4</c:v>
                </c:pt>
                <c:pt idx="9">
                  <c:v>0</c:v>
                </c:pt>
                <c:pt idx="10">
                  <c:v>0</c:v>
                </c:pt>
                <c:pt idx="11">
                  <c:v>0</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9.35</c:v>
                </c:pt>
                <c:pt idx="1">
                  <c:v>10.15</c:v>
                </c:pt>
                <c:pt idx="2">
                  <c:v>14.65</c:v>
                </c:pt>
                <c:pt idx="3">
                  <c:v>16.75</c:v>
                </c:pt>
                <c:pt idx="4">
                  <c:v>14.25</c:v>
                </c:pt>
                <c:pt idx="5">
                  <c:v>13.75</c:v>
                </c:pt>
                <c:pt idx="6">
                  <c:v>14.05</c:v>
                </c:pt>
                <c:pt idx="7">
                  <c:v>14.7</c:v>
                </c:pt>
                <c:pt idx="8">
                  <c:v>13</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12.55</c:v>
                </c:pt>
                <c:pt idx="1">
                  <c:v>19.600000000000001</c:v>
                </c:pt>
                <c:pt idx="2">
                  <c:v>38.950000000000003</c:v>
                </c:pt>
                <c:pt idx="3">
                  <c:v>31.2</c:v>
                </c:pt>
                <c:pt idx="4">
                  <c:v>29.85</c:v>
                </c:pt>
                <c:pt idx="5">
                  <c:v>25.75</c:v>
                </c:pt>
                <c:pt idx="6">
                  <c:v>22.55</c:v>
                </c:pt>
                <c:pt idx="7">
                  <c:v>26.15</c:v>
                </c:pt>
                <c:pt idx="8">
                  <c:v>19.2</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04609328"/>
        <c:axId val="304609720"/>
      </c:lineChart>
      <c:catAx>
        <c:axId val="304609328"/>
        <c:scaling>
          <c:orientation val="minMax"/>
        </c:scaling>
        <c:delete val="0"/>
        <c:axPos val="b"/>
        <c:numFmt formatCode="General" sourceLinked="1"/>
        <c:majorTickMark val="out"/>
        <c:minorTickMark val="none"/>
        <c:tickLblPos val="nextTo"/>
        <c:crossAx val="304609720"/>
        <c:crosses val="autoZero"/>
        <c:auto val="1"/>
        <c:lblAlgn val="ctr"/>
        <c:lblOffset val="100"/>
        <c:noMultiLvlLbl val="0"/>
      </c:catAx>
      <c:valAx>
        <c:axId val="30460972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460932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65.150000000000006</c:v>
                </c:pt>
                <c:pt idx="1">
                  <c:v>74.400000000000006</c:v>
                </c:pt>
                <c:pt idx="2">
                  <c:v>58.099999999999994</c:v>
                </c:pt>
                <c:pt idx="3">
                  <c:v>58.400000000000006</c:v>
                </c:pt>
                <c:pt idx="4">
                  <c:v>65.949999999999989</c:v>
                </c:pt>
                <c:pt idx="5">
                  <c:v>74.3</c:v>
                </c:pt>
                <c:pt idx="6">
                  <c:v>74.150000000000006</c:v>
                </c:pt>
                <c:pt idx="7">
                  <c:v>82.9</c:v>
                </c:pt>
                <c:pt idx="8">
                  <c:v>69.849999999999994</c:v>
                </c:pt>
                <c:pt idx="9">
                  <c:v>3.4</c:v>
                </c:pt>
                <c:pt idx="10">
                  <c:v>0</c:v>
                </c:pt>
                <c:pt idx="11">
                  <c:v>0</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170.35000000000002</c:v>
                </c:pt>
                <c:pt idx="1">
                  <c:v>189.10000000000002</c:v>
                </c:pt>
                <c:pt idx="2">
                  <c:v>199.10000000000002</c:v>
                </c:pt>
                <c:pt idx="3">
                  <c:v>143.19999999999999</c:v>
                </c:pt>
                <c:pt idx="4">
                  <c:v>152.35000000000002</c:v>
                </c:pt>
                <c:pt idx="5">
                  <c:v>143.25</c:v>
                </c:pt>
                <c:pt idx="6">
                  <c:v>180.95</c:v>
                </c:pt>
                <c:pt idx="7">
                  <c:v>193.25</c:v>
                </c:pt>
                <c:pt idx="8">
                  <c:v>152.05000000000001</c:v>
                </c:pt>
                <c:pt idx="9">
                  <c:v>3.9</c:v>
                </c:pt>
                <c:pt idx="10">
                  <c:v>0</c:v>
                </c:pt>
                <c:pt idx="11">
                  <c:v>0</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65.150000000000006</c:v>
                </c:pt>
                <c:pt idx="1">
                  <c:v>74.400000000000006</c:v>
                </c:pt>
                <c:pt idx="2">
                  <c:v>58.1</c:v>
                </c:pt>
                <c:pt idx="3">
                  <c:v>58.4</c:v>
                </c:pt>
                <c:pt idx="4">
                  <c:v>65.95</c:v>
                </c:pt>
                <c:pt idx="5">
                  <c:v>74.3</c:v>
                </c:pt>
                <c:pt idx="6">
                  <c:v>74.150000000000006</c:v>
                </c:pt>
                <c:pt idx="7">
                  <c:v>82.9</c:v>
                </c:pt>
                <c:pt idx="8">
                  <c:v>69.849999999999994</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94.4</c:v>
                </c:pt>
                <c:pt idx="1">
                  <c:v>104.9</c:v>
                </c:pt>
                <c:pt idx="2">
                  <c:v>87.25</c:v>
                </c:pt>
                <c:pt idx="3">
                  <c:v>78.5</c:v>
                </c:pt>
                <c:pt idx="4">
                  <c:v>100.2</c:v>
                </c:pt>
                <c:pt idx="5">
                  <c:v>92.1</c:v>
                </c:pt>
                <c:pt idx="6">
                  <c:v>99.1</c:v>
                </c:pt>
                <c:pt idx="7">
                  <c:v>113.7</c:v>
                </c:pt>
                <c:pt idx="8">
                  <c:v>85.1</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04610896"/>
        <c:axId val="304611288"/>
      </c:lineChart>
      <c:catAx>
        <c:axId val="304610896"/>
        <c:scaling>
          <c:orientation val="minMax"/>
        </c:scaling>
        <c:delete val="0"/>
        <c:axPos val="b"/>
        <c:numFmt formatCode="General" sourceLinked="1"/>
        <c:majorTickMark val="out"/>
        <c:minorTickMark val="none"/>
        <c:tickLblPos val="nextTo"/>
        <c:crossAx val="304611288"/>
        <c:crosses val="autoZero"/>
        <c:auto val="1"/>
        <c:lblAlgn val="ctr"/>
        <c:lblOffset val="100"/>
        <c:noMultiLvlLbl val="0"/>
      </c:catAx>
      <c:valAx>
        <c:axId val="30461128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461089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0.65</c:v>
                </c:pt>
                <c:pt idx="1">
                  <c:v>1</c:v>
                </c:pt>
                <c:pt idx="2">
                  <c:v>0.7</c:v>
                </c:pt>
                <c:pt idx="3">
                  <c:v>0.65</c:v>
                </c:pt>
                <c:pt idx="4">
                  <c:v>1.05</c:v>
                </c:pt>
                <c:pt idx="5">
                  <c:v>0.75</c:v>
                </c:pt>
                <c:pt idx="6">
                  <c:v>0.65</c:v>
                </c:pt>
                <c:pt idx="7">
                  <c:v>0.60000000000000009</c:v>
                </c:pt>
                <c:pt idx="8">
                  <c:v>0.65</c:v>
                </c:pt>
                <c:pt idx="9">
                  <c:v>0</c:v>
                </c:pt>
                <c:pt idx="10">
                  <c:v>0</c:v>
                </c:pt>
                <c:pt idx="11">
                  <c:v>0</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5.8</c:v>
                </c:pt>
                <c:pt idx="1">
                  <c:v>14.450000000000001</c:v>
                </c:pt>
                <c:pt idx="2">
                  <c:v>5.95</c:v>
                </c:pt>
                <c:pt idx="3">
                  <c:v>3.2</c:v>
                </c:pt>
                <c:pt idx="4">
                  <c:v>5.55</c:v>
                </c:pt>
                <c:pt idx="5">
                  <c:v>2.2000000000000002</c:v>
                </c:pt>
                <c:pt idx="6">
                  <c:v>3.3</c:v>
                </c:pt>
                <c:pt idx="7">
                  <c:v>5.0999999999999996</c:v>
                </c:pt>
                <c:pt idx="8">
                  <c:v>2.15</c:v>
                </c:pt>
                <c:pt idx="9">
                  <c:v>0</c:v>
                </c:pt>
                <c:pt idx="10">
                  <c:v>0</c:v>
                </c:pt>
                <c:pt idx="11">
                  <c:v>0</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0.65</c:v>
                </c:pt>
                <c:pt idx="1">
                  <c:v>1</c:v>
                </c:pt>
                <c:pt idx="2">
                  <c:v>0.7</c:v>
                </c:pt>
                <c:pt idx="3">
                  <c:v>0.65</c:v>
                </c:pt>
                <c:pt idx="4">
                  <c:v>1.05</c:v>
                </c:pt>
                <c:pt idx="5">
                  <c:v>0.75</c:v>
                </c:pt>
                <c:pt idx="6">
                  <c:v>0.65</c:v>
                </c:pt>
                <c:pt idx="7">
                  <c:v>0.6</c:v>
                </c:pt>
                <c:pt idx="8">
                  <c:v>0.65</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1.35</c:v>
                </c:pt>
                <c:pt idx="1">
                  <c:v>2.15</c:v>
                </c:pt>
                <c:pt idx="2">
                  <c:v>1.1499999999999999</c:v>
                </c:pt>
                <c:pt idx="3">
                  <c:v>0.8</c:v>
                </c:pt>
                <c:pt idx="4">
                  <c:v>1.9</c:v>
                </c:pt>
                <c:pt idx="5">
                  <c:v>0.9</c:v>
                </c:pt>
                <c:pt idx="6">
                  <c:v>0.85</c:v>
                </c:pt>
                <c:pt idx="7">
                  <c:v>0.7</c:v>
                </c:pt>
                <c:pt idx="8">
                  <c:v>0.65</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05815480"/>
        <c:axId val="305815872"/>
      </c:lineChart>
      <c:catAx>
        <c:axId val="305815480"/>
        <c:scaling>
          <c:orientation val="minMax"/>
        </c:scaling>
        <c:delete val="0"/>
        <c:axPos val="b"/>
        <c:numFmt formatCode="General" sourceLinked="1"/>
        <c:majorTickMark val="out"/>
        <c:minorTickMark val="none"/>
        <c:tickLblPos val="nextTo"/>
        <c:crossAx val="305815872"/>
        <c:crosses val="autoZero"/>
        <c:auto val="1"/>
        <c:lblAlgn val="ctr"/>
        <c:lblOffset val="100"/>
        <c:noMultiLvlLbl val="0"/>
      </c:catAx>
      <c:valAx>
        <c:axId val="30581587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548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0.3</c:v>
                </c:pt>
                <c:pt idx="1">
                  <c:v>0.3</c:v>
                </c:pt>
                <c:pt idx="2">
                  <c:v>0.44999999999999996</c:v>
                </c:pt>
                <c:pt idx="3">
                  <c:v>0.4</c:v>
                </c:pt>
                <c:pt idx="4">
                  <c:v>0.30000000000000004</c:v>
                </c:pt>
                <c:pt idx="5">
                  <c:v>0.25</c:v>
                </c:pt>
                <c:pt idx="6">
                  <c:v>0.3</c:v>
                </c:pt>
                <c:pt idx="7">
                  <c:v>0.3</c:v>
                </c:pt>
                <c:pt idx="8">
                  <c:v>0.4</c:v>
                </c:pt>
                <c:pt idx="9">
                  <c:v>0</c:v>
                </c:pt>
                <c:pt idx="10">
                  <c:v>0</c:v>
                </c:pt>
                <c:pt idx="11">
                  <c:v>0</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0.85000000000000009</c:v>
                </c:pt>
                <c:pt idx="1">
                  <c:v>3.8</c:v>
                </c:pt>
                <c:pt idx="2">
                  <c:v>0.85</c:v>
                </c:pt>
                <c:pt idx="3">
                  <c:v>0.6</c:v>
                </c:pt>
                <c:pt idx="4">
                  <c:v>0.8</c:v>
                </c:pt>
                <c:pt idx="5">
                  <c:v>0.6</c:v>
                </c:pt>
                <c:pt idx="6">
                  <c:v>0.8</c:v>
                </c:pt>
                <c:pt idx="7">
                  <c:v>0.9</c:v>
                </c:pt>
                <c:pt idx="8">
                  <c:v>1.5</c:v>
                </c:pt>
                <c:pt idx="9">
                  <c:v>0</c:v>
                </c:pt>
                <c:pt idx="10">
                  <c:v>0</c:v>
                </c:pt>
                <c:pt idx="11">
                  <c:v>0</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0.3</c:v>
                </c:pt>
                <c:pt idx="1">
                  <c:v>0.3</c:v>
                </c:pt>
                <c:pt idx="2">
                  <c:v>0.45</c:v>
                </c:pt>
                <c:pt idx="3">
                  <c:v>0.4</c:v>
                </c:pt>
                <c:pt idx="4">
                  <c:v>0.3</c:v>
                </c:pt>
                <c:pt idx="5">
                  <c:v>0.25</c:v>
                </c:pt>
                <c:pt idx="6">
                  <c:v>0.3</c:v>
                </c:pt>
                <c:pt idx="7">
                  <c:v>0.3</c:v>
                </c:pt>
                <c:pt idx="8">
                  <c:v>0.4</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0.4</c:v>
                </c:pt>
                <c:pt idx="1">
                  <c:v>0.5</c:v>
                </c:pt>
                <c:pt idx="2">
                  <c:v>0.5</c:v>
                </c:pt>
                <c:pt idx="3">
                  <c:v>0.45</c:v>
                </c:pt>
                <c:pt idx="4">
                  <c:v>0.4</c:v>
                </c:pt>
                <c:pt idx="5">
                  <c:v>0.3</c:v>
                </c:pt>
                <c:pt idx="6">
                  <c:v>0.4</c:v>
                </c:pt>
                <c:pt idx="7">
                  <c:v>0.55000000000000004</c:v>
                </c:pt>
                <c:pt idx="8">
                  <c:v>0.55000000000000004</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05815088"/>
        <c:axId val="305817048"/>
      </c:lineChart>
      <c:catAx>
        <c:axId val="305815088"/>
        <c:scaling>
          <c:orientation val="minMax"/>
        </c:scaling>
        <c:delete val="0"/>
        <c:axPos val="b"/>
        <c:numFmt formatCode="General" sourceLinked="1"/>
        <c:majorTickMark val="out"/>
        <c:minorTickMark val="none"/>
        <c:tickLblPos val="nextTo"/>
        <c:crossAx val="305817048"/>
        <c:crosses val="autoZero"/>
        <c:auto val="1"/>
        <c:lblAlgn val="ctr"/>
        <c:lblOffset val="100"/>
        <c:noMultiLvlLbl val="0"/>
      </c:catAx>
      <c:valAx>
        <c:axId val="30581704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508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05818224"/>
        <c:axId val="305818616"/>
      </c:lineChart>
      <c:catAx>
        <c:axId val="305818224"/>
        <c:scaling>
          <c:orientation val="minMax"/>
        </c:scaling>
        <c:delete val="0"/>
        <c:axPos val="b"/>
        <c:numFmt formatCode="General" sourceLinked="1"/>
        <c:majorTickMark val="out"/>
        <c:minorTickMark val="none"/>
        <c:tickLblPos val="nextTo"/>
        <c:crossAx val="305818616"/>
        <c:crosses val="autoZero"/>
        <c:auto val="1"/>
        <c:lblAlgn val="ctr"/>
        <c:lblOffset val="100"/>
        <c:noMultiLvlLbl val="0"/>
      </c:catAx>
      <c:valAx>
        <c:axId val="30581861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822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89.6</c:v>
                </c:pt>
                <c:pt idx="1">
                  <c:v>204.45</c:v>
                </c:pt>
                <c:pt idx="2">
                  <c:v>98.3</c:v>
                </c:pt>
                <c:pt idx="3">
                  <c:v>14.35</c:v>
                </c:pt>
                <c:pt idx="4">
                  <c:v>20.75</c:v>
                </c:pt>
                <c:pt idx="5">
                  <c:v>10.3</c:v>
                </c:pt>
                <c:pt idx="6">
                  <c:v>25.9</c:v>
                </c:pt>
                <c:pt idx="7">
                  <c:v>27.7</c:v>
                </c:pt>
                <c:pt idx="8">
                  <c:v>14.05</c:v>
                </c:pt>
                <c:pt idx="9">
                  <c:v>0</c:v>
                </c:pt>
                <c:pt idx="10">
                  <c:v>0</c:v>
                </c:pt>
                <c:pt idx="11">
                  <c:v>0</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438.05</c:v>
                </c:pt>
                <c:pt idx="1">
                  <c:v>337.8</c:v>
                </c:pt>
                <c:pt idx="2">
                  <c:v>183.2</c:v>
                </c:pt>
                <c:pt idx="3">
                  <c:v>101.95</c:v>
                </c:pt>
                <c:pt idx="4">
                  <c:v>106.9</c:v>
                </c:pt>
                <c:pt idx="5">
                  <c:v>98.6</c:v>
                </c:pt>
                <c:pt idx="6">
                  <c:v>131.05000000000001</c:v>
                </c:pt>
                <c:pt idx="7">
                  <c:v>119.9</c:v>
                </c:pt>
                <c:pt idx="8">
                  <c:v>101.85</c:v>
                </c:pt>
                <c:pt idx="9">
                  <c:v>0.1</c:v>
                </c:pt>
                <c:pt idx="10">
                  <c:v>0</c:v>
                </c:pt>
                <c:pt idx="11">
                  <c:v>0</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3.7</c:v>
                </c:pt>
                <c:pt idx="1">
                  <c:v>9.4499999999999993</c:v>
                </c:pt>
                <c:pt idx="2">
                  <c:v>2.4500000000000002</c:v>
                </c:pt>
                <c:pt idx="3">
                  <c:v>1.5</c:v>
                </c:pt>
                <c:pt idx="4">
                  <c:v>1.5</c:v>
                </c:pt>
                <c:pt idx="5">
                  <c:v>1.85</c:v>
                </c:pt>
                <c:pt idx="6">
                  <c:v>1.8</c:v>
                </c:pt>
                <c:pt idx="7">
                  <c:v>1.8</c:v>
                </c:pt>
                <c:pt idx="8">
                  <c:v>1.1499999999999999</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24.2</c:v>
                </c:pt>
                <c:pt idx="1">
                  <c:v>52.75</c:v>
                </c:pt>
                <c:pt idx="2">
                  <c:v>22</c:v>
                </c:pt>
                <c:pt idx="3">
                  <c:v>3.65</c:v>
                </c:pt>
                <c:pt idx="4">
                  <c:v>4.4000000000000004</c:v>
                </c:pt>
                <c:pt idx="5">
                  <c:v>2.8</c:v>
                </c:pt>
                <c:pt idx="6">
                  <c:v>4.95</c:v>
                </c:pt>
                <c:pt idx="7">
                  <c:v>4.75</c:v>
                </c:pt>
                <c:pt idx="8">
                  <c:v>2.5</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05819792"/>
        <c:axId val="305820184"/>
      </c:lineChart>
      <c:catAx>
        <c:axId val="305819792"/>
        <c:scaling>
          <c:orientation val="minMax"/>
        </c:scaling>
        <c:delete val="0"/>
        <c:axPos val="b"/>
        <c:numFmt formatCode="General" sourceLinked="1"/>
        <c:majorTickMark val="out"/>
        <c:minorTickMark val="none"/>
        <c:tickLblPos val="nextTo"/>
        <c:crossAx val="305820184"/>
        <c:crosses val="autoZero"/>
        <c:auto val="1"/>
        <c:lblAlgn val="ctr"/>
        <c:lblOffset val="100"/>
        <c:noMultiLvlLbl val="0"/>
      </c:catAx>
      <c:valAx>
        <c:axId val="3058201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979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05821360"/>
        <c:axId val="305821752"/>
      </c:lineChart>
      <c:catAx>
        <c:axId val="305821360"/>
        <c:scaling>
          <c:orientation val="minMax"/>
        </c:scaling>
        <c:delete val="0"/>
        <c:axPos val="b"/>
        <c:numFmt formatCode="General" sourceLinked="1"/>
        <c:majorTickMark val="out"/>
        <c:minorTickMark val="none"/>
        <c:tickLblPos val="nextTo"/>
        <c:crossAx val="305821752"/>
        <c:crosses val="autoZero"/>
        <c:auto val="1"/>
        <c:lblAlgn val="ctr"/>
        <c:lblOffset val="100"/>
        <c:noMultiLvlLbl val="0"/>
      </c:catAx>
      <c:valAx>
        <c:axId val="3058217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2136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2</xdr:col>
      <xdr:colOff>333375</xdr:colOff>
      <xdr:row>0</xdr:row>
      <xdr:rowOff>28575</xdr:rowOff>
    </xdr:from>
    <xdr:to>
      <xdr:col>7</xdr:col>
      <xdr:colOff>85725</xdr:colOff>
      <xdr:row>5</xdr:row>
      <xdr:rowOff>171450</xdr:rowOff>
    </xdr:to>
    <xdr:pic>
      <xdr:nvPicPr>
        <xdr:cNvPr id="2" name="Picture 1">
          <a:extLst>
            <a:ext uri="{FF2B5EF4-FFF2-40B4-BE49-F238E27FC236}">
              <a16:creationId xmlns:a16="http://schemas.microsoft.com/office/drawing/2014/main" id="{00000000-0008-0000-0000-000002000000}"/>
            </a:ext>
            <a:ext uri="{147F2762-F138-4A5C-976F-8EAC2B608ADB}">
              <a16:predDERef xmlns:a16="http://schemas.microsoft.com/office/drawing/2014/main" pred="{00000000-0008-0000-0000-000002240000}"/>
            </a:ext>
          </a:extLst>
        </xdr:cNvPr>
        <xdr:cNvPicPr>
          <a:picLocks noChangeAspect="1"/>
        </xdr:cNvPicPr>
      </xdr:nvPicPr>
      <xdr:blipFill>
        <a:blip xmlns:r="http://schemas.openxmlformats.org/officeDocument/2006/relationships" r:embed="rId1"/>
        <a:stretch>
          <a:fillRect/>
        </a:stretch>
      </xdr:blipFill>
      <xdr:spPr>
        <a:xfrm>
          <a:off x="1924050" y="28575"/>
          <a:ext cx="2847975" cy="1095375"/>
        </a:xfrm>
        <a:prstGeom prst="rect">
          <a:avLst/>
        </a:prstGeom>
      </xdr:spPr>
    </xdr:pic>
    <xdr:clientData/>
  </xdr:twoCellAnchor>
  <xdr:twoCellAnchor editAs="oneCell">
    <xdr:from>
      <xdr:col>0</xdr:col>
      <xdr:colOff>609600</xdr:colOff>
      <xdr:row>6</xdr:row>
      <xdr:rowOff>152400</xdr:rowOff>
    </xdr:from>
    <xdr:to>
      <xdr:col>9</xdr:col>
      <xdr:colOff>133350</xdr:colOff>
      <xdr:row>23</xdr:row>
      <xdr:rowOff>142875</xdr:rowOff>
    </xdr:to>
    <xdr:pic>
      <xdr:nvPicPr>
        <xdr:cNvPr id="3" name="Picture 2">
          <a:extLst>
            <a:ext uri="{FF2B5EF4-FFF2-40B4-BE49-F238E27FC236}">
              <a16:creationId xmlns:a16="http://schemas.microsoft.com/office/drawing/2014/main" id="{00000000-0008-0000-0000-000003000000}"/>
            </a:ext>
            <a:ext uri="{147F2762-F138-4A5C-976F-8EAC2B608ADB}">
              <a16:predDERef xmlns:a16="http://schemas.microsoft.com/office/drawing/2014/main" pred="{F1F90BAE-EC05-6D5C-8CF0-6951B5CA83A9}"/>
            </a:ext>
          </a:extLst>
        </xdr:cNvPr>
        <xdr:cNvPicPr>
          <a:picLocks noChangeAspect="1"/>
        </xdr:cNvPicPr>
      </xdr:nvPicPr>
      <xdr:blipFill>
        <a:blip xmlns:r="http://schemas.openxmlformats.org/officeDocument/2006/relationships" r:embed="rId2"/>
        <a:stretch>
          <a:fillRect/>
        </a:stretch>
      </xdr:blipFill>
      <xdr:spPr>
        <a:xfrm>
          <a:off x="609600" y="1295400"/>
          <a:ext cx="5448300" cy="3238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robert.Fontana@thalia.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zoomScaleNormal="100" workbookViewId="0">
      <selection activeCell="O26" sqref="O26"/>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142"/>
      <c r="C1" s="142"/>
      <c r="D1" s="194" t="s">
        <v>0</v>
      </c>
      <c r="E1" s="194"/>
      <c r="F1" s="194"/>
      <c r="G1" s="194"/>
      <c r="H1" s="142"/>
      <c r="I1" s="142"/>
      <c r="J1" s="142"/>
      <c r="K1" s="142"/>
      <c r="L1" s="142"/>
      <c r="M1" s="142"/>
      <c r="N1" s="142"/>
      <c r="O1" s="142"/>
      <c r="P1" s="142"/>
    </row>
    <row r="2" spans="2:16">
      <c r="B2" s="142"/>
      <c r="C2" s="142"/>
      <c r="D2" s="194"/>
      <c r="E2" s="194"/>
      <c r="F2" s="194"/>
      <c r="G2" s="194"/>
      <c r="H2" s="142"/>
      <c r="I2" s="142"/>
      <c r="J2" s="142"/>
      <c r="K2" s="142"/>
      <c r="L2" s="142"/>
      <c r="M2" s="142"/>
      <c r="N2" s="142" t="s">
        <v>1</v>
      </c>
      <c r="O2" s="142"/>
      <c r="P2" s="143"/>
    </row>
    <row r="3" spans="2:16">
      <c r="B3" s="142"/>
      <c r="C3" s="142"/>
      <c r="D3" s="194"/>
      <c r="E3" s="194"/>
      <c r="F3" s="194"/>
      <c r="G3" s="194"/>
      <c r="H3" s="142"/>
      <c r="I3" s="142"/>
      <c r="J3" s="142"/>
      <c r="K3" s="142"/>
      <c r="L3" s="142"/>
      <c r="M3" s="142"/>
      <c r="N3" s="143"/>
      <c r="O3" s="142"/>
      <c r="P3" s="142"/>
    </row>
    <row r="4" spans="2:16">
      <c r="B4" s="142"/>
      <c r="C4" s="142"/>
      <c r="D4" s="194"/>
      <c r="E4" s="194"/>
      <c r="F4" s="194"/>
      <c r="G4" s="194"/>
      <c r="H4" s="142"/>
      <c r="I4" s="142"/>
      <c r="J4" s="142"/>
      <c r="K4" s="142"/>
      <c r="L4" s="142"/>
      <c r="M4" s="142"/>
      <c r="N4" s="142"/>
      <c r="O4" s="142"/>
      <c r="P4" s="142"/>
    </row>
    <row r="5" spans="2:16">
      <c r="B5" s="142"/>
      <c r="C5" s="142"/>
      <c r="D5" s="194"/>
      <c r="E5" s="194"/>
      <c r="F5" s="194"/>
      <c r="G5" s="194"/>
      <c r="H5" s="142"/>
      <c r="I5" s="142"/>
      <c r="J5" s="142"/>
      <c r="K5" s="142"/>
      <c r="L5" s="142"/>
      <c r="M5" s="142"/>
      <c r="N5" s="142"/>
      <c r="O5" s="142"/>
      <c r="P5" s="142"/>
    </row>
    <row r="6" spans="2:16">
      <c r="B6" s="142"/>
      <c r="C6" s="142"/>
      <c r="D6" s="194"/>
      <c r="E6" s="194"/>
      <c r="F6" s="194"/>
      <c r="G6" s="194"/>
      <c r="H6" s="142"/>
      <c r="I6" s="142"/>
      <c r="J6" s="142"/>
      <c r="K6" s="142"/>
      <c r="L6" s="142"/>
      <c r="M6" s="142"/>
      <c r="N6" s="142"/>
      <c r="O6" s="142"/>
      <c r="P6" s="142"/>
    </row>
    <row r="8" spans="2:16" ht="15.75" customHeight="1">
      <c r="B8" s="194" t="s">
        <v>2</v>
      </c>
      <c r="C8" s="194"/>
      <c r="D8" s="194"/>
      <c r="E8" s="194"/>
      <c r="F8" s="194"/>
      <c r="G8" s="194"/>
      <c r="H8" s="194"/>
      <c r="I8" s="194"/>
      <c r="J8" s="142"/>
      <c r="K8" s="142"/>
      <c r="L8" s="142"/>
      <c r="M8" s="142"/>
      <c r="N8" s="120"/>
      <c r="O8" s="142"/>
      <c r="P8" s="142"/>
    </row>
    <row r="9" spans="2:16">
      <c r="B9" s="194"/>
      <c r="C9" s="194"/>
      <c r="D9" s="194"/>
      <c r="E9" s="194"/>
      <c r="F9" s="194"/>
      <c r="G9" s="194"/>
      <c r="H9" s="194"/>
      <c r="I9" s="194"/>
      <c r="J9" s="142"/>
      <c r="K9" s="142"/>
      <c r="L9" s="142"/>
      <c r="M9" s="142"/>
      <c r="N9" s="142"/>
      <c r="O9" s="142"/>
      <c r="P9" s="142"/>
    </row>
    <row r="10" spans="2:16">
      <c r="B10" s="194"/>
      <c r="C10" s="194"/>
      <c r="D10" s="194"/>
      <c r="E10" s="194"/>
      <c r="F10" s="194"/>
      <c r="G10" s="194"/>
      <c r="H10" s="194"/>
      <c r="I10" s="194"/>
      <c r="J10" s="142"/>
      <c r="K10" s="142"/>
      <c r="L10" s="142"/>
      <c r="M10" s="142"/>
      <c r="N10" s="142"/>
      <c r="O10" s="142"/>
      <c r="P10" s="142"/>
    </row>
    <row r="11" spans="2:16">
      <c r="B11" s="194"/>
      <c r="C11" s="194"/>
      <c r="D11" s="194"/>
      <c r="E11" s="194"/>
      <c r="F11" s="194"/>
      <c r="G11" s="194"/>
      <c r="H11" s="194"/>
      <c r="I11" s="194"/>
      <c r="J11" s="142"/>
      <c r="K11" s="142"/>
      <c r="L11" s="142"/>
      <c r="M11" s="142"/>
      <c r="N11" s="142"/>
      <c r="O11" s="142"/>
      <c r="P11" s="142"/>
    </row>
    <row r="12" spans="2:16">
      <c r="B12" s="194"/>
      <c r="C12" s="194"/>
      <c r="D12" s="194"/>
      <c r="E12" s="194"/>
      <c r="F12" s="194"/>
      <c r="G12" s="194"/>
      <c r="H12" s="194"/>
      <c r="I12" s="194"/>
      <c r="J12" s="142"/>
      <c r="K12" s="142"/>
      <c r="L12" s="142"/>
      <c r="M12" s="142"/>
      <c r="N12" s="142"/>
      <c r="O12" s="142"/>
      <c r="P12" s="142"/>
    </row>
    <row r="13" spans="2:16" ht="15.6">
      <c r="B13" s="194"/>
      <c r="C13" s="194"/>
      <c r="D13" s="194"/>
      <c r="E13" s="194"/>
      <c r="F13" s="194"/>
      <c r="G13" s="194"/>
      <c r="H13" s="194"/>
      <c r="I13" s="194"/>
      <c r="J13" s="142"/>
      <c r="K13" s="142"/>
      <c r="L13" s="142"/>
      <c r="M13" s="142"/>
      <c r="N13" s="127" t="s">
        <v>3</v>
      </c>
      <c r="O13" s="125"/>
      <c r="P13" s="125"/>
    </row>
    <row r="14" spans="2:16" ht="15.6" customHeight="1">
      <c r="B14" s="194"/>
      <c r="C14" s="194"/>
      <c r="D14" s="194"/>
      <c r="E14" s="194"/>
      <c r="F14" s="194"/>
      <c r="G14" s="194"/>
      <c r="H14" s="194"/>
      <c r="I14" s="194"/>
      <c r="J14" s="142"/>
      <c r="K14" s="142"/>
      <c r="L14" s="142"/>
      <c r="M14" s="142"/>
      <c r="N14" s="192" t="s">
        <v>4</v>
      </c>
      <c r="O14" s="192"/>
      <c r="P14" s="192"/>
    </row>
    <row r="15" spans="2:16">
      <c r="B15" s="194"/>
      <c r="C15" s="194"/>
      <c r="D15" s="194"/>
      <c r="E15" s="194"/>
      <c r="F15" s="194"/>
      <c r="G15" s="194"/>
      <c r="H15" s="194"/>
      <c r="I15" s="194"/>
      <c r="J15" s="142"/>
      <c r="K15" s="142"/>
      <c r="L15" s="142"/>
      <c r="M15" s="142"/>
      <c r="N15" s="192"/>
      <c r="O15" s="192"/>
      <c r="P15" s="192"/>
    </row>
    <row r="16" spans="2:16">
      <c r="B16" s="194"/>
      <c r="C16" s="194"/>
      <c r="D16" s="194"/>
      <c r="E16" s="194"/>
      <c r="F16" s="194"/>
      <c r="G16" s="194"/>
      <c r="H16" s="194"/>
      <c r="I16" s="194"/>
      <c r="J16" s="142"/>
      <c r="K16" s="142"/>
      <c r="L16" s="142"/>
      <c r="M16" s="142"/>
      <c r="N16" s="192"/>
      <c r="O16" s="192"/>
      <c r="P16" s="192"/>
    </row>
    <row r="17" spans="2:16">
      <c r="B17" s="194"/>
      <c r="C17" s="194"/>
      <c r="D17" s="194"/>
      <c r="E17" s="194"/>
      <c r="F17" s="194"/>
      <c r="G17" s="194"/>
      <c r="H17" s="194"/>
      <c r="I17" s="194"/>
      <c r="J17" s="142"/>
      <c r="K17" s="142"/>
      <c r="L17" s="142"/>
      <c r="M17" s="142"/>
      <c r="N17" s="192"/>
      <c r="O17" s="192"/>
      <c r="P17" s="192"/>
    </row>
    <row r="18" spans="2:16">
      <c r="B18" s="194"/>
      <c r="C18" s="194"/>
      <c r="D18" s="194"/>
      <c r="E18" s="194"/>
      <c r="F18" s="194"/>
      <c r="G18" s="194"/>
      <c r="H18" s="194"/>
      <c r="I18" s="194"/>
      <c r="J18" s="142"/>
      <c r="K18" s="142"/>
      <c r="L18" s="142"/>
      <c r="M18" s="142"/>
      <c r="N18" s="192"/>
      <c r="O18" s="192"/>
      <c r="P18" s="192"/>
    </row>
    <row r="19" spans="2:16">
      <c r="B19" s="194"/>
      <c r="C19" s="194"/>
      <c r="D19" s="194"/>
      <c r="E19" s="194"/>
      <c r="F19" s="194"/>
      <c r="G19" s="194"/>
      <c r="H19" s="194"/>
      <c r="I19" s="194"/>
      <c r="J19" s="142"/>
      <c r="K19" s="142"/>
      <c r="L19" s="142"/>
      <c r="M19" s="142"/>
      <c r="N19" s="192"/>
      <c r="O19" s="192"/>
      <c r="P19" s="192"/>
    </row>
    <row r="20" spans="2:16">
      <c r="B20" s="194"/>
      <c r="C20" s="194"/>
      <c r="D20" s="194"/>
      <c r="E20" s="194"/>
      <c r="F20" s="194"/>
      <c r="G20" s="194"/>
      <c r="H20" s="194"/>
      <c r="I20" s="194"/>
      <c r="J20" s="142"/>
      <c r="K20" s="142"/>
      <c r="L20" s="142"/>
      <c r="M20" s="142"/>
      <c r="N20" s="142"/>
      <c r="O20" s="142"/>
      <c r="P20" s="142"/>
    </row>
    <row r="21" spans="2:16">
      <c r="B21" s="194"/>
      <c r="C21" s="194"/>
      <c r="D21" s="194"/>
      <c r="E21" s="194"/>
      <c r="F21" s="194"/>
      <c r="G21" s="194"/>
      <c r="H21" s="194"/>
      <c r="I21" s="194"/>
      <c r="J21" s="142"/>
      <c r="K21" s="142"/>
      <c r="L21" s="142"/>
      <c r="M21" s="142"/>
      <c r="N21" s="142"/>
      <c r="O21" s="142"/>
      <c r="P21" s="142"/>
    </row>
    <row r="22" spans="2:16">
      <c r="B22" s="194"/>
      <c r="C22" s="194"/>
      <c r="D22" s="194"/>
      <c r="E22" s="194"/>
      <c r="F22" s="194"/>
      <c r="G22" s="194"/>
      <c r="H22" s="194"/>
      <c r="I22" s="194"/>
      <c r="J22" s="142"/>
      <c r="K22" s="142"/>
      <c r="L22" s="142"/>
      <c r="M22" s="142"/>
      <c r="N22" s="142"/>
      <c r="O22" s="142"/>
      <c r="P22" s="142"/>
    </row>
    <row r="23" spans="2:16">
      <c r="B23" s="194"/>
      <c r="C23" s="194"/>
      <c r="D23" s="194"/>
      <c r="E23" s="194"/>
      <c r="F23" s="194"/>
      <c r="G23" s="194"/>
      <c r="H23" s="194"/>
      <c r="I23" s="194"/>
      <c r="J23" s="142"/>
      <c r="K23" s="142"/>
      <c r="L23" s="142"/>
      <c r="M23" s="142"/>
      <c r="N23" s="142"/>
      <c r="O23" s="142"/>
      <c r="P23" s="142"/>
    </row>
    <row r="24" spans="2:16">
      <c r="B24" s="194"/>
      <c r="C24" s="194"/>
      <c r="D24" s="194"/>
      <c r="E24" s="194"/>
      <c r="F24" s="194"/>
      <c r="G24" s="194"/>
      <c r="H24" s="194"/>
      <c r="I24" s="194"/>
      <c r="J24" s="142"/>
      <c r="K24" s="142"/>
      <c r="L24" s="142"/>
      <c r="M24" s="142"/>
      <c r="N24" s="142"/>
      <c r="O24" s="142"/>
      <c r="P24" s="142"/>
    </row>
    <row r="29" spans="2:16" ht="17.45">
      <c r="B29" s="193" t="s">
        <v>5</v>
      </c>
      <c r="C29" s="193"/>
      <c r="D29" s="193"/>
      <c r="E29" s="193"/>
      <c r="F29" s="193"/>
      <c r="G29" s="193"/>
      <c r="H29" s="193"/>
      <c r="I29" s="193"/>
      <c r="J29" s="142"/>
      <c r="K29" s="142"/>
      <c r="L29" s="142"/>
      <c r="M29" s="142"/>
      <c r="N29" s="142"/>
      <c r="O29" s="142"/>
      <c r="P29" s="142"/>
    </row>
    <row r="30" spans="2:16" ht="17.45">
      <c r="B30" s="142"/>
      <c r="C30" s="7"/>
      <c r="D30" s="8"/>
      <c r="E30" s="8"/>
      <c r="F30" s="8"/>
      <c r="G30" s="8"/>
      <c r="H30" s="8"/>
      <c r="I30" s="8"/>
      <c r="J30" s="142"/>
      <c r="K30" s="142"/>
      <c r="L30" s="142"/>
      <c r="M30" s="142"/>
      <c r="N30" s="142"/>
      <c r="O30" s="142"/>
      <c r="P30" s="142"/>
    </row>
    <row r="31" spans="2:16" ht="17.45">
      <c r="B31" s="193" t="s">
        <v>6</v>
      </c>
      <c r="C31" s="193"/>
      <c r="D31" s="193"/>
      <c r="E31" s="193"/>
      <c r="F31" s="193"/>
      <c r="G31" s="193"/>
      <c r="H31" s="193"/>
      <c r="I31" s="193"/>
      <c r="J31" s="142"/>
      <c r="K31" s="142"/>
      <c r="L31" s="142"/>
      <c r="M31" s="142"/>
      <c r="N31" s="142"/>
      <c r="O31" s="142"/>
      <c r="P31" s="142"/>
    </row>
    <row r="32" spans="2:16" ht="17.45">
      <c r="B32" s="142"/>
      <c r="C32" s="7"/>
      <c r="D32" s="8"/>
      <c r="E32" s="8"/>
      <c r="F32" s="8"/>
      <c r="G32" s="8"/>
      <c r="H32" s="8"/>
      <c r="I32" s="8"/>
      <c r="J32" s="142"/>
      <c r="K32" s="142"/>
      <c r="L32" s="142"/>
      <c r="M32" s="142"/>
      <c r="N32" s="142"/>
      <c r="O32" s="142"/>
      <c r="P32" s="142"/>
    </row>
    <row r="33" spans="2:9" ht="17.45">
      <c r="B33" s="193" t="s">
        <v>7</v>
      </c>
      <c r="C33" s="193"/>
      <c r="D33" s="193"/>
      <c r="E33" s="193"/>
      <c r="F33" s="193"/>
      <c r="G33" s="193"/>
      <c r="H33" s="193"/>
      <c r="I33" s="193"/>
    </row>
    <row r="34" spans="2:9" ht="17.45">
      <c r="B34" s="142"/>
      <c r="C34" s="7"/>
      <c r="D34" s="8"/>
      <c r="E34" s="8"/>
      <c r="F34" s="8"/>
      <c r="G34" s="8"/>
      <c r="H34" s="8"/>
      <c r="I34" s="8"/>
    </row>
    <row r="35" spans="2:9" ht="17.45">
      <c r="B35" s="193" t="s">
        <v>8</v>
      </c>
      <c r="C35" s="193"/>
      <c r="D35" s="193"/>
      <c r="E35" s="193"/>
      <c r="F35" s="193"/>
      <c r="G35" s="193"/>
      <c r="H35" s="193"/>
      <c r="I35" s="193"/>
    </row>
    <row r="37" spans="2:9" ht="18" customHeight="1">
      <c r="B37" s="198" t="s">
        <v>9</v>
      </c>
      <c r="C37" s="198"/>
      <c r="D37" s="198"/>
      <c r="E37" s="198"/>
      <c r="F37" s="198"/>
      <c r="G37" s="198"/>
      <c r="H37" s="198"/>
      <c r="I37" s="198"/>
    </row>
    <row r="39" spans="2:9">
      <c r="B39" s="142" t="s">
        <v>10</v>
      </c>
      <c r="C39" s="144">
        <v>2022</v>
      </c>
      <c r="D39" s="142"/>
      <c r="E39" s="142"/>
      <c r="F39" s="142"/>
      <c r="G39" s="142"/>
      <c r="H39" s="142"/>
      <c r="I39" s="142"/>
    </row>
    <row r="40" spans="2:9" ht="14.25" customHeight="1">
      <c r="B40" s="142"/>
      <c r="C40" s="142"/>
      <c r="D40" s="142"/>
      <c r="E40" s="142"/>
      <c r="F40" s="142"/>
      <c r="G40" s="142"/>
      <c r="H40" s="142"/>
      <c r="I40" s="142"/>
    </row>
    <row r="41" spans="2:9" ht="15" customHeight="1">
      <c r="B41" s="145" t="s">
        <v>11</v>
      </c>
      <c r="C41" s="432" t="s">
        <v>12</v>
      </c>
      <c r="D41" s="432"/>
      <c r="E41" s="432"/>
      <c r="F41" s="432"/>
      <c r="G41" s="432"/>
      <c r="H41" s="432"/>
      <c r="I41" s="432"/>
    </row>
    <row r="42" spans="2:9">
      <c r="B42" s="145"/>
      <c r="C42" s="142"/>
      <c r="D42" s="142"/>
      <c r="E42" s="142"/>
      <c r="F42" s="142"/>
      <c r="G42" s="142"/>
      <c r="H42" s="142"/>
      <c r="I42" s="142"/>
    </row>
    <row r="43" spans="2:9">
      <c r="B43" s="145" t="s">
        <v>13</v>
      </c>
      <c r="C43" s="195"/>
      <c r="D43" s="195"/>
      <c r="E43" s="195"/>
      <c r="F43" s="142"/>
      <c r="G43" s="142"/>
      <c r="H43" s="142"/>
      <c r="I43" s="142"/>
    </row>
    <row r="44" spans="2:9">
      <c r="B44" s="145"/>
      <c r="C44" s="142"/>
      <c r="D44" s="142"/>
      <c r="E44" s="142"/>
      <c r="F44" s="142"/>
      <c r="G44" s="142"/>
      <c r="H44" s="142"/>
      <c r="I44" s="142"/>
    </row>
    <row r="45" spans="2:9" ht="15" customHeight="1">
      <c r="B45" s="145" t="s">
        <v>14</v>
      </c>
      <c r="C45" s="199" t="s">
        <v>15</v>
      </c>
      <c r="D45" s="199"/>
      <c r="E45" s="199"/>
      <c r="F45" s="199"/>
      <c r="G45" s="199"/>
      <c r="H45" s="199"/>
      <c r="I45" s="199"/>
    </row>
    <row r="46" spans="2:9">
      <c r="B46" s="145"/>
      <c r="C46" s="142"/>
      <c r="D46" s="142"/>
      <c r="E46" s="142"/>
      <c r="F46" s="142"/>
      <c r="G46" s="142"/>
      <c r="H46" s="142"/>
      <c r="I46" s="142"/>
    </row>
    <row r="47" spans="2:9" ht="15" customHeight="1">
      <c r="B47" s="145" t="s">
        <v>16</v>
      </c>
      <c r="C47" s="432" t="s">
        <v>17</v>
      </c>
      <c r="D47" s="432"/>
      <c r="E47" s="142"/>
      <c r="F47" s="142" t="s">
        <v>18</v>
      </c>
      <c r="G47" s="432" t="s">
        <v>19</v>
      </c>
      <c r="H47" s="432"/>
      <c r="I47" s="432"/>
    </row>
    <row r="48" spans="2:9">
      <c r="B48" s="145"/>
      <c r="C48" s="142"/>
      <c r="D48" s="142"/>
      <c r="E48" s="142"/>
      <c r="F48" s="142"/>
      <c r="G48" s="142"/>
      <c r="H48" s="142"/>
      <c r="I48" s="142"/>
    </row>
    <row r="49" spans="2:9">
      <c r="B49" s="145" t="s">
        <v>20</v>
      </c>
      <c r="C49" s="195"/>
      <c r="D49" s="195"/>
      <c r="E49" s="142"/>
      <c r="F49" s="142" t="s">
        <v>18</v>
      </c>
      <c r="G49" s="195"/>
      <c r="H49" s="195"/>
      <c r="I49" s="195"/>
    </row>
    <row r="50" spans="2:9">
      <c r="B50" s="145"/>
      <c r="C50" s="142"/>
      <c r="D50" s="142"/>
      <c r="E50" s="142"/>
      <c r="F50" s="142"/>
      <c r="G50" s="142"/>
      <c r="H50" s="142"/>
      <c r="I50" s="142"/>
    </row>
    <row r="51" spans="2:9">
      <c r="B51" s="145" t="s">
        <v>21</v>
      </c>
      <c r="C51" s="144"/>
      <c r="D51" s="142"/>
      <c r="E51" s="142"/>
      <c r="F51" s="142"/>
      <c r="G51" s="142"/>
      <c r="H51" s="142"/>
      <c r="I51" s="142"/>
    </row>
    <row r="52" spans="2:9">
      <c r="B52" s="145"/>
      <c r="C52" s="142"/>
      <c r="D52" s="142"/>
      <c r="E52" s="142"/>
      <c r="F52" s="142"/>
      <c r="G52" s="142"/>
      <c r="H52" s="142"/>
      <c r="I52" s="142"/>
    </row>
    <row r="53" spans="2:9" ht="15" customHeight="1">
      <c r="B53" s="145" t="s">
        <v>22</v>
      </c>
      <c r="C53" s="196">
        <v>44957</v>
      </c>
      <c r="D53" s="197"/>
      <c r="E53" s="142"/>
      <c r="F53" s="142"/>
      <c r="G53" s="142"/>
      <c r="H53" s="142"/>
      <c r="I53" s="142"/>
    </row>
  </sheetData>
  <mergeCells count="16">
    <mergeCell ref="C49:D49"/>
    <mergeCell ref="G49:I49"/>
    <mergeCell ref="C53:D53"/>
    <mergeCell ref="B37:I37"/>
    <mergeCell ref="C41:I41"/>
    <mergeCell ref="C43:E43"/>
    <mergeCell ref="C47:D47"/>
    <mergeCell ref="G47:I47"/>
    <mergeCell ref="C45:I45"/>
    <mergeCell ref="N14:P19"/>
    <mergeCell ref="B35:I35"/>
    <mergeCell ref="D1:G6"/>
    <mergeCell ref="B8:I24"/>
    <mergeCell ref="B29:I29"/>
    <mergeCell ref="B31:I31"/>
    <mergeCell ref="B33:I33"/>
  </mergeCells>
  <hyperlinks>
    <hyperlink ref="C45:I45" r:id="rId1" display="robert.Fontana@thalia.co.uk" xr:uid="{F370C86F-FD72-443A-8382-1B81C53EAC90}"/>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5"/>
  <sheetViews>
    <sheetView showGridLines="0" zoomScaleNormal="100" workbookViewId="0">
      <selection activeCell="K28" sqref="K28"/>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142" t="str">
        <f>+'Cover Page'!$B$29</f>
        <v>Annual Performance Report 2022</v>
      </c>
      <c r="B1" s="142"/>
      <c r="C1" s="142"/>
      <c r="D1" s="142"/>
      <c r="E1" s="142" t="str">
        <f>+'Cover Page'!$B$33</f>
        <v>Name of Facility: Thalia MK ODC Limited</v>
      </c>
      <c r="F1" s="142"/>
      <c r="G1" s="142"/>
      <c r="H1" s="142"/>
      <c r="I1" s="142"/>
      <c r="J1" s="142"/>
      <c r="K1" s="142"/>
      <c r="L1" s="142"/>
      <c r="M1" s="142"/>
      <c r="N1" s="142"/>
      <c r="O1" s="142"/>
    </row>
    <row r="3" spans="1:15" ht="15.6">
      <c r="A3" s="98" t="s">
        <v>23</v>
      </c>
      <c r="B3" s="146"/>
      <c r="C3" s="146"/>
      <c r="D3" s="146"/>
      <c r="E3" s="146"/>
      <c r="F3" s="146"/>
      <c r="G3" s="146"/>
      <c r="H3" s="147"/>
      <c r="I3" s="142"/>
      <c r="J3" s="142"/>
      <c r="K3" s="127" t="s">
        <v>3</v>
      </c>
      <c r="L3" s="142"/>
      <c r="M3" s="142"/>
      <c r="N3" s="142"/>
      <c r="O3" s="142"/>
    </row>
    <row r="4" spans="1:15" ht="15.6">
      <c r="A4" s="5" t="s">
        <v>24</v>
      </c>
      <c r="B4" s="201" t="s">
        <v>25</v>
      </c>
      <c r="C4" s="201"/>
      <c r="D4" s="201"/>
      <c r="E4" s="201"/>
      <c r="F4" s="201"/>
      <c r="G4" s="201"/>
      <c r="H4" s="6" t="s">
        <v>26</v>
      </c>
      <c r="I4" s="142"/>
      <c r="J4" s="142"/>
      <c r="K4" s="125" t="s">
        <v>27</v>
      </c>
      <c r="L4" s="142"/>
      <c r="M4" s="142"/>
      <c r="N4" s="142"/>
      <c r="O4" s="142"/>
    </row>
    <row r="5" spans="1:15" ht="15.6" customHeight="1">
      <c r="A5" s="4"/>
      <c r="B5" s="200" t="s">
        <v>28</v>
      </c>
      <c r="C5" s="200"/>
      <c r="D5" s="200"/>
      <c r="E5" s="200"/>
      <c r="F5" s="200"/>
      <c r="G5" s="200"/>
      <c r="H5" s="4"/>
      <c r="I5" s="142"/>
      <c r="J5" s="142"/>
      <c r="K5" s="192" t="s">
        <v>29</v>
      </c>
      <c r="L5" s="192"/>
      <c r="M5" s="192"/>
      <c r="N5" s="192"/>
      <c r="O5" s="192"/>
    </row>
    <row r="6" spans="1:15">
      <c r="A6" s="4"/>
      <c r="B6" s="200" t="s">
        <v>30</v>
      </c>
      <c r="C6" s="200"/>
      <c r="D6" s="200"/>
      <c r="E6" s="200"/>
      <c r="F6" s="200"/>
      <c r="G6" s="200"/>
      <c r="H6" s="4"/>
      <c r="I6" s="142"/>
      <c r="J6" s="142"/>
      <c r="K6" s="192"/>
      <c r="L6" s="192"/>
      <c r="M6" s="192"/>
      <c r="N6" s="192"/>
      <c r="O6" s="192"/>
    </row>
    <row r="7" spans="1:15" ht="15.75" customHeight="1">
      <c r="A7" s="4"/>
      <c r="B7" s="200" t="s">
        <v>31</v>
      </c>
      <c r="C7" s="200"/>
      <c r="D7" s="200"/>
      <c r="E7" s="200"/>
      <c r="F7" s="200"/>
      <c r="G7" s="200"/>
      <c r="H7" s="4"/>
      <c r="I7" s="142"/>
      <c r="J7" s="142"/>
      <c r="K7" s="192"/>
      <c r="L7" s="192"/>
      <c r="M7" s="192"/>
      <c r="N7" s="192"/>
      <c r="O7" s="192"/>
    </row>
    <row r="8" spans="1:15">
      <c r="A8" s="4"/>
      <c r="B8" s="200" t="s">
        <v>32</v>
      </c>
      <c r="C8" s="200"/>
      <c r="D8" s="200"/>
      <c r="E8" s="200"/>
      <c r="F8" s="200"/>
      <c r="G8" s="200"/>
      <c r="H8" s="4"/>
      <c r="I8" s="142"/>
      <c r="J8" s="142"/>
      <c r="K8" s="192"/>
      <c r="L8" s="192"/>
      <c r="M8" s="192"/>
      <c r="N8" s="192"/>
      <c r="O8" s="192"/>
    </row>
    <row r="9" spans="1:15">
      <c r="A9" s="4"/>
      <c r="B9" s="200" t="s">
        <v>33</v>
      </c>
      <c r="C9" s="200"/>
      <c r="D9" s="200"/>
      <c r="E9" s="200"/>
      <c r="F9" s="200"/>
      <c r="G9" s="200"/>
      <c r="H9" s="4"/>
      <c r="I9" s="142"/>
      <c r="J9" s="142"/>
      <c r="K9" s="142"/>
      <c r="L9" s="142"/>
      <c r="M9" s="142"/>
      <c r="N9" s="142"/>
      <c r="O9" s="142"/>
    </row>
    <row r="10" spans="1:15">
      <c r="A10" s="4"/>
      <c r="B10" s="200" t="s">
        <v>34</v>
      </c>
      <c r="C10" s="200"/>
      <c r="D10" s="200"/>
      <c r="E10" s="200"/>
      <c r="F10" s="200"/>
      <c r="G10" s="200"/>
      <c r="H10" s="4"/>
      <c r="I10" s="142"/>
      <c r="J10" s="142"/>
      <c r="K10" s="142"/>
      <c r="L10" s="142"/>
      <c r="M10" s="142"/>
      <c r="N10" s="142"/>
      <c r="O10" s="142"/>
    </row>
    <row r="11" spans="1:15">
      <c r="A11" s="4"/>
      <c r="B11" s="200" t="s">
        <v>35</v>
      </c>
      <c r="C11" s="200"/>
      <c r="D11" s="200"/>
      <c r="E11" s="200"/>
      <c r="F11" s="200"/>
      <c r="G11" s="200"/>
      <c r="H11" s="4"/>
      <c r="I11" s="142"/>
      <c r="J11" s="142"/>
      <c r="K11" s="142"/>
      <c r="L11" s="142"/>
      <c r="M11" s="142"/>
      <c r="N11" s="142"/>
      <c r="O11" s="142"/>
    </row>
    <row r="12" spans="1:15">
      <c r="A12" s="4"/>
      <c r="B12" s="200" t="s">
        <v>36</v>
      </c>
      <c r="C12" s="200"/>
      <c r="D12" s="200"/>
      <c r="E12" s="200"/>
      <c r="F12" s="200"/>
      <c r="G12" s="200"/>
      <c r="H12" s="4"/>
      <c r="I12" s="142"/>
      <c r="J12" s="142"/>
      <c r="K12" s="142"/>
      <c r="L12" s="142"/>
      <c r="M12" s="142"/>
      <c r="N12" s="142"/>
      <c r="O12" s="142"/>
    </row>
    <row r="13" spans="1:15">
      <c r="A13" s="4"/>
      <c r="B13" s="200" t="s">
        <v>37</v>
      </c>
      <c r="C13" s="200"/>
      <c r="D13" s="200"/>
      <c r="E13" s="200"/>
      <c r="F13" s="200"/>
      <c r="G13" s="200"/>
      <c r="H13" s="4"/>
      <c r="I13" s="142"/>
      <c r="J13" s="142"/>
      <c r="K13" s="142"/>
      <c r="L13" s="142"/>
      <c r="M13" s="142"/>
      <c r="N13" s="142"/>
      <c r="O13" s="142"/>
    </row>
    <row r="14" spans="1:15">
      <c r="A14" s="4"/>
      <c r="B14" s="200" t="s">
        <v>38</v>
      </c>
      <c r="C14" s="200"/>
      <c r="D14" s="200"/>
      <c r="E14" s="200"/>
      <c r="F14" s="200"/>
      <c r="G14" s="200"/>
      <c r="H14" s="4"/>
      <c r="I14" s="142"/>
      <c r="J14" s="142"/>
      <c r="K14" s="142"/>
      <c r="L14" s="142"/>
      <c r="M14" s="142"/>
      <c r="N14" s="142"/>
      <c r="O14" s="142"/>
    </row>
    <row r="15" spans="1:15">
      <c r="A15" s="4"/>
      <c r="B15" s="200" t="s">
        <v>39</v>
      </c>
      <c r="C15" s="200"/>
      <c r="D15" s="200"/>
      <c r="E15" s="200"/>
      <c r="F15" s="200"/>
      <c r="G15" s="200"/>
      <c r="H15" s="4"/>
      <c r="I15" s="142"/>
      <c r="J15" s="142"/>
      <c r="K15" s="142"/>
      <c r="L15" s="142"/>
      <c r="M15" s="142"/>
      <c r="N15" s="142"/>
      <c r="O15" s="142"/>
    </row>
    <row r="16" spans="1:15">
      <c r="A16" s="4"/>
      <c r="B16" s="200" t="s">
        <v>40</v>
      </c>
      <c r="C16" s="200"/>
      <c r="D16" s="200"/>
      <c r="E16" s="200"/>
      <c r="F16" s="200"/>
      <c r="G16" s="200"/>
      <c r="H16" s="4"/>
      <c r="I16" s="142"/>
      <c r="J16" s="142"/>
      <c r="K16" s="142"/>
      <c r="L16" s="142"/>
      <c r="M16" s="142"/>
      <c r="N16" s="142"/>
      <c r="O16" s="142"/>
    </row>
    <row r="17" spans="1:8">
      <c r="A17" s="4"/>
      <c r="B17" s="200" t="s">
        <v>41</v>
      </c>
      <c r="C17" s="200"/>
      <c r="D17" s="200"/>
      <c r="E17" s="200"/>
      <c r="F17" s="200"/>
      <c r="G17" s="200"/>
      <c r="H17" s="4"/>
    </row>
    <row r="18" spans="1:8">
      <c r="A18" s="4"/>
      <c r="B18" s="200" t="s">
        <v>42</v>
      </c>
      <c r="C18" s="200"/>
      <c r="D18" s="200"/>
      <c r="E18" s="200"/>
      <c r="F18" s="200"/>
      <c r="G18" s="200"/>
      <c r="H18" s="4"/>
    </row>
    <row r="19" spans="1:8">
      <c r="A19" s="4"/>
      <c r="B19" s="200" t="s">
        <v>43</v>
      </c>
      <c r="C19" s="200"/>
      <c r="D19" s="200"/>
      <c r="E19" s="200"/>
      <c r="F19" s="200"/>
      <c r="G19" s="200"/>
      <c r="H19" s="4"/>
    </row>
    <row r="20" spans="1:8">
      <c r="A20" s="4"/>
      <c r="B20" s="200" t="s">
        <v>44</v>
      </c>
      <c r="C20" s="200"/>
      <c r="D20" s="200"/>
      <c r="E20" s="200"/>
      <c r="F20" s="200"/>
      <c r="G20" s="200"/>
      <c r="H20" s="4"/>
    </row>
    <row r="21" spans="1:8">
      <c r="A21" s="4"/>
      <c r="B21" s="200" t="s">
        <v>45</v>
      </c>
      <c r="C21" s="200"/>
      <c r="D21" s="200"/>
      <c r="E21" s="200"/>
      <c r="F21" s="200"/>
      <c r="G21" s="200"/>
      <c r="H21" s="4"/>
    </row>
    <row r="22" spans="1:8">
      <c r="A22" s="4"/>
      <c r="B22" s="203" t="s">
        <v>46</v>
      </c>
      <c r="C22" s="204"/>
      <c r="D22" s="204"/>
      <c r="E22" s="204"/>
      <c r="F22" s="204"/>
      <c r="G22" s="205"/>
      <c r="H22" s="4"/>
    </row>
    <row r="23" spans="1:8">
      <c r="A23" s="4"/>
      <c r="B23" s="203" t="s">
        <v>47</v>
      </c>
      <c r="C23" s="204"/>
      <c r="D23" s="204"/>
      <c r="E23" s="204"/>
      <c r="F23" s="204"/>
      <c r="G23" s="205"/>
      <c r="H23" s="4"/>
    </row>
    <row r="24" spans="1:8">
      <c r="A24" s="4"/>
      <c r="B24" s="206"/>
      <c r="C24" s="206"/>
      <c r="D24" s="206"/>
      <c r="E24" s="206"/>
      <c r="F24" s="206"/>
      <c r="G24" s="206"/>
      <c r="H24" s="4"/>
    </row>
    <row r="26" spans="1:8">
      <c r="A26" s="97" t="s">
        <v>48</v>
      </c>
      <c r="B26" s="146"/>
      <c r="C26" s="146"/>
      <c r="D26" s="146"/>
      <c r="E26" s="146"/>
      <c r="F26" s="146"/>
      <c r="G26" s="146"/>
      <c r="H26" s="147"/>
    </row>
    <row r="27" spans="1:8">
      <c r="A27" s="10" t="s">
        <v>24</v>
      </c>
      <c r="B27" s="207" t="s">
        <v>49</v>
      </c>
      <c r="C27" s="207"/>
      <c r="D27" s="207"/>
      <c r="E27" s="207"/>
      <c r="F27" s="207"/>
      <c r="G27" s="207"/>
      <c r="H27" s="11" t="s">
        <v>50</v>
      </c>
    </row>
    <row r="28" spans="1:8">
      <c r="A28" s="12"/>
      <c r="B28" s="208"/>
      <c r="C28" s="208"/>
      <c r="D28" s="208"/>
      <c r="E28" s="208"/>
      <c r="F28" s="208"/>
      <c r="G28" s="208"/>
      <c r="H28" s="12"/>
    </row>
    <row r="29" spans="1:8">
      <c r="A29" s="12"/>
      <c r="B29" s="208"/>
      <c r="C29" s="208"/>
      <c r="D29" s="208"/>
      <c r="E29" s="208"/>
      <c r="F29" s="208"/>
      <c r="G29" s="208"/>
      <c r="H29" s="12"/>
    </row>
    <row r="30" spans="1:8">
      <c r="A30" s="12"/>
      <c r="B30" s="208"/>
      <c r="C30" s="208"/>
      <c r="D30" s="208"/>
      <c r="E30" s="208"/>
      <c r="F30" s="208"/>
      <c r="G30" s="208"/>
      <c r="H30" s="12"/>
    </row>
    <row r="31" spans="1:8">
      <c r="A31" s="12"/>
      <c r="B31" s="208"/>
      <c r="C31" s="208"/>
      <c r="D31" s="208"/>
      <c r="E31" s="208"/>
      <c r="F31" s="208"/>
      <c r="G31" s="208"/>
      <c r="H31" s="12"/>
    </row>
    <row r="32" spans="1:8">
      <c r="A32" s="12"/>
      <c r="B32" s="208"/>
      <c r="C32" s="208"/>
      <c r="D32" s="208"/>
      <c r="E32" s="208"/>
      <c r="F32" s="208"/>
      <c r="G32" s="208"/>
      <c r="H32" s="12"/>
    </row>
    <row r="34" spans="1:10" ht="14.25" customHeight="1">
      <c r="A34" s="97" t="s">
        <v>51</v>
      </c>
      <c r="B34" s="146"/>
      <c r="C34" s="146"/>
      <c r="D34" s="146"/>
      <c r="E34" s="146"/>
      <c r="F34" s="146"/>
      <c r="G34" s="146"/>
      <c r="H34" s="147"/>
      <c r="I34" s="142"/>
      <c r="J34" s="142"/>
    </row>
    <row r="35" spans="1:10">
      <c r="A35" s="15" t="s">
        <v>52</v>
      </c>
      <c r="B35" s="209" t="s">
        <v>53</v>
      </c>
      <c r="C35" s="209"/>
      <c r="D35" s="209"/>
      <c r="E35" s="209"/>
      <c r="F35" s="209"/>
      <c r="G35" s="209"/>
      <c r="H35" s="16" t="s">
        <v>54</v>
      </c>
      <c r="I35" s="142"/>
      <c r="J35" s="142"/>
    </row>
    <row r="36" spans="1:10">
      <c r="A36" s="17"/>
      <c r="B36" s="202"/>
      <c r="C36" s="202"/>
      <c r="D36" s="202"/>
      <c r="E36" s="202"/>
      <c r="F36" s="202"/>
      <c r="G36" s="202"/>
      <c r="H36" s="17"/>
      <c r="I36" s="142"/>
      <c r="J36" s="142"/>
    </row>
    <row r="37" spans="1:10">
      <c r="A37" s="17"/>
      <c r="B37" s="202"/>
      <c r="C37" s="202"/>
      <c r="D37" s="202"/>
      <c r="E37" s="202"/>
      <c r="F37" s="202"/>
      <c r="G37" s="202"/>
      <c r="H37" s="17"/>
      <c r="I37" s="142"/>
      <c r="J37" s="142"/>
    </row>
    <row r="38" spans="1:10">
      <c r="A38" s="17"/>
      <c r="B38" s="202"/>
      <c r="C38" s="202"/>
      <c r="D38" s="202"/>
      <c r="E38" s="202"/>
      <c r="F38" s="202"/>
      <c r="G38" s="202"/>
      <c r="H38" s="17"/>
      <c r="I38" s="142"/>
      <c r="J38" s="142"/>
    </row>
    <row r="39" spans="1:10">
      <c r="A39" s="17"/>
      <c r="B39" s="202"/>
      <c r="C39" s="202"/>
      <c r="D39" s="202"/>
      <c r="E39" s="202"/>
      <c r="F39" s="202"/>
      <c r="G39" s="202"/>
      <c r="H39" s="17"/>
      <c r="I39" s="142"/>
      <c r="J39" s="142"/>
    </row>
    <row r="40" spans="1:10">
      <c r="A40" s="17"/>
      <c r="B40" s="202"/>
      <c r="C40" s="202"/>
      <c r="D40" s="202"/>
      <c r="E40" s="202"/>
      <c r="F40" s="202"/>
      <c r="G40" s="202"/>
      <c r="H40" s="17"/>
      <c r="I40" s="142"/>
      <c r="J40" s="142"/>
    </row>
    <row r="41" spans="1:10">
      <c r="A41" s="17"/>
      <c r="B41" s="202"/>
      <c r="C41" s="202"/>
      <c r="D41" s="202"/>
      <c r="E41" s="202"/>
      <c r="F41" s="202"/>
      <c r="G41" s="202"/>
      <c r="H41" s="17"/>
      <c r="I41" s="142"/>
      <c r="J41" s="142"/>
    </row>
    <row r="42" spans="1:10">
      <c r="A42" s="17"/>
      <c r="B42" s="202"/>
      <c r="C42" s="202"/>
      <c r="D42" s="202"/>
      <c r="E42" s="202"/>
      <c r="F42" s="202"/>
      <c r="G42" s="202"/>
      <c r="H42" s="17"/>
      <c r="I42" s="142"/>
      <c r="J42" s="142"/>
    </row>
    <row r="44" spans="1:10">
      <c r="A44" s="210" t="s">
        <v>55</v>
      </c>
      <c r="B44" s="211"/>
      <c r="C44" s="211"/>
      <c r="D44" s="211"/>
      <c r="E44" s="211"/>
      <c r="F44" s="211"/>
      <c r="G44" s="211"/>
      <c r="H44" s="211"/>
      <c r="I44" s="211"/>
      <c r="J44" s="212"/>
    </row>
    <row r="45" spans="1:10">
      <c r="A45" s="213"/>
      <c r="B45" s="214"/>
      <c r="C45" s="214"/>
      <c r="D45" s="214"/>
      <c r="E45" s="214"/>
      <c r="F45" s="214"/>
      <c r="G45" s="214"/>
      <c r="H45" s="214"/>
      <c r="I45" s="214"/>
      <c r="J45" s="215"/>
    </row>
    <row r="46" spans="1:10">
      <c r="A46" s="213"/>
      <c r="B46" s="214"/>
      <c r="C46" s="214"/>
      <c r="D46" s="214"/>
      <c r="E46" s="214"/>
      <c r="F46" s="214"/>
      <c r="G46" s="214"/>
      <c r="H46" s="214"/>
      <c r="I46" s="214"/>
      <c r="J46" s="215"/>
    </row>
    <row r="47" spans="1:10">
      <c r="A47" s="216"/>
      <c r="B47" s="217"/>
      <c r="C47" s="217"/>
      <c r="D47" s="217"/>
      <c r="E47" s="217"/>
      <c r="F47" s="217"/>
      <c r="G47" s="217"/>
      <c r="H47" s="217"/>
      <c r="I47" s="217"/>
      <c r="J47" s="218"/>
    </row>
    <row r="65" spans="6:6">
      <c r="F65" s="3"/>
    </row>
  </sheetData>
  <mergeCells count="37">
    <mergeCell ref="A44:J47"/>
    <mergeCell ref="B37:G37"/>
    <mergeCell ref="B38:G38"/>
    <mergeCell ref="B39:G39"/>
    <mergeCell ref="B40:G40"/>
    <mergeCell ref="B41:G41"/>
    <mergeCell ref="B42:G42"/>
    <mergeCell ref="B36:G36"/>
    <mergeCell ref="B22:G22"/>
    <mergeCell ref="B23:G23"/>
    <mergeCell ref="B24:G24"/>
    <mergeCell ref="B27:G27"/>
    <mergeCell ref="B28:G28"/>
    <mergeCell ref="B29:G29"/>
    <mergeCell ref="B30:G30"/>
    <mergeCell ref="B31:G31"/>
    <mergeCell ref="B32:G32"/>
    <mergeCell ref="B35:G35"/>
    <mergeCell ref="B21:G21"/>
    <mergeCell ref="B10:G10"/>
    <mergeCell ref="B11:G11"/>
    <mergeCell ref="B12:G12"/>
    <mergeCell ref="B13:G13"/>
    <mergeCell ref="B14:G14"/>
    <mergeCell ref="B15:G15"/>
    <mergeCell ref="B16:G16"/>
    <mergeCell ref="B17:G17"/>
    <mergeCell ref="B18:G18"/>
    <mergeCell ref="B19:G19"/>
    <mergeCell ref="B20:G20"/>
    <mergeCell ref="K5:O8"/>
    <mergeCell ref="B9:G9"/>
    <mergeCell ref="B4:G4"/>
    <mergeCell ref="B5:G5"/>
    <mergeCell ref="B6:G6"/>
    <mergeCell ref="B7:G7"/>
    <mergeCell ref="B8:G8"/>
  </mergeCells>
  <pageMargins left="1.0899999999999999" right="0.7" top="0.75" bottom="0.75" header="0.3" footer="0.3"/>
  <pageSetup scale="80" orientation="portrait"/>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showGridLines="0" topLeftCell="A41" zoomScaleNormal="100" workbookViewId="0">
      <selection activeCell="A5" sqref="A5"/>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142" t="str">
        <f>+'Cover Page'!$B$29</f>
        <v>Annual Performance Report 2022</v>
      </c>
      <c r="B1" s="142"/>
      <c r="C1" s="142"/>
      <c r="D1" s="142"/>
      <c r="E1" s="142" t="str">
        <f>+'Cover Page'!$B$33</f>
        <v>Name of Facility: Thalia MK ODC Limited</v>
      </c>
      <c r="F1" s="142"/>
      <c r="G1" s="142"/>
      <c r="H1" s="142"/>
      <c r="I1" s="142"/>
      <c r="J1" s="142"/>
      <c r="K1" s="142"/>
      <c r="L1" s="142"/>
      <c r="M1" s="142"/>
      <c r="N1" s="142"/>
    </row>
    <row r="3" spans="1:14" ht="15.6">
      <c r="A3" s="96" t="s">
        <v>56</v>
      </c>
      <c r="B3" s="148"/>
      <c r="C3" s="148"/>
      <c r="D3" s="148"/>
      <c r="E3" s="148"/>
      <c r="F3" s="148"/>
      <c r="G3" s="148"/>
      <c r="H3" s="148"/>
      <c r="I3" s="149"/>
      <c r="J3" s="142"/>
      <c r="K3" s="134" t="s">
        <v>3</v>
      </c>
      <c r="L3" s="142"/>
      <c r="M3" s="142"/>
      <c r="N3" s="142"/>
    </row>
    <row r="4" spans="1:14">
      <c r="A4" s="150"/>
      <c r="B4" s="151"/>
      <c r="C4" s="151"/>
      <c r="D4" s="151"/>
      <c r="E4" s="151"/>
      <c r="F4" s="151"/>
      <c r="G4" s="151"/>
      <c r="H4" s="151"/>
      <c r="I4" s="152"/>
      <c r="J4" s="142"/>
      <c r="K4" s="142"/>
      <c r="L4" s="142"/>
      <c r="M4" s="142"/>
      <c r="N4" s="142"/>
    </row>
    <row r="5" spans="1:14" ht="15.75" customHeight="1">
      <c r="A5" s="219" t="s">
        <v>57</v>
      </c>
      <c r="B5" s="220"/>
      <c r="C5" s="220"/>
      <c r="D5" s="220"/>
      <c r="E5" s="220"/>
      <c r="F5" s="220"/>
      <c r="G5" s="220"/>
      <c r="H5" s="220"/>
      <c r="I5" s="221"/>
      <c r="J5" s="142"/>
      <c r="K5" s="228" t="s">
        <v>58</v>
      </c>
      <c r="L5" s="228"/>
      <c r="M5" s="228"/>
      <c r="N5" s="228"/>
    </row>
    <row r="6" spans="1:14" ht="15.6" customHeight="1">
      <c r="A6" s="222"/>
      <c r="B6" s="223"/>
      <c r="C6" s="223"/>
      <c r="D6" s="223"/>
      <c r="E6" s="223"/>
      <c r="F6" s="223"/>
      <c r="G6" s="223"/>
      <c r="H6" s="223"/>
      <c r="I6" s="224"/>
      <c r="J6" s="142"/>
      <c r="K6" s="228"/>
      <c r="L6" s="228"/>
      <c r="M6" s="228"/>
      <c r="N6" s="228"/>
    </row>
    <row r="7" spans="1:14" ht="15.6" customHeight="1">
      <c r="A7" s="222"/>
      <c r="B7" s="223"/>
      <c r="C7" s="223"/>
      <c r="D7" s="223"/>
      <c r="E7" s="223"/>
      <c r="F7" s="223"/>
      <c r="G7" s="223"/>
      <c r="H7" s="223"/>
      <c r="I7" s="224"/>
      <c r="J7" s="142"/>
      <c r="K7" s="228"/>
      <c r="L7" s="228"/>
      <c r="M7" s="228"/>
      <c r="N7" s="228"/>
    </row>
    <row r="8" spans="1:14" ht="15.75" customHeight="1">
      <c r="A8" s="222"/>
      <c r="B8" s="223"/>
      <c r="C8" s="223"/>
      <c r="D8" s="223"/>
      <c r="E8" s="223"/>
      <c r="F8" s="223"/>
      <c r="G8" s="223"/>
      <c r="H8" s="223"/>
      <c r="I8" s="224"/>
      <c r="J8" s="142"/>
      <c r="K8" s="228"/>
      <c r="L8" s="228"/>
      <c r="M8" s="228"/>
      <c r="N8" s="228"/>
    </row>
    <row r="9" spans="1:14" ht="15.6" customHeight="1">
      <c r="A9" s="222"/>
      <c r="B9" s="223"/>
      <c r="C9" s="223"/>
      <c r="D9" s="223"/>
      <c r="E9" s="223"/>
      <c r="F9" s="223"/>
      <c r="G9" s="223"/>
      <c r="H9" s="223"/>
      <c r="I9" s="224"/>
      <c r="J9" s="142"/>
      <c r="K9" s="228"/>
      <c r="L9" s="228"/>
      <c r="M9" s="228"/>
      <c r="N9" s="228"/>
    </row>
    <row r="10" spans="1:14" ht="15.6" customHeight="1">
      <c r="A10" s="222"/>
      <c r="B10" s="223"/>
      <c r="C10" s="223"/>
      <c r="D10" s="223"/>
      <c r="E10" s="223"/>
      <c r="F10" s="223"/>
      <c r="G10" s="223"/>
      <c r="H10" s="223"/>
      <c r="I10" s="224"/>
      <c r="J10" s="142"/>
      <c r="K10" s="228"/>
      <c r="L10" s="228"/>
      <c r="M10" s="228"/>
      <c r="N10" s="228"/>
    </row>
    <row r="11" spans="1:14" ht="15.6" customHeight="1">
      <c r="A11" s="222"/>
      <c r="B11" s="223"/>
      <c r="C11" s="223"/>
      <c r="D11" s="223"/>
      <c r="E11" s="223"/>
      <c r="F11" s="223"/>
      <c r="G11" s="223"/>
      <c r="H11" s="223"/>
      <c r="I11" s="224"/>
      <c r="J11" s="142"/>
      <c r="K11" s="228"/>
      <c r="L11" s="228"/>
      <c r="M11" s="228"/>
      <c r="N11" s="228"/>
    </row>
    <row r="12" spans="1:14" ht="15.6" customHeight="1">
      <c r="A12" s="222"/>
      <c r="B12" s="223"/>
      <c r="C12" s="223"/>
      <c r="D12" s="223"/>
      <c r="E12" s="223"/>
      <c r="F12" s="223"/>
      <c r="G12" s="223"/>
      <c r="H12" s="223"/>
      <c r="I12" s="224"/>
      <c r="J12" s="142"/>
      <c r="K12" s="228"/>
      <c r="L12" s="228"/>
      <c r="M12" s="228"/>
      <c r="N12" s="228"/>
    </row>
    <row r="13" spans="1:14" ht="15.6" customHeight="1">
      <c r="A13" s="222"/>
      <c r="B13" s="223"/>
      <c r="C13" s="223"/>
      <c r="D13" s="223"/>
      <c r="E13" s="223"/>
      <c r="F13" s="223"/>
      <c r="G13" s="223"/>
      <c r="H13" s="223"/>
      <c r="I13" s="224"/>
      <c r="J13" s="142"/>
      <c r="K13" s="228"/>
      <c r="L13" s="228"/>
      <c r="M13" s="228"/>
      <c r="N13" s="228"/>
    </row>
    <row r="14" spans="1:14" ht="15.6" customHeight="1">
      <c r="A14" s="222"/>
      <c r="B14" s="223"/>
      <c r="C14" s="223"/>
      <c r="D14" s="223"/>
      <c r="E14" s="223"/>
      <c r="F14" s="223"/>
      <c r="G14" s="223"/>
      <c r="H14" s="223"/>
      <c r="I14" s="224"/>
      <c r="J14" s="142"/>
      <c r="K14" s="228"/>
      <c r="L14" s="228"/>
      <c r="M14" s="228"/>
      <c r="N14" s="228"/>
    </row>
    <row r="15" spans="1:14" ht="15.6" customHeight="1">
      <c r="A15" s="222"/>
      <c r="B15" s="223"/>
      <c r="C15" s="223"/>
      <c r="D15" s="223"/>
      <c r="E15" s="223"/>
      <c r="F15" s="223"/>
      <c r="G15" s="223"/>
      <c r="H15" s="223"/>
      <c r="I15" s="224"/>
      <c r="J15" s="142"/>
      <c r="K15" s="142"/>
      <c r="L15" s="142"/>
      <c r="M15" s="142"/>
      <c r="N15" s="142"/>
    </row>
    <row r="16" spans="1:14" ht="15.6" customHeight="1">
      <c r="A16" s="222"/>
      <c r="B16" s="223"/>
      <c r="C16" s="223"/>
      <c r="D16" s="223"/>
      <c r="E16" s="223"/>
      <c r="F16" s="223"/>
      <c r="G16" s="223"/>
      <c r="H16" s="223"/>
      <c r="I16" s="224"/>
      <c r="J16" s="142"/>
      <c r="K16" s="142"/>
      <c r="L16" s="142"/>
      <c r="M16" s="142"/>
      <c r="N16" s="142"/>
    </row>
    <row r="17" spans="1:14" ht="15.6" customHeight="1">
      <c r="A17" s="222"/>
      <c r="B17" s="223"/>
      <c r="C17" s="223"/>
      <c r="D17" s="223"/>
      <c r="E17" s="223"/>
      <c r="F17" s="223"/>
      <c r="G17" s="223"/>
      <c r="H17" s="223"/>
      <c r="I17" s="224"/>
      <c r="J17" s="142"/>
      <c r="K17" s="142"/>
      <c r="L17" s="142"/>
      <c r="M17" s="142"/>
      <c r="N17" s="142"/>
    </row>
    <row r="18" spans="1:14" ht="15.6" customHeight="1">
      <c r="A18" s="225"/>
      <c r="B18" s="226"/>
      <c r="C18" s="226"/>
      <c r="D18" s="226"/>
      <c r="E18" s="226"/>
      <c r="F18" s="226"/>
      <c r="G18" s="226"/>
      <c r="H18" s="226"/>
      <c r="I18" s="227"/>
      <c r="J18" s="142"/>
      <c r="K18" s="142"/>
      <c r="L18" s="142"/>
      <c r="M18" s="142"/>
      <c r="N18" s="142"/>
    </row>
    <row r="19" spans="1:14">
      <c r="A19" s="142"/>
      <c r="B19" s="142"/>
      <c r="C19" s="142"/>
      <c r="D19" s="142"/>
      <c r="E19" s="142"/>
      <c r="F19" s="142"/>
      <c r="G19" s="142"/>
      <c r="H19" s="142"/>
      <c r="I19" s="142"/>
      <c r="J19" s="142"/>
      <c r="K19" s="142"/>
      <c r="L19" s="142"/>
      <c r="M19" s="142"/>
      <c r="N19" s="142"/>
    </row>
    <row r="20" spans="1:14">
      <c r="A20" s="96" t="s">
        <v>59</v>
      </c>
      <c r="B20" s="148"/>
      <c r="C20" s="148"/>
      <c r="D20" s="148"/>
      <c r="E20" s="148"/>
      <c r="F20" s="148"/>
      <c r="G20" s="148"/>
      <c r="H20" s="148"/>
      <c r="I20" s="149"/>
      <c r="J20" s="142"/>
      <c r="K20" s="142"/>
      <c r="L20" s="142"/>
      <c r="M20" s="142"/>
      <c r="N20" s="142"/>
    </row>
    <row r="21" spans="1:14">
      <c r="A21" s="150"/>
      <c r="B21" s="151"/>
      <c r="C21" s="151"/>
      <c r="D21" s="151"/>
      <c r="E21" s="151"/>
      <c r="F21" s="151"/>
      <c r="G21" s="151"/>
      <c r="H21" s="151"/>
      <c r="I21" s="152"/>
      <c r="J21" s="142"/>
      <c r="K21" s="142"/>
      <c r="L21" s="142"/>
      <c r="M21" s="142"/>
      <c r="N21" s="142"/>
    </row>
    <row r="22" spans="1:14" ht="15.6" customHeight="1">
      <c r="A22" s="219" t="s">
        <v>60</v>
      </c>
      <c r="B22" s="220"/>
      <c r="C22" s="220"/>
      <c r="D22" s="220"/>
      <c r="E22" s="220"/>
      <c r="F22" s="220"/>
      <c r="G22" s="220"/>
      <c r="H22" s="220"/>
      <c r="I22" s="221"/>
      <c r="J22" s="142"/>
      <c r="K22" s="228" t="s">
        <v>61</v>
      </c>
      <c r="L22" s="228"/>
      <c r="M22" s="228"/>
      <c r="N22" s="228"/>
    </row>
    <row r="23" spans="1:14" ht="15.6" customHeight="1">
      <c r="A23" s="222"/>
      <c r="B23" s="223"/>
      <c r="C23" s="223"/>
      <c r="D23" s="223"/>
      <c r="E23" s="223"/>
      <c r="F23" s="223"/>
      <c r="G23" s="223"/>
      <c r="H23" s="223"/>
      <c r="I23" s="224"/>
      <c r="J23" s="142"/>
      <c r="K23" s="228"/>
      <c r="L23" s="228"/>
      <c r="M23" s="228"/>
      <c r="N23" s="228"/>
    </row>
    <row r="24" spans="1:14" ht="15.6" customHeight="1">
      <c r="A24" s="222"/>
      <c r="B24" s="223"/>
      <c r="C24" s="223"/>
      <c r="D24" s="223"/>
      <c r="E24" s="223"/>
      <c r="F24" s="223"/>
      <c r="G24" s="223"/>
      <c r="H24" s="223"/>
      <c r="I24" s="224"/>
      <c r="J24" s="142"/>
      <c r="K24" s="228"/>
      <c r="L24" s="228"/>
      <c r="M24" s="228"/>
      <c r="N24" s="228"/>
    </row>
    <row r="25" spans="1:14" ht="15.6" customHeight="1">
      <c r="A25" s="222"/>
      <c r="B25" s="223"/>
      <c r="C25" s="223"/>
      <c r="D25" s="223"/>
      <c r="E25" s="223"/>
      <c r="F25" s="223"/>
      <c r="G25" s="223"/>
      <c r="H25" s="223"/>
      <c r="I25" s="224"/>
      <c r="J25" s="142"/>
      <c r="K25" s="228"/>
      <c r="L25" s="228"/>
      <c r="M25" s="228"/>
      <c r="N25" s="228"/>
    </row>
    <row r="26" spans="1:14" ht="15.6" customHeight="1">
      <c r="A26" s="222"/>
      <c r="B26" s="223"/>
      <c r="C26" s="223"/>
      <c r="D26" s="223"/>
      <c r="E26" s="223"/>
      <c r="F26" s="223"/>
      <c r="G26" s="223"/>
      <c r="H26" s="223"/>
      <c r="I26" s="224"/>
      <c r="J26" s="142"/>
      <c r="K26" s="228"/>
      <c r="L26" s="228"/>
      <c r="M26" s="228"/>
      <c r="N26" s="228"/>
    </row>
    <row r="27" spans="1:14" ht="15.6" customHeight="1">
      <c r="A27" s="222"/>
      <c r="B27" s="223"/>
      <c r="C27" s="223"/>
      <c r="D27" s="223"/>
      <c r="E27" s="223"/>
      <c r="F27" s="223"/>
      <c r="G27" s="223"/>
      <c r="H27" s="223"/>
      <c r="I27" s="224"/>
      <c r="J27" s="142"/>
      <c r="K27" s="228"/>
      <c r="L27" s="228"/>
      <c r="M27" s="228"/>
      <c r="N27" s="228"/>
    </row>
    <row r="28" spans="1:14" ht="15.6" customHeight="1">
      <c r="A28" s="222"/>
      <c r="B28" s="223"/>
      <c r="C28" s="223"/>
      <c r="D28" s="223"/>
      <c r="E28" s="223"/>
      <c r="F28" s="223"/>
      <c r="G28" s="223"/>
      <c r="H28" s="223"/>
      <c r="I28" s="224"/>
      <c r="J28" s="142"/>
      <c r="K28" s="228"/>
      <c r="L28" s="228"/>
      <c r="M28" s="228"/>
      <c r="N28" s="228"/>
    </row>
    <row r="29" spans="1:14" ht="15.6" customHeight="1">
      <c r="A29" s="222"/>
      <c r="B29" s="223"/>
      <c r="C29" s="223"/>
      <c r="D29" s="223"/>
      <c r="E29" s="223"/>
      <c r="F29" s="223"/>
      <c r="G29" s="223"/>
      <c r="H29" s="223"/>
      <c r="I29" s="224"/>
      <c r="J29" s="142"/>
      <c r="K29" s="228"/>
      <c r="L29" s="228"/>
      <c r="M29" s="228"/>
      <c r="N29" s="228"/>
    </row>
    <row r="30" spans="1:14" ht="15.6" customHeight="1">
      <c r="A30" s="222"/>
      <c r="B30" s="223"/>
      <c r="C30" s="223"/>
      <c r="D30" s="223"/>
      <c r="E30" s="223"/>
      <c r="F30" s="223"/>
      <c r="G30" s="223"/>
      <c r="H30" s="223"/>
      <c r="I30" s="224"/>
      <c r="J30" s="142"/>
      <c r="K30" s="228"/>
      <c r="L30" s="228"/>
      <c r="M30" s="228"/>
      <c r="N30" s="228"/>
    </row>
    <row r="31" spans="1:14" ht="15.6" customHeight="1">
      <c r="A31" s="222"/>
      <c r="B31" s="223"/>
      <c r="C31" s="223"/>
      <c r="D31" s="223"/>
      <c r="E31" s="223"/>
      <c r="F31" s="223"/>
      <c r="G31" s="223"/>
      <c r="H31" s="223"/>
      <c r="I31" s="224"/>
      <c r="J31" s="142"/>
      <c r="K31" s="228"/>
      <c r="L31" s="228"/>
      <c r="M31" s="228"/>
      <c r="N31" s="228"/>
    </row>
    <row r="32" spans="1:14" ht="15.6" customHeight="1">
      <c r="A32" s="222"/>
      <c r="B32" s="223"/>
      <c r="C32" s="223"/>
      <c r="D32" s="223"/>
      <c r="E32" s="223"/>
      <c r="F32" s="223"/>
      <c r="G32" s="223"/>
      <c r="H32" s="223"/>
      <c r="I32" s="224"/>
      <c r="J32" s="142"/>
      <c r="K32" s="142"/>
      <c r="L32" s="142"/>
      <c r="M32" s="142"/>
      <c r="N32" s="142"/>
    </row>
    <row r="33" spans="1:9" ht="15.6" customHeight="1">
      <c r="A33" s="222"/>
      <c r="B33" s="223"/>
      <c r="C33" s="223"/>
      <c r="D33" s="223"/>
      <c r="E33" s="223"/>
      <c r="F33" s="223"/>
      <c r="G33" s="223"/>
      <c r="H33" s="223"/>
      <c r="I33" s="224"/>
    </row>
    <row r="34" spans="1:9" ht="15.6" customHeight="1">
      <c r="A34" s="222"/>
      <c r="B34" s="223"/>
      <c r="C34" s="223"/>
      <c r="D34" s="223"/>
      <c r="E34" s="223"/>
      <c r="F34" s="223"/>
      <c r="G34" s="223"/>
      <c r="H34" s="223"/>
      <c r="I34" s="224"/>
    </row>
    <row r="35" spans="1:9" ht="15.6" customHeight="1">
      <c r="A35" s="222"/>
      <c r="B35" s="223"/>
      <c r="C35" s="223"/>
      <c r="D35" s="223"/>
      <c r="E35" s="223"/>
      <c r="F35" s="223"/>
      <c r="G35" s="223"/>
      <c r="H35" s="223"/>
      <c r="I35" s="224"/>
    </row>
    <row r="36" spans="1:9" ht="15.6" customHeight="1">
      <c r="A36" s="222"/>
      <c r="B36" s="223"/>
      <c r="C36" s="223"/>
      <c r="D36" s="223"/>
      <c r="E36" s="223"/>
      <c r="F36" s="223"/>
      <c r="G36" s="223"/>
      <c r="H36" s="223"/>
      <c r="I36" s="224"/>
    </row>
    <row r="37" spans="1:9" ht="15.6" customHeight="1">
      <c r="A37" s="222"/>
      <c r="B37" s="223"/>
      <c r="C37" s="223"/>
      <c r="D37" s="223"/>
      <c r="E37" s="223"/>
      <c r="F37" s="223"/>
      <c r="G37" s="223"/>
      <c r="H37" s="223"/>
      <c r="I37" s="224"/>
    </row>
    <row r="38" spans="1:9" ht="15.6" customHeight="1">
      <c r="A38" s="222"/>
      <c r="B38" s="223"/>
      <c r="C38" s="223"/>
      <c r="D38" s="223"/>
      <c r="E38" s="223"/>
      <c r="F38" s="223"/>
      <c r="G38" s="223"/>
      <c r="H38" s="223"/>
      <c r="I38" s="224"/>
    </row>
    <row r="39" spans="1:9" ht="15.6" customHeight="1">
      <c r="A39" s="222"/>
      <c r="B39" s="223"/>
      <c r="C39" s="223"/>
      <c r="D39" s="223"/>
      <c r="E39" s="223"/>
      <c r="F39" s="223"/>
      <c r="G39" s="223"/>
      <c r="H39" s="223"/>
      <c r="I39" s="224"/>
    </row>
    <row r="40" spans="1:9" ht="14.25" customHeight="1">
      <c r="A40" s="222"/>
      <c r="B40" s="223"/>
      <c r="C40" s="223"/>
      <c r="D40" s="223"/>
      <c r="E40" s="223"/>
      <c r="F40" s="223"/>
      <c r="G40" s="223"/>
      <c r="H40" s="223"/>
      <c r="I40" s="224"/>
    </row>
    <row r="41" spans="1:9" ht="15.6" customHeight="1">
      <c r="A41" s="222"/>
      <c r="B41" s="223"/>
      <c r="C41" s="223"/>
      <c r="D41" s="223"/>
      <c r="E41" s="223"/>
      <c r="F41" s="223"/>
      <c r="G41" s="223"/>
      <c r="H41" s="223"/>
      <c r="I41" s="224"/>
    </row>
    <row r="42" spans="1:9" ht="15.6" customHeight="1">
      <c r="A42" s="222"/>
      <c r="B42" s="223"/>
      <c r="C42" s="223"/>
      <c r="D42" s="223"/>
      <c r="E42" s="223"/>
      <c r="F42" s="223"/>
      <c r="G42" s="223"/>
      <c r="H42" s="223"/>
      <c r="I42" s="224"/>
    </row>
    <row r="43" spans="1:9" ht="15.6" customHeight="1">
      <c r="A43" s="222"/>
      <c r="B43" s="223"/>
      <c r="C43" s="223"/>
      <c r="D43" s="223"/>
      <c r="E43" s="223"/>
      <c r="F43" s="223"/>
      <c r="G43" s="223"/>
      <c r="H43" s="223"/>
      <c r="I43" s="224"/>
    </row>
    <row r="44" spans="1:9" ht="15.6" customHeight="1">
      <c r="A44" s="222"/>
      <c r="B44" s="223"/>
      <c r="C44" s="223"/>
      <c r="D44" s="223"/>
      <c r="E44" s="223"/>
      <c r="F44" s="223"/>
      <c r="G44" s="223"/>
      <c r="H44" s="223"/>
      <c r="I44" s="224"/>
    </row>
    <row r="45" spans="1:9" ht="15.6" customHeight="1">
      <c r="A45" s="222"/>
      <c r="B45" s="223"/>
      <c r="C45" s="223"/>
      <c r="D45" s="223"/>
      <c r="E45" s="223"/>
      <c r="F45" s="223"/>
      <c r="G45" s="223"/>
      <c r="H45" s="223"/>
      <c r="I45" s="224"/>
    </row>
    <row r="46" spans="1:9" ht="15.6" customHeight="1">
      <c r="A46" s="222"/>
      <c r="B46" s="223"/>
      <c r="C46" s="223"/>
      <c r="D46" s="223"/>
      <c r="E46" s="223"/>
      <c r="F46" s="223"/>
      <c r="G46" s="223"/>
      <c r="H46" s="223"/>
      <c r="I46" s="224"/>
    </row>
    <row r="47" spans="1:9" ht="15.6" customHeight="1">
      <c r="A47" s="222"/>
      <c r="B47" s="223"/>
      <c r="C47" s="223"/>
      <c r="D47" s="223"/>
      <c r="E47" s="223"/>
      <c r="F47" s="223"/>
      <c r="G47" s="223"/>
      <c r="H47" s="223"/>
      <c r="I47" s="224"/>
    </row>
    <row r="48" spans="1:9" ht="15.6" customHeight="1">
      <c r="A48" s="222"/>
      <c r="B48" s="223"/>
      <c r="C48" s="223"/>
      <c r="D48" s="223"/>
      <c r="E48" s="223"/>
      <c r="F48" s="223"/>
      <c r="G48" s="223"/>
      <c r="H48" s="223"/>
      <c r="I48" s="224"/>
    </row>
    <row r="49" spans="1:9" ht="15.6" customHeight="1">
      <c r="A49" s="222"/>
      <c r="B49" s="223"/>
      <c r="C49" s="223"/>
      <c r="D49" s="223"/>
      <c r="E49" s="223"/>
      <c r="F49" s="223"/>
      <c r="G49" s="223"/>
      <c r="H49" s="223"/>
      <c r="I49" s="224"/>
    </row>
    <row r="50" spans="1:9" ht="15.6" customHeight="1">
      <c r="A50" s="222"/>
      <c r="B50" s="223"/>
      <c r="C50" s="223"/>
      <c r="D50" s="223"/>
      <c r="E50" s="223"/>
      <c r="F50" s="223"/>
      <c r="G50" s="223"/>
      <c r="H50" s="223"/>
      <c r="I50" s="224"/>
    </row>
    <row r="51" spans="1:9" ht="15.6" customHeight="1">
      <c r="A51" s="222"/>
      <c r="B51" s="223"/>
      <c r="C51" s="223"/>
      <c r="D51" s="223"/>
      <c r="E51" s="223"/>
      <c r="F51" s="223"/>
      <c r="G51" s="223"/>
      <c r="H51" s="223"/>
      <c r="I51" s="224"/>
    </row>
    <row r="52" spans="1:9" ht="15.6" customHeight="1">
      <c r="A52" s="222"/>
      <c r="B52" s="223"/>
      <c r="C52" s="223"/>
      <c r="D52" s="223"/>
      <c r="E52" s="223"/>
      <c r="F52" s="223"/>
      <c r="G52" s="223"/>
      <c r="H52" s="223"/>
      <c r="I52" s="224"/>
    </row>
    <row r="53" spans="1:9" ht="15.6" customHeight="1">
      <c r="A53" s="222"/>
      <c r="B53" s="223"/>
      <c r="C53" s="223"/>
      <c r="D53" s="223"/>
      <c r="E53" s="223"/>
      <c r="F53" s="223"/>
      <c r="G53" s="223"/>
      <c r="H53" s="223"/>
      <c r="I53" s="224"/>
    </row>
    <row r="54" spans="1:9" ht="15.6" customHeight="1">
      <c r="A54" s="225"/>
      <c r="B54" s="226"/>
      <c r="C54" s="226"/>
      <c r="D54" s="226"/>
      <c r="E54" s="226"/>
      <c r="F54" s="226"/>
      <c r="G54" s="226"/>
      <c r="H54" s="226"/>
      <c r="I54" s="227"/>
    </row>
    <row r="55" spans="1:9">
      <c r="A55" s="142"/>
      <c r="B55" s="142"/>
      <c r="C55" s="142"/>
      <c r="D55" s="142"/>
      <c r="E55" s="142"/>
      <c r="F55" s="142"/>
      <c r="G55" s="142"/>
      <c r="H55" s="142"/>
      <c r="I55" s="142"/>
    </row>
    <row r="66" spans="6:6">
      <c r="F66" s="3"/>
    </row>
  </sheetData>
  <mergeCells count="4">
    <mergeCell ref="A5:I18"/>
    <mergeCell ref="A22:I54"/>
    <mergeCell ref="K5:N14"/>
    <mergeCell ref="K22:N31"/>
  </mergeCells>
  <pageMargins left="0.7" right="0.7" top="0.75" bottom="0.75" header="0.3" footer="0.3"/>
  <pageSetup paperSize="9" scale="87" orientation="portrait"/>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FB02C-5682-43EC-B0DD-CAC3D9D8068F}">
  <dimension ref="A1"/>
  <sheetViews>
    <sheetView tabSelected="1" workbookViewId="0"/>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N74"/>
  <sheetViews>
    <sheetView showGridLines="0" topLeftCell="A77" zoomScaleNormal="100" workbookViewId="0">
      <selection activeCell="R10" sqref="R10"/>
    </sheetView>
  </sheetViews>
  <sheetFormatPr defaultColWidth="9.28515625" defaultRowHeight="15"/>
  <cols>
    <col min="1" max="1" width="28.42578125" style="2" customWidth="1"/>
    <col min="2" max="2" width="8.28515625" style="14" customWidth="1"/>
    <col min="3" max="3" width="9.7109375" style="14" bestFit="1" customWidth="1"/>
    <col min="4" max="4" width="10.5703125" style="14" customWidth="1"/>
    <col min="5" max="5" width="9.7109375" style="14" customWidth="1"/>
    <col min="6" max="6" width="10.5703125" style="14" customWidth="1"/>
    <col min="7" max="7" width="11.28515625" style="18" customWidth="1"/>
    <col min="8" max="8" width="14.7109375" style="19" customWidth="1"/>
    <col min="9" max="16384" width="9.28515625" style="2"/>
  </cols>
  <sheetData>
    <row r="1" spans="1:11">
      <c r="A1" s="142" t="str">
        <f>+'Cover Page'!$B$29</f>
        <v>Annual Performance Report 2022</v>
      </c>
      <c r="B1" s="142"/>
      <c r="C1" s="142"/>
      <c r="D1" s="142"/>
      <c r="E1" s="142" t="str">
        <f>+'Cover Page'!$B$33</f>
        <v>Name of Facility: Thalia MK ODC Limited</v>
      </c>
      <c r="F1" s="142"/>
      <c r="G1" s="142"/>
      <c r="H1" s="142"/>
      <c r="I1" s="142"/>
      <c r="J1" s="142"/>
      <c r="K1" s="142"/>
    </row>
    <row r="3" spans="1:11" ht="15.6">
      <c r="A3" s="1" t="s">
        <v>31</v>
      </c>
      <c r="I3" s="142"/>
      <c r="J3" s="142"/>
      <c r="K3" s="20"/>
    </row>
    <row r="4" spans="1:11">
      <c r="A4" s="21" t="s">
        <v>62</v>
      </c>
      <c r="B4" s="235">
        <v>140000</v>
      </c>
      <c r="C4" s="235"/>
      <c r="D4" s="23" t="s">
        <v>63</v>
      </c>
      <c r="E4" s="22"/>
      <c r="F4" s="23" t="s">
        <v>64</v>
      </c>
      <c r="G4" s="22">
        <v>7</v>
      </c>
      <c r="H4" s="119" t="s">
        <v>65</v>
      </c>
      <c r="I4" s="142"/>
      <c r="J4" s="142"/>
      <c r="K4" s="20"/>
    </row>
    <row r="5" spans="1:11">
      <c r="A5" s="24" t="s">
        <v>66</v>
      </c>
      <c r="B5" s="25">
        <v>2</v>
      </c>
      <c r="C5" s="26"/>
      <c r="D5" s="26" t="s">
        <v>67</v>
      </c>
      <c r="E5" s="26"/>
      <c r="F5" s="27">
        <v>1</v>
      </c>
      <c r="G5" s="28"/>
      <c r="H5" s="29"/>
      <c r="I5" s="142"/>
      <c r="J5" s="142"/>
      <c r="K5" s="20"/>
    </row>
    <row r="6" spans="1:11">
      <c r="A6" s="3"/>
      <c r="I6" s="142"/>
      <c r="J6" s="142"/>
      <c r="K6" s="142"/>
    </row>
    <row r="7" spans="1:11">
      <c r="A7" s="9" t="s">
        <v>68</v>
      </c>
      <c r="B7" s="30" t="s">
        <v>69</v>
      </c>
      <c r="C7" s="31" t="s">
        <v>70</v>
      </c>
      <c r="D7" s="31" t="s">
        <v>71</v>
      </c>
      <c r="E7" s="31" t="s">
        <v>72</v>
      </c>
      <c r="F7" s="31" t="s">
        <v>73</v>
      </c>
      <c r="G7" s="32" t="s">
        <v>74</v>
      </c>
      <c r="H7" s="33" t="s">
        <v>75</v>
      </c>
      <c r="I7" s="142"/>
      <c r="J7" s="142"/>
      <c r="K7" s="142"/>
    </row>
    <row r="8" spans="1:11" ht="15.75" customHeight="1">
      <c r="A8" s="34" t="s">
        <v>76</v>
      </c>
      <c r="B8" s="229" t="s">
        <v>77</v>
      </c>
      <c r="C8" s="35">
        <f>C18-C12</f>
        <v>27631.72</v>
      </c>
      <c r="D8" s="168">
        <f>D18-D12</f>
        <v>30774.93</v>
      </c>
      <c r="E8" s="168">
        <f t="shared" ref="E8:F8" si="0">E18-E12</f>
        <v>29883.175999999999</v>
      </c>
      <c r="F8" s="168">
        <f t="shared" si="0"/>
        <v>19834.259999999998</v>
      </c>
      <c r="G8" s="36">
        <f>SUM(C8:F8)</f>
        <v>108124.086</v>
      </c>
      <c r="H8" s="37">
        <f t="shared" ref="H8:H15" si="1">IF(G8&gt;0,G8/$G$18,"-")</f>
        <v>0.96565705969465987</v>
      </c>
      <c r="I8" s="142"/>
      <c r="J8" s="142"/>
      <c r="K8" s="142"/>
    </row>
    <row r="9" spans="1:11">
      <c r="A9" s="38" t="s">
        <v>78</v>
      </c>
      <c r="B9" s="230"/>
      <c r="C9" s="39"/>
      <c r="D9" s="39"/>
      <c r="E9" s="39"/>
      <c r="F9" s="39"/>
      <c r="G9" s="40">
        <f t="shared" ref="G9:G15" si="2">SUM(C9:F9)</f>
        <v>0</v>
      </c>
      <c r="H9" s="37" t="str">
        <f t="shared" si="1"/>
        <v>-</v>
      </c>
      <c r="I9" s="142"/>
      <c r="J9" s="142"/>
      <c r="K9" s="142"/>
    </row>
    <row r="10" spans="1:11">
      <c r="A10" s="38" t="s">
        <v>79</v>
      </c>
      <c r="B10" s="230"/>
      <c r="C10" s="39"/>
      <c r="D10" s="39"/>
      <c r="E10" s="39"/>
      <c r="F10" s="39"/>
      <c r="G10" s="40">
        <f t="shared" si="2"/>
        <v>0</v>
      </c>
      <c r="H10" s="37" t="str">
        <f t="shared" si="1"/>
        <v>-</v>
      </c>
      <c r="I10" s="142"/>
      <c r="J10" s="142"/>
      <c r="K10" s="142"/>
    </row>
    <row r="11" spans="1:11">
      <c r="A11" s="38" t="s">
        <v>80</v>
      </c>
      <c r="B11" s="230"/>
      <c r="C11" s="39"/>
      <c r="D11" s="39"/>
      <c r="E11" s="39"/>
      <c r="F11" s="39"/>
      <c r="G11" s="40">
        <f t="shared" si="2"/>
        <v>0</v>
      </c>
      <c r="H11" s="37" t="str">
        <f t="shared" si="1"/>
        <v>-</v>
      </c>
      <c r="I11" s="142"/>
      <c r="J11" s="142"/>
      <c r="K11" s="142"/>
    </row>
    <row r="12" spans="1:11">
      <c r="A12" s="38" t="s">
        <v>81</v>
      </c>
      <c r="B12" s="230"/>
      <c r="C12" s="39">
        <v>801.18</v>
      </c>
      <c r="D12" s="39">
        <v>783.18</v>
      </c>
      <c r="E12" s="39">
        <v>1180.1400000000001</v>
      </c>
      <c r="F12" s="39">
        <v>1080.8599999999999</v>
      </c>
      <c r="G12" s="40">
        <f t="shared" si="2"/>
        <v>3845.3599999999997</v>
      </c>
      <c r="H12" s="37">
        <f t="shared" si="1"/>
        <v>3.4342940305340082E-2</v>
      </c>
      <c r="I12" s="142"/>
      <c r="J12" s="142"/>
      <c r="K12" s="142"/>
    </row>
    <row r="13" spans="1:11">
      <c r="A13" s="38" t="s">
        <v>82</v>
      </c>
      <c r="B13" s="230"/>
      <c r="C13" s="39"/>
      <c r="D13" s="39"/>
      <c r="E13" s="39"/>
      <c r="F13" s="39"/>
      <c r="G13" s="40">
        <f t="shared" si="2"/>
        <v>0</v>
      </c>
      <c r="H13" s="37" t="str">
        <f t="shared" si="1"/>
        <v>-</v>
      </c>
      <c r="I13" s="142"/>
      <c r="J13" s="142"/>
      <c r="K13" s="142"/>
    </row>
    <row r="14" spans="1:11">
      <c r="A14" s="38" t="s">
        <v>83</v>
      </c>
      <c r="B14" s="230"/>
      <c r="C14" s="39"/>
      <c r="D14" s="39"/>
      <c r="E14" s="39"/>
      <c r="F14" s="39"/>
      <c r="G14" s="40">
        <f t="shared" si="2"/>
        <v>0</v>
      </c>
      <c r="H14" s="37" t="str">
        <f t="shared" si="1"/>
        <v>-</v>
      </c>
      <c r="I14" s="142"/>
      <c r="J14" s="142"/>
      <c r="K14" s="142"/>
    </row>
    <row r="15" spans="1:11">
      <c r="A15" s="123" t="s">
        <v>84</v>
      </c>
      <c r="B15" s="230"/>
      <c r="C15" s="39"/>
      <c r="D15" s="39"/>
      <c r="E15" s="39"/>
      <c r="F15" s="39"/>
      <c r="G15" s="40">
        <f t="shared" si="2"/>
        <v>0</v>
      </c>
      <c r="H15" s="37" t="str">
        <f t="shared" si="1"/>
        <v>-</v>
      </c>
      <c r="I15" s="142"/>
      <c r="J15" s="142"/>
      <c r="K15" s="142"/>
    </row>
    <row r="16" spans="1:11">
      <c r="A16" s="123" t="s">
        <v>84</v>
      </c>
      <c r="B16" s="230"/>
      <c r="C16" s="39"/>
      <c r="D16" s="39"/>
      <c r="E16" s="39"/>
      <c r="F16" s="39"/>
      <c r="G16" s="40"/>
      <c r="H16" s="37"/>
      <c r="I16" s="142"/>
      <c r="J16" s="142"/>
      <c r="K16" s="142"/>
    </row>
    <row r="17" spans="1:14">
      <c r="A17" s="123" t="s">
        <v>84</v>
      </c>
      <c r="B17" s="230"/>
      <c r="C17" s="39"/>
      <c r="D17" s="39"/>
      <c r="E17" s="39"/>
      <c r="F17" s="39"/>
      <c r="G17" s="40"/>
      <c r="H17" s="37"/>
      <c r="I17" s="142"/>
      <c r="J17" s="142"/>
      <c r="K17" s="142"/>
      <c r="L17" s="142"/>
      <c r="M17" s="142"/>
      <c r="N17" s="142"/>
    </row>
    <row r="18" spans="1:14" ht="15.6">
      <c r="A18" s="41" t="s">
        <v>85</v>
      </c>
      <c r="B18" s="230"/>
      <c r="C18" s="40">
        <v>28432.9</v>
      </c>
      <c r="D18" s="167">
        <v>31558.11</v>
      </c>
      <c r="E18" s="167">
        <v>31063.315999999999</v>
      </c>
      <c r="F18" s="167">
        <v>20915.12</v>
      </c>
      <c r="G18" s="40">
        <f>SUM(G8:G17)</f>
        <v>111969.446</v>
      </c>
      <c r="H18" s="37">
        <f>IF(G18&gt;0,G18/$G$18,"-")</f>
        <v>1</v>
      </c>
      <c r="I18" s="142"/>
      <c r="J18" s="142"/>
      <c r="K18" s="142"/>
      <c r="L18" s="142"/>
      <c r="M18" s="142"/>
      <c r="N18" s="142"/>
    </row>
    <row r="19" spans="1:14">
      <c r="A19" s="38" t="s">
        <v>86</v>
      </c>
      <c r="B19" s="230"/>
      <c r="C19" s="39"/>
      <c r="D19" s="39"/>
      <c r="E19" s="39"/>
      <c r="F19" s="39"/>
      <c r="G19" s="40">
        <f t="shared" ref="G19" si="3">SUM(C19:F19)</f>
        <v>0</v>
      </c>
      <c r="H19" s="37" t="str">
        <f t="shared" ref="H19" si="4">IF(G19&gt;0,G19/$G$18,"-")</f>
        <v>-</v>
      </c>
      <c r="I19" s="142"/>
      <c r="J19" s="142"/>
      <c r="K19" s="142"/>
      <c r="L19" s="142"/>
      <c r="M19" s="142"/>
      <c r="N19" s="142"/>
    </row>
    <row r="20" spans="1:14">
      <c r="A20" s="42" t="s">
        <v>87</v>
      </c>
      <c r="B20" s="231"/>
      <c r="C20" s="43"/>
      <c r="D20" s="43"/>
      <c r="E20" s="43"/>
      <c r="F20" s="43"/>
      <c r="G20" s="44">
        <f t="shared" ref="G20" si="5">SUM(C20:F20)</f>
        <v>0</v>
      </c>
      <c r="H20" s="62" t="str">
        <f>IF(G20&gt;0,G20/$G$18,"-")</f>
        <v>-</v>
      </c>
      <c r="I20" s="142"/>
      <c r="J20" s="142"/>
      <c r="K20" s="142"/>
      <c r="L20" s="142"/>
      <c r="M20" s="142"/>
      <c r="N20" s="142"/>
    </row>
    <row r="21" spans="1:14">
      <c r="A21" s="3"/>
      <c r="C21" s="19"/>
      <c r="D21" s="19"/>
      <c r="E21" s="19"/>
      <c r="F21" s="19"/>
      <c r="G21" s="45"/>
      <c r="I21" s="142"/>
      <c r="J21" s="142"/>
      <c r="K21" s="142"/>
      <c r="L21" s="142"/>
      <c r="M21" s="142"/>
      <c r="N21" s="142"/>
    </row>
    <row r="22" spans="1:14">
      <c r="A22" s="9" t="s">
        <v>88</v>
      </c>
      <c r="B22" s="30" t="s">
        <v>69</v>
      </c>
      <c r="C22" s="46" t="s">
        <v>70</v>
      </c>
      <c r="D22" s="46" t="s">
        <v>71</v>
      </c>
      <c r="E22" s="46" t="s">
        <v>72</v>
      </c>
      <c r="F22" s="46" t="s">
        <v>73</v>
      </c>
      <c r="G22" s="47" t="s">
        <v>74</v>
      </c>
      <c r="H22" s="48" t="s">
        <v>89</v>
      </c>
      <c r="I22" s="142"/>
      <c r="J22" s="142"/>
      <c r="K22" s="142"/>
      <c r="L22" s="142"/>
      <c r="M22" s="142"/>
      <c r="N22" s="142"/>
    </row>
    <row r="23" spans="1:14" ht="15" customHeight="1">
      <c r="A23" s="166" t="s">
        <v>90</v>
      </c>
      <c r="B23" s="229" t="s">
        <v>91</v>
      </c>
      <c r="C23" s="35">
        <v>7370.77</v>
      </c>
      <c r="D23" s="35">
        <v>10754.83</v>
      </c>
      <c r="E23" s="35">
        <v>8926.15</v>
      </c>
      <c r="F23" s="35">
        <v>0</v>
      </c>
      <c r="G23" s="36">
        <f t="shared" ref="G23:G26" si="6">SUM(C23:F23)</f>
        <v>27051.75</v>
      </c>
      <c r="H23" s="50">
        <f>IF(G23&gt;0,G23*1000/$G$18,"-")</f>
        <v>241.59939131966414</v>
      </c>
      <c r="I23" s="142"/>
      <c r="J23" s="142"/>
      <c r="K23" s="142"/>
      <c r="L23" s="142"/>
      <c r="M23" s="142"/>
      <c r="N23" s="142"/>
    </row>
    <row r="24" spans="1:14">
      <c r="A24" s="51" t="s">
        <v>92</v>
      </c>
      <c r="B24" s="230"/>
      <c r="C24" s="39">
        <v>6194.57</v>
      </c>
      <c r="D24" s="39">
        <v>9420.91</v>
      </c>
      <c r="E24" s="39">
        <v>7746.55</v>
      </c>
      <c r="F24" s="39">
        <v>1767.02</v>
      </c>
      <c r="G24" s="40">
        <f>SUM(C24:F24)</f>
        <v>25129.05</v>
      </c>
      <c r="H24" s="52">
        <f t="shared" ref="H24:H29" si="7">IF(G24&gt;0,G24*1000/$G$18,"-")</f>
        <v>224.42774254683729</v>
      </c>
      <c r="I24" s="142"/>
      <c r="J24" s="142"/>
      <c r="K24" s="142"/>
      <c r="L24" s="142"/>
      <c r="M24" s="142"/>
      <c r="N24" s="142"/>
    </row>
    <row r="25" spans="1:14">
      <c r="A25" s="165" t="s">
        <v>93</v>
      </c>
      <c r="B25" s="230"/>
      <c r="C25" s="39">
        <f>C23+C26-C24</f>
        <v>2026.08</v>
      </c>
      <c r="D25" s="39">
        <f t="shared" ref="D25:F25" si="8">D23+D26-D24</f>
        <v>1564</v>
      </c>
      <c r="E25" s="39">
        <f t="shared" si="8"/>
        <v>1542.5199999999995</v>
      </c>
      <c r="F25" s="39">
        <f t="shared" si="8"/>
        <v>-165.05999999999995</v>
      </c>
      <c r="G25" s="40">
        <f>SUM(C25:F25)</f>
        <v>4967.5399999999991</v>
      </c>
      <c r="H25" s="52">
        <f t="shared" si="7"/>
        <v>44.365138682565238</v>
      </c>
      <c r="I25" s="142"/>
      <c r="J25" s="142"/>
      <c r="K25" s="142"/>
      <c r="L25" s="142"/>
      <c r="M25" s="142"/>
      <c r="N25" s="142"/>
    </row>
    <row r="26" spans="1:14">
      <c r="A26" s="51" t="s">
        <v>94</v>
      </c>
      <c r="B26" s="230"/>
      <c r="C26" s="39">
        <v>849.88</v>
      </c>
      <c r="D26" s="39">
        <v>230.08</v>
      </c>
      <c r="E26" s="39">
        <v>362.92</v>
      </c>
      <c r="F26" s="39">
        <v>1601.96</v>
      </c>
      <c r="G26" s="40">
        <f t="shared" si="6"/>
        <v>3044.84</v>
      </c>
      <c r="H26" s="52">
        <f t="shared" si="7"/>
        <v>27.193489909738414</v>
      </c>
      <c r="I26" s="142"/>
      <c r="J26" s="142"/>
      <c r="K26" s="142"/>
      <c r="L26" s="142"/>
      <c r="M26" s="142"/>
      <c r="N26" s="142"/>
    </row>
    <row r="27" spans="1:14">
      <c r="A27" s="51" t="s">
        <v>95</v>
      </c>
      <c r="B27" s="53" t="s">
        <v>75</v>
      </c>
      <c r="C27" s="54">
        <f>IF(C23&gt;0,1-C24/(C23+C26),"-")</f>
        <v>0.24646226271645189</v>
      </c>
      <c r="D27" s="54">
        <f t="shared" ref="D27:G27" si="9">IF(D23&gt;0,1-D24/(D23+D26),"-")</f>
        <v>0.14237713372253391</v>
      </c>
      <c r="E27" s="54">
        <f t="shared" si="9"/>
        <v>0.16605752782571337</v>
      </c>
      <c r="F27" s="54" t="str">
        <f t="shared" si="9"/>
        <v>-</v>
      </c>
      <c r="G27" s="54">
        <f t="shared" si="9"/>
        <v>0.16505325021871253</v>
      </c>
      <c r="H27" s="52"/>
      <c r="I27" s="142"/>
      <c r="J27" s="142"/>
      <c r="K27" s="142"/>
      <c r="L27" s="142"/>
      <c r="M27" s="142"/>
      <c r="N27" s="142"/>
    </row>
    <row r="28" spans="1:14">
      <c r="A28" s="51" t="s">
        <v>96</v>
      </c>
      <c r="B28" s="236" t="s">
        <v>97</v>
      </c>
      <c r="C28" s="39"/>
      <c r="D28" s="39"/>
      <c r="E28" s="39"/>
      <c r="F28" s="39"/>
      <c r="G28" s="40">
        <f t="shared" ref="G28:G29" si="10">SUM(C28:F28)</f>
        <v>0</v>
      </c>
      <c r="H28" s="52" t="str">
        <f t="shared" si="7"/>
        <v>-</v>
      </c>
      <c r="I28" s="142"/>
      <c r="J28" s="142"/>
      <c r="K28" s="142"/>
      <c r="L28" s="142"/>
      <c r="M28" s="142"/>
      <c r="N28" s="142"/>
    </row>
    <row r="29" spans="1:14">
      <c r="A29" s="51" t="s">
        <v>98</v>
      </c>
      <c r="B29" s="236"/>
      <c r="C29" s="39"/>
      <c r="D29" s="39"/>
      <c r="E29" s="39"/>
      <c r="F29" s="39"/>
      <c r="G29" s="40">
        <f t="shared" si="10"/>
        <v>0</v>
      </c>
      <c r="H29" s="52" t="str">
        <f t="shared" si="7"/>
        <v>-</v>
      </c>
      <c r="I29" s="142"/>
      <c r="J29" s="142"/>
      <c r="K29" s="20"/>
      <c r="L29" s="20"/>
      <c r="M29" s="142"/>
      <c r="N29" s="142"/>
    </row>
    <row r="30" spans="1:14">
      <c r="A30" s="55" t="s">
        <v>99</v>
      </c>
      <c r="B30" s="56"/>
      <c r="C30" s="232"/>
      <c r="D30" s="232"/>
      <c r="E30" s="232"/>
      <c r="F30" s="232"/>
      <c r="G30" s="233" t="s">
        <v>100</v>
      </c>
      <c r="H30" s="234"/>
      <c r="I30" s="142"/>
      <c r="J30" s="142"/>
      <c r="K30" s="164"/>
      <c r="L30" s="20"/>
      <c r="M30" s="142"/>
      <c r="N30" s="142"/>
    </row>
    <row r="31" spans="1:14">
      <c r="A31" s="3"/>
      <c r="C31" s="19"/>
      <c r="D31" s="19"/>
      <c r="E31" s="19"/>
      <c r="F31" s="19"/>
      <c r="G31" s="45"/>
      <c r="I31" s="142"/>
      <c r="J31" s="142"/>
      <c r="K31" s="142"/>
      <c r="L31" s="20"/>
      <c r="M31" s="142"/>
      <c r="N31" s="142"/>
    </row>
    <row r="32" spans="1:14">
      <c r="A32" s="9" t="s">
        <v>101</v>
      </c>
      <c r="B32" s="57" t="s">
        <v>69</v>
      </c>
      <c r="C32" s="46" t="s">
        <v>70</v>
      </c>
      <c r="D32" s="46" t="s">
        <v>71</v>
      </c>
      <c r="E32" s="46" t="s">
        <v>72</v>
      </c>
      <c r="F32" s="46" t="s">
        <v>73</v>
      </c>
      <c r="G32" s="47" t="s">
        <v>74</v>
      </c>
      <c r="H32" s="58" t="s">
        <v>102</v>
      </c>
      <c r="I32" s="142"/>
      <c r="J32" s="142"/>
      <c r="K32" s="142"/>
      <c r="L32" s="20"/>
      <c r="M32" s="142"/>
      <c r="N32" s="142"/>
    </row>
    <row r="33" spans="1:12" ht="15" customHeight="1">
      <c r="A33" s="49" t="s">
        <v>103</v>
      </c>
      <c r="B33" s="229" t="s">
        <v>77</v>
      </c>
      <c r="C33" s="35">
        <v>831.36</v>
      </c>
      <c r="D33" s="35">
        <v>1215.6600000000001</v>
      </c>
      <c r="E33" s="35">
        <v>1015.36</v>
      </c>
      <c r="F33" s="35">
        <v>0</v>
      </c>
      <c r="G33" s="36">
        <f t="shared" ref="G33:G34" si="11">SUM(C33:F33)</f>
        <v>3062.38</v>
      </c>
      <c r="H33" s="59">
        <f>IF(G33&gt;0,G33/$G$18,"-")</f>
        <v>2.7350139787241604E-2</v>
      </c>
      <c r="I33" s="142"/>
      <c r="J33" s="142"/>
      <c r="K33" s="20"/>
      <c r="L33" s="20"/>
    </row>
    <row r="34" spans="1:12" ht="15" customHeight="1">
      <c r="A34" s="51" t="s">
        <v>104</v>
      </c>
      <c r="B34" s="230"/>
      <c r="C34" s="39">
        <v>2843.48</v>
      </c>
      <c r="D34" s="39">
        <v>4509.13</v>
      </c>
      <c r="E34" s="39">
        <v>4120.04</v>
      </c>
      <c r="F34" s="39">
        <v>0</v>
      </c>
      <c r="G34" s="40">
        <f t="shared" si="11"/>
        <v>11472.650000000001</v>
      </c>
      <c r="H34" s="37">
        <f>IF(G34&gt;0,G34/$G$18,"-")</f>
        <v>0.10246232708876671</v>
      </c>
      <c r="I34" s="142"/>
      <c r="J34" s="142"/>
      <c r="K34" s="20"/>
      <c r="L34" s="20"/>
    </row>
    <row r="35" spans="1:12" ht="15" customHeight="1">
      <c r="A35" s="51" t="s">
        <v>105</v>
      </c>
      <c r="B35" s="230"/>
      <c r="C35" s="39">
        <v>777.84</v>
      </c>
      <c r="D35" s="39">
        <v>926.78</v>
      </c>
      <c r="E35" s="39">
        <v>767.72</v>
      </c>
      <c r="F35" s="39">
        <v>556.05999999999995</v>
      </c>
      <c r="G35" s="40">
        <f t="shared" ref="G35:G38" si="12">SUM(C35:F35)</f>
        <v>3028.4</v>
      </c>
      <c r="H35" s="37">
        <f>IF(G35&gt;0,G35/$G$18,"-")</f>
        <v>2.7046664140858573E-2</v>
      </c>
      <c r="I35" s="142"/>
      <c r="J35" s="142"/>
      <c r="K35" s="142"/>
      <c r="L35" s="142"/>
    </row>
    <row r="36" spans="1:12">
      <c r="A36" s="60" t="s">
        <v>106</v>
      </c>
      <c r="B36" s="230"/>
      <c r="C36" s="39">
        <v>0</v>
      </c>
      <c r="D36" s="39">
        <v>0</v>
      </c>
      <c r="E36" s="39">
        <v>0</v>
      </c>
      <c r="F36" s="39">
        <v>0</v>
      </c>
      <c r="G36" s="40">
        <f t="shared" ref="G36" si="13">SUM(C36:F36)</f>
        <v>0</v>
      </c>
      <c r="H36" s="37" t="str">
        <f>IF(G36&gt;0,G36/$G$18,"-")</f>
        <v>-</v>
      </c>
      <c r="I36" s="142"/>
      <c r="J36" s="142"/>
      <c r="K36" s="142"/>
      <c r="L36" s="142"/>
    </row>
    <row r="37" spans="1:12">
      <c r="A37" s="60" t="s">
        <v>106</v>
      </c>
      <c r="B37" s="230"/>
      <c r="C37" s="39">
        <v>0</v>
      </c>
      <c r="D37" s="39">
        <v>0</v>
      </c>
      <c r="E37" s="39">
        <v>0</v>
      </c>
      <c r="F37" s="39">
        <v>0</v>
      </c>
      <c r="G37" s="40">
        <f t="shared" si="12"/>
        <v>0</v>
      </c>
      <c r="H37" s="37" t="str">
        <f>IF(G37&gt;0,G37/$G$18,"-")</f>
        <v>-</v>
      </c>
      <c r="I37" s="142"/>
      <c r="J37" s="142"/>
      <c r="K37" s="142"/>
      <c r="L37" s="142"/>
    </row>
    <row r="38" spans="1:12">
      <c r="A38" s="61" t="s">
        <v>106</v>
      </c>
      <c r="B38" s="231"/>
      <c r="C38" s="43">
        <v>0</v>
      </c>
      <c r="D38" s="43">
        <v>0</v>
      </c>
      <c r="E38" s="43">
        <v>0</v>
      </c>
      <c r="F38" s="43">
        <v>0</v>
      </c>
      <c r="G38" s="44">
        <f t="shared" si="12"/>
        <v>0</v>
      </c>
      <c r="H38" s="62" t="str">
        <f t="shared" ref="H38" si="14">IF(G38&gt;0,G38/$G$18,"-")</f>
        <v>-</v>
      </c>
      <c r="I38" s="142"/>
      <c r="J38" s="142"/>
      <c r="K38" s="142"/>
      <c r="L38" s="142"/>
    </row>
    <row r="39" spans="1:12">
      <c r="A39" s="14"/>
      <c r="C39" s="19"/>
      <c r="D39" s="19"/>
      <c r="E39" s="19"/>
      <c r="F39" s="19"/>
      <c r="G39" s="45"/>
      <c r="I39" s="142"/>
      <c r="J39" s="142"/>
      <c r="K39" s="142"/>
      <c r="L39" s="142"/>
    </row>
    <row r="40" spans="1:12">
      <c r="A40" s="9" t="s">
        <v>107</v>
      </c>
      <c r="B40" s="63" t="s">
        <v>69</v>
      </c>
      <c r="C40" s="31" t="s">
        <v>70</v>
      </c>
      <c r="D40" s="31" t="s">
        <v>71</v>
      </c>
      <c r="E40" s="31" t="s">
        <v>72</v>
      </c>
      <c r="F40" s="31" t="s">
        <v>73</v>
      </c>
      <c r="G40" s="32" t="s">
        <v>74</v>
      </c>
      <c r="H40" s="48" t="s">
        <v>108</v>
      </c>
      <c r="I40" s="142"/>
      <c r="J40" s="142"/>
      <c r="K40" s="142"/>
      <c r="L40" s="142"/>
    </row>
    <row r="41" spans="1:12" ht="15.6" customHeight="1">
      <c r="A41" s="166" t="s">
        <v>109</v>
      </c>
      <c r="B41" s="128" t="s">
        <v>110</v>
      </c>
      <c r="C41" s="35">
        <v>13223</v>
      </c>
      <c r="D41" s="35">
        <v>14263</v>
      </c>
      <c r="E41" s="35">
        <v>17574</v>
      </c>
      <c r="F41" s="35">
        <v>3336</v>
      </c>
      <c r="G41" s="36">
        <f t="shared" ref="G41:G48" si="15">SUM(C41:F41)</f>
        <v>48396</v>
      </c>
      <c r="H41" s="122">
        <f>IF(G41&gt;0,G41*1000/$G$18,"-")</f>
        <v>432.22505539591577</v>
      </c>
      <c r="I41" s="142"/>
      <c r="J41" s="142"/>
      <c r="K41" s="142"/>
      <c r="L41" s="142"/>
    </row>
    <row r="42" spans="1:12" ht="15.6">
      <c r="A42" s="51" t="s">
        <v>111</v>
      </c>
      <c r="B42" s="53" t="s">
        <v>110</v>
      </c>
      <c r="C42" s="39"/>
      <c r="D42" s="39"/>
      <c r="E42" s="39"/>
      <c r="F42" s="39"/>
      <c r="G42" s="40">
        <f t="shared" si="15"/>
        <v>0</v>
      </c>
      <c r="H42" s="64" t="str">
        <f t="shared" ref="H42:H48" si="16">IF(G42&gt;0,G42*1000/$G$18,"-")</f>
        <v>-</v>
      </c>
      <c r="I42" s="142"/>
      <c r="J42" s="142"/>
      <c r="K42" s="142"/>
      <c r="L42" s="142"/>
    </row>
    <row r="43" spans="1:12" ht="15.6" customHeight="1">
      <c r="A43" s="51" t="s">
        <v>112</v>
      </c>
      <c r="B43" s="53" t="s">
        <v>113</v>
      </c>
      <c r="C43" s="39"/>
      <c r="D43" s="39"/>
      <c r="E43" s="39"/>
      <c r="F43" s="39"/>
      <c r="G43" s="40">
        <f t="shared" si="15"/>
        <v>0</v>
      </c>
      <c r="H43" s="64" t="str">
        <f t="shared" si="16"/>
        <v>-</v>
      </c>
      <c r="I43" s="142"/>
      <c r="J43" s="142"/>
      <c r="K43" s="142"/>
      <c r="L43" s="142"/>
    </row>
    <row r="44" spans="1:12">
      <c r="A44" s="165" t="s">
        <v>114</v>
      </c>
      <c r="B44" s="53" t="s">
        <v>113</v>
      </c>
      <c r="C44" s="39">
        <v>816</v>
      </c>
      <c r="D44" s="39">
        <v>995</v>
      </c>
      <c r="E44" s="39">
        <v>945</v>
      </c>
      <c r="F44" s="39"/>
      <c r="G44" s="40">
        <f t="shared" si="15"/>
        <v>2756</v>
      </c>
      <c r="H44" s="64">
        <f t="shared" si="16"/>
        <v>24.613857605404245</v>
      </c>
      <c r="I44" s="142"/>
      <c r="J44" s="142"/>
      <c r="K44" s="142"/>
      <c r="L44" s="142"/>
    </row>
    <row r="45" spans="1:12">
      <c r="A45" s="51" t="s">
        <v>115</v>
      </c>
      <c r="B45" s="53" t="s">
        <v>113</v>
      </c>
      <c r="C45" s="39">
        <v>80280</v>
      </c>
      <c r="D45" s="39">
        <v>336600</v>
      </c>
      <c r="E45" s="39">
        <v>249100</v>
      </c>
      <c r="F45" s="39">
        <v>0</v>
      </c>
      <c r="G45" s="40">
        <f t="shared" si="15"/>
        <v>665980</v>
      </c>
      <c r="H45" s="64">
        <f t="shared" si="16"/>
        <v>5947.8726008879248</v>
      </c>
      <c r="I45" s="142"/>
      <c r="J45" s="142"/>
      <c r="K45" s="142"/>
      <c r="L45" s="142"/>
    </row>
    <row r="46" spans="1:12">
      <c r="A46" s="51" t="s">
        <v>116</v>
      </c>
      <c r="B46" s="53" t="s">
        <v>117</v>
      </c>
      <c r="C46" s="39"/>
      <c r="D46" s="39"/>
      <c r="E46" s="39"/>
      <c r="F46" s="39"/>
      <c r="G46" s="40">
        <f t="shared" si="15"/>
        <v>0</v>
      </c>
      <c r="H46" s="64" t="str">
        <f t="shared" si="16"/>
        <v>-</v>
      </c>
      <c r="I46" s="142"/>
      <c r="J46" s="142"/>
      <c r="K46" s="142"/>
      <c r="L46" s="142"/>
    </row>
    <row r="47" spans="1:12">
      <c r="A47" s="51" t="s">
        <v>118</v>
      </c>
      <c r="B47" s="53" t="s">
        <v>119</v>
      </c>
      <c r="C47" s="39">
        <v>0</v>
      </c>
      <c r="D47" s="39">
        <v>0</v>
      </c>
      <c r="E47" s="39">
        <v>0</v>
      </c>
      <c r="F47" s="39">
        <v>0</v>
      </c>
      <c r="G47" s="40">
        <f t="shared" si="15"/>
        <v>0</v>
      </c>
      <c r="H47" s="64" t="str">
        <f t="shared" si="16"/>
        <v>-</v>
      </c>
      <c r="I47" s="142"/>
      <c r="J47" s="142"/>
      <c r="K47" s="142"/>
      <c r="L47" s="142"/>
    </row>
    <row r="48" spans="1:12">
      <c r="A48" s="55" t="s">
        <v>106</v>
      </c>
      <c r="B48" s="65"/>
      <c r="C48" s="43">
        <v>0</v>
      </c>
      <c r="D48" s="43">
        <v>0</v>
      </c>
      <c r="E48" s="43">
        <v>0</v>
      </c>
      <c r="F48" s="43">
        <v>0</v>
      </c>
      <c r="G48" s="44">
        <f t="shared" si="15"/>
        <v>0</v>
      </c>
      <c r="H48" s="66" t="str">
        <f t="shared" si="16"/>
        <v>-</v>
      </c>
      <c r="I48" s="142"/>
      <c r="J48" s="142"/>
      <c r="K48" s="142"/>
      <c r="L48" s="142"/>
    </row>
    <row r="49" spans="1:8">
      <c r="A49" s="14"/>
      <c r="C49" s="19"/>
      <c r="D49" s="19"/>
      <c r="E49" s="19"/>
      <c r="F49" s="19"/>
      <c r="G49" s="45"/>
    </row>
    <row r="50" spans="1:8">
      <c r="A50" s="9" t="s">
        <v>120</v>
      </c>
      <c r="B50" s="67" t="s">
        <v>121</v>
      </c>
      <c r="C50" s="46" t="s">
        <v>70</v>
      </c>
      <c r="D50" s="46" t="s">
        <v>71</v>
      </c>
      <c r="E50" s="46" t="s">
        <v>72</v>
      </c>
      <c r="F50" s="46" t="s">
        <v>73</v>
      </c>
      <c r="G50" s="47" t="s">
        <v>74</v>
      </c>
      <c r="H50" s="48"/>
    </row>
    <row r="51" spans="1:8" ht="14.25" customHeight="1">
      <c r="A51" s="49" t="s">
        <v>122</v>
      </c>
      <c r="B51" s="46">
        <v>1</v>
      </c>
      <c r="C51" s="35">
        <v>1499</v>
      </c>
      <c r="D51" s="35">
        <v>1956</v>
      </c>
      <c r="E51" s="35">
        <v>1805</v>
      </c>
      <c r="F51" s="35">
        <v>0</v>
      </c>
      <c r="G51" s="36">
        <f t="shared" ref="G51:G61" si="17">SUM(C51:F51)</f>
        <v>5260</v>
      </c>
      <c r="H51" s="59" t="s">
        <v>123</v>
      </c>
    </row>
    <row r="52" spans="1:8" ht="14.25" customHeight="1">
      <c r="A52" s="51" t="s">
        <v>122</v>
      </c>
      <c r="B52" s="19">
        <v>2</v>
      </c>
      <c r="C52" s="121">
        <v>1358</v>
      </c>
      <c r="D52" s="121">
        <v>1805</v>
      </c>
      <c r="E52" s="121">
        <v>1464</v>
      </c>
      <c r="F52" s="121">
        <v>0</v>
      </c>
      <c r="G52" s="40">
        <f t="shared" si="17"/>
        <v>4627</v>
      </c>
      <c r="H52" s="37" t="s">
        <v>124</v>
      </c>
    </row>
    <row r="53" spans="1:8" ht="14.25" customHeight="1">
      <c r="A53" s="51" t="s">
        <v>122</v>
      </c>
      <c r="B53" s="19">
        <v>3</v>
      </c>
      <c r="C53" s="121"/>
      <c r="D53" s="121"/>
      <c r="E53" s="121"/>
      <c r="F53" s="121"/>
      <c r="G53" s="40">
        <f t="shared" si="17"/>
        <v>0</v>
      </c>
      <c r="H53" s="37" t="s">
        <v>124</v>
      </c>
    </row>
    <row r="54" spans="1:8" ht="14.25" customHeight="1">
      <c r="A54" s="51" t="s">
        <v>122</v>
      </c>
      <c r="B54" s="19">
        <v>4</v>
      </c>
      <c r="C54" s="121"/>
      <c r="D54" s="121"/>
      <c r="E54" s="121"/>
      <c r="F54" s="121"/>
      <c r="G54" s="40">
        <f t="shared" si="17"/>
        <v>0</v>
      </c>
      <c r="H54" s="37" t="s">
        <v>124</v>
      </c>
    </row>
    <row r="55" spans="1:8" ht="14.25" customHeight="1">
      <c r="A55" s="51" t="s">
        <v>122</v>
      </c>
      <c r="B55" s="19">
        <v>5</v>
      </c>
      <c r="C55" s="121"/>
      <c r="D55" s="121"/>
      <c r="E55" s="121"/>
      <c r="F55" s="121"/>
      <c r="G55" s="40">
        <f t="shared" ref="G55" si="18">SUM(C55:F55)</f>
        <v>0</v>
      </c>
      <c r="H55" s="37" t="s">
        <v>124</v>
      </c>
    </row>
    <row r="56" spans="1:8" ht="14.25" customHeight="1">
      <c r="A56" s="51" t="s">
        <v>125</v>
      </c>
      <c r="B56" s="19">
        <v>1</v>
      </c>
      <c r="C56" s="121">
        <v>1412</v>
      </c>
      <c r="D56" s="121">
        <v>2006</v>
      </c>
      <c r="E56" s="121">
        <v>1769</v>
      </c>
      <c r="F56" s="121">
        <v>0</v>
      </c>
      <c r="G56" s="40">
        <f t="shared" si="17"/>
        <v>5187</v>
      </c>
      <c r="H56" s="37" t="s">
        <v>124</v>
      </c>
    </row>
    <row r="57" spans="1:8">
      <c r="A57" s="51" t="s">
        <v>125</v>
      </c>
      <c r="B57" s="19">
        <v>2</v>
      </c>
      <c r="C57" s="39"/>
      <c r="D57" s="39"/>
      <c r="E57" s="39"/>
      <c r="F57" s="39"/>
      <c r="G57" s="40">
        <f t="shared" si="17"/>
        <v>0</v>
      </c>
      <c r="H57" s="37" t="s">
        <v>124</v>
      </c>
    </row>
    <row r="58" spans="1:8">
      <c r="A58" s="51" t="s">
        <v>126</v>
      </c>
      <c r="B58" s="19"/>
      <c r="C58" s="39">
        <v>0</v>
      </c>
      <c r="D58" s="39">
        <v>0</v>
      </c>
      <c r="E58" s="39">
        <v>0</v>
      </c>
      <c r="F58" s="39">
        <v>0</v>
      </c>
      <c r="G58" s="40">
        <f t="shared" si="17"/>
        <v>0</v>
      </c>
      <c r="H58" s="37" t="str">
        <f>IF(B58&gt;0,G57/8760,"n/a")</f>
        <v>n/a</v>
      </c>
    </row>
    <row r="59" spans="1:8">
      <c r="A59" s="51" t="s">
        <v>127</v>
      </c>
      <c r="B59" s="19" t="s">
        <v>128</v>
      </c>
      <c r="C59" s="39">
        <v>0</v>
      </c>
      <c r="D59" s="39">
        <v>0</v>
      </c>
      <c r="E59" s="39">
        <v>0</v>
      </c>
      <c r="F59" s="39">
        <v>0</v>
      </c>
      <c r="G59" s="40">
        <f t="shared" si="17"/>
        <v>0</v>
      </c>
      <c r="H59" s="52" t="str">
        <f>IF(G59&gt;0,"yes","no")</f>
        <v>no</v>
      </c>
    </row>
    <row r="60" spans="1:8">
      <c r="A60" s="51" t="s">
        <v>129</v>
      </c>
      <c r="B60" s="19" t="s">
        <v>130</v>
      </c>
      <c r="C60" s="39"/>
      <c r="D60" s="39">
        <v>0</v>
      </c>
      <c r="E60" s="39">
        <v>0</v>
      </c>
      <c r="F60" s="39">
        <v>0</v>
      </c>
      <c r="G60" s="40">
        <f t="shared" si="17"/>
        <v>0</v>
      </c>
      <c r="H60" s="68">
        <f>+(G60)/8760</f>
        <v>0</v>
      </c>
    </row>
    <row r="61" spans="1:8">
      <c r="A61" s="55" t="s">
        <v>131</v>
      </c>
      <c r="B61" s="69" t="s">
        <v>128</v>
      </c>
      <c r="C61" s="43"/>
      <c r="D61" s="43">
        <v>0</v>
      </c>
      <c r="E61" s="43">
        <v>0</v>
      </c>
      <c r="F61" s="43">
        <v>0</v>
      </c>
      <c r="G61" s="44">
        <f t="shared" si="17"/>
        <v>0</v>
      </c>
      <c r="H61" s="70" t="str">
        <f>IF(G61&gt;0,"yes","no")</f>
        <v>no</v>
      </c>
    </row>
    <row r="74" spans="6:6">
      <c r="F74" s="3"/>
    </row>
  </sheetData>
  <mergeCells count="7">
    <mergeCell ref="B33:B38"/>
    <mergeCell ref="C30:F30"/>
    <mergeCell ref="G30:H30"/>
    <mergeCell ref="B4:C4"/>
    <mergeCell ref="B8:B20"/>
    <mergeCell ref="B23:B26"/>
    <mergeCell ref="B28:B29"/>
  </mergeCells>
  <phoneticPr fontId="24" type="noConversion"/>
  <pageMargins left="0.7" right="0.7" top="0.75" bottom="0.75" header="0.3" footer="0.3"/>
  <pageSetup paperSize="9" scale="87" orientation="portrait"/>
  <headerFooter scaleWithDoc="0">
    <oddFooter>&amp;C&amp;"Arial,Regular"Page &amp;P</oddFooter>
  </headerFooter>
  <ignoredErrors>
    <ignoredError sqref="G56:G57 G52:G54"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zoomScaleNormal="100" workbookViewId="0">
      <selection activeCell="A31" sqref="A31"/>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142" t="str">
        <f>+'Cover Page'!$B$29</f>
        <v>Annual Performance Report 2022</v>
      </c>
      <c r="B1" s="142"/>
      <c r="C1" s="142"/>
      <c r="D1" s="142"/>
      <c r="E1" s="142" t="str">
        <f>+'Cover Page'!$B$33</f>
        <v>Name of Facility: Thalia MK ODC Limited</v>
      </c>
      <c r="F1" s="142"/>
      <c r="G1" s="142"/>
      <c r="H1" s="142"/>
      <c r="I1" s="142"/>
      <c r="J1" s="142"/>
      <c r="K1" s="142"/>
      <c r="L1" s="142"/>
      <c r="M1" s="142"/>
      <c r="N1" s="142"/>
    </row>
    <row r="3" spans="1:14" ht="15.6">
      <c r="A3" s="96" t="s">
        <v>132</v>
      </c>
      <c r="B3" s="148"/>
      <c r="C3" s="148"/>
      <c r="D3" s="148"/>
      <c r="E3" s="148"/>
      <c r="F3" s="148"/>
      <c r="G3" s="148"/>
      <c r="H3" s="148"/>
      <c r="I3" s="149"/>
      <c r="J3" s="142"/>
      <c r="K3" s="134" t="s">
        <v>3</v>
      </c>
      <c r="L3" s="142"/>
      <c r="M3" s="142"/>
      <c r="N3" s="142"/>
    </row>
    <row r="4" spans="1:14">
      <c r="A4" s="150"/>
      <c r="B4" s="151"/>
      <c r="C4" s="151"/>
      <c r="D4" s="151"/>
      <c r="E4" s="151"/>
      <c r="F4" s="151"/>
      <c r="G4" s="151"/>
      <c r="H4" s="151"/>
      <c r="I4" s="152"/>
      <c r="J4" s="142"/>
      <c r="K4" s="142"/>
      <c r="L4" s="142"/>
      <c r="M4" s="142"/>
      <c r="N4" s="142"/>
    </row>
    <row r="5" spans="1:14" ht="15.75" customHeight="1">
      <c r="A5" s="219" t="s">
        <v>133</v>
      </c>
      <c r="B5" s="220"/>
      <c r="C5" s="220"/>
      <c r="D5" s="220"/>
      <c r="E5" s="220"/>
      <c r="F5" s="220"/>
      <c r="G5" s="220"/>
      <c r="H5" s="220"/>
      <c r="I5" s="221"/>
      <c r="J5" s="142"/>
      <c r="K5" s="228" t="s">
        <v>134</v>
      </c>
      <c r="L5" s="228"/>
      <c r="M5" s="228"/>
      <c r="N5" s="228"/>
    </row>
    <row r="6" spans="1:14">
      <c r="A6" s="222"/>
      <c r="B6" s="223"/>
      <c r="C6" s="223"/>
      <c r="D6" s="223"/>
      <c r="E6" s="223"/>
      <c r="F6" s="223"/>
      <c r="G6" s="223"/>
      <c r="H6" s="223"/>
      <c r="I6" s="224"/>
      <c r="J6" s="142"/>
      <c r="K6" s="228"/>
      <c r="L6" s="228"/>
      <c r="M6" s="228"/>
      <c r="N6" s="228"/>
    </row>
    <row r="7" spans="1:14">
      <c r="A7" s="222"/>
      <c r="B7" s="223"/>
      <c r="C7" s="223"/>
      <c r="D7" s="223"/>
      <c r="E7" s="223"/>
      <c r="F7" s="223"/>
      <c r="G7" s="223"/>
      <c r="H7" s="223"/>
      <c r="I7" s="224"/>
      <c r="J7" s="142"/>
      <c r="K7" s="228"/>
      <c r="L7" s="228"/>
      <c r="M7" s="228"/>
      <c r="N7" s="228"/>
    </row>
    <row r="8" spans="1:14" ht="15.75" customHeight="1">
      <c r="A8" s="222"/>
      <c r="B8" s="223"/>
      <c r="C8" s="223"/>
      <c r="D8" s="223"/>
      <c r="E8" s="223"/>
      <c r="F8" s="223"/>
      <c r="G8" s="223"/>
      <c r="H8" s="223"/>
      <c r="I8" s="224"/>
      <c r="J8" s="142"/>
      <c r="K8" s="228"/>
      <c r="L8" s="228"/>
      <c r="M8" s="228"/>
      <c r="N8" s="228"/>
    </row>
    <row r="9" spans="1:14" ht="15.75" customHeight="1">
      <c r="A9" s="222"/>
      <c r="B9" s="223"/>
      <c r="C9" s="223"/>
      <c r="D9" s="223"/>
      <c r="E9" s="223"/>
      <c r="F9" s="223"/>
      <c r="G9" s="223"/>
      <c r="H9" s="223"/>
      <c r="I9" s="224"/>
      <c r="J9" s="142"/>
      <c r="K9" s="228"/>
      <c r="L9" s="228"/>
      <c r="M9" s="228"/>
      <c r="N9" s="228"/>
    </row>
    <row r="10" spans="1:14" ht="15.75" customHeight="1">
      <c r="A10" s="222"/>
      <c r="B10" s="223"/>
      <c r="C10" s="223"/>
      <c r="D10" s="223"/>
      <c r="E10" s="223"/>
      <c r="F10" s="223"/>
      <c r="G10" s="223"/>
      <c r="H10" s="223"/>
      <c r="I10" s="224"/>
      <c r="J10" s="142"/>
      <c r="K10" s="228"/>
      <c r="L10" s="228"/>
      <c r="M10" s="228"/>
      <c r="N10" s="228"/>
    </row>
    <row r="11" spans="1:14" ht="15.75" customHeight="1">
      <c r="A11" s="222"/>
      <c r="B11" s="223"/>
      <c r="C11" s="223"/>
      <c r="D11" s="223"/>
      <c r="E11" s="223"/>
      <c r="F11" s="223"/>
      <c r="G11" s="223"/>
      <c r="H11" s="223"/>
      <c r="I11" s="224"/>
      <c r="J11" s="142"/>
      <c r="K11" s="228"/>
      <c r="L11" s="228"/>
      <c r="M11" s="228"/>
      <c r="N11" s="228"/>
    </row>
    <row r="12" spans="1:14" ht="15.75" customHeight="1">
      <c r="A12" s="222"/>
      <c r="B12" s="223"/>
      <c r="C12" s="223"/>
      <c r="D12" s="223"/>
      <c r="E12" s="223"/>
      <c r="F12" s="223"/>
      <c r="G12" s="223"/>
      <c r="H12" s="223"/>
      <c r="I12" s="224"/>
      <c r="J12" s="142"/>
      <c r="K12" s="228"/>
      <c r="L12" s="228"/>
      <c r="M12" s="228"/>
      <c r="N12" s="228"/>
    </row>
    <row r="13" spans="1:14" ht="15.75" customHeight="1">
      <c r="A13" s="222"/>
      <c r="B13" s="223"/>
      <c r="C13" s="223"/>
      <c r="D13" s="223"/>
      <c r="E13" s="223"/>
      <c r="F13" s="223"/>
      <c r="G13" s="223"/>
      <c r="H13" s="223"/>
      <c r="I13" s="224"/>
      <c r="J13" s="142"/>
      <c r="K13" s="228"/>
      <c r="L13" s="228"/>
      <c r="M13" s="228"/>
      <c r="N13" s="228"/>
    </row>
    <row r="14" spans="1:14" ht="15.75" customHeight="1">
      <c r="A14" s="222"/>
      <c r="B14" s="223"/>
      <c r="C14" s="223"/>
      <c r="D14" s="223"/>
      <c r="E14" s="223"/>
      <c r="F14" s="223"/>
      <c r="G14" s="223"/>
      <c r="H14" s="223"/>
      <c r="I14" s="224"/>
      <c r="J14" s="142"/>
      <c r="K14" s="228"/>
      <c r="L14" s="228"/>
      <c r="M14" s="228"/>
      <c r="N14" s="228"/>
    </row>
    <row r="15" spans="1:14" ht="15.75" customHeight="1">
      <c r="A15" s="222"/>
      <c r="B15" s="223"/>
      <c r="C15" s="223"/>
      <c r="D15" s="223"/>
      <c r="E15" s="223"/>
      <c r="F15" s="223"/>
      <c r="G15" s="223"/>
      <c r="H15" s="223"/>
      <c r="I15" s="224"/>
      <c r="J15" s="142"/>
      <c r="K15" s="142"/>
      <c r="L15" s="142"/>
      <c r="M15" s="142"/>
      <c r="N15" s="142"/>
    </row>
    <row r="16" spans="1:14" ht="15.75" customHeight="1">
      <c r="A16" s="222"/>
      <c r="B16" s="223"/>
      <c r="C16" s="223"/>
      <c r="D16" s="223"/>
      <c r="E16" s="223"/>
      <c r="F16" s="223"/>
      <c r="G16" s="223"/>
      <c r="H16" s="223"/>
      <c r="I16" s="224"/>
      <c r="J16" s="142"/>
      <c r="K16" s="142"/>
      <c r="L16" s="142"/>
      <c r="M16" s="142"/>
      <c r="N16" s="142"/>
    </row>
    <row r="17" spans="1:14" ht="15.75" customHeight="1">
      <c r="A17" s="222"/>
      <c r="B17" s="223"/>
      <c r="C17" s="223"/>
      <c r="D17" s="223"/>
      <c r="E17" s="223"/>
      <c r="F17" s="223"/>
      <c r="G17" s="223"/>
      <c r="H17" s="223"/>
      <c r="I17" s="224"/>
      <c r="J17" s="142"/>
      <c r="K17" s="142"/>
      <c r="L17" s="142"/>
      <c r="M17" s="142"/>
      <c r="N17" s="142"/>
    </row>
    <row r="18" spans="1:14">
      <c r="A18" s="222"/>
      <c r="B18" s="223"/>
      <c r="C18" s="223"/>
      <c r="D18" s="223"/>
      <c r="E18" s="223"/>
      <c r="F18" s="223"/>
      <c r="G18" s="223"/>
      <c r="H18" s="223"/>
      <c r="I18" s="224"/>
      <c r="J18" s="142"/>
      <c r="K18" s="142"/>
      <c r="L18" s="142"/>
      <c r="M18" s="142"/>
      <c r="N18" s="142"/>
    </row>
    <row r="19" spans="1:14">
      <c r="A19" s="222"/>
      <c r="B19" s="223"/>
      <c r="C19" s="223"/>
      <c r="D19" s="223"/>
      <c r="E19" s="223"/>
      <c r="F19" s="223"/>
      <c r="G19" s="223"/>
      <c r="H19" s="223"/>
      <c r="I19" s="224"/>
      <c r="J19" s="142"/>
      <c r="K19" s="142"/>
      <c r="L19" s="142"/>
      <c r="M19" s="142"/>
      <c r="N19" s="142"/>
    </row>
    <row r="20" spans="1:14">
      <c r="A20" s="222"/>
      <c r="B20" s="223"/>
      <c r="C20" s="223"/>
      <c r="D20" s="223"/>
      <c r="E20" s="223"/>
      <c r="F20" s="223"/>
      <c r="G20" s="223"/>
      <c r="H20" s="223"/>
      <c r="I20" s="224"/>
      <c r="J20" s="142"/>
      <c r="K20" s="142"/>
      <c r="L20" s="142"/>
      <c r="M20" s="142"/>
      <c r="N20" s="142"/>
    </row>
    <row r="21" spans="1:14">
      <c r="A21" s="222"/>
      <c r="B21" s="223"/>
      <c r="C21" s="223"/>
      <c r="D21" s="223"/>
      <c r="E21" s="223"/>
      <c r="F21" s="223"/>
      <c r="G21" s="223"/>
      <c r="H21" s="223"/>
      <c r="I21" s="224"/>
      <c r="J21" s="142"/>
      <c r="K21" s="142"/>
      <c r="L21" s="142"/>
      <c r="M21" s="142"/>
      <c r="N21" s="142"/>
    </row>
    <row r="22" spans="1:14" ht="15.4" customHeight="1">
      <c r="A22" s="222"/>
      <c r="B22" s="223"/>
      <c r="C22" s="223"/>
      <c r="D22" s="223"/>
      <c r="E22" s="223"/>
      <c r="F22" s="223"/>
      <c r="G22" s="223"/>
      <c r="H22" s="223"/>
      <c r="I22" s="224"/>
      <c r="J22" s="142"/>
      <c r="K22" s="153"/>
      <c r="L22" s="153"/>
      <c r="M22" s="153"/>
      <c r="N22" s="153"/>
    </row>
    <row r="23" spans="1:14">
      <c r="A23" s="222"/>
      <c r="B23" s="223"/>
      <c r="C23" s="223"/>
      <c r="D23" s="223"/>
      <c r="E23" s="223"/>
      <c r="F23" s="223"/>
      <c r="G23" s="223"/>
      <c r="H23" s="223"/>
      <c r="I23" s="224"/>
      <c r="J23" s="142"/>
      <c r="K23" s="153"/>
      <c r="L23" s="153"/>
      <c r="M23" s="153"/>
      <c r="N23" s="153"/>
    </row>
    <row r="24" spans="1:14">
      <c r="A24" s="222"/>
      <c r="B24" s="223"/>
      <c r="C24" s="223"/>
      <c r="D24" s="223"/>
      <c r="E24" s="223"/>
      <c r="F24" s="223"/>
      <c r="G24" s="223"/>
      <c r="H24" s="223"/>
      <c r="I24" s="224"/>
      <c r="J24" s="142"/>
      <c r="K24" s="153"/>
      <c r="L24" s="153"/>
      <c r="M24" s="153"/>
      <c r="N24" s="153"/>
    </row>
    <row r="25" spans="1:14">
      <c r="A25" s="222"/>
      <c r="B25" s="223"/>
      <c r="C25" s="223"/>
      <c r="D25" s="223"/>
      <c r="E25" s="223"/>
      <c r="F25" s="223"/>
      <c r="G25" s="223"/>
      <c r="H25" s="223"/>
      <c r="I25" s="224"/>
      <c r="J25" s="142"/>
      <c r="K25" s="153"/>
      <c r="L25" s="153"/>
      <c r="M25" s="153"/>
      <c r="N25" s="153"/>
    </row>
    <row r="26" spans="1:14">
      <c r="A26" s="222"/>
      <c r="B26" s="223"/>
      <c r="C26" s="223"/>
      <c r="D26" s="223"/>
      <c r="E26" s="223"/>
      <c r="F26" s="223"/>
      <c r="G26" s="223"/>
      <c r="H26" s="223"/>
      <c r="I26" s="224"/>
      <c r="J26" s="142"/>
      <c r="K26" s="153"/>
      <c r="L26" s="153"/>
      <c r="M26" s="153"/>
      <c r="N26" s="153"/>
    </row>
    <row r="27" spans="1:14">
      <c r="A27" s="225"/>
      <c r="B27" s="226"/>
      <c r="C27" s="226"/>
      <c r="D27" s="226"/>
      <c r="E27" s="226"/>
      <c r="F27" s="226"/>
      <c r="G27" s="226"/>
      <c r="H27" s="226"/>
      <c r="I27" s="227"/>
      <c r="J27" s="142"/>
      <c r="K27" s="153"/>
      <c r="L27" s="153"/>
      <c r="M27" s="153"/>
      <c r="N27" s="153"/>
    </row>
    <row r="28" spans="1:14">
      <c r="A28" s="142"/>
      <c r="B28" s="142"/>
      <c r="C28" s="142"/>
      <c r="D28" s="142"/>
      <c r="E28" s="142"/>
      <c r="F28" s="142"/>
      <c r="G28" s="142"/>
      <c r="H28" s="142"/>
      <c r="I28" s="142"/>
      <c r="J28" s="142"/>
      <c r="K28" s="153"/>
      <c r="L28" s="153"/>
      <c r="M28" s="153"/>
      <c r="N28" s="153"/>
    </row>
    <row r="29" spans="1:14">
      <c r="A29" s="96" t="s">
        <v>135</v>
      </c>
      <c r="B29" s="148"/>
      <c r="C29" s="148"/>
      <c r="D29" s="148"/>
      <c r="E29" s="148"/>
      <c r="F29" s="148"/>
      <c r="G29" s="148"/>
      <c r="H29" s="148"/>
      <c r="I29" s="149"/>
      <c r="J29" s="142"/>
      <c r="K29" s="153"/>
      <c r="L29" s="153"/>
      <c r="M29" s="153"/>
      <c r="N29" s="153"/>
    </row>
    <row r="30" spans="1:14">
      <c r="A30" s="150"/>
      <c r="B30" s="151"/>
      <c r="C30" s="151"/>
      <c r="D30" s="151"/>
      <c r="E30" s="151"/>
      <c r="F30" s="151"/>
      <c r="G30" s="151"/>
      <c r="H30" s="151"/>
      <c r="I30" s="152"/>
      <c r="J30" s="142"/>
      <c r="K30" s="153"/>
      <c r="L30" s="153"/>
      <c r="M30" s="153"/>
      <c r="N30" s="153"/>
    </row>
    <row r="31" spans="1:14">
      <c r="A31" s="219" t="s">
        <v>136</v>
      </c>
      <c r="B31" s="237"/>
      <c r="C31" s="237"/>
      <c r="D31" s="237"/>
      <c r="E31" s="237"/>
      <c r="F31" s="237"/>
      <c r="G31" s="237"/>
      <c r="H31" s="237"/>
      <c r="I31" s="238"/>
      <c r="J31" s="142"/>
      <c r="K31" s="228" t="s">
        <v>137</v>
      </c>
      <c r="L31" s="228"/>
      <c r="M31" s="228"/>
      <c r="N31" s="228"/>
    </row>
    <row r="32" spans="1:14">
      <c r="A32" s="239"/>
      <c r="B32" s="240"/>
      <c r="C32" s="240"/>
      <c r="D32" s="240"/>
      <c r="E32" s="240"/>
      <c r="F32" s="240"/>
      <c r="G32" s="240"/>
      <c r="H32" s="240"/>
      <c r="I32" s="241"/>
      <c r="J32" s="142"/>
      <c r="K32" s="228"/>
      <c r="L32" s="228"/>
      <c r="M32" s="228"/>
      <c r="N32" s="228"/>
    </row>
    <row r="33" spans="1:14">
      <c r="A33" s="239"/>
      <c r="B33" s="240"/>
      <c r="C33" s="240"/>
      <c r="D33" s="240"/>
      <c r="E33" s="240"/>
      <c r="F33" s="240"/>
      <c r="G33" s="240"/>
      <c r="H33" s="240"/>
      <c r="I33" s="241"/>
      <c r="J33" s="142"/>
      <c r="K33" s="228"/>
      <c r="L33" s="228"/>
      <c r="M33" s="228"/>
      <c r="N33" s="228"/>
    </row>
    <row r="34" spans="1:14">
      <c r="A34" s="239"/>
      <c r="B34" s="240"/>
      <c r="C34" s="240"/>
      <c r="D34" s="240"/>
      <c r="E34" s="240"/>
      <c r="F34" s="240"/>
      <c r="G34" s="240"/>
      <c r="H34" s="240"/>
      <c r="I34" s="241"/>
      <c r="J34" s="142"/>
      <c r="K34" s="228"/>
      <c r="L34" s="228"/>
      <c r="M34" s="228"/>
      <c r="N34" s="228"/>
    </row>
    <row r="35" spans="1:14">
      <c r="A35" s="239"/>
      <c r="B35" s="240"/>
      <c r="C35" s="240"/>
      <c r="D35" s="240"/>
      <c r="E35" s="240"/>
      <c r="F35" s="240"/>
      <c r="G35" s="240"/>
      <c r="H35" s="240"/>
      <c r="I35" s="241"/>
      <c r="J35" s="142"/>
      <c r="K35" s="228"/>
      <c r="L35" s="228"/>
      <c r="M35" s="228"/>
      <c r="N35" s="228"/>
    </row>
    <row r="36" spans="1:14">
      <c r="A36" s="239"/>
      <c r="B36" s="240"/>
      <c r="C36" s="240"/>
      <c r="D36" s="240"/>
      <c r="E36" s="240"/>
      <c r="F36" s="240"/>
      <c r="G36" s="240"/>
      <c r="H36" s="240"/>
      <c r="I36" s="241"/>
      <c r="J36" s="142"/>
      <c r="K36" s="228"/>
      <c r="L36" s="228"/>
      <c r="M36" s="228"/>
      <c r="N36" s="228"/>
    </row>
    <row r="37" spans="1:14">
      <c r="A37" s="239"/>
      <c r="B37" s="240"/>
      <c r="C37" s="240"/>
      <c r="D37" s="240"/>
      <c r="E37" s="240"/>
      <c r="F37" s="240"/>
      <c r="G37" s="240"/>
      <c r="H37" s="240"/>
      <c r="I37" s="241"/>
      <c r="J37" s="142"/>
      <c r="K37" s="228"/>
      <c r="L37" s="228"/>
      <c r="M37" s="228"/>
      <c r="N37" s="228"/>
    </row>
    <row r="38" spans="1:14" ht="14.25" customHeight="1">
      <c r="A38" s="239"/>
      <c r="B38" s="240"/>
      <c r="C38" s="240"/>
      <c r="D38" s="240"/>
      <c r="E38" s="240"/>
      <c r="F38" s="240"/>
      <c r="G38" s="240"/>
      <c r="H38" s="240"/>
      <c r="I38" s="241"/>
      <c r="J38" s="142"/>
      <c r="K38" s="228"/>
      <c r="L38" s="228"/>
      <c r="M38" s="228"/>
      <c r="N38" s="228"/>
    </row>
    <row r="39" spans="1:14">
      <c r="A39" s="239"/>
      <c r="B39" s="240"/>
      <c r="C39" s="240"/>
      <c r="D39" s="240"/>
      <c r="E39" s="240"/>
      <c r="F39" s="240"/>
      <c r="G39" s="240"/>
      <c r="H39" s="240"/>
      <c r="I39" s="241"/>
      <c r="J39" s="142"/>
      <c r="K39" s="228"/>
      <c r="L39" s="228"/>
      <c r="M39" s="228"/>
      <c r="N39" s="228"/>
    </row>
    <row r="40" spans="1:14">
      <c r="A40" s="239"/>
      <c r="B40" s="240"/>
      <c r="C40" s="240"/>
      <c r="D40" s="240"/>
      <c r="E40" s="240"/>
      <c r="F40" s="240"/>
      <c r="G40" s="240"/>
      <c r="H40" s="240"/>
      <c r="I40" s="241"/>
      <c r="J40" s="142"/>
      <c r="K40" s="228"/>
      <c r="L40" s="228"/>
      <c r="M40" s="228"/>
      <c r="N40" s="228"/>
    </row>
    <row r="41" spans="1:14">
      <c r="A41" s="239"/>
      <c r="B41" s="240"/>
      <c r="C41" s="240"/>
      <c r="D41" s="240"/>
      <c r="E41" s="240"/>
      <c r="F41" s="240"/>
      <c r="G41" s="240"/>
      <c r="H41" s="240"/>
      <c r="I41" s="241"/>
      <c r="J41" s="142"/>
      <c r="K41" s="142"/>
      <c r="L41" s="142"/>
      <c r="M41" s="142"/>
      <c r="N41" s="142"/>
    </row>
    <row r="42" spans="1:14">
      <c r="A42" s="239"/>
      <c r="B42" s="240"/>
      <c r="C42" s="240"/>
      <c r="D42" s="240"/>
      <c r="E42" s="240"/>
      <c r="F42" s="240"/>
      <c r="G42" s="240"/>
      <c r="H42" s="240"/>
      <c r="I42" s="241"/>
      <c r="J42" s="142"/>
      <c r="K42" s="142"/>
      <c r="L42" s="142"/>
      <c r="M42" s="142"/>
      <c r="N42" s="142"/>
    </row>
    <row r="43" spans="1:14">
      <c r="A43" s="239"/>
      <c r="B43" s="240"/>
      <c r="C43" s="240"/>
      <c r="D43" s="240"/>
      <c r="E43" s="240"/>
      <c r="F43" s="240"/>
      <c r="G43" s="240"/>
      <c r="H43" s="240"/>
      <c r="I43" s="241"/>
      <c r="J43" s="142"/>
      <c r="K43" s="142"/>
      <c r="L43" s="142"/>
      <c r="M43" s="142"/>
      <c r="N43" s="142"/>
    </row>
    <row r="44" spans="1:14">
      <c r="A44" s="239"/>
      <c r="B44" s="240"/>
      <c r="C44" s="240"/>
      <c r="D44" s="240"/>
      <c r="E44" s="240"/>
      <c r="F44" s="240"/>
      <c r="G44" s="240"/>
      <c r="H44" s="240"/>
      <c r="I44" s="241"/>
      <c r="J44" s="142"/>
      <c r="K44" s="142"/>
      <c r="L44" s="142"/>
      <c r="M44" s="142"/>
      <c r="N44" s="142"/>
    </row>
    <row r="45" spans="1:14">
      <c r="A45" s="239"/>
      <c r="B45" s="240"/>
      <c r="C45" s="240"/>
      <c r="D45" s="240"/>
      <c r="E45" s="240"/>
      <c r="F45" s="240"/>
      <c r="G45" s="240"/>
      <c r="H45" s="240"/>
      <c r="I45" s="241"/>
      <c r="J45" s="142"/>
      <c r="K45" s="142"/>
      <c r="L45" s="142"/>
      <c r="M45" s="142"/>
      <c r="N45" s="142"/>
    </row>
    <row r="46" spans="1:14">
      <c r="A46" s="239"/>
      <c r="B46" s="240"/>
      <c r="C46" s="240"/>
      <c r="D46" s="240"/>
      <c r="E46" s="240"/>
      <c r="F46" s="240"/>
      <c r="G46" s="240"/>
      <c r="H46" s="240"/>
      <c r="I46" s="241"/>
      <c r="J46" s="142"/>
      <c r="K46" s="142"/>
      <c r="L46" s="142"/>
      <c r="M46" s="142"/>
      <c r="N46" s="142"/>
    </row>
    <row r="47" spans="1:14">
      <c r="A47" s="239"/>
      <c r="B47" s="240"/>
      <c r="C47" s="240"/>
      <c r="D47" s="240"/>
      <c r="E47" s="240"/>
      <c r="F47" s="240"/>
      <c r="G47" s="240"/>
      <c r="H47" s="240"/>
      <c r="I47" s="241"/>
      <c r="J47" s="142"/>
      <c r="K47" s="142"/>
      <c r="L47" s="142"/>
      <c r="M47" s="142"/>
      <c r="N47" s="142"/>
    </row>
    <row r="48" spans="1:14">
      <c r="A48" s="239"/>
      <c r="B48" s="240"/>
      <c r="C48" s="240"/>
      <c r="D48" s="240"/>
      <c r="E48" s="240"/>
      <c r="F48" s="240"/>
      <c r="G48" s="240"/>
      <c r="H48" s="240"/>
      <c r="I48" s="241"/>
      <c r="J48" s="142"/>
      <c r="K48" s="142"/>
      <c r="L48" s="142"/>
      <c r="M48" s="142"/>
      <c r="N48" s="142"/>
    </row>
    <row r="49" spans="1:9">
      <c r="A49" s="239"/>
      <c r="B49" s="240"/>
      <c r="C49" s="240"/>
      <c r="D49" s="240"/>
      <c r="E49" s="240"/>
      <c r="F49" s="240"/>
      <c r="G49" s="240"/>
      <c r="H49" s="240"/>
      <c r="I49" s="241"/>
    </row>
    <row r="50" spans="1:9">
      <c r="A50" s="239"/>
      <c r="B50" s="240"/>
      <c r="C50" s="240"/>
      <c r="D50" s="240"/>
      <c r="E50" s="240"/>
      <c r="F50" s="240"/>
      <c r="G50" s="240"/>
      <c r="H50" s="240"/>
      <c r="I50" s="241"/>
    </row>
    <row r="51" spans="1:9">
      <c r="A51" s="239"/>
      <c r="B51" s="240"/>
      <c r="C51" s="240"/>
      <c r="D51" s="240"/>
      <c r="E51" s="240"/>
      <c r="F51" s="240"/>
      <c r="G51" s="240"/>
      <c r="H51" s="240"/>
      <c r="I51" s="241"/>
    </row>
    <row r="52" spans="1:9">
      <c r="A52" s="242"/>
      <c r="B52" s="243"/>
      <c r="C52" s="243"/>
      <c r="D52" s="243"/>
      <c r="E52" s="243"/>
      <c r="F52" s="243"/>
      <c r="G52" s="243"/>
      <c r="H52" s="243"/>
      <c r="I52" s="244"/>
    </row>
    <row r="66" spans="6:6">
      <c r="F66" s="3"/>
    </row>
  </sheetData>
  <mergeCells count="4">
    <mergeCell ref="A5:I27"/>
    <mergeCell ref="A31:I52"/>
    <mergeCell ref="K5:N14"/>
    <mergeCell ref="K31:N40"/>
  </mergeCells>
  <pageMargins left="0.7" right="0.7" top="0.75" bottom="0.75" header="0.3" footer="0.3"/>
  <pageSetup paperSize="9" scale="87" orientation="portrait"/>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K63"/>
  <sheetViews>
    <sheetView showGridLines="0" topLeftCell="A17" zoomScaleNormal="100" workbookViewId="0">
      <selection activeCell="A52" sqref="A52"/>
    </sheetView>
  </sheetViews>
  <sheetFormatPr defaultColWidth="9.28515625" defaultRowHeight="15"/>
  <cols>
    <col min="1" max="1" width="9.28515625" style="2"/>
    <col min="2" max="2" width="16.28515625" style="2" customWidth="1"/>
    <col min="3" max="3" width="9.28515625" style="2"/>
    <col min="4" max="4" width="12" style="2" customWidth="1"/>
    <col min="5" max="7" width="9.28515625" style="2"/>
    <col min="8" max="8" width="11.7109375" style="2" bestFit="1" customWidth="1"/>
    <col min="9" max="16384" width="9.28515625" style="2"/>
  </cols>
  <sheetData>
    <row r="1" spans="1:11" ht="15.6">
      <c r="A1" s="71">
        <f>+'Cover Page'!C39</f>
        <v>2022</v>
      </c>
      <c r="B1" s="72" t="s">
        <v>138</v>
      </c>
      <c r="C1" s="72"/>
      <c r="D1" s="72"/>
      <c r="E1" s="72"/>
      <c r="F1" s="72"/>
      <c r="G1" s="72"/>
      <c r="H1" s="72"/>
      <c r="I1" s="72"/>
      <c r="J1" s="72"/>
      <c r="K1" s="142"/>
    </row>
    <row r="2" spans="1:11" ht="8.25" customHeight="1">
      <c r="A2" s="142"/>
      <c r="B2" s="142"/>
      <c r="C2" s="142"/>
      <c r="D2" s="142"/>
      <c r="E2" s="142"/>
      <c r="F2" s="142"/>
      <c r="G2" s="142"/>
      <c r="H2" s="142"/>
      <c r="I2" s="142"/>
      <c r="J2" s="142"/>
      <c r="K2" s="142"/>
    </row>
    <row r="3" spans="1:11" s="3" customFormat="1" ht="13.9">
      <c r="A3" s="249" t="str">
        <f>+'Cover Page'!B31</f>
        <v>Permit EPR/HP3323PW/T001</v>
      </c>
      <c r="B3" s="249"/>
      <c r="C3" s="249"/>
      <c r="D3" s="249"/>
      <c r="E3" s="249"/>
      <c r="F3" s="3" t="s">
        <v>139</v>
      </c>
      <c r="G3" s="250">
        <f>+'Cover Page'!B37:I37</f>
        <v>0</v>
      </c>
      <c r="H3" s="250"/>
      <c r="I3" s="250"/>
    </row>
    <row r="4" spans="1:11" s="3" customFormat="1" ht="13.9">
      <c r="A4" s="3" t="s">
        <v>140</v>
      </c>
      <c r="B4" s="249" t="str">
        <f>+'Cover Page'!B33:I33</f>
        <v>Name of Facility: Thalia MK ODC Limited</v>
      </c>
      <c r="C4" s="249"/>
      <c r="D4" s="249"/>
      <c r="E4" s="249"/>
      <c r="F4" s="3" t="s">
        <v>141</v>
      </c>
      <c r="G4" s="3" t="s">
        <v>142</v>
      </c>
    </row>
    <row r="5" spans="1:11" s="3" customFormat="1" ht="6.75" customHeight="1"/>
    <row r="6" spans="1:11" s="3" customFormat="1" ht="15.75" customHeight="1">
      <c r="A6" s="3" t="s">
        <v>143</v>
      </c>
      <c r="D6" s="251">
        <v>44562</v>
      </c>
      <c r="E6" s="251"/>
      <c r="F6" s="73" t="s">
        <v>144</v>
      </c>
      <c r="G6" s="251">
        <v>44926</v>
      </c>
      <c r="H6" s="251"/>
    </row>
    <row r="7" spans="1:11" s="3" customFormat="1" ht="7.5" customHeight="1"/>
    <row r="8" spans="1:11" s="3" customFormat="1" ht="15.6">
      <c r="A8" s="9">
        <f>+A1</f>
        <v>2022</v>
      </c>
      <c r="B8" s="72" t="s">
        <v>145</v>
      </c>
      <c r="C8"/>
      <c r="D8"/>
      <c r="E8"/>
      <c r="F8"/>
      <c r="G8"/>
    </row>
    <row r="9" spans="1:11" s="3" customFormat="1" ht="28.5" customHeight="1">
      <c r="A9" s="252" t="s">
        <v>146</v>
      </c>
      <c r="B9" s="252"/>
      <c r="C9" s="252" t="s">
        <v>147</v>
      </c>
      <c r="D9" s="252"/>
      <c r="E9" s="252" t="s">
        <v>148</v>
      </c>
      <c r="F9" s="252"/>
      <c r="G9" s="252" t="s">
        <v>149</v>
      </c>
      <c r="H9" s="252"/>
      <c r="I9" s="252" t="s">
        <v>150</v>
      </c>
      <c r="J9" s="252"/>
    </row>
    <row r="10" spans="1:11" s="3" customFormat="1" ht="14.25" customHeight="1">
      <c r="A10" s="245" t="s">
        <v>151</v>
      </c>
      <c r="B10" s="245"/>
      <c r="C10" s="245"/>
      <c r="D10" s="245"/>
      <c r="E10" s="245"/>
      <c r="F10" s="245"/>
      <c r="G10" s="245"/>
      <c r="H10" s="245"/>
      <c r="I10" s="245"/>
      <c r="J10" s="245"/>
    </row>
    <row r="11" spans="1:11" s="3" customFormat="1" ht="14.25" customHeight="1">
      <c r="A11" s="245" t="s">
        <v>152</v>
      </c>
      <c r="B11" s="245"/>
      <c r="C11" s="246" t="s">
        <v>153</v>
      </c>
      <c r="D11" s="246"/>
      <c r="E11" s="247">
        <v>3062.38</v>
      </c>
      <c r="F11" s="247"/>
      <c r="G11" s="247"/>
      <c r="H11" s="247"/>
      <c r="I11" s="248">
        <f>IF((E11+G11)&gt;0,(E11+G11)/'Operational Data'!$G$18, "-")</f>
        <v>2.7350139787241604E-2</v>
      </c>
      <c r="J11" s="248"/>
    </row>
    <row r="12" spans="1:11" s="3" customFormat="1" ht="14.25" customHeight="1">
      <c r="A12" s="253" t="s">
        <v>154</v>
      </c>
      <c r="B12" s="254"/>
      <c r="C12" s="255" t="s">
        <v>155</v>
      </c>
      <c r="D12" s="256"/>
      <c r="E12" s="257">
        <v>2186.54</v>
      </c>
      <c r="F12" s="258"/>
      <c r="G12" s="259"/>
      <c r="H12" s="247"/>
      <c r="I12" s="248">
        <f>IF((E12+G12)&gt;0,(E12+G12)/'Operational Data'!$G$18, "-")</f>
        <v>1.9528005881175835E-2</v>
      </c>
      <c r="J12" s="248"/>
    </row>
    <row r="13" spans="1:11" s="3" customFormat="1" ht="14.25" customHeight="1">
      <c r="A13" s="253" t="s">
        <v>154</v>
      </c>
      <c r="B13" s="254"/>
      <c r="C13" s="266" t="s">
        <v>156</v>
      </c>
      <c r="D13" s="267"/>
      <c r="E13" s="268">
        <v>18.18</v>
      </c>
      <c r="F13" s="268"/>
      <c r="G13" s="269"/>
      <c r="H13" s="270"/>
      <c r="I13" s="271"/>
      <c r="J13" s="272"/>
    </row>
    <row r="14" spans="1:11" s="3" customFormat="1" ht="14.25" customHeight="1">
      <c r="A14" s="260" t="s">
        <v>157</v>
      </c>
      <c r="B14" s="260"/>
      <c r="C14" s="261" t="s">
        <v>158</v>
      </c>
      <c r="D14" s="262"/>
      <c r="E14" s="263">
        <v>53.94</v>
      </c>
      <c r="F14" s="264"/>
      <c r="G14" s="264"/>
      <c r="H14" s="264"/>
      <c r="I14" s="265">
        <f>IF((E14+G14)&gt;0,(E14+G14)/'Operational Data'!$G$18, "-")</f>
        <v>4.8173856285758525E-4</v>
      </c>
      <c r="J14" s="265"/>
    </row>
    <row r="15" spans="1:11" s="3" customFormat="1" ht="14.25" customHeight="1">
      <c r="A15" s="279" t="s">
        <v>159</v>
      </c>
      <c r="B15" s="280"/>
      <c r="C15" s="281" t="s">
        <v>158</v>
      </c>
      <c r="D15" s="282"/>
      <c r="E15" s="283">
        <v>10.28</v>
      </c>
      <c r="F15" s="284"/>
      <c r="G15" s="259"/>
      <c r="H15" s="247"/>
      <c r="I15" s="248">
        <f>IF((E15+G15)&gt;0,(E15+G15)/'Operational Data'!$G$18, "-")</f>
        <v>9.1810760589098556E-5</v>
      </c>
      <c r="J15" s="248"/>
    </row>
    <row r="16" spans="1:11" s="3" customFormat="1" ht="14.25" customHeight="1">
      <c r="A16" s="285" t="s">
        <v>160</v>
      </c>
      <c r="B16" s="285"/>
      <c r="C16" s="286"/>
      <c r="D16" s="286"/>
      <c r="E16" s="287">
        <f>SUM(E11:F15)</f>
        <v>5331.32</v>
      </c>
      <c r="F16" s="287"/>
      <c r="G16" s="288">
        <f>SUM(G11:H15)</f>
        <v>0</v>
      </c>
      <c r="H16" s="288"/>
      <c r="I16" s="248">
        <f>IF((E16+G16)&gt;0,(E16+G16)/'Operational Data'!$G$18, "-")</f>
        <v>4.761406071438453E-2</v>
      </c>
      <c r="J16" s="248"/>
    </row>
    <row r="17" spans="1:10" s="3" customFormat="1" ht="14.25" customHeight="1">
      <c r="A17" s="273"/>
      <c r="B17" s="274"/>
      <c r="C17" s="274"/>
      <c r="D17" s="274"/>
      <c r="E17" s="275"/>
      <c r="F17" s="275"/>
      <c r="G17" s="275"/>
      <c r="H17" s="275"/>
      <c r="I17" s="276"/>
      <c r="J17" s="277"/>
    </row>
    <row r="18" spans="1:10" s="3" customFormat="1" ht="14.25" customHeight="1">
      <c r="A18" s="278" t="s">
        <v>161</v>
      </c>
      <c r="B18" s="278"/>
      <c r="C18" s="278"/>
      <c r="D18" s="278"/>
      <c r="E18" s="278"/>
      <c r="F18" s="278"/>
      <c r="G18" s="278"/>
      <c r="H18" s="278"/>
      <c r="I18" s="278"/>
      <c r="J18" s="278"/>
    </row>
    <row r="19" spans="1:10" ht="48" customHeight="1">
      <c r="A19" s="245" t="s">
        <v>162</v>
      </c>
      <c r="B19" s="245"/>
      <c r="C19" s="289" t="s">
        <v>163</v>
      </c>
      <c r="D19" s="289"/>
      <c r="E19" s="247">
        <v>11472.650000000001</v>
      </c>
      <c r="F19" s="247"/>
      <c r="G19" s="247"/>
      <c r="H19" s="247"/>
      <c r="I19" s="248">
        <f>IF((E19+G19)&gt;0,(E19+G19)/'Operational Data'!$G$18, "-")</f>
        <v>0.10246232708876671</v>
      </c>
      <c r="J19" s="248"/>
    </row>
    <row r="20" spans="1:10" s="3" customFormat="1" ht="29.25" customHeight="1">
      <c r="A20" s="245" t="s">
        <v>164</v>
      </c>
      <c r="B20" s="245"/>
      <c r="C20" s="289" t="s">
        <v>165</v>
      </c>
      <c r="D20" s="289"/>
      <c r="E20" s="247">
        <v>3028.4</v>
      </c>
      <c r="F20" s="247"/>
      <c r="G20" s="247"/>
      <c r="H20" s="247"/>
      <c r="I20" s="248">
        <f>IF((E20+G20)&gt;0,(E20+G20)/'Operational Data'!$G$18, "-")</f>
        <v>2.7046664140858573E-2</v>
      </c>
      <c r="J20" s="248"/>
    </row>
    <row r="21" spans="1:10" s="3" customFormat="1" ht="31.5" customHeight="1">
      <c r="A21" s="245" t="s">
        <v>166</v>
      </c>
      <c r="B21" s="245"/>
      <c r="C21" s="289" t="s">
        <v>167</v>
      </c>
      <c r="D21" s="289"/>
      <c r="E21" s="247">
        <v>554.48</v>
      </c>
      <c r="F21" s="247"/>
      <c r="G21" s="247"/>
      <c r="H21" s="247"/>
      <c r="I21" s="248">
        <f>IF((E21+G21)&gt;0,(E21+G21)/'Operational Data'!$G$18, "-")</f>
        <v>4.9520652267941029E-3</v>
      </c>
      <c r="J21" s="248"/>
    </row>
    <row r="22" spans="1:10" s="3" customFormat="1" ht="14.25" customHeight="1">
      <c r="A22" s="290"/>
      <c r="B22" s="290"/>
      <c r="C22" s="289"/>
      <c r="D22" s="289"/>
      <c r="E22" s="247"/>
      <c r="F22" s="247"/>
      <c r="G22" s="247"/>
      <c r="H22" s="247"/>
      <c r="I22" s="248" t="str">
        <f>IF((E22+G22)&gt;0,(E22+G22)/'Operational Data'!$G$18, "-")</f>
        <v>-</v>
      </c>
      <c r="J22" s="248"/>
    </row>
    <row r="23" spans="1:10" s="3" customFormat="1" ht="14.25" customHeight="1">
      <c r="A23" s="290"/>
      <c r="B23" s="290"/>
      <c r="C23" s="289"/>
      <c r="D23" s="289"/>
      <c r="E23" s="247"/>
      <c r="F23" s="247"/>
      <c r="G23" s="247"/>
      <c r="H23" s="247"/>
      <c r="I23" s="248" t="str">
        <f>IF((E23+G23)&gt;0,(E23+G23)/'Operational Data'!$G$18, "-")</f>
        <v>-</v>
      </c>
      <c r="J23" s="248"/>
    </row>
    <row r="24" spans="1:10" s="3" customFormat="1" ht="14.25" customHeight="1">
      <c r="A24" s="291" t="s">
        <v>168</v>
      </c>
      <c r="B24" s="291"/>
      <c r="C24" s="291"/>
      <c r="D24" s="291"/>
      <c r="E24" s="288">
        <f>SUM(E19:F23)</f>
        <v>15055.53</v>
      </c>
      <c r="F24" s="288"/>
      <c r="G24" s="288">
        <f>SUM(G19:H23)</f>
        <v>0</v>
      </c>
      <c r="H24" s="288"/>
      <c r="I24" s="248">
        <f>IF((E24+G24)&gt;0,(E24+G24)/'Operational Data'!$G$18, "-")</f>
        <v>0.13446105645641937</v>
      </c>
      <c r="J24" s="248"/>
    </row>
    <row r="25" spans="1:10" s="3" customFormat="1" ht="14.25" customHeight="1">
      <c r="A25" s="301" t="s">
        <v>169</v>
      </c>
      <c r="B25" s="301"/>
      <c r="C25" s="301"/>
      <c r="D25" s="301"/>
      <c r="E25" s="302">
        <f>+E24+E16</f>
        <v>20386.849999999999</v>
      </c>
      <c r="F25" s="302"/>
      <c r="G25" s="302">
        <f>+G24+G16</f>
        <v>0</v>
      </c>
      <c r="H25" s="302"/>
      <c r="I25" s="303">
        <f>IF((E25+G25)&gt;0,(E25+G25)/'Operational Data'!$G$18, "-")</f>
        <v>0.18207511717080388</v>
      </c>
      <c r="J25" s="303"/>
    </row>
    <row r="26" spans="1:10" s="3" customFormat="1" ht="8.25" customHeight="1">
      <c r="A26" s="79"/>
      <c r="B26"/>
      <c r="C26"/>
      <c r="D26"/>
      <c r="E26"/>
      <c r="F26"/>
      <c r="G26"/>
    </row>
    <row r="27" spans="1:10" s="3" customFormat="1" ht="14.25" customHeight="1">
      <c r="A27" s="304" t="s">
        <v>170</v>
      </c>
      <c r="B27" s="304"/>
      <c r="C27" s="304"/>
      <c r="D27" s="304"/>
      <c r="E27" s="304"/>
      <c r="F27" s="304"/>
      <c r="G27" s="304"/>
      <c r="H27" s="304"/>
      <c r="I27" s="304"/>
      <c r="J27" s="304"/>
    </row>
    <row r="28" spans="1:10" s="3" customFormat="1" ht="14.25" customHeight="1">
      <c r="A28" s="305"/>
      <c r="B28" s="305"/>
      <c r="C28" s="305"/>
      <c r="D28" s="305"/>
      <c r="E28" s="305"/>
      <c r="F28" s="305"/>
      <c r="G28" s="305"/>
      <c r="H28" s="305"/>
      <c r="I28" s="305"/>
      <c r="J28" s="305"/>
    </row>
    <row r="29" spans="1:10" s="3" customFormat="1" ht="14.25" customHeight="1">
      <c r="A29" s="305"/>
      <c r="B29" s="305"/>
      <c r="C29" s="305"/>
      <c r="D29" s="305"/>
      <c r="E29" s="305"/>
      <c r="F29" s="305"/>
      <c r="G29" s="305"/>
      <c r="H29" s="305"/>
      <c r="I29" s="305"/>
      <c r="J29" s="305"/>
    </row>
    <row r="30" spans="1:10" s="3" customFormat="1" ht="14.25" customHeight="1">
      <c r="A30" s="305"/>
      <c r="B30" s="305"/>
      <c r="C30" s="305"/>
      <c r="D30" s="305"/>
      <c r="E30" s="305"/>
      <c r="F30" s="305"/>
      <c r="G30" s="305"/>
      <c r="H30" s="305"/>
      <c r="I30" s="305"/>
      <c r="J30" s="305"/>
    </row>
    <row r="31" spans="1:10" s="3" customFormat="1" ht="14.25" customHeight="1">
      <c r="A31" s="79"/>
      <c r="B31"/>
      <c r="C31"/>
      <c r="D31"/>
      <c r="E31"/>
      <c r="F31"/>
      <c r="G31"/>
    </row>
    <row r="32" spans="1:10" s="3" customFormat="1" ht="14.25" customHeight="1">
      <c r="A32" s="1">
        <f>+A1</f>
        <v>2022</v>
      </c>
      <c r="B32" s="72" t="s">
        <v>171</v>
      </c>
      <c r="C32" s="72"/>
      <c r="D32" s="72"/>
      <c r="E32" s="72"/>
      <c r="F32" s="72"/>
    </row>
    <row r="33" spans="1:10" s="3" customFormat="1" ht="24.75" customHeight="1">
      <c r="A33" s="292" t="s">
        <v>172</v>
      </c>
      <c r="B33" s="293"/>
      <c r="C33" s="293"/>
      <c r="D33" s="294"/>
      <c r="E33" s="80" t="s">
        <v>173</v>
      </c>
      <c r="F33" s="81"/>
      <c r="G33" s="82" t="s">
        <v>69</v>
      </c>
      <c r="H33" s="295" t="s">
        <v>174</v>
      </c>
      <c r="I33" s="296"/>
      <c r="J33" s="83" t="s">
        <v>69</v>
      </c>
    </row>
    <row r="34" spans="1:10" s="3" customFormat="1" ht="14.25" customHeight="1">
      <c r="A34" s="273" t="s">
        <v>109</v>
      </c>
      <c r="B34" s="274"/>
      <c r="C34" s="274"/>
      <c r="D34" s="297"/>
      <c r="E34" s="298">
        <f>+'Operational Data'!G41</f>
        <v>48396</v>
      </c>
      <c r="F34" s="277"/>
      <c r="G34" s="84" t="s">
        <v>110</v>
      </c>
      <c r="H34" s="299">
        <f>IF(E34&gt;0,E34/'Operational Data'!$G$18,"-")</f>
        <v>0.43222505539591577</v>
      </c>
      <c r="I34" s="300"/>
      <c r="J34" s="84" t="s">
        <v>175</v>
      </c>
    </row>
    <row r="35" spans="1:10" s="3" customFormat="1" ht="14.25" customHeight="1">
      <c r="A35" s="273" t="s">
        <v>176</v>
      </c>
      <c r="B35" s="274"/>
      <c r="C35" s="274"/>
      <c r="D35" s="297"/>
      <c r="E35" s="298">
        <f>+'Operational Data'!G42+'Operational Data'!G41</f>
        <v>48396</v>
      </c>
      <c r="F35" s="277"/>
      <c r="G35" s="84" t="s">
        <v>110</v>
      </c>
      <c r="H35" s="299">
        <f>IF(E35&gt;0,E35/'Operational Data'!$G$18,"-")</f>
        <v>0.43222505539591577</v>
      </c>
      <c r="I35" s="300"/>
      <c r="J35" s="84" t="s">
        <v>175</v>
      </c>
    </row>
    <row r="36" spans="1:10" s="3" customFormat="1" ht="14.25" customHeight="1">
      <c r="A36" s="273" t="s">
        <v>177</v>
      </c>
      <c r="B36" s="274"/>
      <c r="C36" s="274"/>
      <c r="D36" s="297"/>
      <c r="E36" s="298">
        <f>+'Operational Data'!G43</f>
        <v>0</v>
      </c>
      <c r="F36" s="277"/>
      <c r="G36" s="84" t="s">
        <v>178</v>
      </c>
      <c r="H36" s="299" t="str">
        <f>IF(E36&gt;0,E36/'Operational Data'!$G$18,"-")</f>
        <v>-</v>
      </c>
      <c r="I36" s="300"/>
      <c r="J36" s="84" t="s">
        <v>179</v>
      </c>
    </row>
    <row r="37" spans="1:10" s="3" customFormat="1" ht="14.25" customHeight="1">
      <c r="A37" s="273" t="s">
        <v>114</v>
      </c>
      <c r="B37" s="274"/>
      <c r="C37" s="274"/>
      <c r="D37" s="297"/>
      <c r="E37" s="298">
        <f>+'Operational Data'!G44</f>
        <v>2756</v>
      </c>
      <c r="F37" s="277"/>
      <c r="G37" s="84" t="s">
        <v>178</v>
      </c>
      <c r="H37" s="299">
        <f>IF(E37&gt;0,E37/'Operational Data'!$G$18,"-")</f>
        <v>2.4613857605404247E-2</v>
      </c>
      <c r="I37" s="300"/>
      <c r="J37" s="84" t="s">
        <v>179</v>
      </c>
    </row>
    <row r="38" spans="1:10" s="3" customFormat="1" ht="14.25" customHeight="1">
      <c r="A38" s="273" t="s">
        <v>180</v>
      </c>
      <c r="B38" s="274"/>
      <c r="C38" s="274"/>
      <c r="D38" s="297"/>
      <c r="E38" s="298">
        <f>+'Operational Data'!G45</f>
        <v>665980</v>
      </c>
      <c r="F38" s="277"/>
      <c r="G38" s="84" t="s">
        <v>178</v>
      </c>
      <c r="H38" s="299">
        <f>IF(E38&gt;0,E38/'Operational Data'!$G$18,"-")</f>
        <v>5.9478726008879246</v>
      </c>
      <c r="I38" s="300"/>
      <c r="J38" s="84" t="s">
        <v>179</v>
      </c>
    </row>
    <row r="39" spans="1:10" s="3" customFormat="1" ht="14.25" customHeight="1">
      <c r="A39" s="306"/>
      <c r="B39" s="307"/>
      <c r="C39" s="307"/>
      <c r="D39" s="308"/>
      <c r="E39" s="309"/>
      <c r="F39" s="310"/>
      <c r="G39" s="85"/>
      <c r="H39" s="311"/>
      <c r="I39" s="312"/>
      <c r="J39" s="85"/>
    </row>
    <row r="40" spans="1:10" s="3" customFormat="1" ht="14.25" customHeight="1">
      <c r="A40" s="304" t="s">
        <v>170</v>
      </c>
      <c r="B40" s="304"/>
      <c r="C40" s="304"/>
      <c r="D40" s="304"/>
      <c r="E40" s="304"/>
      <c r="F40" s="304"/>
      <c r="G40" s="304"/>
      <c r="H40" s="304"/>
      <c r="I40" s="304"/>
      <c r="J40" s="304"/>
    </row>
    <row r="41" spans="1:10" s="3" customFormat="1" ht="14.25" customHeight="1">
      <c r="A41" s="305"/>
      <c r="B41" s="305"/>
      <c r="C41" s="305"/>
      <c r="D41" s="305"/>
      <c r="E41" s="305"/>
      <c r="F41" s="305"/>
      <c r="G41" s="305"/>
      <c r="H41" s="305"/>
      <c r="I41" s="305"/>
      <c r="J41" s="305"/>
    </row>
    <row r="42" spans="1:10" s="3" customFormat="1" ht="14.25" customHeight="1">
      <c r="A42" s="305"/>
      <c r="B42" s="305"/>
      <c r="C42" s="305"/>
      <c r="D42" s="305"/>
      <c r="E42" s="305"/>
      <c r="F42" s="305"/>
      <c r="G42" s="305"/>
      <c r="H42" s="305"/>
      <c r="I42" s="305"/>
      <c r="J42" s="305"/>
    </row>
    <row r="43" spans="1:10" s="3" customFormat="1" ht="14.25" customHeight="1">
      <c r="A43" s="86"/>
      <c r="B43" s="86"/>
      <c r="C43" s="86"/>
      <c r="D43" s="86"/>
      <c r="E43" s="86"/>
      <c r="F43" s="86"/>
      <c r="G43" s="86"/>
      <c r="H43" s="86"/>
      <c r="I43" s="86"/>
      <c r="J43" s="86"/>
    </row>
    <row r="44" spans="1:10" s="3" customFormat="1" ht="14.25" customHeight="1">
      <c r="A44" s="72">
        <f>+A32</f>
        <v>2022</v>
      </c>
      <c r="B44" s="72" t="s">
        <v>181</v>
      </c>
      <c r="C44" s="72"/>
      <c r="D44" s="72"/>
      <c r="E44" s="72"/>
      <c r="F44" s="72"/>
      <c r="G44" s="142"/>
    </row>
    <row r="45" spans="1:10" ht="14.25" customHeight="1">
      <c r="A45" s="313" t="s">
        <v>182</v>
      </c>
      <c r="B45" s="313"/>
      <c r="C45" s="313" t="s">
        <v>183</v>
      </c>
      <c r="D45" s="313"/>
      <c r="E45" s="313"/>
      <c r="F45" s="313"/>
      <c r="G45" s="313"/>
      <c r="H45" s="313"/>
      <c r="I45" s="313"/>
      <c r="J45" s="313"/>
    </row>
    <row r="46" spans="1:10" ht="14.25" customHeight="1">
      <c r="A46" s="87"/>
      <c r="B46" s="87"/>
      <c r="C46" s="74" t="s">
        <v>184</v>
      </c>
      <c r="D46" s="74" t="s">
        <v>185</v>
      </c>
      <c r="E46" s="74" t="s">
        <v>186</v>
      </c>
      <c r="F46" s="74" t="s">
        <v>187</v>
      </c>
      <c r="G46" s="74" t="s">
        <v>188</v>
      </c>
      <c r="H46" s="74"/>
      <c r="I46" s="74" t="s">
        <v>189</v>
      </c>
      <c r="J46" s="74" t="s">
        <v>190</v>
      </c>
    </row>
    <row r="47" spans="1:10" ht="31.5" customHeight="1">
      <c r="A47" s="245" t="s">
        <v>191</v>
      </c>
      <c r="B47" s="245"/>
      <c r="C47" s="101">
        <v>5014.5</v>
      </c>
      <c r="D47" s="101">
        <v>4473.5</v>
      </c>
      <c r="E47" s="101"/>
      <c r="F47" s="181">
        <v>7736</v>
      </c>
      <c r="G47" s="181">
        <v>7920</v>
      </c>
      <c r="H47" s="181"/>
      <c r="I47" s="181">
        <v>5126.55</v>
      </c>
      <c r="J47" s="154"/>
    </row>
    <row r="48" spans="1:10" ht="43.5" customHeight="1">
      <c r="A48" s="245" t="s">
        <v>192</v>
      </c>
      <c r="B48" s="245"/>
      <c r="C48" s="77">
        <v>2</v>
      </c>
      <c r="D48" s="77">
        <v>0</v>
      </c>
      <c r="E48" s="77"/>
      <c r="F48" s="154"/>
      <c r="G48" s="154"/>
      <c r="H48" s="154"/>
      <c r="I48" s="154"/>
      <c r="J48" s="154"/>
    </row>
    <row r="49" spans="1:10" ht="42.75" customHeight="1">
      <c r="A49" s="245" t="s">
        <v>193</v>
      </c>
      <c r="B49" s="245"/>
      <c r="C49" s="77">
        <v>48</v>
      </c>
      <c r="D49" s="77">
        <v>0</v>
      </c>
      <c r="E49" s="77"/>
      <c r="F49" s="154"/>
      <c r="G49" s="154"/>
      <c r="H49" s="154"/>
      <c r="I49" s="154"/>
      <c r="J49" s="154"/>
    </row>
    <row r="50" spans="1:10" ht="8.25" customHeight="1">
      <c r="A50" s="142"/>
      <c r="B50" s="142"/>
      <c r="C50" s="142"/>
      <c r="D50" s="142"/>
      <c r="E50" s="142"/>
      <c r="F50" s="142"/>
      <c r="G50" s="142"/>
      <c r="H50" s="142"/>
      <c r="I50" s="142"/>
      <c r="J50" s="142"/>
    </row>
    <row r="51" spans="1:10">
      <c r="A51" s="304" t="s">
        <v>170</v>
      </c>
      <c r="B51" s="304"/>
      <c r="C51" s="304"/>
      <c r="D51" s="304"/>
      <c r="E51" s="304"/>
      <c r="F51" s="304"/>
      <c r="G51" s="304"/>
      <c r="H51" s="304"/>
      <c r="I51" s="304"/>
      <c r="J51" s="304"/>
    </row>
    <row r="52" spans="1:10">
      <c r="A52" s="305" t="s">
        <v>194</v>
      </c>
      <c r="B52" s="305"/>
      <c r="C52" s="305"/>
      <c r="D52" s="305"/>
      <c r="E52" s="305"/>
      <c r="F52" s="305"/>
      <c r="G52" s="305"/>
      <c r="H52" s="305"/>
      <c r="I52" s="305"/>
      <c r="J52" s="305"/>
    </row>
    <row r="53" spans="1:10" ht="26.25" customHeight="1">
      <c r="A53" s="305"/>
      <c r="B53" s="305"/>
      <c r="C53" s="305"/>
      <c r="D53" s="305"/>
      <c r="E53" s="305"/>
      <c r="F53" s="305"/>
      <c r="G53" s="305"/>
      <c r="H53" s="305"/>
      <c r="I53" s="305"/>
      <c r="J53" s="305"/>
    </row>
    <row r="55" spans="1:10">
      <c r="A55" s="3" t="s">
        <v>195</v>
      </c>
      <c r="B55" s="88" t="s">
        <v>196</v>
      </c>
      <c r="C55" s="88"/>
      <c r="D55" s="88"/>
      <c r="E55" s="88"/>
      <c r="F55" s="3"/>
      <c r="G55" s="3" t="s">
        <v>197</v>
      </c>
      <c r="H55" s="187">
        <v>44957</v>
      </c>
      <c r="I55" s="88"/>
      <c r="J55" s="142"/>
    </row>
    <row r="63" spans="1:10">
      <c r="A63" s="142"/>
      <c r="B63" s="142"/>
      <c r="C63" s="142"/>
      <c r="D63" s="142"/>
      <c r="E63" s="142"/>
      <c r="F63" s="3"/>
      <c r="G63" s="142"/>
      <c r="H63" s="142"/>
      <c r="I63" s="142"/>
      <c r="J63" s="142"/>
    </row>
  </sheetData>
  <mergeCells count="110">
    <mergeCell ref="A49:B49"/>
    <mergeCell ref="A51:J51"/>
    <mergeCell ref="A52:J53"/>
    <mergeCell ref="A40:J40"/>
    <mergeCell ref="A41:J42"/>
    <mergeCell ref="A45:B45"/>
    <mergeCell ref="C45:J45"/>
    <mergeCell ref="A47:B47"/>
    <mergeCell ref="A48:B48"/>
    <mergeCell ref="A38:D38"/>
    <mergeCell ref="E38:F38"/>
    <mergeCell ref="H38:I38"/>
    <mergeCell ref="A39:D39"/>
    <mergeCell ref="E39:F39"/>
    <mergeCell ref="H39:I39"/>
    <mergeCell ref="A36:D36"/>
    <mergeCell ref="E36:F36"/>
    <mergeCell ref="H36:I36"/>
    <mergeCell ref="A37:D37"/>
    <mergeCell ref="E37:F37"/>
    <mergeCell ref="H37:I37"/>
    <mergeCell ref="A33:D33"/>
    <mergeCell ref="H33:I33"/>
    <mergeCell ref="A34:D34"/>
    <mergeCell ref="E34:F34"/>
    <mergeCell ref="H34:I34"/>
    <mergeCell ref="A35:D35"/>
    <mergeCell ref="E35:F35"/>
    <mergeCell ref="H35:I35"/>
    <mergeCell ref="A25:D25"/>
    <mergeCell ref="E25:F25"/>
    <mergeCell ref="G25:H25"/>
    <mergeCell ref="I25:J25"/>
    <mergeCell ref="A27:J27"/>
    <mergeCell ref="A28:J30"/>
    <mergeCell ref="A23:B23"/>
    <mergeCell ref="C23:D23"/>
    <mergeCell ref="E23:F23"/>
    <mergeCell ref="G23:H23"/>
    <mergeCell ref="I23:J23"/>
    <mergeCell ref="A24:D24"/>
    <mergeCell ref="E24:F24"/>
    <mergeCell ref="G24:H24"/>
    <mergeCell ref="I24:J24"/>
    <mergeCell ref="A21:B21"/>
    <mergeCell ref="C21:D21"/>
    <mergeCell ref="E21:F21"/>
    <mergeCell ref="G21:H21"/>
    <mergeCell ref="I21:J21"/>
    <mergeCell ref="A22:B22"/>
    <mergeCell ref="C22:D22"/>
    <mergeCell ref="E22:F22"/>
    <mergeCell ref="G22:H22"/>
    <mergeCell ref="I22:J22"/>
    <mergeCell ref="A19:B19"/>
    <mergeCell ref="C19:D19"/>
    <mergeCell ref="E19:F19"/>
    <mergeCell ref="G19:H19"/>
    <mergeCell ref="I19:J19"/>
    <mergeCell ref="A20:B20"/>
    <mergeCell ref="C20:D20"/>
    <mergeCell ref="E20:F20"/>
    <mergeCell ref="G20:H20"/>
    <mergeCell ref="I20:J20"/>
    <mergeCell ref="A17:B17"/>
    <mergeCell ref="C17:D17"/>
    <mergeCell ref="E17:F17"/>
    <mergeCell ref="G17:H17"/>
    <mergeCell ref="I17:J17"/>
    <mergeCell ref="A18:J18"/>
    <mergeCell ref="A15:B15"/>
    <mergeCell ref="C15:D15"/>
    <mergeCell ref="E15:F15"/>
    <mergeCell ref="G15:H15"/>
    <mergeCell ref="I15:J15"/>
    <mergeCell ref="A16:D16"/>
    <mergeCell ref="E16:F16"/>
    <mergeCell ref="G16:H16"/>
    <mergeCell ref="I16:J16"/>
    <mergeCell ref="A12:B12"/>
    <mergeCell ref="C12:D12"/>
    <mergeCell ref="E12:F12"/>
    <mergeCell ref="G12:H12"/>
    <mergeCell ref="I12:J12"/>
    <mergeCell ref="A14:B14"/>
    <mergeCell ref="C14:D14"/>
    <mergeCell ref="E14:F14"/>
    <mergeCell ref="G14:H14"/>
    <mergeCell ref="I14:J14"/>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7" right="0.7" top="0.75" bottom="0.75" header="0.3" footer="0.3"/>
  <pageSetup paperSize="9" scale="87" orientation="portrait"/>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topLeftCell="A10" zoomScaleNormal="100" workbookViewId="0">
      <selection activeCell="G13" sqref="G13:I13"/>
    </sheetView>
  </sheetViews>
  <sheetFormatPr defaultColWidth="9.28515625" defaultRowHeight="15"/>
  <cols>
    <col min="1" max="1" width="9.42578125" style="2" bestFit="1" customWidth="1"/>
    <col min="2" max="4" width="9.28515625" style="2"/>
    <col min="5" max="5" width="13.28515625" style="2" customWidth="1"/>
    <col min="6" max="7" width="9.28515625" style="2"/>
    <col min="8" max="8" width="11.7109375" style="2" bestFit="1" customWidth="1"/>
    <col min="9" max="16384" width="9.28515625" style="2"/>
  </cols>
  <sheetData>
    <row r="1" spans="1:10" ht="15.6">
      <c r="A1" s="71">
        <f>+'Cover Page'!C39</f>
        <v>2022</v>
      </c>
      <c r="B1" s="72" t="s">
        <v>198</v>
      </c>
      <c r="C1" s="72"/>
      <c r="D1" s="72"/>
      <c r="E1" s="72"/>
      <c r="F1" s="72"/>
      <c r="G1" s="72"/>
      <c r="H1" s="72"/>
      <c r="I1" s="72"/>
      <c r="J1" s="72"/>
    </row>
    <row r="3" spans="1:10" s="3" customFormat="1" ht="15" customHeight="1">
      <c r="A3" s="3" t="str">
        <f>+'Cover Page'!B31</f>
        <v>Permit EPR/HP3323PW/T001</v>
      </c>
      <c r="F3" s="3" t="s">
        <v>139</v>
      </c>
      <c r="G3" s="314">
        <f>+'Cover Page'!B37:I37</f>
        <v>0</v>
      </c>
      <c r="H3" s="314"/>
      <c r="I3" s="314"/>
    </row>
    <row r="4" spans="1:10" s="3" customFormat="1" ht="13.9"/>
    <row r="5" spans="1:10" s="3" customFormat="1" ht="13.9">
      <c r="A5" s="3" t="s">
        <v>140</v>
      </c>
      <c r="B5" s="249" t="str">
        <f>+'Cover Page'!B33:I33</f>
        <v>Name of Facility: Thalia MK ODC Limited</v>
      </c>
      <c r="C5" s="249"/>
      <c r="D5" s="249"/>
      <c r="E5" s="249"/>
      <c r="F5" s="3" t="s">
        <v>141</v>
      </c>
      <c r="G5" s="3" t="s">
        <v>199</v>
      </c>
    </row>
    <row r="6" spans="1:10" s="3" customFormat="1" ht="13.9"/>
    <row r="7" spans="1:10" s="3" customFormat="1" ht="15.75" customHeight="1">
      <c r="A7" s="3" t="s">
        <v>143</v>
      </c>
      <c r="D7" s="315">
        <f>+'Perf. Form 1'!D6:E6</f>
        <v>44562</v>
      </c>
      <c r="E7" s="315"/>
      <c r="F7" s="73" t="s">
        <v>144</v>
      </c>
      <c r="G7" s="315">
        <f>+'Perf. Form 1'!G6:H6</f>
        <v>44926</v>
      </c>
      <c r="H7" s="315"/>
    </row>
    <row r="8" spans="1:10" s="3" customFormat="1" ht="14.45">
      <c r="B8"/>
      <c r="C8"/>
      <c r="D8"/>
    </row>
    <row r="9" spans="1:10" s="3" customFormat="1" ht="37.5" customHeight="1">
      <c r="A9" s="313" t="s">
        <v>200</v>
      </c>
      <c r="B9" s="313"/>
      <c r="C9" s="313"/>
      <c r="D9" s="252" t="s">
        <v>201</v>
      </c>
      <c r="E9" s="252"/>
      <c r="F9" s="74" t="s">
        <v>69</v>
      </c>
      <c r="G9" s="313" t="s">
        <v>202</v>
      </c>
      <c r="H9" s="313"/>
      <c r="I9" s="313"/>
    </row>
    <row r="10" spans="1:10" s="3" customFormat="1" ht="24.75" customHeight="1">
      <c r="A10" s="245" t="s">
        <v>203</v>
      </c>
      <c r="B10" s="245"/>
      <c r="C10" s="245"/>
      <c r="D10" s="316">
        <f>+'Operational Data'!G23</f>
        <v>27051.75</v>
      </c>
      <c r="E10" s="316"/>
      <c r="F10" s="101" t="s">
        <v>91</v>
      </c>
      <c r="G10" s="317">
        <f>+'Operational Data'!H23</f>
        <v>241.59939131966414</v>
      </c>
      <c r="H10" s="317"/>
      <c r="I10" s="317"/>
    </row>
    <row r="11" spans="1:10" s="3" customFormat="1" ht="24.75" customHeight="1">
      <c r="A11" s="245" t="s">
        <v>204</v>
      </c>
      <c r="B11" s="245"/>
      <c r="C11" s="245"/>
      <c r="D11" s="318">
        <f>+'Operational Data'!G26</f>
        <v>3044.84</v>
      </c>
      <c r="E11" s="318"/>
      <c r="F11" s="101" t="s">
        <v>91</v>
      </c>
      <c r="G11" s="317">
        <f>+'Operational Data'!H26</f>
        <v>27.193489909738414</v>
      </c>
      <c r="H11" s="317"/>
      <c r="I11" s="317"/>
    </row>
    <row r="12" spans="1:10" s="3" customFormat="1" ht="24.75" customHeight="1">
      <c r="A12" s="245" t="s">
        <v>205</v>
      </c>
      <c r="B12" s="245"/>
      <c r="C12" s="245"/>
      <c r="D12" s="316">
        <f>+'Operational Data'!G24</f>
        <v>25129.05</v>
      </c>
      <c r="E12" s="316"/>
      <c r="F12" s="101" t="s">
        <v>91</v>
      </c>
      <c r="G12" s="317">
        <f>+'Operational Data'!H24</f>
        <v>224.42774254683729</v>
      </c>
      <c r="H12" s="317"/>
      <c r="I12" s="317"/>
    </row>
    <row r="13" spans="1:10" s="3" customFormat="1" ht="24.75" customHeight="1">
      <c r="A13" s="245" t="s">
        <v>206</v>
      </c>
      <c r="B13" s="245"/>
      <c r="C13" s="245"/>
      <c r="D13" s="318">
        <v>188609.4</v>
      </c>
      <c r="E13" s="318"/>
      <c r="F13" s="101" t="s">
        <v>207</v>
      </c>
      <c r="G13" s="319">
        <v>66</v>
      </c>
      <c r="H13" s="319"/>
      <c r="I13" s="319"/>
    </row>
    <row r="14" spans="1:10" s="3" customFormat="1" ht="24.75" customHeight="1">
      <c r="A14" s="245" t="s">
        <v>208</v>
      </c>
      <c r="B14" s="245"/>
      <c r="C14" s="245"/>
      <c r="D14" s="316">
        <f>+'Operational Data'!G29</f>
        <v>0</v>
      </c>
      <c r="E14" s="316"/>
      <c r="F14" s="101" t="s">
        <v>97</v>
      </c>
      <c r="G14" s="317" t="str">
        <f>+'Operational Data'!H29</f>
        <v>-</v>
      </c>
      <c r="H14" s="317"/>
      <c r="I14" s="317"/>
    </row>
    <row r="15" spans="1:10" s="3" customFormat="1" ht="24.75" customHeight="1">
      <c r="A15" s="320"/>
      <c r="B15" s="320"/>
      <c r="C15" s="320"/>
      <c r="D15" s="320"/>
      <c r="E15" s="320"/>
      <c r="F15" s="76"/>
      <c r="G15" s="208"/>
      <c r="H15" s="208"/>
      <c r="I15" s="208"/>
    </row>
    <row r="16" spans="1:10" s="3" customFormat="1" ht="24.75" customHeight="1">
      <c r="A16" s="320"/>
      <c r="B16" s="320"/>
      <c r="C16" s="320"/>
      <c r="D16" s="320"/>
      <c r="E16" s="320"/>
      <c r="F16" s="76"/>
      <c r="G16" s="208"/>
      <c r="H16" s="208"/>
      <c r="I16" s="208"/>
    </row>
    <row r="17" spans="1:9" s="3" customFormat="1" ht="14.45">
      <c r="A17" s="89"/>
      <c r="B17"/>
      <c r="C17"/>
      <c r="D17"/>
    </row>
    <row r="18" spans="1:9" s="3" customFormat="1" ht="24" customHeight="1">
      <c r="A18" s="304" t="s">
        <v>170</v>
      </c>
      <c r="B18" s="304"/>
      <c r="C18" s="304"/>
      <c r="D18" s="304"/>
      <c r="E18" s="304"/>
      <c r="F18" s="304"/>
      <c r="G18" s="304"/>
      <c r="H18" s="304"/>
      <c r="I18" s="304"/>
    </row>
    <row r="19" spans="1:9" s="3" customFormat="1" ht="13.9">
      <c r="A19" s="321"/>
      <c r="B19" s="321"/>
      <c r="C19" s="321"/>
      <c r="D19" s="321"/>
      <c r="E19" s="321"/>
      <c r="F19" s="321"/>
      <c r="G19" s="321"/>
      <c r="H19" s="321"/>
      <c r="I19" s="321"/>
    </row>
    <row r="20" spans="1:9" s="3" customFormat="1" ht="13.9">
      <c r="A20" s="321"/>
      <c r="B20" s="321"/>
      <c r="C20" s="321"/>
      <c r="D20" s="321"/>
      <c r="E20" s="321"/>
      <c r="F20" s="321"/>
      <c r="G20" s="321"/>
      <c r="H20" s="321"/>
      <c r="I20" s="321"/>
    </row>
    <row r="21" spans="1:9" s="3" customFormat="1" ht="13.9">
      <c r="A21" s="321"/>
      <c r="B21" s="321"/>
      <c r="C21" s="321"/>
      <c r="D21" s="321"/>
      <c r="E21" s="321"/>
      <c r="F21" s="321"/>
      <c r="G21" s="321"/>
      <c r="H21" s="321"/>
      <c r="I21" s="321"/>
    </row>
    <row r="22" spans="1:9" s="3" customFormat="1" ht="13.9">
      <c r="A22" s="321"/>
      <c r="B22" s="321"/>
      <c r="C22" s="321"/>
      <c r="D22" s="321"/>
      <c r="E22" s="321"/>
      <c r="F22" s="321"/>
      <c r="G22" s="321"/>
      <c r="H22" s="321"/>
      <c r="I22" s="321"/>
    </row>
    <row r="23" spans="1:9" s="3" customFormat="1" ht="13.9">
      <c r="A23" s="321"/>
      <c r="B23" s="321"/>
      <c r="C23" s="321"/>
      <c r="D23" s="321"/>
      <c r="E23" s="321"/>
      <c r="F23" s="321"/>
      <c r="G23" s="321"/>
      <c r="H23" s="321"/>
      <c r="I23" s="321"/>
    </row>
    <row r="24" spans="1:9" s="3" customFormat="1" ht="13.9">
      <c r="A24" s="321"/>
      <c r="B24" s="321"/>
      <c r="C24" s="321"/>
      <c r="D24" s="321"/>
      <c r="E24" s="321"/>
      <c r="F24" s="321"/>
      <c r="G24" s="321"/>
      <c r="H24" s="321"/>
      <c r="I24" s="321"/>
    </row>
    <row r="25" spans="1:9" s="3" customFormat="1" ht="13.9">
      <c r="A25" s="321"/>
      <c r="B25" s="321"/>
      <c r="C25" s="321"/>
      <c r="D25" s="321"/>
      <c r="E25" s="321"/>
      <c r="F25" s="321"/>
      <c r="G25" s="321"/>
      <c r="H25" s="321"/>
      <c r="I25" s="321"/>
    </row>
    <row r="26" spans="1:9" s="3" customFormat="1" ht="13.9">
      <c r="A26" s="86"/>
      <c r="B26" s="86"/>
      <c r="C26" s="86"/>
      <c r="D26" s="86"/>
      <c r="E26" s="86"/>
      <c r="F26" s="86"/>
      <c r="G26" s="86"/>
      <c r="H26" s="86"/>
      <c r="I26" s="86"/>
    </row>
    <row r="27" spans="1:9" s="3" customFormat="1" ht="13.9"/>
    <row r="28" spans="1:9" s="3" customFormat="1" ht="13.9"/>
    <row r="29" spans="1:9" s="3" customFormat="1" ht="13.9">
      <c r="A29" s="3" t="s">
        <v>195</v>
      </c>
      <c r="B29" s="88" t="s">
        <v>196</v>
      </c>
      <c r="C29" s="88"/>
      <c r="D29" s="88"/>
      <c r="E29" s="88"/>
      <c r="G29" s="3" t="s">
        <v>197</v>
      </c>
      <c r="H29" s="187">
        <v>11354</v>
      </c>
      <c r="I29" s="88"/>
    </row>
    <row r="30" spans="1:9" s="3" customFormat="1" ht="13.9"/>
    <row r="31" spans="1:9" ht="14.25" customHeight="1">
      <c r="A31" s="3"/>
      <c r="B31" s="3"/>
      <c r="C31" s="3"/>
      <c r="D31" s="3"/>
      <c r="E31" s="3"/>
      <c r="F31" s="3"/>
      <c r="G31" s="3"/>
      <c r="H31" s="3"/>
      <c r="I31" s="3"/>
    </row>
    <row r="32" spans="1:9" s="3" customFormat="1" ht="13.9"/>
    <row r="33" spans="1:9" s="3" customFormat="1" ht="13.9"/>
    <row r="34" spans="1:9" s="3" customFormat="1">
      <c r="A34" s="142"/>
      <c r="B34" s="142"/>
      <c r="C34" s="142"/>
      <c r="D34" s="142"/>
      <c r="E34" s="142"/>
      <c r="F34" s="142"/>
      <c r="G34" s="142"/>
      <c r="H34" s="142"/>
      <c r="I34" s="142"/>
    </row>
    <row r="35" spans="1:9" s="3" customFormat="1" ht="13.9"/>
    <row r="36" spans="1:9" s="3" customFormat="1" ht="13.9"/>
    <row r="37" spans="1:9" s="3" customFormat="1" ht="13.9"/>
    <row r="38" spans="1:9" s="3" customFormat="1" ht="13.9"/>
    <row r="39" spans="1:9" s="3" customFormat="1" ht="13.9"/>
    <row r="40" spans="1:9" s="3" customFormat="1" ht="13.9"/>
    <row r="41" spans="1:9" s="3" customFormat="1" ht="13.9"/>
    <row r="42" spans="1:9" s="3" customFormat="1" ht="13.9"/>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K68"/>
  <sheetViews>
    <sheetView showGridLines="0" topLeftCell="A46" zoomScaleNormal="100" workbookViewId="0">
      <selection activeCell="B21" sqref="B21:D21"/>
    </sheetView>
  </sheetViews>
  <sheetFormatPr defaultColWidth="9.28515625" defaultRowHeight="15"/>
  <cols>
    <col min="1" max="1" width="12.28515625" style="2" customWidth="1"/>
    <col min="2" max="2" width="11.7109375" style="2" customWidth="1"/>
    <col min="3" max="3" width="18.28515625" style="2" bestFit="1" customWidth="1"/>
    <col min="4" max="4" width="29" style="2"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6384" width="9.28515625" style="2"/>
  </cols>
  <sheetData>
    <row r="1" spans="1:9">
      <c r="A1" s="142" t="str">
        <f>+'Cover Page'!$B$29</f>
        <v>Annual Performance Report 2022</v>
      </c>
      <c r="B1" s="142"/>
      <c r="C1" s="142"/>
      <c r="D1" s="142"/>
      <c r="E1" s="142" t="str">
        <f>+'Cover Page'!$B$33</f>
        <v>Name of Facility: Thalia MK ODC Limited</v>
      </c>
      <c r="F1" s="142"/>
      <c r="G1" s="142"/>
      <c r="H1" s="142"/>
      <c r="I1" s="142"/>
    </row>
    <row r="3" spans="1:9" ht="15.6">
      <c r="A3" s="1" t="s">
        <v>209</v>
      </c>
      <c r="B3" s="142"/>
      <c r="C3" s="142"/>
      <c r="D3" s="142"/>
      <c r="E3" s="142"/>
      <c r="F3" s="142"/>
      <c r="G3" s="142"/>
      <c r="H3" s="142"/>
      <c r="I3" s="142"/>
    </row>
    <row r="4" spans="1:9" ht="15.6">
      <c r="A4" s="1"/>
      <c r="B4" s="142"/>
      <c r="C4" s="142"/>
      <c r="D4" s="142"/>
      <c r="E4" s="142"/>
      <c r="F4" s="142"/>
      <c r="G4" s="142"/>
      <c r="H4" s="142"/>
      <c r="I4" s="142"/>
    </row>
    <row r="5" spans="1:9">
      <c r="A5" s="9" t="s">
        <v>210</v>
      </c>
      <c r="B5" s="142"/>
      <c r="C5" s="142"/>
      <c r="D5" s="142"/>
      <c r="E5" s="142"/>
      <c r="F5" s="142"/>
      <c r="G5" s="142"/>
      <c r="H5" s="142"/>
      <c r="I5" s="142"/>
    </row>
    <row r="6" spans="1:9">
      <c r="A6" s="9"/>
      <c r="B6" s="142"/>
      <c r="C6" s="142"/>
      <c r="D6" s="142"/>
      <c r="E6" s="142"/>
      <c r="F6" s="142"/>
      <c r="G6" s="142"/>
      <c r="H6" s="142"/>
      <c r="I6" s="142"/>
    </row>
    <row r="7" spans="1:9">
      <c r="A7" s="14" t="s">
        <v>211</v>
      </c>
      <c r="B7" s="142"/>
      <c r="C7" s="142"/>
      <c r="D7" s="142"/>
      <c r="E7" s="142"/>
      <c r="F7" s="142"/>
      <c r="G7" s="142"/>
      <c r="H7" s="142"/>
      <c r="I7" s="142"/>
    </row>
    <row r="8" spans="1:9" s="3" customFormat="1" ht="25.5" customHeight="1">
      <c r="A8" s="333" t="s">
        <v>212</v>
      </c>
      <c r="B8" s="334"/>
      <c r="C8" s="333" t="s">
        <v>213</v>
      </c>
      <c r="D8" s="335"/>
      <c r="E8" s="335"/>
      <c r="F8" s="335"/>
      <c r="G8" s="335"/>
      <c r="H8" s="335"/>
      <c r="I8" s="334"/>
    </row>
    <row r="9" spans="1:9" s="3" customFormat="1" ht="22.5" customHeight="1">
      <c r="A9" s="336"/>
      <c r="B9" s="337"/>
      <c r="C9" s="338" t="s">
        <v>214</v>
      </c>
      <c r="D9" s="338"/>
      <c r="E9" s="338"/>
      <c r="F9" s="338" t="s">
        <v>215</v>
      </c>
      <c r="G9" s="338"/>
      <c r="H9" s="338"/>
      <c r="I9" s="338"/>
    </row>
    <row r="10" spans="1:9" s="3" customFormat="1" ht="22.5" customHeight="1">
      <c r="A10" s="329" t="s">
        <v>216</v>
      </c>
      <c r="B10" s="329"/>
      <c r="C10" s="330">
        <v>1</v>
      </c>
      <c r="D10" s="319"/>
      <c r="E10" s="319"/>
      <c r="F10" s="331">
        <v>1</v>
      </c>
      <c r="G10" s="319"/>
      <c r="H10" s="319"/>
      <c r="I10" s="319"/>
    </row>
    <row r="11" spans="1:9" s="3" customFormat="1" ht="22.5" customHeight="1">
      <c r="A11" s="329" t="s">
        <v>217</v>
      </c>
      <c r="B11" s="329"/>
      <c r="C11" s="331">
        <v>1</v>
      </c>
      <c r="D11" s="319"/>
      <c r="E11" s="319"/>
      <c r="F11" s="331">
        <v>1</v>
      </c>
      <c r="G11" s="319"/>
      <c r="H11" s="319"/>
      <c r="I11" s="319"/>
    </row>
    <row r="12" spans="1:9" s="3" customFormat="1" ht="22.5" customHeight="1">
      <c r="A12" s="329" t="s">
        <v>218</v>
      </c>
      <c r="B12" s="329"/>
      <c r="C12" s="339">
        <v>0.99519999999999997</v>
      </c>
      <c r="D12" s="339"/>
      <c r="E12" s="339"/>
      <c r="F12" s="330">
        <v>1</v>
      </c>
      <c r="G12" s="330"/>
      <c r="H12" s="330"/>
      <c r="I12" s="330"/>
    </row>
    <row r="13" spans="1:9" s="3" customFormat="1" ht="22.5" customHeight="1">
      <c r="A13" s="329" t="s">
        <v>219</v>
      </c>
      <c r="B13" s="329"/>
      <c r="C13" s="318" t="s">
        <v>220</v>
      </c>
      <c r="D13" s="319"/>
      <c r="E13" s="319"/>
      <c r="F13" s="330">
        <v>1</v>
      </c>
      <c r="G13" s="319"/>
      <c r="H13" s="319"/>
      <c r="I13" s="319"/>
    </row>
    <row r="14" spans="1:9" s="3" customFormat="1" ht="22.5" customHeight="1">
      <c r="A14" s="329" t="s">
        <v>221</v>
      </c>
      <c r="B14" s="329"/>
      <c r="C14" s="331">
        <v>1</v>
      </c>
      <c r="D14" s="319"/>
      <c r="E14" s="319"/>
      <c r="F14" s="331">
        <v>1</v>
      </c>
      <c r="G14" s="319"/>
      <c r="H14" s="319"/>
      <c r="I14" s="319"/>
    </row>
    <row r="15" spans="1:9" s="3" customFormat="1" ht="22.5" customHeight="1">
      <c r="A15" s="329" t="s">
        <v>222</v>
      </c>
      <c r="B15" s="329"/>
      <c r="C15" s="331">
        <v>1</v>
      </c>
      <c r="D15" s="319"/>
      <c r="E15" s="319"/>
      <c r="F15" s="331">
        <v>1</v>
      </c>
      <c r="G15" s="319"/>
      <c r="H15" s="319"/>
      <c r="I15" s="319"/>
    </row>
    <row r="16" spans="1:9" s="3" customFormat="1" ht="22.5" customHeight="1">
      <c r="A16" s="329" t="s">
        <v>223</v>
      </c>
      <c r="B16" s="329"/>
      <c r="C16" s="319" t="s">
        <v>224</v>
      </c>
      <c r="D16" s="319"/>
      <c r="E16" s="319"/>
      <c r="F16" s="319" t="s">
        <v>224</v>
      </c>
      <c r="G16" s="319"/>
      <c r="H16" s="319"/>
      <c r="I16" s="319"/>
    </row>
    <row r="17" spans="1:11" s="3" customFormat="1" ht="22.5" customHeight="1">
      <c r="A17" s="343"/>
      <c r="B17" s="344"/>
      <c r="C17" s="340">
        <v>0.99839999999999995</v>
      </c>
      <c r="D17" s="340"/>
      <c r="E17" s="340"/>
      <c r="F17" s="341">
        <v>1</v>
      </c>
      <c r="G17" s="342"/>
      <c r="H17" s="342"/>
      <c r="I17" s="342"/>
    </row>
    <row r="18" spans="1:11" s="3" customFormat="1" ht="13.9"/>
    <row r="19" spans="1:11" s="89" customFormat="1" ht="21.75" customHeight="1">
      <c r="A19" s="326" t="s">
        <v>225</v>
      </c>
      <c r="B19" s="327"/>
      <c r="C19" s="327"/>
      <c r="D19" s="327"/>
      <c r="E19" s="327"/>
      <c r="F19" s="327"/>
      <c r="G19" s="327"/>
      <c r="H19" s="327"/>
      <c r="I19" s="327"/>
      <c r="J19" s="327"/>
      <c r="K19" s="328"/>
    </row>
    <row r="20" spans="1:11" s="3" customFormat="1" ht="38.25" customHeight="1">
      <c r="A20" s="90" t="s">
        <v>50</v>
      </c>
      <c r="B20" s="345" t="s">
        <v>226</v>
      </c>
      <c r="C20" s="345"/>
      <c r="D20" s="345"/>
      <c r="E20" s="345" t="s">
        <v>227</v>
      </c>
      <c r="F20" s="345"/>
      <c r="G20" s="345"/>
      <c r="H20" s="345" t="s">
        <v>228</v>
      </c>
      <c r="I20" s="345"/>
      <c r="J20" s="346"/>
      <c r="K20" s="124"/>
    </row>
    <row r="21" spans="1:11" s="3" customFormat="1" ht="44.65" customHeight="1">
      <c r="A21" s="91">
        <v>44578</v>
      </c>
      <c r="B21" s="347" t="s">
        <v>229</v>
      </c>
      <c r="C21" s="347"/>
      <c r="D21" s="347"/>
      <c r="E21" s="347" t="s">
        <v>230</v>
      </c>
      <c r="F21" s="347"/>
      <c r="G21" s="347"/>
      <c r="H21" s="347" t="s">
        <v>231</v>
      </c>
      <c r="I21" s="347"/>
      <c r="J21" s="347"/>
      <c r="K21" s="124"/>
    </row>
    <row r="22" spans="1:11" s="3" customFormat="1" ht="28.5" customHeight="1">
      <c r="A22" s="91">
        <v>44580</v>
      </c>
      <c r="B22" s="347" t="s">
        <v>232</v>
      </c>
      <c r="C22" s="347"/>
      <c r="D22" s="347"/>
      <c r="E22" s="347" t="s">
        <v>233</v>
      </c>
      <c r="F22" s="347"/>
      <c r="G22" s="347"/>
      <c r="H22" s="347" t="s">
        <v>234</v>
      </c>
      <c r="I22" s="347"/>
      <c r="J22" s="348"/>
      <c r="K22" s="124"/>
    </row>
    <row r="23" spans="1:11" s="3" customFormat="1" ht="13.9">
      <c r="A23" s="13"/>
      <c r="B23" s="208"/>
      <c r="C23" s="208"/>
      <c r="D23" s="208"/>
      <c r="E23" s="208"/>
      <c r="F23" s="208"/>
      <c r="G23" s="208"/>
      <c r="H23" s="208"/>
      <c r="I23" s="208"/>
      <c r="J23" s="322"/>
      <c r="K23" s="124"/>
    </row>
    <row r="24" spans="1:11" s="3" customFormat="1" ht="13.9">
      <c r="A24" s="13"/>
      <c r="B24" s="208"/>
      <c r="C24" s="208"/>
      <c r="D24" s="208"/>
      <c r="E24" s="208"/>
      <c r="F24" s="208"/>
      <c r="G24" s="208"/>
      <c r="H24" s="208"/>
      <c r="I24" s="208"/>
      <c r="J24" s="322"/>
      <c r="K24" s="124"/>
    </row>
    <row r="25" spans="1:11" s="3" customFormat="1" ht="13.9">
      <c r="A25" s="13"/>
      <c r="B25" s="208"/>
      <c r="C25" s="208"/>
      <c r="D25" s="208"/>
      <c r="E25" s="208"/>
      <c r="F25" s="208"/>
      <c r="G25" s="208"/>
      <c r="H25" s="208"/>
      <c r="I25" s="208"/>
      <c r="J25" s="322"/>
      <c r="K25" s="124"/>
    </row>
    <row r="26" spans="1:11" s="3" customFormat="1" ht="13.9"/>
    <row r="27" spans="1:11" s="89" customFormat="1" ht="22.5" customHeight="1">
      <c r="A27" s="326" t="s">
        <v>235</v>
      </c>
      <c r="B27" s="327"/>
      <c r="C27" s="327"/>
      <c r="D27" s="327"/>
      <c r="E27" s="327"/>
      <c r="F27" s="327"/>
      <c r="G27" s="327"/>
      <c r="H27" s="327"/>
      <c r="I27" s="327"/>
      <c r="J27" s="327"/>
      <c r="K27" s="328"/>
    </row>
    <row r="28" spans="1:11" s="3" customFormat="1" ht="39" customHeight="1">
      <c r="A28" s="90" t="s">
        <v>50</v>
      </c>
      <c r="B28" s="345" t="s">
        <v>236</v>
      </c>
      <c r="C28" s="345"/>
      <c r="D28" s="345"/>
      <c r="E28" s="345" t="s">
        <v>237</v>
      </c>
      <c r="F28" s="345"/>
      <c r="G28" s="345"/>
      <c r="H28" s="345" t="s">
        <v>228</v>
      </c>
      <c r="I28" s="345"/>
      <c r="J28" s="346"/>
      <c r="K28" s="124"/>
    </row>
    <row r="29" spans="1:11" s="3" customFormat="1" ht="14.25" customHeight="1">
      <c r="A29" s="159">
        <v>44617</v>
      </c>
      <c r="B29" s="332" t="s">
        <v>238</v>
      </c>
      <c r="C29" s="332"/>
      <c r="D29" s="332"/>
      <c r="E29" s="433" t="s">
        <v>239</v>
      </c>
      <c r="F29" s="434"/>
      <c r="G29" s="435"/>
      <c r="H29" s="433" t="s">
        <v>224</v>
      </c>
      <c r="I29" s="435"/>
      <c r="J29" s="155"/>
      <c r="K29" s="124"/>
    </row>
    <row r="30" spans="1:11" s="3" customFormat="1" ht="13.9">
      <c r="A30" s="159">
        <v>44627</v>
      </c>
      <c r="B30" s="332" t="s">
        <v>240</v>
      </c>
      <c r="C30" s="332"/>
      <c r="D30" s="332"/>
      <c r="E30" s="433" t="s">
        <v>239</v>
      </c>
      <c r="F30" s="434"/>
      <c r="G30" s="435"/>
      <c r="H30" s="208" t="s">
        <v>224</v>
      </c>
      <c r="I30" s="208"/>
      <c r="J30" s="322"/>
      <c r="K30" s="124"/>
    </row>
    <row r="31" spans="1:11" ht="14.25" customHeight="1">
      <c r="A31" s="159">
        <v>44645</v>
      </c>
      <c r="B31" s="332" t="s">
        <v>240</v>
      </c>
      <c r="C31" s="332"/>
      <c r="D31" s="332"/>
      <c r="E31" s="433" t="s">
        <v>239</v>
      </c>
      <c r="F31" s="434"/>
      <c r="G31" s="435"/>
      <c r="H31" s="208" t="s">
        <v>224</v>
      </c>
      <c r="I31" s="208"/>
      <c r="J31" s="322"/>
      <c r="K31" s="124"/>
    </row>
    <row r="32" spans="1:11" s="3" customFormat="1" ht="13.9">
      <c r="A32" s="159">
        <v>44646</v>
      </c>
      <c r="B32" s="332" t="s">
        <v>241</v>
      </c>
      <c r="C32" s="332"/>
      <c r="D32" s="332"/>
      <c r="E32" s="433" t="s">
        <v>239</v>
      </c>
      <c r="F32" s="434"/>
      <c r="G32" s="435"/>
      <c r="H32" s="208" t="s">
        <v>224</v>
      </c>
      <c r="I32" s="208"/>
      <c r="J32" s="322"/>
      <c r="K32" s="124"/>
    </row>
    <row r="33" spans="1:11" s="3" customFormat="1" ht="13.9">
      <c r="A33" s="159">
        <v>44670</v>
      </c>
      <c r="B33" s="332" t="s">
        <v>240</v>
      </c>
      <c r="C33" s="332"/>
      <c r="D33" s="332"/>
      <c r="E33" s="433" t="s">
        <v>239</v>
      </c>
      <c r="F33" s="434"/>
      <c r="G33" s="435"/>
      <c r="H33" s="208" t="s">
        <v>224</v>
      </c>
      <c r="I33" s="208"/>
      <c r="J33" s="322"/>
      <c r="K33" s="124"/>
    </row>
    <row r="34" spans="1:11" s="3" customFormat="1" ht="15.75" customHeight="1">
      <c r="A34" s="160">
        <v>44677</v>
      </c>
      <c r="B34" s="349" t="s">
        <v>240</v>
      </c>
      <c r="C34" s="349"/>
      <c r="D34" s="350"/>
      <c r="E34" s="433" t="s">
        <v>239</v>
      </c>
      <c r="F34" s="434"/>
      <c r="G34" s="435"/>
      <c r="H34" s="434" t="s">
        <v>224</v>
      </c>
      <c r="I34" s="435"/>
      <c r="J34" s="14"/>
    </row>
    <row r="35" spans="1:11">
      <c r="A35" s="161">
        <v>44680</v>
      </c>
      <c r="B35" s="349" t="s">
        <v>238</v>
      </c>
      <c r="C35" s="349"/>
      <c r="D35" s="350"/>
      <c r="E35" s="433" t="s">
        <v>239</v>
      </c>
      <c r="F35" s="434"/>
      <c r="G35" s="435"/>
      <c r="H35" s="434" t="s">
        <v>224</v>
      </c>
      <c r="I35" s="435"/>
      <c r="J35" s="142"/>
      <c r="K35" s="142"/>
    </row>
    <row r="36" spans="1:11">
      <c r="A36" s="161">
        <v>44708</v>
      </c>
      <c r="B36" s="349" t="s">
        <v>240</v>
      </c>
      <c r="C36" s="349"/>
      <c r="D36" s="350"/>
      <c r="E36" s="433" t="s">
        <v>239</v>
      </c>
      <c r="F36" s="434"/>
      <c r="G36" s="435"/>
      <c r="H36" s="434" t="s">
        <v>224</v>
      </c>
      <c r="I36" s="435"/>
      <c r="J36" s="142"/>
      <c r="K36" s="142"/>
    </row>
    <row r="37" spans="1:11">
      <c r="A37" s="161">
        <v>44709</v>
      </c>
      <c r="B37" s="162" t="s">
        <v>240</v>
      </c>
      <c r="C37" s="162"/>
      <c r="D37" s="163"/>
      <c r="E37" s="433" t="s">
        <v>239</v>
      </c>
      <c r="F37" s="434"/>
      <c r="G37" s="435"/>
      <c r="H37" s="208" t="s">
        <v>224</v>
      </c>
      <c r="I37" s="208"/>
      <c r="J37" s="322"/>
      <c r="K37" s="142"/>
    </row>
    <row r="38" spans="1:11">
      <c r="A38" s="161">
        <v>44710</v>
      </c>
      <c r="B38" s="162" t="s">
        <v>240</v>
      </c>
      <c r="C38" s="162"/>
      <c r="D38" s="163"/>
      <c r="E38" s="433" t="s">
        <v>239</v>
      </c>
      <c r="F38" s="434"/>
      <c r="G38" s="435"/>
      <c r="H38" s="208" t="s">
        <v>224</v>
      </c>
      <c r="I38" s="208"/>
      <c r="J38" s="322"/>
      <c r="K38" s="142"/>
    </row>
    <row r="39" spans="1:11">
      <c r="A39" s="161">
        <v>44715</v>
      </c>
      <c r="B39" s="162" t="s">
        <v>241</v>
      </c>
      <c r="C39" s="162"/>
      <c r="D39" s="163"/>
      <c r="E39" s="433" t="s">
        <v>239</v>
      </c>
      <c r="F39" s="434"/>
      <c r="G39" s="435"/>
      <c r="H39" s="208" t="s">
        <v>224</v>
      </c>
      <c r="I39" s="208"/>
      <c r="J39" s="322"/>
      <c r="K39" s="142"/>
    </row>
    <row r="40" spans="1:11">
      <c r="A40" s="161">
        <v>44735</v>
      </c>
      <c r="B40" s="162" t="s">
        <v>240</v>
      </c>
      <c r="C40" s="162"/>
      <c r="D40" s="163"/>
      <c r="E40" s="433" t="s">
        <v>239</v>
      </c>
      <c r="F40" s="434"/>
      <c r="G40" s="435"/>
      <c r="H40" s="208" t="s">
        <v>224</v>
      </c>
      <c r="I40" s="208"/>
      <c r="J40" s="322"/>
      <c r="K40" s="142"/>
    </row>
    <row r="41" spans="1:11">
      <c r="A41" s="161">
        <v>44763</v>
      </c>
      <c r="B41" s="162" t="s">
        <v>240</v>
      </c>
      <c r="C41" s="162"/>
      <c r="D41" s="163"/>
      <c r="E41" s="433" t="s">
        <v>239</v>
      </c>
      <c r="F41" s="434"/>
      <c r="G41" s="435"/>
      <c r="H41" s="208" t="s">
        <v>224</v>
      </c>
      <c r="I41" s="208"/>
      <c r="J41" s="322"/>
      <c r="K41" s="142"/>
    </row>
    <row r="42" spans="1:11">
      <c r="A42" s="161">
        <v>44771</v>
      </c>
      <c r="B42" s="162" t="s">
        <v>240</v>
      </c>
      <c r="C42" s="162"/>
      <c r="D42" s="163"/>
      <c r="E42" s="433" t="s">
        <v>239</v>
      </c>
      <c r="F42" s="434"/>
      <c r="G42" s="435"/>
      <c r="H42" s="208" t="s">
        <v>224</v>
      </c>
      <c r="I42" s="208"/>
      <c r="J42" s="322"/>
      <c r="K42" s="142"/>
    </row>
    <row r="43" spans="1:11">
      <c r="A43" s="161">
        <v>44781</v>
      </c>
      <c r="B43" s="162" t="s">
        <v>240</v>
      </c>
      <c r="C43" s="162"/>
      <c r="D43" s="163"/>
      <c r="E43" s="433" t="s">
        <v>239</v>
      </c>
      <c r="F43" s="434"/>
      <c r="G43" s="435"/>
      <c r="H43" s="208" t="s">
        <v>224</v>
      </c>
      <c r="I43" s="208"/>
      <c r="J43" s="322"/>
      <c r="K43" s="142"/>
    </row>
    <row r="44" spans="1:11">
      <c r="A44" s="161">
        <v>44783</v>
      </c>
      <c r="B44" s="162" t="s">
        <v>241</v>
      </c>
      <c r="C44" s="162"/>
      <c r="D44" s="163"/>
      <c r="E44" s="433" t="s">
        <v>239</v>
      </c>
      <c r="F44" s="434"/>
      <c r="G44" s="435"/>
      <c r="H44" s="208" t="s">
        <v>224</v>
      </c>
      <c r="I44" s="208"/>
      <c r="J44" s="322"/>
      <c r="K44" s="142"/>
    </row>
    <row r="45" spans="1:11">
      <c r="A45" s="161">
        <v>44784</v>
      </c>
      <c r="B45" s="162" t="s">
        <v>242</v>
      </c>
      <c r="C45" s="162"/>
      <c r="D45" s="163"/>
      <c r="E45" s="433" t="s">
        <v>239</v>
      </c>
      <c r="F45" s="434"/>
      <c r="G45" s="435"/>
      <c r="H45" s="208" t="s">
        <v>224</v>
      </c>
      <c r="I45" s="208"/>
      <c r="J45" s="322"/>
      <c r="K45" s="142"/>
    </row>
    <row r="46" spans="1:11">
      <c r="A46" s="161">
        <v>44785</v>
      </c>
      <c r="B46" s="162" t="s">
        <v>242</v>
      </c>
      <c r="C46" s="162"/>
      <c r="D46" s="163"/>
      <c r="E46" s="433" t="s">
        <v>239</v>
      </c>
      <c r="F46" s="434"/>
      <c r="G46" s="435"/>
      <c r="H46" s="208" t="s">
        <v>224</v>
      </c>
      <c r="I46" s="208"/>
      <c r="J46" s="322"/>
      <c r="K46" s="142"/>
    </row>
    <row r="47" spans="1:11">
      <c r="A47" s="161">
        <v>44787</v>
      </c>
      <c r="B47" s="162" t="s">
        <v>238</v>
      </c>
      <c r="C47" s="162"/>
      <c r="D47" s="163"/>
      <c r="E47" s="433" t="s">
        <v>239</v>
      </c>
      <c r="F47" s="434"/>
      <c r="G47" s="435"/>
      <c r="H47" s="208" t="s">
        <v>224</v>
      </c>
      <c r="I47" s="208"/>
      <c r="J47" s="322"/>
      <c r="K47" s="142"/>
    </row>
    <row r="48" spans="1:11">
      <c r="A48" s="161">
        <v>44797</v>
      </c>
      <c r="B48" s="162" t="s">
        <v>238</v>
      </c>
      <c r="C48" s="162"/>
      <c r="D48" s="163"/>
      <c r="E48" s="433" t="s">
        <v>239</v>
      </c>
      <c r="F48" s="434"/>
      <c r="G48" s="435"/>
      <c r="H48" s="208" t="s">
        <v>224</v>
      </c>
      <c r="I48" s="208"/>
      <c r="J48" s="322"/>
      <c r="K48" s="142"/>
    </row>
    <row r="49" spans="1:11">
      <c r="A49" s="161">
        <v>44800</v>
      </c>
      <c r="B49" s="162" t="s">
        <v>240</v>
      </c>
      <c r="C49" s="162"/>
      <c r="D49" s="163"/>
      <c r="E49" s="433" t="s">
        <v>239</v>
      </c>
      <c r="F49" s="434"/>
      <c r="G49" s="435"/>
      <c r="H49" s="208" t="s">
        <v>224</v>
      </c>
      <c r="I49" s="208"/>
      <c r="J49" s="322"/>
      <c r="K49" s="142"/>
    </row>
    <row r="50" spans="1:11">
      <c r="A50" s="161">
        <v>44801</v>
      </c>
      <c r="B50" s="162" t="s">
        <v>243</v>
      </c>
      <c r="C50" s="162"/>
      <c r="D50" s="163"/>
      <c r="E50" s="433" t="s">
        <v>239</v>
      </c>
      <c r="F50" s="434"/>
      <c r="G50" s="435"/>
      <c r="H50" s="208" t="s">
        <v>224</v>
      </c>
      <c r="I50" s="208"/>
      <c r="J50" s="322"/>
      <c r="K50" s="142"/>
    </row>
    <row r="51" spans="1:11">
      <c r="A51" s="161">
        <v>44802</v>
      </c>
      <c r="B51" s="162" t="s">
        <v>244</v>
      </c>
      <c r="C51" s="162"/>
      <c r="D51" s="163"/>
      <c r="E51" s="433" t="s">
        <v>239</v>
      </c>
      <c r="F51" s="434"/>
      <c r="G51" s="435"/>
      <c r="H51" s="208" t="s">
        <v>224</v>
      </c>
      <c r="I51" s="208"/>
      <c r="J51" s="322"/>
      <c r="K51" s="142"/>
    </row>
    <row r="52" spans="1:11">
      <c r="A52" s="161">
        <v>44803</v>
      </c>
      <c r="B52" s="162" t="s">
        <v>242</v>
      </c>
      <c r="C52" s="162"/>
      <c r="D52" s="163"/>
      <c r="E52" s="433" t="s">
        <v>239</v>
      </c>
      <c r="F52" s="434"/>
      <c r="G52" s="435"/>
      <c r="H52" s="208" t="s">
        <v>224</v>
      </c>
      <c r="I52" s="208"/>
      <c r="J52" s="322"/>
      <c r="K52" s="142"/>
    </row>
    <row r="53" spans="1:11">
      <c r="A53" s="161">
        <v>44804</v>
      </c>
      <c r="B53" s="162" t="s">
        <v>245</v>
      </c>
      <c r="C53" s="162"/>
      <c r="D53" s="163"/>
      <c r="E53" s="433" t="s">
        <v>239</v>
      </c>
      <c r="F53" s="434"/>
      <c r="G53" s="435"/>
      <c r="H53" s="208" t="s">
        <v>224</v>
      </c>
      <c r="I53" s="208"/>
      <c r="J53" s="322"/>
      <c r="K53" s="142"/>
    </row>
    <row r="54" spans="1:11">
      <c r="A54" s="161">
        <v>44805</v>
      </c>
      <c r="B54" s="162" t="s">
        <v>242</v>
      </c>
      <c r="C54" s="162"/>
      <c r="D54" s="163"/>
      <c r="E54" s="433" t="s">
        <v>239</v>
      </c>
      <c r="F54" s="434"/>
      <c r="G54" s="435"/>
      <c r="H54" s="208" t="s">
        <v>224</v>
      </c>
      <c r="I54" s="208"/>
      <c r="J54" s="322"/>
      <c r="K54" s="142"/>
    </row>
    <row r="55" spans="1:11">
      <c r="A55" s="161">
        <v>44817</v>
      </c>
      <c r="B55" s="162" t="s">
        <v>243</v>
      </c>
      <c r="C55" s="162"/>
      <c r="D55" s="163"/>
      <c r="E55" s="433" t="s">
        <v>239</v>
      </c>
      <c r="F55" s="434"/>
      <c r="G55" s="435"/>
      <c r="H55" s="208" t="s">
        <v>224</v>
      </c>
      <c r="I55" s="208"/>
      <c r="J55" s="322"/>
      <c r="K55" s="142"/>
    </row>
    <row r="56" spans="1:11" ht="15.6" customHeight="1">
      <c r="A56" s="156"/>
      <c r="B56" s="351" t="s">
        <v>246</v>
      </c>
      <c r="C56" s="352"/>
      <c r="D56" s="353"/>
      <c r="E56" s="157"/>
      <c r="F56" s="157"/>
      <c r="G56" s="158"/>
      <c r="H56" s="157"/>
      <c r="I56" s="158"/>
      <c r="J56" s="142"/>
      <c r="K56" s="142"/>
    </row>
    <row r="57" spans="1:11">
      <c r="A57" s="156"/>
      <c r="B57" s="323" t="s">
        <v>247</v>
      </c>
      <c r="C57" s="324"/>
      <c r="D57" s="325"/>
      <c r="E57" s="157"/>
      <c r="F57" s="157"/>
      <c r="G57" s="158"/>
      <c r="H57" s="157"/>
      <c r="I57" s="158"/>
      <c r="J57" s="142"/>
      <c r="K57" s="142"/>
    </row>
    <row r="58" spans="1:11" ht="15" customHeight="1">
      <c r="A58" s="156"/>
      <c r="B58" s="324" t="s">
        <v>248</v>
      </c>
      <c r="C58" s="324"/>
      <c r="D58" s="354"/>
      <c r="E58" s="434"/>
      <c r="F58" s="434"/>
      <c r="G58" s="436"/>
      <c r="H58" s="434"/>
      <c r="I58" s="436"/>
      <c r="J58" s="142"/>
      <c r="K58" s="142"/>
    </row>
    <row r="59" spans="1:11">
      <c r="A59" s="156"/>
      <c r="B59" s="324" t="s">
        <v>249</v>
      </c>
      <c r="C59" s="324"/>
      <c r="D59" s="354"/>
      <c r="E59" s="434"/>
      <c r="F59" s="434"/>
      <c r="G59" s="436"/>
      <c r="H59" s="434"/>
      <c r="I59" s="436"/>
      <c r="J59" s="142"/>
      <c r="K59" s="142"/>
    </row>
    <row r="60" spans="1:11">
      <c r="A60" s="156"/>
      <c r="B60" s="324" t="s">
        <v>250</v>
      </c>
      <c r="C60" s="324"/>
      <c r="D60" s="354"/>
      <c r="E60" s="434"/>
      <c r="F60" s="434"/>
      <c r="G60" s="436"/>
      <c r="H60" s="434"/>
      <c r="I60" s="436"/>
      <c r="J60" s="142"/>
      <c r="K60" s="142"/>
    </row>
    <row r="61" spans="1:11">
      <c r="A61" s="156"/>
      <c r="B61" s="324"/>
      <c r="C61" s="324"/>
      <c r="D61" s="354"/>
      <c r="E61" s="434"/>
      <c r="F61" s="434"/>
      <c r="G61" s="436"/>
      <c r="H61" s="434"/>
      <c r="I61" s="436"/>
      <c r="J61" s="142"/>
      <c r="K61" s="142"/>
    </row>
    <row r="64" spans="1:11">
      <c r="A64" s="142"/>
      <c r="B64" s="142"/>
      <c r="C64" s="142"/>
      <c r="D64" s="142"/>
      <c r="E64" s="142"/>
      <c r="F64" s="142"/>
      <c r="G64" s="142"/>
      <c r="H64" s="142"/>
      <c r="I64" s="142"/>
      <c r="J64" s="142"/>
      <c r="K64" s="142"/>
    </row>
    <row r="67" spans="1:11">
      <c r="A67" s="142"/>
      <c r="B67" s="142"/>
      <c r="C67" s="142"/>
      <c r="D67" s="142"/>
      <c r="E67" s="142"/>
      <c r="F67" s="3"/>
      <c r="G67" s="142"/>
      <c r="H67" s="142"/>
      <c r="I67" s="142"/>
      <c r="J67" s="142"/>
      <c r="K67" s="142"/>
    </row>
    <row r="68" spans="1:11">
      <c r="A68" s="142"/>
      <c r="B68" s="142"/>
      <c r="C68" s="142"/>
      <c r="D68" s="142"/>
      <c r="E68" s="142"/>
      <c r="F68" s="142"/>
      <c r="G68" s="142"/>
      <c r="H68" s="142"/>
      <c r="I68" s="142"/>
      <c r="J68" s="142"/>
      <c r="K68" s="142"/>
    </row>
  </sheetData>
  <mergeCells count="128">
    <mergeCell ref="B56:D56"/>
    <mergeCell ref="B61:D61"/>
    <mergeCell ref="E61:G61"/>
    <mergeCell ref="H61:I61"/>
    <mergeCell ref="B59:D59"/>
    <mergeCell ref="E59:G59"/>
    <mergeCell ref="H59:I59"/>
    <mergeCell ref="B60:D60"/>
    <mergeCell ref="E60:G60"/>
    <mergeCell ref="H60:I60"/>
    <mergeCell ref="B58:D58"/>
    <mergeCell ref="E58:G58"/>
    <mergeCell ref="H58:I58"/>
    <mergeCell ref="E37:G37"/>
    <mergeCell ref="E38:G38"/>
    <mergeCell ref="E39:G39"/>
    <mergeCell ref="E40:G40"/>
    <mergeCell ref="E41:G41"/>
    <mergeCell ref="E42:G42"/>
    <mergeCell ref="E43:G43"/>
    <mergeCell ref="E44:G44"/>
    <mergeCell ref="E45:G45"/>
    <mergeCell ref="E46:G46"/>
    <mergeCell ref="H46:J46"/>
    <mergeCell ref="H47:J47"/>
    <mergeCell ref="H48:J48"/>
    <mergeCell ref="E47:G47"/>
    <mergeCell ref="E48:G48"/>
    <mergeCell ref="E49:G49"/>
    <mergeCell ref="E50:G50"/>
    <mergeCell ref="E51:G51"/>
    <mergeCell ref="H45:J45"/>
    <mergeCell ref="H54:J54"/>
    <mergeCell ref="H55:J55"/>
    <mergeCell ref="B34:D34"/>
    <mergeCell ref="E34:G34"/>
    <mergeCell ref="H34:I34"/>
    <mergeCell ref="B35:D35"/>
    <mergeCell ref="E35:G35"/>
    <mergeCell ref="H35:I35"/>
    <mergeCell ref="B36:D36"/>
    <mergeCell ref="E36:G36"/>
    <mergeCell ref="H36:I36"/>
    <mergeCell ref="H50:J50"/>
    <mergeCell ref="H51:J51"/>
    <mergeCell ref="H52:J52"/>
    <mergeCell ref="H53:J53"/>
    <mergeCell ref="E52:G52"/>
    <mergeCell ref="E53:G53"/>
    <mergeCell ref="E54:G54"/>
    <mergeCell ref="E55:G55"/>
    <mergeCell ref="H37:J37"/>
    <mergeCell ref="H38:J38"/>
    <mergeCell ref="H39:J39"/>
    <mergeCell ref="H40:J40"/>
    <mergeCell ref="B23:D23"/>
    <mergeCell ref="E23:G23"/>
    <mergeCell ref="H23:J23"/>
    <mergeCell ref="A27:K27"/>
    <mergeCell ref="B20:D20"/>
    <mergeCell ref="E20:G20"/>
    <mergeCell ref="H20:J20"/>
    <mergeCell ref="B21:D21"/>
    <mergeCell ref="E21:G21"/>
    <mergeCell ref="H21:J21"/>
    <mergeCell ref="B22:D22"/>
    <mergeCell ref="E22:G22"/>
    <mergeCell ref="H22:J22"/>
    <mergeCell ref="H32:J32"/>
    <mergeCell ref="B28:D28"/>
    <mergeCell ref="E28:G28"/>
    <mergeCell ref="H28:J28"/>
    <mergeCell ref="B29:D29"/>
    <mergeCell ref="E29:G29"/>
    <mergeCell ref="B24:D24"/>
    <mergeCell ref="E24:G24"/>
    <mergeCell ref="H24:J24"/>
    <mergeCell ref="B25:D25"/>
    <mergeCell ref="E25:G25"/>
    <mergeCell ref="H25:J25"/>
    <mergeCell ref="H29:I29"/>
    <mergeCell ref="A12:B12"/>
    <mergeCell ref="C12:E12"/>
    <mergeCell ref="F12:I12"/>
    <mergeCell ref="A15:B15"/>
    <mergeCell ref="C15:E15"/>
    <mergeCell ref="F15:I15"/>
    <mergeCell ref="A16:B16"/>
    <mergeCell ref="C17:E17"/>
    <mergeCell ref="F17:I17"/>
    <mergeCell ref="C16:E16"/>
    <mergeCell ref="F16:I16"/>
    <mergeCell ref="A17:B17"/>
    <mergeCell ref="A8:B8"/>
    <mergeCell ref="C8:I8"/>
    <mergeCell ref="A9:B9"/>
    <mergeCell ref="C9:E9"/>
    <mergeCell ref="F9:I9"/>
    <mergeCell ref="A10:B10"/>
    <mergeCell ref="C10:E10"/>
    <mergeCell ref="F10:I10"/>
    <mergeCell ref="A11:B11"/>
    <mergeCell ref="C11:E11"/>
    <mergeCell ref="F11:I11"/>
    <mergeCell ref="H41:J41"/>
    <mergeCell ref="H42:J42"/>
    <mergeCell ref="H43:J43"/>
    <mergeCell ref="H44:J44"/>
    <mergeCell ref="H49:J49"/>
    <mergeCell ref="B57:D57"/>
    <mergeCell ref="A19:K19"/>
    <mergeCell ref="A13:B13"/>
    <mergeCell ref="C13:E13"/>
    <mergeCell ref="F13:I13"/>
    <mergeCell ref="A14:B14"/>
    <mergeCell ref="C14:E14"/>
    <mergeCell ref="F14:I14"/>
    <mergeCell ref="B33:D33"/>
    <mergeCell ref="E33:G33"/>
    <mergeCell ref="H33:J33"/>
    <mergeCell ref="B30:D30"/>
    <mergeCell ref="E30:G30"/>
    <mergeCell ref="H30:J30"/>
    <mergeCell ref="B31:D31"/>
    <mergeCell ref="E31:G31"/>
    <mergeCell ref="H31:J31"/>
    <mergeCell ref="B32:D32"/>
    <mergeCell ref="E32:G32"/>
  </mergeCells>
  <pageMargins left="0.7" right="0.7" top="0.75" bottom="0.75" header="0.3" footer="0.3"/>
  <pageSetup paperSize="9" scale="87" orientation="portrait"/>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topLeftCell="A14" zoomScaleNormal="100" workbookViewId="0">
      <selection activeCell="A6" sqref="A6:J14"/>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142" t="str">
        <f>+'Cover Page'!$B$29</f>
        <v>Annual Performance Report 2022</v>
      </c>
      <c r="B1" s="142"/>
      <c r="C1" s="142"/>
      <c r="D1" s="142"/>
      <c r="E1" s="142" t="str">
        <f>+'Cover Page'!$B$33</f>
        <v>Name of Facility: Thalia MK ODC Limited</v>
      </c>
      <c r="F1" s="142"/>
      <c r="G1" s="142"/>
      <c r="H1" s="142"/>
      <c r="I1" s="142"/>
      <c r="J1" s="142"/>
    </row>
    <row r="3" spans="1:10" ht="15.6">
      <c r="A3" s="1" t="s">
        <v>251</v>
      </c>
      <c r="B3" s="142"/>
      <c r="C3" s="142"/>
      <c r="D3" s="142"/>
      <c r="E3" s="142"/>
      <c r="F3" s="142"/>
      <c r="G3" s="142"/>
      <c r="H3" s="142"/>
      <c r="I3" s="142"/>
      <c r="J3" s="142"/>
    </row>
    <row r="4" spans="1:10" ht="15.6">
      <c r="A4" s="1"/>
      <c r="B4" s="142"/>
      <c r="C4" s="142"/>
      <c r="D4" s="142"/>
      <c r="E4" s="142"/>
      <c r="F4" s="142"/>
      <c r="G4" s="142"/>
      <c r="H4" s="142"/>
      <c r="I4" s="142"/>
      <c r="J4" s="142"/>
    </row>
    <row r="5" spans="1:10" s="3" customFormat="1" ht="13.9">
      <c r="A5" s="358" t="s">
        <v>252</v>
      </c>
      <c r="B5" s="359"/>
      <c r="C5" s="359"/>
      <c r="D5" s="359"/>
      <c r="E5" s="359"/>
      <c r="F5" s="359"/>
      <c r="G5" s="359"/>
      <c r="H5" s="359"/>
      <c r="I5" s="359"/>
      <c r="J5" s="360"/>
    </row>
    <row r="6" spans="1:10" s="3" customFormat="1" ht="15.75" customHeight="1">
      <c r="A6" s="219" t="s">
        <v>253</v>
      </c>
      <c r="B6" s="237"/>
      <c r="C6" s="237"/>
      <c r="D6" s="237"/>
      <c r="E6" s="237"/>
      <c r="F6" s="237"/>
      <c r="G6" s="237"/>
      <c r="H6" s="237"/>
      <c r="I6" s="237"/>
      <c r="J6" s="238"/>
    </row>
    <row r="7" spans="1:10" s="3" customFormat="1" ht="15.75" customHeight="1">
      <c r="A7" s="239"/>
      <c r="B7" s="240"/>
      <c r="C7" s="240"/>
      <c r="D7" s="240"/>
      <c r="E7" s="240"/>
      <c r="F7" s="240"/>
      <c r="G7" s="240"/>
      <c r="H7" s="240"/>
      <c r="I7" s="240"/>
      <c r="J7" s="241"/>
    </row>
    <row r="8" spans="1:10" s="3" customFormat="1" ht="15.75" customHeight="1">
      <c r="A8" s="239"/>
      <c r="B8" s="240"/>
      <c r="C8" s="240"/>
      <c r="D8" s="240"/>
      <c r="E8" s="240"/>
      <c r="F8" s="240"/>
      <c r="G8" s="240"/>
      <c r="H8" s="240"/>
      <c r="I8" s="240"/>
      <c r="J8" s="241"/>
    </row>
    <row r="9" spans="1:10" s="3" customFormat="1" ht="15.75" customHeight="1">
      <c r="A9" s="239"/>
      <c r="B9" s="240"/>
      <c r="C9" s="240"/>
      <c r="D9" s="240"/>
      <c r="E9" s="240"/>
      <c r="F9" s="240"/>
      <c r="G9" s="240"/>
      <c r="H9" s="240"/>
      <c r="I9" s="240"/>
      <c r="J9" s="241"/>
    </row>
    <row r="10" spans="1:10" s="3" customFormat="1" ht="15.75" customHeight="1">
      <c r="A10" s="239"/>
      <c r="B10" s="240"/>
      <c r="C10" s="240"/>
      <c r="D10" s="240"/>
      <c r="E10" s="240"/>
      <c r="F10" s="240"/>
      <c r="G10" s="240"/>
      <c r="H10" s="240"/>
      <c r="I10" s="240"/>
      <c r="J10" s="241"/>
    </row>
    <row r="11" spans="1:10" s="3" customFormat="1" ht="15.75" customHeight="1">
      <c r="A11" s="239"/>
      <c r="B11" s="240"/>
      <c r="C11" s="240"/>
      <c r="D11" s="240"/>
      <c r="E11" s="240"/>
      <c r="F11" s="240"/>
      <c r="G11" s="240"/>
      <c r="H11" s="240"/>
      <c r="I11" s="240"/>
      <c r="J11" s="241"/>
    </row>
    <row r="12" spans="1:10" s="3" customFormat="1" ht="15.75" customHeight="1">
      <c r="A12" s="239"/>
      <c r="B12" s="240"/>
      <c r="C12" s="240"/>
      <c r="D12" s="240"/>
      <c r="E12" s="240"/>
      <c r="F12" s="240"/>
      <c r="G12" s="240"/>
      <c r="H12" s="240"/>
      <c r="I12" s="240"/>
      <c r="J12" s="241"/>
    </row>
    <row r="13" spans="1:10" s="3" customFormat="1" ht="15.75" customHeight="1">
      <c r="A13" s="239"/>
      <c r="B13" s="240"/>
      <c r="C13" s="240"/>
      <c r="D13" s="240"/>
      <c r="E13" s="240"/>
      <c r="F13" s="240"/>
      <c r="G13" s="240"/>
      <c r="H13" s="240"/>
      <c r="I13" s="240"/>
      <c r="J13" s="241"/>
    </row>
    <row r="14" spans="1:10" s="3" customFormat="1" ht="100.5" customHeight="1">
      <c r="A14" s="242"/>
      <c r="B14" s="243"/>
      <c r="C14" s="243"/>
      <c r="D14" s="243"/>
      <c r="E14" s="243"/>
      <c r="F14" s="243"/>
      <c r="G14" s="243"/>
      <c r="H14" s="243"/>
      <c r="I14" s="243"/>
      <c r="J14" s="244"/>
    </row>
    <row r="15" spans="1:10" s="3" customFormat="1" ht="13.9"/>
    <row r="16" spans="1:10" s="92" customFormat="1" ht="33.75" customHeight="1">
      <c r="A16" s="355" t="s">
        <v>254</v>
      </c>
      <c r="B16" s="356"/>
      <c r="C16" s="356"/>
      <c r="D16" s="356"/>
      <c r="E16" s="356"/>
      <c r="F16" s="356"/>
      <c r="G16" s="356"/>
      <c r="H16" s="356"/>
      <c r="I16" s="356"/>
      <c r="J16" s="357"/>
    </row>
    <row r="17" spans="1:10" ht="15.75" customHeight="1">
      <c r="A17" s="361" t="s">
        <v>255</v>
      </c>
      <c r="B17" s="237"/>
      <c r="C17" s="237"/>
      <c r="D17" s="237"/>
      <c r="E17" s="237"/>
      <c r="F17" s="237"/>
      <c r="G17" s="237"/>
      <c r="H17" s="237"/>
      <c r="I17" s="237"/>
      <c r="J17" s="238"/>
    </row>
    <row r="18" spans="1:10" ht="15.75" customHeight="1">
      <c r="A18" s="239"/>
      <c r="B18" s="240"/>
      <c r="C18" s="240"/>
      <c r="D18" s="240"/>
      <c r="E18" s="240"/>
      <c r="F18" s="240"/>
      <c r="G18" s="240"/>
      <c r="H18" s="240"/>
      <c r="I18" s="240"/>
      <c r="J18" s="241"/>
    </row>
    <row r="19" spans="1:10" ht="15.75" customHeight="1">
      <c r="A19" s="239"/>
      <c r="B19" s="240"/>
      <c r="C19" s="240"/>
      <c r="D19" s="240"/>
      <c r="E19" s="240"/>
      <c r="F19" s="240"/>
      <c r="G19" s="240"/>
      <c r="H19" s="240"/>
      <c r="I19" s="240"/>
      <c r="J19" s="241"/>
    </row>
    <row r="20" spans="1:10" ht="15.75" customHeight="1">
      <c r="A20" s="239"/>
      <c r="B20" s="240"/>
      <c r="C20" s="240"/>
      <c r="D20" s="240"/>
      <c r="E20" s="240"/>
      <c r="F20" s="240"/>
      <c r="G20" s="240"/>
      <c r="H20" s="240"/>
      <c r="I20" s="240"/>
      <c r="J20" s="241"/>
    </row>
    <row r="21" spans="1:10" ht="15.75" customHeight="1">
      <c r="A21" s="239"/>
      <c r="B21" s="240"/>
      <c r="C21" s="240"/>
      <c r="D21" s="240"/>
      <c r="E21" s="240"/>
      <c r="F21" s="240"/>
      <c r="G21" s="240"/>
      <c r="H21" s="240"/>
      <c r="I21" s="240"/>
      <c r="J21" s="241"/>
    </row>
    <row r="22" spans="1:10" ht="15.75" customHeight="1">
      <c r="A22" s="239"/>
      <c r="B22" s="240"/>
      <c r="C22" s="240"/>
      <c r="D22" s="240"/>
      <c r="E22" s="240"/>
      <c r="F22" s="240"/>
      <c r="G22" s="240"/>
      <c r="H22" s="240"/>
      <c r="I22" s="240"/>
      <c r="J22" s="241"/>
    </row>
    <row r="23" spans="1:10" ht="15.75" customHeight="1">
      <c r="A23" s="239"/>
      <c r="B23" s="240"/>
      <c r="C23" s="240"/>
      <c r="D23" s="240"/>
      <c r="E23" s="240"/>
      <c r="F23" s="240"/>
      <c r="G23" s="240"/>
      <c r="H23" s="240"/>
      <c r="I23" s="240"/>
      <c r="J23" s="241"/>
    </row>
    <row r="24" spans="1:10" ht="15.75" customHeight="1">
      <c r="A24" s="239"/>
      <c r="B24" s="240"/>
      <c r="C24" s="240"/>
      <c r="D24" s="240"/>
      <c r="E24" s="240"/>
      <c r="F24" s="240"/>
      <c r="G24" s="240"/>
      <c r="H24" s="240"/>
      <c r="I24" s="240"/>
      <c r="J24" s="241"/>
    </row>
    <row r="25" spans="1:10" ht="15.75" customHeight="1">
      <c r="A25" s="242"/>
      <c r="B25" s="243"/>
      <c r="C25" s="243"/>
      <c r="D25" s="243"/>
      <c r="E25" s="243"/>
      <c r="F25" s="243"/>
      <c r="G25" s="243"/>
      <c r="H25" s="243"/>
      <c r="I25" s="243"/>
      <c r="J25" s="244"/>
    </row>
    <row r="26" spans="1:10" ht="15.6">
      <c r="A26" s="1"/>
      <c r="B26" s="142"/>
      <c r="C26" s="142"/>
      <c r="D26" s="142"/>
      <c r="E26" s="142"/>
      <c r="F26" s="142"/>
      <c r="G26" s="142"/>
      <c r="H26" s="142"/>
      <c r="I26" s="142"/>
      <c r="J26" s="142"/>
    </row>
    <row r="27" spans="1:10" ht="36.75" customHeight="1">
      <c r="A27" s="355" t="s">
        <v>256</v>
      </c>
      <c r="B27" s="356"/>
      <c r="C27" s="356"/>
      <c r="D27" s="356"/>
      <c r="E27" s="356"/>
      <c r="F27" s="356"/>
      <c r="G27" s="356"/>
      <c r="H27" s="356"/>
      <c r="I27" s="356"/>
      <c r="J27" s="357"/>
    </row>
    <row r="28" spans="1:10" ht="15.75" customHeight="1">
      <c r="A28" s="361" t="s">
        <v>255</v>
      </c>
      <c r="B28" s="237"/>
      <c r="C28" s="237"/>
      <c r="D28" s="237"/>
      <c r="E28" s="237"/>
      <c r="F28" s="237"/>
      <c r="G28" s="237"/>
      <c r="H28" s="237"/>
      <c r="I28" s="237"/>
      <c r="J28" s="238"/>
    </row>
    <row r="29" spans="1:10" ht="15.75" customHeight="1">
      <c r="A29" s="239"/>
      <c r="B29" s="240"/>
      <c r="C29" s="240"/>
      <c r="D29" s="240"/>
      <c r="E29" s="240"/>
      <c r="F29" s="240"/>
      <c r="G29" s="240"/>
      <c r="H29" s="240"/>
      <c r="I29" s="240"/>
      <c r="J29" s="241"/>
    </row>
    <row r="30" spans="1:10" ht="15.75" customHeight="1">
      <c r="A30" s="239"/>
      <c r="B30" s="240"/>
      <c r="C30" s="240"/>
      <c r="D30" s="240"/>
      <c r="E30" s="240"/>
      <c r="F30" s="240"/>
      <c r="G30" s="240"/>
      <c r="H30" s="240"/>
      <c r="I30" s="240"/>
      <c r="J30" s="241"/>
    </row>
    <row r="31" spans="1:10" ht="15.75" customHeight="1">
      <c r="A31" s="239"/>
      <c r="B31" s="240"/>
      <c r="C31" s="240"/>
      <c r="D31" s="240"/>
      <c r="E31" s="240"/>
      <c r="F31" s="240"/>
      <c r="G31" s="240"/>
      <c r="H31" s="240"/>
      <c r="I31" s="240"/>
      <c r="J31" s="241"/>
    </row>
    <row r="32" spans="1:10" ht="15.75" customHeight="1">
      <c r="A32" s="239"/>
      <c r="B32" s="240"/>
      <c r="C32" s="240"/>
      <c r="D32" s="240"/>
      <c r="E32" s="240"/>
      <c r="F32" s="240"/>
      <c r="G32" s="240"/>
      <c r="H32" s="240"/>
      <c r="I32" s="240"/>
      <c r="J32" s="241"/>
    </row>
    <row r="33" spans="1:10" ht="15.75" customHeight="1">
      <c r="A33" s="239"/>
      <c r="B33" s="240"/>
      <c r="C33" s="240"/>
      <c r="D33" s="240"/>
      <c r="E33" s="240"/>
      <c r="F33" s="240"/>
      <c r="G33" s="240"/>
      <c r="H33" s="240"/>
      <c r="I33" s="240"/>
      <c r="J33" s="241"/>
    </row>
    <row r="34" spans="1:10" ht="15.75" customHeight="1">
      <c r="A34" s="239"/>
      <c r="B34" s="240"/>
      <c r="C34" s="240"/>
      <c r="D34" s="240"/>
      <c r="E34" s="240"/>
      <c r="F34" s="240"/>
      <c r="G34" s="240"/>
      <c r="H34" s="240"/>
      <c r="I34" s="240"/>
      <c r="J34" s="241"/>
    </row>
    <row r="35" spans="1:10" ht="15.75" customHeight="1">
      <c r="A35" s="239"/>
      <c r="B35" s="240"/>
      <c r="C35" s="240"/>
      <c r="D35" s="240"/>
      <c r="E35" s="240"/>
      <c r="F35" s="240"/>
      <c r="G35" s="240"/>
      <c r="H35" s="240"/>
      <c r="I35" s="240"/>
      <c r="J35" s="241"/>
    </row>
    <row r="36" spans="1:10" ht="15.75" customHeight="1">
      <c r="A36" s="242"/>
      <c r="B36" s="243"/>
      <c r="C36" s="243"/>
      <c r="D36" s="243"/>
      <c r="E36" s="243"/>
      <c r="F36" s="243"/>
      <c r="G36" s="243"/>
      <c r="H36" s="243"/>
      <c r="I36" s="243"/>
      <c r="J36" s="244"/>
    </row>
    <row r="38" spans="1:10" ht="33" customHeight="1">
      <c r="A38" s="355" t="s">
        <v>257</v>
      </c>
      <c r="B38" s="356"/>
      <c r="C38" s="356"/>
      <c r="D38" s="356"/>
      <c r="E38" s="356"/>
      <c r="F38" s="356"/>
      <c r="G38" s="356"/>
      <c r="H38" s="356"/>
      <c r="I38" s="356"/>
      <c r="J38" s="357"/>
    </row>
    <row r="39" spans="1:10" ht="15.75" customHeight="1">
      <c r="A39" s="219" t="s">
        <v>258</v>
      </c>
      <c r="B39" s="237"/>
      <c r="C39" s="237"/>
      <c r="D39" s="237"/>
      <c r="E39" s="237"/>
      <c r="F39" s="237"/>
      <c r="G39" s="237"/>
      <c r="H39" s="237"/>
      <c r="I39" s="237"/>
      <c r="J39" s="238"/>
    </row>
    <row r="40" spans="1:10" ht="15.75" customHeight="1">
      <c r="A40" s="239"/>
      <c r="B40" s="240"/>
      <c r="C40" s="240"/>
      <c r="D40" s="240"/>
      <c r="E40" s="240"/>
      <c r="F40" s="240"/>
      <c r="G40" s="240"/>
      <c r="H40" s="240"/>
      <c r="I40" s="240"/>
      <c r="J40" s="241"/>
    </row>
    <row r="41" spans="1:10" ht="15.75" customHeight="1">
      <c r="A41" s="239"/>
      <c r="B41" s="240"/>
      <c r="C41" s="240"/>
      <c r="D41" s="240"/>
      <c r="E41" s="240"/>
      <c r="F41" s="240"/>
      <c r="G41" s="240"/>
      <c r="H41" s="240"/>
      <c r="I41" s="240"/>
      <c r="J41" s="241"/>
    </row>
    <row r="42" spans="1:10" ht="15.75" customHeight="1">
      <c r="A42" s="239"/>
      <c r="B42" s="240"/>
      <c r="C42" s="240"/>
      <c r="D42" s="240"/>
      <c r="E42" s="240"/>
      <c r="F42" s="240"/>
      <c r="G42" s="240"/>
      <c r="H42" s="240"/>
      <c r="I42" s="240"/>
      <c r="J42" s="241"/>
    </row>
    <row r="43" spans="1:10" ht="15.75" customHeight="1">
      <c r="A43" s="239"/>
      <c r="B43" s="240"/>
      <c r="C43" s="240"/>
      <c r="D43" s="240"/>
      <c r="E43" s="240"/>
      <c r="F43" s="240"/>
      <c r="G43" s="240"/>
      <c r="H43" s="240"/>
      <c r="I43" s="240"/>
      <c r="J43" s="241"/>
    </row>
    <row r="44" spans="1:10" ht="15.75" customHeight="1">
      <c r="A44" s="239"/>
      <c r="B44" s="240"/>
      <c r="C44" s="240"/>
      <c r="D44" s="240"/>
      <c r="E44" s="240"/>
      <c r="F44" s="240"/>
      <c r="G44" s="240"/>
      <c r="H44" s="240"/>
      <c r="I44" s="240"/>
      <c r="J44" s="241"/>
    </row>
    <row r="45" spans="1:10" ht="15.75" customHeight="1">
      <c r="A45" s="239"/>
      <c r="B45" s="240"/>
      <c r="C45" s="240"/>
      <c r="D45" s="240"/>
      <c r="E45" s="240"/>
      <c r="F45" s="240"/>
      <c r="G45" s="240"/>
      <c r="H45" s="240"/>
      <c r="I45" s="240"/>
      <c r="J45" s="241"/>
    </row>
    <row r="46" spans="1:10" ht="15.75" customHeight="1">
      <c r="A46" s="239"/>
      <c r="B46" s="240"/>
      <c r="C46" s="240"/>
      <c r="D46" s="240"/>
      <c r="E46" s="240"/>
      <c r="F46" s="240"/>
      <c r="G46" s="240"/>
      <c r="H46" s="240"/>
      <c r="I46" s="240"/>
      <c r="J46" s="241"/>
    </row>
    <row r="47" spans="1:10" ht="15.75" customHeight="1">
      <c r="A47" s="239"/>
      <c r="B47" s="240"/>
      <c r="C47" s="240"/>
      <c r="D47" s="240"/>
      <c r="E47" s="240"/>
      <c r="F47" s="240"/>
      <c r="G47" s="240"/>
      <c r="H47" s="240"/>
      <c r="I47" s="240"/>
      <c r="J47" s="241"/>
    </row>
    <row r="48" spans="1:10" ht="15.75" customHeight="1">
      <c r="A48" s="242"/>
      <c r="B48" s="243"/>
      <c r="C48" s="243"/>
      <c r="D48" s="243"/>
      <c r="E48" s="243"/>
      <c r="F48" s="243"/>
      <c r="G48" s="243"/>
      <c r="H48" s="243"/>
      <c r="I48" s="243"/>
      <c r="J48" s="244"/>
    </row>
    <row r="66" spans="6:6">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topLeftCell="A16" zoomScaleNormal="100" workbookViewId="0">
      <selection activeCell="C22" sqref="C22:J23"/>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142" t="str">
        <f>+'Cover Page'!$B$29</f>
        <v>Annual Performance Report 2022</v>
      </c>
      <c r="B1" s="142"/>
      <c r="C1" s="142"/>
      <c r="D1" s="142"/>
      <c r="E1" s="142" t="str">
        <f>+'Cover Page'!$B$33</f>
        <v>Name of Facility: Thalia MK ODC Limited</v>
      </c>
      <c r="F1" s="142"/>
      <c r="G1" s="142"/>
      <c r="H1" s="142"/>
      <c r="I1" s="142"/>
      <c r="J1" s="142"/>
    </row>
    <row r="3" spans="1:10" ht="15.6">
      <c r="A3" s="1" t="s">
        <v>259</v>
      </c>
      <c r="B3" s="142"/>
      <c r="C3" s="142"/>
      <c r="D3" s="142"/>
      <c r="E3" s="142"/>
      <c r="F3" s="142"/>
      <c r="G3" s="142"/>
      <c r="H3" s="142"/>
      <c r="I3" s="142"/>
      <c r="J3" s="142"/>
    </row>
    <row r="4" spans="1:10" ht="15.6">
      <c r="A4" s="1"/>
      <c r="B4" s="142"/>
      <c r="C4" s="142"/>
      <c r="D4" s="142"/>
      <c r="E4" s="142"/>
      <c r="F4" s="142"/>
      <c r="G4" s="142"/>
      <c r="H4" s="142"/>
      <c r="I4" s="142"/>
      <c r="J4" s="142"/>
    </row>
    <row r="5" spans="1:10" s="3" customFormat="1" ht="28.5" customHeight="1">
      <c r="A5" s="93" t="s">
        <v>260</v>
      </c>
      <c r="B5" s="94"/>
      <c r="C5" s="94"/>
      <c r="D5" s="94"/>
      <c r="E5" s="94"/>
      <c r="F5" s="94"/>
      <c r="G5" s="94"/>
      <c r="H5" s="94"/>
      <c r="I5" s="94"/>
      <c r="J5" s="95"/>
    </row>
    <row r="6" spans="1:10" s="3" customFormat="1" ht="15.75" customHeight="1">
      <c r="A6" s="358" t="s">
        <v>50</v>
      </c>
      <c r="B6" s="360"/>
      <c r="C6" s="358" t="s">
        <v>261</v>
      </c>
      <c r="D6" s="359"/>
      <c r="E6" s="359"/>
      <c r="F6" s="359"/>
      <c r="G6" s="359"/>
      <c r="H6" s="359"/>
      <c r="I6" s="359"/>
      <c r="J6" s="360"/>
    </row>
    <row r="7" spans="1:10" s="3" customFormat="1" ht="15.75" customHeight="1">
      <c r="A7" s="362">
        <v>44677</v>
      </c>
      <c r="B7" s="238"/>
      <c r="C7" s="219" t="s">
        <v>262</v>
      </c>
      <c r="D7" s="220"/>
      <c r="E7" s="220"/>
      <c r="F7" s="220"/>
      <c r="G7" s="220"/>
      <c r="H7" s="220"/>
      <c r="I7" s="220"/>
      <c r="J7" s="221"/>
    </row>
    <row r="8" spans="1:10" s="3" customFormat="1" ht="42" customHeight="1">
      <c r="A8" s="242"/>
      <c r="B8" s="244"/>
      <c r="C8" s="225"/>
      <c r="D8" s="226"/>
      <c r="E8" s="226"/>
      <c r="F8" s="226"/>
      <c r="G8" s="226"/>
      <c r="H8" s="226"/>
      <c r="I8" s="226"/>
      <c r="J8" s="227"/>
    </row>
    <row r="9" spans="1:10" s="3" customFormat="1" ht="15.75" customHeight="1">
      <c r="A9" s="362">
        <v>44839</v>
      </c>
      <c r="B9" s="238"/>
      <c r="C9" s="219" t="s">
        <v>263</v>
      </c>
      <c r="D9" s="220"/>
      <c r="E9" s="220"/>
      <c r="F9" s="220"/>
      <c r="G9" s="220"/>
      <c r="H9" s="220"/>
      <c r="I9" s="220"/>
      <c r="J9" s="221"/>
    </row>
    <row r="10" spans="1:10" s="3" customFormat="1" ht="15.75" customHeight="1">
      <c r="A10" s="242"/>
      <c r="B10" s="244"/>
      <c r="C10" s="225"/>
      <c r="D10" s="226"/>
      <c r="E10" s="226"/>
      <c r="F10" s="226"/>
      <c r="G10" s="226"/>
      <c r="H10" s="226"/>
      <c r="I10" s="226"/>
      <c r="J10" s="227"/>
    </row>
    <row r="11" spans="1:10" s="3" customFormat="1" ht="15.75" customHeight="1">
      <c r="A11" s="361"/>
      <c r="B11" s="238"/>
      <c r="C11" s="361"/>
      <c r="D11" s="237"/>
      <c r="E11" s="237"/>
      <c r="F11" s="237"/>
      <c r="G11" s="237"/>
      <c r="H11" s="237"/>
      <c r="I11" s="237"/>
      <c r="J11" s="238"/>
    </row>
    <row r="12" spans="1:10" s="3" customFormat="1" ht="15.75" customHeight="1">
      <c r="A12" s="242"/>
      <c r="B12" s="244"/>
      <c r="C12" s="242"/>
      <c r="D12" s="243"/>
      <c r="E12" s="243"/>
      <c r="F12" s="243"/>
      <c r="G12" s="243"/>
      <c r="H12" s="243"/>
      <c r="I12" s="243"/>
      <c r="J12" s="244"/>
    </row>
    <row r="13" spans="1:10" s="3" customFormat="1" ht="15.75" customHeight="1">
      <c r="A13" s="361"/>
      <c r="B13" s="238"/>
      <c r="C13" s="361"/>
      <c r="D13" s="237"/>
      <c r="E13" s="237"/>
      <c r="F13" s="237"/>
      <c r="G13" s="237"/>
      <c r="H13" s="237"/>
      <c r="I13" s="237"/>
      <c r="J13" s="238"/>
    </row>
    <row r="14" spans="1:10" s="3" customFormat="1" ht="15.75" customHeight="1">
      <c r="A14" s="242"/>
      <c r="B14" s="244"/>
      <c r="C14" s="242"/>
      <c r="D14" s="243"/>
      <c r="E14" s="243"/>
      <c r="F14" s="243"/>
      <c r="G14" s="243"/>
      <c r="H14" s="243"/>
      <c r="I14" s="243"/>
      <c r="J14" s="244"/>
    </row>
    <row r="15" spans="1:10" s="3" customFormat="1" ht="13.9"/>
    <row r="16" spans="1:10" s="92" customFormat="1" ht="33.75" customHeight="1">
      <c r="A16" s="355" t="s">
        <v>264</v>
      </c>
      <c r="B16" s="356"/>
      <c r="C16" s="356"/>
      <c r="D16" s="356"/>
      <c r="E16" s="356"/>
      <c r="F16" s="356"/>
      <c r="G16" s="356"/>
      <c r="H16" s="356"/>
      <c r="I16" s="356"/>
      <c r="J16" s="357"/>
    </row>
    <row r="17" spans="1:10" ht="15.75" customHeight="1">
      <c r="A17" s="358" t="s">
        <v>50</v>
      </c>
      <c r="B17" s="360"/>
      <c r="C17" s="358" t="s">
        <v>261</v>
      </c>
      <c r="D17" s="359"/>
      <c r="E17" s="359"/>
      <c r="F17" s="359"/>
      <c r="G17" s="359"/>
      <c r="H17" s="359"/>
      <c r="I17" s="359"/>
      <c r="J17" s="359"/>
    </row>
    <row r="18" spans="1:10" ht="15.75" customHeight="1">
      <c r="A18" s="361" t="s">
        <v>70</v>
      </c>
      <c r="B18" s="238"/>
      <c r="C18" s="361" t="s">
        <v>265</v>
      </c>
      <c r="D18" s="237"/>
      <c r="E18" s="237"/>
      <c r="F18" s="237"/>
      <c r="G18" s="237"/>
      <c r="H18" s="237"/>
      <c r="I18" s="237"/>
      <c r="J18" s="238"/>
    </row>
    <row r="19" spans="1:10" ht="15.75" customHeight="1">
      <c r="A19" s="242"/>
      <c r="B19" s="244"/>
      <c r="C19" s="242"/>
      <c r="D19" s="243"/>
      <c r="E19" s="243"/>
      <c r="F19" s="243"/>
      <c r="G19" s="243"/>
      <c r="H19" s="243"/>
      <c r="I19" s="243"/>
      <c r="J19" s="244"/>
    </row>
    <row r="20" spans="1:10" ht="15.75" customHeight="1">
      <c r="A20" s="361" t="s">
        <v>72</v>
      </c>
      <c r="B20" s="238"/>
      <c r="C20" s="361" t="s">
        <v>265</v>
      </c>
      <c r="D20" s="237"/>
      <c r="E20" s="237"/>
      <c r="F20" s="237"/>
      <c r="G20" s="237"/>
      <c r="H20" s="237"/>
      <c r="I20" s="237"/>
      <c r="J20" s="238"/>
    </row>
    <row r="21" spans="1:10" ht="15.75" customHeight="1">
      <c r="A21" s="242"/>
      <c r="B21" s="244"/>
      <c r="C21" s="242"/>
      <c r="D21" s="243"/>
      <c r="E21" s="243"/>
      <c r="F21" s="243"/>
      <c r="G21" s="243"/>
      <c r="H21" s="243"/>
      <c r="I21" s="243"/>
      <c r="J21" s="244"/>
    </row>
    <row r="22" spans="1:10" ht="15.75" customHeight="1">
      <c r="A22" s="361"/>
      <c r="B22" s="238"/>
      <c r="C22" s="361"/>
      <c r="D22" s="237"/>
      <c r="E22" s="237"/>
      <c r="F22" s="237"/>
      <c r="G22" s="237"/>
      <c r="H22" s="237"/>
      <c r="I22" s="237"/>
      <c r="J22" s="238"/>
    </row>
    <row r="23" spans="1:10" ht="15.75" customHeight="1">
      <c r="A23" s="242"/>
      <c r="B23" s="244"/>
      <c r="C23" s="242"/>
      <c r="D23" s="243"/>
      <c r="E23" s="243"/>
      <c r="F23" s="243"/>
      <c r="G23" s="243"/>
      <c r="H23" s="243"/>
      <c r="I23" s="243"/>
      <c r="J23" s="244"/>
    </row>
    <row r="24" spans="1:10" ht="15.75" customHeight="1">
      <c r="A24" s="361"/>
      <c r="B24" s="238"/>
      <c r="C24" s="361"/>
      <c r="D24" s="237"/>
      <c r="E24" s="237"/>
      <c r="F24" s="237"/>
      <c r="G24" s="237"/>
      <c r="H24" s="237"/>
      <c r="I24" s="237"/>
      <c r="J24" s="238"/>
    </row>
    <row r="25" spans="1:10" ht="15.75" customHeight="1">
      <c r="A25" s="242"/>
      <c r="B25" s="244"/>
      <c r="C25" s="242"/>
      <c r="D25" s="243"/>
      <c r="E25" s="243"/>
      <c r="F25" s="243"/>
      <c r="G25" s="243"/>
      <c r="H25" s="243"/>
      <c r="I25" s="243"/>
      <c r="J25" s="244"/>
    </row>
    <row r="26" spans="1:10" ht="15.75" customHeight="1">
      <c r="A26" s="361"/>
      <c r="B26" s="238"/>
      <c r="C26" s="361"/>
      <c r="D26" s="237"/>
      <c r="E26" s="237"/>
      <c r="F26" s="237"/>
      <c r="G26" s="237"/>
      <c r="H26" s="237"/>
      <c r="I26" s="237"/>
      <c r="J26" s="238"/>
    </row>
    <row r="27" spans="1:10" ht="15.75" customHeight="1">
      <c r="A27" s="242"/>
      <c r="B27" s="244"/>
      <c r="C27" s="242"/>
      <c r="D27" s="243"/>
      <c r="E27" s="243"/>
      <c r="F27" s="243"/>
      <c r="G27" s="243"/>
      <c r="H27" s="243"/>
      <c r="I27" s="243"/>
      <c r="J27" s="244"/>
    </row>
    <row r="28" spans="1:10" ht="15.6">
      <c r="A28" s="1"/>
      <c r="B28" s="142"/>
      <c r="C28" s="142"/>
      <c r="D28" s="142"/>
      <c r="E28" s="142"/>
      <c r="F28" s="142"/>
      <c r="G28" s="142"/>
      <c r="H28" s="142"/>
      <c r="I28" s="142"/>
      <c r="J28" s="142"/>
    </row>
    <row r="29" spans="1:10" ht="36.75" customHeight="1">
      <c r="A29" s="355" t="s">
        <v>266</v>
      </c>
      <c r="B29" s="356"/>
      <c r="C29" s="356"/>
      <c r="D29" s="356"/>
      <c r="E29" s="356"/>
      <c r="F29" s="356"/>
      <c r="G29" s="356"/>
      <c r="H29" s="356"/>
      <c r="I29" s="356"/>
      <c r="J29" s="357"/>
    </row>
    <row r="66" spans="6:6">
      <c r="F66" s="3"/>
    </row>
  </sheetData>
  <mergeCells count="24">
    <mergeCell ref="A24:B25"/>
    <mergeCell ref="C24:J25"/>
    <mergeCell ref="A26:B27"/>
    <mergeCell ref="C26:J27"/>
    <mergeCell ref="A29:J29"/>
    <mergeCell ref="A18:B19"/>
    <mergeCell ref="C18:J19"/>
    <mergeCell ref="A20:B21"/>
    <mergeCell ref="C20:J21"/>
    <mergeCell ref="A22:B23"/>
    <mergeCell ref="C22:J23"/>
    <mergeCell ref="A17:B17"/>
    <mergeCell ref="C17:J17"/>
    <mergeCell ref="A6:B6"/>
    <mergeCell ref="C6:J6"/>
    <mergeCell ref="A7:B8"/>
    <mergeCell ref="C7:J8"/>
    <mergeCell ref="A9:B10"/>
    <mergeCell ref="C9:J10"/>
    <mergeCell ref="A11:B12"/>
    <mergeCell ref="C11:J12"/>
    <mergeCell ref="A13:B14"/>
    <mergeCell ref="C13:J14"/>
    <mergeCell ref="A16:J16"/>
  </mergeCells>
  <pageMargins left="0.7" right="0.7" top="0.75" bottom="0.75" header="0.3" footer="0.3"/>
  <pageSetup paperSize="9" scale="87" orientation="portrait"/>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showGridLines="0" topLeftCell="A7" zoomScaleNormal="100" workbookViewId="0">
      <selection activeCell="C15" sqref="C15:G16"/>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142" t="str">
        <f>+'Cover Page'!$B$29</f>
        <v>Annual Performance Report 2022</v>
      </c>
      <c r="B1" s="142"/>
      <c r="C1" s="142"/>
      <c r="D1" s="142"/>
      <c r="E1" s="142" t="str">
        <f>+'Cover Page'!$B$33</f>
        <v>Name of Facility: Thalia MK ODC Limited</v>
      </c>
      <c r="F1" s="142"/>
      <c r="G1" s="142"/>
    </row>
    <row r="3" spans="1:7" ht="15.6">
      <c r="A3" s="1" t="s">
        <v>267</v>
      </c>
      <c r="B3" s="142"/>
      <c r="C3" s="142"/>
      <c r="D3" s="142"/>
      <c r="E3" s="142"/>
      <c r="F3" s="142"/>
      <c r="G3" s="142"/>
    </row>
    <row r="4" spans="1:7" ht="15.6">
      <c r="A4" s="1"/>
      <c r="B4" s="142"/>
      <c r="C4" s="142"/>
      <c r="D4" s="142"/>
      <c r="E4" s="142"/>
      <c r="F4" s="142"/>
      <c r="G4" s="142"/>
    </row>
    <row r="5" spans="1:7" s="3" customFormat="1" ht="21.75" customHeight="1">
      <c r="A5" s="93" t="s">
        <v>268</v>
      </c>
      <c r="B5" s="94"/>
      <c r="C5" s="94"/>
      <c r="D5" s="94"/>
      <c r="E5" s="94"/>
      <c r="F5" s="94"/>
      <c r="G5" s="95"/>
    </row>
    <row r="6" spans="1:7" s="3" customFormat="1" ht="15.75" customHeight="1">
      <c r="A6" s="219" t="s">
        <v>269</v>
      </c>
      <c r="B6" s="220"/>
      <c r="C6" s="220"/>
      <c r="D6" s="220"/>
      <c r="E6" s="220"/>
      <c r="F6" s="220"/>
      <c r="G6" s="221"/>
    </row>
    <row r="7" spans="1:7" s="3" customFormat="1" ht="18.75" customHeight="1">
      <c r="A7" s="225"/>
      <c r="B7" s="226"/>
      <c r="C7" s="226"/>
      <c r="D7" s="226"/>
      <c r="E7" s="226"/>
      <c r="F7" s="226"/>
      <c r="G7" s="227"/>
    </row>
    <row r="8" spans="1:7" s="3" customFormat="1" ht="15.75" customHeight="1">
      <c r="A8" s="219"/>
      <c r="B8" s="220"/>
      <c r="C8" s="220"/>
      <c r="D8" s="220"/>
      <c r="E8" s="220"/>
      <c r="F8" s="220"/>
      <c r="G8" s="221"/>
    </row>
    <row r="9" spans="1:7" s="3" customFormat="1" ht="15.75" customHeight="1">
      <c r="A9" s="225"/>
      <c r="B9" s="226"/>
      <c r="C9" s="226"/>
      <c r="D9" s="226"/>
      <c r="E9" s="226"/>
      <c r="F9" s="226"/>
      <c r="G9" s="227"/>
    </row>
    <row r="10" spans="1:7" s="3" customFormat="1" ht="15.75" customHeight="1">
      <c r="A10" s="219"/>
      <c r="B10" s="220"/>
      <c r="C10" s="220"/>
      <c r="D10" s="220"/>
      <c r="E10" s="220"/>
      <c r="F10" s="220"/>
      <c r="G10" s="221"/>
    </row>
    <row r="11" spans="1:7" s="3" customFormat="1" ht="15.75" customHeight="1">
      <c r="A11" s="225"/>
      <c r="B11" s="226"/>
      <c r="C11" s="226"/>
      <c r="D11" s="226"/>
      <c r="E11" s="226"/>
      <c r="F11" s="226"/>
      <c r="G11" s="227"/>
    </row>
    <row r="12" spans="1:7" s="3" customFormat="1" ht="13.9"/>
    <row r="13" spans="1:7" s="92" customFormat="1" ht="33.75" customHeight="1">
      <c r="A13" s="355" t="s">
        <v>270</v>
      </c>
      <c r="B13" s="356"/>
      <c r="C13" s="356"/>
      <c r="D13" s="356"/>
      <c r="E13" s="356"/>
      <c r="F13" s="356"/>
      <c r="G13" s="357"/>
    </row>
    <row r="14" spans="1:7" ht="15.75" customHeight="1">
      <c r="A14" s="358" t="s">
        <v>271</v>
      </c>
      <c r="B14" s="360"/>
      <c r="C14" s="358" t="s">
        <v>261</v>
      </c>
      <c r="D14" s="359"/>
      <c r="E14" s="359"/>
      <c r="F14" s="359"/>
      <c r="G14" s="359"/>
    </row>
    <row r="15" spans="1:7" ht="15.75" customHeight="1">
      <c r="A15" s="219"/>
      <c r="B15" s="221"/>
      <c r="C15" s="361" t="s">
        <v>255</v>
      </c>
      <c r="D15" s="237"/>
      <c r="E15" s="237"/>
      <c r="F15" s="237"/>
      <c r="G15" s="238"/>
    </row>
    <row r="16" spans="1:7" ht="15.75" customHeight="1">
      <c r="A16" s="225"/>
      <c r="B16" s="227"/>
      <c r="C16" s="242"/>
      <c r="D16" s="243"/>
      <c r="E16" s="243"/>
      <c r="F16" s="243"/>
      <c r="G16" s="244"/>
    </row>
    <row r="17" spans="1:11" ht="15.75" customHeight="1">
      <c r="A17" s="361"/>
      <c r="B17" s="238"/>
      <c r="C17" s="361"/>
      <c r="D17" s="237"/>
      <c r="E17" s="237"/>
      <c r="F17" s="237"/>
      <c r="G17" s="238"/>
      <c r="H17" s="142"/>
      <c r="I17" s="142"/>
      <c r="J17" s="142"/>
      <c r="K17" s="142"/>
    </row>
    <row r="18" spans="1:11" ht="15.75" customHeight="1">
      <c r="A18" s="242"/>
      <c r="B18" s="244"/>
      <c r="C18" s="242"/>
      <c r="D18" s="243"/>
      <c r="E18" s="243"/>
      <c r="F18" s="243"/>
      <c r="G18" s="244"/>
      <c r="H18" s="142"/>
      <c r="I18" s="142"/>
      <c r="J18" s="142"/>
      <c r="K18" s="142"/>
    </row>
    <row r="19" spans="1:11" ht="15.75" customHeight="1">
      <c r="A19" s="361"/>
      <c r="B19" s="238"/>
      <c r="C19" s="361"/>
      <c r="D19" s="237"/>
      <c r="E19" s="237"/>
      <c r="F19" s="237"/>
      <c r="G19" s="238"/>
      <c r="H19" s="142"/>
      <c r="I19" s="142"/>
      <c r="J19" s="142"/>
      <c r="K19" s="142"/>
    </row>
    <row r="20" spans="1:11" ht="15.75" customHeight="1">
      <c r="A20" s="242"/>
      <c r="B20" s="244"/>
      <c r="C20" s="242"/>
      <c r="D20" s="243"/>
      <c r="E20" s="243"/>
      <c r="F20" s="243"/>
      <c r="G20" s="244"/>
      <c r="H20" s="142"/>
      <c r="I20" s="142"/>
      <c r="J20" s="142"/>
      <c r="K20" s="142"/>
    </row>
    <row r="21" spans="1:11" ht="15.75" customHeight="1">
      <c r="A21" s="361"/>
      <c r="B21" s="238"/>
      <c r="C21" s="361"/>
      <c r="D21" s="237"/>
      <c r="E21" s="237"/>
      <c r="F21" s="237"/>
      <c r="G21" s="238"/>
      <c r="H21" s="142"/>
      <c r="I21" s="142"/>
      <c r="J21" s="142"/>
      <c r="K21" s="142"/>
    </row>
    <row r="22" spans="1:11" ht="15.75" customHeight="1">
      <c r="A22" s="242"/>
      <c r="B22" s="244"/>
      <c r="C22" s="242"/>
      <c r="D22" s="243"/>
      <c r="E22" s="243"/>
      <c r="F22" s="243"/>
      <c r="G22" s="244"/>
      <c r="H22" s="142"/>
      <c r="I22" s="142"/>
      <c r="J22" s="142"/>
      <c r="K22" s="142"/>
    </row>
    <row r="23" spans="1:11" ht="15.75" customHeight="1">
      <c r="A23" s="361"/>
      <c r="B23" s="238"/>
      <c r="C23" s="361"/>
      <c r="D23" s="237"/>
      <c r="E23" s="237"/>
      <c r="F23" s="237"/>
      <c r="G23" s="238"/>
      <c r="H23" s="142"/>
      <c r="I23" s="142"/>
      <c r="J23" s="142"/>
      <c r="K23" s="142"/>
    </row>
    <row r="24" spans="1:11" ht="15.75" customHeight="1">
      <c r="A24" s="242"/>
      <c r="B24" s="244"/>
      <c r="C24" s="242"/>
      <c r="D24" s="243"/>
      <c r="E24" s="243"/>
      <c r="F24" s="243"/>
      <c r="G24" s="244"/>
      <c r="H24" s="142"/>
      <c r="I24" s="142"/>
      <c r="J24" s="142"/>
      <c r="K24" s="142"/>
    </row>
    <row r="26" spans="1:11">
      <c r="A26" s="14"/>
      <c r="B26" s="14"/>
      <c r="C26" s="14"/>
      <c r="D26" s="14"/>
      <c r="E26" s="14"/>
      <c r="F26" s="14"/>
      <c r="G26" s="14"/>
      <c r="H26" s="142"/>
      <c r="I26" s="142"/>
      <c r="J26" s="142"/>
      <c r="K26" s="142"/>
    </row>
    <row r="27" spans="1:11" s="104" customFormat="1" ht="16.5" customHeight="1">
      <c r="A27" s="364" t="s">
        <v>272</v>
      </c>
      <c r="B27" s="364"/>
      <c r="C27" s="364"/>
      <c r="D27" s="364"/>
      <c r="E27" s="364"/>
      <c r="F27" s="364"/>
      <c r="G27" s="364"/>
    </row>
    <row r="28" spans="1:11" s="14" customFormat="1" ht="17.25" customHeight="1">
      <c r="A28" s="365" t="s">
        <v>273</v>
      </c>
      <c r="B28" s="365"/>
      <c r="C28" s="345" t="s">
        <v>274</v>
      </c>
      <c r="D28" s="345" t="s">
        <v>275</v>
      </c>
      <c r="E28" s="345"/>
      <c r="F28" s="345"/>
      <c r="G28" s="345"/>
    </row>
    <row r="29" spans="1:11" s="14" customFormat="1" ht="17.25" customHeight="1">
      <c r="A29" s="365"/>
      <c r="B29" s="365"/>
      <c r="C29" s="345"/>
      <c r="D29" s="345" t="s">
        <v>276</v>
      </c>
      <c r="E29" s="345"/>
      <c r="F29" s="345" t="s">
        <v>152</v>
      </c>
      <c r="G29" s="345"/>
    </row>
    <row r="30" spans="1:11" s="79" customFormat="1" ht="38.1" customHeight="1">
      <c r="A30" s="245" t="s">
        <v>277</v>
      </c>
      <c r="B30" s="245"/>
      <c r="C30" s="105" t="s">
        <v>278</v>
      </c>
      <c r="D30" s="363">
        <v>4.93</v>
      </c>
      <c r="E30" s="363"/>
      <c r="F30" s="366"/>
      <c r="G30" s="367"/>
      <c r="J30" s="14"/>
      <c r="K30" s="14"/>
    </row>
    <row r="31" spans="1:11" s="79" customFormat="1" ht="38.1" customHeight="1">
      <c r="A31" s="245" t="s">
        <v>279</v>
      </c>
      <c r="B31" s="245"/>
      <c r="C31" s="101" t="s">
        <v>280</v>
      </c>
      <c r="D31" s="363">
        <v>2</v>
      </c>
      <c r="E31" s="363"/>
      <c r="F31" s="366"/>
      <c r="G31" s="367"/>
      <c r="J31" s="14"/>
      <c r="K31" s="14"/>
    </row>
    <row r="32" spans="1:11" s="79" customFormat="1" ht="38.1" customHeight="1">
      <c r="A32" s="245" t="s">
        <v>281</v>
      </c>
      <c r="B32" s="245"/>
      <c r="C32" s="101" t="s">
        <v>282</v>
      </c>
      <c r="D32" s="363">
        <v>18</v>
      </c>
      <c r="E32" s="363"/>
      <c r="F32" s="368">
        <v>3</v>
      </c>
      <c r="G32" s="369"/>
      <c r="J32" s="14"/>
      <c r="K32" s="14"/>
    </row>
    <row r="33" spans="1:7" s="79" customFormat="1" ht="38.1" customHeight="1">
      <c r="A33" s="245" t="s">
        <v>283</v>
      </c>
      <c r="B33" s="245"/>
      <c r="C33" s="101" t="s">
        <v>282</v>
      </c>
      <c r="D33" s="363">
        <v>3</v>
      </c>
      <c r="E33" s="363"/>
      <c r="F33" s="366"/>
      <c r="G33" s="367"/>
    </row>
    <row r="35" spans="1:7">
      <c r="A35" s="304" t="s">
        <v>284</v>
      </c>
      <c r="B35" s="304"/>
      <c r="C35" s="304"/>
      <c r="D35" s="304"/>
      <c r="E35" s="304"/>
      <c r="F35" s="304"/>
      <c r="G35" s="304"/>
    </row>
    <row r="36" spans="1:7">
      <c r="A36" s="305" t="s">
        <v>285</v>
      </c>
      <c r="B36" s="305"/>
      <c r="C36" s="305"/>
      <c r="D36" s="305"/>
      <c r="E36" s="305"/>
      <c r="F36" s="305"/>
      <c r="G36" s="305"/>
    </row>
    <row r="37" spans="1:7">
      <c r="A37" s="305"/>
      <c r="B37" s="305"/>
      <c r="C37" s="305"/>
      <c r="D37" s="305"/>
      <c r="E37" s="305"/>
      <c r="F37" s="305"/>
      <c r="G37" s="305"/>
    </row>
    <row r="38" spans="1:7">
      <c r="A38" s="305"/>
      <c r="B38" s="305"/>
      <c r="C38" s="305"/>
      <c r="D38" s="305"/>
      <c r="E38" s="305"/>
      <c r="F38" s="305"/>
      <c r="G38" s="305"/>
    </row>
    <row r="39" spans="1:7">
      <c r="A39" s="305"/>
      <c r="B39" s="305"/>
      <c r="C39" s="305"/>
      <c r="D39" s="305"/>
      <c r="E39" s="305"/>
      <c r="F39" s="305"/>
      <c r="G39" s="305"/>
    </row>
    <row r="40" spans="1:7">
      <c r="A40" s="305"/>
      <c r="B40" s="305"/>
      <c r="C40" s="305"/>
      <c r="D40" s="305"/>
      <c r="E40" s="305"/>
      <c r="F40" s="305"/>
      <c r="G40" s="305"/>
    </row>
    <row r="41" spans="1:7">
      <c r="A41" s="305"/>
      <c r="B41" s="305"/>
      <c r="C41" s="305"/>
      <c r="D41" s="305"/>
      <c r="E41" s="305"/>
      <c r="F41" s="305"/>
      <c r="G41" s="305"/>
    </row>
    <row r="56" spans="6:6">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66"/>
  <sheetViews>
    <sheetView showGridLines="0" topLeftCell="A5" zoomScaleNormal="100" workbookViewId="0">
      <selection activeCell="A8" sqref="A8"/>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142" t="str">
        <f>+'Cover Page'!$B$29</f>
        <v>Annual Performance Report 2022</v>
      </c>
      <c r="B1" s="142"/>
      <c r="C1" s="142"/>
      <c r="D1" s="142"/>
      <c r="E1" s="142" t="str">
        <f>+'Cover Page'!$B$33</f>
        <v>Name of Facility: Thalia MK ODC Limited</v>
      </c>
      <c r="F1" s="142"/>
      <c r="G1" s="142"/>
      <c r="H1" s="142"/>
      <c r="I1" s="142"/>
      <c r="J1" s="142"/>
    </row>
    <row r="3" spans="1:10" ht="15.6">
      <c r="A3" s="1" t="s">
        <v>38</v>
      </c>
      <c r="B3" s="142"/>
      <c r="C3" s="142"/>
      <c r="D3" s="142"/>
      <c r="E3" s="142"/>
      <c r="F3" s="142"/>
      <c r="G3" s="142"/>
      <c r="H3" s="142"/>
      <c r="I3" s="142"/>
      <c r="J3" s="142"/>
    </row>
    <row r="4" spans="1:10" ht="15.6">
      <c r="A4" s="1"/>
      <c r="B4" s="142"/>
      <c r="C4" s="142"/>
      <c r="D4" s="142"/>
      <c r="E4" s="142"/>
      <c r="F4" s="142"/>
      <c r="G4" s="142"/>
      <c r="H4" s="142"/>
      <c r="I4" s="142"/>
      <c r="J4" s="142"/>
    </row>
    <row r="5" spans="1:10" s="3" customFormat="1" ht="21.75" customHeight="1">
      <c r="A5" s="93" t="s">
        <v>268</v>
      </c>
      <c r="B5" s="94"/>
      <c r="C5" s="94"/>
      <c r="D5" s="94"/>
      <c r="E5" s="94"/>
      <c r="F5" s="94"/>
      <c r="G5" s="94"/>
      <c r="H5" s="94"/>
      <c r="I5" s="94"/>
      <c r="J5" s="95"/>
    </row>
    <row r="6" spans="1:10" s="3" customFormat="1" ht="15.75" customHeight="1">
      <c r="A6" s="219" t="s">
        <v>286</v>
      </c>
      <c r="B6" s="237"/>
      <c r="C6" s="237"/>
      <c r="D6" s="237"/>
      <c r="E6" s="237"/>
      <c r="F6" s="237"/>
      <c r="G6" s="237"/>
      <c r="H6" s="237"/>
      <c r="I6" s="237"/>
      <c r="J6" s="238"/>
    </row>
    <row r="7" spans="1:10" s="3" customFormat="1" ht="15.75" customHeight="1">
      <c r="A7" s="242"/>
      <c r="B7" s="243"/>
      <c r="C7" s="243"/>
      <c r="D7" s="243"/>
      <c r="E7" s="243"/>
      <c r="F7" s="243"/>
      <c r="G7" s="243"/>
      <c r="H7" s="243"/>
      <c r="I7" s="243"/>
      <c r="J7" s="244"/>
    </row>
    <row r="8" spans="1:10" s="3" customFormat="1" ht="15.75" customHeight="1">
      <c r="A8" s="219"/>
      <c r="B8" s="220"/>
      <c r="C8" s="220"/>
      <c r="D8" s="220"/>
      <c r="E8" s="220"/>
      <c r="F8" s="220"/>
      <c r="G8" s="220"/>
      <c r="H8" s="220"/>
      <c r="I8" s="220"/>
      <c r="J8" s="221"/>
    </row>
    <row r="9" spans="1:10" s="3" customFormat="1" ht="15.75" customHeight="1">
      <c r="A9" s="225"/>
      <c r="B9" s="226"/>
      <c r="C9" s="226"/>
      <c r="D9" s="226"/>
      <c r="E9" s="226"/>
      <c r="F9" s="226"/>
      <c r="G9" s="226"/>
      <c r="H9" s="226"/>
      <c r="I9" s="226"/>
      <c r="J9" s="227"/>
    </row>
    <row r="10" spans="1:10" s="3" customFormat="1" ht="15.75" customHeight="1">
      <c r="A10" s="219"/>
      <c r="B10" s="220"/>
      <c r="C10" s="220"/>
      <c r="D10" s="220"/>
      <c r="E10" s="220"/>
      <c r="F10" s="220"/>
      <c r="G10" s="220"/>
      <c r="H10" s="220"/>
      <c r="I10" s="220"/>
      <c r="J10" s="221"/>
    </row>
    <row r="11" spans="1:10" s="3" customFormat="1" ht="15.75" customHeight="1">
      <c r="A11" s="225"/>
      <c r="B11" s="226"/>
      <c r="C11" s="226"/>
      <c r="D11" s="226"/>
      <c r="E11" s="226"/>
      <c r="F11" s="226"/>
      <c r="G11" s="226"/>
      <c r="H11" s="226"/>
      <c r="I11" s="226"/>
      <c r="J11" s="227"/>
    </row>
    <row r="12" spans="1:10" s="3" customFormat="1" ht="13.9"/>
    <row r="13" spans="1:10" s="92" customFormat="1" ht="33.75" customHeight="1">
      <c r="A13" s="355" t="s">
        <v>270</v>
      </c>
      <c r="B13" s="356"/>
      <c r="C13" s="356"/>
      <c r="D13" s="356"/>
      <c r="E13" s="356"/>
      <c r="F13" s="356"/>
      <c r="G13" s="356"/>
      <c r="H13" s="356"/>
      <c r="I13" s="356"/>
      <c r="J13" s="357"/>
    </row>
    <row r="14" spans="1:10" ht="15.75" customHeight="1">
      <c r="A14" s="358" t="s">
        <v>271</v>
      </c>
      <c r="B14" s="360"/>
      <c r="C14" s="358" t="s">
        <v>261</v>
      </c>
      <c r="D14" s="359"/>
      <c r="E14" s="359"/>
      <c r="F14" s="359"/>
      <c r="G14" s="359"/>
      <c r="H14" s="359"/>
      <c r="I14" s="359"/>
      <c r="J14" s="359"/>
    </row>
    <row r="15" spans="1:10" ht="15.75" customHeight="1">
      <c r="A15" s="219"/>
      <c r="B15" s="221"/>
      <c r="C15" s="361"/>
      <c r="D15" s="237"/>
      <c r="E15" s="237"/>
      <c r="F15" s="237"/>
      <c r="G15" s="237"/>
      <c r="H15" s="237"/>
      <c r="I15" s="237"/>
      <c r="J15" s="238"/>
    </row>
    <row r="16" spans="1:10" ht="15.75" customHeight="1">
      <c r="A16" s="225"/>
      <c r="B16" s="227"/>
      <c r="C16" s="242"/>
      <c r="D16" s="243"/>
      <c r="E16" s="243"/>
      <c r="F16" s="243"/>
      <c r="G16" s="243"/>
      <c r="H16" s="243"/>
      <c r="I16" s="243"/>
      <c r="J16" s="244"/>
    </row>
    <row r="17" spans="1:10" ht="15.75" customHeight="1">
      <c r="A17" s="361"/>
      <c r="B17" s="238"/>
      <c r="C17" s="361"/>
      <c r="D17" s="237"/>
      <c r="E17" s="237"/>
      <c r="F17" s="237"/>
      <c r="G17" s="237"/>
      <c r="H17" s="237"/>
      <c r="I17" s="237"/>
      <c r="J17" s="238"/>
    </row>
    <row r="18" spans="1:10" ht="15.75" customHeight="1">
      <c r="A18" s="242"/>
      <c r="B18" s="244"/>
      <c r="C18" s="242"/>
      <c r="D18" s="243"/>
      <c r="E18" s="243"/>
      <c r="F18" s="243"/>
      <c r="G18" s="243"/>
      <c r="H18" s="243"/>
      <c r="I18" s="243"/>
      <c r="J18" s="244"/>
    </row>
    <row r="19" spans="1:10" ht="15.75" customHeight="1">
      <c r="A19" s="361"/>
      <c r="B19" s="238"/>
      <c r="C19" s="361"/>
      <c r="D19" s="237"/>
      <c r="E19" s="237"/>
      <c r="F19" s="237"/>
      <c r="G19" s="237"/>
      <c r="H19" s="237"/>
      <c r="I19" s="237"/>
      <c r="J19" s="238"/>
    </row>
    <row r="20" spans="1:10" ht="15.75" customHeight="1">
      <c r="A20" s="242"/>
      <c r="B20" s="244"/>
      <c r="C20" s="242"/>
      <c r="D20" s="243"/>
      <c r="E20" s="243"/>
      <c r="F20" s="243"/>
      <c r="G20" s="243"/>
      <c r="H20" s="243"/>
      <c r="I20" s="243"/>
      <c r="J20" s="244"/>
    </row>
    <row r="22" spans="1:10" ht="22.5" customHeight="1">
      <c r="A22" s="370" t="s">
        <v>287</v>
      </c>
      <c r="B22" s="371"/>
      <c r="C22" s="371"/>
      <c r="D22" s="371"/>
      <c r="E22" s="371"/>
      <c r="F22" s="371"/>
      <c r="G22" s="371"/>
      <c r="H22" s="371"/>
      <c r="I22" s="371"/>
      <c r="J22" s="371"/>
    </row>
    <row r="23" spans="1:10" ht="19.5" customHeight="1">
      <c r="A23" s="372" t="s">
        <v>182</v>
      </c>
      <c r="B23" s="373"/>
      <c r="C23" s="374"/>
      <c r="D23" s="375" t="s">
        <v>288</v>
      </c>
      <c r="E23" s="376"/>
      <c r="F23" s="377"/>
      <c r="G23" s="100" t="s">
        <v>274</v>
      </c>
      <c r="H23" s="100" t="s">
        <v>289</v>
      </c>
      <c r="I23" s="100" t="s">
        <v>290</v>
      </c>
      <c r="J23" s="100" t="s">
        <v>291</v>
      </c>
    </row>
    <row r="24" spans="1:10">
      <c r="A24" s="378"/>
      <c r="B24" s="379"/>
      <c r="C24" s="380"/>
      <c r="D24" s="381"/>
      <c r="E24" s="382"/>
      <c r="F24" s="383"/>
      <c r="G24" s="102"/>
      <c r="H24" s="102"/>
      <c r="I24" s="102"/>
      <c r="J24" s="102"/>
    </row>
    <row r="25" spans="1:10">
      <c r="A25" s="378"/>
      <c r="B25" s="379"/>
      <c r="C25" s="380"/>
      <c r="D25" s="381"/>
      <c r="E25" s="382"/>
      <c r="F25" s="383"/>
      <c r="G25" s="102"/>
      <c r="H25" s="102"/>
      <c r="I25" s="102"/>
      <c r="J25" s="102"/>
    </row>
    <row r="26" spans="1:10">
      <c r="A26" s="378"/>
      <c r="B26" s="379"/>
      <c r="C26" s="380"/>
      <c r="D26" s="381"/>
      <c r="E26" s="382"/>
      <c r="F26" s="383"/>
      <c r="G26" s="102"/>
      <c r="H26" s="102"/>
      <c r="I26" s="102"/>
      <c r="J26" s="102"/>
    </row>
    <row r="27" spans="1:10">
      <c r="A27" s="378"/>
      <c r="B27" s="379"/>
      <c r="C27" s="380"/>
      <c r="D27" s="381"/>
      <c r="E27" s="382"/>
      <c r="F27" s="383"/>
      <c r="G27" s="102"/>
      <c r="H27" s="102"/>
      <c r="I27" s="102"/>
      <c r="J27" s="102"/>
    </row>
    <row r="28" spans="1:10">
      <c r="A28" s="378"/>
      <c r="B28" s="379"/>
      <c r="C28" s="380"/>
      <c r="D28" s="381"/>
      <c r="E28" s="382"/>
      <c r="F28" s="383"/>
      <c r="G28" s="102"/>
      <c r="H28" s="102"/>
      <c r="I28" s="102"/>
      <c r="J28" s="102"/>
    </row>
    <row r="29" spans="1:10">
      <c r="A29" s="378"/>
      <c r="B29" s="379"/>
      <c r="C29" s="380"/>
      <c r="D29" s="381"/>
      <c r="E29" s="382"/>
      <c r="F29" s="383"/>
      <c r="G29" s="102"/>
      <c r="H29" s="102"/>
      <c r="I29" s="102"/>
      <c r="J29" s="102"/>
    </row>
    <row r="30" spans="1:10">
      <c r="A30" s="384"/>
      <c r="B30" s="384"/>
      <c r="C30" s="384"/>
      <c r="D30" s="381"/>
      <c r="E30" s="382"/>
      <c r="F30" s="383"/>
      <c r="G30" s="102"/>
      <c r="H30" s="102"/>
      <c r="I30" s="102"/>
      <c r="J30" s="102"/>
    </row>
    <row r="31" spans="1:10">
      <c r="A31" s="14"/>
      <c r="B31" s="14"/>
      <c r="C31" s="14"/>
      <c r="D31" s="14"/>
      <c r="E31" s="14"/>
      <c r="F31" s="14"/>
      <c r="G31" s="14"/>
      <c r="H31" s="14"/>
      <c r="I31" s="14"/>
      <c r="J31" s="14"/>
    </row>
    <row r="32" spans="1:10">
      <c r="A32" s="14"/>
      <c r="B32" s="14"/>
      <c r="C32" s="14"/>
      <c r="D32" s="14"/>
      <c r="E32" s="14"/>
      <c r="F32" s="14"/>
      <c r="G32" s="14"/>
      <c r="H32" s="14"/>
      <c r="I32" s="14"/>
      <c r="J32" s="14"/>
    </row>
    <row r="33" spans="1:10">
      <c r="A33" s="14"/>
      <c r="B33" s="14"/>
      <c r="C33" s="14"/>
      <c r="D33" s="14"/>
      <c r="E33" s="14"/>
      <c r="F33" s="14"/>
      <c r="G33" s="14"/>
      <c r="H33" s="14"/>
      <c r="I33" s="14"/>
      <c r="J33" s="14"/>
    </row>
    <row r="66" spans="6:6">
      <c r="F66" s="3"/>
    </row>
  </sheetData>
  <mergeCells count="29">
    <mergeCell ref="A30:C30"/>
    <mergeCell ref="D30:F30"/>
    <mergeCell ref="A27:C27"/>
    <mergeCell ref="D27:F27"/>
    <mergeCell ref="A28:C28"/>
    <mergeCell ref="D28:F28"/>
    <mergeCell ref="A29:C29"/>
    <mergeCell ref="D29:F29"/>
    <mergeCell ref="A24:C24"/>
    <mergeCell ref="D24:F24"/>
    <mergeCell ref="A25:C25"/>
    <mergeCell ref="D25:F25"/>
    <mergeCell ref="A26:C26"/>
    <mergeCell ref="D26:F26"/>
    <mergeCell ref="A22:J22"/>
    <mergeCell ref="A23:C23"/>
    <mergeCell ref="D23:F23"/>
    <mergeCell ref="A15:B16"/>
    <mergeCell ref="C15:J16"/>
    <mergeCell ref="A17:B18"/>
    <mergeCell ref="C17:J18"/>
    <mergeCell ref="A19:B20"/>
    <mergeCell ref="C19:J20"/>
    <mergeCell ref="A6:J7"/>
    <mergeCell ref="A8:J9"/>
    <mergeCell ref="A10:J11"/>
    <mergeCell ref="A13:J13"/>
    <mergeCell ref="A14:B14"/>
    <mergeCell ref="C14:J14"/>
  </mergeCells>
  <pageMargins left="0.7" right="0.7" top="0.75" bottom="0.75" header="0.3" footer="0.3"/>
  <pageSetup paperSize="9" scale="87" orientation="portrait"/>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showGridLines="0" topLeftCell="A36" zoomScaleNormal="100" workbookViewId="0">
      <selection activeCell="A40" sqref="A40:J41"/>
    </sheetView>
  </sheetViews>
  <sheetFormatPr defaultColWidth="9.28515625" defaultRowHeight="15"/>
  <cols>
    <col min="1" max="1" width="9.28515625" style="2" customWidth="1"/>
    <col min="2" max="2" width="14.5703125" style="2" bestFit="1" customWidth="1"/>
    <col min="3" max="9" width="9.28515625" style="2"/>
    <col min="10" max="10" width="10.42578125" style="2" customWidth="1"/>
    <col min="11" max="16384" width="9.28515625" style="2"/>
  </cols>
  <sheetData>
    <row r="1" spans="1:16">
      <c r="A1" s="142" t="str">
        <f>+'Cover Page'!$B$29</f>
        <v>Annual Performance Report 2022</v>
      </c>
      <c r="B1" s="142"/>
      <c r="C1" s="142"/>
      <c r="D1" s="142"/>
      <c r="E1" s="142" t="str">
        <f>+'Cover Page'!$B$33</f>
        <v>Name of Facility: Thalia MK ODC Limited</v>
      </c>
      <c r="F1" s="142"/>
      <c r="G1" s="142"/>
      <c r="H1" s="142"/>
      <c r="I1" s="142"/>
      <c r="J1" s="142"/>
      <c r="K1" s="142"/>
      <c r="L1" s="142"/>
      <c r="M1" s="142"/>
      <c r="N1" s="142"/>
      <c r="O1" s="142"/>
      <c r="P1" s="142"/>
    </row>
    <row r="2" spans="1:16" ht="7.5" customHeight="1">
      <c r="A2" s="142"/>
      <c r="B2" s="142"/>
      <c r="C2" s="142"/>
      <c r="D2" s="142"/>
      <c r="E2" s="142"/>
      <c r="F2" s="142"/>
      <c r="G2" s="142"/>
      <c r="H2" s="142"/>
      <c r="I2" s="142"/>
      <c r="J2" s="142"/>
      <c r="K2" s="142"/>
      <c r="L2" s="142"/>
      <c r="M2" s="142"/>
      <c r="N2" s="142"/>
      <c r="O2" s="142"/>
      <c r="P2" s="142"/>
    </row>
    <row r="3" spans="1:16" ht="15.6">
      <c r="A3" s="1" t="s">
        <v>39</v>
      </c>
      <c r="B3" s="142"/>
      <c r="C3" s="142"/>
      <c r="D3" s="142"/>
      <c r="E3" s="142"/>
      <c r="F3" s="142"/>
      <c r="G3" s="142"/>
      <c r="H3" s="142"/>
      <c r="I3" s="142"/>
      <c r="J3" s="142"/>
      <c r="K3" s="142"/>
      <c r="L3" s="142"/>
      <c r="M3" s="142"/>
      <c r="N3" s="142"/>
      <c r="O3" s="142"/>
      <c r="P3" s="142"/>
    </row>
    <row r="4" spans="1:16" ht="9.75" customHeight="1">
      <c r="A4" s="1"/>
      <c r="B4" s="142"/>
      <c r="C4" s="142"/>
      <c r="D4" s="142"/>
      <c r="E4" s="142"/>
      <c r="F4" s="142"/>
      <c r="G4" s="142"/>
      <c r="H4" s="142"/>
      <c r="I4" s="142"/>
      <c r="J4" s="142"/>
      <c r="K4" s="142"/>
      <c r="L4" s="142"/>
      <c r="M4" s="142"/>
      <c r="N4" s="142"/>
      <c r="O4" s="142"/>
      <c r="P4" s="142"/>
    </row>
    <row r="5" spans="1:16" s="3" customFormat="1" ht="21.75" customHeight="1">
      <c r="A5" s="93" t="s">
        <v>292</v>
      </c>
      <c r="B5" s="94"/>
      <c r="C5" s="94"/>
      <c r="D5" s="94"/>
      <c r="E5" s="94"/>
      <c r="F5" s="94"/>
      <c r="G5" s="94"/>
      <c r="H5" s="94"/>
      <c r="I5" s="94"/>
      <c r="J5" s="95"/>
      <c r="M5" s="135" t="s">
        <v>3</v>
      </c>
    </row>
    <row r="6" spans="1:16" s="3" customFormat="1" ht="15.75" customHeight="1">
      <c r="A6" s="219" t="s">
        <v>293</v>
      </c>
      <c r="B6" s="237"/>
      <c r="C6" s="237"/>
      <c r="D6" s="237"/>
      <c r="E6" s="237"/>
      <c r="F6" s="237"/>
      <c r="G6" s="237"/>
      <c r="H6" s="237"/>
      <c r="I6" s="237"/>
      <c r="J6" s="238"/>
      <c r="M6" s="385" t="s">
        <v>294</v>
      </c>
      <c r="N6" s="385"/>
      <c r="O6" s="385"/>
      <c r="P6" s="385"/>
    </row>
    <row r="7" spans="1:16" s="3" customFormat="1" ht="38.25" customHeight="1">
      <c r="A7" s="242"/>
      <c r="B7" s="243"/>
      <c r="C7" s="243"/>
      <c r="D7" s="243"/>
      <c r="E7" s="243"/>
      <c r="F7" s="243"/>
      <c r="G7" s="243"/>
      <c r="H7" s="243"/>
      <c r="I7" s="243"/>
      <c r="J7" s="244"/>
      <c r="M7" s="385"/>
      <c r="N7" s="385"/>
      <c r="O7" s="385"/>
      <c r="P7" s="385"/>
    </row>
    <row r="8" spans="1:16" s="3" customFormat="1" ht="13.9">
      <c r="M8" s="385"/>
      <c r="N8" s="385"/>
      <c r="O8" s="385"/>
      <c r="P8" s="385"/>
    </row>
    <row r="9" spans="1:16" s="104" customFormat="1" ht="16.5" customHeight="1">
      <c r="A9" s="364" t="s">
        <v>295</v>
      </c>
      <c r="B9" s="364"/>
      <c r="C9" s="364"/>
      <c r="D9" s="364"/>
      <c r="E9" s="364"/>
      <c r="F9" s="364"/>
      <c r="G9" s="364"/>
      <c r="H9" s="364"/>
      <c r="I9" s="364"/>
      <c r="J9" s="364"/>
      <c r="M9" s="385"/>
      <c r="N9" s="385"/>
      <c r="O9" s="385"/>
      <c r="P9" s="385"/>
    </row>
    <row r="10" spans="1:16" s="104" customFormat="1" ht="16.5" customHeight="1">
      <c r="A10" s="386" t="s">
        <v>212</v>
      </c>
      <c r="B10" s="387"/>
      <c r="C10" s="397" t="s">
        <v>296</v>
      </c>
      <c r="D10" s="393" t="s">
        <v>297</v>
      </c>
      <c r="E10" s="394"/>
      <c r="F10" s="390" t="s">
        <v>291</v>
      </c>
      <c r="G10" s="391"/>
      <c r="H10" s="391"/>
      <c r="I10" s="391"/>
      <c r="J10" s="392"/>
      <c r="M10" s="385" t="s">
        <v>298</v>
      </c>
      <c r="N10" s="385"/>
      <c r="O10" s="385"/>
      <c r="P10" s="385"/>
    </row>
    <row r="11" spans="1:16" s="14" customFormat="1" ht="17.25" customHeight="1">
      <c r="A11" s="388"/>
      <c r="B11" s="389"/>
      <c r="C11" s="398"/>
      <c r="D11" s="395"/>
      <c r="E11" s="396"/>
      <c r="F11" s="90" t="s">
        <v>184</v>
      </c>
      <c r="G11" s="90" t="s">
        <v>185</v>
      </c>
      <c r="H11" s="90" t="s">
        <v>186</v>
      </c>
      <c r="I11" s="90" t="s">
        <v>299</v>
      </c>
      <c r="J11" s="90" t="s">
        <v>300</v>
      </c>
      <c r="M11" s="385"/>
      <c r="N11" s="385"/>
      <c r="O11" s="385"/>
      <c r="P11" s="385"/>
    </row>
    <row r="12" spans="1:16" s="14" customFormat="1" ht="23.25" customHeight="1">
      <c r="A12" s="245" t="s">
        <v>223</v>
      </c>
      <c r="B12" s="245"/>
      <c r="C12" s="99" t="s">
        <v>301</v>
      </c>
      <c r="D12" s="318" t="s">
        <v>302</v>
      </c>
      <c r="E12" s="318"/>
      <c r="F12" s="102" t="s">
        <v>303</v>
      </c>
      <c r="G12" s="102" t="s">
        <v>303</v>
      </c>
      <c r="H12" s="102"/>
      <c r="I12" s="102"/>
      <c r="J12" s="102"/>
      <c r="M12" s="385"/>
      <c r="N12" s="385"/>
      <c r="O12" s="385"/>
      <c r="P12" s="385"/>
    </row>
    <row r="13" spans="1:16" s="14" customFormat="1" ht="23.25" customHeight="1">
      <c r="A13" s="245" t="s">
        <v>304</v>
      </c>
      <c r="B13" s="245"/>
      <c r="C13" s="99" t="s">
        <v>305</v>
      </c>
      <c r="D13" s="318" t="s">
        <v>306</v>
      </c>
      <c r="E13" s="318"/>
      <c r="F13" s="102" t="s">
        <v>307</v>
      </c>
      <c r="G13" s="102" t="s">
        <v>307</v>
      </c>
      <c r="H13" s="102"/>
      <c r="I13" s="102"/>
      <c r="J13" s="102"/>
    </row>
    <row r="14" spans="1:16" s="14" customFormat="1" ht="23.25" customHeight="1">
      <c r="A14" s="245" t="s">
        <v>308</v>
      </c>
      <c r="B14" s="245"/>
      <c r="C14" s="99" t="s">
        <v>305</v>
      </c>
      <c r="D14" s="318" t="s">
        <v>306</v>
      </c>
      <c r="E14" s="318"/>
      <c r="F14" s="102">
        <v>1E-3</v>
      </c>
      <c r="G14" s="102">
        <v>1E-3</v>
      </c>
      <c r="H14" s="102"/>
      <c r="I14" s="102"/>
      <c r="J14" s="102"/>
    </row>
    <row r="15" spans="1:16" s="14" customFormat="1" ht="36.75" customHeight="1">
      <c r="A15" s="245" t="s">
        <v>309</v>
      </c>
      <c r="B15" s="245"/>
      <c r="C15" s="99" t="s">
        <v>305</v>
      </c>
      <c r="D15" s="318" t="s">
        <v>310</v>
      </c>
      <c r="E15" s="318"/>
      <c r="F15" s="102">
        <v>1.2999999999999999E-2</v>
      </c>
      <c r="G15" s="102">
        <v>0.01</v>
      </c>
      <c r="H15" s="102"/>
      <c r="I15" s="102"/>
      <c r="J15" s="102"/>
    </row>
    <row r="16" spans="1:16" s="14" customFormat="1" ht="23.25" customHeight="1">
      <c r="A16" s="245" t="s">
        <v>311</v>
      </c>
      <c r="B16" s="245"/>
      <c r="C16" s="99" t="s">
        <v>305</v>
      </c>
      <c r="D16" s="318" t="s">
        <v>312</v>
      </c>
      <c r="E16" s="318"/>
      <c r="F16" s="102">
        <v>5.0000000000000001E-3</v>
      </c>
      <c r="G16" s="102">
        <v>6.0000000000000001E-3</v>
      </c>
      <c r="H16" s="102"/>
      <c r="I16" s="102"/>
      <c r="J16" s="102"/>
    </row>
    <row r="17" spans="1:10" s="14" customFormat="1" ht="23.25" customHeight="1">
      <c r="A17" s="245" t="s">
        <v>313</v>
      </c>
      <c r="B17" s="245"/>
      <c r="C17" s="99" t="s">
        <v>305</v>
      </c>
      <c r="D17" s="318" t="s">
        <v>314</v>
      </c>
      <c r="E17" s="318"/>
      <c r="F17" s="102">
        <v>1.16E-3</v>
      </c>
      <c r="G17" s="102">
        <v>1.6299999999999999E-3</v>
      </c>
      <c r="H17" s="102"/>
      <c r="I17" s="102"/>
      <c r="J17" s="102"/>
    </row>
    <row r="18" spans="1:10" s="14" customFormat="1" ht="23.25" customHeight="1">
      <c r="A18" s="245" t="s">
        <v>315</v>
      </c>
      <c r="B18" s="245"/>
      <c r="C18" s="99" t="s">
        <v>305</v>
      </c>
      <c r="D18" s="318" t="s">
        <v>314</v>
      </c>
      <c r="E18" s="318"/>
      <c r="F18" s="102">
        <v>5.0000000000000002E-5</v>
      </c>
      <c r="G18" s="102">
        <v>6.9999999999999994E-5</v>
      </c>
      <c r="H18" s="102"/>
      <c r="I18" s="102"/>
      <c r="J18" s="102"/>
    </row>
    <row r="19" spans="1:10" s="14" customFormat="1" ht="23.25" customHeight="1">
      <c r="A19" s="245" t="s">
        <v>316</v>
      </c>
      <c r="B19" s="245"/>
      <c r="C19" s="99" t="s">
        <v>305</v>
      </c>
      <c r="D19" s="318" t="s">
        <v>314</v>
      </c>
      <c r="E19" s="318"/>
      <c r="F19" s="102">
        <v>1.6900000000000001E-3</v>
      </c>
      <c r="G19" s="102">
        <v>2.5000000000000001E-3</v>
      </c>
      <c r="H19" s="102"/>
      <c r="I19" s="102"/>
      <c r="J19" s="102"/>
    </row>
    <row r="20" spans="1:10" s="14" customFormat="1" ht="23.25" customHeight="1">
      <c r="A20" s="245" t="s">
        <v>317</v>
      </c>
      <c r="B20" s="245"/>
      <c r="C20" s="99" t="s">
        <v>305</v>
      </c>
      <c r="D20" s="318" t="s">
        <v>314</v>
      </c>
      <c r="E20" s="318"/>
      <c r="F20" s="102">
        <v>5.0000000000000001E-3</v>
      </c>
      <c r="G20" s="102">
        <v>7.0000000000000001E-3</v>
      </c>
      <c r="H20" s="102"/>
      <c r="I20" s="102"/>
      <c r="J20" s="102"/>
    </row>
    <row r="21" spans="1:10" s="14" customFormat="1" ht="23.25" customHeight="1">
      <c r="A21" s="245" t="s">
        <v>318</v>
      </c>
      <c r="B21" s="245"/>
      <c r="C21" s="99" t="s">
        <v>305</v>
      </c>
      <c r="D21" s="318" t="s">
        <v>314</v>
      </c>
      <c r="E21" s="318"/>
      <c r="F21" s="102">
        <v>6.0000000000000001E-3</v>
      </c>
      <c r="G21" s="102">
        <v>7.0000000000000001E-3</v>
      </c>
      <c r="H21" s="102"/>
      <c r="I21" s="102"/>
      <c r="J21" s="102"/>
    </row>
    <row r="22" spans="1:10" s="14" customFormat="1" ht="23.25" customHeight="1">
      <c r="A22" s="245" t="s">
        <v>319</v>
      </c>
      <c r="B22" s="245"/>
      <c r="C22" s="99" t="s">
        <v>305</v>
      </c>
      <c r="D22" s="318" t="s">
        <v>314</v>
      </c>
      <c r="E22" s="318"/>
      <c r="F22" s="102">
        <v>8.9999999999999993E-3</v>
      </c>
      <c r="G22" s="102">
        <v>1.0999999999999999E-2</v>
      </c>
      <c r="H22" s="102"/>
      <c r="I22" s="102"/>
      <c r="J22" s="102"/>
    </row>
    <row r="23" spans="1:10" s="14" customFormat="1" ht="23.25" customHeight="1">
      <c r="A23" s="245" t="s">
        <v>320</v>
      </c>
      <c r="B23" s="245"/>
      <c r="C23" s="99" t="s">
        <v>305</v>
      </c>
      <c r="D23" s="318" t="s">
        <v>321</v>
      </c>
      <c r="E23" s="318"/>
      <c r="F23" s="102" t="s">
        <v>307</v>
      </c>
      <c r="G23" s="102" t="s">
        <v>307</v>
      </c>
      <c r="H23" s="102"/>
      <c r="I23" s="102"/>
      <c r="J23" s="102"/>
    </row>
    <row r="24" spans="1:10" s="14" customFormat="1" ht="23.25" customHeight="1">
      <c r="A24" s="245" t="s">
        <v>322</v>
      </c>
      <c r="B24" s="245"/>
      <c r="C24" s="99" t="s">
        <v>305</v>
      </c>
      <c r="D24" s="318" t="s">
        <v>321</v>
      </c>
      <c r="E24" s="318"/>
      <c r="F24" s="102" t="s">
        <v>307</v>
      </c>
      <c r="G24" s="102" t="s">
        <v>307</v>
      </c>
      <c r="H24" s="102"/>
      <c r="I24" s="102"/>
      <c r="J24" s="102"/>
    </row>
    <row r="25" spans="1:10" s="14" customFormat="1" ht="23.25" customHeight="1">
      <c r="A25" s="245" t="s">
        <v>323</v>
      </c>
      <c r="B25" s="245"/>
      <c r="C25" s="99" t="s">
        <v>305</v>
      </c>
      <c r="D25" s="318" t="s">
        <v>321</v>
      </c>
      <c r="E25" s="318"/>
      <c r="F25" s="102" t="s">
        <v>307</v>
      </c>
      <c r="G25" s="102" t="s">
        <v>307</v>
      </c>
      <c r="H25" s="102"/>
      <c r="I25" s="102"/>
      <c r="J25" s="102"/>
    </row>
    <row r="26" spans="1:10" s="14" customFormat="1" ht="23.25" customHeight="1">
      <c r="A26" s="245" t="s">
        <v>324</v>
      </c>
      <c r="B26" s="245"/>
      <c r="C26" s="99" t="s">
        <v>305</v>
      </c>
      <c r="D26" s="318" t="s">
        <v>321</v>
      </c>
      <c r="E26" s="318"/>
      <c r="F26" s="102" t="s">
        <v>307</v>
      </c>
      <c r="G26" s="102" t="s">
        <v>307</v>
      </c>
      <c r="H26" s="102"/>
      <c r="I26" s="102"/>
      <c r="J26" s="102"/>
    </row>
    <row r="27" spans="1:10" s="14" customFormat="1" ht="23.25" customHeight="1">
      <c r="A27" s="245" t="s">
        <v>325</v>
      </c>
      <c r="B27" s="245"/>
      <c r="C27" s="99" t="s">
        <v>305</v>
      </c>
      <c r="D27" s="318" t="s">
        <v>321</v>
      </c>
      <c r="E27" s="318"/>
      <c r="F27" s="102">
        <v>3.0000000000000001E-3</v>
      </c>
      <c r="G27" s="102" t="s">
        <v>307</v>
      </c>
      <c r="H27" s="102"/>
      <c r="I27" s="102"/>
      <c r="J27" s="102"/>
    </row>
    <row r="28" spans="1:10" s="14" customFormat="1" ht="23.25" customHeight="1">
      <c r="A28" s="245" t="s">
        <v>326</v>
      </c>
      <c r="B28" s="245"/>
      <c r="C28" s="99" t="s">
        <v>305</v>
      </c>
      <c r="D28" s="318" t="s">
        <v>321</v>
      </c>
      <c r="E28" s="318"/>
      <c r="F28" s="102" t="s">
        <v>307</v>
      </c>
      <c r="G28" s="102" t="s">
        <v>307</v>
      </c>
      <c r="H28" s="102"/>
      <c r="I28" s="102"/>
      <c r="J28" s="102"/>
    </row>
    <row r="29" spans="1:10" s="14" customFormat="1" ht="23.25" customHeight="1">
      <c r="A29" s="245" t="s">
        <v>327</v>
      </c>
      <c r="B29" s="245"/>
      <c r="C29" s="99" t="s">
        <v>305</v>
      </c>
      <c r="D29" s="318" t="s">
        <v>321</v>
      </c>
      <c r="E29" s="318"/>
      <c r="F29" s="102" t="s">
        <v>307</v>
      </c>
      <c r="G29" s="102" t="s">
        <v>307</v>
      </c>
      <c r="H29" s="102"/>
      <c r="I29" s="102"/>
      <c r="J29" s="102"/>
    </row>
    <row r="30" spans="1:10" s="14" customFormat="1" ht="23.25" customHeight="1">
      <c r="A30" s="245" t="s">
        <v>328</v>
      </c>
      <c r="B30" s="245"/>
      <c r="C30" s="99" t="s">
        <v>305</v>
      </c>
      <c r="D30" s="318" t="s">
        <v>321</v>
      </c>
      <c r="E30" s="318"/>
      <c r="F30" s="102" t="s">
        <v>307</v>
      </c>
      <c r="G30" s="102" t="s">
        <v>307</v>
      </c>
      <c r="H30" s="102"/>
      <c r="I30" s="102"/>
      <c r="J30" s="102"/>
    </row>
    <row r="31" spans="1:10" s="14" customFormat="1" ht="23.25" customHeight="1">
      <c r="A31" s="245" t="s">
        <v>329</v>
      </c>
      <c r="B31" s="245"/>
      <c r="C31" s="99" t="s">
        <v>305</v>
      </c>
      <c r="D31" s="318" t="s">
        <v>321</v>
      </c>
      <c r="E31" s="318"/>
      <c r="F31" s="102" t="s">
        <v>307</v>
      </c>
      <c r="G31" s="102" t="s">
        <v>307</v>
      </c>
      <c r="H31" s="102"/>
      <c r="I31" s="102"/>
      <c r="J31" s="102"/>
    </row>
    <row r="32" spans="1:10" s="14" customFormat="1" ht="23.25" customHeight="1">
      <c r="A32" s="245" t="s">
        <v>330</v>
      </c>
      <c r="B32" s="245"/>
      <c r="C32" s="99" t="s">
        <v>305</v>
      </c>
      <c r="D32" s="318" t="s">
        <v>321</v>
      </c>
      <c r="E32" s="318"/>
      <c r="F32" s="102">
        <v>3.0000000000000001E-3</v>
      </c>
      <c r="G32" s="102">
        <v>2E-3</v>
      </c>
      <c r="H32" s="102"/>
      <c r="I32" s="102"/>
      <c r="J32" s="102"/>
    </row>
    <row r="33" spans="1:10" s="14" customFormat="1" ht="23.25" customHeight="1">
      <c r="A33" s="245" t="s">
        <v>331</v>
      </c>
      <c r="B33" s="245"/>
      <c r="C33" s="99" t="s">
        <v>305</v>
      </c>
      <c r="D33" s="318" t="s">
        <v>321</v>
      </c>
      <c r="E33" s="318"/>
      <c r="F33" s="102" t="s">
        <v>307</v>
      </c>
      <c r="G33" s="102" t="s">
        <v>307</v>
      </c>
      <c r="H33" s="102"/>
      <c r="I33" s="102"/>
      <c r="J33" s="102"/>
    </row>
    <row r="34" spans="1:10" s="14" customFormat="1" ht="23.25" customHeight="1">
      <c r="A34" s="245" t="s">
        <v>332</v>
      </c>
      <c r="B34" s="245"/>
      <c r="C34" s="99" t="s">
        <v>305</v>
      </c>
      <c r="D34" s="318" t="s">
        <v>321</v>
      </c>
      <c r="E34" s="318"/>
      <c r="F34" s="102" t="s">
        <v>307</v>
      </c>
      <c r="G34" s="102" t="s">
        <v>307</v>
      </c>
      <c r="H34" s="102"/>
      <c r="I34" s="102"/>
      <c r="J34" s="102"/>
    </row>
    <row r="35" spans="1:10" s="14" customFormat="1" ht="23.25" customHeight="1">
      <c r="A35" s="245" t="s">
        <v>333</v>
      </c>
      <c r="B35" s="245"/>
      <c r="C35" s="99" t="s">
        <v>305</v>
      </c>
      <c r="D35" s="318" t="s">
        <v>321</v>
      </c>
      <c r="E35" s="318"/>
      <c r="F35" s="102" t="s">
        <v>307</v>
      </c>
      <c r="G35" s="102" t="s">
        <v>307</v>
      </c>
      <c r="H35" s="102"/>
      <c r="I35" s="102"/>
      <c r="J35" s="102"/>
    </row>
    <row r="36" spans="1:10" s="14" customFormat="1" ht="23.25" customHeight="1">
      <c r="A36" s="245" t="s">
        <v>334</v>
      </c>
      <c r="B36" s="245"/>
      <c r="C36" s="99" t="s">
        <v>305</v>
      </c>
      <c r="D36" s="318" t="s">
        <v>321</v>
      </c>
      <c r="E36" s="318"/>
      <c r="F36" s="102">
        <v>3.1E-2</v>
      </c>
      <c r="G36" s="102">
        <v>1.6E-2</v>
      </c>
      <c r="H36" s="102"/>
      <c r="I36" s="102"/>
      <c r="J36" s="102"/>
    </row>
    <row r="37" spans="1:10" s="14" customFormat="1" ht="23.25" customHeight="1">
      <c r="A37" s="245" t="s">
        <v>335</v>
      </c>
      <c r="B37" s="245"/>
      <c r="C37" s="99" t="s">
        <v>305</v>
      </c>
      <c r="D37" s="318" t="s">
        <v>321</v>
      </c>
      <c r="E37" s="318"/>
      <c r="F37" s="102" t="s">
        <v>307</v>
      </c>
      <c r="G37" s="102" t="s">
        <v>307</v>
      </c>
      <c r="H37" s="102"/>
      <c r="I37" s="102"/>
      <c r="J37" s="102"/>
    </row>
    <row r="38" spans="1:10" s="14" customFormat="1" ht="23.25" customHeight="1">
      <c r="A38" s="245" t="s">
        <v>336</v>
      </c>
      <c r="B38" s="245"/>
      <c r="C38" s="99" t="s">
        <v>305</v>
      </c>
      <c r="D38" s="318" t="s">
        <v>321</v>
      </c>
      <c r="E38" s="318"/>
      <c r="F38" s="102">
        <v>0.36599999999999999</v>
      </c>
      <c r="G38" s="102">
        <v>0.06</v>
      </c>
      <c r="H38" s="102"/>
      <c r="I38" s="102"/>
      <c r="J38" s="102"/>
    </row>
    <row r="39" spans="1:10">
      <c r="A39" s="304" t="s">
        <v>284</v>
      </c>
      <c r="B39" s="304"/>
      <c r="C39" s="304"/>
      <c r="D39" s="304"/>
      <c r="E39" s="304"/>
      <c r="F39" s="304"/>
      <c r="G39" s="304"/>
      <c r="H39" s="304"/>
      <c r="I39" s="304"/>
      <c r="J39" s="304"/>
    </row>
    <row r="40" spans="1:10">
      <c r="A40" s="399" t="s">
        <v>337</v>
      </c>
      <c r="B40" s="399"/>
      <c r="C40" s="399"/>
      <c r="D40" s="399"/>
      <c r="E40" s="399"/>
      <c r="F40" s="399"/>
      <c r="G40" s="399"/>
      <c r="H40" s="399"/>
      <c r="I40" s="399"/>
      <c r="J40" s="399"/>
    </row>
    <row r="41" spans="1:10">
      <c r="A41" s="399"/>
      <c r="B41" s="399"/>
      <c r="C41" s="399"/>
      <c r="D41" s="399"/>
      <c r="E41" s="399"/>
      <c r="F41" s="399"/>
      <c r="G41" s="399"/>
      <c r="H41" s="399"/>
      <c r="I41" s="399"/>
      <c r="J41" s="399"/>
    </row>
    <row r="64" spans="6:6">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J10"/>
    <mergeCell ref="D10:E11"/>
    <mergeCell ref="C10:C11"/>
    <mergeCell ref="M6:P9"/>
    <mergeCell ref="M10:P12"/>
    <mergeCell ref="A9:J9"/>
    <mergeCell ref="A6:J7"/>
    <mergeCell ref="A12:B12"/>
  </mergeCells>
  <pageMargins left="0.7" right="0.7" top="0.75" bottom="0.75" header="0.3" footer="0.3"/>
  <pageSetup paperSize="9" scale="87" orientation="portrait"/>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showGridLines="0" topLeftCell="A19" zoomScaleNormal="100" workbookViewId="0">
      <selection activeCell="A30" sqref="A30:M31"/>
    </sheetView>
  </sheetViews>
  <sheetFormatPr defaultColWidth="9.28515625" defaultRowHeight="15"/>
  <cols>
    <col min="1" max="1" width="21.28515625" style="2" customWidth="1"/>
    <col min="2" max="2" width="13.7109375" style="2" customWidth="1"/>
    <col min="3" max="3" width="16.28515625" style="2" customWidth="1"/>
    <col min="4" max="12" width="9.28515625" style="2"/>
    <col min="13" max="13" width="10.42578125" style="2" customWidth="1"/>
    <col min="14" max="16384" width="9.28515625" style="2"/>
  </cols>
  <sheetData>
    <row r="1" spans="1:16">
      <c r="A1" s="142" t="str">
        <f>+'Cover Page'!$B$29</f>
        <v>Annual Performance Report 2022</v>
      </c>
      <c r="B1" s="142"/>
      <c r="C1" s="142"/>
      <c r="D1" s="142"/>
      <c r="E1" s="142"/>
      <c r="F1" s="142"/>
      <c r="G1" s="142"/>
      <c r="H1" s="142"/>
      <c r="I1" s="142" t="str">
        <f>+'Cover Page'!$B$33</f>
        <v>Name of Facility: Thalia MK ODC Limited</v>
      </c>
      <c r="J1" s="142"/>
      <c r="K1" s="142"/>
      <c r="L1" s="142"/>
      <c r="M1" s="142"/>
      <c r="N1" s="142"/>
      <c r="O1" s="142"/>
      <c r="P1" s="142"/>
    </row>
    <row r="3" spans="1:16" ht="15.6">
      <c r="A3" s="1" t="s">
        <v>338</v>
      </c>
      <c r="B3" s="142"/>
      <c r="C3" s="142"/>
      <c r="D3" s="142"/>
      <c r="E3" s="142"/>
      <c r="F3" s="142"/>
      <c r="G3" s="142"/>
      <c r="H3" s="142"/>
      <c r="I3" s="142"/>
      <c r="J3" s="142"/>
      <c r="K3" s="142"/>
      <c r="L3" s="142"/>
      <c r="M3" s="142"/>
      <c r="N3" s="142"/>
      <c r="O3" s="142"/>
      <c r="P3" s="142"/>
    </row>
    <row r="4" spans="1:16" ht="15.6">
      <c r="A4" s="1"/>
      <c r="B4" s="142"/>
      <c r="C4" s="142"/>
      <c r="D4" s="142"/>
      <c r="E4" s="142"/>
      <c r="F4" s="142"/>
      <c r="G4" s="142"/>
      <c r="H4" s="142"/>
      <c r="I4" s="142"/>
      <c r="J4" s="142"/>
      <c r="K4" s="142"/>
      <c r="L4" s="142"/>
      <c r="M4" s="142"/>
      <c r="N4" s="142"/>
      <c r="O4" s="142"/>
      <c r="P4" s="125" t="s">
        <v>3</v>
      </c>
    </row>
    <row r="5" spans="1:16" s="3" customFormat="1" ht="21.75" customHeight="1">
      <c r="A5" s="93" t="s">
        <v>292</v>
      </c>
      <c r="B5" s="94"/>
      <c r="C5" s="94"/>
      <c r="D5" s="94"/>
      <c r="E5" s="94"/>
      <c r="F5" s="94"/>
      <c r="G5" s="94"/>
      <c r="H5" s="94"/>
      <c r="I5" s="94"/>
      <c r="J5" s="94"/>
      <c r="K5" s="94"/>
      <c r="L5" s="94"/>
      <c r="M5" s="95"/>
      <c r="P5" s="126" t="s">
        <v>339</v>
      </c>
    </row>
    <row r="6" spans="1:16" s="3" customFormat="1" ht="15.75" customHeight="1">
      <c r="A6" s="361"/>
      <c r="B6" s="237"/>
      <c r="C6" s="237"/>
      <c r="D6" s="237"/>
      <c r="E6" s="237"/>
      <c r="F6" s="237"/>
      <c r="G6" s="237"/>
      <c r="H6" s="237"/>
      <c r="I6" s="237"/>
      <c r="J6" s="237"/>
      <c r="K6" s="237"/>
      <c r="L6" s="237"/>
      <c r="M6" s="238"/>
    </row>
    <row r="7" spans="1:16" s="3" customFormat="1" ht="15.75" customHeight="1">
      <c r="A7" s="242"/>
      <c r="B7" s="243"/>
      <c r="C7" s="243"/>
      <c r="D7" s="243"/>
      <c r="E7" s="243"/>
      <c r="F7" s="243"/>
      <c r="G7" s="243"/>
      <c r="H7" s="243"/>
      <c r="I7" s="243"/>
      <c r="J7" s="243"/>
      <c r="K7" s="243"/>
      <c r="L7" s="243"/>
      <c r="M7" s="244"/>
    </row>
    <row r="8" spans="1:16" s="3" customFormat="1" ht="15.75" customHeight="1">
      <c r="A8" s="219"/>
      <c r="B8" s="220"/>
      <c r="C8" s="220"/>
      <c r="D8" s="220"/>
      <c r="E8" s="220"/>
      <c r="F8" s="220"/>
      <c r="G8" s="220"/>
      <c r="H8" s="220"/>
      <c r="I8" s="220"/>
      <c r="J8" s="220"/>
      <c r="K8" s="220"/>
      <c r="L8" s="220"/>
      <c r="M8" s="221"/>
    </row>
    <row r="9" spans="1:16" s="3" customFormat="1" ht="15.75" customHeight="1">
      <c r="A9" s="225"/>
      <c r="B9" s="226"/>
      <c r="C9" s="226"/>
      <c r="D9" s="226"/>
      <c r="E9" s="226"/>
      <c r="F9" s="226"/>
      <c r="G9" s="226"/>
      <c r="H9" s="226"/>
      <c r="I9" s="226"/>
      <c r="J9" s="226"/>
      <c r="K9" s="226"/>
      <c r="L9" s="226"/>
      <c r="M9" s="227"/>
    </row>
    <row r="10" spans="1:16" s="3" customFormat="1" ht="13.9"/>
    <row r="11" spans="1:16" s="104" customFormat="1" ht="16.5" customHeight="1">
      <c r="A11" s="364" t="s">
        <v>340</v>
      </c>
      <c r="B11" s="364"/>
      <c r="C11" s="364"/>
      <c r="D11" s="364"/>
      <c r="E11" s="364"/>
      <c r="F11" s="364"/>
      <c r="G11" s="364"/>
      <c r="H11" s="364"/>
      <c r="I11" s="364"/>
      <c r="J11" s="364"/>
      <c r="K11" s="364"/>
      <c r="L11" s="364"/>
      <c r="M11" s="364"/>
    </row>
    <row r="12" spans="1:16" s="104" customFormat="1" ht="16.5" customHeight="1">
      <c r="A12" s="409" t="s">
        <v>212</v>
      </c>
      <c r="B12" s="397" t="s">
        <v>341</v>
      </c>
      <c r="C12" s="345" t="s">
        <v>297</v>
      </c>
      <c r="D12" s="346" t="s">
        <v>184</v>
      </c>
      <c r="E12" s="411"/>
      <c r="F12" s="346" t="s">
        <v>185</v>
      </c>
      <c r="G12" s="411"/>
      <c r="H12" s="346" t="s">
        <v>186</v>
      </c>
      <c r="I12" s="411"/>
      <c r="J12" s="346" t="s">
        <v>299</v>
      </c>
      <c r="K12" s="411"/>
      <c r="L12" s="346" t="s">
        <v>300</v>
      </c>
      <c r="M12" s="411"/>
    </row>
    <row r="13" spans="1:16" s="14" customFormat="1" ht="17.25" customHeight="1">
      <c r="A13" s="409"/>
      <c r="B13" s="410"/>
      <c r="C13" s="345"/>
      <c r="D13" s="90" t="s">
        <v>290</v>
      </c>
      <c r="E13" s="106" t="s">
        <v>342</v>
      </c>
      <c r="F13" s="90" t="s">
        <v>290</v>
      </c>
      <c r="G13" s="106" t="s">
        <v>342</v>
      </c>
      <c r="H13" s="90" t="s">
        <v>290</v>
      </c>
      <c r="I13" s="106" t="s">
        <v>342</v>
      </c>
      <c r="J13" s="90" t="s">
        <v>290</v>
      </c>
      <c r="K13" s="106" t="s">
        <v>342</v>
      </c>
      <c r="L13" s="90" t="s">
        <v>290</v>
      </c>
      <c r="M13" s="106" t="s">
        <v>342</v>
      </c>
    </row>
    <row r="14" spans="1:16" s="14" customFormat="1" ht="23.25" customHeight="1">
      <c r="A14" s="245" t="s">
        <v>217</v>
      </c>
      <c r="B14" s="101" t="s">
        <v>343</v>
      </c>
      <c r="C14" s="101" t="s">
        <v>344</v>
      </c>
      <c r="D14" s="102">
        <v>73.760000000000005</v>
      </c>
      <c r="E14" s="102">
        <v>52.85</v>
      </c>
      <c r="F14" s="102">
        <v>68.790000000000006</v>
      </c>
      <c r="G14" s="102">
        <v>51.02</v>
      </c>
      <c r="H14" s="102"/>
      <c r="I14" s="102"/>
      <c r="J14" s="102"/>
      <c r="K14" s="102"/>
      <c r="L14" s="102"/>
      <c r="M14" s="102"/>
    </row>
    <row r="15" spans="1:16" s="14" customFormat="1" ht="23.25" customHeight="1">
      <c r="A15" s="245"/>
      <c r="B15" s="101" t="s">
        <v>345</v>
      </c>
      <c r="C15" s="101" t="s">
        <v>346</v>
      </c>
      <c r="D15" s="102">
        <v>244.7</v>
      </c>
      <c r="E15" s="102">
        <v>87.9</v>
      </c>
      <c r="F15" s="102">
        <v>211.7</v>
      </c>
      <c r="G15" s="102">
        <v>84.3</v>
      </c>
      <c r="H15" s="102"/>
      <c r="I15" s="102"/>
      <c r="J15" s="102"/>
      <c r="K15" s="102"/>
      <c r="L15" s="102"/>
      <c r="M15" s="102"/>
    </row>
    <row r="16" spans="1:16" s="14" customFormat="1" ht="23.25" customHeight="1">
      <c r="A16" s="75" t="s">
        <v>216</v>
      </c>
      <c r="B16" s="78" t="s">
        <v>343</v>
      </c>
      <c r="C16" s="101" t="s">
        <v>347</v>
      </c>
      <c r="D16" s="102">
        <v>0.28000000000000003</v>
      </c>
      <c r="E16" s="102">
        <v>0.22</v>
      </c>
      <c r="F16" s="102">
        <v>0.4</v>
      </c>
      <c r="G16" s="102">
        <v>0.03</v>
      </c>
      <c r="H16" s="102"/>
      <c r="I16" s="102"/>
      <c r="J16" s="102"/>
      <c r="K16" s="102"/>
      <c r="L16" s="102"/>
      <c r="M16" s="102"/>
    </row>
    <row r="17" spans="1:13" s="14" customFormat="1" ht="23.25" customHeight="1">
      <c r="A17" s="75"/>
      <c r="B17" s="101" t="s">
        <v>345</v>
      </c>
      <c r="C17" s="101" t="s">
        <v>348</v>
      </c>
      <c r="D17" s="102">
        <v>2.6</v>
      </c>
      <c r="E17" s="102">
        <v>0.4</v>
      </c>
      <c r="F17" s="102">
        <v>9.6999999999999993</v>
      </c>
      <c r="G17" s="102">
        <v>0.6</v>
      </c>
      <c r="H17" s="102"/>
      <c r="I17" s="102"/>
      <c r="J17" s="102"/>
      <c r="K17" s="102"/>
      <c r="L17" s="102"/>
      <c r="M17" s="102"/>
    </row>
    <row r="18" spans="1:13" s="14" customFormat="1" ht="23.25" customHeight="1">
      <c r="A18" s="75" t="s">
        <v>349</v>
      </c>
      <c r="B18" s="101" t="s">
        <v>343</v>
      </c>
      <c r="C18" s="101" t="s">
        <v>350</v>
      </c>
      <c r="D18" s="102">
        <v>0.71</v>
      </c>
      <c r="E18" s="102">
        <v>0.37</v>
      </c>
      <c r="F18" s="102">
        <v>1.0249999999999999</v>
      </c>
      <c r="G18" s="102">
        <v>0.74</v>
      </c>
      <c r="H18" s="102"/>
      <c r="I18" s="102"/>
      <c r="J18" s="102"/>
      <c r="K18" s="102"/>
      <c r="L18" s="102"/>
      <c r="M18" s="102"/>
    </row>
    <row r="19" spans="1:13" s="14" customFormat="1" ht="23.25" customHeight="1">
      <c r="A19" s="75"/>
      <c r="B19" s="101" t="s">
        <v>345</v>
      </c>
      <c r="C19" s="101" t="s">
        <v>351</v>
      </c>
      <c r="D19" s="102">
        <v>23.7</v>
      </c>
      <c r="E19" s="102">
        <v>0.7</v>
      </c>
      <c r="F19" s="102">
        <v>17.600000000000001</v>
      </c>
      <c r="G19" s="102">
        <v>1.4</v>
      </c>
      <c r="H19" s="102"/>
      <c r="I19" s="102"/>
      <c r="J19" s="102"/>
      <c r="K19" s="102"/>
      <c r="L19" s="102"/>
      <c r="M19" s="102"/>
    </row>
    <row r="20" spans="1:13" s="14" customFormat="1" ht="23.25" customHeight="1">
      <c r="A20" s="75" t="s">
        <v>352</v>
      </c>
      <c r="B20" s="101" t="s">
        <v>343</v>
      </c>
      <c r="C20" s="101" t="s">
        <v>350</v>
      </c>
      <c r="D20" s="102">
        <v>2.2000000000000002</v>
      </c>
      <c r="E20" s="102">
        <v>1.34</v>
      </c>
      <c r="F20" s="102">
        <v>2.13</v>
      </c>
      <c r="G20" s="102">
        <v>1.1599999999999999</v>
      </c>
      <c r="H20" s="102"/>
      <c r="I20" s="102"/>
      <c r="J20" s="102"/>
      <c r="K20" s="102"/>
      <c r="L20" s="102"/>
      <c r="M20" s="102"/>
    </row>
    <row r="21" spans="1:13" s="14" customFormat="1" ht="23.25" customHeight="1">
      <c r="A21" s="75"/>
      <c r="B21" s="101" t="s">
        <v>345</v>
      </c>
      <c r="C21" s="101" t="s">
        <v>353</v>
      </c>
      <c r="D21" s="102">
        <v>45.9</v>
      </c>
      <c r="E21" s="102">
        <v>3.1</v>
      </c>
      <c r="F21" s="102">
        <v>82.1</v>
      </c>
      <c r="G21" s="102">
        <v>2.7</v>
      </c>
      <c r="H21" s="102"/>
      <c r="I21" s="102"/>
      <c r="J21" s="102"/>
      <c r="K21" s="102"/>
      <c r="L21" s="102"/>
      <c r="M21" s="102"/>
    </row>
    <row r="22" spans="1:13" s="14" customFormat="1" ht="23.25" customHeight="1">
      <c r="A22" s="75" t="s">
        <v>218</v>
      </c>
      <c r="B22" s="101" t="s">
        <v>343</v>
      </c>
      <c r="C22" s="101" t="s">
        <v>354</v>
      </c>
      <c r="D22" s="102">
        <v>17.579999999999998</v>
      </c>
      <c r="E22" s="102">
        <v>9.6999999999999993</v>
      </c>
      <c r="F22" s="102">
        <v>20.05</v>
      </c>
      <c r="G22" s="102">
        <v>10.4</v>
      </c>
      <c r="H22" s="102"/>
      <c r="I22" s="102"/>
      <c r="J22" s="102"/>
      <c r="K22" s="102"/>
      <c r="L22" s="102"/>
      <c r="M22" s="102"/>
    </row>
    <row r="23" spans="1:13" s="14" customFormat="1" ht="23.25" customHeight="1">
      <c r="A23" s="75"/>
      <c r="B23" s="101" t="s">
        <v>345</v>
      </c>
      <c r="C23" s="101" t="s">
        <v>344</v>
      </c>
      <c r="D23" s="102">
        <v>174.5</v>
      </c>
      <c r="E23" s="102">
        <v>16.8</v>
      </c>
      <c r="F23" s="102">
        <v>171.9</v>
      </c>
      <c r="G23" s="102">
        <v>18</v>
      </c>
      <c r="H23" s="102"/>
      <c r="I23" s="102"/>
      <c r="J23" s="102"/>
      <c r="K23" s="102"/>
      <c r="L23" s="102"/>
      <c r="M23" s="102"/>
    </row>
    <row r="24" spans="1:13" s="14" customFormat="1" ht="23.25" customHeight="1">
      <c r="A24" s="75" t="s">
        <v>355</v>
      </c>
      <c r="B24" s="101" t="s">
        <v>343</v>
      </c>
      <c r="C24" s="101" t="s">
        <v>354</v>
      </c>
      <c r="D24" s="102">
        <v>14.18</v>
      </c>
      <c r="E24" s="102">
        <v>2.67</v>
      </c>
      <c r="F24" s="102">
        <v>6.16</v>
      </c>
      <c r="G24" s="102">
        <v>1.53</v>
      </c>
      <c r="H24" s="102"/>
      <c r="I24" s="102"/>
      <c r="J24" s="102"/>
      <c r="K24" s="102"/>
      <c r="L24" s="102"/>
      <c r="M24" s="102"/>
    </row>
    <row r="25" spans="1:13" s="14" customFormat="1" ht="23.25" customHeight="1">
      <c r="A25" s="75"/>
      <c r="B25" s="102" t="s">
        <v>356</v>
      </c>
      <c r="C25" s="102" t="s">
        <v>357</v>
      </c>
      <c r="D25" s="102" t="s">
        <v>358</v>
      </c>
      <c r="E25" s="102" t="s">
        <v>358</v>
      </c>
      <c r="F25" s="102" t="s">
        <v>358</v>
      </c>
      <c r="G25" s="102" t="s">
        <v>358</v>
      </c>
      <c r="H25" s="102"/>
      <c r="I25" s="102"/>
      <c r="J25" s="102"/>
      <c r="K25" s="102"/>
      <c r="L25" s="102"/>
      <c r="M25" s="102"/>
    </row>
    <row r="26" spans="1:13" s="14" customFormat="1" ht="23.25" customHeight="1">
      <c r="A26" s="75"/>
      <c r="B26" s="102" t="s">
        <v>359</v>
      </c>
      <c r="C26" s="102" t="s">
        <v>360</v>
      </c>
      <c r="D26" s="102">
        <v>355.5</v>
      </c>
      <c r="E26" s="102">
        <v>3.3</v>
      </c>
      <c r="F26" s="102">
        <v>251.3</v>
      </c>
      <c r="G26" s="102">
        <v>1.9</v>
      </c>
      <c r="H26" s="102"/>
      <c r="I26" s="102"/>
      <c r="J26" s="102"/>
      <c r="K26" s="102"/>
      <c r="L26" s="102"/>
      <c r="M26" s="102"/>
    </row>
    <row r="27" spans="1:13" s="14" customFormat="1" ht="23.25" customHeight="1">
      <c r="A27" s="136" t="s">
        <v>361</v>
      </c>
      <c r="B27" s="137" t="s">
        <v>343</v>
      </c>
      <c r="C27" s="137" t="s">
        <v>362</v>
      </c>
      <c r="D27" s="138">
        <v>0</v>
      </c>
      <c r="E27" s="138">
        <v>0</v>
      </c>
      <c r="F27" s="138">
        <v>0</v>
      </c>
      <c r="G27" s="138">
        <v>0</v>
      </c>
      <c r="H27" s="138"/>
      <c r="I27" s="138"/>
      <c r="J27" s="138"/>
      <c r="K27" s="138"/>
      <c r="L27" s="138"/>
      <c r="M27" s="138"/>
    </row>
    <row r="28" spans="1:13">
      <c r="A28" s="400" t="s">
        <v>363</v>
      </c>
      <c r="B28" s="401"/>
      <c r="C28" s="401"/>
      <c r="D28" s="401"/>
      <c r="E28" s="401"/>
      <c r="F28" s="401"/>
      <c r="G28" s="401"/>
      <c r="H28" s="401"/>
      <c r="I28" s="401"/>
      <c r="J28" s="401"/>
      <c r="K28" s="401"/>
      <c r="L28" s="401"/>
      <c r="M28" s="402"/>
    </row>
    <row r="29" spans="1:13">
      <c r="A29" s="139" t="s">
        <v>284</v>
      </c>
      <c r="B29" s="140"/>
      <c r="C29" s="140"/>
      <c r="D29" s="140"/>
      <c r="E29" s="140"/>
      <c r="F29" s="140"/>
      <c r="G29" s="140"/>
      <c r="H29" s="140"/>
      <c r="I29" s="140"/>
      <c r="J29" s="140"/>
      <c r="K29" s="140"/>
      <c r="L29" s="140"/>
      <c r="M29" s="141"/>
    </row>
    <row r="30" spans="1:13" ht="15.6" customHeight="1">
      <c r="A30" s="403" t="s">
        <v>337</v>
      </c>
      <c r="B30" s="404"/>
      <c r="C30" s="404"/>
      <c r="D30" s="404"/>
      <c r="E30" s="404"/>
      <c r="F30" s="404"/>
      <c r="G30" s="404"/>
      <c r="H30" s="404"/>
      <c r="I30" s="404"/>
      <c r="J30" s="404"/>
      <c r="K30" s="404"/>
      <c r="L30" s="404"/>
      <c r="M30" s="405"/>
    </row>
    <row r="31" spans="1:13" ht="15.6" customHeight="1">
      <c r="A31" s="406"/>
      <c r="B31" s="407"/>
      <c r="C31" s="407"/>
      <c r="D31" s="407"/>
      <c r="E31" s="407"/>
      <c r="F31" s="407"/>
      <c r="G31" s="407"/>
      <c r="H31" s="407"/>
      <c r="I31" s="407"/>
      <c r="J31" s="407"/>
      <c r="K31" s="407"/>
      <c r="L31" s="407"/>
      <c r="M31" s="408"/>
    </row>
    <row r="32" spans="1:13">
      <c r="A32" s="142"/>
      <c r="B32" s="142"/>
      <c r="C32" s="142"/>
      <c r="D32" s="142"/>
      <c r="E32" s="142"/>
      <c r="F32" s="142"/>
      <c r="G32" s="142"/>
      <c r="H32" s="142"/>
      <c r="I32" s="142"/>
      <c r="J32" s="142"/>
      <c r="K32" s="142"/>
      <c r="L32" s="142"/>
      <c r="M32" s="142"/>
    </row>
    <row r="68" spans="6:6">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topLeftCell="A44" zoomScaleNormal="100" workbookViewId="0">
      <selection activeCell="S19" sqref="S19"/>
    </sheetView>
  </sheetViews>
  <sheetFormatPr defaultRowHeight="13.9"/>
  <cols>
    <col min="1" max="1" width="14" style="3" customWidth="1"/>
    <col min="2" max="7" width="17" style="73"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142" t="str">
        <f>+'Cover Page'!$B$29</f>
        <v>Annual Performance Report 2022</v>
      </c>
      <c r="B1" s="142"/>
      <c r="C1" s="142"/>
      <c r="D1" s="142"/>
      <c r="E1" s="142" t="str">
        <f>+'Cover Page'!$B$33</f>
        <v>Name of Facility: Thalia MK ODC Limited</v>
      </c>
      <c r="F1" s="142"/>
      <c r="G1" s="142"/>
    </row>
    <row r="3" spans="1:19" ht="14.45">
      <c r="A3" s="109" t="s">
        <v>364</v>
      </c>
      <c r="D3" s="129" t="s">
        <v>365</v>
      </c>
      <c r="G3" s="133" t="s">
        <v>366</v>
      </c>
      <c r="J3" s="9" t="str">
        <f>+A3</f>
        <v>Monitoring of Hydrogen Chloride emissions</v>
      </c>
      <c r="L3" s="9"/>
      <c r="N3" s="9" t="s">
        <v>367</v>
      </c>
      <c r="Q3" s="132" t="s">
        <v>3</v>
      </c>
      <c r="R3" s="126"/>
      <c r="S3" s="126"/>
    </row>
    <row r="4" spans="1:19" ht="13.9" customHeight="1">
      <c r="Q4" s="385" t="s">
        <v>368</v>
      </c>
      <c r="R4" s="385"/>
      <c r="S4" s="385"/>
    </row>
    <row r="5" spans="1:19" ht="16.149999999999999">
      <c r="A5" s="117" t="s">
        <v>369</v>
      </c>
      <c r="B5" s="415" t="s">
        <v>370</v>
      </c>
      <c r="C5" s="415"/>
      <c r="D5" s="415"/>
      <c r="E5" s="415" t="s">
        <v>371</v>
      </c>
      <c r="F5" s="415"/>
      <c r="G5" s="415"/>
      <c r="J5" s="414"/>
      <c r="K5" s="414"/>
      <c r="L5" s="414"/>
      <c r="M5" s="414"/>
      <c r="N5" s="414"/>
      <c r="O5" s="414"/>
      <c r="Q5" s="385"/>
      <c r="R5" s="385"/>
      <c r="S5" s="385"/>
    </row>
    <row r="6" spans="1:19" s="107" customFormat="1" ht="37.5" customHeight="1">
      <c r="A6" s="114">
        <f>+'Cover Page'!C39</f>
        <v>2022</v>
      </c>
      <c r="B6" s="103" t="s">
        <v>372</v>
      </c>
      <c r="C6" s="103" t="s">
        <v>373</v>
      </c>
      <c r="D6" s="103" t="s">
        <v>374</v>
      </c>
      <c r="E6" s="103" t="s">
        <v>375</v>
      </c>
      <c r="F6" s="116" t="s">
        <v>376</v>
      </c>
      <c r="G6" s="116" t="s">
        <v>377</v>
      </c>
      <c r="H6" s="108"/>
      <c r="J6" s="110">
        <f>+A6</f>
        <v>2022</v>
      </c>
      <c r="K6" s="110" t="s">
        <v>378</v>
      </c>
      <c r="L6" s="116" t="s">
        <v>373</v>
      </c>
      <c r="M6" s="116" t="s">
        <v>379</v>
      </c>
      <c r="N6" s="116" t="s">
        <v>376</v>
      </c>
      <c r="O6" s="116" t="s">
        <v>380</v>
      </c>
      <c r="Q6" s="385"/>
      <c r="R6" s="385"/>
      <c r="S6" s="385"/>
    </row>
    <row r="7" spans="1:19" ht="13.9" customHeight="1">
      <c r="A7" s="115" t="s">
        <v>381</v>
      </c>
      <c r="B7" s="112">
        <v>60</v>
      </c>
      <c r="C7" s="113">
        <f>(L7+L22)/2</f>
        <v>1.25</v>
      </c>
      <c r="D7" s="113">
        <f>(M7+M22)/2</f>
        <v>5.25</v>
      </c>
      <c r="E7" s="178">
        <v>10</v>
      </c>
      <c r="F7" s="180">
        <v>1.25</v>
      </c>
      <c r="G7" s="177">
        <v>1.65</v>
      </c>
      <c r="J7" s="413" t="s">
        <v>184</v>
      </c>
      <c r="K7" s="115" t="s">
        <v>381</v>
      </c>
      <c r="L7" s="113">
        <v>1.2</v>
      </c>
      <c r="M7" s="113">
        <v>8.1999999999999993</v>
      </c>
      <c r="N7" s="113">
        <v>1.2</v>
      </c>
      <c r="O7" s="171">
        <v>1.7</v>
      </c>
      <c r="Q7" s="385"/>
      <c r="R7" s="385"/>
      <c r="S7" s="385"/>
    </row>
    <row r="8" spans="1:19" ht="14.45">
      <c r="A8" s="115" t="s">
        <v>382</v>
      </c>
      <c r="B8" s="112">
        <v>60</v>
      </c>
      <c r="C8" s="113">
        <f>(L8+L23)/2</f>
        <v>1.2999999999999998</v>
      </c>
      <c r="D8" s="113">
        <f t="shared" ref="D8:D18" si="0">(M8+M23)/2</f>
        <v>6.85</v>
      </c>
      <c r="E8" s="178">
        <v>10</v>
      </c>
      <c r="F8" s="180">
        <v>1.3</v>
      </c>
      <c r="G8" s="177">
        <v>2.25</v>
      </c>
      <c r="J8" s="413"/>
      <c r="K8" s="115" t="s">
        <v>382</v>
      </c>
      <c r="L8" s="113">
        <v>1.4</v>
      </c>
      <c r="M8" s="113">
        <v>4.5999999999999996</v>
      </c>
      <c r="N8" s="174">
        <v>1.4</v>
      </c>
      <c r="O8" s="172">
        <v>2.2999999999999998</v>
      </c>
      <c r="Q8" s="385"/>
      <c r="R8" s="385"/>
      <c r="S8" s="385"/>
    </row>
    <row r="9" spans="1:19" ht="14.45">
      <c r="A9" s="115" t="s">
        <v>383</v>
      </c>
      <c r="B9" s="112">
        <v>60</v>
      </c>
      <c r="C9" s="113">
        <f t="shared" ref="C9:C18" si="1">(L9+L24)/2</f>
        <v>1.9</v>
      </c>
      <c r="D9" s="113">
        <f t="shared" si="0"/>
        <v>33.65</v>
      </c>
      <c r="E9" s="178">
        <v>10</v>
      </c>
      <c r="F9" s="180">
        <v>1.9</v>
      </c>
      <c r="G9" s="177">
        <v>4.5999999999999996</v>
      </c>
      <c r="J9" s="413"/>
      <c r="K9" s="115" t="s">
        <v>383</v>
      </c>
      <c r="L9" s="113">
        <v>1.9</v>
      </c>
      <c r="M9" s="113">
        <v>18</v>
      </c>
      <c r="N9" s="175">
        <v>1.9</v>
      </c>
      <c r="O9" s="173">
        <v>3.5</v>
      </c>
      <c r="Q9" s="131" t="s">
        <v>384</v>
      </c>
    </row>
    <row r="10" spans="1:19" ht="13.9" customHeight="1">
      <c r="A10" s="115" t="s">
        <v>385</v>
      </c>
      <c r="B10" s="112">
        <v>60</v>
      </c>
      <c r="C10" s="113">
        <f t="shared" si="1"/>
        <v>1.85</v>
      </c>
      <c r="D10" s="113">
        <f t="shared" si="0"/>
        <v>7.35</v>
      </c>
      <c r="E10" s="178">
        <v>10</v>
      </c>
      <c r="F10" s="180">
        <v>1.85</v>
      </c>
      <c r="G10" s="177">
        <v>2.85</v>
      </c>
      <c r="J10" s="413"/>
      <c r="K10" s="115" t="s">
        <v>385</v>
      </c>
      <c r="L10" s="113">
        <v>2.1</v>
      </c>
      <c r="M10" s="113">
        <v>11</v>
      </c>
      <c r="N10" s="175">
        <v>2.1</v>
      </c>
      <c r="O10" s="173">
        <v>3.4</v>
      </c>
      <c r="Q10" s="422" t="s">
        <v>386</v>
      </c>
      <c r="R10" s="412"/>
      <c r="S10" s="412"/>
    </row>
    <row r="11" spans="1:19" ht="14.45">
      <c r="A11" s="115" t="s">
        <v>387</v>
      </c>
      <c r="B11" s="112">
        <v>60</v>
      </c>
      <c r="C11" s="113">
        <f t="shared" si="1"/>
        <v>1.4</v>
      </c>
      <c r="D11" s="113">
        <f t="shared" si="0"/>
        <v>12.2</v>
      </c>
      <c r="E11" s="178">
        <v>10</v>
      </c>
      <c r="F11" s="180">
        <v>1.4</v>
      </c>
      <c r="G11" s="177">
        <v>2.85</v>
      </c>
      <c r="J11" s="413"/>
      <c r="K11" s="115" t="s">
        <v>387</v>
      </c>
      <c r="L11" s="113">
        <v>1.2</v>
      </c>
      <c r="M11" s="113">
        <v>10.9</v>
      </c>
      <c r="N11" s="175">
        <v>1.2</v>
      </c>
      <c r="O11" s="173">
        <v>3</v>
      </c>
      <c r="Q11" s="412"/>
      <c r="R11" s="412"/>
      <c r="S11" s="412"/>
    </row>
    <row r="12" spans="1:19" ht="14.45">
      <c r="A12" s="115" t="s">
        <v>388</v>
      </c>
      <c r="B12" s="112">
        <v>60</v>
      </c>
      <c r="C12" s="113">
        <f t="shared" si="1"/>
        <v>1.85</v>
      </c>
      <c r="D12" s="113">
        <f t="shared" si="0"/>
        <v>5.8</v>
      </c>
      <c r="E12" s="178">
        <v>10</v>
      </c>
      <c r="F12" s="180">
        <v>1.85</v>
      </c>
      <c r="G12" s="177">
        <v>2.75</v>
      </c>
      <c r="J12" s="413"/>
      <c r="K12" s="115" t="s">
        <v>388</v>
      </c>
      <c r="L12" s="113">
        <v>2</v>
      </c>
      <c r="M12" s="113">
        <v>6.3</v>
      </c>
      <c r="N12" s="175">
        <v>2</v>
      </c>
      <c r="O12" s="173">
        <v>2.7</v>
      </c>
      <c r="Q12" s="412"/>
      <c r="R12" s="412"/>
      <c r="S12" s="412"/>
    </row>
    <row r="13" spans="1:19" ht="13.9" customHeight="1">
      <c r="A13" s="115" t="s">
        <v>389</v>
      </c>
      <c r="B13" s="112">
        <v>60</v>
      </c>
      <c r="C13" s="113">
        <f t="shared" si="1"/>
        <v>2.0499999999999998</v>
      </c>
      <c r="D13" s="113">
        <f t="shared" si="0"/>
        <v>29.15</v>
      </c>
      <c r="E13" s="178">
        <v>10</v>
      </c>
      <c r="F13" s="180">
        <v>2.0499999999999998</v>
      </c>
      <c r="G13" s="177">
        <v>3.95</v>
      </c>
      <c r="J13" s="413"/>
      <c r="K13" s="115" t="s">
        <v>389</v>
      </c>
      <c r="L13" s="113">
        <v>2.5</v>
      </c>
      <c r="M13" s="113">
        <v>16.8</v>
      </c>
      <c r="N13" s="175">
        <v>2.5</v>
      </c>
      <c r="O13" s="173">
        <v>3.8</v>
      </c>
      <c r="Q13" s="412" t="s">
        <v>390</v>
      </c>
      <c r="R13" s="412"/>
      <c r="S13" s="412"/>
    </row>
    <row r="14" spans="1:19" ht="14.45">
      <c r="A14" s="115" t="s">
        <v>391</v>
      </c>
      <c r="B14" s="112">
        <v>60</v>
      </c>
      <c r="C14" s="113">
        <f t="shared" si="1"/>
        <v>1.85</v>
      </c>
      <c r="D14" s="113">
        <f t="shared" si="0"/>
        <v>13.450000000000001</v>
      </c>
      <c r="E14" s="178">
        <v>10</v>
      </c>
      <c r="F14" s="180">
        <v>1.85</v>
      </c>
      <c r="G14" s="177">
        <v>2.65</v>
      </c>
      <c r="J14" s="413"/>
      <c r="K14" s="115" t="s">
        <v>391</v>
      </c>
      <c r="L14" s="113">
        <v>1.9</v>
      </c>
      <c r="M14" s="113">
        <v>16.100000000000001</v>
      </c>
      <c r="N14" s="175">
        <v>1.9</v>
      </c>
      <c r="O14" s="173">
        <v>2.7</v>
      </c>
      <c r="Q14" s="412"/>
      <c r="R14" s="412"/>
      <c r="S14" s="412"/>
    </row>
    <row r="15" spans="1:19" ht="14.45">
      <c r="A15" s="115" t="s">
        <v>392</v>
      </c>
      <c r="B15" s="112">
        <v>60</v>
      </c>
      <c r="C15" s="113">
        <f t="shared" si="1"/>
        <v>1.5499999999999998</v>
      </c>
      <c r="D15" s="113">
        <f t="shared" si="0"/>
        <v>16.350000000000001</v>
      </c>
      <c r="E15" s="178">
        <v>10</v>
      </c>
      <c r="F15" s="180">
        <v>1.55</v>
      </c>
      <c r="G15" s="177">
        <v>2.4500000000000002</v>
      </c>
      <c r="J15" s="413"/>
      <c r="K15" s="115" t="s">
        <v>392</v>
      </c>
      <c r="L15" s="113">
        <v>1.9</v>
      </c>
      <c r="M15" s="113">
        <v>27.5</v>
      </c>
      <c r="N15" s="175">
        <v>1.9</v>
      </c>
      <c r="O15" s="173">
        <v>3.3</v>
      </c>
      <c r="Q15" s="412"/>
      <c r="R15" s="412"/>
      <c r="S15" s="412"/>
    </row>
    <row r="16" spans="1:19">
      <c r="A16" s="115" t="s">
        <v>393</v>
      </c>
      <c r="B16" s="112">
        <v>60</v>
      </c>
      <c r="C16" s="113">
        <f t="shared" si="1"/>
        <v>0</v>
      </c>
      <c r="D16" s="113">
        <f t="shared" si="0"/>
        <v>0</v>
      </c>
      <c r="E16" s="112">
        <v>10</v>
      </c>
      <c r="F16" s="179"/>
      <c r="G16" s="179"/>
      <c r="J16" s="413"/>
      <c r="K16" s="115" t="s">
        <v>393</v>
      </c>
      <c r="L16" s="113">
        <v>0</v>
      </c>
      <c r="M16" s="113">
        <v>0</v>
      </c>
      <c r="N16" s="113"/>
      <c r="O16" s="113"/>
      <c r="Q16" s="412"/>
      <c r="R16" s="412"/>
      <c r="S16" s="412"/>
    </row>
    <row r="17" spans="1:15">
      <c r="A17" s="115" t="s">
        <v>394</v>
      </c>
      <c r="B17" s="112">
        <v>60</v>
      </c>
      <c r="C17" s="113">
        <f t="shared" si="1"/>
        <v>0</v>
      </c>
      <c r="D17" s="113">
        <f t="shared" si="0"/>
        <v>0</v>
      </c>
      <c r="E17" s="112">
        <v>10</v>
      </c>
      <c r="F17" s="176"/>
      <c r="G17" s="176"/>
      <c r="J17" s="413"/>
      <c r="K17" s="115" t="s">
        <v>394</v>
      </c>
      <c r="L17" s="113">
        <v>0</v>
      </c>
      <c r="M17" s="113">
        <v>0</v>
      </c>
      <c r="N17" s="113"/>
      <c r="O17" s="113"/>
    </row>
    <row r="18" spans="1:15">
      <c r="A18" s="115" t="s">
        <v>395</v>
      </c>
      <c r="B18" s="112">
        <v>60</v>
      </c>
      <c r="C18" s="113">
        <f t="shared" si="1"/>
        <v>0</v>
      </c>
      <c r="D18" s="113">
        <f t="shared" si="0"/>
        <v>0</v>
      </c>
      <c r="E18" s="112">
        <v>10</v>
      </c>
      <c r="F18" s="176"/>
      <c r="G18" s="176"/>
      <c r="J18" s="413"/>
      <c r="K18" s="115" t="s">
        <v>395</v>
      </c>
      <c r="L18" s="113">
        <v>0</v>
      </c>
      <c r="M18" s="113">
        <v>0</v>
      </c>
      <c r="N18" s="113"/>
      <c r="O18" s="113"/>
    </row>
    <row r="19" spans="1:15">
      <c r="J19" s="413"/>
      <c r="K19" s="111" t="s">
        <v>396</v>
      </c>
      <c r="L19" s="111">
        <f>AVERAGE(L7:L18)</f>
        <v>1.3416666666666668</v>
      </c>
      <c r="M19" s="111">
        <f>MAX(M7:M18)</f>
        <v>27.5</v>
      </c>
      <c r="N19" s="111">
        <f>AVERAGE(N7:N18)</f>
        <v>1.788888888888889</v>
      </c>
      <c r="O19" s="111">
        <f>MAX(O7:O18)</f>
        <v>3.8</v>
      </c>
    </row>
    <row r="21" spans="1:15" ht="41.45">
      <c r="J21" s="110">
        <f>+A6</f>
        <v>2022</v>
      </c>
      <c r="K21" s="110" t="s">
        <v>378</v>
      </c>
      <c r="L21" s="116" t="s">
        <v>373</v>
      </c>
      <c r="M21" s="116" t="s">
        <v>379</v>
      </c>
      <c r="N21" s="116" t="s">
        <v>376</v>
      </c>
      <c r="O21" s="116" t="s">
        <v>380</v>
      </c>
    </row>
    <row r="22" spans="1:15">
      <c r="J22" s="413" t="s">
        <v>185</v>
      </c>
      <c r="K22" s="115" t="s">
        <v>381</v>
      </c>
      <c r="L22" s="113">
        <v>1.3</v>
      </c>
      <c r="M22" s="113">
        <v>2.2999999999999998</v>
      </c>
      <c r="N22" s="113">
        <v>1.3</v>
      </c>
      <c r="O22" s="113">
        <v>1.6</v>
      </c>
    </row>
    <row r="23" spans="1:15" ht="14.45">
      <c r="J23" s="413"/>
      <c r="K23" s="115" t="s">
        <v>382</v>
      </c>
      <c r="L23" s="113">
        <v>1.2</v>
      </c>
      <c r="M23" s="113">
        <v>9.1</v>
      </c>
      <c r="N23" s="174">
        <v>1.2</v>
      </c>
      <c r="O23" s="174">
        <v>2.2000000000000002</v>
      </c>
    </row>
    <row r="24" spans="1:15" ht="14.45">
      <c r="J24" s="413"/>
      <c r="K24" s="115" t="s">
        <v>383</v>
      </c>
      <c r="L24" s="113">
        <v>1.9</v>
      </c>
      <c r="M24" s="113">
        <v>49.3</v>
      </c>
      <c r="N24" s="175">
        <v>1.9</v>
      </c>
      <c r="O24" s="175">
        <v>5.7</v>
      </c>
    </row>
    <row r="25" spans="1:15" ht="14.45">
      <c r="J25" s="413"/>
      <c r="K25" s="115" t="s">
        <v>385</v>
      </c>
      <c r="L25" s="113">
        <v>1.6</v>
      </c>
      <c r="M25" s="113">
        <v>3.7</v>
      </c>
      <c r="N25" s="175">
        <v>1.6</v>
      </c>
      <c r="O25" s="175">
        <v>2.2999999999999998</v>
      </c>
    </row>
    <row r="26" spans="1:15" ht="14.45">
      <c r="J26" s="413"/>
      <c r="K26" s="115" t="s">
        <v>387</v>
      </c>
      <c r="L26" s="113">
        <v>1.6</v>
      </c>
      <c r="M26" s="113">
        <v>13.5</v>
      </c>
      <c r="N26" s="175">
        <v>1.6</v>
      </c>
      <c r="O26" s="175">
        <v>2.7</v>
      </c>
    </row>
    <row r="27" spans="1:15" ht="14.45">
      <c r="J27" s="413"/>
      <c r="K27" s="115" t="s">
        <v>388</v>
      </c>
      <c r="L27" s="113">
        <v>1.7</v>
      </c>
      <c r="M27" s="113">
        <v>5.3</v>
      </c>
      <c r="N27" s="175">
        <v>1.7</v>
      </c>
      <c r="O27" s="175">
        <v>2.8</v>
      </c>
    </row>
    <row r="28" spans="1:15" ht="14.45">
      <c r="J28" s="413"/>
      <c r="K28" s="115" t="s">
        <v>389</v>
      </c>
      <c r="L28" s="113">
        <v>1.6</v>
      </c>
      <c r="M28" s="113">
        <v>41.5</v>
      </c>
      <c r="N28" s="175">
        <v>1.6</v>
      </c>
      <c r="O28" s="175">
        <v>4.0999999999999996</v>
      </c>
    </row>
    <row r="29" spans="1:15" ht="14.45">
      <c r="J29" s="413"/>
      <c r="K29" s="115" t="s">
        <v>391</v>
      </c>
      <c r="L29" s="113">
        <v>1.8</v>
      </c>
      <c r="M29" s="113">
        <v>10.8</v>
      </c>
      <c r="N29" s="175">
        <v>1.8</v>
      </c>
      <c r="O29" s="175">
        <v>2.6</v>
      </c>
    </row>
    <row r="30" spans="1:15" ht="14.45">
      <c r="J30" s="413"/>
      <c r="K30" s="115" t="s">
        <v>392</v>
      </c>
      <c r="L30" s="113">
        <v>1.2</v>
      </c>
      <c r="M30" s="113">
        <v>5.2</v>
      </c>
      <c r="N30" s="175">
        <v>1.2</v>
      </c>
      <c r="O30" s="175">
        <v>1.6</v>
      </c>
    </row>
    <row r="31" spans="1:15">
      <c r="J31" s="413"/>
      <c r="K31" s="115" t="s">
        <v>393</v>
      </c>
      <c r="L31" s="113">
        <v>0</v>
      </c>
      <c r="M31" s="113">
        <v>0</v>
      </c>
      <c r="N31" s="113"/>
      <c r="O31" s="113"/>
    </row>
    <row r="32" spans="1:15">
      <c r="J32" s="413"/>
      <c r="K32" s="115" t="s">
        <v>394</v>
      </c>
      <c r="L32" s="113">
        <v>0</v>
      </c>
      <c r="M32" s="113">
        <v>0</v>
      </c>
      <c r="N32" s="113"/>
      <c r="O32" s="113"/>
    </row>
    <row r="33" spans="1:15">
      <c r="J33" s="413"/>
      <c r="K33" s="115" t="s">
        <v>395</v>
      </c>
      <c r="L33" s="113">
        <v>0</v>
      </c>
      <c r="M33" s="113">
        <v>0</v>
      </c>
      <c r="N33" s="113"/>
      <c r="O33" s="113"/>
    </row>
    <row r="34" spans="1:15">
      <c r="J34" s="413"/>
      <c r="K34" s="111" t="s">
        <v>396</v>
      </c>
      <c r="L34" s="111">
        <f>AVERAGE(L22:L33)</f>
        <v>1.1583333333333332</v>
      </c>
      <c r="M34" s="111">
        <f>MAX(M22:M33)</f>
        <v>49.3</v>
      </c>
      <c r="N34" s="111">
        <f>AVERAGE(N22:N33)</f>
        <v>1.5444444444444443</v>
      </c>
      <c r="O34" s="111">
        <f>MAX(O22:O33)</f>
        <v>5.7</v>
      </c>
    </row>
    <row r="36" spans="1:15" ht="41.45">
      <c r="J36" s="110">
        <f>+A6</f>
        <v>2022</v>
      </c>
      <c r="K36" s="110" t="s">
        <v>378</v>
      </c>
      <c r="L36" s="116" t="s">
        <v>373</v>
      </c>
      <c r="M36" s="116" t="s">
        <v>379</v>
      </c>
      <c r="N36" s="116" t="s">
        <v>376</v>
      </c>
      <c r="O36" s="116" t="s">
        <v>380</v>
      </c>
    </row>
    <row r="37" spans="1:15">
      <c r="J37" s="413" t="s">
        <v>186</v>
      </c>
      <c r="K37" s="115" t="s">
        <v>381</v>
      </c>
      <c r="L37" s="113"/>
      <c r="M37" s="113"/>
      <c r="N37" s="113"/>
      <c r="O37" s="113"/>
    </row>
    <row r="38" spans="1:15">
      <c r="J38" s="413"/>
      <c r="K38" s="115" t="s">
        <v>382</v>
      </c>
      <c r="L38" s="113"/>
      <c r="M38" s="113"/>
      <c r="N38" s="113"/>
      <c r="O38" s="113"/>
    </row>
    <row r="39" spans="1:15">
      <c r="J39" s="413"/>
      <c r="K39" s="115" t="s">
        <v>383</v>
      </c>
      <c r="L39" s="113"/>
      <c r="M39" s="113"/>
      <c r="N39" s="113"/>
      <c r="O39" s="113"/>
    </row>
    <row r="40" spans="1:15">
      <c r="J40" s="413"/>
      <c r="K40" s="115" t="s">
        <v>385</v>
      </c>
      <c r="L40" s="113"/>
      <c r="M40" s="113"/>
      <c r="N40" s="113"/>
      <c r="O40" s="113"/>
    </row>
    <row r="41" spans="1:15">
      <c r="J41" s="413"/>
      <c r="K41" s="115" t="s">
        <v>387</v>
      </c>
      <c r="L41" s="113"/>
      <c r="M41" s="113"/>
      <c r="N41" s="113"/>
      <c r="O41" s="113"/>
    </row>
    <row r="42" spans="1:15">
      <c r="J42" s="413"/>
      <c r="K42" s="115" t="s">
        <v>388</v>
      </c>
      <c r="L42" s="113"/>
      <c r="M42" s="113"/>
      <c r="N42" s="113"/>
      <c r="O42" s="113"/>
    </row>
    <row r="43" spans="1:15">
      <c r="J43" s="413"/>
      <c r="K43" s="115" t="s">
        <v>389</v>
      </c>
      <c r="L43" s="113"/>
      <c r="M43" s="113"/>
      <c r="N43" s="113"/>
      <c r="O43" s="113"/>
    </row>
    <row r="44" spans="1:15">
      <c r="J44" s="413"/>
      <c r="K44" s="115" t="s">
        <v>391</v>
      </c>
      <c r="L44" s="113"/>
      <c r="M44" s="113"/>
      <c r="N44" s="113"/>
      <c r="O44" s="113"/>
    </row>
    <row r="45" spans="1:15">
      <c r="J45" s="413"/>
      <c r="K45" s="115" t="s">
        <v>392</v>
      </c>
      <c r="L45" s="113"/>
      <c r="M45" s="113"/>
      <c r="N45" s="113"/>
      <c r="O45" s="113"/>
    </row>
    <row r="46" spans="1:15">
      <c r="J46" s="413"/>
      <c r="K46" s="115" t="s">
        <v>393</v>
      </c>
      <c r="L46" s="113"/>
      <c r="M46" s="113"/>
      <c r="N46" s="113"/>
      <c r="O46" s="113"/>
    </row>
    <row r="47" spans="1:15">
      <c r="J47" s="413"/>
      <c r="K47" s="115" t="s">
        <v>394</v>
      </c>
      <c r="L47" s="113"/>
      <c r="M47" s="113"/>
      <c r="N47" s="113"/>
      <c r="O47" s="113"/>
    </row>
    <row r="48" spans="1:15">
      <c r="A48" s="419" t="s">
        <v>284</v>
      </c>
      <c r="B48" s="420"/>
      <c r="C48" s="420"/>
      <c r="D48" s="420"/>
      <c r="E48" s="420"/>
      <c r="F48" s="420"/>
      <c r="G48" s="421"/>
      <c r="J48" s="413"/>
      <c r="K48" s="115" t="s">
        <v>395</v>
      </c>
      <c r="L48" s="113"/>
      <c r="M48" s="113"/>
      <c r="N48" s="113"/>
      <c r="O48" s="113"/>
    </row>
    <row r="49" spans="1:15">
      <c r="A49" s="403"/>
      <c r="B49" s="404"/>
      <c r="C49" s="404"/>
      <c r="D49" s="404"/>
      <c r="E49" s="404"/>
      <c r="F49" s="404"/>
      <c r="G49" s="405"/>
      <c r="J49" s="413"/>
      <c r="K49" s="111" t="s">
        <v>396</v>
      </c>
      <c r="L49" s="111" t="e">
        <f>AVERAGE(L37:L48)</f>
        <v>#DIV/0!</v>
      </c>
      <c r="M49" s="111">
        <f>MAX(M37:M48)</f>
        <v>0</v>
      </c>
      <c r="N49" s="111" t="e">
        <f>AVERAGE(N37:N48)</f>
        <v>#DIV/0!</v>
      </c>
      <c r="O49" s="111">
        <f>MAX(O37:O48)</f>
        <v>0</v>
      </c>
    </row>
    <row r="50" spans="1:15">
      <c r="A50" s="416"/>
      <c r="B50" s="417"/>
      <c r="C50" s="417"/>
      <c r="D50" s="417"/>
      <c r="E50" s="417"/>
      <c r="F50" s="417"/>
      <c r="G50" s="418"/>
    </row>
    <row r="51" spans="1:15" ht="41.45">
      <c r="A51" s="416"/>
      <c r="B51" s="417"/>
      <c r="C51" s="417"/>
      <c r="D51" s="417"/>
      <c r="E51" s="417"/>
      <c r="F51" s="417"/>
      <c r="G51" s="418"/>
      <c r="J51" s="110">
        <f>+A6</f>
        <v>2022</v>
      </c>
      <c r="K51" s="110" t="s">
        <v>378</v>
      </c>
      <c r="L51" s="116" t="s">
        <v>373</v>
      </c>
      <c r="M51" s="116" t="s">
        <v>379</v>
      </c>
      <c r="N51" s="116" t="s">
        <v>376</v>
      </c>
      <c r="O51" s="116" t="s">
        <v>380</v>
      </c>
    </row>
    <row r="52" spans="1:15">
      <c r="A52" s="406"/>
      <c r="B52" s="407"/>
      <c r="C52" s="407"/>
      <c r="D52" s="407"/>
      <c r="E52" s="407"/>
      <c r="F52" s="407"/>
      <c r="G52" s="408"/>
      <c r="J52" s="413" t="s">
        <v>299</v>
      </c>
      <c r="K52" s="115" t="s">
        <v>381</v>
      </c>
      <c r="L52" s="113"/>
      <c r="M52" s="113"/>
      <c r="N52" s="113"/>
      <c r="O52" s="113"/>
    </row>
    <row r="53" spans="1:15">
      <c r="J53" s="413"/>
      <c r="K53" s="115" t="s">
        <v>382</v>
      </c>
      <c r="L53" s="113"/>
      <c r="M53" s="113"/>
      <c r="N53" s="113"/>
      <c r="O53" s="113"/>
    </row>
    <row r="54" spans="1:15">
      <c r="J54" s="413"/>
      <c r="K54" s="115" t="s">
        <v>383</v>
      </c>
      <c r="L54" s="113"/>
      <c r="M54" s="113"/>
      <c r="N54" s="113"/>
      <c r="O54" s="113"/>
    </row>
    <row r="55" spans="1:15">
      <c r="J55" s="413"/>
      <c r="K55" s="115" t="s">
        <v>385</v>
      </c>
      <c r="L55" s="113"/>
      <c r="M55" s="113"/>
      <c r="N55" s="113"/>
      <c r="O55" s="113"/>
    </row>
    <row r="56" spans="1:15">
      <c r="J56" s="413"/>
      <c r="K56" s="115" t="s">
        <v>387</v>
      </c>
      <c r="L56" s="113"/>
      <c r="M56" s="113"/>
      <c r="N56" s="113"/>
      <c r="O56" s="113"/>
    </row>
    <row r="57" spans="1:15">
      <c r="J57" s="413"/>
      <c r="K57" s="115" t="s">
        <v>388</v>
      </c>
      <c r="L57" s="113"/>
      <c r="M57" s="113"/>
      <c r="N57" s="113"/>
      <c r="O57" s="113"/>
    </row>
    <row r="58" spans="1:15">
      <c r="J58" s="413"/>
      <c r="K58" s="115" t="s">
        <v>389</v>
      </c>
      <c r="L58" s="113"/>
      <c r="M58" s="113"/>
      <c r="N58" s="113"/>
      <c r="O58" s="113"/>
    </row>
    <row r="59" spans="1:15">
      <c r="J59" s="413"/>
      <c r="K59" s="115" t="s">
        <v>391</v>
      </c>
      <c r="L59" s="113"/>
      <c r="M59" s="113"/>
      <c r="N59" s="113"/>
      <c r="O59" s="113"/>
    </row>
    <row r="60" spans="1:15">
      <c r="J60" s="413"/>
      <c r="K60" s="115" t="s">
        <v>392</v>
      </c>
      <c r="L60" s="113"/>
      <c r="M60" s="113"/>
      <c r="N60" s="113"/>
      <c r="O60" s="113"/>
    </row>
    <row r="61" spans="1:15">
      <c r="J61" s="413"/>
      <c r="K61" s="115" t="s">
        <v>393</v>
      </c>
      <c r="L61" s="113"/>
      <c r="M61" s="113"/>
      <c r="N61" s="113"/>
      <c r="O61" s="113"/>
    </row>
    <row r="62" spans="1:15">
      <c r="J62" s="413"/>
      <c r="K62" s="115" t="s">
        <v>394</v>
      </c>
      <c r="L62" s="113"/>
      <c r="M62" s="113"/>
      <c r="N62" s="113"/>
      <c r="O62" s="113"/>
    </row>
    <row r="63" spans="1:15">
      <c r="J63" s="413"/>
      <c r="K63" s="115" t="s">
        <v>395</v>
      </c>
      <c r="L63" s="113"/>
      <c r="M63" s="113"/>
      <c r="N63" s="113"/>
      <c r="O63" s="113"/>
    </row>
    <row r="64" spans="1:15">
      <c r="J64" s="413"/>
      <c r="K64" s="111" t="s">
        <v>396</v>
      </c>
      <c r="L64" s="111" t="e">
        <f>AVERAGE(L52:L63)</f>
        <v>#DIV/0!</v>
      </c>
      <c r="M64" s="111">
        <f>MAX(M52:M63)</f>
        <v>0</v>
      </c>
      <c r="N64" s="111" t="e">
        <f>AVERAGE(N52:N63)</f>
        <v>#DIV/0!</v>
      </c>
      <c r="O64" s="111">
        <f>MAX(O52:O63)</f>
        <v>0</v>
      </c>
    </row>
    <row r="66" spans="10:15" ht="41.45">
      <c r="J66" s="110">
        <f>+A6</f>
        <v>2022</v>
      </c>
      <c r="K66" s="110" t="s">
        <v>378</v>
      </c>
      <c r="L66" s="116" t="s">
        <v>373</v>
      </c>
      <c r="M66" s="116" t="s">
        <v>379</v>
      </c>
      <c r="N66" s="116" t="s">
        <v>376</v>
      </c>
      <c r="O66" s="116" t="s">
        <v>380</v>
      </c>
    </row>
    <row r="67" spans="10:15">
      <c r="J67" s="413" t="s">
        <v>300</v>
      </c>
      <c r="K67" s="115" t="s">
        <v>381</v>
      </c>
      <c r="L67" s="113"/>
      <c r="M67" s="113"/>
      <c r="N67" s="113"/>
      <c r="O67" s="113"/>
    </row>
    <row r="68" spans="10:15">
      <c r="J68" s="413"/>
      <c r="K68" s="115" t="s">
        <v>382</v>
      </c>
      <c r="L68" s="113"/>
      <c r="M68" s="113"/>
      <c r="N68" s="113"/>
      <c r="O68" s="113"/>
    </row>
    <row r="69" spans="10:15">
      <c r="J69" s="413"/>
      <c r="K69" s="115" t="s">
        <v>383</v>
      </c>
      <c r="L69" s="113"/>
      <c r="M69" s="113"/>
      <c r="N69" s="113"/>
      <c r="O69" s="113"/>
    </row>
    <row r="70" spans="10:15">
      <c r="J70" s="413"/>
      <c r="K70" s="115" t="s">
        <v>385</v>
      </c>
      <c r="L70" s="113"/>
      <c r="M70" s="113"/>
      <c r="N70" s="113"/>
      <c r="O70" s="113"/>
    </row>
    <row r="71" spans="10:15">
      <c r="J71" s="413"/>
      <c r="K71" s="115" t="s">
        <v>387</v>
      </c>
      <c r="L71" s="113"/>
      <c r="M71" s="113"/>
      <c r="N71" s="113"/>
      <c r="O71" s="113"/>
    </row>
    <row r="72" spans="10:15">
      <c r="J72" s="413"/>
      <c r="K72" s="115" t="s">
        <v>388</v>
      </c>
      <c r="L72" s="113"/>
      <c r="M72" s="113"/>
      <c r="N72" s="113"/>
      <c r="O72" s="113"/>
    </row>
    <row r="73" spans="10:15">
      <c r="J73" s="413"/>
      <c r="K73" s="115" t="s">
        <v>389</v>
      </c>
      <c r="L73" s="113"/>
      <c r="M73" s="113"/>
      <c r="N73" s="113"/>
      <c r="O73" s="113"/>
    </row>
    <row r="74" spans="10:15">
      <c r="J74" s="413"/>
      <c r="K74" s="115" t="s">
        <v>391</v>
      </c>
      <c r="L74" s="113"/>
      <c r="M74" s="113"/>
      <c r="N74" s="113"/>
      <c r="O74" s="113"/>
    </row>
    <row r="75" spans="10:15">
      <c r="J75" s="413"/>
      <c r="K75" s="115" t="s">
        <v>392</v>
      </c>
      <c r="L75" s="113"/>
      <c r="M75" s="113"/>
      <c r="N75" s="113"/>
      <c r="O75" s="113"/>
    </row>
    <row r="76" spans="10:15">
      <c r="J76" s="413"/>
      <c r="K76" s="115" t="s">
        <v>393</v>
      </c>
      <c r="L76" s="113"/>
      <c r="M76" s="113"/>
      <c r="N76" s="113"/>
      <c r="O76" s="113"/>
    </row>
    <row r="77" spans="10:15">
      <c r="J77" s="413"/>
      <c r="K77" s="115" t="s">
        <v>394</v>
      </c>
      <c r="L77" s="113"/>
      <c r="M77" s="113"/>
      <c r="N77" s="113"/>
      <c r="O77" s="113"/>
    </row>
    <row r="78" spans="10:15">
      <c r="J78" s="413"/>
      <c r="K78" s="115" t="s">
        <v>395</v>
      </c>
      <c r="L78" s="113"/>
      <c r="M78" s="113"/>
      <c r="N78" s="113"/>
      <c r="O78" s="113"/>
    </row>
    <row r="79" spans="10:15">
      <c r="J79" s="413"/>
      <c r="K79" s="111" t="s">
        <v>396</v>
      </c>
      <c r="L79" s="111" t="e">
        <f>AVERAGE(L67:L78)</f>
        <v>#DIV/0!</v>
      </c>
      <c r="M79" s="111">
        <f>MAX(M67:M78)</f>
        <v>0</v>
      </c>
      <c r="N79" s="111" t="e">
        <f>AVERAGE(N67:N78)</f>
        <v>#DIV/0!</v>
      </c>
      <c r="O79" s="111">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headerFooter scaleWithDoc="0">
    <oddFooter>&amp;C&amp;"Arial,Regular"Page &amp;P</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topLeftCell="A2" zoomScaleNormal="100" workbookViewId="0">
      <selection activeCell="G18" sqref="F7:G18"/>
    </sheetView>
  </sheetViews>
  <sheetFormatPr defaultRowHeight="13.9"/>
  <cols>
    <col min="1" max="1" width="14" style="3" customWidth="1"/>
    <col min="2" max="4" width="17" style="73" customWidth="1"/>
    <col min="5" max="5" width="14.7109375" style="73" customWidth="1"/>
    <col min="6" max="7" width="17" style="73"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142" t="str">
        <f>+'Cover Page'!$B$29</f>
        <v>Annual Performance Report 2022</v>
      </c>
      <c r="B1" s="142"/>
      <c r="C1" s="142"/>
      <c r="D1" s="142"/>
      <c r="E1" s="142" t="str">
        <f>+'Cover Page'!$B$33</f>
        <v>Name of Facility: Thalia MK ODC Limited</v>
      </c>
      <c r="F1" s="142"/>
      <c r="G1" s="142"/>
    </row>
    <row r="3" spans="1:19" ht="14.45">
      <c r="A3" s="109" t="s">
        <v>397</v>
      </c>
      <c r="D3" s="129" t="s">
        <v>365</v>
      </c>
      <c r="G3" s="133" t="s">
        <v>366</v>
      </c>
      <c r="J3" s="9" t="str">
        <f>+A3</f>
        <v>Monitoring of Sulphur dioxide emissions</v>
      </c>
      <c r="L3" s="9"/>
      <c r="N3" s="9" t="s">
        <v>367</v>
      </c>
      <c r="Q3" s="132" t="s">
        <v>3</v>
      </c>
      <c r="R3" s="126"/>
      <c r="S3" s="126"/>
    </row>
    <row r="4" spans="1:19" ht="13.9" customHeight="1">
      <c r="Q4" s="385" t="s">
        <v>368</v>
      </c>
      <c r="R4" s="385"/>
      <c r="S4" s="385"/>
    </row>
    <row r="5" spans="1:19" ht="16.149999999999999">
      <c r="A5" s="117" t="s">
        <v>369</v>
      </c>
      <c r="B5" s="415" t="s">
        <v>370</v>
      </c>
      <c r="C5" s="415"/>
      <c r="D5" s="415"/>
      <c r="E5" s="415" t="s">
        <v>371</v>
      </c>
      <c r="F5" s="415"/>
      <c r="G5" s="415"/>
      <c r="J5" s="414"/>
      <c r="K5" s="414"/>
      <c r="L5" s="414"/>
      <c r="M5" s="414"/>
      <c r="N5" s="414"/>
      <c r="O5" s="414"/>
      <c r="Q5" s="385"/>
      <c r="R5" s="385"/>
      <c r="S5" s="385"/>
    </row>
    <row r="6" spans="1:19" s="107" customFormat="1" ht="37.5" customHeight="1">
      <c r="A6" s="114">
        <f>+'Cover Page'!C39</f>
        <v>2022</v>
      </c>
      <c r="B6" s="103" t="s">
        <v>398</v>
      </c>
      <c r="C6" s="103" t="s">
        <v>373</v>
      </c>
      <c r="D6" s="103" t="s">
        <v>374</v>
      </c>
      <c r="E6" s="103" t="s">
        <v>399</v>
      </c>
      <c r="F6" s="116" t="s">
        <v>376</v>
      </c>
      <c r="G6" s="116" t="s">
        <v>377</v>
      </c>
      <c r="H6" s="108"/>
      <c r="J6" s="110">
        <f>+A6</f>
        <v>2022</v>
      </c>
      <c r="K6" s="110" t="s">
        <v>378</v>
      </c>
      <c r="L6" s="116" t="s">
        <v>373</v>
      </c>
      <c r="M6" s="116" t="s">
        <v>379</v>
      </c>
      <c r="N6" s="116" t="s">
        <v>376</v>
      </c>
      <c r="O6" s="116" t="s">
        <v>380</v>
      </c>
      <c r="Q6" s="385"/>
      <c r="R6" s="385"/>
      <c r="S6" s="385"/>
    </row>
    <row r="7" spans="1:19" ht="14.45">
      <c r="A7" s="115" t="s">
        <v>381</v>
      </c>
      <c r="B7" s="112">
        <v>200</v>
      </c>
      <c r="C7" s="113">
        <f>(L7+L22)/2</f>
        <v>9.3000000000000007</v>
      </c>
      <c r="D7" s="113">
        <f>(M7+M22)/2</f>
        <v>127.05</v>
      </c>
      <c r="E7" s="178">
        <v>50</v>
      </c>
      <c r="F7" s="188">
        <v>9.35</v>
      </c>
      <c r="G7" s="189">
        <v>12.55</v>
      </c>
      <c r="J7" s="413" t="s">
        <v>184</v>
      </c>
      <c r="K7" s="115" t="s">
        <v>381</v>
      </c>
      <c r="L7" s="113">
        <v>8.5</v>
      </c>
      <c r="M7" s="113">
        <v>222</v>
      </c>
      <c r="N7" s="174">
        <v>8.5</v>
      </c>
      <c r="O7" s="174">
        <v>12</v>
      </c>
      <c r="Q7" s="385"/>
      <c r="R7" s="385"/>
      <c r="S7" s="385"/>
    </row>
    <row r="8" spans="1:19" ht="14.45">
      <c r="A8" s="115" t="s">
        <v>382</v>
      </c>
      <c r="B8" s="112">
        <v>200</v>
      </c>
      <c r="C8" s="113">
        <f t="shared" ref="C8:C18" si="0">(L8+L23)/2</f>
        <v>10.15</v>
      </c>
      <c r="D8" s="113">
        <f t="shared" ref="D8:D18" si="1">(M8+M23)/2</f>
        <v>112.35</v>
      </c>
      <c r="E8" s="178">
        <v>50</v>
      </c>
      <c r="F8" s="188">
        <v>10.15</v>
      </c>
      <c r="G8" s="189">
        <v>19.600000000000001</v>
      </c>
      <c r="J8" s="413"/>
      <c r="K8" s="115" t="s">
        <v>382</v>
      </c>
      <c r="L8" s="113">
        <v>8.3000000000000007</v>
      </c>
      <c r="M8" s="113">
        <v>87.2</v>
      </c>
      <c r="N8" s="175">
        <v>8.3000000000000007</v>
      </c>
      <c r="O8" s="175">
        <v>12.5</v>
      </c>
      <c r="Q8" s="385"/>
      <c r="R8" s="385"/>
      <c r="S8" s="385"/>
    </row>
    <row r="9" spans="1:19" ht="14.45">
      <c r="A9" s="115" t="s">
        <v>383</v>
      </c>
      <c r="B9" s="112">
        <v>200</v>
      </c>
      <c r="C9" s="113">
        <f t="shared" si="0"/>
        <v>14.65</v>
      </c>
      <c r="D9" s="113">
        <f t="shared" si="1"/>
        <v>125.85</v>
      </c>
      <c r="E9" s="178">
        <v>50</v>
      </c>
      <c r="F9" s="188">
        <v>14.65</v>
      </c>
      <c r="G9" s="189">
        <v>38.950000000000003</v>
      </c>
      <c r="J9" s="413"/>
      <c r="K9" s="115" t="s">
        <v>383</v>
      </c>
      <c r="L9" s="113">
        <v>12.7</v>
      </c>
      <c r="M9" s="113">
        <v>131.9</v>
      </c>
      <c r="N9" s="175">
        <v>12.7</v>
      </c>
      <c r="O9" s="175">
        <v>34.799999999999997</v>
      </c>
      <c r="Q9" s="131" t="s">
        <v>384</v>
      </c>
    </row>
    <row r="10" spans="1:19" ht="14.25" customHeight="1">
      <c r="A10" s="115" t="s">
        <v>385</v>
      </c>
      <c r="B10" s="112">
        <v>200</v>
      </c>
      <c r="C10" s="113">
        <f t="shared" si="0"/>
        <v>16.75</v>
      </c>
      <c r="D10" s="113">
        <f t="shared" si="1"/>
        <v>66.3</v>
      </c>
      <c r="E10" s="178">
        <v>50</v>
      </c>
      <c r="F10" s="188">
        <v>16.75</v>
      </c>
      <c r="G10" s="189">
        <v>31.2</v>
      </c>
      <c r="J10" s="413"/>
      <c r="K10" s="115" t="s">
        <v>385</v>
      </c>
      <c r="L10" s="113">
        <v>16.3</v>
      </c>
      <c r="M10" s="113">
        <v>84.3</v>
      </c>
      <c r="N10" s="175">
        <v>16.3</v>
      </c>
      <c r="O10" s="175">
        <v>35.6</v>
      </c>
      <c r="Q10" s="412" t="s">
        <v>400</v>
      </c>
      <c r="R10" s="412"/>
      <c r="S10" s="412"/>
    </row>
    <row r="11" spans="1:19" ht="14.45">
      <c r="A11" s="115" t="s">
        <v>387</v>
      </c>
      <c r="B11" s="112">
        <v>200</v>
      </c>
      <c r="C11" s="113">
        <f t="shared" si="0"/>
        <v>14.25</v>
      </c>
      <c r="D11" s="113">
        <f t="shared" si="1"/>
        <v>128.30000000000001</v>
      </c>
      <c r="E11" s="178">
        <v>50</v>
      </c>
      <c r="F11" s="188">
        <v>14.25</v>
      </c>
      <c r="G11" s="189">
        <v>29.85</v>
      </c>
      <c r="J11" s="413"/>
      <c r="K11" s="115" t="s">
        <v>387</v>
      </c>
      <c r="L11" s="113">
        <v>11.6</v>
      </c>
      <c r="M11" s="113">
        <v>139.6</v>
      </c>
      <c r="N11" s="175">
        <v>11.6</v>
      </c>
      <c r="O11" s="175">
        <v>21</v>
      </c>
      <c r="Q11" s="412"/>
      <c r="R11" s="412"/>
      <c r="S11" s="412"/>
    </row>
    <row r="12" spans="1:19" ht="14.45">
      <c r="A12" s="115" t="s">
        <v>388</v>
      </c>
      <c r="B12" s="112">
        <v>200</v>
      </c>
      <c r="C12" s="113">
        <f t="shared" si="0"/>
        <v>13.75</v>
      </c>
      <c r="D12" s="113">
        <f t="shared" si="1"/>
        <v>72.349999999999994</v>
      </c>
      <c r="E12" s="178">
        <v>50</v>
      </c>
      <c r="F12" s="188">
        <v>13.75</v>
      </c>
      <c r="G12" s="189">
        <v>25.75</v>
      </c>
      <c r="J12" s="413"/>
      <c r="K12" s="115" t="s">
        <v>388</v>
      </c>
      <c r="L12" s="113">
        <v>12.3</v>
      </c>
      <c r="M12" s="113">
        <v>77.400000000000006</v>
      </c>
      <c r="N12" s="175">
        <v>12.3</v>
      </c>
      <c r="O12" s="175">
        <v>22.2</v>
      </c>
      <c r="Q12" s="412"/>
      <c r="R12" s="412"/>
      <c r="S12" s="412"/>
    </row>
    <row r="13" spans="1:19" ht="14.25" customHeight="1">
      <c r="A13" s="115" t="s">
        <v>389</v>
      </c>
      <c r="B13" s="112">
        <v>200</v>
      </c>
      <c r="C13" s="113">
        <f t="shared" si="0"/>
        <v>14.05</v>
      </c>
      <c r="D13" s="113">
        <f t="shared" si="1"/>
        <v>82.6</v>
      </c>
      <c r="E13" s="178">
        <v>50</v>
      </c>
      <c r="F13" s="188">
        <v>14.05</v>
      </c>
      <c r="G13" s="189">
        <v>22.55</v>
      </c>
      <c r="J13" s="413"/>
      <c r="K13" s="115" t="s">
        <v>389</v>
      </c>
      <c r="L13" s="113">
        <v>16.8</v>
      </c>
      <c r="M13" s="113">
        <v>74.599999999999994</v>
      </c>
      <c r="N13" s="175">
        <v>16.8</v>
      </c>
      <c r="O13" s="175">
        <v>26.3</v>
      </c>
      <c r="Q13" s="412" t="s">
        <v>390</v>
      </c>
      <c r="R13" s="412"/>
      <c r="S13" s="412"/>
    </row>
    <row r="14" spans="1:19" ht="14.45">
      <c r="A14" s="115" t="s">
        <v>391</v>
      </c>
      <c r="B14" s="112">
        <v>200</v>
      </c>
      <c r="C14" s="113">
        <f t="shared" si="0"/>
        <v>14.7</v>
      </c>
      <c r="D14" s="113">
        <f t="shared" si="1"/>
        <v>80.25</v>
      </c>
      <c r="E14" s="178">
        <v>50</v>
      </c>
      <c r="F14" s="188">
        <v>14.7</v>
      </c>
      <c r="G14" s="189">
        <v>26.15</v>
      </c>
      <c r="J14" s="413"/>
      <c r="K14" s="115" t="s">
        <v>391</v>
      </c>
      <c r="L14" s="113">
        <v>14.8</v>
      </c>
      <c r="M14" s="113">
        <v>93.5</v>
      </c>
      <c r="N14" s="175">
        <v>14.8</v>
      </c>
      <c r="O14" s="175">
        <v>22.3</v>
      </c>
      <c r="Q14" s="412"/>
      <c r="R14" s="412"/>
      <c r="S14" s="412"/>
    </row>
    <row r="15" spans="1:19" ht="14.45">
      <c r="A15" s="115" t="s">
        <v>392</v>
      </c>
      <c r="B15" s="112">
        <v>200</v>
      </c>
      <c r="C15" s="113">
        <f t="shared" si="0"/>
        <v>13</v>
      </c>
      <c r="D15" s="113">
        <f t="shared" si="1"/>
        <v>56.4</v>
      </c>
      <c r="E15" s="178">
        <v>50</v>
      </c>
      <c r="F15" s="188">
        <v>13</v>
      </c>
      <c r="G15" s="189">
        <v>19.2</v>
      </c>
      <c r="J15" s="413"/>
      <c r="K15" s="115" t="s">
        <v>392</v>
      </c>
      <c r="L15" s="113">
        <v>15.2</v>
      </c>
      <c r="M15" s="113">
        <v>64.099999999999994</v>
      </c>
      <c r="N15" s="175">
        <v>15.2</v>
      </c>
      <c r="O15" s="175">
        <v>24.2</v>
      </c>
      <c r="Q15" s="412"/>
      <c r="R15" s="412"/>
      <c r="S15" s="412"/>
    </row>
    <row r="16" spans="1:19">
      <c r="A16" s="115" t="s">
        <v>393</v>
      </c>
      <c r="B16" s="112">
        <v>200</v>
      </c>
      <c r="C16" s="113">
        <f t="shared" si="0"/>
        <v>0</v>
      </c>
      <c r="D16" s="113">
        <f t="shared" si="1"/>
        <v>0</v>
      </c>
      <c r="E16" s="112">
        <v>50</v>
      </c>
      <c r="F16" s="190"/>
      <c r="G16" s="190"/>
      <c r="J16" s="413"/>
      <c r="K16" s="115" t="s">
        <v>393</v>
      </c>
      <c r="L16" s="113">
        <v>0</v>
      </c>
      <c r="M16" s="113">
        <v>0</v>
      </c>
      <c r="N16" s="113"/>
      <c r="O16" s="113"/>
      <c r="Q16" s="412"/>
      <c r="R16" s="412"/>
      <c r="S16" s="412"/>
    </row>
    <row r="17" spans="1:15">
      <c r="A17" s="115" t="s">
        <v>394</v>
      </c>
      <c r="B17" s="112">
        <v>200</v>
      </c>
      <c r="C17" s="113">
        <f t="shared" si="0"/>
        <v>0</v>
      </c>
      <c r="D17" s="113">
        <f t="shared" si="1"/>
        <v>0</v>
      </c>
      <c r="E17" s="112">
        <v>50</v>
      </c>
      <c r="F17" s="191"/>
      <c r="G17" s="191"/>
      <c r="J17" s="413"/>
      <c r="K17" s="115" t="s">
        <v>394</v>
      </c>
      <c r="L17" s="113">
        <v>0</v>
      </c>
      <c r="M17" s="113">
        <v>0</v>
      </c>
      <c r="N17" s="113"/>
      <c r="O17" s="113"/>
    </row>
    <row r="18" spans="1:15">
      <c r="A18" s="115" t="s">
        <v>395</v>
      </c>
      <c r="B18" s="112">
        <v>200</v>
      </c>
      <c r="C18" s="113">
        <f t="shared" si="0"/>
        <v>0</v>
      </c>
      <c r="D18" s="113">
        <f t="shared" si="1"/>
        <v>0</v>
      </c>
      <c r="E18" s="112">
        <v>50</v>
      </c>
      <c r="F18" s="191"/>
      <c r="G18" s="191"/>
      <c r="J18" s="413"/>
      <c r="K18" s="115" t="s">
        <v>395</v>
      </c>
      <c r="L18" s="113">
        <v>0</v>
      </c>
      <c r="M18" s="113">
        <v>0</v>
      </c>
      <c r="N18" s="113"/>
      <c r="O18" s="113"/>
    </row>
    <row r="19" spans="1:15">
      <c r="J19" s="413"/>
      <c r="K19" s="111" t="s">
        <v>396</v>
      </c>
      <c r="L19" s="111">
        <f>AVERAGE(L7:L18)</f>
        <v>9.7083333333333339</v>
      </c>
      <c r="M19" s="111">
        <f>MAX(M7:M18)</f>
        <v>222</v>
      </c>
      <c r="N19" s="111">
        <f>AVERAGE(N7:N18)</f>
        <v>12.944444444444445</v>
      </c>
      <c r="O19" s="111">
        <f>MAX(O7:O18)</f>
        <v>35.6</v>
      </c>
    </row>
    <row r="21" spans="1:15" ht="41.45">
      <c r="J21" s="110">
        <f>+A6</f>
        <v>2022</v>
      </c>
      <c r="K21" s="110" t="s">
        <v>378</v>
      </c>
      <c r="L21" s="116" t="s">
        <v>373</v>
      </c>
      <c r="M21" s="116" t="s">
        <v>379</v>
      </c>
      <c r="N21" s="116" t="s">
        <v>376</v>
      </c>
      <c r="O21" s="116" t="s">
        <v>380</v>
      </c>
    </row>
    <row r="22" spans="1:15" ht="14.45">
      <c r="J22" s="413" t="s">
        <v>185</v>
      </c>
      <c r="K22" s="115" t="s">
        <v>381</v>
      </c>
      <c r="L22" s="113">
        <v>10.1</v>
      </c>
      <c r="M22" s="113">
        <v>32.1</v>
      </c>
      <c r="N22" s="174">
        <v>10.199999999999999</v>
      </c>
      <c r="O22" s="174">
        <v>13.1</v>
      </c>
    </row>
    <row r="23" spans="1:15" ht="14.45">
      <c r="J23" s="413"/>
      <c r="K23" s="115" t="s">
        <v>382</v>
      </c>
      <c r="L23" s="113">
        <v>12</v>
      </c>
      <c r="M23" s="113">
        <v>137.5</v>
      </c>
      <c r="N23" s="175">
        <v>12</v>
      </c>
      <c r="O23" s="175">
        <v>26.7</v>
      </c>
    </row>
    <row r="24" spans="1:15" ht="14.45">
      <c r="J24" s="413"/>
      <c r="K24" s="115" t="s">
        <v>383</v>
      </c>
      <c r="L24" s="113">
        <v>16.600000000000001</v>
      </c>
      <c r="M24" s="113">
        <v>119.8</v>
      </c>
      <c r="N24" s="175">
        <v>16.600000000000001</v>
      </c>
      <c r="O24" s="175">
        <v>43.1</v>
      </c>
    </row>
    <row r="25" spans="1:15" ht="14.45">
      <c r="J25" s="413"/>
      <c r="K25" s="115" t="s">
        <v>385</v>
      </c>
      <c r="L25" s="113">
        <v>17.2</v>
      </c>
      <c r="M25" s="113">
        <v>48.3</v>
      </c>
      <c r="N25" s="175">
        <v>17.2</v>
      </c>
      <c r="O25" s="175">
        <v>26.8</v>
      </c>
    </row>
    <row r="26" spans="1:15" ht="14.45">
      <c r="J26" s="413"/>
      <c r="K26" s="115" t="s">
        <v>387</v>
      </c>
      <c r="L26" s="113">
        <v>16.899999999999999</v>
      </c>
      <c r="M26" s="113">
        <v>117</v>
      </c>
      <c r="N26" s="175">
        <v>16.899999999999999</v>
      </c>
      <c r="O26" s="175">
        <v>38.700000000000003</v>
      </c>
    </row>
    <row r="27" spans="1:15" ht="14.45">
      <c r="J27" s="413"/>
      <c r="K27" s="115" t="s">
        <v>388</v>
      </c>
      <c r="L27" s="113">
        <v>15.2</v>
      </c>
      <c r="M27" s="113">
        <v>67.3</v>
      </c>
      <c r="N27" s="175">
        <v>15.2</v>
      </c>
      <c r="O27" s="175">
        <v>29.3</v>
      </c>
    </row>
    <row r="28" spans="1:15" ht="14.45">
      <c r="J28" s="413"/>
      <c r="K28" s="115" t="s">
        <v>389</v>
      </c>
      <c r="L28" s="113">
        <v>11.3</v>
      </c>
      <c r="M28" s="113">
        <v>90.6</v>
      </c>
      <c r="N28" s="175">
        <v>11.3</v>
      </c>
      <c r="O28" s="175">
        <v>18.8</v>
      </c>
    </row>
    <row r="29" spans="1:15" ht="14.45">
      <c r="J29" s="413"/>
      <c r="K29" s="115" t="s">
        <v>391</v>
      </c>
      <c r="L29" s="113">
        <v>14.6</v>
      </c>
      <c r="M29" s="113">
        <v>67</v>
      </c>
      <c r="N29" s="175">
        <v>14.6</v>
      </c>
      <c r="O29" s="175">
        <v>30</v>
      </c>
    </row>
    <row r="30" spans="1:15" ht="14.45">
      <c r="J30" s="413"/>
      <c r="K30" s="115" t="s">
        <v>392</v>
      </c>
      <c r="L30" s="113">
        <v>10.8</v>
      </c>
      <c r="M30" s="113">
        <v>48.7</v>
      </c>
      <c r="N30" s="175">
        <v>10.8</v>
      </c>
      <c r="O30" s="175">
        <v>14.2</v>
      </c>
    </row>
    <row r="31" spans="1:15">
      <c r="J31" s="413"/>
      <c r="K31" s="115" t="s">
        <v>393</v>
      </c>
      <c r="L31" s="113">
        <v>0</v>
      </c>
      <c r="M31" s="113">
        <v>0</v>
      </c>
      <c r="N31" s="113"/>
      <c r="O31" s="113"/>
    </row>
    <row r="32" spans="1:15">
      <c r="J32" s="413"/>
      <c r="K32" s="115" t="s">
        <v>394</v>
      </c>
      <c r="L32" s="113">
        <v>0</v>
      </c>
      <c r="M32" s="113">
        <v>0</v>
      </c>
      <c r="N32" s="113"/>
      <c r="O32" s="113"/>
    </row>
    <row r="33" spans="1:15">
      <c r="J33" s="413"/>
      <c r="K33" s="115" t="s">
        <v>395</v>
      </c>
      <c r="L33" s="113">
        <v>0</v>
      </c>
      <c r="M33" s="113">
        <v>0</v>
      </c>
      <c r="N33" s="113"/>
      <c r="O33" s="113"/>
    </row>
    <row r="34" spans="1:15">
      <c r="J34" s="413"/>
      <c r="K34" s="111" t="s">
        <v>396</v>
      </c>
      <c r="L34" s="111">
        <f>AVERAGE(L22:L33)</f>
        <v>10.391666666666667</v>
      </c>
      <c r="M34" s="111">
        <f>MAX(M22:M33)</f>
        <v>137.5</v>
      </c>
      <c r="N34" s="111">
        <f>AVERAGE(N22:N33)</f>
        <v>13.866666666666667</v>
      </c>
      <c r="O34" s="111">
        <f>MAX(O22:O33)</f>
        <v>43.1</v>
      </c>
    </row>
    <row r="36" spans="1:15" ht="41.45">
      <c r="J36" s="110">
        <f>+A6</f>
        <v>2022</v>
      </c>
      <c r="K36" s="110" t="s">
        <v>378</v>
      </c>
      <c r="L36" s="116" t="s">
        <v>373</v>
      </c>
      <c r="M36" s="116" t="s">
        <v>379</v>
      </c>
      <c r="N36" s="116" t="s">
        <v>376</v>
      </c>
      <c r="O36" s="116" t="s">
        <v>380</v>
      </c>
    </row>
    <row r="37" spans="1:15">
      <c r="J37" s="413" t="s">
        <v>186</v>
      </c>
      <c r="K37" s="115" t="s">
        <v>381</v>
      </c>
      <c r="L37" s="113"/>
      <c r="M37" s="113"/>
      <c r="N37" s="113"/>
      <c r="O37" s="113"/>
    </row>
    <row r="38" spans="1:15">
      <c r="J38" s="413"/>
      <c r="K38" s="115" t="s">
        <v>382</v>
      </c>
      <c r="L38" s="113"/>
      <c r="M38" s="113"/>
      <c r="N38" s="113"/>
      <c r="O38" s="113"/>
    </row>
    <row r="39" spans="1:15">
      <c r="J39" s="413"/>
      <c r="K39" s="115" t="s">
        <v>383</v>
      </c>
      <c r="L39" s="113"/>
      <c r="M39" s="113"/>
      <c r="N39" s="113"/>
      <c r="O39" s="113"/>
    </row>
    <row r="40" spans="1:15">
      <c r="J40" s="413"/>
      <c r="K40" s="115" t="s">
        <v>385</v>
      </c>
      <c r="L40" s="113"/>
      <c r="M40" s="113"/>
      <c r="N40" s="113"/>
      <c r="O40" s="113"/>
    </row>
    <row r="41" spans="1:15">
      <c r="J41" s="413"/>
      <c r="K41" s="115" t="s">
        <v>387</v>
      </c>
      <c r="L41" s="113"/>
      <c r="M41" s="113"/>
      <c r="N41" s="113"/>
      <c r="O41" s="113"/>
    </row>
    <row r="42" spans="1:15">
      <c r="J42" s="413"/>
      <c r="K42" s="115" t="s">
        <v>388</v>
      </c>
      <c r="L42" s="113"/>
      <c r="M42" s="113"/>
      <c r="N42" s="113"/>
      <c r="O42" s="113"/>
    </row>
    <row r="43" spans="1:15">
      <c r="J43" s="413"/>
      <c r="K43" s="115" t="s">
        <v>389</v>
      </c>
      <c r="L43" s="113"/>
      <c r="M43" s="113"/>
      <c r="N43" s="113"/>
      <c r="O43" s="113"/>
    </row>
    <row r="44" spans="1:15">
      <c r="J44" s="413"/>
      <c r="K44" s="115" t="s">
        <v>391</v>
      </c>
      <c r="L44" s="113"/>
      <c r="M44" s="113"/>
      <c r="N44" s="113"/>
      <c r="O44" s="113"/>
    </row>
    <row r="45" spans="1:15">
      <c r="J45" s="413"/>
      <c r="K45" s="115" t="s">
        <v>392</v>
      </c>
      <c r="L45" s="113"/>
      <c r="M45" s="113"/>
      <c r="N45" s="113"/>
      <c r="O45" s="113"/>
    </row>
    <row r="46" spans="1:15">
      <c r="J46" s="413"/>
      <c r="K46" s="115" t="s">
        <v>393</v>
      </c>
      <c r="L46" s="113"/>
      <c r="M46" s="113"/>
      <c r="N46" s="113"/>
      <c r="O46" s="113"/>
    </row>
    <row r="47" spans="1:15">
      <c r="J47" s="413"/>
      <c r="K47" s="115" t="s">
        <v>394</v>
      </c>
      <c r="L47" s="113"/>
      <c r="M47" s="113"/>
      <c r="N47" s="113"/>
      <c r="O47" s="113"/>
    </row>
    <row r="48" spans="1:15">
      <c r="A48" s="419" t="s">
        <v>284</v>
      </c>
      <c r="B48" s="420"/>
      <c r="C48" s="420"/>
      <c r="D48" s="420"/>
      <c r="E48" s="420"/>
      <c r="F48" s="420"/>
      <c r="G48" s="421"/>
      <c r="J48" s="413"/>
      <c r="K48" s="115" t="s">
        <v>395</v>
      </c>
      <c r="L48" s="113"/>
      <c r="M48" s="113"/>
      <c r="N48" s="113"/>
      <c r="O48" s="113"/>
    </row>
    <row r="49" spans="1:15">
      <c r="A49" s="403"/>
      <c r="B49" s="404"/>
      <c r="C49" s="404"/>
      <c r="D49" s="404"/>
      <c r="E49" s="404"/>
      <c r="F49" s="404"/>
      <c r="G49" s="405"/>
      <c r="J49" s="413"/>
      <c r="K49" s="111" t="s">
        <v>396</v>
      </c>
      <c r="L49" s="111" t="e">
        <f>AVERAGE(L37:L48)</f>
        <v>#DIV/0!</v>
      </c>
      <c r="M49" s="111">
        <f>MAX(M37:M48)</f>
        <v>0</v>
      </c>
      <c r="N49" s="111" t="e">
        <f>AVERAGE(N37:N48)</f>
        <v>#DIV/0!</v>
      </c>
      <c r="O49" s="111">
        <f>MAX(O37:O48)</f>
        <v>0</v>
      </c>
    </row>
    <row r="50" spans="1:15">
      <c r="A50" s="416"/>
      <c r="B50" s="417"/>
      <c r="C50" s="417"/>
      <c r="D50" s="417"/>
      <c r="E50" s="417"/>
      <c r="F50" s="417"/>
      <c r="G50" s="418"/>
    </row>
    <row r="51" spans="1:15" ht="41.45">
      <c r="A51" s="416"/>
      <c r="B51" s="417"/>
      <c r="C51" s="417"/>
      <c r="D51" s="417"/>
      <c r="E51" s="417"/>
      <c r="F51" s="417"/>
      <c r="G51" s="418"/>
      <c r="J51" s="110">
        <f>+A6</f>
        <v>2022</v>
      </c>
      <c r="K51" s="110" t="s">
        <v>378</v>
      </c>
      <c r="L51" s="116" t="s">
        <v>373</v>
      </c>
      <c r="M51" s="116" t="s">
        <v>379</v>
      </c>
      <c r="N51" s="116" t="s">
        <v>376</v>
      </c>
      <c r="O51" s="116" t="s">
        <v>380</v>
      </c>
    </row>
    <row r="52" spans="1:15">
      <c r="A52" s="406"/>
      <c r="B52" s="407"/>
      <c r="C52" s="407"/>
      <c r="D52" s="407"/>
      <c r="E52" s="407"/>
      <c r="F52" s="407"/>
      <c r="G52" s="408"/>
      <c r="J52" s="413" t="s">
        <v>299</v>
      </c>
      <c r="K52" s="115" t="s">
        <v>381</v>
      </c>
      <c r="L52" s="113"/>
      <c r="M52" s="113"/>
      <c r="N52" s="113"/>
      <c r="O52" s="113"/>
    </row>
    <row r="53" spans="1:15">
      <c r="J53" s="413"/>
      <c r="K53" s="115" t="s">
        <v>382</v>
      </c>
      <c r="L53" s="113"/>
      <c r="M53" s="113"/>
      <c r="N53" s="113"/>
      <c r="O53" s="113"/>
    </row>
    <row r="54" spans="1:15">
      <c r="J54" s="413"/>
      <c r="K54" s="115" t="s">
        <v>383</v>
      </c>
      <c r="L54" s="113"/>
      <c r="M54" s="113"/>
      <c r="N54" s="113"/>
      <c r="O54" s="113"/>
    </row>
    <row r="55" spans="1:15">
      <c r="J55" s="413"/>
      <c r="K55" s="115" t="s">
        <v>385</v>
      </c>
      <c r="L55" s="113"/>
      <c r="M55" s="113"/>
      <c r="N55" s="113"/>
      <c r="O55" s="113"/>
    </row>
    <row r="56" spans="1:15">
      <c r="J56" s="413"/>
      <c r="K56" s="115" t="s">
        <v>387</v>
      </c>
      <c r="L56" s="113"/>
      <c r="M56" s="113"/>
      <c r="N56" s="113"/>
      <c r="O56" s="113"/>
    </row>
    <row r="57" spans="1:15">
      <c r="J57" s="413"/>
      <c r="K57" s="115" t="s">
        <v>388</v>
      </c>
      <c r="L57" s="113"/>
      <c r="M57" s="113"/>
      <c r="N57" s="113"/>
      <c r="O57" s="113"/>
    </row>
    <row r="58" spans="1:15">
      <c r="J58" s="413"/>
      <c r="K58" s="115" t="s">
        <v>389</v>
      </c>
      <c r="L58" s="113"/>
      <c r="M58" s="113"/>
      <c r="N58" s="113"/>
      <c r="O58" s="113"/>
    </row>
    <row r="59" spans="1:15">
      <c r="J59" s="413"/>
      <c r="K59" s="115" t="s">
        <v>391</v>
      </c>
      <c r="L59" s="113"/>
      <c r="M59" s="113"/>
      <c r="N59" s="113"/>
      <c r="O59" s="113"/>
    </row>
    <row r="60" spans="1:15">
      <c r="J60" s="413"/>
      <c r="K60" s="115" t="s">
        <v>392</v>
      </c>
      <c r="L60" s="113"/>
      <c r="M60" s="113"/>
      <c r="N60" s="113"/>
      <c r="O60" s="113"/>
    </row>
    <row r="61" spans="1:15">
      <c r="J61" s="413"/>
      <c r="K61" s="115" t="s">
        <v>393</v>
      </c>
      <c r="L61" s="113"/>
      <c r="M61" s="113"/>
      <c r="N61" s="113"/>
      <c r="O61" s="113"/>
    </row>
    <row r="62" spans="1:15">
      <c r="J62" s="413"/>
      <c r="K62" s="115" t="s">
        <v>394</v>
      </c>
      <c r="L62" s="113"/>
      <c r="M62" s="113"/>
      <c r="N62" s="113"/>
      <c r="O62" s="113"/>
    </row>
    <row r="63" spans="1:15">
      <c r="J63" s="413"/>
      <c r="K63" s="115" t="s">
        <v>395</v>
      </c>
      <c r="L63" s="113"/>
      <c r="M63" s="113"/>
      <c r="N63" s="113"/>
      <c r="O63" s="113"/>
    </row>
    <row r="64" spans="1:15">
      <c r="J64" s="413"/>
      <c r="K64" s="111" t="s">
        <v>396</v>
      </c>
      <c r="L64" s="111" t="e">
        <f>AVERAGE(L52:L63)</f>
        <v>#DIV/0!</v>
      </c>
      <c r="M64" s="111">
        <f>MAX(M52:M63)</f>
        <v>0</v>
      </c>
      <c r="N64" s="111" t="e">
        <f>AVERAGE(N52:N63)</f>
        <v>#DIV/0!</v>
      </c>
      <c r="O64" s="111">
        <f>MAX(O52:O63)</f>
        <v>0</v>
      </c>
    </row>
    <row r="66" spans="10:15" ht="41.45">
      <c r="J66" s="110">
        <f>+A6</f>
        <v>2022</v>
      </c>
      <c r="K66" s="110" t="s">
        <v>378</v>
      </c>
      <c r="L66" s="116" t="s">
        <v>373</v>
      </c>
      <c r="M66" s="116" t="s">
        <v>379</v>
      </c>
      <c r="N66" s="116" t="s">
        <v>376</v>
      </c>
      <c r="O66" s="116" t="s">
        <v>380</v>
      </c>
    </row>
    <row r="67" spans="10:15">
      <c r="J67" s="413" t="s">
        <v>300</v>
      </c>
      <c r="K67" s="115" t="s">
        <v>381</v>
      </c>
      <c r="L67" s="113"/>
      <c r="M67" s="113"/>
      <c r="N67" s="113"/>
      <c r="O67" s="113"/>
    </row>
    <row r="68" spans="10:15">
      <c r="J68" s="413"/>
      <c r="K68" s="115" t="s">
        <v>382</v>
      </c>
      <c r="L68" s="113"/>
      <c r="M68" s="113"/>
      <c r="N68" s="113"/>
      <c r="O68" s="113"/>
    </row>
    <row r="69" spans="10:15">
      <c r="J69" s="413"/>
      <c r="K69" s="115" t="s">
        <v>383</v>
      </c>
      <c r="L69" s="113"/>
      <c r="M69" s="113"/>
      <c r="N69" s="113"/>
      <c r="O69" s="113"/>
    </row>
    <row r="70" spans="10:15">
      <c r="J70" s="413"/>
      <c r="K70" s="115" t="s">
        <v>385</v>
      </c>
      <c r="L70" s="113"/>
      <c r="M70" s="113"/>
      <c r="N70" s="113"/>
      <c r="O70" s="113"/>
    </row>
    <row r="71" spans="10:15">
      <c r="J71" s="413"/>
      <c r="K71" s="115" t="s">
        <v>387</v>
      </c>
      <c r="L71" s="113"/>
      <c r="M71" s="113"/>
      <c r="N71" s="113"/>
      <c r="O71" s="113"/>
    </row>
    <row r="72" spans="10:15">
      <c r="J72" s="413"/>
      <c r="K72" s="115" t="s">
        <v>388</v>
      </c>
      <c r="L72" s="113"/>
      <c r="M72" s="113"/>
      <c r="N72" s="113"/>
      <c r="O72" s="113"/>
    </row>
    <row r="73" spans="10:15">
      <c r="J73" s="413"/>
      <c r="K73" s="115" t="s">
        <v>389</v>
      </c>
      <c r="L73" s="113"/>
      <c r="M73" s="113"/>
      <c r="N73" s="113"/>
      <c r="O73" s="113"/>
    </row>
    <row r="74" spans="10:15">
      <c r="J74" s="413"/>
      <c r="K74" s="115" t="s">
        <v>391</v>
      </c>
      <c r="L74" s="113"/>
      <c r="M74" s="113"/>
      <c r="N74" s="113"/>
      <c r="O74" s="113"/>
    </row>
    <row r="75" spans="10:15">
      <c r="J75" s="413"/>
      <c r="K75" s="115" t="s">
        <v>392</v>
      </c>
      <c r="L75" s="113"/>
      <c r="M75" s="113"/>
      <c r="N75" s="113"/>
      <c r="O75" s="113"/>
    </row>
    <row r="76" spans="10:15">
      <c r="J76" s="413"/>
      <c r="K76" s="115" t="s">
        <v>393</v>
      </c>
      <c r="L76" s="113"/>
      <c r="M76" s="113"/>
      <c r="N76" s="113"/>
      <c r="O76" s="113"/>
    </row>
    <row r="77" spans="10:15">
      <c r="J77" s="413"/>
      <c r="K77" s="115" t="s">
        <v>394</v>
      </c>
      <c r="L77" s="113"/>
      <c r="M77" s="113"/>
      <c r="N77" s="113"/>
      <c r="O77" s="113"/>
    </row>
    <row r="78" spans="10:15">
      <c r="J78" s="413"/>
      <c r="K78" s="115" t="s">
        <v>395</v>
      </c>
      <c r="L78" s="113"/>
      <c r="M78" s="113"/>
      <c r="N78" s="113"/>
      <c r="O78" s="113"/>
    </row>
    <row r="79" spans="10:15">
      <c r="J79" s="413"/>
      <c r="K79" s="111" t="s">
        <v>396</v>
      </c>
      <c r="L79" s="111" t="e">
        <f>AVERAGE(L67:L78)</f>
        <v>#DIV/0!</v>
      </c>
      <c r="M79" s="111">
        <f>MAX(M67:M78)</f>
        <v>0</v>
      </c>
      <c r="N79" s="111" t="e">
        <f>AVERAGE(N67:N78)</f>
        <v>#DIV/0!</v>
      </c>
      <c r="O79" s="11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topLeftCell="B1" zoomScaleNormal="100" workbookViewId="0">
      <selection activeCell="I19" sqref="I19"/>
    </sheetView>
  </sheetViews>
  <sheetFormatPr defaultRowHeight="13.9"/>
  <cols>
    <col min="1" max="1" width="14" style="3" customWidth="1"/>
    <col min="2" max="4" width="17" style="73" customWidth="1"/>
    <col min="5" max="5" width="14.7109375" style="73" customWidth="1"/>
    <col min="6" max="7" width="17" style="73"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142" t="str">
        <f>+'Cover Page'!$B$29</f>
        <v>Annual Performance Report 2022</v>
      </c>
      <c r="B1" s="142"/>
      <c r="C1" s="142"/>
      <c r="D1" s="142"/>
      <c r="E1" s="142" t="str">
        <f>+'Cover Page'!$B$33</f>
        <v>Name of Facility: Thalia MK ODC Limited</v>
      </c>
      <c r="F1" s="142"/>
    </row>
    <row r="3" spans="1:19" ht="14.45">
      <c r="A3" s="109" t="s">
        <v>401</v>
      </c>
      <c r="D3" s="129" t="s">
        <v>365</v>
      </c>
      <c r="G3" s="133" t="s">
        <v>366</v>
      </c>
      <c r="J3" s="9" t="str">
        <f>+A3</f>
        <v>Monitoring of Oxides of Nitrogen emissions</v>
      </c>
      <c r="L3" s="9"/>
      <c r="N3" s="9" t="s">
        <v>367</v>
      </c>
      <c r="Q3" s="132" t="s">
        <v>3</v>
      </c>
      <c r="R3" s="126"/>
      <c r="S3" s="126"/>
    </row>
    <row r="4" spans="1:19" ht="13.9" customHeight="1">
      <c r="Q4" s="385" t="s">
        <v>368</v>
      </c>
      <c r="R4" s="385"/>
      <c r="S4" s="385"/>
    </row>
    <row r="5" spans="1:19" ht="16.149999999999999">
      <c r="A5" s="117" t="s">
        <v>369</v>
      </c>
      <c r="B5" s="415" t="s">
        <v>370</v>
      </c>
      <c r="C5" s="415"/>
      <c r="D5" s="415"/>
      <c r="E5" s="415" t="s">
        <v>371</v>
      </c>
      <c r="F5" s="415"/>
      <c r="G5" s="415"/>
      <c r="J5" s="414"/>
      <c r="K5" s="414"/>
      <c r="L5" s="414"/>
      <c r="M5" s="414"/>
      <c r="N5" s="414"/>
      <c r="O5" s="414"/>
      <c r="Q5" s="385"/>
      <c r="R5" s="385"/>
      <c r="S5" s="385"/>
    </row>
    <row r="6" spans="1:19" s="107" customFormat="1" ht="37.5" customHeight="1">
      <c r="A6" s="114">
        <f>+'Cover Page'!C39</f>
        <v>2022</v>
      </c>
      <c r="B6" s="103" t="s">
        <v>402</v>
      </c>
      <c r="C6" s="103" t="s">
        <v>373</v>
      </c>
      <c r="D6" s="103" t="s">
        <v>374</v>
      </c>
      <c r="E6" s="103" t="s">
        <v>403</v>
      </c>
      <c r="F6" s="116" t="s">
        <v>376</v>
      </c>
      <c r="G6" s="116" t="s">
        <v>377</v>
      </c>
      <c r="H6" s="108"/>
      <c r="J6" s="110">
        <f>+A6</f>
        <v>2022</v>
      </c>
      <c r="K6" s="110" t="s">
        <v>378</v>
      </c>
      <c r="L6" s="116" t="s">
        <v>373</v>
      </c>
      <c r="M6" s="116" t="s">
        <v>379</v>
      </c>
      <c r="N6" s="116" t="s">
        <v>376</v>
      </c>
      <c r="O6" s="116" t="s">
        <v>380</v>
      </c>
      <c r="Q6" s="385"/>
      <c r="R6" s="385"/>
      <c r="S6" s="385"/>
    </row>
    <row r="7" spans="1:19" ht="14.45">
      <c r="A7" s="115" t="s">
        <v>381</v>
      </c>
      <c r="B7" s="112">
        <v>400</v>
      </c>
      <c r="C7" s="113">
        <f>(L7+L22)/2</f>
        <v>65.150000000000006</v>
      </c>
      <c r="D7" s="113">
        <f>(M7+M22)/2</f>
        <v>170.35000000000002</v>
      </c>
      <c r="E7" s="178">
        <v>200</v>
      </c>
      <c r="F7" s="180">
        <v>65.150000000000006</v>
      </c>
      <c r="G7" s="177">
        <v>94.4</v>
      </c>
      <c r="J7" s="413" t="s">
        <v>184</v>
      </c>
      <c r="K7" s="115" t="s">
        <v>381</v>
      </c>
      <c r="L7" s="113">
        <v>70.8</v>
      </c>
      <c r="M7" s="113">
        <v>191.4</v>
      </c>
      <c r="N7" s="174">
        <v>70.8</v>
      </c>
      <c r="O7" s="174">
        <v>103.6</v>
      </c>
      <c r="Q7" s="385"/>
      <c r="R7" s="385"/>
      <c r="S7" s="385"/>
    </row>
    <row r="8" spans="1:19" ht="14.45">
      <c r="A8" s="115" t="s">
        <v>382</v>
      </c>
      <c r="B8" s="112">
        <v>400</v>
      </c>
      <c r="C8" s="113">
        <f t="shared" ref="C8:C18" si="0">(L8+L23)/2</f>
        <v>74.400000000000006</v>
      </c>
      <c r="D8" s="113">
        <f t="shared" ref="D8:D18" si="1">(M8+M23)/2</f>
        <v>189.10000000000002</v>
      </c>
      <c r="E8" s="178">
        <v>200</v>
      </c>
      <c r="F8" s="180">
        <v>74.400000000000006</v>
      </c>
      <c r="G8" s="177">
        <v>104.9</v>
      </c>
      <c r="J8" s="413"/>
      <c r="K8" s="115" t="s">
        <v>382</v>
      </c>
      <c r="L8" s="113">
        <v>70.599999999999994</v>
      </c>
      <c r="M8" s="113">
        <v>208.9</v>
      </c>
      <c r="N8" s="175">
        <v>70.599999999999994</v>
      </c>
      <c r="O8" s="175">
        <v>106.4</v>
      </c>
      <c r="Q8" s="385"/>
      <c r="R8" s="385"/>
      <c r="S8" s="385"/>
    </row>
    <row r="9" spans="1:19" ht="14.45">
      <c r="A9" s="115" t="s">
        <v>383</v>
      </c>
      <c r="B9" s="112">
        <v>400</v>
      </c>
      <c r="C9" s="113">
        <f t="shared" si="0"/>
        <v>58.099999999999994</v>
      </c>
      <c r="D9" s="113">
        <f t="shared" si="1"/>
        <v>199.10000000000002</v>
      </c>
      <c r="E9" s="178">
        <v>200</v>
      </c>
      <c r="F9" s="180">
        <v>58.1</v>
      </c>
      <c r="G9" s="177">
        <v>87.25</v>
      </c>
      <c r="J9" s="413"/>
      <c r="K9" s="115" t="s">
        <v>383</v>
      </c>
      <c r="L9" s="113">
        <v>53.3</v>
      </c>
      <c r="M9" s="113">
        <v>239.3</v>
      </c>
      <c r="N9" s="175">
        <v>53.3</v>
      </c>
      <c r="O9" s="175">
        <v>67.900000000000006</v>
      </c>
      <c r="Q9" s="131" t="s">
        <v>384</v>
      </c>
    </row>
    <row r="10" spans="1:19" ht="14.25" customHeight="1">
      <c r="A10" s="115" t="s">
        <v>385</v>
      </c>
      <c r="B10" s="112">
        <v>400</v>
      </c>
      <c r="C10" s="113">
        <f t="shared" si="0"/>
        <v>58.400000000000006</v>
      </c>
      <c r="D10" s="113">
        <f t="shared" si="1"/>
        <v>143.19999999999999</v>
      </c>
      <c r="E10" s="178">
        <v>200</v>
      </c>
      <c r="F10" s="180">
        <v>58.4</v>
      </c>
      <c r="G10" s="177">
        <v>78.5</v>
      </c>
      <c r="J10" s="413"/>
      <c r="K10" s="115" t="s">
        <v>385</v>
      </c>
      <c r="L10" s="113">
        <v>55.6</v>
      </c>
      <c r="M10" s="113">
        <v>167.9</v>
      </c>
      <c r="N10" s="175">
        <v>55.6</v>
      </c>
      <c r="O10" s="175">
        <v>82.2</v>
      </c>
      <c r="Q10" s="412" t="s">
        <v>400</v>
      </c>
      <c r="R10" s="412"/>
      <c r="S10" s="412"/>
    </row>
    <row r="11" spans="1:19" ht="14.45">
      <c r="A11" s="115" t="s">
        <v>387</v>
      </c>
      <c r="B11" s="112">
        <v>400</v>
      </c>
      <c r="C11" s="113">
        <f t="shared" si="0"/>
        <v>65.949999999999989</v>
      </c>
      <c r="D11" s="113">
        <f t="shared" si="1"/>
        <v>152.35000000000002</v>
      </c>
      <c r="E11" s="178">
        <v>200</v>
      </c>
      <c r="F11" s="180">
        <v>65.95</v>
      </c>
      <c r="G11" s="177">
        <v>100.2</v>
      </c>
      <c r="J11" s="413"/>
      <c r="K11" s="115" t="s">
        <v>387</v>
      </c>
      <c r="L11" s="113">
        <v>66.099999999999994</v>
      </c>
      <c r="M11" s="113">
        <v>172.3</v>
      </c>
      <c r="N11" s="175">
        <v>66.099999999999994</v>
      </c>
      <c r="O11" s="175">
        <v>103.5</v>
      </c>
      <c r="Q11" s="412"/>
      <c r="R11" s="412"/>
      <c r="S11" s="412"/>
    </row>
    <row r="12" spans="1:19" ht="14.45">
      <c r="A12" s="115" t="s">
        <v>388</v>
      </c>
      <c r="B12" s="112">
        <v>400</v>
      </c>
      <c r="C12" s="113">
        <f t="shared" si="0"/>
        <v>74.3</v>
      </c>
      <c r="D12" s="113">
        <f t="shared" si="1"/>
        <v>143.25</v>
      </c>
      <c r="E12" s="178">
        <v>200</v>
      </c>
      <c r="F12" s="180">
        <v>74.3</v>
      </c>
      <c r="G12" s="177">
        <v>92.1</v>
      </c>
      <c r="J12" s="413"/>
      <c r="K12" s="115" t="s">
        <v>388</v>
      </c>
      <c r="L12" s="113">
        <v>73.099999999999994</v>
      </c>
      <c r="M12" s="113">
        <v>156.9</v>
      </c>
      <c r="N12" s="175">
        <v>73.099999999999994</v>
      </c>
      <c r="O12" s="175">
        <v>87.8</v>
      </c>
      <c r="Q12" s="412"/>
      <c r="R12" s="412"/>
      <c r="S12" s="412"/>
    </row>
    <row r="13" spans="1:19" ht="14.25" customHeight="1">
      <c r="A13" s="115" t="s">
        <v>389</v>
      </c>
      <c r="B13" s="112">
        <v>400</v>
      </c>
      <c r="C13" s="113">
        <f t="shared" si="0"/>
        <v>74.150000000000006</v>
      </c>
      <c r="D13" s="113">
        <f t="shared" si="1"/>
        <v>180.95</v>
      </c>
      <c r="E13" s="178">
        <v>200</v>
      </c>
      <c r="F13" s="180">
        <v>74.150000000000006</v>
      </c>
      <c r="G13" s="177">
        <v>99.1</v>
      </c>
      <c r="J13" s="413"/>
      <c r="K13" s="115" t="s">
        <v>389</v>
      </c>
      <c r="L13" s="113">
        <v>79.7</v>
      </c>
      <c r="M13" s="113">
        <v>194.6</v>
      </c>
      <c r="N13" s="175">
        <v>79.7</v>
      </c>
      <c r="O13" s="175">
        <v>110</v>
      </c>
      <c r="Q13" s="412" t="s">
        <v>390</v>
      </c>
      <c r="R13" s="412"/>
      <c r="S13" s="412"/>
    </row>
    <row r="14" spans="1:19" ht="14.45">
      <c r="A14" s="115" t="s">
        <v>391</v>
      </c>
      <c r="B14" s="112">
        <v>400</v>
      </c>
      <c r="C14" s="113">
        <f t="shared" si="0"/>
        <v>82.9</v>
      </c>
      <c r="D14" s="113">
        <f t="shared" si="1"/>
        <v>193.25</v>
      </c>
      <c r="E14" s="178">
        <v>200</v>
      </c>
      <c r="F14" s="180">
        <v>82.9</v>
      </c>
      <c r="G14" s="177">
        <v>113.7</v>
      </c>
      <c r="J14" s="413"/>
      <c r="K14" s="115" t="s">
        <v>391</v>
      </c>
      <c r="L14" s="113">
        <v>92.9</v>
      </c>
      <c r="M14" s="113">
        <v>222.4</v>
      </c>
      <c r="N14" s="175">
        <v>92.9</v>
      </c>
      <c r="O14" s="175">
        <v>136.19999999999999</v>
      </c>
      <c r="Q14" s="412"/>
      <c r="R14" s="412"/>
      <c r="S14" s="412"/>
    </row>
    <row r="15" spans="1:19" ht="14.45">
      <c r="A15" s="115" t="s">
        <v>392</v>
      </c>
      <c r="B15" s="112">
        <v>400</v>
      </c>
      <c r="C15" s="113">
        <f t="shared" si="0"/>
        <v>69.849999999999994</v>
      </c>
      <c r="D15" s="113">
        <f t="shared" si="1"/>
        <v>152.05000000000001</v>
      </c>
      <c r="E15" s="178">
        <v>200</v>
      </c>
      <c r="F15" s="180">
        <v>69.849999999999994</v>
      </c>
      <c r="G15" s="177">
        <v>85.1</v>
      </c>
      <c r="J15" s="413"/>
      <c r="K15" s="115" t="s">
        <v>392</v>
      </c>
      <c r="L15" s="113">
        <v>72.099999999999994</v>
      </c>
      <c r="M15" s="113">
        <v>178</v>
      </c>
      <c r="N15" s="175">
        <v>72.099999999999994</v>
      </c>
      <c r="O15" s="175">
        <v>87.5</v>
      </c>
      <c r="Q15" s="412"/>
      <c r="R15" s="412"/>
      <c r="S15" s="412"/>
    </row>
    <row r="16" spans="1:19">
      <c r="A16" s="115" t="s">
        <v>393</v>
      </c>
      <c r="B16" s="112">
        <v>400</v>
      </c>
      <c r="C16" s="113">
        <f t="shared" si="0"/>
        <v>3.4</v>
      </c>
      <c r="D16" s="113">
        <f t="shared" si="1"/>
        <v>3.9</v>
      </c>
      <c r="E16" s="112">
        <v>200</v>
      </c>
      <c r="F16" s="179"/>
      <c r="G16" s="179"/>
      <c r="J16" s="413"/>
      <c r="K16" s="115" t="s">
        <v>393</v>
      </c>
      <c r="L16" s="113">
        <v>6.8</v>
      </c>
      <c r="M16" s="113">
        <v>7.8</v>
      </c>
      <c r="N16" s="113"/>
      <c r="O16" s="113"/>
      <c r="Q16" s="412"/>
      <c r="R16" s="412"/>
      <c r="S16" s="412"/>
    </row>
    <row r="17" spans="1:15">
      <c r="A17" s="115" t="s">
        <v>394</v>
      </c>
      <c r="B17" s="112">
        <v>400</v>
      </c>
      <c r="C17" s="113">
        <f t="shared" si="0"/>
        <v>0</v>
      </c>
      <c r="D17" s="113">
        <f t="shared" si="1"/>
        <v>0</v>
      </c>
      <c r="E17" s="112">
        <v>200</v>
      </c>
      <c r="F17" s="176"/>
      <c r="G17" s="176"/>
      <c r="J17" s="413"/>
      <c r="K17" s="115" t="s">
        <v>394</v>
      </c>
      <c r="L17" s="113">
        <v>0</v>
      </c>
      <c r="M17" s="113">
        <v>0</v>
      </c>
      <c r="N17" s="113"/>
      <c r="O17" s="113"/>
    </row>
    <row r="18" spans="1:15">
      <c r="A18" s="115" t="s">
        <v>395</v>
      </c>
      <c r="B18" s="112">
        <v>400</v>
      </c>
      <c r="C18" s="113">
        <f t="shared" si="0"/>
        <v>0</v>
      </c>
      <c r="D18" s="113">
        <f t="shared" si="1"/>
        <v>0</v>
      </c>
      <c r="E18" s="112">
        <v>200</v>
      </c>
      <c r="F18" s="176"/>
      <c r="G18" s="176"/>
      <c r="J18" s="413"/>
      <c r="K18" s="115" t="s">
        <v>395</v>
      </c>
      <c r="L18" s="113">
        <v>0</v>
      </c>
      <c r="M18" s="113">
        <v>0</v>
      </c>
      <c r="N18" s="113"/>
      <c r="O18" s="113"/>
    </row>
    <row r="19" spans="1:15">
      <c r="J19" s="413"/>
      <c r="K19" s="111" t="s">
        <v>396</v>
      </c>
      <c r="L19" s="111">
        <f>AVERAGE(L7:L18)</f>
        <v>53.416666666666664</v>
      </c>
      <c r="M19" s="111">
        <f>MAX(M7:M18)</f>
        <v>239.3</v>
      </c>
      <c r="N19" s="111">
        <f>AVERAGE(N7:N18)</f>
        <v>70.466666666666669</v>
      </c>
      <c r="O19" s="111">
        <f>MAX(O7:O18)</f>
        <v>136.19999999999999</v>
      </c>
    </row>
    <row r="21" spans="1:15" ht="41.45">
      <c r="J21" s="110">
        <f>+A6</f>
        <v>2022</v>
      </c>
      <c r="K21" s="110" t="s">
        <v>378</v>
      </c>
      <c r="L21" s="116" t="s">
        <v>373</v>
      </c>
      <c r="M21" s="116" t="s">
        <v>379</v>
      </c>
      <c r="N21" s="116" t="s">
        <v>376</v>
      </c>
      <c r="O21" s="116" t="s">
        <v>380</v>
      </c>
    </row>
    <row r="22" spans="1:15" ht="14.45">
      <c r="J22" s="413" t="s">
        <v>185</v>
      </c>
      <c r="K22" s="115" t="s">
        <v>381</v>
      </c>
      <c r="L22" s="113">
        <v>59.5</v>
      </c>
      <c r="M22" s="113">
        <v>149.30000000000001</v>
      </c>
      <c r="N22" s="174">
        <v>59.5</v>
      </c>
      <c r="O22" s="169">
        <v>85.2</v>
      </c>
    </row>
    <row r="23" spans="1:15" ht="14.45">
      <c r="J23" s="413"/>
      <c r="K23" s="115" t="s">
        <v>382</v>
      </c>
      <c r="L23" s="113">
        <v>78.2</v>
      </c>
      <c r="M23" s="113">
        <v>169.3</v>
      </c>
      <c r="N23" s="175">
        <v>78.2</v>
      </c>
      <c r="O23" s="170">
        <v>103.4</v>
      </c>
    </row>
    <row r="24" spans="1:15" ht="14.45">
      <c r="J24" s="413"/>
      <c r="K24" s="115" t="s">
        <v>383</v>
      </c>
      <c r="L24" s="113">
        <v>62.9</v>
      </c>
      <c r="M24" s="113">
        <v>158.9</v>
      </c>
      <c r="N24" s="175">
        <v>62.9</v>
      </c>
      <c r="O24" s="170">
        <v>106.6</v>
      </c>
    </row>
    <row r="25" spans="1:15" ht="14.45">
      <c r="J25" s="413"/>
      <c r="K25" s="115" t="s">
        <v>385</v>
      </c>
      <c r="L25" s="113">
        <v>61.2</v>
      </c>
      <c r="M25" s="113">
        <v>118.5</v>
      </c>
      <c r="N25" s="175">
        <v>61.2</v>
      </c>
      <c r="O25" s="170">
        <v>74.8</v>
      </c>
    </row>
    <row r="26" spans="1:15" ht="14.45">
      <c r="J26" s="413"/>
      <c r="K26" s="115" t="s">
        <v>387</v>
      </c>
      <c r="L26" s="113">
        <v>65.8</v>
      </c>
      <c r="M26" s="113">
        <v>132.4</v>
      </c>
      <c r="N26" s="175">
        <v>65.8</v>
      </c>
      <c r="O26" s="170">
        <v>96.9</v>
      </c>
    </row>
    <row r="27" spans="1:15" ht="14.45">
      <c r="J27" s="413"/>
      <c r="K27" s="115" t="s">
        <v>388</v>
      </c>
      <c r="L27" s="113">
        <v>75.5</v>
      </c>
      <c r="M27" s="113">
        <v>129.6</v>
      </c>
      <c r="N27" s="175">
        <v>75.5</v>
      </c>
      <c r="O27" s="170">
        <v>96.4</v>
      </c>
    </row>
    <row r="28" spans="1:15" ht="14.45">
      <c r="J28" s="413"/>
      <c r="K28" s="115" t="s">
        <v>389</v>
      </c>
      <c r="L28" s="113">
        <v>68.599999999999994</v>
      </c>
      <c r="M28" s="113">
        <v>167.3</v>
      </c>
      <c r="N28" s="175">
        <v>68.599999999999994</v>
      </c>
      <c r="O28" s="170">
        <v>88.2</v>
      </c>
    </row>
    <row r="29" spans="1:15" ht="14.45">
      <c r="J29" s="413"/>
      <c r="K29" s="115" t="s">
        <v>391</v>
      </c>
      <c r="L29" s="113">
        <v>72.900000000000006</v>
      </c>
      <c r="M29" s="113">
        <v>164.1</v>
      </c>
      <c r="N29" s="175">
        <v>72.900000000000006</v>
      </c>
      <c r="O29" s="170">
        <v>91.2</v>
      </c>
    </row>
    <row r="30" spans="1:15" ht="14.45">
      <c r="J30" s="413"/>
      <c r="K30" s="115" t="s">
        <v>392</v>
      </c>
      <c r="L30" s="113">
        <v>67.599999999999994</v>
      </c>
      <c r="M30" s="113">
        <v>126.1</v>
      </c>
      <c r="N30" s="175">
        <v>67.599999999999994</v>
      </c>
      <c r="O30" s="170">
        <v>82.7</v>
      </c>
    </row>
    <row r="31" spans="1:15">
      <c r="J31" s="413"/>
      <c r="K31" s="115" t="s">
        <v>393</v>
      </c>
      <c r="L31" s="113">
        <v>0</v>
      </c>
      <c r="M31" s="113">
        <v>0</v>
      </c>
      <c r="N31" s="113"/>
      <c r="O31" s="113"/>
    </row>
    <row r="32" spans="1:15">
      <c r="J32" s="413"/>
      <c r="K32" s="115" t="s">
        <v>394</v>
      </c>
      <c r="L32" s="113">
        <v>0</v>
      </c>
      <c r="M32" s="113">
        <v>0</v>
      </c>
      <c r="N32" s="113"/>
      <c r="O32" s="113"/>
    </row>
    <row r="33" spans="1:15">
      <c r="J33" s="413"/>
      <c r="K33" s="115" t="s">
        <v>395</v>
      </c>
      <c r="L33" s="113">
        <v>0</v>
      </c>
      <c r="M33" s="113">
        <v>0</v>
      </c>
      <c r="N33" s="113"/>
      <c r="O33" s="113"/>
    </row>
    <row r="34" spans="1:15">
      <c r="J34" s="413"/>
      <c r="K34" s="111" t="s">
        <v>396</v>
      </c>
      <c r="L34" s="111">
        <f>AVERAGE(L22:L33)</f>
        <v>51.016666666666673</v>
      </c>
      <c r="M34" s="111">
        <f>MAX(M22:M33)</f>
        <v>169.3</v>
      </c>
      <c r="N34" s="111">
        <f>AVERAGE(N22:N33)</f>
        <v>68.022222222222226</v>
      </c>
      <c r="O34" s="111">
        <f>MAX(O22:O33)</f>
        <v>106.6</v>
      </c>
    </row>
    <row r="36" spans="1:15" ht="41.45">
      <c r="J36" s="110">
        <f>+A6</f>
        <v>2022</v>
      </c>
      <c r="K36" s="110" t="s">
        <v>378</v>
      </c>
      <c r="L36" s="116" t="s">
        <v>373</v>
      </c>
      <c r="M36" s="116" t="s">
        <v>379</v>
      </c>
      <c r="N36" s="116" t="s">
        <v>376</v>
      </c>
      <c r="O36" s="116" t="s">
        <v>380</v>
      </c>
    </row>
    <row r="37" spans="1:15">
      <c r="J37" s="413" t="s">
        <v>186</v>
      </c>
      <c r="K37" s="115" t="s">
        <v>381</v>
      </c>
      <c r="L37" s="113"/>
      <c r="M37" s="113"/>
      <c r="N37" s="113"/>
      <c r="O37" s="113"/>
    </row>
    <row r="38" spans="1:15">
      <c r="J38" s="413"/>
      <c r="K38" s="115" t="s">
        <v>382</v>
      </c>
      <c r="L38" s="113"/>
      <c r="M38" s="113"/>
      <c r="N38" s="113"/>
      <c r="O38" s="113"/>
    </row>
    <row r="39" spans="1:15">
      <c r="J39" s="413"/>
      <c r="K39" s="115" t="s">
        <v>383</v>
      </c>
      <c r="L39" s="113"/>
      <c r="M39" s="113"/>
      <c r="N39" s="113"/>
      <c r="O39" s="113"/>
    </row>
    <row r="40" spans="1:15">
      <c r="J40" s="413"/>
      <c r="K40" s="115" t="s">
        <v>385</v>
      </c>
      <c r="L40" s="113"/>
      <c r="M40" s="113"/>
      <c r="N40" s="113"/>
      <c r="O40" s="113"/>
    </row>
    <row r="41" spans="1:15">
      <c r="J41" s="413"/>
      <c r="K41" s="115" t="s">
        <v>387</v>
      </c>
      <c r="L41" s="113"/>
      <c r="M41" s="113"/>
      <c r="N41" s="113"/>
      <c r="O41" s="113"/>
    </row>
    <row r="42" spans="1:15">
      <c r="J42" s="413"/>
      <c r="K42" s="115" t="s">
        <v>388</v>
      </c>
      <c r="L42" s="113"/>
      <c r="M42" s="113"/>
      <c r="N42" s="113"/>
      <c r="O42" s="113"/>
    </row>
    <row r="43" spans="1:15">
      <c r="J43" s="413"/>
      <c r="K43" s="115" t="s">
        <v>389</v>
      </c>
      <c r="L43" s="113"/>
      <c r="M43" s="113"/>
      <c r="N43" s="113"/>
      <c r="O43" s="113"/>
    </row>
    <row r="44" spans="1:15">
      <c r="J44" s="413"/>
      <c r="K44" s="115" t="s">
        <v>391</v>
      </c>
      <c r="L44" s="113"/>
      <c r="M44" s="113"/>
      <c r="N44" s="113"/>
      <c r="O44" s="113"/>
    </row>
    <row r="45" spans="1:15">
      <c r="J45" s="413"/>
      <c r="K45" s="115" t="s">
        <v>392</v>
      </c>
      <c r="L45" s="113"/>
      <c r="M45" s="113"/>
      <c r="N45" s="113"/>
      <c r="O45" s="113"/>
    </row>
    <row r="46" spans="1:15">
      <c r="J46" s="413"/>
      <c r="K46" s="115" t="s">
        <v>393</v>
      </c>
      <c r="L46" s="113"/>
      <c r="M46" s="113"/>
      <c r="N46" s="113"/>
      <c r="O46" s="113"/>
    </row>
    <row r="47" spans="1:15">
      <c r="J47" s="413"/>
      <c r="K47" s="115" t="s">
        <v>394</v>
      </c>
      <c r="L47" s="113"/>
      <c r="M47" s="113"/>
      <c r="N47" s="113"/>
      <c r="O47" s="113"/>
    </row>
    <row r="48" spans="1:15">
      <c r="A48" s="419" t="s">
        <v>284</v>
      </c>
      <c r="B48" s="420"/>
      <c r="C48" s="420"/>
      <c r="D48" s="420"/>
      <c r="E48" s="420"/>
      <c r="F48" s="420"/>
      <c r="G48" s="421"/>
      <c r="J48" s="413"/>
      <c r="K48" s="115" t="s">
        <v>395</v>
      </c>
      <c r="L48" s="113"/>
      <c r="M48" s="113"/>
      <c r="N48" s="113"/>
      <c r="O48" s="113"/>
    </row>
    <row r="49" spans="1:15">
      <c r="A49" s="403"/>
      <c r="B49" s="404"/>
      <c r="C49" s="404"/>
      <c r="D49" s="404"/>
      <c r="E49" s="404"/>
      <c r="F49" s="404"/>
      <c r="G49" s="405"/>
      <c r="J49" s="413"/>
      <c r="K49" s="111" t="s">
        <v>396</v>
      </c>
      <c r="L49" s="111" t="e">
        <f>AVERAGE(L37:L48)</f>
        <v>#DIV/0!</v>
      </c>
      <c r="M49" s="111">
        <f>MAX(M37:M48)</f>
        <v>0</v>
      </c>
      <c r="N49" s="111" t="e">
        <f>AVERAGE(N37:N48)</f>
        <v>#DIV/0!</v>
      </c>
      <c r="O49" s="111">
        <f>MAX(O37:O48)</f>
        <v>0</v>
      </c>
    </row>
    <row r="50" spans="1:15">
      <c r="A50" s="416"/>
      <c r="B50" s="417"/>
      <c r="C50" s="417"/>
      <c r="D50" s="417"/>
      <c r="E50" s="417"/>
      <c r="F50" s="417"/>
      <c r="G50" s="418"/>
    </row>
    <row r="51" spans="1:15" ht="41.45">
      <c r="A51" s="416"/>
      <c r="B51" s="417"/>
      <c r="C51" s="417"/>
      <c r="D51" s="417"/>
      <c r="E51" s="417"/>
      <c r="F51" s="417"/>
      <c r="G51" s="418"/>
      <c r="J51" s="110">
        <f>+A6</f>
        <v>2022</v>
      </c>
      <c r="K51" s="110" t="s">
        <v>378</v>
      </c>
      <c r="L51" s="116" t="s">
        <v>373</v>
      </c>
      <c r="M51" s="116" t="s">
        <v>379</v>
      </c>
      <c r="N51" s="116" t="s">
        <v>376</v>
      </c>
      <c r="O51" s="116" t="s">
        <v>380</v>
      </c>
    </row>
    <row r="52" spans="1:15">
      <c r="A52" s="406"/>
      <c r="B52" s="407"/>
      <c r="C52" s="407"/>
      <c r="D52" s="407"/>
      <c r="E52" s="407"/>
      <c r="F52" s="407"/>
      <c r="G52" s="408"/>
      <c r="J52" s="413" t="s">
        <v>299</v>
      </c>
      <c r="K52" s="115" t="s">
        <v>381</v>
      </c>
      <c r="L52" s="113"/>
      <c r="M52" s="113"/>
      <c r="N52" s="113"/>
      <c r="O52" s="113"/>
    </row>
    <row r="53" spans="1:15">
      <c r="J53" s="413"/>
      <c r="K53" s="115" t="s">
        <v>382</v>
      </c>
      <c r="L53" s="113"/>
      <c r="M53" s="113"/>
      <c r="N53" s="113"/>
      <c r="O53" s="113"/>
    </row>
    <row r="54" spans="1:15">
      <c r="J54" s="413"/>
      <c r="K54" s="115" t="s">
        <v>383</v>
      </c>
      <c r="L54" s="113"/>
      <c r="M54" s="113"/>
      <c r="N54" s="113"/>
      <c r="O54" s="113"/>
    </row>
    <row r="55" spans="1:15">
      <c r="J55" s="413"/>
      <c r="K55" s="115" t="s">
        <v>385</v>
      </c>
      <c r="L55" s="113"/>
      <c r="M55" s="113"/>
      <c r="N55" s="113"/>
      <c r="O55" s="113"/>
    </row>
    <row r="56" spans="1:15">
      <c r="J56" s="413"/>
      <c r="K56" s="115" t="s">
        <v>387</v>
      </c>
      <c r="L56" s="113"/>
      <c r="M56" s="113"/>
      <c r="N56" s="113"/>
      <c r="O56" s="113"/>
    </row>
    <row r="57" spans="1:15">
      <c r="J57" s="413"/>
      <c r="K57" s="115" t="s">
        <v>388</v>
      </c>
      <c r="L57" s="113"/>
      <c r="M57" s="113"/>
      <c r="N57" s="113"/>
      <c r="O57" s="113"/>
    </row>
    <row r="58" spans="1:15">
      <c r="J58" s="413"/>
      <c r="K58" s="115" t="s">
        <v>389</v>
      </c>
      <c r="L58" s="113"/>
      <c r="M58" s="113"/>
      <c r="N58" s="113"/>
      <c r="O58" s="113"/>
    </row>
    <row r="59" spans="1:15">
      <c r="J59" s="413"/>
      <c r="K59" s="115" t="s">
        <v>391</v>
      </c>
      <c r="L59" s="113"/>
      <c r="M59" s="113"/>
      <c r="N59" s="113"/>
      <c r="O59" s="113"/>
    </row>
    <row r="60" spans="1:15">
      <c r="J60" s="413"/>
      <c r="K60" s="115" t="s">
        <v>392</v>
      </c>
      <c r="L60" s="113"/>
      <c r="M60" s="113"/>
      <c r="N60" s="113"/>
      <c r="O60" s="113"/>
    </row>
    <row r="61" spans="1:15">
      <c r="J61" s="413"/>
      <c r="K61" s="115" t="s">
        <v>393</v>
      </c>
      <c r="L61" s="113"/>
      <c r="M61" s="113"/>
      <c r="N61" s="113"/>
      <c r="O61" s="113"/>
    </row>
    <row r="62" spans="1:15">
      <c r="J62" s="413"/>
      <c r="K62" s="115" t="s">
        <v>394</v>
      </c>
      <c r="L62" s="113"/>
      <c r="M62" s="113"/>
      <c r="N62" s="113"/>
      <c r="O62" s="113"/>
    </row>
    <row r="63" spans="1:15">
      <c r="J63" s="413"/>
      <c r="K63" s="115" t="s">
        <v>395</v>
      </c>
      <c r="L63" s="113"/>
      <c r="M63" s="113"/>
      <c r="N63" s="113"/>
      <c r="O63" s="113"/>
    </row>
    <row r="64" spans="1:15">
      <c r="J64" s="413"/>
      <c r="K64" s="111" t="s">
        <v>396</v>
      </c>
      <c r="L64" s="111" t="e">
        <f>AVERAGE(L52:L63)</f>
        <v>#DIV/0!</v>
      </c>
      <c r="M64" s="111">
        <f>MAX(M52:M63)</f>
        <v>0</v>
      </c>
      <c r="N64" s="111" t="e">
        <f>AVERAGE(N52:N63)</f>
        <v>#DIV/0!</v>
      </c>
      <c r="O64" s="111">
        <f>MAX(O52:O63)</f>
        <v>0</v>
      </c>
    </row>
    <row r="66" spans="10:15" ht="41.45">
      <c r="J66" s="110">
        <f>+A6</f>
        <v>2022</v>
      </c>
      <c r="K66" s="110" t="s">
        <v>378</v>
      </c>
      <c r="L66" s="116" t="s">
        <v>373</v>
      </c>
      <c r="M66" s="116" t="s">
        <v>379</v>
      </c>
      <c r="N66" s="116" t="s">
        <v>376</v>
      </c>
      <c r="O66" s="116" t="s">
        <v>380</v>
      </c>
    </row>
    <row r="67" spans="10:15">
      <c r="J67" s="413" t="s">
        <v>300</v>
      </c>
      <c r="K67" s="115" t="s">
        <v>381</v>
      </c>
      <c r="L67" s="113"/>
      <c r="M67" s="113"/>
      <c r="N67" s="113"/>
      <c r="O67" s="113"/>
    </row>
    <row r="68" spans="10:15">
      <c r="J68" s="413"/>
      <c r="K68" s="115" t="s">
        <v>382</v>
      </c>
      <c r="L68" s="113"/>
      <c r="M68" s="113"/>
      <c r="N68" s="113"/>
      <c r="O68" s="113"/>
    </row>
    <row r="69" spans="10:15">
      <c r="J69" s="413"/>
      <c r="K69" s="115" t="s">
        <v>383</v>
      </c>
      <c r="L69" s="113"/>
      <c r="M69" s="113"/>
      <c r="N69" s="113"/>
      <c r="O69" s="113"/>
    </row>
    <row r="70" spans="10:15">
      <c r="J70" s="413"/>
      <c r="K70" s="115" t="s">
        <v>385</v>
      </c>
      <c r="L70" s="113"/>
      <c r="M70" s="113"/>
      <c r="N70" s="113"/>
      <c r="O70" s="113"/>
    </row>
    <row r="71" spans="10:15">
      <c r="J71" s="413"/>
      <c r="K71" s="115" t="s">
        <v>387</v>
      </c>
      <c r="L71" s="113"/>
      <c r="M71" s="113"/>
      <c r="N71" s="113"/>
      <c r="O71" s="113"/>
    </row>
    <row r="72" spans="10:15">
      <c r="J72" s="413"/>
      <c r="K72" s="115" t="s">
        <v>388</v>
      </c>
      <c r="L72" s="113"/>
      <c r="M72" s="113"/>
      <c r="N72" s="113"/>
      <c r="O72" s="113"/>
    </row>
    <row r="73" spans="10:15">
      <c r="J73" s="413"/>
      <c r="K73" s="115" t="s">
        <v>389</v>
      </c>
      <c r="L73" s="113"/>
      <c r="M73" s="113"/>
      <c r="N73" s="113"/>
      <c r="O73" s="113"/>
    </row>
    <row r="74" spans="10:15">
      <c r="J74" s="413"/>
      <c r="K74" s="115" t="s">
        <v>391</v>
      </c>
      <c r="L74" s="113"/>
      <c r="M74" s="113"/>
      <c r="N74" s="113"/>
      <c r="O74" s="113"/>
    </row>
    <row r="75" spans="10:15">
      <c r="J75" s="413"/>
      <c r="K75" s="115" t="s">
        <v>392</v>
      </c>
      <c r="L75" s="113"/>
      <c r="M75" s="113"/>
      <c r="N75" s="113"/>
      <c r="O75" s="113"/>
    </row>
    <row r="76" spans="10:15">
      <c r="J76" s="413"/>
      <c r="K76" s="115" t="s">
        <v>393</v>
      </c>
      <c r="L76" s="113"/>
      <c r="M76" s="113"/>
      <c r="N76" s="113"/>
      <c r="O76" s="113"/>
    </row>
    <row r="77" spans="10:15">
      <c r="J77" s="413"/>
      <c r="K77" s="115" t="s">
        <v>394</v>
      </c>
      <c r="L77" s="113"/>
      <c r="M77" s="113"/>
      <c r="N77" s="113"/>
      <c r="O77" s="113"/>
    </row>
    <row r="78" spans="10:15">
      <c r="J78" s="413"/>
      <c r="K78" s="115" t="s">
        <v>395</v>
      </c>
      <c r="L78" s="113"/>
      <c r="M78" s="113"/>
      <c r="N78" s="113"/>
      <c r="O78" s="113"/>
    </row>
    <row r="79" spans="10:15">
      <c r="J79" s="413"/>
      <c r="K79" s="111" t="s">
        <v>396</v>
      </c>
      <c r="L79" s="111" t="e">
        <f>AVERAGE(L67:L78)</f>
        <v>#DIV/0!</v>
      </c>
      <c r="M79" s="111">
        <f>MAX(M67:M78)</f>
        <v>0</v>
      </c>
      <c r="N79" s="111" t="e">
        <f>AVERAGE(N67:N78)</f>
        <v>#DIV/0!</v>
      </c>
      <c r="O79" s="11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zoomScaleNormal="100" workbookViewId="0">
      <selection activeCell="G18" sqref="G18"/>
    </sheetView>
  </sheetViews>
  <sheetFormatPr defaultRowHeight="13.9"/>
  <cols>
    <col min="1" max="1" width="14" style="3" customWidth="1"/>
    <col min="2" max="4" width="17" style="73" customWidth="1"/>
    <col min="5" max="5" width="14.7109375" style="73" customWidth="1"/>
    <col min="6" max="7" width="17" style="73"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142" t="str">
        <f>+'Cover Page'!$B$29</f>
        <v>Annual Performance Report 2022</v>
      </c>
      <c r="B1" s="142"/>
      <c r="C1" s="142"/>
      <c r="D1" s="142"/>
      <c r="E1" s="142" t="str">
        <f>+'Cover Page'!$B$33</f>
        <v>Name of Facility: Thalia MK ODC Limited</v>
      </c>
    </row>
    <row r="3" spans="1:19" ht="14.45">
      <c r="A3" s="109" t="s">
        <v>404</v>
      </c>
      <c r="D3" s="129" t="s">
        <v>365</v>
      </c>
      <c r="G3" s="133" t="s">
        <v>366</v>
      </c>
      <c r="J3" s="9" t="str">
        <f>+A3</f>
        <v>Monitoring of Total organic carbon emissions</v>
      </c>
      <c r="L3" s="9"/>
      <c r="N3" s="9" t="s">
        <v>367</v>
      </c>
      <c r="Q3" s="132" t="s">
        <v>3</v>
      </c>
      <c r="R3" s="126"/>
      <c r="S3" s="126"/>
    </row>
    <row r="4" spans="1:19" ht="13.9" customHeight="1">
      <c r="Q4" s="385" t="s">
        <v>368</v>
      </c>
      <c r="R4" s="385"/>
      <c r="S4" s="385"/>
    </row>
    <row r="5" spans="1:19" ht="16.149999999999999">
      <c r="A5" s="117" t="s">
        <v>369</v>
      </c>
      <c r="B5" s="415" t="s">
        <v>370</v>
      </c>
      <c r="C5" s="415"/>
      <c r="D5" s="415"/>
      <c r="E5" s="415" t="s">
        <v>371</v>
      </c>
      <c r="F5" s="415"/>
      <c r="G5" s="415"/>
      <c r="J5" s="414"/>
      <c r="K5" s="414"/>
      <c r="L5" s="414"/>
      <c r="M5" s="414"/>
      <c r="N5" s="414"/>
      <c r="O5" s="414"/>
      <c r="Q5" s="385"/>
      <c r="R5" s="385"/>
      <c r="S5" s="385"/>
    </row>
    <row r="6" spans="1:19" s="107" customFormat="1" ht="37.5" customHeight="1">
      <c r="A6" s="114">
        <f>+'Cover Page'!C39</f>
        <v>2022</v>
      </c>
      <c r="B6" s="103" t="s">
        <v>405</v>
      </c>
      <c r="C6" s="103" t="s">
        <v>373</v>
      </c>
      <c r="D6" s="103" t="s">
        <v>374</v>
      </c>
      <c r="E6" s="103" t="s">
        <v>406</v>
      </c>
      <c r="F6" s="116" t="s">
        <v>376</v>
      </c>
      <c r="G6" s="116" t="s">
        <v>377</v>
      </c>
      <c r="H6" s="108"/>
      <c r="J6" s="110">
        <f>+A6</f>
        <v>2022</v>
      </c>
      <c r="K6" s="110" t="s">
        <v>378</v>
      </c>
      <c r="L6" s="116" t="s">
        <v>373</v>
      </c>
      <c r="M6" s="116" t="s">
        <v>379</v>
      </c>
      <c r="N6" s="116" t="s">
        <v>376</v>
      </c>
      <c r="O6" s="116" t="s">
        <v>380</v>
      </c>
      <c r="Q6" s="385"/>
      <c r="R6" s="385"/>
      <c r="S6" s="385"/>
    </row>
    <row r="7" spans="1:19" ht="14.45">
      <c r="A7" s="115" t="s">
        <v>381</v>
      </c>
      <c r="B7" s="112">
        <v>20</v>
      </c>
      <c r="C7" s="113">
        <f>(L7+L22)/2</f>
        <v>0.65</v>
      </c>
      <c r="D7" s="113">
        <f>(M7+M22)/2</f>
        <v>5.8</v>
      </c>
      <c r="E7" s="178">
        <v>10</v>
      </c>
      <c r="F7" s="180">
        <v>0.65</v>
      </c>
      <c r="G7" s="177">
        <v>1.35</v>
      </c>
      <c r="J7" s="413" t="s">
        <v>184</v>
      </c>
      <c r="K7" s="115" t="s">
        <v>381</v>
      </c>
      <c r="L7" s="113">
        <v>0.4</v>
      </c>
      <c r="M7" s="113">
        <v>9.1</v>
      </c>
      <c r="N7" s="174">
        <v>0.4</v>
      </c>
      <c r="O7" s="174">
        <v>1.7</v>
      </c>
      <c r="Q7" s="385"/>
      <c r="R7" s="385"/>
      <c r="S7" s="385"/>
    </row>
    <row r="8" spans="1:19" ht="14.45">
      <c r="A8" s="115" t="s">
        <v>382</v>
      </c>
      <c r="B8" s="112">
        <v>20</v>
      </c>
      <c r="C8" s="113">
        <f t="shared" ref="C8:C18" si="0">(L8+L23)/2</f>
        <v>1</v>
      </c>
      <c r="D8" s="113">
        <f t="shared" ref="D8:D18" si="1">(M8+M23)/2</f>
        <v>14.450000000000001</v>
      </c>
      <c r="E8" s="178">
        <v>10</v>
      </c>
      <c r="F8" s="180">
        <v>1</v>
      </c>
      <c r="G8" s="177">
        <v>2.15</v>
      </c>
      <c r="J8" s="413"/>
      <c r="K8" s="115" t="s">
        <v>382</v>
      </c>
      <c r="L8" s="113">
        <v>0.9</v>
      </c>
      <c r="M8" s="113">
        <v>16.600000000000001</v>
      </c>
      <c r="N8" s="175">
        <v>0.9</v>
      </c>
      <c r="O8" s="175">
        <v>2.1</v>
      </c>
      <c r="Q8" s="385"/>
      <c r="R8" s="385"/>
      <c r="S8" s="385"/>
    </row>
    <row r="9" spans="1:19" ht="14.45">
      <c r="A9" s="115" t="s">
        <v>383</v>
      </c>
      <c r="B9" s="112">
        <v>20</v>
      </c>
      <c r="C9" s="113">
        <f t="shared" si="0"/>
        <v>0.7</v>
      </c>
      <c r="D9" s="113">
        <f t="shared" si="1"/>
        <v>5.95</v>
      </c>
      <c r="E9" s="178">
        <v>10</v>
      </c>
      <c r="F9" s="180">
        <v>0.7</v>
      </c>
      <c r="G9" s="177">
        <v>1.1499999999999999</v>
      </c>
      <c r="J9" s="413"/>
      <c r="K9" s="115" t="s">
        <v>383</v>
      </c>
      <c r="L9" s="113">
        <v>0.5</v>
      </c>
      <c r="M9" s="113">
        <v>6.5</v>
      </c>
      <c r="N9" s="175">
        <v>0.5</v>
      </c>
      <c r="O9" s="175">
        <v>1.1000000000000001</v>
      </c>
      <c r="Q9" s="131" t="s">
        <v>384</v>
      </c>
    </row>
    <row r="10" spans="1:19" ht="14.25" customHeight="1">
      <c r="A10" s="115" t="s">
        <v>385</v>
      </c>
      <c r="B10" s="112">
        <v>20</v>
      </c>
      <c r="C10" s="113">
        <f t="shared" si="0"/>
        <v>0.65</v>
      </c>
      <c r="D10" s="113">
        <f t="shared" si="1"/>
        <v>3.2</v>
      </c>
      <c r="E10" s="178">
        <v>10</v>
      </c>
      <c r="F10" s="180">
        <v>0.65</v>
      </c>
      <c r="G10" s="177">
        <v>0.8</v>
      </c>
      <c r="J10" s="413"/>
      <c r="K10" s="115" t="s">
        <v>385</v>
      </c>
      <c r="L10" s="113">
        <v>0.5</v>
      </c>
      <c r="M10" s="113">
        <v>3.1</v>
      </c>
      <c r="N10" s="175">
        <v>0.5</v>
      </c>
      <c r="O10" s="175">
        <v>0.7</v>
      </c>
      <c r="Q10" s="412" t="s">
        <v>400</v>
      </c>
      <c r="R10" s="412"/>
      <c r="S10" s="412"/>
    </row>
    <row r="11" spans="1:19" ht="14.45">
      <c r="A11" s="115" t="s">
        <v>387</v>
      </c>
      <c r="B11" s="112">
        <v>20</v>
      </c>
      <c r="C11" s="113">
        <f t="shared" si="0"/>
        <v>1.05</v>
      </c>
      <c r="D11" s="113">
        <f t="shared" si="1"/>
        <v>5.55</v>
      </c>
      <c r="E11" s="178">
        <v>10</v>
      </c>
      <c r="F11" s="180">
        <v>1.05</v>
      </c>
      <c r="G11" s="177">
        <v>1.9</v>
      </c>
      <c r="J11" s="413"/>
      <c r="K11" s="115" t="s">
        <v>387</v>
      </c>
      <c r="L11" s="113">
        <v>0.3</v>
      </c>
      <c r="M11" s="113">
        <v>4</v>
      </c>
      <c r="N11" s="175">
        <v>0.3</v>
      </c>
      <c r="O11" s="175">
        <v>0.6</v>
      </c>
      <c r="Q11" s="412"/>
      <c r="R11" s="412"/>
      <c r="S11" s="412"/>
    </row>
    <row r="12" spans="1:19" ht="14.45">
      <c r="A12" s="115" t="s">
        <v>388</v>
      </c>
      <c r="B12" s="112">
        <v>20</v>
      </c>
      <c r="C12" s="113">
        <f t="shared" si="0"/>
        <v>0.75</v>
      </c>
      <c r="D12" s="113">
        <f t="shared" si="1"/>
        <v>2.2000000000000002</v>
      </c>
      <c r="E12" s="178">
        <v>10</v>
      </c>
      <c r="F12" s="180">
        <v>0.75</v>
      </c>
      <c r="G12" s="177">
        <v>0.9</v>
      </c>
      <c r="J12" s="413"/>
      <c r="K12" s="115" t="s">
        <v>388</v>
      </c>
      <c r="L12" s="113">
        <v>0.6</v>
      </c>
      <c r="M12" s="113">
        <v>2.2000000000000002</v>
      </c>
      <c r="N12" s="175">
        <v>0.6</v>
      </c>
      <c r="O12" s="175">
        <v>0.7</v>
      </c>
      <c r="Q12" s="412"/>
      <c r="R12" s="412"/>
      <c r="S12" s="412"/>
    </row>
    <row r="13" spans="1:19" ht="14.25" customHeight="1">
      <c r="A13" s="115" t="s">
        <v>389</v>
      </c>
      <c r="B13" s="112">
        <v>20</v>
      </c>
      <c r="C13" s="113">
        <f t="shared" si="0"/>
        <v>0.65</v>
      </c>
      <c r="D13" s="113">
        <f t="shared" si="1"/>
        <v>3.3</v>
      </c>
      <c r="E13" s="178">
        <v>10</v>
      </c>
      <c r="F13" s="180">
        <v>0.65</v>
      </c>
      <c r="G13" s="177">
        <v>0.85</v>
      </c>
      <c r="J13" s="413"/>
      <c r="K13" s="115" t="s">
        <v>389</v>
      </c>
      <c r="L13" s="113">
        <v>0.5</v>
      </c>
      <c r="M13" s="113">
        <v>3.5</v>
      </c>
      <c r="N13" s="175">
        <v>0.5</v>
      </c>
      <c r="O13" s="175">
        <v>0.8</v>
      </c>
      <c r="Q13" s="412" t="s">
        <v>390</v>
      </c>
      <c r="R13" s="412"/>
      <c r="S13" s="412"/>
    </row>
    <row r="14" spans="1:19" ht="14.45">
      <c r="A14" s="115" t="s">
        <v>391</v>
      </c>
      <c r="B14" s="112">
        <v>20</v>
      </c>
      <c r="C14" s="113">
        <f t="shared" si="0"/>
        <v>0.60000000000000009</v>
      </c>
      <c r="D14" s="113">
        <f t="shared" si="1"/>
        <v>5.0999999999999996</v>
      </c>
      <c r="E14" s="178">
        <v>10</v>
      </c>
      <c r="F14" s="180">
        <v>0.6</v>
      </c>
      <c r="G14" s="177">
        <v>0.7</v>
      </c>
      <c r="J14" s="413"/>
      <c r="K14" s="115" t="s">
        <v>391</v>
      </c>
      <c r="L14" s="113">
        <v>0.4</v>
      </c>
      <c r="M14" s="113">
        <v>4.5999999999999996</v>
      </c>
      <c r="N14" s="175">
        <v>0.4</v>
      </c>
      <c r="O14" s="175">
        <v>0.5</v>
      </c>
      <c r="Q14" s="412"/>
      <c r="R14" s="412"/>
      <c r="S14" s="412"/>
    </row>
    <row r="15" spans="1:19" ht="14.45">
      <c r="A15" s="115" t="s">
        <v>392</v>
      </c>
      <c r="B15" s="112">
        <v>20</v>
      </c>
      <c r="C15" s="113">
        <f t="shared" si="0"/>
        <v>0.65</v>
      </c>
      <c r="D15" s="113">
        <f t="shared" si="1"/>
        <v>2.15</v>
      </c>
      <c r="E15" s="178">
        <v>10</v>
      </c>
      <c r="F15" s="180">
        <v>0.65</v>
      </c>
      <c r="G15" s="177">
        <v>0.65</v>
      </c>
      <c r="J15" s="413"/>
      <c r="K15" s="115" t="s">
        <v>392</v>
      </c>
      <c r="L15" s="113">
        <v>0.4</v>
      </c>
      <c r="M15" s="113">
        <v>1.8</v>
      </c>
      <c r="N15" s="175">
        <v>0.4</v>
      </c>
      <c r="O15" s="175">
        <v>0.4</v>
      </c>
      <c r="Q15" s="412"/>
      <c r="R15" s="412"/>
      <c r="S15" s="412"/>
    </row>
    <row r="16" spans="1:19">
      <c r="A16" s="115" t="s">
        <v>393</v>
      </c>
      <c r="B16" s="112">
        <v>20</v>
      </c>
      <c r="C16" s="113">
        <f t="shared" si="0"/>
        <v>0</v>
      </c>
      <c r="D16" s="113">
        <f t="shared" si="1"/>
        <v>0</v>
      </c>
      <c r="E16" s="112">
        <v>10</v>
      </c>
      <c r="F16" s="179"/>
      <c r="G16" s="179"/>
      <c r="J16" s="413"/>
      <c r="K16" s="115" t="s">
        <v>393</v>
      </c>
      <c r="L16" s="113">
        <v>0</v>
      </c>
      <c r="M16" s="113">
        <v>0</v>
      </c>
      <c r="N16" s="113"/>
      <c r="O16" s="113"/>
      <c r="Q16" s="412"/>
      <c r="R16" s="412"/>
      <c r="S16" s="412"/>
    </row>
    <row r="17" spans="1:15">
      <c r="A17" s="115" t="s">
        <v>394</v>
      </c>
      <c r="B17" s="112">
        <v>20</v>
      </c>
      <c r="C17" s="113">
        <f t="shared" si="0"/>
        <v>0</v>
      </c>
      <c r="D17" s="113">
        <f t="shared" si="1"/>
        <v>0</v>
      </c>
      <c r="E17" s="112">
        <v>10</v>
      </c>
      <c r="F17" s="176"/>
      <c r="G17" s="176"/>
      <c r="J17" s="413"/>
      <c r="K17" s="115" t="s">
        <v>394</v>
      </c>
      <c r="L17" s="113">
        <v>0</v>
      </c>
      <c r="M17" s="113">
        <v>0</v>
      </c>
      <c r="N17" s="113"/>
      <c r="O17" s="113"/>
    </row>
    <row r="18" spans="1:15">
      <c r="A18" s="115" t="s">
        <v>395</v>
      </c>
      <c r="B18" s="112">
        <v>20</v>
      </c>
      <c r="C18" s="113">
        <f t="shared" si="0"/>
        <v>0</v>
      </c>
      <c r="D18" s="113">
        <f t="shared" si="1"/>
        <v>0</v>
      </c>
      <c r="E18" s="112">
        <v>10</v>
      </c>
      <c r="F18" s="176"/>
      <c r="G18" s="176"/>
      <c r="J18" s="413"/>
      <c r="K18" s="115" t="s">
        <v>395</v>
      </c>
      <c r="L18" s="113">
        <v>0</v>
      </c>
      <c r="M18" s="113">
        <v>0</v>
      </c>
      <c r="N18" s="113"/>
      <c r="O18" s="113"/>
    </row>
    <row r="19" spans="1:15">
      <c r="J19" s="413"/>
      <c r="K19" s="111" t="s">
        <v>396</v>
      </c>
      <c r="L19" s="111">
        <f>AVERAGE(L7:L18)</f>
        <v>0.375</v>
      </c>
      <c r="M19" s="111">
        <f>MAX(M7:M18)</f>
        <v>16.600000000000001</v>
      </c>
      <c r="N19" s="111">
        <f>AVERAGE(N7:N18)</f>
        <v>0.5</v>
      </c>
      <c r="O19" s="111">
        <f>MAX(O7:O18)</f>
        <v>2.1</v>
      </c>
    </row>
    <row r="21" spans="1:15" ht="41.45">
      <c r="J21" s="110">
        <f>+A6</f>
        <v>2022</v>
      </c>
      <c r="K21" s="110" t="s">
        <v>378</v>
      </c>
      <c r="L21" s="116" t="s">
        <v>373</v>
      </c>
      <c r="M21" s="116" t="s">
        <v>379</v>
      </c>
      <c r="N21" s="116" t="s">
        <v>376</v>
      </c>
      <c r="O21" s="116" t="s">
        <v>380</v>
      </c>
    </row>
    <row r="22" spans="1:15" ht="14.45">
      <c r="J22" s="413" t="s">
        <v>185</v>
      </c>
      <c r="K22" s="115" t="s">
        <v>381</v>
      </c>
      <c r="L22" s="113">
        <v>0.9</v>
      </c>
      <c r="M22" s="113">
        <v>2.5</v>
      </c>
      <c r="N22" s="174">
        <v>0.9</v>
      </c>
      <c r="O22" s="174">
        <v>1</v>
      </c>
    </row>
    <row r="23" spans="1:15" ht="14.45">
      <c r="J23" s="413"/>
      <c r="K23" s="115" t="s">
        <v>382</v>
      </c>
      <c r="L23" s="113">
        <v>1.1000000000000001</v>
      </c>
      <c r="M23" s="113">
        <v>12.3</v>
      </c>
      <c r="N23" s="175">
        <v>1.1000000000000001</v>
      </c>
      <c r="O23" s="175">
        <v>2.2000000000000002</v>
      </c>
    </row>
    <row r="24" spans="1:15" ht="14.45">
      <c r="J24" s="413"/>
      <c r="K24" s="115" t="s">
        <v>383</v>
      </c>
      <c r="L24" s="113">
        <v>0.9</v>
      </c>
      <c r="M24" s="113">
        <v>5.4</v>
      </c>
      <c r="N24" s="175">
        <v>0.9</v>
      </c>
      <c r="O24" s="175">
        <v>1.2</v>
      </c>
    </row>
    <row r="25" spans="1:15" ht="14.45">
      <c r="J25" s="413"/>
      <c r="K25" s="115" t="s">
        <v>385</v>
      </c>
      <c r="L25" s="113">
        <v>0.8</v>
      </c>
      <c r="M25" s="113">
        <v>3.3</v>
      </c>
      <c r="N25" s="175">
        <v>0.8</v>
      </c>
      <c r="O25" s="175">
        <v>0.9</v>
      </c>
    </row>
    <row r="26" spans="1:15" ht="14.45">
      <c r="J26" s="413"/>
      <c r="K26" s="115" t="s">
        <v>387</v>
      </c>
      <c r="L26" s="113">
        <v>1.8</v>
      </c>
      <c r="M26" s="113">
        <v>7.1</v>
      </c>
      <c r="N26" s="175">
        <v>1.8</v>
      </c>
      <c r="O26" s="175">
        <v>3.2</v>
      </c>
    </row>
    <row r="27" spans="1:15" ht="14.45">
      <c r="J27" s="413"/>
      <c r="K27" s="115" t="s">
        <v>388</v>
      </c>
      <c r="L27" s="113">
        <v>0.9</v>
      </c>
      <c r="M27" s="113">
        <v>2.2000000000000002</v>
      </c>
      <c r="N27" s="175">
        <v>0.9</v>
      </c>
      <c r="O27" s="175">
        <v>1.1000000000000001</v>
      </c>
    </row>
    <row r="28" spans="1:15" ht="14.45">
      <c r="J28" s="413"/>
      <c r="K28" s="115" t="s">
        <v>389</v>
      </c>
      <c r="L28" s="113">
        <v>0.8</v>
      </c>
      <c r="M28" s="113">
        <v>3.1</v>
      </c>
      <c r="N28" s="175">
        <v>0.8</v>
      </c>
      <c r="O28" s="175">
        <v>0.9</v>
      </c>
    </row>
    <row r="29" spans="1:15" ht="14.45">
      <c r="J29" s="413"/>
      <c r="K29" s="115" t="s">
        <v>391</v>
      </c>
      <c r="L29" s="113">
        <v>0.8</v>
      </c>
      <c r="M29" s="113">
        <v>5.6</v>
      </c>
      <c r="N29" s="175">
        <v>0.8</v>
      </c>
      <c r="O29" s="175">
        <v>0.9</v>
      </c>
    </row>
    <row r="30" spans="1:15" ht="14.45">
      <c r="J30" s="413"/>
      <c r="K30" s="115" t="s">
        <v>392</v>
      </c>
      <c r="L30" s="113">
        <v>0.9</v>
      </c>
      <c r="M30" s="113">
        <v>2.5</v>
      </c>
      <c r="N30" s="175">
        <v>0.9</v>
      </c>
      <c r="O30" s="175">
        <v>0.9</v>
      </c>
    </row>
    <row r="31" spans="1:15">
      <c r="J31" s="413"/>
      <c r="K31" s="115" t="s">
        <v>393</v>
      </c>
      <c r="L31" s="113">
        <v>0</v>
      </c>
      <c r="M31" s="113">
        <v>0</v>
      </c>
      <c r="N31" s="113"/>
      <c r="O31" s="113"/>
    </row>
    <row r="32" spans="1:15">
      <c r="J32" s="413"/>
      <c r="K32" s="115" t="s">
        <v>394</v>
      </c>
      <c r="L32" s="113">
        <v>0</v>
      </c>
      <c r="M32" s="113">
        <v>0</v>
      </c>
      <c r="N32" s="113"/>
      <c r="O32" s="113"/>
    </row>
    <row r="33" spans="1:15">
      <c r="J33" s="413"/>
      <c r="K33" s="115" t="s">
        <v>395</v>
      </c>
      <c r="L33" s="113">
        <v>0</v>
      </c>
      <c r="M33" s="113">
        <v>0</v>
      </c>
      <c r="N33" s="113"/>
      <c r="O33" s="113"/>
    </row>
    <row r="34" spans="1:15">
      <c r="J34" s="413"/>
      <c r="K34" s="111" t="s">
        <v>396</v>
      </c>
      <c r="L34" s="111">
        <f>AVERAGE(L22:L33)</f>
        <v>0.7416666666666667</v>
      </c>
      <c r="M34" s="111">
        <f>MAX(M22:M33)</f>
        <v>12.3</v>
      </c>
      <c r="N34" s="111">
        <f>AVERAGE(N22:N33)</f>
        <v>0.98888888888888893</v>
      </c>
      <c r="O34" s="111">
        <f>MAX(O22:O33)</f>
        <v>3.2</v>
      </c>
    </row>
    <row r="36" spans="1:15" ht="41.45">
      <c r="J36" s="110">
        <f>+A6</f>
        <v>2022</v>
      </c>
      <c r="K36" s="110" t="s">
        <v>378</v>
      </c>
      <c r="L36" s="116" t="s">
        <v>373</v>
      </c>
      <c r="M36" s="116" t="s">
        <v>379</v>
      </c>
      <c r="N36" s="116" t="s">
        <v>376</v>
      </c>
      <c r="O36" s="116" t="s">
        <v>380</v>
      </c>
    </row>
    <row r="37" spans="1:15">
      <c r="J37" s="413" t="s">
        <v>186</v>
      </c>
      <c r="K37" s="115" t="s">
        <v>381</v>
      </c>
      <c r="L37" s="113"/>
      <c r="M37" s="113"/>
      <c r="N37" s="113"/>
      <c r="O37" s="113"/>
    </row>
    <row r="38" spans="1:15">
      <c r="J38" s="413"/>
      <c r="K38" s="115" t="s">
        <v>382</v>
      </c>
      <c r="L38" s="113"/>
      <c r="M38" s="113"/>
      <c r="N38" s="113"/>
      <c r="O38" s="113"/>
    </row>
    <row r="39" spans="1:15">
      <c r="J39" s="413"/>
      <c r="K39" s="115" t="s">
        <v>383</v>
      </c>
      <c r="L39" s="113"/>
      <c r="M39" s="113"/>
      <c r="N39" s="113"/>
      <c r="O39" s="113"/>
    </row>
    <row r="40" spans="1:15">
      <c r="J40" s="413"/>
      <c r="K40" s="115" t="s">
        <v>385</v>
      </c>
      <c r="L40" s="113"/>
      <c r="M40" s="113"/>
      <c r="N40" s="113"/>
      <c r="O40" s="113"/>
    </row>
    <row r="41" spans="1:15">
      <c r="J41" s="413"/>
      <c r="K41" s="115" t="s">
        <v>387</v>
      </c>
      <c r="L41" s="113"/>
      <c r="M41" s="113"/>
      <c r="N41" s="113"/>
      <c r="O41" s="113"/>
    </row>
    <row r="42" spans="1:15">
      <c r="J42" s="413"/>
      <c r="K42" s="115" t="s">
        <v>388</v>
      </c>
      <c r="L42" s="113"/>
      <c r="M42" s="113"/>
      <c r="N42" s="113"/>
      <c r="O42" s="113"/>
    </row>
    <row r="43" spans="1:15">
      <c r="J43" s="413"/>
      <c r="K43" s="115" t="s">
        <v>389</v>
      </c>
      <c r="L43" s="113"/>
      <c r="M43" s="113"/>
      <c r="N43" s="113"/>
      <c r="O43" s="113"/>
    </row>
    <row r="44" spans="1:15">
      <c r="J44" s="413"/>
      <c r="K44" s="115" t="s">
        <v>391</v>
      </c>
      <c r="L44" s="113"/>
      <c r="M44" s="113"/>
      <c r="N44" s="113"/>
      <c r="O44" s="113"/>
    </row>
    <row r="45" spans="1:15">
      <c r="J45" s="413"/>
      <c r="K45" s="115" t="s">
        <v>392</v>
      </c>
      <c r="L45" s="113"/>
      <c r="M45" s="113"/>
      <c r="N45" s="113"/>
      <c r="O45" s="113"/>
    </row>
    <row r="46" spans="1:15">
      <c r="J46" s="413"/>
      <c r="K46" s="115" t="s">
        <v>393</v>
      </c>
      <c r="L46" s="113"/>
      <c r="M46" s="113"/>
      <c r="N46" s="113"/>
      <c r="O46" s="113"/>
    </row>
    <row r="47" spans="1:15">
      <c r="J47" s="413"/>
      <c r="K47" s="115" t="s">
        <v>394</v>
      </c>
      <c r="L47" s="113"/>
      <c r="M47" s="113"/>
      <c r="N47" s="113"/>
      <c r="O47" s="113"/>
    </row>
    <row r="48" spans="1:15">
      <c r="A48" s="419" t="s">
        <v>284</v>
      </c>
      <c r="B48" s="420"/>
      <c r="C48" s="420"/>
      <c r="D48" s="420"/>
      <c r="E48" s="420"/>
      <c r="F48" s="420"/>
      <c r="G48" s="421"/>
      <c r="J48" s="413"/>
      <c r="K48" s="115" t="s">
        <v>395</v>
      </c>
      <c r="L48" s="113"/>
      <c r="M48" s="113"/>
      <c r="N48" s="113"/>
      <c r="O48" s="113"/>
    </row>
    <row r="49" spans="1:15">
      <c r="A49" s="403"/>
      <c r="B49" s="404"/>
      <c r="C49" s="404"/>
      <c r="D49" s="404"/>
      <c r="E49" s="404"/>
      <c r="F49" s="404"/>
      <c r="G49" s="405"/>
      <c r="J49" s="413"/>
      <c r="K49" s="111" t="s">
        <v>396</v>
      </c>
      <c r="L49" s="111" t="e">
        <f>AVERAGE(L37:L48)</f>
        <v>#DIV/0!</v>
      </c>
      <c r="M49" s="111">
        <f>MAX(M37:M48)</f>
        <v>0</v>
      </c>
      <c r="N49" s="111" t="e">
        <f>AVERAGE(N37:N48)</f>
        <v>#DIV/0!</v>
      </c>
      <c r="O49" s="111">
        <f>MAX(O37:O48)</f>
        <v>0</v>
      </c>
    </row>
    <row r="50" spans="1:15">
      <c r="A50" s="416"/>
      <c r="B50" s="417"/>
      <c r="C50" s="417"/>
      <c r="D50" s="417"/>
      <c r="E50" s="417"/>
      <c r="F50" s="417"/>
      <c r="G50" s="418"/>
    </row>
    <row r="51" spans="1:15" ht="41.45">
      <c r="A51" s="416"/>
      <c r="B51" s="417"/>
      <c r="C51" s="417"/>
      <c r="D51" s="417"/>
      <c r="E51" s="417"/>
      <c r="F51" s="417"/>
      <c r="G51" s="418"/>
      <c r="J51" s="110">
        <f>+A6</f>
        <v>2022</v>
      </c>
      <c r="K51" s="110" t="s">
        <v>378</v>
      </c>
      <c r="L51" s="116" t="s">
        <v>373</v>
      </c>
      <c r="M51" s="116" t="s">
        <v>379</v>
      </c>
      <c r="N51" s="116" t="s">
        <v>376</v>
      </c>
      <c r="O51" s="116" t="s">
        <v>380</v>
      </c>
    </row>
    <row r="52" spans="1:15">
      <c r="A52" s="406"/>
      <c r="B52" s="407"/>
      <c r="C52" s="407"/>
      <c r="D52" s="407"/>
      <c r="E52" s="407"/>
      <c r="F52" s="407"/>
      <c r="G52" s="408"/>
      <c r="J52" s="413" t="s">
        <v>299</v>
      </c>
      <c r="K52" s="115" t="s">
        <v>381</v>
      </c>
      <c r="L52" s="113"/>
      <c r="M52" s="113"/>
      <c r="N52" s="113"/>
      <c r="O52" s="113"/>
    </row>
    <row r="53" spans="1:15">
      <c r="J53" s="413"/>
      <c r="K53" s="115" t="s">
        <v>382</v>
      </c>
      <c r="L53" s="113"/>
      <c r="M53" s="113"/>
      <c r="N53" s="113"/>
      <c r="O53" s="113"/>
    </row>
    <row r="54" spans="1:15">
      <c r="J54" s="413"/>
      <c r="K54" s="115" t="s">
        <v>383</v>
      </c>
      <c r="L54" s="113"/>
      <c r="M54" s="113"/>
      <c r="N54" s="113"/>
      <c r="O54" s="113"/>
    </row>
    <row r="55" spans="1:15">
      <c r="J55" s="413"/>
      <c r="K55" s="115" t="s">
        <v>385</v>
      </c>
      <c r="L55" s="113"/>
      <c r="M55" s="113"/>
      <c r="N55" s="113"/>
      <c r="O55" s="113"/>
    </row>
    <row r="56" spans="1:15">
      <c r="J56" s="413"/>
      <c r="K56" s="115" t="s">
        <v>387</v>
      </c>
      <c r="L56" s="113"/>
      <c r="M56" s="113"/>
      <c r="N56" s="113"/>
      <c r="O56" s="113"/>
    </row>
    <row r="57" spans="1:15">
      <c r="J57" s="413"/>
      <c r="K57" s="115" t="s">
        <v>388</v>
      </c>
      <c r="L57" s="113"/>
      <c r="M57" s="113"/>
      <c r="N57" s="113"/>
      <c r="O57" s="113"/>
    </row>
    <row r="58" spans="1:15">
      <c r="J58" s="413"/>
      <c r="K58" s="115" t="s">
        <v>389</v>
      </c>
      <c r="L58" s="113"/>
      <c r="M58" s="113"/>
      <c r="N58" s="113"/>
      <c r="O58" s="113"/>
    </row>
    <row r="59" spans="1:15">
      <c r="J59" s="413"/>
      <c r="K59" s="115" t="s">
        <v>391</v>
      </c>
      <c r="L59" s="113"/>
      <c r="M59" s="113"/>
      <c r="N59" s="113"/>
      <c r="O59" s="113"/>
    </row>
    <row r="60" spans="1:15">
      <c r="J60" s="413"/>
      <c r="K60" s="115" t="s">
        <v>392</v>
      </c>
      <c r="L60" s="113"/>
      <c r="M60" s="113"/>
      <c r="N60" s="113"/>
      <c r="O60" s="113"/>
    </row>
    <row r="61" spans="1:15">
      <c r="J61" s="413"/>
      <c r="K61" s="115" t="s">
        <v>393</v>
      </c>
      <c r="L61" s="113"/>
      <c r="M61" s="113"/>
      <c r="N61" s="113"/>
      <c r="O61" s="113"/>
    </row>
    <row r="62" spans="1:15">
      <c r="J62" s="413"/>
      <c r="K62" s="115" t="s">
        <v>394</v>
      </c>
      <c r="L62" s="113"/>
      <c r="M62" s="113"/>
      <c r="N62" s="113"/>
      <c r="O62" s="113"/>
    </row>
    <row r="63" spans="1:15">
      <c r="J63" s="413"/>
      <c r="K63" s="115" t="s">
        <v>395</v>
      </c>
      <c r="L63" s="113"/>
      <c r="M63" s="113"/>
      <c r="N63" s="113"/>
      <c r="O63" s="113"/>
    </row>
    <row r="64" spans="1:15">
      <c r="J64" s="413"/>
      <c r="K64" s="111" t="s">
        <v>396</v>
      </c>
      <c r="L64" s="111" t="e">
        <f>AVERAGE(L52:L63)</f>
        <v>#DIV/0!</v>
      </c>
      <c r="M64" s="111">
        <f>MAX(M52:M63)</f>
        <v>0</v>
      </c>
      <c r="N64" s="111" t="e">
        <f>AVERAGE(N52:N63)</f>
        <v>#DIV/0!</v>
      </c>
      <c r="O64" s="111">
        <f>MAX(O52:O63)</f>
        <v>0</v>
      </c>
    </row>
    <row r="66" spans="10:15" ht="41.45">
      <c r="J66" s="110">
        <f>+A6</f>
        <v>2022</v>
      </c>
      <c r="K66" s="110" t="s">
        <v>378</v>
      </c>
      <c r="L66" s="116" t="s">
        <v>373</v>
      </c>
      <c r="M66" s="116" t="s">
        <v>379</v>
      </c>
      <c r="N66" s="116" t="s">
        <v>376</v>
      </c>
      <c r="O66" s="116" t="s">
        <v>380</v>
      </c>
    </row>
    <row r="67" spans="10:15">
      <c r="J67" s="413" t="s">
        <v>300</v>
      </c>
      <c r="K67" s="115" t="s">
        <v>381</v>
      </c>
      <c r="L67" s="113"/>
      <c r="M67" s="113"/>
      <c r="N67" s="113"/>
      <c r="O67" s="113"/>
    </row>
    <row r="68" spans="10:15">
      <c r="J68" s="413"/>
      <c r="K68" s="115" t="s">
        <v>382</v>
      </c>
      <c r="L68" s="113"/>
      <c r="M68" s="113"/>
      <c r="N68" s="113"/>
      <c r="O68" s="113"/>
    </row>
    <row r="69" spans="10:15">
      <c r="J69" s="413"/>
      <c r="K69" s="115" t="s">
        <v>383</v>
      </c>
      <c r="L69" s="113"/>
      <c r="M69" s="113"/>
      <c r="N69" s="113"/>
      <c r="O69" s="113"/>
    </row>
    <row r="70" spans="10:15">
      <c r="J70" s="413"/>
      <c r="K70" s="115" t="s">
        <v>385</v>
      </c>
      <c r="L70" s="113"/>
      <c r="M70" s="113"/>
      <c r="N70" s="113"/>
      <c r="O70" s="113"/>
    </row>
    <row r="71" spans="10:15">
      <c r="J71" s="413"/>
      <c r="K71" s="115" t="s">
        <v>387</v>
      </c>
      <c r="L71" s="113"/>
      <c r="M71" s="113"/>
      <c r="N71" s="113"/>
      <c r="O71" s="113"/>
    </row>
    <row r="72" spans="10:15">
      <c r="J72" s="413"/>
      <c r="K72" s="115" t="s">
        <v>388</v>
      </c>
      <c r="L72" s="113"/>
      <c r="M72" s="113"/>
      <c r="N72" s="113"/>
      <c r="O72" s="113"/>
    </row>
    <row r="73" spans="10:15">
      <c r="J73" s="413"/>
      <c r="K73" s="115" t="s">
        <v>389</v>
      </c>
      <c r="L73" s="113"/>
      <c r="M73" s="113"/>
      <c r="N73" s="113"/>
      <c r="O73" s="113"/>
    </row>
    <row r="74" spans="10:15">
      <c r="J74" s="413"/>
      <c r="K74" s="115" t="s">
        <v>391</v>
      </c>
      <c r="L74" s="113"/>
      <c r="M74" s="113"/>
      <c r="N74" s="113"/>
      <c r="O74" s="113"/>
    </row>
    <row r="75" spans="10:15">
      <c r="J75" s="413"/>
      <c r="K75" s="115" t="s">
        <v>392</v>
      </c>
      <c r="L75" s="113"/>
      <c r="M75" s="113"/>
      <c r="N75" s="113"/>
      <c r="O75" s="113"/>
    </row>
    <row r="76" spans="10:15">
      <c r="J76" s="413"/>
      <c r="K76" s="115" t="s">
        <v>393</v>
      </c>
      <c r="L76" s="113"/>
      <c r="M76" s="113"/>
      <c r="N76" s="113"/>
      <c r="O76" s="113"/>
    </row>
    <row r="77" spans="10:15">
      <c r="J77" s="413"/>
      <c r="K77" s="115" t="s">
        <v>394</v>
      </c>
      <c r="L77" s="113"/>
      <c r="M77" s="113"/>
      <c r="N77" s="113"/>
      <c r="O77" s="113"/>
    </row>
    <row r="78" spans="10:15">
      <c r="J78" s="413"/>
      <c r="K78" s="115" t="s">
        <v>395</v>
      </c>
      <c r="L78" s="113"/>
      <c r="M78" s="113"/>
      <c r="N78" s="113"/>
      <c r="O78" s="113"/>
    </row>
    <row r="79" spans="10:15">
      <c r="J79" s="413"/>
      <c r="K79" s="111" t="s">
        <v>396</v>
      </c>
      <c r="L79" s="111" t="e">
        <f>AVERAGE(L67:L78)</f>
        <v>#DIV/0!</v>
      </c>
      <c r="M79" s="111">
        <f>MAX(M67:M78)</f>
        <v>0</v>
      </c>
      <c r="N79" s="111" t="e">
        <f>AVERAGE(N67:N78)</f>
        <v>#DIV/0!</v>
      </c>
      <c r="O79" s="11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topLeftCell="B5" zoomScaleNormal="100" workbookViewId="0">
      <selection activeCell="Q30" sqref="Q30"/>
    </sheetView>
  </sheetViews>
  <sheetFormatPr defaultRowHeight="13.9"/>
  <cols>
    <col min="1" max="1" width="14" style="3" customWidth="1"/>
    <col min="2" max="4" width="17" style="73" customWidth="1"/>
    <col min="5" max="5" width="14.7109375" style="73" customWidth="1"/>
    <col min="6" max="7" width="17" style="73"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142" t="str">
        <f>+'Cover Page'!$B$29</f>
        <v>Annual Performance Report 2022</v>
      </c>
      <c r="B1" s="142"/>
      <c r="C1" s="142"/>
      <c r="D1" s="142"/>
      <c r="E1" s="142" t="str">
        <f>+'Cover Page'!$B$33</f>
        <v>Name of Facility: Thalia MK ODC Limited</v>
      </c>
    </row>
    <row r="3" spans="1:19" ht="14.45">
      <c r="A3" s="109" t="s">
        <v>407</v>
      </c>
      <c r="D3" s="129" t="s">
        <v>365</v>
      </c>
      <c r="G3" s="133" t="s">
        <v>366</v>
      </c>
      <c r="J3" s="9" t="str">
        <f>+A3</f>
        <v>Monitoring of Particulate matter emissions</v>
      </c>
      <c r="L3" s="9"/>
      <c r="N3" s="9" t="s">
        <v>367</v>
      </c>
      <c r="Q3" s="132" t="s">
        <v>3</v>
      </c>
      <c r="R3" s="126"/>
      <c r="S3" s="126"/>
    </row>
    <row r="4" spans="1:19" ht="13.9" customHeight="1">
      <c r="Q4" s="385" t="s">
        <v>368</v>
      </c>
      <c r="R4" s="385"/>
      <c r="S4" s="385"/>
    </row>
    <row r="5" spans="1:19" ht="16.149999999999999">
      <c r="A5" s="117" t="s">
        <v>369</v>
      </c>
      <c r="B5" s="415" t="s">
        <v>370</v>
      </c>
      <c r="C5" s="415"/>
      <c r="D5" s="415"/>
      <c r="E5" s="415" t="s">
        <v>371</v>
      </c>
      <c r="F5" s="415"/>
      <c r="G5" s="415"/>
      <c r="J5" s="414"/>
      <c r="K5" s="414"/>
      <c r="L5" s="414"/>
      <c r="M5" s="414"/>
      <c r="N5" s="414"/>
      <c r="O5" s="414"/>
      <c r="Q5" s="385"/>
      <c r="R5" s="385"/>
      <c r="S5" s="385"/>
    </row>
    <row r="6" spans="1:19" s="107" customFormat="1" ht="37.5" customHeight="1">
      <c r="A6" s="114">
        <f>+'Cover Page'!C39</f>
        <v>2022</v>
      </c>
      <c r="B6" s="103" t="s">
        <v>408</v>
      </c>
      <c r="C6" s="103" t="s">
        <v>373</v>
      </c>
      <c r="D6" s="103" t="s">
        <v>374</v>
      </c>
      <c r="E6" s="103" t="s">
        <v>409</v>
      </c>
      <c r="F6" s="116" t="s">
        <v>376</v>
      </c>
      <c r="G6" s="116" t="s">
        <v>377</v>
      </c>
      <c r="H6" s="108"/>
      <c r="J6" s="110">
        <f>+A6</f>
        <v>2022</v>
      </c>
      <c r="K6" s="110" t="s">
        <v>378</v>
      </c>
      <c r="L6" s="116" t="s">
        <v>373</v>
      </c>
      <c r="M6" s="116" t="s">
        <v>379</v>
      </c>
      <c r="N6" s="116" t="s">
        <v>376</v>
      </c>
      <c r="O6" s="116" t="s">
        <v>380</v>
      </c>
      <c r="Q6" s="385"/>
      <c r="R6" s="385"/>
      <c r="S6" s="385"/>
    </row>
    <row r="7" spans="1:19" ht="14.45">
      <c r="A7" s="115" t="s">
        <v>381</v>
      </c>
      <c r="B7" s="112">
        <v>30</v>
      </c>
      <c r="C7" s="113">
        <f>(L7+L22)/2</f>
        <v>0.3</v>
      </c>
      <c r="D7" s="113">
        <f>(M7+M22)/2</f>
        <v>0.85000000000000009</v>
      </c>
      <c r="E7" s="178">
        <v>10</v>
      </c>
      <c r="F7" s="180">
        <v>0.3</v>
      </c>
      <c r="G7" s="177">
        <v>0.4</v>
      </c>
      <c r="J7" s="413" t="s">
        <v>184</v>
      </c>
      <c r="K7" s="115" t="s">
        <v>381</v>
      </c>
      <c r="L7" s="113">
        <v>0.3</v>
      </c>
      <c r="M7" s="113">
        <v>0.6</v>
      </c>
      <c r="N7" s="174">
        <v>0.3</v>
      </c>
      <c r="O7" s="174">
        <v>0.4</v>
      </c>
      <c r="Q7" s="385"/>
      <c r="R7" s="385"/>
      <c r="S7" s="385"/>
    </row>
    <row r="8" spans="1:19" ht="14.45">
      <c r="A8" s="115" t="s">
        <v>382</v>
      </c>
      <c r="B8" s="112">
        <v>30</v>
      </c>
      <c r="C8" s="113">
        <f t="shared" ref="C8:C18" si="0">(L8+L23)/2</f>
        <v>0.3</v>
      </c>
      <c r="D8" s="113">
        <f t="shared" ref="D8:D18" si="1">(M8+M23)/2</f>
        <v>3.8</v>
      </c>
      <c r="E8" s="178">
        <v>10</v>
      </c>
      <c r="F8" s="180">
        <v>0.3</v>
      </c>
      <c r="G8" s="177">
        <v>0.5</v>
      </c>
      <c r="J8" s="413"/>
      <c r="K8" s="115" t="s">
        <v>382</v>
      </c>
      <c r="L8" s="113">
        <v>0.3</v>
      </c>
      <c r="M8" s="113">
        <v>0.8</v>
      </c>
      <c r="N8" s="175">
        <v>0.3</v>
      </c>
      <c r="O8" s="175">
        <v>0.4</v>
      </c>
      <c r="Q8" s="385"/>
      <c r="R8" s="385"/>
      <c r="S8" s="385"/>
    </row>
    <row r="9" spans="1:19" ht="14.45">
      <c r="A9" s="115" t="s">
        <v>383</v>
      </c>
      <c r="B9" s="112">
        <v>30</v>
      </c>
      <c r="C9" s="113">
        <f t="shared" si="0"/>
        <v>0.44999999999999996</v>
      </c>
      <c r="D9" s="113">
        <f t="shared" si="1"/>
        <v>0.85</v>
      </c>
      <c r="E9" s="178">
        <v>10</v>
      </c>
      <c r="F9" s="180">
        <v>0.45</v>
      </c>
      <c r="G9" s="177">
        <v>0.5</v>
      </c>
      <c r="J9" s="413"/>
      <c r="K9" s="115" t="s">
        <v>383</v>
      </c>
      <c r="L9" s="113">
        <v>0.3</v>
      </c>
      <c r="M9" s="113">
        <v>0.7</v>
      </c>
      <c r="N9" s="175">
        <v>0.3</v>
      </c>
      <c r="O9" s="175">
        <v>0.3</v>
      </c>
      <c r="Q9" s="131" t="s">
        <v>384</v>
      </c>
    </row>
    <row r="10" spans="1:19" ht="14.25" customHeight="1">
      <c r="A10" s="115" t="s">
        <v>385</v>
      </c>
      <c r="B10" s="112">
        <v>30</v>
      </c>
      <c r="C10" s="113">
        <f t="shared" si="0"/>
        <v>0.4</v>
      </c>
      <c r="D10" s="113">
        <f t="shared" si="1"/>
        <v>0.6</v>
      </c>
      <c r="E10" s="178">
        <v>10</v>
      </c>
      <c r="F10" s="180">
        <v>0.4</v>
      </c>
      <c r="G10" s="177">
        <v>0.45</v>
      </c>
      <c r="J10" s="413"/>
      <c r="K10" s="115" t="s">
        <v>385</v>
      </c>
      <c r="L10" s="113">
        <v>0.3</v>
      </c>
      <c r="M10" s="113">
        <v>0.5</v>
      </c>
      <c r="N10" s="175">
        <v>0.3</v>
      </c>
      <c r="O10" s="175">
        <v>0.3</v>
      </c>
      <c r="Q10" s="412" t="s">
        <v>400</v>
      </c>
      <c r="R10" s="412"/>
      <c r="S10" s="412"/>
    </row>
    <row r="11" spans="1:19" ht="14.45">
      <c r="A11" s="115" t="s">
        <v>387</v>
      </c>
      <c r="B11" s="112">
        <v>30</v>
      </c>
      <c r="C11" s="113">
        <f t="shared" si="0"/>
        <v>0.30000000000000004</v>
      </c>
      <c r="D11" s="113">
        <f t="shared" si="1"/>
        <v>0.8</v>
      </c>
      <c r="E11" s="178">
        <v>10</v>
      </c>
      <c r="F11" s="180">
        <v>0.3</v>
      </c>
      <c r="G11" s="177">
        <v>0.4</v>
      </c>
      <c r="J11" s="413"/>
      <c r="K11" s="115" t="s">
        <v>387</v>
      </c>
      <c r="L11" s="113">
        <v>0.2</v>
      </c>
      <c r="M11" s="113">
        <v>0.4</v>
      </c>
      <c r="N11" s="175">
        <v>0.2</v>
      </c>
      <c r="O11" s="175">
        <v>0.3</v>
      </c>
      <c r="Q11" s="412"/>
      <c r="R11" s="412"/>
      <c r="S11" s="412"/>
    </row>
    <row r="12" spans="1:19" ht="14.45">
      <c r="A12" s="115" t="s">
        <v>388</v>
      </c>
      <c r="B12" s="112">
        <v>30</v>
      </c>
      <c r="C12" s="113">
        <f t="shared" si="0"/>
        <v>0.25</v>
      </c>
      <c r="D12" s="113">
        <f t="shared" si="1"/>
        <v>0.6</v>
      </c>
      <c r="E12" s="178">
        <v>10</v>
      </c>
      <c r="F12" s="180">
        <v>0.25</v>
      </c>
      <c r="G12" s="177">
        <v>0.3</v>
      </c>
      <c r="J12" s="413"/>
      <c r="K12" s="115" t="s">
        <v>388</v>
      </c>
      <c r="L12" s="113">
        <v>0.2</v>
      </c>
      <c r="M12" s="113">
        <v>0.5</v>
      </c>
      <c r="N12" s="175">
        <v>0.2</v>
      </c>
      <c r="O12" s="175">
        <v>0.2</v>
      </c>
      <c r="Q12" s="412"/>
      <c r="R12" s="412"/>
      <c r="S12" s="412"/>
    </row>
    <row r="13" spans="1:19" ht="14.25" customHeight="1">
      <c r="A13" s="115" t="s">
        <v>389</v>
      </c>
      <c r="B13" s="112">
        <v>30</v>
      </c>
      <c r="C13" s="113">
        <f t="shared" si="0"/>
        <v>0.3</v>
      </c>
      <c r="D13" s="113">
        <f t="shared" si="1"/>
        <v>0.8</v>
      </c>
      <c r="E13" s="178">
        <v>10</v>
      </c>
      <c r="F13" s="180">
        <v>0.3</v>
      </c>
      <c r="G13" s="177">
        <v>0.4</v>
      </c>
      <c r="J13" s="413"/>
      <c r="K13" s="115" t="s">
        <v>389</v>
      </c>
      <c r="L13" s="113">
        <v>0.3</v>
      </c>
      <c r="M13" s="113">
        <v>0.5</v>
      </c>
      <c r="N13" s="175">
        <v>0.3</v>
      </c>
      <c r="O13" s="175">
        <v>0.3</v>
      </c>
      <c r="Q13" s="412" t="s">
        <v>390</v>
      </c>
      <c r="R13" s="412"/>
      <c r="S13" s="412"/>
    </row>
    <row r="14" spans="1:19" ht="14.45">
      <c r="A14" s="115" t="s">
        <v>391</v>
      </c>
      <c r="B14" s="112">
        <v>30</v>
      </c>
      <c r="C14" s="113">
        <f t="shared" si="0"/>
        <v>0.3</v>
      </c>
      <c r="D14" s="113">
        <f t="shared" si="1"/>
        <v>0.9</v>
      </c>
      <c r="E14" s="178">
        <v>10</v>
      </c>
      <c r="F14" s="180">
        <v>0.3</v>
      </c>
      <c r="G14" s="177">
        <v>0.55000000000000004</v>
      </c>
      <c r="J14" s="413"/>
      <c r="K14" s="115" t="s">
        <v>391</v>
      </c>
      <c r="L14" s="113">
        <v>0.3</v>
      </c>
      <c r="M14" s="113">
        <v>0.8</v>
      </c>
      <c r="N14" s="175">
        <v>0.3</v>
      </c>
      <c r="O14" s="175">
        <v>0.4</v>
      </c>
      <c r="Q14" s="412"/>
      <c r="R14" s="412"/>
      <c r="S14" s="412"/>
    </row>
    <row r="15" spans="1:19" ht="14.45">
      <c r="A15" s="115" t="s">
        <v>392</v>
      </c>
      <c r="B15" s="112">
        <v>30</v>
      </c>
      <c r="C15" s="113">
        <f t="shared" si="0"/>
        <v>0.4</v>
      </c>
      <c r="D15" s="113">
        <f t="shared" si="1"/>
        <v>1.5</v>
      </c>
      <c r="E15" s="178">
        <v>10</v>
      </c>
      <c r="F15" s="180">
        <v>0.4</v>
      </c>
      <c r="G15" s="177">
        <v>0.55000000000000004</v>
      </c>
      <c r="J15" s="413"/>
      <c r="K15" s="115" t="s">
        <v>392</v>
      </c>
      <c r="L15" s="113">
        <v>0.4</v>
      </c>
      <c r="M15" s="113">
        <v>1.8</v>
      </c>
      <c r="N15" s="175">
        <v>0.4</v>
      </c>
      <c r="O15" s="175">
        <v>0.7</v>
      </c>
      <c r="Q15" s="412"/>
      <c r="R15" s="412"/>
      <c r="S15" s="412"/>
    </row>
    <row r="16" spans="1:19">
      <c r="A16" s="115" t="s">
        <v>393</v>
      </c>
      <c r="B16" s="112">
        <v>30</v>
      </c>
      <c r="C16" s="113">
        <f t="shared" si="0"/>
        <v>0</v>
      </c>
      <c r="D16" s="113">
        <f t="shared" si="1"/>
        <v>0</v>
      </c>
      <c r="E16" s="112">
        <v>10</v>
      </c>
      <c r="F16" s="179"/>
      <c r="G16" s="179"/>
      <c r="J16" s="413"/>
      <c r="K16" s="115" t="s">
        <v>393</v>
      </c>
      <c r="L16" s="113">
        <v>0</v>
      </c>
      <c r="M16" s="113">
        <v>0</v>
      </c>
      <c r="N16" s="176"/>
      <c r="O16" s="176"/>
      <c r="Q16" s="412"/>
      <c r="R16" s="412"/>
      <c r="S16" s="412"/>
    </row>
    <row r="17" spans="1:15">
      <c r="A17" s="115" t="s">
        <v>394</v>
      </c>
      <c r="B17" s="112">
        <v>30</v>
      </c>
      <c r="C17" s="113">
        <f t="shared" si="0"/>
        <v>0</v>
      </c>
      <c r="D17" s="113">
        <f t="shared" si="1"/>
        <v>0</v>
      </c>
      <c r="E17" s="112">
        <v>10</v>
      </c>
      <c r="F17" s="176"/>
      <c r="G17" s="176"/>
      <c r="J17" s="413"/>
      <c r="K17" s="115" t="s">
        <v>394</v>
      </c>
      <c r="L17" s="113">
        <v>0</v>
      </c>
      <c r="M17" s="113">
        <v>0</v>
      </c>
      <c r="N17" s="176"/>
      <c r="O17" s="176"/>
    </row>
    <row r="18" spans="1:15">
      <c r="A18" s="115" t="s">
        <v>395</v>
      </c>
      <c r="B18" s="112">
        <v>30</v>
      </c>
      <c r="C18" s="113">
        <f t="shared" si="0"/>
        <v>0</v>
      </c>
      <c r="D18" s="113">
        <f t="shared" si="1"/>
        <v>0</v>
      </c>
      <c r="E18" s="112">
        <v>10</v>
      </c>
      <c r="F18" s="176"/>
      <c r="G18" s="176"/>
      <c r="J18" s="413"/>
      <c r="K18" s="115" t="s">
        <v>395</v>
      </c>
      <c r="L18" s="113">
        <v>0</v>
      </c>
      <c r="M18" s="113">
        <v>0</v>
      </c>
      <c r="N18" s="176"/>
      <c r="O18" s="176"/>
    </row>
    <row r="19" spans="1:15">
      <c r="J19" s="413"/>
      <c r="K19" s="111" t="s">
        <v>396</v>
      </c>
      <c r="L19" s="111">
        <f>AVERAGE(L7:L18)</f>
        <v>0.21666666666666665</v>
      </c>
      <c r="M19" s="111">
        <f>MAX(M7:M18)</f>
        <v>1.8</v>
      </c>
      <c r="N19" s="111">
        <f>AVERAGE(N7:N18)</f>
        <v>0.28888888888888886</v>
      </c>
      <c r="O19" s="111">
        <f>MAX(O7:O18)</f>
        <v>0.7</v>
      </c>
    </row>
    <row r="21" spans="1:15" ht="41.45">
      <c r="J21" s="110">
        <f>+A6</f>
        <v>2022</v>
      </c>
      <c r="K21" s="110" t="s">
        <v>378</v>
      </c>
      <c r="L21" s="116" t="s">
        <v>373</v>
      </c>
      <c r="M21" s="116" t="s">
        <v>379</v>
      </c>
      <c r="N21" s="116" t="s">
        <v>376</v>
      </c>
      <c r="O21" s="116" t="s">
        <v>380</v>
      </c>
    </row>
    <row r="22" spans="1:15" ht="14.45">
      <c r="J22" s="413" t="s">
        <v>185</v>
      </c>
      <c r="K22" s="115" t="s">
        <v>381</v>
      </c>
      <c r="L22" s="113">
        <v>0.3</v>
      </c>
      <c r="M22" s="113">
        <v>1.1000000000000001</v>
      </c>
      <c r="N22" s="174">
        <v>0.3</v>
      </c>
      <c r="O22" s="174">
        <v>0.4</v>
      </c>
    </row>
    <row r="23" spans="1:15" ht="14.45">
      <c r="J23" s="413"/>
      <c r="K23" s="115" t="s">
        <v>382</v>
      </c>
      <c r="L23" s="113">
        <v>0.3</v>
      </c>
      <c r="M23" s="113">
        <v>6.8</v>
      </c>
      <c r="N23" s="175">
        <v>0.3</v>
      </c>
      <c r="O23" s="175">
        <v>0.6</v>
      </c>
    </row>
    <row r="24" spans="1:15" ht="14.45">
      <c r="J24" s="413"/>
      <c r="K24" s="115" t="s">
        <v>383</v>
      </c>
      <c r="L24" s="113">
        <v>0.6</v>
      </c>
      <c r="M24" s="113">
        <v>1</v>
      </c>
      <c r="N24" s="175">
        <v>0.6</v>
      </c>
      <c r="O24" s="175">
        <v>0.7</v>
      </c>
    </row>
    <row r="25" spans="1:15" ht="14.45">
      <c r="J25" s="413"/>
      <c r="K25" s="115" t="s">
        <v>385</v>
      </c>
      <c r="L25" s="113">
        <v>0.5</v>
      </c>
      <c r="M25" s="113">
        <v>0.7</v>
      </c>
      <c r="N25" s="175">
        <v>0.5</v>
      </c>
      <c r="O25" s="175">
        <v>0.6</v>
      </c>
    </row>
    <row r="26" spans="1:15" ht="14.45">
      <c r="J26" s="413"/>
      <c r="K26" s="115" t="s">
        <v>387</v>
      </c>
      <c r="L26" s="113">
        <v>0.4</v>
      </c>
      <c r="M26" s="113">
        <v>1.2</v>
      </c>
      <c r="N26" s="175">
        <v>0.4</v>
      </c>
      <c r="O26" s="175">
        <v>0.5</v>
      </c>
    </row>
    <row r="27" spans="1:15" ht="14.45">
      <c r="J27" s="413"/>
      <c r="K27" s="115" t="s">
        <v>388</v>
      </c>
      <c r="L27" s="113">
        <v>0.3</v>
      </c>
      <c r="M27" s="113">
        <v>0.7</v>
      </c>
      <c r="N27" s="175">
        <v>0.3</v>
      </c>
      <c r="O27" s="175">
        <v>0.4</v>
      </c>
    </row>
    <row r="28" spans="1:15" ht="14.45">
      <c r="J28" s="413"/>
      <c r="K28" s="115" t="s">
        <v>389</v>
      </c>
      <c r="L28" s="113">
        <v>0.3</v>
      </c>
      <c r="M28" s="113">
        <v>1.1000000000000001</v>
      </c>
      <c r="N28" s="175">
        <v>0.3</v>
      </c>
      <c r="O28" s="175">
        <v>0.5</v>
      </c>
    </row>
    <row r="29" spans="1:15" ht="14.45">
      <c r="J29" s="413"/>
      <c r="K29" s="115" t="s">
        <v>391</v>
      </c>
      <c r="L29" s="113">
        <v>0.3</v>
      </c>
      <c r="M29" s="113">
        <v>1</v>
      </c>
      <c r="N29" s="175">
        <v>0.3</v>
      </c>
      <c r="O29" s="175">
        <v>0.7</v>
      </c>
    </row>
    <row r="30" spans="1:15" ht="14.45">
      <c r="J30" s="413"/>
      <c r="K30" s="115" t="s">
        <v>392</v>
      </c>
      <c r="L30" s="113">
        <v>0.4</v>
      </c>
      <c r="M30" s="113">
        <v>1.2</v>
      </c>
      <c r="N30" s="175">
        <v>0.4</v>
      </c>
      <c r="O30" s="175">
        <v>0.4</v>
      </c>
    </row>
    <row r="31" spans="1:15">
      <c r="J31" s="413"/>
      <c r="K31" s="115" t="s">
        <v>393</v>
      </c>
      <c r="L31" s="113">
        <v>0</v>
      </c>
      <c r="M31" s="113">
        <v>0</v>
      </c>
      <c r="N31" s="176"/>
      <c r="O31" s="176"/>
    </row>
    <row r="32" spans="1:15">
      <c r="J32" s="413"/>
      <c r="K32" s="115" t="s">
        <v>394</v>
      </c>
      <c r="L32" s="113">
        <v>0</v>
      </c>
      <c r="M32" s="113">
        <v>0</v>
      </c>
      <c r="N32" s="176"/>
      <c r="O32" s="176"/>
    </row>
    <row r="33" spans="1:15">
      <c r="J33" s="413"/>
      <c r="K33" s="115" t="s">
        <v>395</v>
      </c>
      <c r="L33" s="113">
        <v>0</v>
      </c>
      <c r="M33" s="113">
        <v>0</v>
      </c>
      <c r="N33" s="176"/>
      <c r="O33" s="176"/>
    </row>
    <row r="34" spans="1:15">
      <c r="J34" s="413"/>
      <c r="K34" s="111" t="s">
        <v>396</v>
      </c>
      <c r="L34" s="111">
        <f>AVERAGE(L22:L33)</f>
        <v>0.28333333333333327</v>
      </c>
      <c r="M34" s="111">
        <f>MAX(M22:M33)</f>
        <v>6.8</v>
      </c>
      <c r="N34" s="111">
        <f>AVERAGE(N22:N33)</f>
        <v>0.37777777777777771</v>
      </c>
      <c r="O34" s="111">
        <f>MAX(O22:O33)</f>
        <v>0.7</v>
      </c>
    </row>
    <row r="36" spans="1:15" ht="41.45">
      <c r="J36" s="110">
        <f>+A6</f>
        <v>2022</v>
      </c>
      <c r="K36" s="110" t="s">
        <v>378</v>
      </c>
      <c r="L36" s="116" t="s">
        <v>373</v>
      </c>
      <c r="M36" s="116" t="s">
        <v>379</v>
      </c>
      <c r="N36" s="116" t="s">
        <v>376</v>
      </c>
      <c r="O36" s="116" t="s">
        <v>380</v>
      </c>
    </row>
    <row r="37" spans="1:15">
      <c r="J37" s="413" t="s">
        <v>186</v>
      </c>
      <c r="K37" s="115" t="s">
        <v>381</v>
      </c>
      <c r="L37" s="113"/>
      <c r="M37" s="113"/>
      <c r="N37" s="113"/>
      <c r="O37" s="113"/>
    </row>
    <row r="38" spans="1:15">
      <c r="J38" s="413"/>
      <c r="K38" s="115" t="s">
        <v>382</v>
      </c>
      <c r="L38" s="113"/>
      <c r="M38" s="113"/>
      <c r="N38" s="113"/>
      <c r="O38" s="113"/>
    </row>
    <row r="39" spans="1:15">
      <c r="J39" s="413"/>
      <c r="K39" s="115" t="s">
        <v>383</v>
      </c>
      <c r="L39" s="113"/>
      <c r="M39" s="113"/>
      <c r="N39" s="113"/>
      <c r="O39" s="113"/>
    </row>
    <row r="40" spans="1:15">
      <c r="J40" s="413"/>
      <c r="K40" s="115" t="s">
        <v>385</v>
      </c>
      <c r="L40" s="113"/>
      <c r="M40" s="113"/>
      <c r="N40" s="113"/>
      <c r="O40" s="113"/>
    </row>
    <row r="41" spans="1:15">
      <c r="J41" s="413"/>
      <c r="K41" s="115" t="s">
        <v>387</v>
      </c>
      <c r="L41" s="113"/>
      <c r="M41" s="113"/>
      <c r="N41" s="113"/>
      <c r="O41" s="113"/>
    </row>
    <row r="42" spans="1:15">
      <c r="J42" s="413"/>
      <c r="K42" s="115" t="s">
        <v>388</v>
      </c>
      <c r="L42" s="113"/>
      <c r="M42" s="113"/>
      <c r="N42" s="113"/>
      <c r="O42" s="113"/>
    </row>
    <row r="43" spans="1:15">
      <c r="J43" s="413"/>
      <c r="K43" s="115" t="s">
        <v>389</v>
      </c>
      <c r="L43" s="113"/>
      <c r="M43" s="113"/>
      <c r="N43" s="113"/>
      <c r="O43" s="113"/>
    </row>
    <row r="44" spans="1:15">
      <c r="J44" s="413"/>
      <c r="K44" s="115" t="s">
        <v>391</v>
      </c>
      <c r="L44" s="113"/>
      <c r="M44" s="113"/>
      <c r="N44" s="113"/>
      <c r="O44" s="113"/>
    </row>
    <row r="45" spans="1:15">
      <c r="J45" s="413"/>
      <c r="K45" s="115" t="s">
        <v>392</v>
      </c>
      <c r="L45" s="113"/>
      <c r="M45" s="113"/>
      <c r="N45" s="113"/>
      <c r="O45" s="113"/>
    </row>
    <row r="46" spans="1:15">
      <c r="J46" s="413"/>
      <c r="K46" s="115" t="s">
        <v>393</v>
      </c>
      <c r="L46" s="113"/>
      <c r="M46" s="113"/>
      <c r="N46" s="113"/>
      <c r="O46" s="113"/>
    </row>
    <row r="47" spans="1:15">
      <c r="J47" s="413"/>
      <c r="K47" s="115" t="s">
        <v>394</v>
      </c>
      <c r="L47" s="113"/>
      <c r="M47" s="113"/>
      <c r="N47" s="113"/>
      <c r="O47" s="113"/>
    </row>
    <row r="48" spans="1:15">
      <c r="A48" s="419" t="s">
        <v>284</v>
      </c>
      <c r="B48" s="420"/>
      <c r="C48" s="420"/>
      <c r="D48" s="420"/>
      <c r="E48" s="420"/>
      <c r="F48" s="420"/>
      <c r="G48" s="421"/>
      <c r="J48" s="413"/>
      <c r="K48" s="115" t="s">
        <v>395</v>
      </c>
      <c r="L48" s="113"/>
      <c r="M48" s="113"/>
      <c r="N48" s="113"/>
      <c r="O48" s="113"/>
    </row>
    <row r="49" spans="1:15">
      <c r="A49" s="403"/>
      <c r="B49" s="404"/>
      <c r="C49" s="404"/>
      <c r="D49" s="404"/>
      <c r="E49" s="404"/>
      <c r="F49" s="404"/>
      <c r="G49" s="405"/>
      <c r="J49" s="413"/>
      <c r="K49" s="111" t="s">
        <v>396</v>
      </c>
      <c r="L49" s="111" t="e">
        <f>AVERAGE(L37:L48)</f>
        <v>#DIV/0!</v>
      </c>
      <c r="M49" s="111">
        <f>MAX(M37:M48)</f>
        <v>0</v>
      </c>
      <c r="N49" s="111" t="e">
        <f>AVERAGE(N37:N48)</f>
        <v>#DIV/0!</v>
      </c>
      <c r="O49" s="111">
        <f>MAX(O37:O48)</f>
        <v>0</v>
      </c>
    </row>
    <row r="50" spans="1:15">
      <c r="A50" s="416"/>
      <c r="B50" s="417"/>
      <c r="C50" s="417"/>
      <c r="D50" s="417"/>
      <c r="E50" s="417"/>
      <c r="F50" s="417"/>
      <c r="G50" s="418"/>
    </row>
    <row r="51" spans="1:15" ht="41.45">
      <c r="A51" s="416"/>
      <c r="B51" s="417"/>
      <c r="C51" s="417"/>
      <c r="D51" s="417"/>
      <c r="E51" s="417"/>
      <c r="F51" s="417"/>
      <c r="G51" s="418"/>
      <c r="J51" s="110">
        <f>+A6</f>
        <v>2022</v>
      </c>
      <c r="K51" s="110" t="s">
        <v>378</v>
      </c>
      <c r="L51" s="116" t="s">
        <v>373</v>
      </c>
      <c r="M51" s="116" t="s">
        <v>379</v>
      </c>
      <c r="N51" s="116" t="s">
        <v>376</v>
      </c>
      <c r="O51" s="116" t="s">
        <v>380</v>
      </c>
    </row>
    <row r="52" spans="1:15">
      <c r="A52" s="406"/>
      <c r="B52" s="407"/>
      <c r="C52" s="407"/>
      <c r="D52" s="407"/>
      <c r="E52" s="407"/>
      <c r="F52" s="407"/>
      <c r="G52" s="408"/>
      <c r="J52" s="413" t="s">
        <v>299</v>
      </c>
      <c r="K52" s="115" t="s">
        <v>381</v>
      </c>
      <c r="L52" s="113"/>
      <c r="M52" s="113"/>
      <c r="N52" s="113"/>
      <c r="O52" s="113"/>
    </row>
    <row r="53" spans="1:15">
      <c r="J53" s="413"/>
      <c r="K53" s="115" t="s">
        <v>382</v>
      </c>
      <c r="L53" s="113"/>
      <c r="M53" s="113"/>
      <c r="N53" s="113"/>
      <c r="O53" s="113"/>
    </row>
    <row r="54" spans="1:15">
      <c r="J54" s="413"/>
      <c r="K54" s="115" t="s">
        <v>383</v>
      </c>
      <c r="L54" s="113"/>
      <c r="M54" s="113"/>
      <c r="N54" s="113"/>
      <c r="O54" s="113"/>
    </row>
    <row r="55" spans="1:15">
      <c r="J55" s="413"/>
      <c r="K55" s="115" t="s">
        <v>385</v>
      </c>
      <c r="L55" s="113"/>
      <c r="M55" s="113"/>
      <c r="N55" s="113"/>
      <c r="O55" s="113"/>
    </row>
    <row r="56" spans="1:15">
      <c r="J56" s="413"/>
      <c r="K56" s="115" t="s">
        <v>387</v>
      </c>
      <c r="L56" s="113"/>
      <c r="M56" s="113"/>
      <c r="N56" s="113"/>
      <c r="O56" s="113"/>
    </row>
    <row r="57" spans="1:15">
      <c r="J57" s="413"/>
      <c r="K57" s="115" t="s">
        <v>388</v>
      </c>
      <c r="L57" s="113"/>
      <c r="M57" s="113"/>
      <c r="N57" s="113"/>
      <c r="O57" s="113"/>
    </row>
    <row r="58" spans="1:15">
      <c r="J58" s="413"/>
      <c r="K58" s="115" t="s">
        <v>389</v>
      </c>
      <c r="L58" s="113"/>
      <c r="M58" s="113"/>
      <c r="N58" s="113"/>
      <c r="O58" s="113"/>
    </row>
    <row r="59" spans="1:15">
      <c r="J59" s="413"/>
      <c r="K59" s="115" t="s">
        <v>391</v>
      </c>
      <c r="L59" s="113"/>
      <c r="M59" s="113"/>
      <c r="N59" s="113"/>
      <c r="O59" s="113"/>
    </row>
    <row r="60" spans="1:15">
      <c r="J60" s="413"/>
      <c r="K60" s="115" t="s">
        <v>392</v>
      </c>
      <c r="L60" s="113"/>
      <c r="M60" s="113"/>
      <c r="N60" s="113"/>
      <c r="O60" s="113"/>
    </row>
    <row r="61" spans="1:15">
      <c r="J61" s="413"/>
      <c r="K61" s="115" t="s">
        <v>393</v>
      </c>
      <c r="L61" s="113"/>
      <c r="M61" s="113"/>
      <c r="N61" s="113"/>
      <c r="O61" s="113"/>
    </row>
    <row r="62" spans="1:15">
      <c r="J62" s="413"/>
      <c r="K62" s="115" t="s">
        <v>394</v>
      </c>
      <c r="L62" s="113"/>
      <c r="M62" s="113"/>
      <c r="N62" s="113"/>
      <c r="O62" s="113"/>
    </row>
    <row r="63" spans="1:15">
      <c r="J63" s="413"/>
      <c r="K63" s="115" t="s">
        <v>395</v>
      </c>
      <c r="L63" s="113"/>
      <c r="M63" s="113"/>
      <c r="N63" s="113"/>
      <c r="O63" s="113"/>
    </row>
    <row r="64" spans="1:15">
      <c r="J64" s="413"/>
      <c r="K64" s="111" t="s">
        <v>396</v>
      </c>
      <c r="L64" s="111" t="e">
        <f>AVERAGE(L52:L63)</f>
        <v>#DIV/0!</v>
      </c>
      <c r="M64" s="111">
        <f>MAX(M52:M63)</f>
        <v>0</v>
      </c>
      <c r="N64" s="111" t="e">
        <f>AVERAGE(N52:N63)</f>
        <v>#DIV/0!</v>
      </c>
      <c r="O64" s="111">
        <f>MAX(O52:O63)</f>
        <v>0</v>
      </c>
    </row>
    <row r="66" spans="10:15" ht="41.45">
      <c r="J66" s="110">
        <f>+A6</f>
        <v>2022</v>
      </c>
      <c r="K66" s="110" t="s">
        <v>378</v>
      </c>
      <c r="L66" s="116" t="s">
        <v>373</v>
      </c>
      <c r="M66" s="116" t="s">
        <v>379</v>
      </c>
      <c r="N66" s="116" t="s">
        <v>376</v>
      </c>
      <c r="O66" s="116" t="s">
        <v>380</v>
      </c>
    </row>
    <row r="67" spans="10:15">
      <c r="J67" s="413" t="s">
        <v>300</v>
      </c>
      <c r="K67" s="115" t="s">
        <v>381</v>
      </c>
      <c r="L67" s="113"/>
      <c r="M67" s="113"/>
      <c r="N67" s="113"/>
      <c r="O67" s="113"/>
    </row>
    <row r="68" spans="10:15">
      <c r="J68" s="413"/>
      <c r="K68" s="115" t="s">
        <v>382</v>
      </c>
      <c r="L68" s="113"/>
      <c r="M68" s="113"/>
      <c r="N68" s="113"/>
      <c r="O68" s="113"/>
    </row>
    <row r="69" spans="10:15">
      <c r="J69" s="413"/>
      <c r="K69" s="115" t="s">
        <v>383</v>
      </c>
      <c r="L69" s="113"/>
      <c r="M69" s="113"/>
      <c r="N69" s="113"/>
      <c r="O69" s="113"/>
    </row>
    <row r="70" spans="10:15">
      <c r="J70" s="413"/>
      <c r="K70" s="115" t="s">
        <v>385</v>
      </c>
      <c r="L70" s="113"/>
      <c r="M70" s="113"/>
      <c r="N70" s="113"/>
      <c r="O70" s="113"/>
    </row>
    <row r="71" spans="10:15">
      <c r="J71" s="413"/>
      <c r="K71" s="115" t="s">
        <v>387</v>
      </c>
      <c r="L71" s="113"/>
      <c r="M71" s="113"/>
      <c r="N71" s="113"/>
      <c r="O71" s="113"/>
    </row>
    <row r="72" spans="10:15">
      <c r="J72" s="413"/>
      <c r="K72" s="115" t="s">
        <v>388</v>
      </c>
      <c r="L72" s="113"/>
      <c r="M72" s="113"/>
      <c r="N72" s="113"/>
      <c r="O72" s="113"/>
    </row>
    <row r="73" spans="10:15">
      <c r="J73" s="413"/>
      <c r="K73" s="115" t="s">
        <v>389</v>
      </c>
      <c r="L73" s="113"/>
      <c r="M73" s="113"/>
      <c r="N73" s="113"/>
      <c r="O73" s="113"/>
    </row>
    <row r="74" spans="10:15">
      <c r="J74" s="413"/>
      <c r="K74" s="115" t="s">
        <v>391</v>
      </c>
      <c r="L74" s="113"/>
      <c r="M74" s="113"/>
      <c r="N74" s="113"/>
      <c r="O74" s="113"/>
    </row>
    <row r="75" spans="10:15">
      <c r="J75" s="413"/>
      <c r="K75" s="115" t="s">
        <v>392</v>
      </c>
      <c r="L75" s="113"/>
      <c r="M75" s="113"/>
      <c r="N75" s="113"/>
      <c r="O75" s="113"/>
    </row>
    <row r="76" spans="10:15">
      <c r="J76" s="413"/>
      <c r="K76" s="115" t="s">
        <v>393</v>
      </c>
      <c r="L76" s="113"/>
      <c r="M76" s="113"/>
      <c r="N76" s="113"/>
      <c r="O76" s="113"/>
    </row>
    <row r="77" spans="10:15">
      <c r="J77" s="413"/>
      <c r="K77" s="115" t="s">
        <v>394</v>
      </c>
      <c r="L77" s="113"/>
      <c r="M77" s="113"/>
      <c r="N77" s="113"/>
      <c r="O77" s="113"/>
    </row>
    <row r="78" spans="10:15">
      <c r="J78" s="413"/>
      <c r="K78" s="115" t="s">
        <v>395</v>
      </c>
      <c r="L78" s="113"/>
      <c r="M78" s="113"/>
      <c r="N78" s="113"/>
      <c r="O78" s="113"/>
    </row>
    <row r="79" spans="10:15">
      <c r="J79" s="413"/>
      <c r="K79" s="111" t="s">
        <v>396</v>
      </c>
      <c r="L79" s="111" t="e">
        <f>AVERAGE(L67:L78)</f>
        <v>#DIV/0!</v>
      </c>
      <c r="M79" s="111">
        <f>MAX(M67:M78)</f>
        <v>0</v>
      </c>
      <c r="N79" s="111" t="e">
        <f>AVERAGE(N67:N78)</f>
        <v>#DIV/0!</v>
      </c>
      <c r="O79" s="11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showGridLines="0" topLeftCell="A5" zoomScaleNormal="100" workbookViewId="0">
      <selection activeCell="Q13" sqref="Q13:S16"/>
    </sheetView>
  </sheetViews>
  <sheetFormatPr defaultRowHeight="13.9"/>
  <cols>
    <col min="1" max="1" width="14" style="3" customWidth="1"/>
    <col min="2" max="4" width="17" style="73" customWidth="1"/>
    <col min="5" max="5" width="14.7109375" style="73" customWidth="1"/>
    <col min="6" max="7" width="17" style="73"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142" t="str">
        <f>+'Cover Page'!$B$29</f>
        <v>Annual Performance Report 2022</v>
      </c>
      <c r="B1" s="142"/>
      <c r="C1" s="142"/>
      <c r="D1" s="142"/>
      <c r="E1" s="142" t="str">
        <f>+'Cover Page'!$B$33</f>
        <v>Name of Facility: Thalia MK ODC Limited</v>
      </c>
    </row>
    <row r="3" spans="1:19" ht="14.45">
      <c r="A3" s="109" t="s">
        <v>410</v>
      </c>
      <c r="D3" s="129" t="s">
        <v>365</v>
      </c>
      <c r="G3" s="133" t="s">
        <v>366</v>
      </c>
      <c r="J3" s="9" t="str">
        <f>+A3</f>
        <v>Monitoring of Carbon Monoxide (half hourly)</v>
      </c>
      <c r="L3" s="9"/>
      <c r="N3" s="9" t="s">
        <v>367</v>
      </c>
      <c r="Q3" s="132" t="s">
        <v>3</v>
      </c>
      <c r="R3" s="126"/>
      <c r="S3" s="126"/>
    </row>
    <row r="4" spans="1:19" ht="13.9" customHeight="1">
      <c r="Q4" s="385" t="s">
        <v>368</v>
      </c>
      <c r="R4" s="385"/>
      <c r="S4" s="385"/>
    </row>
    <row r="5" spans="1:19" ht="16.149999999999999">
      <c r="A5" s="117" t="s">
        <v>369</v>
      </c>
      <c r="B5" s="415" t="s">
        <v>370</v>
      </c>
      <c r="C5" s="415"/>
      <c r="D5" s="415"/>
      <c r="E5" s="415" t="s">
        <v>371</v>
      </c>
      <c r="F5" s="415"/>
      <c r="G5" s="415"/>
      <c r="J5" s="414"/>
      <c r="K5" s="414"/>
      <c r="L5" s="414"/>
      <c r="M5" s="414"/>
      <c r="N5" s="414"/>
      <c r="O5" s="414"/>
      <c r="Q5" s="385"/>
      <c r="R5" s="385"/>
      <c r="S5" s="385"/>
    </row>
    <row r="6" spans="1:19" s="107" customFormat="1" ht="37.5" customHeight="1">
      <c r="A6" s="114">
        <f>+'Cover Page'!C39</f>
        <v>2022</v>
      </c>
      <c r="B6" s="103" t="s">
        <v>411</v>
      </c>
      <c r="C6" s="103" t="s">
        <v>373</v>
      </c>
      <c r="D6" s="103" t="s">
        <v>374</v>
      </c>
      <c r="E6" s="103" t="s">
        <v>412</v>
      </c>
      <c r="F6" s="103" t="s">
        <v>376</v>
      </c>
      <c r="G6" s="103" t="s">
        <v>377</v>
      </c>
      <c r="H6" s="108"/>
      <c r="J6" s="110">
        <f>+A6</f>
        <v>2022</v>
      </c>
      <c r="K6" s="110" t="s">
        <v>378</v>
      </c>
      <c r="L6" s="116" t="s">
        <v>373</v>
      </c>
      <c r="M6" s="116" t="s">
        <v>379</v>
      </c>
      <c r="N6" s="116" t="s">
        <v>376</v>
      </c>
      <c r="O6" s="116" t="s">
        <v>380</v>
      </c>
      <c r="Q6" s="385"/>
      <c r="R6" s="385"/>
      <c r="S6" s="385"/>
    </row>
    <row r="7" spans="1:19">
      <c r="A7" s="115" t="s">
        <v>381</v>
      </c>
      <c r="B7" s="118">
        <v>100</v>
      </c>
      <c r="C7" s="113"/>
      <c r="D7" s="113"/>
      <c r="E7" s="118">
        <v>50</v>
      </c>
      <c r="F7" s="113"/>
      <c r="G7" s="113"/>
      <c r="J7" s="413" t="s">
        <v>184</v>
      </c>
      <c r="K7" s="115" t="s">
        <v>381</v>
      </c>
      <c r="L7" s="113"/>
      <c r="M7" s="113"/>
      <c r="N7" s="113"/>
      <c r="O7" s="113"/>
      <c r="Q7" s="385"/>
      <c r="R7" s="385"/>
      <c r="S7" s="385"/>
    </row>
    <row r="8" spans="1:19">
      <c r="A8" s="115" t="s">
        <v>382</v>
      </c>
      <c r="B8" s="112">
        <f>+B7</f>
        <v>100</v>
      </c>
      <c r="C8" s="113"/>
      <c r="D8" s="113"/>
      <c r="E8" s="112">
        <f>+E7</f>
        <v>50</v>
      </c>
      <c r="F8" s="113"/>
      <c r="G8" s="113"/>
      <c r="J8" s="413"/>
      <c r="K8" s="115" t="s">
        <v>382</v>
      </c>
      <c r="L8" s="113"/>
      <c r="M8" s="113"/>
      <c r="N8" s="113"/>
      <c r="O8" s="113"/>
      <c r="Q8" s="385"/>
      <c r="R8" s="385"/>
      <c r="S8" s="385"/>
    </row>
    <row r="9" spans="1:19">
      <c r="A9" s="115" t="s">
        <v>383</v>
      </c>
      <c r="B9" s="112">
        <f t="shared" ref="B9:B18" si="0">+B8</f>
        <v>100</v>
      </c>
      <c r="C9" s="113"/>
      <c r="D9" s="113"/>
      <c r="E9" s="112">
        <f t="shared" ref="E9:E18" si="1">+E8</f>
        <v>50</v>
      </c>
      <c r="F9" s="113"/>
      <c r="G9" s="113"/>
      <c r="J9" s="413"/>
      <c r="K9" s="115" t="s">
        <v>383</v>
      </c>
      <c r="L9" s="113"/>
      <c r="M9" s="113"/>
      <c r="N9" s="113"/>
      <c r="O9" s="113"/>
      <c r="Q9" s="131" t="s">
        <v>384</v>
      </c>
    </row>
    <row r="10" spans="1:19" ht="14.25" customHeight="1">
      <c r="A10" s="115" t="s">
        <v>385</v>
      </c>
      <c r="B10" s="112">
        <f t="shared" si="0"/>
        <v>100</v>
      </c>
      <c r="C10" s="113"/>
      <c r="D10" s="113"/>
      <c r="E10" s="112">
        <f t="shared" si="1"/>
        <v>50</v>
      </c>
      <c r="F10" s="113"/>
      <c r="G10" s="113"/>
      <c r="J10" s="413"/>
      <c r="K10" s="115" t="s">
        <v>385</v>
      </c>
      <c r="L10" s="113"/>
      <c r="M10" s="113"/>
      <c r="N10" s="113"/>
      <c r="O10" s="113"/>
      <c r="Q10" s="412" t="s">
        <v>400</v>
      </c>
      <c r="R10" s="412"/>
      <c r="S10" s="412"/>
    </row>
    <row r="11" spans="1:19">
      <c r="A11" s="115" t="s">
        <v>387</v>
      </c>
      <c r="B11" s="112">
        <f t="shared" si="0"/>
        <v>100</v>
      </c>
      <c r="C11" s="113"/>
      <c r="D11" s="113"/>
      <c r="E11" s="112">
        <f t="shared" si="1"/>
        <v>50</v>
      </c>
      <c r="F11" s="113"/>
      <c r="G11" s="113"/>
      <c r="J11" s="413"/>
      <c r="K11" s="115" t="s">
        <v>387</v>
      </c>
      <c r="L11" s="113"/>
      <c r="M11" s="113"/>
      <c r="N11" s="113"/>
      <c r="O11" s="113"/>
      <c r="Q11" s="412"/>
      <c r="R11" s="412"/>
      <c r="S11" s="412"/>
    </row>
    <row r="12" spans="1:19">
      <c r="A12" s="115" t="s">
        <v>388</v>
      </c>
      <c r="B12" s="112">
        <f t="shared" si="0"/>
        <v>100</v>
      </c>
      <c r="C12" s="113"/>
      <c r="D12" s="113"/>
      <c r="E12" s="112">
        <f t="shared" si="1"/>
        <v>50</v>
      </c>
      <c r="F12" s="113"/>
      <c r="G12" s="113"/>
      <c r="J12" s="413"/>
      <c r="K12" s="115" t="s">
        <v>388</v>
      </c>
      <c r="L12" s="113"/>
      <c r="M12" s="113"/>
      <c r="N12" s="113"/>
      <c r="O12" s="113"/>
      <c r="Q12" s="412"/>
      <c r="R12" s="412"/>
      <c r="S12" s="412"/>
    </row>
    <row r="13" spans="1:19" ht="14.25" customHeight="1">
      <c r="A13" s="115" t="s">
        <v>389</v>
      </c>
      <c r="B13" s="112">
        <f t="shared" si="0"/>
        <v>100</v>
      </c>
      <c r="C13" s="113"/>
      <c r="D13" s="113"/>
      <c r="E13" s="112">
        <f t="shared" si="1"/>
        <v>50</v>
      </c>
      <c r="F13" s="113"/>
      <c r="G13" s="113"/>
      <c r="J13" s="413"/>
      <c r="K13" s="115" t="s">
        <v>389</v>
      </c>
      <c r="L13" s="113"/>
      <c r="M13" s="113"/>
      <c r="N13" s="113"/>
      <c r="O13" s="113"/>
      <c r="Q13" s="412" t="s">
        <v>390</v>
      </c>
      <c r="R13" s="412"/>
      <c r="S13" s="412"/>
    </row>
    <row r="14" spans="1:19">
      <c r="A14" s="115" t="s">
        <v>391</v>
      </c>
      <c r="B14" s="112">
        <f t="shared" si="0"/>
        <v>100</v>
      </c>
      <c r="C14" s="113"/>
      <c r="D14" s="113"/>
      <c r="E14" s="112">
        <f t="shared" si="1"/>
        <v>50</v>
      </c>
      <c r="F14" s="113"/>
      <c r="G14" s="113"/>
      <c r="J14" s="413"/>
      <c r="K14" s="115" t="s">
        <v>391</v>
      </c>
      <c r="L14" s="113"/>
      <c r="M14" s="113"/>
      <c r="N14" s="113"/>
      <c r="O14" s="113"/>
      <c r="Q14" s="412"/>
      <c r="R14" s="412"/>
      <c r="S14" s="412"/>
    </row>
    <row r="15" spans="1:19">
      <c r="A15" s="115" t="s">
        <v>392</v>
      </c>
      <c r="B15" s="112">
        <f t="shared" si="0"/>
        <v>100</v>
      </c>
      <c r="C15" s="113"/>
      <c r="D15" s="113"/>
      <c r="E15" s="112">
        <f t="shared" si="1"/>
        <v>50</v>
      </c>
      <c r="F15" s="113"/>
      <c r="G15" s="113"/>
      <c r="J15" s="413"/>
      <c r="K15" s="115" t="s">
        <v>392</v>
      </c>
      <c r="L15" s="113"/>
      <c r="M15" s="113"/>
      <c r="N15" s="113"/>
      <c r="O15" s="113"/>
      <c r="Q15" s="412"/>
      <c r="R15" s="412"/>
      <c r="S15" s="412"/>
    </row>
    <row r="16" spans="1:19">
      <c r="A16" s="115" t="s">
        <v>393</v>
      </c>
      <c r="B16" s="112">
        <f t="shared" si="0"/>
        <v>100</v>
      </c>
      <c r="C16" s="113"/>
      <c r="D16" s="113"/>
      <c r="E16" s="112">
        <f t="shared" si="1"/>
        <v>50</v>
      </c>
      <c r="F16" s="113"/>
      <c r="G16" s="113"/>
      <c r="J16" s="413"/>
      <c r="K16" s="115" t="s">
        <v>393</v>
      </c>
      <c r="L16" s="113"/>
      <c r="M16" s="113"/>
      <c r="N16" s="113"/>
      <c r="O16" s="113"/>
      <c r="Q16" s="412"/>
      <c r="R16" s="412"/>
      <c r="S16" s="412"/>
    </row>
    <row r="17" spans="1:15">
      <c r="A17" s="115" t="s">
        <v>394</v>
      </c>
      <c r="B17" s="112">
        <f t="shared" si="0"/>
        <v>100</v>
      </c>
      <c r="C17" s="113"/>
      <c r="D17" s="113"/>
      <c r="E17" s="112">
        <f t="shared" si="1"/>
        <v>50</v>
      </c>
      <c r="F17" s="113"/>
      <c r="G17" s="113"/>
      <c r="J17" s="413"/>
      <c r="K17" s="115" t="s">
        <v>394</v>
      </c>
      <c r="L17" s="113"/>
      <c r="M17" s="113"/>
      <c r="N17" s="113"/>
      <c r="O17" s="113"/>
    </row>
    <row r="18" spans="1:15">
      <c r="A18" s="115" t="s">
        <v>395</v>
      </c>
      <c r="B18" s="112">
        <f t="shared" si="0"/>
        <v>100</v>
      </c>
      <c r="C18" s="113"/>
      <c r="D18" s="113"/>
      <c r="E18" s="112">
        <f t="shared" si="1"/>
        <v>50</v>
      </c>
      <c r="F18" s="113"/>
      <c r="G18" s="113"/>
      <c r="J18" s="413"/>
      <c r="K18" s="115" t="s">
        <v>395</v>
      </c>
      <c r="L18" s="113"/>
      <c r="M18" s="113"/>
      <c r="N18" s="113"/>
      <c r="O18" s="113"/>
    </row>
    <row r="19" spans="1:15">
      <c r="J19" s="413"/>
      <c r="K19" s="111" t="s">
        <v>396</v>
      </c>
      <c r="L19" s="111" t="e">
        <f>AVERAGE(L7:L18)</f>
        <v>#DIV/0!</v>
      </c>
      <c r="M19" s="111">
        <f>MAX(M7:M18)</f>
        <v>0</v>
      </c>
      <c r="N19" s="111" t="e">
        <f>AVERAGE(N7:N18)</f>
        <v>#DIV/0!</v>
      </c>
      <c r="O19" s="111">
        <f>MAX(O7:O18)</f>
        <v>0</v>
      </c>
    </row>
    <row r="21" spans="1:15" ht="41.45">
      <c r="J21" s="110">
        <f>+A6</f>
        <v>2022</v>
      </c>
      <c r="K21" s="110" t="s">
        <v>378</v>
      </c>
      <c r="L21" s="116" t="s">
        <v>373</v>
      </c>
      <c r="M21" s="116" t="s">
        <v>379</v>
      </c>
      <c r="N21" s="116" t="s">
        <v>376</v>
      </c>
      <c r="O21" s="116" t="s">
        <v>380</v>
      </c>
    </row>
    <row r="22" spans="1:15">
      <c r="J22" s="413" t="s">
        <v>185</v>
      </c>
      <c r="K22" s="115" t="s">
        <v>381</v>
      </c>
      <c r="L22" s="113"/>
      <c r="M22" s="113"/>
      <c r="N22" s="113"/>
      <c r="O22" s="113"/>
    </row>
    <row r="23" spans="1:15">
      <c r="J23" s="413"/>
      <c r="K23" s="115" t="s">
        <v>382</v>
      </c>
      <c r="L23" s="113"/>
      <c r="M23" s="113"/>
      <c r="N23" s="113"/>
      <c r="O23" s="113"/>
    </row>
    <row r="24" spans="1:15">
      <c r="J24" s="413"/>
      <c r="K24" s="115" t="s">
        <v>383</v>
      </c>
      <c r="L24" s="113"/>
      <c r="M24" s="113"/>
      <c r="N24" s="113"/>
      <c r="O24" s="113"/>
    </row>
    <row r="25" spans="1:15">
      <c r="J25" s="413"/>
      <c r="K25" s="115" t="s">
        <v>385</v>
      </c>
      <c r="L25" s="113"/>
      <c r="M25" s="113"/>
      <c r="N25" s="113"/>
      <c r="O25" s="113"/>
    </row>
    <row r="26" spans="1:15">
      <c r="J26" s="413"/>
      <c r="K26" s="115" t="s">
        <v>387</v>
      </c>
      <c r="L26" s="113"/>
      <c r="M26" s="113"/>
      <c r="N26" s="113"/>
      <c r="O26" s="113"/>
    </row>
    <row r="27" spans="1:15">
      <c r="J27" s="413"/>
      <c r="K27" s="115" t="s">
        <v>388</v>
      </c>
      <c r="L27" s="113"/>
      <c r="M27" s="113"/>
      <c r="N27" s="113"/>
      <c r="O27" s="113"/>
    </row>
    <row r="28" spans="1:15">
      <c r="J28" s="413"/>
      <c r="K28" s="115" t="s">
        <v>389</v>
      </c>
      <c r="L28" s="113"/>
      <c r="M28" s="113"/>
      <c r="N28" s="113"/>
      <c r="O28" s="113"/>
    </row>
    <row r="29" spans="1:15">
      <c r="J29" s="413"/>
      <c r="K29" s="115" t="s">
        <v>391</v>
      </c>
      <c r="L29" s="113"/>
      <c r="M29" s="113"/>
      <c r="N29" s="113"/>
      <c r="O29" s="113"/>
    </row>
    <row r="30" spans="1:15">
      <c r="J30" s="413"/>
      <c r="K30" s="115" t="s">
        <v>392</v>
      </c>
      <c r="L30" s="113"/>
      <c r="M30" s="113"/>
      <c r="N30" s="113"/>
      <c r="O30" s="113"/>
    </row>
    <row r="31" spans="1:15">
      <c r="J31" s="413"/>
      <c r="K31" s="115" t="s">
        <v>393</v>
      </c>
      <c r="L31" s="113"/>
      <c r="M31" s="113"/>
      <c r="N31" s="113"/>
      <c r="O31" s="113"/>
    </row>
    <row r="32" spans="1:15">
      <c r="J32" s="413"/>
      <c r="K32" s="115" t="s">
        <v>394</v>
      </c>
      <c r="L32" s="113"/>
      <c r="M32" s="113"/>
      <c r="N32" s="113"/>
      <c r="O32" s="113"/>
    </row>
    <row r="33" spans="1:15">
      <c r="J33" s="413"/>
      <c r="K33" s="115" t="s">
        <v>395</v>
      </c>
      <c r="L33" s="113"/>
      <c r="M33" s="113"/>
      <c r="N33" s="113"/>
      <c r="O33" s="113"/>
    </row>
    <row r="34" spans="1:15">
      <c r="J34" s="413"/>
      <c r="K34" s="111" t="s">
        <v>396</v>
      </c>
      <c r="L34" s="111" t="e">
        <f>AVERAGE(L22:L33)</f>
        <v>#DIV/0!</v>
      </c>
      <c r="M34" s="111">
        <f>MAX(M22:M33)</f>
        <v>0</v>
      </c>
      <c r="N34" s="111" t="e">
        <f>AVERAGE(N22:N33)</f>
        <v>#DIV/0!</v>
      </c>
      <c r="O34" s="111">
        <f>MAX(O22:O33)</f>
        <v>0</v>
      </c>
    </row>
    <row r="36" spans="1:15" ht="41.45">
      <c r="J36" s="110">
        <f>+A6</f>
        <v>2022</v>
      </c>
      <c r="K36" s="110" t="s">
        <v>378</v>
      </c>
      <c r="L36" s="116" t="s">
        <v>373</v>
      </c>
      <c r="M36" s="116" t="s">
        <v>379</v>
      </c>
      <c r="N36" s="116" t="s">
        <v>376</v>
      </c>
      <c r="O36" s="116" t="s">
        <v>380</v>
      </c>
    </row>
    <row r="37" spans="1:15">
      <c r="J37" s="413" t="s">
        <v>186</v>
      </c>
      <c r="K37" s="115" t="s">
        <v>381</v>
      </c>
      <c r="L37" s="113"/>
      <c r="M37" s="113"/>
      <c r="N37" s="113"/>
      <c r="O37" s="113"/>
    </row>
    <row r="38" spans="1:15">
      <c r="J38" s="413"/>
      <c r="K38" s="115" t="s">
        <v>382</v>
      </c>
      <c r="L38" s="113"/>
      <c r="M38" s="113"/>
      <c r="N38" s="113"/>
      <c r="O38" s="113"/>
    </row>
    <row r="39" spans="1:15">
      <c r="J39" s="413"/>
      <c r="K39" s="115" t="s">
        <v>383</v>
      </c>
      <c r="L39" s="113"/>
      <c r="M39" s="113"/>
      <c r="N39" s="113"/>
      <c r="O39" s="113"/>
    </row>
    <row r="40" spans="1:15">
      <c r="J40" s="413"/>
      <c r="K40" s="115" t="s">
        <v>385</v>
      </c>
      <c r="L40" s="113"/>
      <c r="M40" s="113"/>
      <c r="N40" s="113"/>
      <c r="O40" s="113"/>
    </row>
    <row r="41" spans="1:15">
      <c r="J41" s="413"/>
      <c r="K41" s="115" t="s">
        <v>387</v>
      </c>
      <c r="L41" s="113"/>
      <c r="M41" s="113"/>
      <c r="N41" s="113"/>
      <c r="O41" s="113"/>
    </row>
    <row r="42" spans="1:15">
      <c r="J42" s="413"/>
      <c r="K42" s="115" t="s">
        <v>388</v>
      </c>
      <c r="L42" s="113"/>
      <c r="M42" s="113"/>
      <c r="N42" s="113"/>
      <c r="O42" s="113"/>
    </row>
    <row r="43" spans="1:15">
      <c r="J43" s="413"/>
      <c r="K43" s="115" t="s">
        <v>389</v>
      </c>
      <c r="L43" s="113"/>
      <c r="M43" s="113"/>
      <c r="N43" s="113"/>
      <c r="O43" s="113"/>
    </row>
    <row r="44" spans="1:15">
      <c r="J44" s="413"/>
      <c r="K44" s="115" t="s">
        <v>391</v>
      </c>
      <c r="L44" s="113"/>
      <c r="M44" s="113"/>
      <c r="N44" s="113"/>
      <c r="O44" s="113"/>
    </row>
    <row r="45" spans="1:15">
      <c r="J45" s="413"/>
      <c r="K45" s="115" t="s">
        <v>392</v>
      </c>
      <c r="L45" s="113"/>
      <c r="M45" s="113"/>
      <c r="N45" s="113"/>
      <c r="O45" s="113"/>
    </row>
    <row r="46" spans="1:15">
      <c r="J46" s="413"/>
      <c r="K46" s="115" t="s">
        <v>393</v>
      </c>
      <c r="L46" s="113"/>
      <c r="M46" s="113"/>
      <c r="N46" s="113"/>
      <c r="O46" s="113"/>
    </row>
    <row r="47" spans="1:15">
      <c r="J47" s="413"/>
      <c r="K47" s="115" t="s">
        <v>394</v>
      </c>
      <c r="L47" s="113"/>
      <c r="M47" s="113"/>
      <c r="N47" s="113"/>
      <c r="O47" s="113"/>
    </row>
    <row r="48" spans="1:15">
      <c r="A48" s="419" t="s">
        <v>284</v>
      </c>
      <c r="B48" s="420"/>
      <c r="C48" s="420"/>
      <c r="D48" s="420"/>
      <c r="E48" s="420"/>
      <c r="F48" s="420"/>
      <c r="G48" s="421"/>
      <c r="J48" s="413"/>
      <c r="K48" s="115" t="s">
        <v>395</v>
      </c>
      <c r="L48" s="113"/>
      <c r="M48" s="113"/>
      <c r="N48" s="113"/>
      <c r="O48" s="113"/>
    </row>
    <row r="49" spans="1:15">
      <c r="A49" s="403"/>
      <c r="B49" s="404"/>
      <c r="C49" s="404"/>
      <c r="D49" s="404"/>
      <c r="E49" s="404"/>
      <c r="F49" s="404"/>
      <c r="G49" s="405"/>
      <c r="J49" s="413"/>
      <c r="K49" s="111" t="s">
        <v>396</v>
      </c>
      <c r="L49" s="111" t="e">
        <f>AVERAGE(L37:L48)</f>
        <v>#DIV/0!</v>
      </c>
      <c r="M49" s="111">
        <f>MAX(M37:M48)</f>
        <v>0</v>
      </c>
      <c r="N49" s="111" t="e">
        <f>AVERAGE(N37:N48)</f>
        <v>#DIV/0!</v>
      </c>
      <c r="O49" s="111">
        <f>MAX(O37:O48)</f>
        <v>0</v>
      </c>
    </row>
    <row r="50" spans="1:15">
      <c r="A50" s="416"/>
      <c r="B50" s="417"/>
      <c r="C50" s="417"/>
      <c r="D50" s="417"/>
      <c r="E50" s="417"/>
      <c r="F50" s="417"/>
      <c r="G50" s="418"/>
    </row>
    <row r="51" spans="1:15" ht="41.45">
      <c r="A51" s="416"/>
      <c r="B51" s="417"/>
      <c r="C51" s="417"/>
      <c r="D51" s="417"/>
      <c r="E51" s="417"/>
      <c r="F51" s="417"/>
      <c r="G51" s="418"/>
      <c r="J51" s="110">
        <f>+A6</f>
        <v>2022</v>
      </c>
      <c r="K51" s="110" t="s">
        <v>378</v>
      </c>
      <c r="L51" s="116" t="s">
        <v>373</v>
      </c>
      <c r="M51" s="116" t="s">
        <v>379</v>
      </c>
      <c r="N51" s="116" t="s">
        <v>376</v>
      </c>
      <c r="O51" s="116" t="s">
        <v>380</v>
      </c>
    </row>
    <row r="52" spans="1:15">
      <c r="A52" s="406"/>
      <c r="B52" s="407"/>
      <c r="C52" s="407"/>
      <c r="D52" s="407"/>
      <c r="E52" s="407"/>
      <c r="F52" s="407"/>
      <c r="G52" s="408"/>
      <c r="J52" s="413" t="s">
        <v>299</v>
      </c>
      <c r="K52" s="115" t="s">
        <v>381</v>
      </c>
      <c r="L52" s="113"/>
      <c r="M52" s="113"/>
      <c r="N52" s="113"/>
      <c r="O52" s="113"/>
    </row>
    <row r="53" spans="1:15">
      <c r="J53" s="413"/>
      <c r="K53" s="115" t="s">
        <v>382</v>
      </c>
      <c r="L53" s="113"/>
      <c r="M53" s="113"/>
      <c r="N53" s="113"/>
      <c r="O53" s="113"/>
    </row>
    <row r="54" spans="1:15">
      <c r="J54" s="413"/>
      <c r="K54" s="115" t="s">
        <v>383</v>
      </c>
      <c r="L54" s="113"/>
      <c r="M54" s="113"/>
      <c r="N54" s="113"/>
      <c r="O54" s="113"/>
    </row>
    <row r="55" spans="1:15">
      <c r="J55" s="413"/>
      <c r="K55" s="115" t="s">
        <v>385</v>
      </c>
      <c r="L55" s="113"/>
      <c r="M55" s="113"/>
      <c r="N55" s="113"/>
      <c r="O55" s="113"/>
    </row>
    <row r="56" spans="1:15">
      <c r="J56" s="413"/>
      <c r="K56" s="115" t="s">
        <v>387</v>
      </c>
      <c r="L56" s="113"/>
      <c r="M56" s="113"/>
      <c r="N56" s="113"/>
      <c r="O56" s="113"/>
    </row>
    <row r="57" spans="1:15">
      <c r="J57" s="413"/>
      <c r="K57" s="115" t="s">
        <v>388</v>
      </c>
      <c r="L57" s="113"/>
      <c r="M57" s="113"/>
      <c r="N57" s="113"/>
      <c r="O57" s="113"/>
    </row>
    <row r="58" spans="1:15">
      <c r="J58" s="413"/>
      <c r="K58" s="115" t="s">
        <v>389</v>
      </c>
      <c r="L58" s="113"/>
      <c r="M58" s="113"/>
      <c r="N58" s="113"/>
      <c r="O58" s="113"/>
    </row>
    <row r="59" spans="1:15">
      <c r="J59" s="413"/>
      <c r="K59" s="115" t="s">
        <v>391</v>
      </c>
      <c r="L59" s="113"/>
      <c r="M59" s="113"/>
      <c r="N59" s="113"/>
      <c r="O59" s="113"/>
    </row>
    <row r="60" spans="1:15">
      <c r="J60" s="413"/>
      <c r="K60" s="115" t="s">
        <v>392</v>
      </c>
      <c r="L60" s="113"/>
      <c r="M60" s="113"/>
      <c r="N60" s="113"/>
      <c r="O60" s="113"/>
    </row>
    <row r="61" spans="1:15">
      <c r="J61" s="413"/>
      <c r="K61" s="115" t="s">
        <v>393</v>
      </c>
      <c r="L61" s="113"/>
      <c r="M61" s="113"/>
      <c r="N61" s="113"/>
      <c r="O61" s="113"/>
    </row>
    <row r="62" spans="1:15">
      <c r="J62" s="413"/>
      <c r="K62" s="115" t="s">
        <v>394</v>
      </c>
      <c r="L62" s="113"/>
      <c r="M62" s="113"/>
      <c r="N62" s="113"/>
      <c r="O62" s="113"/>
    </row>
    <row r="63" spans="1:15">
      <c r="J63" s="413"/>
      <c r="K63" s="115" t="s">
        <v>395</v>
      </c>
      <c r="L63" s="113"/>
      <c r="M63" s="113"/>
      <c r="N63" s="113"/>
      <c r="O63" s="113"/>
    </row>
    <row r="64" spans="1:15">
      <c r="J64" s="413"/>
      <c r="K64" s="111" t="s">
        <v>396</v>
      </c>
      <c r="L64" s="111" t="e">
        <f>AVERAGE(L52:L63)</f>
        <v>#DIV/0!</v>
      </c>
      <c r="M64" s="111">
        <f>MAX(M52:M63)</f>
        <v>0</v>
      </c>
      <c r="N64" s="111" t="e">
        <f>AVERAGE(N52:N63)</f>
        <v>#DIV/0!</v>
      </c>
      <c r="O64" s="111">
        <f>MAX(O52:O63)</f>
        <v>0</v>
      </c>
    </row>
    <row r="66" spans="10:15" ht="41.45">
      <c r="J66" s="110">
        <f>+A6</f>
        <v>2022</v>
      </c>
      <c r="K66" s="110" t="s">
        <v>378</v>
      </c>
      <c r="L66" s="116" t="s">
        <v>373</v>
      </c>
      <c r="M66" s="116" t="s">
        <v>379</v>
      </c>
      <c r="N66" s="116" t="s">
        <v>376</v>
      </c>
      <c r="O66" s="116" t="s">
        <v>380</v>
      </c>
    </row>
    <row r="67" spans="10:15">
      <c r="J67" s="413" t="s">
        <v>300</v>
      </c>
      <c r="K67" s="115" t="s">
        <v>381</v>
      </c>
      <c r="L67" s="113"/>
      <c r="M67" s="113"/>
      <c r="N67" s="113"/>
      <c r="O67" s="113"/>
    </row>
    <row r="68" spans="10:15">
      <c r="J68" s="413"/>
      <c r="K68" s="115" t="s">
        <v>382</v>
      </c>
      <c r="L68" s="113"/>
      <c r="M68" s="113"/>
      <c r="N68" s="113"/>
      <c r="O68" s="113"/>
    </row>
    <row r="69" spans="10:15">
      <c r="J69" s="413"/>
      <c r="K69" s="115" t="s">
        <v>383</v>
      </c>
      <c r="L69" s="113"/>
      <c r="M69" s="113"/>
      <c r="N69" s="113"/>
      <c r="O69" s="113"/>
    </row>
    <row r="70" spans="10:15">
      <c r="J70" s="413"/>
      <c r="K70" s="115" t="s">
        <v>385</v>
      </c>
      <c r="L70" s="113"/>
      <c r="M70" s="113"/>
      <c r="N70" s="113"/>
      <c r="O70" s="113"/>
    </row>
    <row r="71" spans="10:15">
      <c r="J71" s="413"/>
      <c r="K71" s="115" t="s">
        <v>387</v>
      </c>
      <c r="L71" s="113"/>
      <c r="M71" s="113"/>
      <c r="N71" s="113"/>
      <c r="O71" s="113"/>
    </row>
    <row r="72" spans="10:15">
      <c r="J72" s="413"/>
      <c r="K72" s="115" t="s">
        <v>388</v>
      </c>
      <c r="L72" s="113"/>
      <c r="M72" s="113"/>
      <c r="N72" s="113"/>
      <c r="O72" s="113"/>
    </row>
    <row r="73" spans="10:15">
      <c r="J73" s="413"/>
      <c r="K73" s="115" t="s">
        <v>389</v>
      </c>
      <c r="L73" s="113"/>
      <c r="M73" s="113"/>
      <c r="N73" s="113"/>
      <c r="O73" s="113"/>
    </row>
    <row r="74" spans="10:15">
      <c r="J74" s="413"/>
      <c r="K74" s="115" t="s">
        <v>391</v>
      </c>
      <c r="L74" s="113"/>
      <c r="M74" s="113"/>
      <c r="N74" s="113"/>
      <c r="O74" s="113"/>
    </row>
    <row r="75" spans="10:15">
      <c r="J75" s="413"/>
      <c r="K75" s="115" t="s">
        <v>392</v>
      </c>
      <c r="L75" s="113"/>
      <c r="M75" s="113"/>
      <c r="N75" s="113"/>
      <c r="O75" s="113"/>
    </row>
    <row r="76" spans="10:15">
      <c r="J76" s="413"/>
      <c r="K76" s="115" t="s">
        <v>393</v>
      </c>
      <c r="L76" s="113"/>
      <c r="M76" s="113"/>
      <c r="N76" s="113"/>
      <c r="O76" s="113"/>
    </row>
    <row r="77" spans="10:15">
      <c r="J77" s="413"/>
      <c r="K77" s="115" t="s">
        <v>394</v>
      </c>
      <c r="L77" s="113"/>
      <c r="M77" s="113"/>
      <c r="N77" s="113"/>
      <c r="O77" s="113"/>
    </row>
    <row r="78" spans="10:15">
      <c r="J78" s="413"/>
      <c r="K78" s="115" t="s">
        <v>395</v>
      </c>
      <c r="L78" s="113"/>
      <c r="M78" s="113"/>
      <c r="N78" s="113"/>
      <c r="O78" s="113"/>
    </row>
    <row r="79" spans="10:15">
      <c r="J79" s="413"/>
      <c r="K79" s="111" t="s">
        <v>396</v>
      </c>
      <c r="L79" s="111" t="e">
        <f>AVERAGE(L67:L78)</f>
        <v>#DIV/0!</v>
      </c>
      <c r="M79" s="111">
        <f>MAX(M67:M78)</f>
        <v>0</v>
      </c>
      <c r="N79" s="111" t="e">
        <f>AVERAGE(N67:N78)</f>
        <v>#DIV/0!</v>
      </c>
      <c r="O79" s="11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zoomScaleNormal="100" workbookViewId="0">
      <selection activeCell="I27" sqref="I27"/>
    </sheetView>
  </sheetViews>
  <sheetFormatPr defaultRowHeight="13.9"/>
  <cols>
    <col min="1" max="1" width="14" style="3" customWidth="1"/>
    <col min="2" max="2" width="12.7109375" style="73" customWidth="1"/>
    <col min="3" max="3" width="15.28515625" style="73" customWidth="1"/>
    <col min="4" max="4" width="17.7109375" style="73" customWidth="1"/>
    <col min="5" max="5" width="14.7109375" style="73" customWidth="1"/>
    <col min="6" max="6" width="11.5703125" style="73" customWidth="1"/>
    <col min="7" max="7" width="15" style="73" customWidth="1"/>
    <col min="8" max="8" width="14.7109375" style="73"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142" t="str">
        <f>+'Cover Page'!$B$29</f>
        <v>Annual Performance Report 2022</v>
      </c>
      <c r="B1" s="142"/>
      <c r="C1" s="142"/>
      <c r="D1" s="142"/>
      <c r="E1" s="142" t="str">
        <f>+'Cover Page'!$B$33</f>
        <v>Name of Facility: Thalia MK ODC Limited</v>
      </c>
    </row>
    <row r="3" spans="1:21" ht="14.45">
      <c r="A3" s="109" t="s">
        <v>413</v>
      </c>
      <c r="E3" s="129" t="s">
        <v>365</v>
      </c>
      <c r="H3" s="133" t="s">
        <v>414</v>
      </c>
      <c r="J3" s="9" t="str">
        <f>+A3</f>
        <v>Monitoring of Carbon Monoxide (10-minute avg)</v>
      </c>
      <c r="L3" s="9"/>
      <c r="O3" s="9" t="s">
        <v>367</v>
      </c>
      <c r="Q3" s="130" t="s">
        <v>3</v>
      </c>
      <c r="S3" s="132" t="s">
        <v>3</v>
      </c>
      <c r="T3" s="126"/>
      <c r="U3" s="126"/>
    </row>
    <row r="4" spans="1:21" ht="13.9" customHeight="1">
      <c r="S4" s="385" t="s">
        <v>415</v>
      </c>
      <c r="T4" s="385"/>
      <c r="U4" s="385"/>
    </row>
    <row r="5" spans="1:21" ht="16.149999999999999">
      <c r="A5" s="117" t="s">
        <v>369</v>
      </c>
      <c r="B5" s="415" t="s">
        <v>416</v>
      </c>
      <c r="C5" s="415"/>
      <c r="D5" s="415"/>
      <c r="E5" s="415"/>
      <c r="F5" s="415" t="s">
        <v>371</v>
      </c>
      <c r="G5" s="415"/>
      <c r="H5" s="415"/>
      <c r="K5" s="414"/>
      <c r="L5" s="414"/>
      <c r="M5" s="414"/>
      <c r="N5" s="414"/>
      <c r="O5" s="414"/>
      <c r="P5" s="414"/>
      <c r="Q5" s="414"/>
      <c r="S5" s="385"/>
      <c r="T5" s="385"/>
      <c r="U5" s="385"/>
    </row>
    <row r="6" spans="1:21" s="107" customFormat="1" ht="37.5" customHeight="1">
      <c r="A6" s="114">
        <f>+'Cover Page'!C39</f>
        <v>2022</v>
      </c>
      <c r="B6" s="103" t="s">
        <v>417</v>
      </c>
      <c r="C6" s="116" t="s">
        <v>418</v>
      </c>
      <c r="D6" s="116" t="s">
        <v>419</v>
      </c>
      <c r="E6" s="116" t="s">
        <v>420</v>
      </c>
      <c r="F6" s="103" t="s">
        <v>412</v>
      </c>
      <c r="G6" s="116" t="s">
        <v>376</v>
      </c>
      <c r="H6" s="116" t="s">
        <v>377</v>
      </c>
      <c r="I6" s="108"/>
      <c r="K6" s="110">
        <f>+A6</f>
        <v>2022</v>
      </c>
      <c r="L6" s="110" t="s">
        <v>378</v>
      </c>
      <c r="M6" s="103" t="s">
        <v>418</v>
      </c>
      <c r="N6" s="103" t="s">
        <v>419</v>
      </c>
      <c r="O6" s="103" t="s">
        <v>420</v>
      </c>
      <c r="P6" s="116" t="s">
        <v>376</v>
      </c>
      <c r="Q6" s="116" t="s">
        <v>380</v>
      </c>
      <c r="S6" s="385"/>
      <c r="T6" s="385"/>
      <c r="U6" s="385"/>
    </row>
    <row r="7" spans="1:21" ht="14.45">
      <c r="A7" s="115" t="s">
        <v>381</v>
      </c>
      <c r="B7" s="183">
        <v>150</v>
      </c>
      <c r="C7" s="180">
        <v>89.6</v>
      </c>
      <c r="D7" s="180">
        <v>3.7</v>
      </c>
      <c r="E7" s="177">
        <v>438.05</v>
      </c>
      <c r="F7" s="184">
        <v>50</v>
      </c>
      <c r="G7" s="180">
        <v>3.7</v>
      </c>
      <c r="H7" s="177">
        <v>24.2</v>
      </c>
      <c r="K7" s="413" t="s">
        <v>184</v>
      </c>
      <c r="L7" s="115" t="s">
        <v>381</v>
      </c>
      <c r="M7" s="113">
        <v>177.7</v>
      </c>
      <c r="N7" s="113">
        <v>6.8</v>
      </c>
      <c r="O7" s="113">
        <v>800.8</v>
      </c>
      <c r="P7" s="174">
        <v>6.8</v>
      </c>
      <c r="Q7" s="174">
        <v>47.3</v>
      </c>
      <c r="S7" s="385"/>
      <c r="T7" s="385"/>
      <c r="U7" s="385"/>
    </row>
    <row r="8" spans="1:21" ht="14.45">
      <c r="A8" s="115" t="s">
        <v>382</v>
      </c>
      <c r="B8" s="178">
        <f>+B7</f>
        <v>150</v>
      </c>
      <c r="C8" s="180">
        <v>204.45</v>
      </c>
      <c r="D8" s="180">
        <v>9.4499999999999993</v>
      </c>
      <c r="E8" s="177">
        <v>337.8</v>
      </c>
      <c r="F8" s="185">
        <f>+F7</f>
        <v>50</v>
      </c>
      <c r="G8" s="180">
        <v>9.4499999999999993</v>
      </c>
      <c r="H8" s="177">
        <v>52.75</v>
      </c>
      <c r="K8" s="413"/>
      <c r="L8" s="115" t="s">
        <v>382</v>
      </c>
      <c r="M8" s="113">
        <v>209.2</v>
      </c>
      <c r="N8" s="113">
        <v>10.8</v>
      </c>
      <c r="O8" s="113">
        <v>424.2</v>
      </c>
      <c r="P8" s="175">
        <v>10.8</v>
      </c>
      <c r="Q8" s="182">
        <v>58.1</v>
      </c>
      <c r="S8" s="385"/>
      <c r="T8" s="385"/>
      <c r="U8" s="385"/>
    </row>
    <row r="9" spans="1:21" ht="14.45">
      <c r="A9" s="115" t="s">
        <v>383</v>
      </c>
      <c r="B9" s="178">
        <f t="shared" ref="B9:B18" si="0">+B8</f>
        <v>150</v>
      </c>
      <c r="C9" s="180">
        <v>98.3</v>
      </c>
      <c r="D9" s="180">
        <v>2.4500000000000002</v>
      </c>
      <c r="E9" s="177">
        <v>183.2</v>
      </c>
      <c r="F9" s="185">
        <f t="shared" ref="F9:F18" si="1">+F8</f>
        <v>50</v>
      </c>
      <c r="G9" s="180">
        <v>2.4500000000000002</v>
      </c>
      <c r="H9" s="177">
        <v>22</v>
      </c>
      <c r="K9" s="413"/>
      <c r="L9" s="115" t="s">
        <v>383</v>
      </c>
      <c r="M9" s="113">
        <v>156.5</v>
      </c>
      <c r="N9" s="113">
        <v>3.1</v>
      </c>
      <c r="O9" s="113">
        <v>204</v>
      </c>
      <c r="P9" s="175">
        <v>3.1</v>
      </c>
      <c r="Q9" s="174">
        <v>36.799999999999997</v>
      </c>
      <c r="S9" s="131" t="s">
        <v>421</v>
      </c>
    </row>
    <row r="10" spans="1:21" ht="14.45">
      <c r="A10" s="115" t="s">
        <v>385</v>
      </c>
      <c r="B10" s="178">
        <f t="shared" si="0"/>
        <v>150</v>
      </c>
      <c r="C10" s="180">
        <v>14.35</v>
      </c>
      <c r="D10" s="180">
        <v>1.5</v>
      </c>
      <c r="E10" s="177">
        <v>101.95</v>
      </c>
      <c r="F10" s="185">
        <f t="shared" si="1"/>
        <v>50</v>
      </c>
      <c r="G10" s="180">
        <v>1.5</v>
      </c>
      <c r="H10" s="177">
        <v>3.65</v>
      </c>
      <c r="K10" s="413"/>
      <c r="L10" s="115" t="s">
        <v>385</v>
      </c>
      <c r="M10" s="113">
        <v>18.3</v>
      </c>
      <c r="N10" s="113">
        <v>1.1000000000000001</v>
      </c>
      <c r="O10" s="113">
        <v>160</v>
      </c>
      <c r="P10" s="175">
        <v>1.1000000000000001</v>
      </c>
      <c r="Q10" s="175">
        <v>3.8</v>
      </c>
      <c r="S10" s="412" t="s">
        <v>422</v>
      </c>
      <c r="T10" s="412"/>
      <c r="U10" s="412"/>
    </row>
    <row r="11" spans="1:21" ht="14.45">
      <c r="A11" s="115" t="s">
        <v>387</v>
      </c>
      <c r="B11" s="178">
        <f t="shared" si="0"/>
        <v>150</v>
      </c>
      <c r="C11" s="180">
        <v>20.75</v>
      </c>
      <c r="D11" s="180">
        <v>1.5</v>
      </c>
      <c r="E11" s="177">
        <v>106.9</v>
      </c>
      <c r="F11" s="185">
        <f t="shared" si="1"/>
        <v>50</v>
      </c>
      <c r="G11" s="180">
        <v>1.5</v>
      </c>
      <c r="H11" s="177">
        <v>4.4000000000000004</v>
      </c>
      <c r="K11" s="413"/>
      <c r="L11" s="115" t="s">
        <v>387</v>
      </c>
      <c r="M11" s="113">
        <v>31.8</v>
      </c>
      <c r="N11" s="113">
        <v>1.3</v>
      </c>
      <c r="O11" s="113">
        <v>126.8</v>
      </c>
      <c r="P11" s="175">
        <v>1.3</v>
      </c>
      <c r="Q11" s="175">
        <v>5.6</v>
      </c>
      <c r="S11" s="412"/>
      <c r="T11" s="412"/>
      <c r="U11" s="412"/>
    </row>
    <row r="12" spans="1:21" ht="14.45">
      <c r="A12" s="115" t="s">
        <v>388</v>
      </c>
      <c r="B12" s="178">
        <f t="shared" si="0"/>
        <v>150</v>
      </c>
      <c r="C12" s="180">
        <v>10.3</v>
      </c>
      <c r="D12" s="180">
        <v>1.85</v>
      </c>
      <c r="E12" s="177">
        <v>98.6</v>
      </c>
      <c r="F12" s="185">
        <f t="shared" si="1"/>
        <v>50</v>
      </c>
      <c r="G12" s="180">
        <v>1.85</v>
      </c>
      <c r="H12" s="177">
        <v>2.8</v>
      </c>
      <c r="K12" s="413"/>
      <c r="L12" s="115" t="s">
        <v>388</v>
      </c>
      <c r="M12" s="113">
        <v>16.7</v>
      </c>
      <c r="N12" s="113">
        <v>2.5</v>
      </c>
      <c r="O12" s="113">
        <v>84.9</v>
      </c>
      <c r="P12" s="175">
        <v>2.5</v>
      </c>
      <c r="Q12" s="175">
        <v>3.4</v>
      </c>
      <c r="S12" s="412"/>
      <c r="T12" s="412"/>
      <c r="U12" s="412"/>
    </row>
    <row r="13" spans="1:21" ht="14.45">
      <c r="A13" s="115" t="s">
        <v>389</v>
      </c>
      <c r="B13" s="178">
        <f t="shared" si="0"/>
        <v>150</v>
      </c>
      <c r="C13" s="180">
        <v>25.9</v>
      </c>
      <c r="D13" s="180">
        <v>1.8</v>
      </c>
      <c r="E13" s="177">
        <v>131.05000000000001</v>
      </c>
      <c r="F13" s="185">
        <f t="shared" si="1"/>
        <v>50</v>
      </c>
      <c r="G13" s="180">
        <v>1.8</v>
      </c>
      <c r="H13" s="177">
        <v>4.95</v>
      </c>
      <c r="K13" s="413"/>
      <c r="L13" s="115" t="s">
        <v>389</v>
      </c>
      <c r="M13" s="113">
        <v>43.4</v>
      </c>
      <c r="N13" s="113">
        <v>2.5</v>
      </c>
      <c r="O13" s="113">
        <v>138</v>
      </c>
      <c r="P13" s="175">
        <v>2.5</v>
      </c>
      <c r="Q13" s="175">
        <v>6.5</v>
      </c>
      <c r="S13" s="412" t="s">
        <v>423</v>
      </c>
      <c r="T13" s="412"/>
      <c r="U13" s="412"/>
    </row>
    <row r="14" spans="1:21" ht="14.45">
      <c r="A14" s="115" t="s">
        <v>391</v>
      </c>
      <c r="B14" s="178">
        <f t="shared" si="0"/>
        <v>150</v>
      </c>
      <c r="C14" s="180">
        <v>27.7</v>
      </c>
      <c r="D14" s="180">
        <v>1.8</v>
      </c>
      <c r="E14" s="177">
        <v>119.9</v>
      </c>
      <c r="F14" s="185">
        <f t="shared" si="1"/>
        <v>50</v>
      </c>
      <c r="G14" s="180">
        <v>1.8</v>
      </c>
      <c r="H14" s="177">
        <v>4.75</v>
      </c>
      <c r="K14" s="413"/>
      <c r="L14" s="115" t="s">
        <v>391</v>
      </c>
      <c r="M14" s="113">
        <v>45.2</v>
      </c>
      <c r="N14" s="113">
        <v>2.6</v>
      </c>
      <c r="O14" s="113">
        <v>111.1</v>
      </c>
      <c r="P14" s="175">
        <v>2.6</v>
      </c>
      <c r="Q14" s="175">
        <v>6.1</v>
      </c>
      <c r="S14" s="412"/>
      <c r="T14" s="412"/>
      <c r="U14" s="412"/>
    </row>
    <row r="15" spans="1:21" ht="14.45">
      <c r="A15" s="115" t="s">
        <v>392</v>
      </c>
      <c r="B15" s="178">
        <f t="shared" si="0"/>
        <v>150</v>
      </c>
      <c r="C15" s="180">
        <v>14.05</v>
      </c>
      <c r="D15" s="180">
        <v>1.1499999999999999</v>
      </c>
      <c r="E15" s="177">
        <v>101.85</v>
      </c>
      <c r="F15" s="185">
        <f t="shared" si="1"/>
        <v>50</v>
      </c>
      <c r="G15" s="180">
        <v>1.1499999999999999</v>
      </c>
      <c r="H15" s="177">
        <v>2.5</v>
      </c>
      <c r="K15" s="413"/>
      <c r="L15" s="115" t="s">
        <v>392</v>
      </c>
      <c r="M15" s="113">
        <v>20.399999999999999</v>
      </c>
      <c r="N15" s="113">
        <v>1.3</v>
      </c>
      <c r="O15" s="113">
        <v>88.3</v>
      </c>
      <c r="P15" s="175">
        <v>1.3</v>
      </c>
      <c r="Q15" s="175">
        <v>2.5</v>
      </c>
      <c r="S15" s="412"/>
      <c r="T15" s="412"/>
      <c r="U15" s="412"/>
    </row>
    <row r="16" spans="1:21" ht="14.45">
      <c r="A16" s="115" t="s">
        <v>393</v>
      </c>
      <c r="B16" s="178">
        <f t="shared" si="0"/>
        <v>150</v>
      </c>
      <c r="C16" s="180">
        <v>0</v>
      </c>
      <c r="D16" s="180">
        <v>0</v>
      </c>
      <c r="E16" s="177">
        <v>0.1</v>
      </c>
      <c r="F16" s="186">
        <f t="shared" si="1"/>
        <v>50</v>
      </c>
      <c r="G16" s="179"/>
      <c r="H16" s="179"/>
      <c r="K16" s="413"/>
      <c r="L16" s="115" t="s">
        <v>393</v>
      </c>
      <c r="M16" s="113">
        <v>0</v>
      </c>
      <c r="N16" s="113">
        <v>0</v>
      </c>
      <c r="O16" s="113">
        <v>0.2</v>
      </c>
      <c r="P16" s="176"/>
      <c r="Q16" s="176"/>
      <c r="S16" s="412"/>
      <c r="T16" s="412"/>
      <c r="U16" s="412"/>
    </row>
    <row r="17" spans="1:17" ht="14.45">
      <c r="A17" s="115" t="s">
        <v>394</v>
      </c>
      <c r="B17" s="178">
        <f t="shared" si="0"/>
        <v>150</v>
      </c>
      <c r="C17" s="180">
        <v>0</v>
      </c>
      <c r="D17" s="180">
        <v>0</v>
      </c>
      <c r="E17" s="177">
        <v>0</v>
      </c>
      <c r="F17" s="186">
        <f t="shared" si="1"/>
        <v>50</v>
      </c>
      <c r="G17" s="176"/>
      <c r="H17" s="176"/>
      <c r="K17" s="413"/>
      <c r="L17" s="115" t="s">
        <v>394</v>
      </c>
      <c r="M17" s="113">
        <v>0</v>
      </c>
      <c r="N17" s="113">
        <v>0</v>
      </c>
      <c r="O17" s="113">
        <v>0</v>
      </c>
      <c r="P17" s="176"/>
      <c r="Q17" s="176"/>
    </row>
    <row r="18" spans="1:17" ht="14.45">
      <c r="A18" s="115" t="s">
        <v>395</v>
      </c>
      <c r="B18" s="178">
        <f t="shared" si="0"/>
        <v>150</v>
      </c>
      <c r="C18" s="180">
        <v>0</v>
      </c>
      <c r="D18" s="180">
        <v>0</v>
      </c>
      <c r="E18" s="177">
        <v>0</v>
      </c>
      <c r="F18" s="186">
        <f t="shared" si="1"/>
        <v>50</v>
      </c>
      <c r="G18" s="176"/>
      <c r="H18" s="176"/>
      <c r="K18" s="413"/>
      <c r="L18" s="115" t="s">
        <v>395</v>
      </c>
      <c r="M18" s="113">
        <v>0</v>
      </c>
      <c r="N18" s="113">
        <v>0</v>
      </c>
      <c r="O18" s="113">
        <v>0</v>
      </c>
      <c r="P18" s="176"/>
      <c r="Q18" s="176"/>
    </row>
    <row r="19" spans="1:17">
      <c r="K19" s="413"/>
      <c r="L19" s="111" t="s">
        <v>396</v>
      </c>
      <c r="M19" s="111">
        <f>AVERAGE(M7:M18)</f>
        <v>59.93333333333333</v>
      </c>
      <c r="N19" s="111">
        <f>AVERAGE(N7:N18)</f>
        <v>2.6666666666666674</v>
      </c>
      <c r="O19" s="111">
        <f>MAX(O7:O18)</f>
        <v>800.8</v>
      </c>
      <c r="P19" s="111">
        <f>AVERAGE(P7:P18)</f>
        <v>3.5555555555555562</v>
      </c>
      <c r="Q19" s="111">
        <f>MAX(Q7:Q18)</f>
        <v>58.1</v>
      </c>
    </row>
    <row r="21" spans="1:17" ht="27.6">
      <c r="K21" s="110">
        <f>+A6</f>
        <v>2022</v>
      </c>
      <c r="L21" s="110" t="s">
        <v>378</v>
      </c>
      <c r="M21" s="103" t="s">
        <v>418</v>
      </c>
      <c r="N21" s="103" t="s">
        <v>419</v>
      </c>
      <c r="O21" s="103" t="s">
        <v>420</v>
      </c>
      <c r="P21" s="116" t="s">
        <v>376</v>
      </c>
      <c r="Q21" s="116" t="s">
        <v>380</v>
      </c>
    </row>
    <row r="22" spans="1:17" ht="14.45">
      <c r="K22" s="413" t="s">
        <v>185</v>
      </c>
      <c r="L22" s="115" t="s">
        <v>381</v>
      </c>
      <c r="M22" s="113">
        <v>1.5</v>
      </c>
      <c r="N22" s="113">
        <v>0.6</v>
      </c>
      <c r="O22" s="113">
        <v>75.3</v>
      </c>
      <c r="P22" s="169">
        <v>0.6</v>
      </c>
      <c r="Q22" s="174">
        <v>1.1000000000000001</v>
      </c>
    </row>
    <row r="23" spans="1:17" ht="14.45">
      <c r="K23" s="413"/>
      <c r="L23" s="115" t="s">
        <v>382</v>
      </c>
      <c r="M23" s="113">
        <v>199.7</v>
      </c>
      <c r="N23" s="113">
        <v>8.1</v>
      </c>
      <c r="O23" s="113">
        <v>251.4</v>
      </c>
      <c r="P23" s="170">
        <v>8.1</v>
      </c>
      <c r="Q23" s="175">
        <v>47.4</v>
      </c>
    </row>
    <row r="24" spans="1:17" ht="14.45">
      <c r="K24" s="413"/>
      <c r="L24" s="115" t="s">
        <v>383</v>
      </c>
      <c r="M24" s="113">
        <v>40.1</v>
      </c>
      <c r="N24" s="113">
        <v>1.8</v>
      </c>
      <c r="O24" s="113">
        <v>162.4</v>
      </c>
      <c r="P24" s="170">
        <v>1.8</v>
      </c>
      <c r="Q24" s="175">
        <v>7.2</v>
      </c>
    </row>
    <row r="25" spans="1:17" ht="14.45">
      <c r="K25" s="413"/>
      <c r="L25" s="115" t="s">
        <v>385</v>
      </c>
      <c r="M25" s="113">
        <v>10.4</v>
      </c>
      <c r="N25" s="113">
        <v>1.9</v>
      </c>
      <c r="O25" s="113">
        <v>43.9</v>
      </c>
      <c r="P25" s="170">
        <v>1.9</v>
      </c>
      <c r="Q25" s="175">
        <v>3.5</v>
      </c>
    </row>
    <row r="26" spans="1:17" ht="14.45">
      <c r="K26" s="413"/>
      <c r="L26" s="115" t="s">
        <v>387</v>
      </c>
      <c r="M26" s="113">
        <v>9.6999999999999993</v>
      </c>
      <c r="N26" s="113">
        <v>1.7</v>
      </c>
      <c r="O26" s="113">
        <v>87</v>
      </c>
      <c r="P26" s="170">
        <v>1.7</v>
      </c>
      <c r="Q26" s="175">
        <v>3.2</v>
      </c>
    </row>
    <row r="27" spans="1:17" ht="14.45">
      <c r="K27" s="413"/>
      <c r="L27" s="115" t="s">
        <v>388</v>
      </c>
      <c r="M27" s="113">
        <v>3.9</v>
      </c>
      <c r="N27" s="113">
        <v>1.2</v>
      </c>
      <c r="O27" s="113">
        <v>112.3</v>
      </c>
      <c r="P27" s="170">
        <v>1.2</v>
      </c>
      <c r="Q27" s="175">
        <v>2.2000000000000002</v>
      </c>
    </row>
    <row r="28" spans="1:17" ht="14.45">
      <c r="K28" s="413"/>
      <c r="L28" s="115" t="s">
        <v>389</v>
      </c>
      <c r="M28" s="113">
        <v>8.4</v>
      </c>
      <c r="N28" s="113">
        <v>1.1000000000000001</v>
      </c>
      <c r="O28" s="113">
        <v>124.1</v>
      </c>
      <c r="P28" s="170">
        <v>1.1000000000000001</v>
      </c>
      <c r="Q28" s="175">
        <v>3.4</v>
      </c>
    </row>
    <row r="29" spans="1:17" ht="14.45">
      <c r="K29" s="413"/>
      <c r="L29" s="115" t="s">
        <v>391</v>
      </c>
      <c r="M29" s="113">
        <v>10.199999999999999</v>
      </c>
      <c r="N29" s="113">
        <v>1</v>
      </c>
      <c r="O29" s="113">
        <v>128.69999999999999</v>
      </c>
      <c r="P29" s="170">
        <v>1</v>
      </c>
      <c r="Q29" s="175">
        <v>3.4</v>
      </c>
    </row>
    <row r="30" spans="1:17" ht="14.45">
      <c r="K30" s="413"/>
      <c r="L30" s="115" t="s">
        <v>392</v>
      </c>
      <c r="M30" s="113">
        <v>7.7</v>
      </c>
      <c r="N30" s="113">
        <v>1</v>
      </c>
      <c r="O30" s="113">
        <v>115.4</v>
      </c>
      <c r="P30" s="170">
        <v>1</v>
      </c>
      <c r="Q30" s="175">
        <v>2.5</v>
      </c>
    </row>
    <row r="31" spans="1:17">
      <c r="K31" s="413"/>
      <c r="L31" s="115" t="s">
        <v>393</v>
      </c>
      <c r="M31" s="113">
        <v>0</v>
      </c>
      <c r="N31" s="113">
        <v>0</v>
      </c>
      <c r="O31" s="113">
        <v>0</v>
      </c>
      <c r="P31" s="176"/>
      <c r="Q31" s="176"/>
    </row>
    <row r="32" spans="1:17">
      <c r="K32" s="413"/>
      <c r="L32" s="115" t="s">
        <v>394</v>
      </c>
      <c r="M32" s="113">
        <v>0</v>
      </c>
      <c r="N32" s="113">
        <v>0</v>
      </c>
      <c r="O32" s="113">
        <v>0</v>
      </c>
      <c r="P32" s="176"/>
      <c r="Q32" s="176"/>
    </row>
    <row r="33" spans="1:17">
      <c r="K33" s="413"/>
      <c r="L33" s="115" t="s">
        <v>395</v>
      </c>
      <c r="M33" s="113">
        <v>0</v>
      </c>
      <c r="N33" s="113">
        <v>0</v>
      </c>
      <c r="O33" s="113">
        <v>0</v>
      </c>
      <c r="P33" s="176"/>
      <c r="Q33" s="176"/>
    </row>
    <row r="34" spans="1:17">
      <c r="K34" s="413"/>
      <c r="L34" s="111" t="s">
        <v>396</v>
      </c>
      <c r="M34" s="111">
        <f>AVERAGE(M22:M33)</f>
        <v>24.299999999999994</v>
      </c>
      <c r="N34" s="111"/>
      <c r="O34" s="111">
        <f>MAX(O22:O33)</f>
        <v>251.4</v>
      </c>
      <c r="P34" s="111">
        <f>AVERAGE(P22:P33)</f>
        <v>2.0444444444444443</v>
      </c>
      <c r="Q34" s="111">
        <f>MAX(Q22:Q33)</f>
        <v>47.4</v>
      </c>
    </row>
    <row r="36" spans="1:17" ht="27.6">
      <c r="K36" s="110">
        <f>+A6</f>
        <v>2022</v>
      </c>
      <c r="L36" s="110" t="s">
        <v>378</v>
      </c>
      <c r="M36" s="103" t="s">
        <v>418</v>
      </c>
      <c r="N36" s="103" t="s">
        <v>419</v>
      </c>
      <c r="O36" s="103" t="s">
        <v>420</v>
      </c>
      <c r="P36" s="116" t="s">
        <v>376</v>
      </c>
      <c r="Q36" s="116" t="s">
        <v>380</v>
      </c>
    </row>
    <row r="37" spans="1:17">
      <c r="K37" s="413" t="s">
        <v>186</v>
      </c>
      <c r="L37" s="115" t="s">
        <v>381</v>
      </c>
      <c r="M37" s="113"/>
      <c r="N37" s="113"/>
      <c r="O37" s="113"/>
      <c r="P37" s="113"/>
      <c r="Q37" s="113"/>
    </row>
    <row r="38" spans="1:17">
      <c r="K38" s="413"/>
      <c r="L38" s="115" t="s">
        <v>382</v>
      </c>
      <c r="M38" s="113"/>
      <c r="N38" s="113"/>
      <c r="O38" s="113"/>
      <c r="P38" s="113"/>
      <c r="Q38" s="113"/>
    </row>
    <row r="39" spans="1:17">
      <c r="K39" s="413"/>
      <c r="L39" s="115" t="s">
        <v>383</v>
      </c>
      <c r="M39" s="113"/>
      <c r="N39" s="113"/>
      <c r="O39" s="113"/>
      <c r="P39" s="113"/>
      <c r="Q39" s="113"/>
    </row>
    <row r="40" spans="1:17">
      <c r="K40" s="413"/>
      <c r="L40" s="115" t="s">
        <v>385</v>
      </c>
      <c r="M40" s="113"/>
      <c r="N40" s="113"/>
      <c r="O40" s="113"/>
      <c r="P40" s="113"/>
      <c r="Q40" s="113"/>
    </row>
    <row r="41" spans="1:17">
      <c r="K41" s="413"/>
      <c r="L41" s="115" t="s">
        <v>387</v>
      </c>
      <c r="M41" s="113"/>
      <c r="N41" s="113"/>
      <c r="O41" s="113"/>
      <c r="P41" s="113"/>
      <c r="Q41" s="113"/>
    </row>
    <row r="42" spans="1:17">
      <c r="K42" s="413"/>
      <c r="L42" s="115" t="s">
        <v>388</v>
      </c>
      <c r="M42" s="113"/>
      <c r="N42" s="113"/>
      <c r="O42" s="113"/>
      <c r="P42" s="113"/>
      <c r="Q42" s="113"/>
    </row>
    <row r="43" spans="1:17">
      <c r="K43" s="413"/>
      <c r="L43" s="115" t="s">
        <v>389</v>
      </c>
      <c r="M43" s="113"/>
      <c r="N43" s="113"/>
      <c r="O43" s="113"/>
      <c r="P43" s="113"/>
      <c r="Q43" s="113"/>
    </row>
    <row r="44" spans="1:17">
      <c r="K44" s="413"/>
      <c r="L44" s="115" t="s">
        <v>391</v>
      </c>
      <c r="M44" s="113"/>
      <c r="N44" s="113"/>
      <c r="O44" s="113"/>
      <c r="P44" s="113"/>
      <c r="Q44" s="113"/>
    </row>
    <row r="45" spans="1:17">
      <c r="K45" s="413"/>
      <c r="L45" s="115" t="s">
        <v>392</v>
      </c>
      <c r="M45" s="113"/>
      <c r="N45" s="113"/>
      <c r="O45" s="113"/>
      <c r="P45" s="113"/>
      <c r="Q45" s="113"/>
    </row>
    <row r="46" spans="1:17">
      <c r="K46" s="413"/>
      <c r="L46" s="115" t="s">
        <v>393</v>
      </c>
      <c r="M46" s="113"/>
      <c r="N46" s="113"/>
      <c r="O46" s="113"/>
      <c r="P46" s="113"/>
      <c r="Q46" s="113"/>
    </row>
    <row r="47" spans="1:17">
      <c r="K47" s="413"/>
      <c r="L47" s="115" t="s">
        <v>394</v>
      </c>
      <c r="M47" s="113"/>
      <c r="N47" s="113"/>
      <c r="O47" s="113"/>
      <c r="P47" s="113"/>
      <c r="Q47" s="113"/>
    </row>
    <row r="48" spans="1:17">
      <c r="A48" s="419" t="s">
        <v>284</v>
      </c>
      <c r="B48" s="420"/>
      <c r="C48" s="420"/>
      <c r="D48" s="420"/>
      <c r="E48" s="420"/>
      <c r="F48" s="420"/>
      <c r="G48" s="420"/>
      <c r="H48" s="421"/>
      <c r="K48" s="413"/>
      <c r="L48" s="115" t="s">
        <v>395</v>
      </c>
      <c r="M48" s="113"/>
      <c r="N48" s="113"/>
      <c r="O48" s="113"/>
      <c r="P48" s="113"/>
      <c r="Q48" s="113"/>
    </row>
    <row r="49" spans="1:17">
      <c r="A49" s="423" t="s">
        <v>424</v>
      </c>
      <c r="B49" s="424"/>
      <c r="C49" s="424"/>
      <c r="D49" s="424"/>
      <c r="E49" s="424"/>
      <c r="F49" s="424"/>
      <c r="G49" s="424"/>
      <c r="H49" s="425"/>
      <c r="K49" s="413"/>
      <c r="L49" s="111" t="s">
        <v>396</v>
      </c>
      <c r="M49" s="111" t="e">
        <f>AVERAGE(M37:M48)</f>
        <v>#DIV/0!</v>
      </c>
      <c r="N49" s="111"/>
      <c r="O49" s="111">
        <f>MAX(O37:O48)</f>
        <v>0</v>
      </c>
      <c r="P49" s="111" t="e">
        <f>AVERAGE(P37:P48)</f>
        <v>#DIV/0!</v>
      </c>
      <c r="Q49" s="111">
        <f>MAX(Q37:Q48)</f>
        <v>0</v>
      </c>
    </row>
    <row r="50" spans="1:17">
      <c r="A50" s="426"/>
      <c r="B50" s="427"/>
      <c r="C50" s="427"/>
      <c r="D50" s="427"/>
      <c r="E50" s="427"/>
      <c r="F50" s="427"/>
      <c r="G50" s="427"/>
      <c r="H50" s="428"/>
    </row>
    <row r="51" spans="1:17" ht="27.6">
      <c r="A51" s="426"/>
      <c r="B51" s="427"/>
      <c r="C51" s="427"/>
      <c r="D51" s="427"/>
      <c r="E51" s="427"/>
      <c r="F51" s="427"/>
      <c r="G51" s="427"/>
      <c r="H51" s="428"/>
      <c r="K51" s="110">
        <f>+A6</f>
        <v>2022</v>
      </c>
      <c r="L51" s="110" t="s">
        <v>378</v>
      </c>
      <c r="M51" s="103" t="s">
        <v>418</v>
      </c>
      <c r="N51" s="103" t="s">
        <v>419</v>
      </c>
      <c r="O51" s="103" t="s">
        <v>420</v>
      </c>
      <c r="P51" s="116" t="s">
        <v>376</v>
      </c>
      <c r="Q51" s="116" t="s">
        <v>380</v>
      </c>
    </row>
    <row r="52" spans="1:17">
      <c r="A52" s="429"/>
      <c r="B52" s="430"/>
      <c r="C52" s="430"/>
      <c r="D52" s="430"/>
      <c r="E52" s="430"/>
      <c r="F52" s="430"/>
      <c r="G52" s="430"/>
      <c r="H52" s="431"/>
      <c r="K52" s="413" t="s">
        <v>299</v>
      </c>
      <c r="L52" s="115" t="s">
        <v>381</v>
      </c>
      <c r="M52" s="113"/>
      <c r="N52" s="113"/>
      <c r="O52" s="113"/>
      <c r="P52" s="113"/>
      <c r="Q52" s="113"/>
    </row>
    <row r="53" spans="1:17">
      <c r="K53" s="413"/>
      <c r="L53" s="115" t="s">
        <v>382</v>
      </c>
      <c r="M53" s="113"/>
      <c r="N53" s="113"/>
      <c r="O53" s="113"/>
      <c r="P53" s="113"/>
      <c r="Q53" s="113"/>
    </row>
    <row r="54" spans="1:17">
      <c r="K54" s="413"/>
      <c r="L54" s="115" t="s">
        <v>383</v>
      </c>
      <c r="M54" s="113"/>
      <c r="N54" s="113"/>
      <c r="O54" s="113"/>
      <c r="P54" s="113"/>
      <c r="Q54" s="113"/>
    </row>
    <row r="55" spans="1:17">
      <c r="K55" s="413"/>
      <c r="L55" s="115" t="s">
        <v>385</v>
      </c>
      <c r="M55" s="113"/>
      <c r="N55" s="113"/>
      <c r="O55" s="113"/>
      <c r="P55" s="113"/>
      <c r="Q55" s="113"/>
    </row>
    <row r="56" spans="1:17">
      <c r="K56" s="413"/>
      <c r="L56" s="115" t="s">
        <v>387</v>
      </c>
      <c r="M56" s="113"/>
      <c r="N56" s="113"/>
      <c r="O56" s="113"/>
      <c r="P56" s="113"/>
      <c r="Q56" s="113"/>
    </row>
    <row r="57" spans="1:17">
      <c r="K57" s="413"/>
      <c r="L57" s="115" t="s">
        <v>388</v>
      </c>
      <c r="M57" s="113"/>
      <c r="N57" s="113"/>
      <c r="O57" s="113"/>
      <c r="P57" s="113"/>
      <c r="Q57" s="113"/>
    </row>
    <row r="58" spans="1:17">
      <c r="K58" s="413"/>
      <c r="L58" s="115" t="s">
        <v>389</v>
      </c>
      <c r="M58" s="113"/>
      <c r="N58" s="113"/>
      <c r="O58" s="113"/>
      <c r="P58" s="113"/>
      <c r="Q58" s="113"/>
    </row>
    <row r="59" spans="1:17">
      <c r="K59" s="413"/>
      <c r="L59" s="115" t="s">
        <v>391</v>
      </c>
      <c r="M59" s="113"/>
      <c r="N59" s="113"/>
      <c r="O59" s="113"/>
      <c r="P59" s="113"/>
      <c r="Q59" s="113"/>
    </row>
    <row r="60" spans="1:17">
      <c r="K60" s="413"/>
      <c r="L60" s="115" t="s">
        <v>392</v>
      </c>
      <c r="M60" s="113"/>
      <c r="N60" s="113"/>
      <c r="O60" s="113"/>
      <c r="P60" s="113"/>
      <c r="Q60" s="113"/>
    </row>
    <row r="61" spans="1:17">
      <c r="K61" s="413"/>
      <c r="L61" s="115" t="s">
        <v>393</v>
      </c>
      <c r="M61" s="113"/>
      <c r="N61" s="113"/>
      <c r="O61" s="113"/>
      <c r="P61" s="113"/>
      <c r="Q61" s="113"/>
    </row>
    <row r="62" spans="1:17">
      <c r="K62" s="413"/>
      <c r="L62" s="115" t="s">
        <v>394</v>
      </c>
      <c r="M62" s="113"/>
      <c r="N62" s="113"/>
      <c r="O62" s="113"/>
      <c r="P62" s="113"/>
      <c r="Q62" s="113"/>
    </row>
    <row r="63" spans="1:17">
      <c r="K63" s="413"/>
      <c r="L63" s="115" t="s">
        <v>395</v>
      </c>
      <c r="M63" s="113"/>
      <c r="N63" s="113"/>
      <c r="O63" s="113"/>
      <c r="P63" s="113"/>
      <c r="Q63" s="113"/>
    </row>
    <row r="64" spans="1:17">
      <c r="K64" s="413"/>
      <c r="L64" s="111" t="s">
        <v>396</v>
      </c>
      <c r="M64" s="111" t="e">
        <f>AVERAGE(M52:M63)</f>
        <v>#DIV/0!</v>
      </c>
      <c r="N64" s="111"/>
      <c r="O64" s="111">
        <f>MAX(O52:O63)</f>
        <v>0</v>
      </c>
      <c r="P64" s="111" t="e">
        <f>AVERAGE(P52:P63)</f>
        <v>#DIV/0!</v>
      </c>
      <c r="Q64" s="111">
        <f>MAX(Q52:Q63)</f>
        <v>0</v>
      </c>
    </row>
    <row r="66" spans="11:17" ht="27.6">
      <c r="K66" s="110">
        <f>+A6</f>
        <v>2022</v>
      </c>
      <c r="L66" s="110" t="s">
        <v>378</v>
      </c>
      <c r="M66" s="103" t="s">
        <v>418</v>
      </c>
      <c r="N66" s="103" t="s">
        <v>419</v>
      </c>
      <c r="O66" s="103" t="s">
        <v>420</v>
      </c>
      <c r="P66" s="116" t="s">
        <v>376</v>
      </c>
      <c r="Q66" s="116" t="s">
        <v>380</v>
      </c>
    </row>
    <row r="67" spans="11:17">
      <c r="K67" s="413" t="s">
        <v>300</v>
      </c>
      <c r="L67" s="115" t="s">
        <v>381</v>
      </c>
      <c r="M67" s="113"/>
      <c r="N67" s="113"/>
      <c r="O67" s="113"/>
      <c r="P67" s="113"/>
      <c r="Q67" s="113"/>
    </row>
    <row r="68" spans="11:17">
      <c r="K68" s="413"/>
      <c r="L68" s="115" t="s">
        <v>382</v>
      </c>
      <c r="M68" s="113"/>
      <c r="N68" s="113"/>
      <c r="O68" s="113"/>
      <c r="P68" s="113"/>
      <c r="Q68" s="113"/>
    </row>
    <row r="69" spans="11:17">
      <c r="K69" s="413"/>
      <c r="L69" s="115" t="s">
        <v>383</v>
      </c>
      <c r="M69" s="113"/>
      <c r="N69" s="113"/>
      <c r="O69" s="113"/>
      <c r="P69" s="113"/>
      <c r="Q69" s="113"/>
    </row>
    <row r="70" spans="11:17">
      <c r="K70" s="413"/>
      <c r="L70" s="115" t="s">
        <v>385</v>
      </c>
      <c r="M70" s="113"/>
      <c r="N70" s="113"/>
      <c r="O70" s="113"/>
      <c r="P70" s="113"/>
      <c r="Q70" s="113"/>
    </row>
    <row r="71" spans="11:17">
      <c r="K71" s="413"/>
      <c r="L71" s="115" t="s">
        <v>387</v>
      </c>
      <c r="M71" s="113"/>
      <c r="N71" s="113"/>
      <c r="O71" s="113"/>
      <c r="P71" s="113"/>
      <c r="Q71" s="113"/>
    </row>
    <row r="72" spans="11:17">
      <c r="K72" s="413"/>
      <c r="L72" s="115" t="s">
        <v>388</v>
      </c>
      <c r="M72" s="113"/>
      <c r="N72" s="113"/>
      <c r="O72" s="113"/>
      <c r="P72" s="113"/>
      <c r="Q72" s="113"/>
    </row>
    <row r="73" spans="11:17">
      <c r="K73" s="413"/>
      <c r="L73" s="115" t="s">
        <v>389</v>
      </c>
      <c r="M73" s="113"/>
      <c r="N73" s="113"/>
      <c r="O73" s="113"/>
      <c r="P73" s="113"/>
      <c r="Q73" s="113"/>
    </row>
    <row r="74" spans="11:17">
      <c r="K74" s="413"/>
      <c r="L74" s="115" t="s">
        <v>391</v>
      </c>
      <c r="M74" s="113"/>
      <c r="N74" s="113"/>
      <c r="O74" s="113"/>
      <c r="P74" s="113"/>
      <c r="Q74" s="113"/>
    </row>
    <row r="75" spans="11:17">
      <c r="K75" s="413"/>
      <c r="L75" s="115" t="s">
        <v>392</v>
      </c>
      <c r="M75" s="113"/>
      <c r="N75" s="113"/>
      <c r="O75" s="113"/>
      <c r="P75" s="113"/>
      <c r="Q75" s="113"/>
    </row>
    <row r="76" spans="11:17">
      <c r="K76" s="413"/>
      <c r="L76" s="115" t="s">
        <v>393</v>
      </c>
      <c r="M76" s="113"/>
      <c r="N76" s="113"/>
      <c r="O76" s="113"/>
      <c r="P76" s="113"/>
      <c r="Q76" s="113"/>
    </row>
    <row r="77" spans="11:17">
      <c r="K77" s="413"/>
      <c r="L77" s="115" t="s">
        <v>394</v>
      </c>
      <c r="M77" s="113"/>
      <c r="N77" s="113"/>
      <c r="O77" s="113"/>
      <c r="P77" s="113"/>
      <c r="Q77" s="113"/>
    </row>
    <row r="78" spans="11:17">
      <c r="K78" s="413"/>
      <c r="L78" s="115" t="s">
        <v>395</v>
      </c>
      <c r="M78" s="113"/>
      <c r="N78" s="113"/>
      <c r="O78" s="113"/>
      <c r="P78" s="113"/>
      <c r="Q78" s="113"/>
    </row>
    <row r="79" spans="11:17">
      <c r="K79" s="413"/>
      <c r="L79" s="111" t="s">
        <v>396</v>
      </c>
      <c r="M79" s="111" t="e">
        <f>AVERAGE(M67:M78)</f>
        <v>#DIV/0!</v>
      </c>
      <c r="N79" s="111"/>
      <c r="O79" s="111">
        <f>MAX(O67:O78)</f>
        <v>0</v>
      </c>
      <c r="P79" s="111" t="e">
        <f>AVERAGE(P67:P78)</f>
        <v>#DIV/0!</v>
      </c>
      <c r="Q79" s="111">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headerFooter scaleWithDoc="0">
    <oddFooter>&amp;C&amp;"Arial,Regular"Page &amp;P</oddFooter>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zoomScaleNormal="100" workbookViewId="0">
      <selection activeCell="C7" sqref="C7"/>
    </sheetView>
  </sheetViews>
  <sheetFormatPr defaultRowHeight="13.9"/>
  <cols>
    <col min="1" max="1" width="14" style="3" customWidth="1"/>
    <col min="2" max="4" width="17" style="73" customWidth="1"/>
    <col min="5" max="5" width="14.7109375" style="73" customWidth="1"/>
    <col min="6" max="7" width="17" style="73"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142" t="str">
        <f>+'Cover Page'!$B$29</f>
        <v>Annual Performance Report 2022</v>
      </c>
      <c r="B1" s="142"/>
      <c r="C1" s="142"/>
      <c r="D1" s="142"/>
      <c r="E1" s="142" t="str">
        <f>+'Cover Page'!$B$33</f>
        <v>Name of Facility: Thalia MK ODC Limited</v>
      </c>
    </row>
    <row r="3" spans="1:19" ht="14.45">
      <c r="A3" s="109" t="s">
        <v>425</v>
      </c>
      <c r="D3" s="129" t="s">
        <v>365</v>
      </c>
      <c r="G3" s="133" t="s">
        <v>366</v>
      </c>
      <c r="J3" s="9" t="str">
        <f>+A3</f>
        <v xml:space="preserve">Monitoring of Ammnonia emissions </v>
      </c>
      <c r="L3" s="9"/>
      <c r="N3" s="9" t="s">
        <v>367</v>
      </c>
      <c r="Q3" s="132" t="s">
        <v>3</v>
      </c>
      <c r="R3" s="126"/>
      <c r="S3" s="126"/>
    </row>
    <row r="4" spans="1:19" ht="13.9" customHeight="1">
      <c r="Q4" s="385" t="s">
        <v>368</v>
      </c>
      <c r="R4" s="385"/>
      <c r="S4" s="385"/>
    </row>
    <row r="5" spans="1:19" ht="16.149999999999999">
      <c r="A5" s="117" t="s">
        <v>369</v>
      </c>
      <c r="B5" s="415" t="s">
        <v>370</v>
      </c>
      <c r="C5" s="415"/>
      <c r="D5" s="415"/>
      <c r="E5" s="415" t="s">
        <v>371</v>
      </c>
      <c r="F5" s="415"/>
      <c r="G5" s="415"/>
      <c r="J5" s="414"/>
      <c r="K5" s="414"/>
      <c r="L5" s="414"/>
      <c r="M5" s="414"/>
      <c r="N5" s="414"/>
      <c r="O5" s="414"/>
      <c r="Q5" s="385"/>
      <c r="R5" s="385"/>
      <c r="S5" s="385"/>
    </row>
    <row r="6" spans="1:19" s="107" customFormat="1" ht="37.5" customHeight="1">
      <c r="A6" s="114">
        <f>+'Cover Page'!C39</f>
        <v>2022</v>
      </c>
      <c r="B6" s="103" t="s">
        <v>426</v>
      </c>
      <c r="C6" s="103" t="s">
        <v>373</v>
      </c>
      <c r="D6" s="103" t="s">
        <v>374</v>
      </c>
      <c r="E6" s="103" t="s">
        <v>427</v>
      </c>
      <c r="F6" s="103" t="s">
        <v>376</v>
      </c>
      <c r="G6" s="103" t="s">
        <v>377</v>
      </c>
      <c r="H6" s="108"/>
      <c r="J6" s="110">
        <f>+A6</f>
        <v>2022</v>
      </c>
      <c r="K6" s="110" t="s">
        <v>378</v>
      </c>
      <c r="L6" s="116" t="s">
        <v>373</v>
      </c>
      <c r="M6" s="116" t="s">
        <v>379</v>
      </c>
      <c r="N6" s="116" t="s">
        <v>376</v>
      </c>
      <c r="O6" s="116" t="s">
        <v>380</v>
      </c>
      <c r="Q6" s="385"/>
      <c r="R6" s="385"/>
      <c r="S6" s="385"/>
    </row>
    <row r="7" spans="1:19">
      <c r="A7" s="115" t="s">
        <v>381</v>
      </c>
      <c r="B7" s="118">
        <v>0</v>
      </c>
      <c r="C7" s="113"/>
      <c r="D7" s="113"/>
      <c r="E7" s="118">
        <v>10</v>
      </c>
      <c r="F7" s="113"/>
      <c r="G7" s="113"/>
      <c r="J7" s="413" t="s">
        <v>184</v>
      </c>
      <c r="K7" s="115" t="s">
        <v>381</v>
      </c>
      <c r="L7" s="113"/>
      <c r="M7" s="113"/>
      <c r="N7" s="113"/>
      <c r="O7" s="113"/>
      <c r="Q7" s="385"/>
      <c r="R7" s="385"/>
      <c r="S7" s="385"/>
    </row>
    <row r="8" spans="1:19">
      <c r="A8" s="115" t="s">
        <v>382</v>
      </c>
      <c r="B8" s="112">
        <f>+B7</f>
        <v>0</v>
      </c>
      <c r="C8" s="113"/>
      <c r="D8" s="113"/>
      <c r="E8" s="112">
        <f>+E7</f>
        <v>10</v>
      </c>
      <c r="F8" s="113"/>
      <c r="G8" s="113"/>
      <c r="J8" s="413"/>
      <c r="K8" s="115" t="s">
        <v>382</v>
      </c>
      <c r="L8" s="113"/>
      <c r="M8" s="113"/>
      <c r="N8" s="113"/>
      <c r="O8" s="113"/>
      <c r="Q8" s="385"/>
      <c r="R8" s="385"/>
      <c r="S8" s="385"/>
    </row>
    <row r="9" spans="1:19">
      <c r="A9" s="115" t="s">
        <v>383</v>
      </c>
      <c r="B9" s="112">
        <f t="shared" ref="B9:B18" si="0">+B8</f>
        <v>0</v>
      </c>
      <c r="C9" s="113"/>
      <c r="D9" s="113"/>
      <c r="E9" s="112">
        <f t="shared" ref="E9:E18" si="1">+E8</f>
        <v>10</v>
      </c>
      <c r="F9" s="113"/>
      <c r="G9" s="113"/>
      <c r="J9" s="413"/>
      <c r="K9" s="115" t="s">
        <v>383</v>
      </c>
      <c r="L9" s="113"/>
      <c r="M9" s="113"/>
      <c r="N9" s="113"/>
      <c r="O9" s="113"/>
      <c r="Q9" s="131" t="s">
        <v>384</v>
      </c>
    </row>
    <row r="10" spans="1:19" ht="14.25" customHeight="1">
      <c r="A10" s="115" t="s">
        <v>385</v>
      </c>
      <c r="B10" s="112">
        <f t="shared" si="0"/>
        <v>0</v>
      </c>
      <c r="C10" s="113"/>
      <c r="D10" s="113"/>
      <c r="E10" s="112">
        <f t="shared" si="1"/>
        <v>10</v>
      </c>
      <c r="F10" s="113"/>
      <c r="G10" s="113"/>
      <c r="J10" s="413"/>
      <c r="K10" s="115" t="s">
        <v>385</v>
      </c>
      <c r="L10" s="113"/>
      <c r="M10" s="113"/>
      <c r="N10" s="113"/>
      <c r="O10" s="113"/>
      <c r="Q10" s="412" t="s">
        <v>400</v>
      </c>
      <c r="R10" s="412"/>
      <c r="S10" s="412"/>
    </row>
    <row r="11" spans="1:19">
      <c r="A11" s="115" t="s">
        <v>387</v>
      </c>
      <c r="B11" s="112">
        <f t="shared" si="0"/>
        <v>0</v>
      </c>
      <c r="C11" s="113"/>
      <c r="D11" s="113"/>
      <c r="E11" s="112">
        <f t="shared" si="1"/>
        <v>10</v>
      </c>
      <c r="F11" s="113"/>
      <c r="G11" s="113"/>
      <c r="J11" s="413"/>
      <c r="K11" s="115" t="s">
        <v>387</v>
      </c>
      <c r="L11" s="113"/>
      <c r="M11" s="113"/>
      <c r="N11" s="113"/>
      <c r="O11" s="113"/>
      <c r="Q11" s="412"/>
      <c r="R11" s="412"/>
      <c r="S11" s="412"/>
    </row>
    <row r="12" spans="1:19">
      <c r="A12" s="115" t="s">
        <v>388</v>
      </c>
      <c r="B12" s="112">
        <f t="shared" si="0"/>
        <v>0</v>
      </c>
      <c r="C12" s="113"/>
      <c r="D12" s="113"/>
      <c r="E12" s="112">
        <f t="shared" si="1"/>
        <v>10</v>
      </c>
      <c r="F12" s="113"/>
      <c r="G12" s="113"/>
      <c r="J12" s="413"/>
      <c r="K12" s="115" t="s">
        <v>388</v>
      </c>
      <c r="L12" s="113"/>
      <c r="M12" s="113"/>
      <c r="N12" s="113"/>
      <c r="O12" s="113"/>
      <c r="Q12" s="412"/>
      <c r="R12" s="412"/>
      <c r="S12" s="412"/>
    </row>
    <row r="13" spans="1:19" ht="14.25" customHeight="1">
      <c r="A13" s="115" t="s">
        <v>389</v>
      </c>
      <c r="B13" s="112">
        <f t="shared" si="0"/>
        <v>0</v>
      </c>
      <c r="C13" s="113"/>
      <c r="D13" s="113"/>
      <c r="E13" s="112">
        <f t="shared" si="1"/>
        <v>10</v>
      </c>
      <c r="F13" s="113"/>
      <c r="G13" s="113"/>
      <c r="J13" s="413"/>
      <c r="K13" s="115" t="s">
        <v>389</v>
      </c>
      <c r="L13" s="113"/>
      <c r="M13" s="113"/>
      <c r="N13" s="113"/>
      <c r="O13" s="113"/>
      <c r="Q13" s="412" t="s">
        <v>390</v>
      </c>
      <c r="R13" s="412"/>
      <c r="S13" s="412"/>
    </row>
    <row r="14" spans="1:19">
      <c r="A14" s="115" t="s">
        <v>391</v>
      </c>
      <c r="B14" s="112">
        <f t="shared" si="0"/>
        <v>0</v>
      </c>
      <c r="C14" s="113"/>
      <c r="D14" s="113"/>
      <c r="E14" s="112">
        <f t="shared" si="1"/>
        <v>10</v>
      </c>
      <c r="F14" s="113"/>
      <c r="G14" s="113"/>
      <c r="J14" s="413"/>
      <c r="K14" s="115" t="s">
        <v>391</v>
      </c>
      <c r="L14" s="113"/>
      <c r="M14" s="113"/>
      <c r="N14" s="113"/>
      <c r="O14" s="113"/>
      <c r="Q14" s="412"/>
      <c r="R14" s="412"/>
      <c r="S14" s="412"/>
    </row>
    <row r="15" spans="1:19">
      <c r="A15" s="115" t="s">
        <v>392</v>
      </c>
      <c r="B15" s="112">
        <f t="shared" si="0"/>
        <v>0</v>
      </c>
      <c r="C15" s="113"/>
      <c r="D15" s="113"/>
      <c r="E15" s="112">
        <f t="shared" si="1"/>
        <v>10</v>
      </c>
      <c r="F15" s="113"/>
      <c r="G15" s="113"/>
      <c r="J15" s="413"/>
      <c r="K15" s="115" t="s">
        <v>392</v>
      </c>
      <c r="L15" s="113"/>
      <c r="M15" s="113"/>
      <c r="N15" s="113"/>
      <c r="O15" s="113"/>
      <c r="Q15" s="412"/>
      <c r="R15" s="412"/>
      <c r="S15" s="412"/>
    </row>
    <row r="16" spans="1:19">
      <c r="A16" s="115" t="s">
        <v>393</v>
      </c>
      <c r="B16" s="112">
        <f t="shared" si="0"/>
        <v>0</v>
      </c>
      <c r="C16" s="113"/>
      <c r="D16" s="113"/>
      <c r="E16" s="112">
        <f t="shared" si="1"/>
        <v>10</v>
      </c>
      <c r="F16" s="113"/>
      <c r="G16" s="113"/>
      <c r="J16" s="413"/>
      <c r="K16" s="115" t="s">
        <v>393</v>
      </c>
      <c r="L16" s="113"/>
      <c r="M16" s="113"/>
      <c r="N16" s="113"/>
      <c r="O16" s="113"/>
      <c r="Q16" s="412"/>
      <c r="R16" s="412"/>
      <c r="S16" s="412"/>
    </row>
    <row r="17" spans="1:15">
      <c r="A17" s="115" t="s">
        <v>394</v>
      </c>
      <c r="B17" s="112">
        <f t="shared" si="0"/>
        <v>0</v>
      </c>
      <c r="C17" s="113"/>
      <c r="D17" s="113"/>
      <c r="E17" s="112">
        <f t="shared" si="1"/>
        <v>10</v>
      </c>
      <c r="F17" s="113"/>
      <c r="G17" s="113"/>
      <c r="J17" s="413"/>
      <c r="K17" s="115" t="s">
        <v>394</v>
      </c>
      <c r="L17" s="113"/>
      <c r="M17" s="113"/>
      <c r="N17" s="113"/>
      <c r="O17" s="113"/>
    </row>
    <row r="18" spans="1:15">
      <c r="A18" s="115" t="s">
        <v>395</v>
      </c>
      <c r="B18" s="112">
        <f t="shared" si="0"/>
        <v>0</v>
      </c>
      <c r="C18" s="113"/>
      <c r="D18" s="113"/>
      <c r="E18" s="112">
        <f t="shared" si="1"/>
        <v>10</v>
      </c>
      <c r="F18" s="113"/>
      <c r="G18" s="113"/>
      <c r="J18" s="413"/>
      <c r="K18" s="115" t="s">
        <v>395</v>
      </c>
      <c r="L18" s="113"/>
      <c r="M18" s="113"/>
      <c r="N18" s="113"/>
      <c r="O18" s="113"/>
    </row>
    <row r="19" spans="1:15">
      <c r="J19" s="413"/>
      <c r="K19" s="111" t="s">
        <v>396</v>
      </c>
      <c r="L19" s="111" t="e">
        <f>AVERAGE(L7:L18)</f>
        <v>#DIV/0!</v>
      </c>
      <c r="M19" s="111">
        <f>MAX(M7:M18)</f>
        <v>0</v>
      </c>
      <c r="N19" s="111" t="e">
        <f>AVERAGE(N7:N18)</f>
        <v>#DIV/0!</v>
      </c>
      <c r="O19" s="111">
        <f>MAX(O7:O18)</f>
        <v>0</v>
      </c>
    </row>
    <row r="21" spans="1:15" ht="41.45">
      <c r="J21" s="110">
        <f>+A6</f>
        <v>2022</v>
      </c>
      <c r="K21" s="110" t="s">
        <v>378</v>
      </c>
      <c r="L21" s="116" t="s">
        <v>373</v>
      </c>
      <c r="M21" s="116" t="s">
        <v>379</v>
      </c>
      <c r="N21" s="116" t="s">
        <v>376</v>
      </c>
      <c r="O21" s="116" t="s">
        <v>380</v>
      </c>
    </row>
    <row r="22" spans="1:15">
      <c r="J22" s="413" t="s">
        <v>185</v>
      </c>
      <c r="K22" s="115" t="s">
        <v>381</v>
      </c>
      <c r="L22" s="113"/>
      <c r="M22" s="113"/>
      <c r="N22" s="113"/>
      <c r="O22" s="113"/>
    </row>
    <row r="23" spans="1:15">
      <c r="J23" s="413"/>
      <c r="K23" s="115" t="s">
        <v>382</v>
      </c>
      <c r="L23" s="113"/>
      <c r="M23" s="113"/>
      <c r="N23" s="113"/>
      <c r="O23" s="113"/>
    </row>
    <row r="24" spans="1:15">
      <c r="J24" s="413"/>
      <c r="K24" s="115" t="s">
        <v>383</v>
      </c>
      <c r="L24" s="113"/>
      <c r="M24" s="113"/>
      <c r="N24" s="113"/>
      <c r="O24" s="113"/>
    </row>
    <row r="25" spans="1:15">
      <c r="J25" s="413"/>
      <c r="K25" s="115" t="s">
        <v>385</v>
      </c>
      <c r="L25" s="113"/>
      <c r="M25" s="113"/>
      <c r="N25" s="113"/>
      <c r="O25" s="113"/>
    </row>
    <row r="26" spans="1:15">
      <c r="J26" s="413"/>
      <c r="K26" s="115" t="s">
        <v>387</v>
      </c>
      <c r="L26" s="113"/>
      <c r="M26" s="113"/>
      <c r="N26" s="113"/>
      <c r="O26" s="113"/>
    </row>
    <row r="27" spans="1:15">
      <c r="J27" s="413"/>
      <c r="K27" s="115" t="s">
        <v>388</v>
      </c>
      <c r="L27" s="113"/>
      <c r="M27" s="113"/>
      <c r="N27" s="113"/>
      <c r="O27" s="113"/>
    </row>
    <row r="28" spans="1:15">
      <c r="J28" s="413"/>
      <c r="K28" s="115" t="s">
        <v>389</v>
      </c>
      <c r="L28" s="113"/>
      <c r="M28" s="113"/>
      <c r="N28" s="113"/>
      <c r="O28" s="113"/>
    </row>
    <row r="29" spans="1:15">
      <c r="J29" s="413"/>
      <c r="K29" s="115" t="s">
        <v>391</v>
      </c>
      <c r="L29" s="113"/>
      <c r="M29" s="113"/>
      <c r="N29" s="113"/>
      <c r="O29" s="113"/>
    </row>
    <row r="30" spans="1:15">
      <c r="J30" s="413"/>
      <c r="K30" s="115" t="s">
        <v>392</v>
      </c>
      <c r="L30" s="113"/>
      <c r="M30" s="113"/>
      <c r="N30" s="113"/>
      <c r="O30" s="113"/>
    </row>
    <row r="31" spans="1:15">
      <c r="J31" s="413"/>
      <c r="K31" s="115" t="s">
        <v>393</v>
      </c>
      <c r="L31" s="113"/>
      <c r="M31" s="113"/>
      <c r="N31" s="113"/>
      <c r="O31" s="113"/>
    </row>
    <row r="32" spans="1:15">
      <c r="J32" s="413"/>
      <c r="K32" s="115" t="s">
        <v>394</v>
      </c>
      <c r="L32" s="113"/>
      <c r="M32" s="113"/>
      <c r="N32" s="113"/>
      <c r="O32" s="113"/>
    </row>
    <row r="33" spans="1:15">
      <c r="J33" s="413"/>
      <c r="K33" s="115" t="s">
        <v>395</v>
      </c>
      <c r="L33" s="113"/>
      <c r="M33" s="113"/>
      <c r="N33" s="113"/>
      <c r="O33" s="113"/>
    </row>
    <row r="34" spans="1:15">
      <c r="J34" s="413"/>
      <c r="K34" s="111" t="s">
        <v>396</v>
      </c>
      <c r="L34" s="111" t="e">
        <f>AVERAGE(L22:L33)</f>
        <v>#DIV/0!</v>
      </c>
      <c r="M34" s="111">
        <f>MAX(M22:M33)</f>
        <v>0</v>
      </c>
      <c r="N34" s="111" t="e">
        <f>AVERAGE(N22:N33)</f>
        <v>#DIV/0!</v>
      </c>
      <c r="O34" s="111">
        <f>MAX(O22:O33)</f>
        <v>0</v>
      </c>
    </row>
    <row r="36" spans="1:15" ht="41.45">
      <c r="J36" s="110">
        <f>+A6</f>
        <v>2022</v>
      </c>
      <c r="K36" s="110" t="s">
        <v>378</v>
      </c>
      <c r="L36" s="116" t="s">
        <v>373</v>
      </c>
      <c r="M36" s="116" t="s">
        <v>379</v>
      </c>
      <c r="N36" s="116" t="s">
        <v>376</v>
      </c>
      <c r="O36" s="116" t="s">
        <v>380</v>
      </c>
    </row>
    <row r="37" spans="1:15">
      <c r="J37" s="413" t="s">
        <v>186</v>
      </c>
      <c r="K37" s="115" t="s">
        <v>381</v>
      </c>
      <c r="L37" s="113"/>
      <c r="M37" s="113"/>
      <c r="N37" s="113"/>
      <c r="O37" s="113"/>
    </row>
    <row r="38" spans="1:15">
      <c r="J38" s="413"/>
      <c r="K38" s="115" t="s">
        <v>382</v>
      </c>
      <c r="L38" s="113"/>
      <c r="M38" s="113"/>
      <c r="N38" s="113"/>
      <c r="O38" s="113"/>
    </row>
    <row r="39" spans="1:15">
      <c r="J39" s="413"/>
      <c r="K39" s="115" t="s">
        <v>383</v>
      </c>
      <c r="L39" s="113"/>
      <c r="M39" s="113"/>
      <c r="N39" s="113"/>
      <c r="O39" s="113"/>
    </row>
    <row r="40" spans="1:15">
      <c r="J40" s="413"/>
      <c r="K40" s="115" t="s">
        <v>385</v>
      </c>
      <c r="L40" s="113"/>
      <c r="M40" s="113"/>
      <c r="N40" s="113"/>
      <c r="O40" s="113"/>
    </row>
    <row r="41" spans="1:15">
      <c r="J41" s="413"/>
      <c r="K41" s="115" t="s">
        <v>387</v>
      </c>
      <c r="L41" s="113"/>
      <c r="M41" s="113"/>
      <c r="N41" s="113"/>
      <c r="O41" s="113"/>
    </row>
    <row r="42" spans="1:15">
      <c r="J42" s="413"/>
      <c r="K42" s="115" t="s">
        <v>388</v>
      </c>
      <c r="L42" s="113"/>
      <c r="M42" s="113"/>
      <c r="N42" s="113"/>
      <c r="O42" s="113"/>
    </row>
    <row r="43" spans="1:15">
      <c r="J43" s="413"/>
      <c r="K43" s="115" t="s">
        <v>389</v>
      </c>
      <c r="L43" s="113"/>
      <c r="M43" s="113"/>
      <c r="N43" s="113"/>
      <c r="O43" s="113"/>
    </row>
    <row r="44" spans="1:15">
      <c r="J44" s="413"/>
      <c r="K44" s="115" t="s">
        <v>391</v>
      </c>
      <c r="L44" s="113"/>
      <c r="M44" s="113"/>
      <c r="N44" s="113"/>
      <c r="O44" s="113"/>
    </row>
    <row r="45" spans="1:15">
      <c r="J45" s="413"/>
      <c r="K45" s="115" t="s">
        <v>392</v>
      </c>
      <c r="L45" s="113"/>
      <c r="M45" s="113"/>
      <c r="N45" s="113"/>
      <c r="O45" s="113"/>
    </row>
    <row r="46" spans="1:15">
      <c r="J46" s="413"/>
      <c r="K46" s="115" t="s">
        <v>393</v>
      </c>
      <c r="L46" s="113"/>
      <c r="M46" s="113"/>
      <c r="N46" s="113"/>
      <c r="O46" s="113"/>
    </row>
    <row r="47" spans="1:15">
      <c r="J47" s="413"/>
      <c r="K47" s="115" t="s">
        <v>394</v>
      </c>
      <c r="L47" s="113"/>
      <c r="M47" s="113"/>
      <c r="N47" s="113"/>
      <c r="O47" s="113"/>
    </row>
    <row r="48" spans="1:15">
      <c r="A48" s="419" t="s">
        <v>284</v>
      </c>
      <c r="B48" s="420"/>
      <c r="C48" s="420"/>
      <c r="D48" s="420"/>
      <c r="E48" s="420"/>
      <c r="F48" s="420"/>
      <c r="G48" s="421"/>
      <c r="J48" s="413"/>
      <c r="K48" s="115" t="s">
        <v>395</v>
      </c>
      <c r="L48" s="113"/>
      <c r="M48" s="113"/>
      <c r="N48" s="113"/>
      <c r="O48" s="113"/>
    </row>
    <row r="49" spans="1:15">
      <c r="A49" s="403" t="s">
        <v>428</v>
      </c>
      <c r="B49" s="404"/>
      <c r="C49" s="404"/>
      <c r="D49" s="404"/>
      <c r="E49" s="404"/>
      <c r="F49" s="404"/>
      <c r="G49" s="405"/>
      <c r="J49" s="413"/>
      <c r="K49" s="111" t="s">
        <v>396</v>
      </c>
      <c r="L49" s="111" t="e">
        <f>AVERAGE(L37:L48)</f>
        <v>#DIV/0!</v>
      </c>
      <c r="M49" s="111">
        <f>MAX(M37:M48)</f>
        <v>0</v>
      </c>
      <c r="N49" s="111" t="e">
        <f>AVERAGE(N37:N48)</f>
        <v>#DIV/0!</v>
      </c>
      <c r="O49" s="111">
        <f>MAX(O37:O48)</f>
        <v>0</v>
      </c>
    </row>
    <row r="50" spans="1:15">
      <c r="A50" s="416"/>
      <c r="B50" s="417"/>
      <c r="C50" s="417"/>
      <c r="D50" s="417"/>
      <c r="E50" s="417"/>
      <c r="F50" s="417"/>
      <c r="G50" s="418"/>
    </row>
    <row r="51" spans="1:15" ht="41.45">
      <c r="A51" s="416"/>
      <c r="B51" s="417"/>
      <c r="C51" s="417"/>
      <c r="D51" s="417"/>
      <c r="E51" s="417"/>
      <c r="F51" s="417"/>
      <c r="G51" s="418"/>
      <c r="J51" s="110">
        <f>+A6</f>
        <v>2022</v>
      </c>
      <c r="K51" s="110" t="s">
        <v>378</v>
      </c>
      <c r="L51" s="116" t="s">
        <v>373</v>
      </c>
      <c r="M51" s="116" t="s">
        <v>379</v>
      </c>
      <c r="N51" s="116" t="s">
        <v>376</v>
      </c>
      <c r="O51" s="116" t="s">
        <v>380</v>
      </c>
    </row>
    <row r="52" spans="1:15">
      <c r="A52" s="406"/>
      <c r="B52" s="407"/>
      <c r="C52" s="407"/>
      <c r="D52" s="407"/>
      <c r="E52" s="407"/>
      <c r="F52" s="407"/>
      <c r="G52" s="408"/>
      <c r="J52" s="413" t="s">
        <v>299</v>
      </c>
      <c r="K52" s="115" t="s">
        <v>381</v>
      </c>
      <c r="L52" s="113"/>
      <c r="M52" s="113"/>
      <c r="N52" s="113"/>
      <c r="O52" s="113"/>
    </row>
    <row r="53" spans="1:15">
      <c r="J53" s="413"/>
      <c r="K53" s="115" t="s">
        <v>382</v>
      </c>
      <c r="L53" s="113"/>
      <c r="M53" s="113"/>
      <c r="N53" s="113"/>
      <c r="O53" s="113"/>
    </row>
    <row r="54" spans="1:15">
      <c r="J54" s="413"/>
      <c r="K54" s="115" t="s">
        <v>383</v>
      </c>
      <c r="L54" s="113"/>
      <c r="M54" s="113"/>
      <c r="N54" s="113"/>
      <c r="O54" s="113"/>
    </row>
    <row r="55" spans="1:15">
      <c r="J55" s="413"/>
      <c r="K55" s="115" t="s">
        <v>385</v>
      </c>
      <c r="L55" s="113"/>
      <c r="M55" s="113"/>
      <c r="N55" s="113"/>
      <c r="O55" s="113"/>
    </row>
    <row r="56" spans="1:15">
      <c r="J56" s="413"/>
      <c r="K56" s="115" t="s">
        <v>387</v>
      </c>
      <c r="L56" s="113"/>
      <c r="M56" s="113"/>
      <c r="N56" s="113"/>
      <c r="O56" s="113"/>
    </row>
    <row r="57" spans="1:15">
      <c r="J57" s="413"/>
      <c r="K57" s="115" t="s">
        <v>388</v>
      </c>
      <c r="L57" s="113"/>
      <c r="M57" s="113"/>
      <c r="N57" s="113"/>
      <c r="O57" s="113"/>
    </row>
    <row r="58" spans="1:15">
      <c r="J58" s="413"/>
      <c r="K58" s="115" t="s">
        <v>389</v>
      </c>
      <c r="L58" s="113"/>
      <c r="M58" s="113"/>
      <c r="N58" s="113"/>
      <c r="O58" s="113"/>
    </row>
    <row r="59" spans="1:15">
      <c r="J59" s="413"/>
      <c r="K59" s="115" t="s">
        <v>391</v>
      </c>
      <c r="L59" s="113"/>
      <c r="M59" s="113"/>
      <c r="N59" s="113"/>
      <c r="O59" s="113"/>
    </row>
    <row r="60" spans="1:15">
      <c r="J60" s="413"/>
      <c r="K60" s="115" t="s">
        <v>392</v>
      </c>
      <c r="L60" s="113"/>
      <c r="M60" s="113"/>
      <c r="N60" s="113"/>
      <c r="O60" s="113"/>
    </row>
    <row r="61" spans="1:15">
      <c r="J61" s="413"/>
      <c r="K61" s="115" t="s">
        <v>393</v>
      </c>
      <c r="L61" s="113"/>
      <c r="M61" s="113"/>
      <c r="N61" s="113"/>
      <c r="O61" s="113"/>
    </row>
    <row r="62" spans="1:15">
      <c r="J62" s="413"/>
      <c r="K62" s="115" t="s">
        <v>394</v>
      </c>
      <c r="L62" s="113"/>
      <c r="M62" s="113"/>
      <c r="N62" s="113"/>
      <c r="O62" s="113"/>
    </row>
    <row r="63" spans="1:15">
      <c r="J63" s="413"/>
      <c r="K63" s="115" t="s">
        <v>395</v>
      </c>
      <c r="L63" s="113"/>
      <c r="M63" s="113"/>
      <c r="N63" s="113"/>
      <c r="O63" s="113"/>
    </row>
    <row r="64" spans="1:15">
      <c r="J64" s="413"/>
      <c r="K64" s="111" t="s">
        <v>396</v>
      </c>
      <c r="L64" s="111" t="e">
        <f>AVERAGE(L52:L63)</f>
        <v>#DIV/0!</v>
      </c>
      <c r="M64" s="111">
        <f>MAX(M52:M63)</f>
        <v>0</v>
      </c>
      <c r="N64" s="111" t="e">
        <f>AVERAGE(N52:N63)</f>
        <v>#DIV/0!</v>
      </c>
      <c r="O64" s="111">
        <f>MAX(O52:O63)</f>
        <v>0</v>
      </c>
    </row>
    <row r="66" spans="10:15" ht="41.45">
      <c r="J66" s="110">
        <f>+A6</f>
        <v>2022</v>
      </c>
      <c r="K66" s="110" t="s">
        <v>378</v>
      </c>
      <c r="L66" s="116" t="s">
        <v>373</v>
      </c>
      <c r="M66" s="116" t="s">
        <v>379</v>
      </c>
      <c r="N66" s="116" t="s">
        <v>376</v>
      </c>
      <c r="O66" s="116" t="s">
        <v>380</v>
      </c>
    </row>
    <row r="67" spans="10:15">
      <c r="J67" s="413" t="s">
        <v>300</v>
      </c>
      <c r="K67" s="115" t="s">
        <v>381</v>
      </c>
      <c r="L67" s="113"/>
      <c r="M67" s="113"/>
      <c r="N67" s="113"/>
      <c r="O67" s="113"/>
    </row>
    <row r="68" spans="10:15">
      <c r="J68" s="413"/>
      <c r="K68" s="115" t="s">
        <v>382</v>
      </c>
      <c r="L68" s="113"/>
      <c r="M68" s="113"/>
      <c r="N68" s="113"/>
      <c r="O68" s="113"/>
    </row>
    <row r="69" spans="10:15">
      <c r="J69" s="413"/>
      <c r="K69" s="115" t="s">
        <v>383</v>
      </c>
      <c r="L69" s="113"/>
      <c r="M69" s="113"/>
      <c r="N69" s="113"/>
      <c r="O69" s="113"/>
    </row>
    <row r="70" spans="10:15">
      <c r="J70" s="413"/>
      <c r="K70" s="115" t="s">
        <v>385</v>
      </c>
      <c r="L70" s="113"/>
      <c r="M70" s="113"/>
      <c r="N70" s="113"/>
      <c r="O70" s="113"/>
    </row>
    <row r="71" spans="10:15">
      <c r="J71" s="413"/>
      <c r="K71" s="115" t="s">
        <v>387</v>
      </c>
      <c r="L71" s="113"/>
      <c r="M71" s="113"/>
      <c r="N71" s="113"/>
      <c r="O71" s="113"/>
    </row>
    <row r="72" spans="10:15">
      <c r="J72" s="413"/>
      <c r="K72" s="115" t="s">
        <v>388</v>
      </c>
      <c r="L72" s="113"/>
      <c r="M72" s="113"/>
      <c r="N72" s="113"/>
      <c r="O72" s="113"/>
    </row>
    <row r="73" spans="10:15">
      <c r="J73" s="413"/>
      <c r="K73" s="115" t="s">
        <v>389</v>
      </c>
      <c r="L73" s="113"/>
      <c r="M73" s="113"/>
      <c r="N73" s="113"/>
      <c r="O73" s="113"/>
    </row>
    <row r="74" spans="10:15">
      <c r="J74" s="413"/>
      <c r="K74" s="115" t="s">
        <v>391</v>
      </c>
      <c r="L74" s="113"/>
      <c r="M74" s="113"/>
      <c r="N74" s="113"/>
      <c r="O74" s="113"/>
    </row>
    <row r="75" spans="10:15">
      <c r="J75" s="413"/>
      <c r="K75" s="115" t="s">
        <v>392</v>
      </c>
      <c r="L75" s="113"/>
      <c r="M75" s="113"/>
      <c r="N75" s="113"/>
      <c r="O75" s="113"/>
    </row>
    <row r="76" spans="10:15">
      <c r="J76" s="413"/>
      <c r="K76" s="115" t="s">
        <v>393</v>
      </c>
      <c r="L76" s="113"/>
      <c r="M76" s="113"/>
      <c r="N76" s="113"/>
      <c r="O76" s="113"/>
    </row>
    <row r="77" spans="10:15">
      <c r="J77" s="413"/>
      <c r="K77" s="115" t="s">
        <v>394</v>
      </c>
      <c r="L77" s="113"/>
      <c r="M77" s="113"/>
      <c r="N77" s="113"/>
      <c r="O77" s="113"/>
    </row>
    <row r="78" spans="10:15">
      <c r="J78" s="413"/>
      <c r="K78" s="115" t="s">
        <v>395</v>
      </c>
      <c r="L78" s="113"/>
      <c r="M78" s="113"/>
      <c r="N78" s="113"/>
      <c r="O78" s="113"/>
    </row>
    <row r="79" spans="10:15">
      <c r="J79" s="413"/>
      <c r="K79" s="111" t="s">
        <v>396</v>
      </c>
      <c r="L79" s="111" t="e">
        <f>AVERAGE(L67:L78)</f>
        <v>#DIV/0!</v>
      </c>
      <c r="M79" s="111">
        <f>MAX(M67:M78)</f>
        <v>0</v>
      </c>
      <c r="N79" s="111" t="e">
        <f>AVERAGE(N67:N78)</f>
        <v>#DIV/0!</v>
      </c>
      <c r="O79" s="11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d1117845-93f6-4da3-abaa-fcb4fa669c78" ContentTypeId="0x010100A5BF1C78D9F64B679A5EBDE1C6598EBC01"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Props1.xml><?xml version="1.0" encoding="utf-8"?>
<ds:datastoreItem xmlns:ds="http://schemas.openxmlformats.org/officeDocument/2006/customXml" ds:itemID="{F1AC1625-76DB-4D64-B108-31F3621BD8CD}"/>
</file>

<file path=customXml/itemProps2.xml><?xml version="1.0" encoding="utf-8"?>
<ds:datastoreItem xmlns:ds="http://schemas.openxmlformats.org/officeDocument/2006/customXml" ds:itemID="{E0352B59-6069-4E0E-AAE1-C1013DCB187E}"/>
</file>

<file path=customXml/itemProps3.xml><?xml version="1.0" encoding="utf-8"?>
<ds:datastoreItem xmlns:ds="http://schemas.openxmlformats.org/officeDocument/2006/customXml" ds:itemID="{130E79B3-286C-4594-AC93-4243D3FE78E7}"/>
</file>

<file path=customXml/itemProps4.xml><?xml version="1.0" encoding="utf-8"?>
<ds:datastoreItem xmlns:ds="http://schemas.openxmlformats.org/officeDocument/2006/customXml" ds:itemID="{03A65312-EDD8-4ED5-85CD-21EC9D2BFEF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D'Avilar, Emma</cp:lastModifiedBy>
  <cp:revision/>
  <dcterms:created xsi:type="dcterms:W3CDTF">2019-04-02T06:44:55Z</dcterms:created>
  <dcterms:modified xsi:type="dcterms:W3CDTF">2023-04-24T04:16:11Z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_ExtendedDescription">
    <vt:lpwstr/>
  </property>
  <property fmtid="{D5CDD505-2E9C-101B-9397-08002B2CF9AE}" pid="4" name="PermitDocumentType">
    <vt:lpwstr/>
  </property>
  <property fmtid="{D5CDD505-2E9C-101B-9397-08002B2CF9AE}" pid="5" name="MediaServiceImageTags">
    <vt:lpwstr/>
  </property>
  <property fmtid="{D5CDD505-2E9C-101B-9397-08002B2CF9AE}" pid="6" name="TypeofPermit">
    <vt:lpwstr>9;#N/A - Do not select for New Permits|0430e4c2-ee0a-4b2d-9af6-df735aafbcb2</vt:lpwstr>
  </property>
  <property fmtid="{D5CDD505-2E9C-101B-9397-08002B2CF9AE}" pid="7" name="DisclosureStatus">
    <vt:lpwstr/>
  </property>
  <property fmtid="{D5CDD505-2E9C-101B-9397-08002B2CF9AE}" pid="8" name="RegulatedActivitySub-Class">
    <vt:lpwstr/>
  </property>
  <property fmtid="{D5CDD505-2E9C-101B-9397-08002B2CF9AE}" pid="9" name="EventType1">
    <vt:lpwstr/>
  </property>
  <property fmtid="{D5CDD505-2E9C-101B-9397-08002B2CF9AE}" pid="10" name="ActivityGrouping">
    <vt:lpwstr>17;#Monitoring|7ad1f883-cac7-47a5-b349-4ff3f6b79b75</vt:lpwstr>
  </property>
  <property fmtid="{D5CDD505-2E9C-101B-9397-08002B2CF9AE}" pid="11" name="RegulatedActivityClass">
    <vt:lpwstr>38;#Installations|645f1c9c-65df-490a-9ce3-4a2aa7c5ff7f</vt:lpwstr>
  </property>
  <property fmtid="{D5CDD505-2E9C-101B-9397-08002B2CF9AE}" pid="12" name="Catchment">
    <vt:lpwstr/>
  </property>
  <property fmtid="{D5CDD505-2E9C-101B-9397-08002B2CF9AE}" pid="13" name="MajorProjectID">
    <vt:lpwstr/>
  </property>
  <property fmtid="{D5CDD505-2E9C-101B-9397-08002B2CF9AE}" pid="14" name="StandardRulesID">
    <vt:lpwstr/>
  </property>
  <property fmtid="{D5CDD505-2E9C-101B-9397-08002B2CF9AE}" pid="15" name="CessationStatus">
    <vt:lpwstr/>
  </property>
  <property fmtid="{D5CDD505-2E9C-101B-9397-08002B2CF9AE}" pid="16" name="Regime">
    <vt:lpwstr>10;#EPR|0e5af97d-1a8c-4d8f-a20b-528a11cab1f6</vt:lpwstr>
  </property>
  <property fmtid="{D5CDD505-2E9C-101B-9397-08002B2CF9AE}" pid="17" name="InformationType">
    <vt:lpwstr/>
  </property>
  <property fmtid="{D5CDD505-2E9C-101B-9397-08002B2CF9AE}" pid="18" name="Distribution">
    <vt:lpwstr>9;#Internal EA|b77da37e-7166-4741-8c12-4679faab22d9</vt:lpwstr>
  </property>
  <property fmtid="{D5CDD505-2E9C-101B-9397-08002B2CF9AE}" pid="19" name="HOCopyrightLevel">
    <vt:lpwstr>7;#Crown|69589897-2828-4761-976e-717fd8e631c9</vt:lpwstr>
  </property>
  <property fmtid="{D5CDD505-2E9C-101B-9397-08002B2CF9AE}" pid="20" name="HOGovernmentSecurityClassification">
    <vt:lpwstr>6;#Official|14c80daa-741b-422c-9722-f71693c9ede4</vt:lpwstr>
  </property>
  <property fmtid="{D5CDD505-2E9C-101B-9397-08002B2CF9AE}" pid="21" name="OrganisationalUnit">
    <vt:lpwstr>8;#EA|d5f78ddb-b1b6-4328-9877-d7e3ed06fdac</vt:lpwstr>
  </property>
  <property fmtid="{D5CDD505-2E9C-101B-9397-08002B2CF9AE}" pid="22" name="HOSiteType">
    <vt:lpwstr>10;#Community|144ac7d7-0b9a-42f9-9385-2935294b6de3</vt:lpwstr>
  </property>
</Properties>
</file>