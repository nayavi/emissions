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2.bin" ContentType="application/vnd.openxmlformats-officedocument.oleObject"/>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Kent &amp; South London/"/>
    </mc:Choice>
  </mc:AlternateContent>
  <xr:revisionPtr revIDLastSave="1" documentId="13_ncr:1_{851D26A8-F877-4376-A080-9BBF1A596136}" xr6:coauthVersionLast="47" xr6:coauthVersionMax="47" xr10:uidLastSave="{29720831-2EDF-4FA2-8271-160198FC844C}"/>
  <bookViews>
    <workbookView xWindow="-108" yWindow="-108" windowWidth="23256" windowHeight="12576" tabRatio="948"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95% 10 min" sheetId="30" r:id="rId21"/>
    <sheet name="NH3" sheetId="31" r:id="rId22"/>
  </sheets>
  <definedNames>
    <definedName name="_xlnm.Print_Area" localSheetId="14">'Air (CEMS)'!$A$1:$M$30</definedName>
    <definedName name="_xlnm.Print_Area" localSheetId="13">'Air (periodic)'!$A$1:$J$43</definedName>
    <definedName name="_xlnm.Print_Area" localSheetId="20">'CO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Info'!$A$1:$I$46</definedName>
    <definedName name="_xlnm.Print_Area" localSheetId="15">HCl!$A$1:$G$52</definedName>
    <definedName name="_xlnm.Print_Area" localSheetId="8">Improvements!$A$1:$I$29</definedName>
    <definedName name="_xlnm.Print_Area" localSheetId="21">'NH3'!$A$1:$G$52</definedName>
    <definedName name="_xlnm.Print_Area" localSheetId="17">NOx!$A$1:$G$52</definedName>
    <definedName name="_xlnm.Print_Area" localSheetId="3">'Operational Data'!$A$1:$H$63</definedName>
    <definedName name="_xlnm.Print_Area" localSheetId="4">'Operational Summary'!$A$1:$I$52</definedName>
    <definedName name="_xlnm.Print_Area" localSheetId="19">Particulates!$A$1:$G$52</definedName>
    <definedName name="_xlnm.Print_Area" localSheetId="5">'Perf. Form 1'!$A$1:$J$61</definedName>
    <definedName name="_xlnm.Print_Area" localSheetId="7">'Permit Compliance'!$A$1:$J$60</definedName>
    <definedName name="_xlnm.Print_Area" localSheetId="9">'Public Liasion'!$A$1:$I$27</definedName>
    <definedName name="_xlnm.Print_Area" localSheetId="11">'Residue Quality '!$A$1:$G$37</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9" i="13" l="1"/>
  <c r="O19" i="26"/>
  <c r="L19" i="26" l="1"/>
  <c r="M19" i="26"/>
  <c r="N19" i="26"/>
  <c r="H16" i="6" l="1"/>
  <c r="H17" i="6"/>
  <c r="E41" i="7" l="1"/>
  <c r="G54" i="6" l="1"/>
  <c r="H54" i="6" s="1"/>
  <c r="G55" i="6"/>
  <c r="H55" i="6" s="1"/>
  <c r="G56" i="6"/>
  <c r="H56" i="6" s="1"/>
  <c r="H49" i="6" l="1"/>
  <c r="C28" i="6" l="1"/>
  <c r="D28" i="6"/>
  <c r="E28" i="6"/>
  <c r="F28" i="6"/>
  <c r="G24" i="6"/>
  <c r="G25" i="6"/>
  <c r="G26" i="6"/>
  <c r="G27" i="6"/>
  <c r="C1" i="32" l="1"/>
  <c r="A1" i="32"/>
  <c r="I19" i="7" l="1"/>
  <c r="I20" i="7"/>
  <c r="I21" i="7"/>
  <c r="I22" i="7"/>
  <c r="I18" i="7"/>
  <c r="I12" i="7"/>
  <c r="I13" i="7"/>
  <c r="I14" i="7"/>
  <c r="I11" i="7"/>
  <c r="C18" i="6" l="1"/>
  <c r="H59" i="6" l="1"/>
  <c r="G13" i="6" l="1"/>
  <c r="H13" i="6" s="1"/>
  <c r="G45" i="6"/>
  <c r="E37" i="7" s="1"/>
  <c r="J3" i="31" l="1"/>
  <c r="J3" i="30"/>
  <c r="J3" i="28"/>
  <c r="J3" i="27"/>
  <c r="J3" i="26"/>
  <c r="J3" i="25"/>
  <c r="J3" i="13"/>
  <c r="G58" i="6" l="1"/>
  <c r="H58" i="6" s="1"/>
  <c r="G63" i="6"/>
  <c r="G62" i="6"/>
  <c r="H62" i="6" s="1"/>
  <c r="G61" i="6"/>
  <c r="G59" i="6"/>
  <c r="G57" i="6" l="1"/>
  <c r="H57" i="6" s="1"/>
  <c r="D18" i="6"/>
  <c r="E18" i="6"/>
  <c r="F18" i="6"/>
  <c r="G21" i="6" l="1"/>
  <c r="E1" i="31"/>
  <c r="A1" i="31"/>
  <c r="E1" i="30"/>
  <c r="A1" i="30"/>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L49" i="13"/>
  <c r="O34" i="13"/>
  <c r="N34" i="13"/>
  <c r="M34" i="13"/>
  <c r="L34" i="13"/>
  <c r="O19" i="13"/>
  <c r="N19" i="13"/>
  <c r="M19" i="13"/>
  <c r="L19" i="13"/>
  <c r="A6" i="13"/>
  <c r="J66" i="13" s="1"/>
  <c r="H34" i="7" l="1"/>
  <c r="H37" i="7"/>
  <c r="H45" i="6"/>
  <c r="J36" i="27"/>
  <c r="J66" i="31"/>
  <c r="J21" i="28"/>
  <c r="J21" i="27"/>
  <c r="J21" i="26"/>
  <c r="J21" i="25"/>
  <c r="J36" i="13"/>
  <c r="J51" i="13"/>
  <c r="J21" i="13"/>
  <c r="J6" i="13"/>
  <c r="J21" i="31"/>
  <c r="J6" i="31"/>
  <c r="J36" i="31"/>
  <c r="K6" i="30"/>
  <c r="K36" i="30"/>
  <c r="K51" i="30"/>
  <c r="K21" i="30"/>
  <c r="J36" i="28"/>
  <c r="J51" i="28"/>
  <c r="J6" i="28"/>
  <c r="J51" i="27"/>
  <c r="J6" i="27"/>
  <c r="J51" i="26"/>
  <c r="J36" i="26"/>
  <c r="J6" i="26"/>
  <c r="J36" i="25"/>
  <c r="J51" i="25"/>
  <c r="J6" i="25"/>
  <c r="G7" i="8"/>
  <c r="D7" i="8"/>
  <c r="B5" i="8"/>
  <c r="A3" i="8"/>
  <c r="A1" i="8"/>
  <c r="G23" i="7"/>
  <c r="E23" i="7"/>
  <c r="G15" i="7"/>
  <c r="E15" i="7"/>
  <c r="B4" i="7"/>
  <c r="A3" i="7"/>
  <c r="A1" i="7"/>
  <c r="A8" i="7" s="1"/>
  <c r="H63" i="6"/>
  <c r="H61" i="6"/>
  <c r="G51" i="6"/>
  <c r="G50" i="6"/>
  <c r="G48" i="6"/>
  <c r="G47" i="6"/>
  <c r="G46" i="6"/>
  <c r="G44" i="6"/>
  <c r="G43" i="6"/>
  <c r="G42" i="6"/>
  <c r="G39" i="6"/>
  <c r="H39" i="6" s="1"/>
  <c r="G38" i="6"/>
  <c r="H38" i="6" s="1"/>
  <c r="G37" i="6"/>
  <c r="H37" i="6" s="1"/>
  <c r="G36" i="6"/>
  <c r="H36" i="6" s="1"/>
  <c r="G35" i="6"/>
  <c r="H35" i="6" s="1"/>
  <c r="G34" i="6"/>
  <c r="H34" i="6" s="1"/>
  <c r="G30" i="6"/>
  <c r="G29" i="6"/>
  <c r="H29" i="6" s="1"/>
  <c r="H26" i="6"/>
  <c r="H24" i="6"/>
  <c r="G20" i="6"/>
  <c r="H20" i="6" s="1"/>
  <c r="G15" i="6"/>
  <c r="G14" i="6"/>
  <c r="G12" i="6"/>
  <c r="H12" i="6" s="1"/>
  <c r="G11" i="6"/>
  <c r="G10" i="6"/>
  <c r="G9" i="6"/>
  <c r="G8" i="6"/>
  <c r="H46" i="6" l="1"/>
  <c r="E38" i="7"/>
  <c r="H38" i="7" s="1"/>
  <c r="H43" i="6"/>
  <c r="E35" i="7"/>
  <c r="H35" i="7" s="1"/>
  <c r="H44" i="6"/>
  <c r="E36" i="7"/>
  <c r="H36" i="7" s="1"/>
  <c r="H47" i="6"/>
  <c r="E39" i="7"/>
  <c r="H39" i="7" s="1"/>
  <c r="H50" i="6"/>
  <c r="E42" i="7"/>
  <c r="H51" i="6"/>
  <c r="E43" i="7"/>
  <c r="H43" i="7" s="1"/>
  <c r="H48" i="6"/>
  <c r="E40" i="7"/>
  <c r="H40" i="7" s="1"/>
  <c r="I15" i="7"/>
  <c r="H42" i="6"/>
  <c r="E33" i="7"/>
  <c r="H33" i="7" s="1"/>
  <c r="D11" i="8"/>
  <c r="H27" i="6"/>
  <c r="D14" i="8"/>
  <c r="H30" i="6"/>
  <c r="I23" i="7"/>
  <c r="D12" i="8"/>
  <c r="H25" i="6"/>
  <c r="H41" i="7"/>
  <c r="H42" i="7"/>
  <c r="G24" i="7"/>
  <c r="G18" i="6"/>
  <c r="H21" i="6" s="1"/>
  <c r="G28" i="6"/>
  <c r="E24" i="7"/>
  <c r="D10" i="8"/>
  <c r="G10" i="8"/>
  <c r="A31" i="7"/>
  <c r="A49" i="7" s="1"/>
  <c r="H15" i="6" l="1"/>
  <c r="I24" i="7"/>
  <c r="H8" i="6"/>
  <c r="H19" i="6"/>
  <c r="H10" i="6"/>
  <c r="G11" i="8"/>
  <c r="G12" i="8"/>
  <c r="H14" i="6"/>
  <c r="G14" i="8"/>
  <c r="H11" i="6"/>
  <c r="H9" i="6"/>
</calcChain>
</file>

<file path=xl/sharedStrings.xml><?xml version="1.0" encoding="utf-8"?>
<sst xmlns="http://schemas.openxmlformats.org/spreadsheetml/2006/main" count="1744" uniqueCount="495">
  <si>
    <t>Add company logo</t>
  </si>
  <si>
    <t>Version 22.3  30/11/22</t>
  </si>
  <si>
    <t>Add photo</t>
  </si>
  <si>
    <t>Notes:</t>
  </si>
  <si>
    <t>This template may require adjustments by individual operators to meet specific reporting requirements as defined in the site Permit(s)</t>
  </si>
  <si>
    <t>Annual Performance Report 2022</t>
  </si>
  <si>
    <t>Permit EPR/BR4551IC</t>
  </si>
  <si>
    <t>Kent Enviropower Limited</t>
  </si>
  <si>
    <t>Allington Incinerator, Allington Quarry</t>
  </si>
  <si>
    <t>Year:</t>
  </si>
  <si>
    <t>Address:</t>
  </si>
  <si>
    <t>Laverstoke Road, Allington, Maidstone, Kent. ME16 0LE</t>
  </si>
  <si>
    <t xml:space="preserve">Tel: </t>
  </si>
  <si>
    <t>0844 736 9990</t>
  </si>
  <si>
    <t xml:space="preserve">Email: </t>
  </si>
  <si>
    <t>Prepared by:</t>
  </si>
  <si>
    <t>Trevor Ellis</t>
  </si>
  <si>
    <t>Position:</t>
  </si>
  <si>
    <t>Environment Manager</t>
  </si>
  <si>
    <t>Approved by:</t>
  </si>
  <si>
    <t>Tony Stanbridge</t>
  </si>
  <si>
    <t>General Manager</t>
  </si>
  <si>
    <t>Version:</t>
  </si>
  <si>
    <t>Issue Date:</t>
  </si>
  <si>
    <t>31st January 2023</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</si>
  <si>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</si>
  <si>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</si>
  <si>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</si>
  <si>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</si>
  <si>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</si>
  <si>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</si>
  <si>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</si>
  <si>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</si>
  <si>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</si>
  <si>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</si>
  <si>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</si>
  <si>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</si>
  <si>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</si>
  <si>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</si>
  <si>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</si>
  <si>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</si>
  <si>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</si>
  <si>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</si>
  <si>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</si>
  <si>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</si>
  <si>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</si>
  <si>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</si>
  <si>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</si>
  <si>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</si>
  <si>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</si>
  <si>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</si>
  <si>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</si>
  <si>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</si>
  <si>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</si>
  <si>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</si>
  <si>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</si>
  <si>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</si>
  <si>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</si>
  <si>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</si>
  <si>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</si>
  <si>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Installation Description
The Installation receives non hazardous municipal and industrial waste, recovers recyclable elements for reuse and eliminates the combustible element of the residue by burning in a fluidised bed furnace.  Energy is recovered from the process and converted to electricity in place of non-renewable fossil fuels. The combustion gases are cleaned to meet the standards required by the Directive before discharge from a tall chimney. Ashes and other solid residues are removed from the installation.
The Installation covers the site and the entire EfW plant including all EfW lines, waste reception, storage, on-site pre-treatment facilities, water, fuel and air supply systems, boiler, facilities for the treatment of exhaust gases, on-site facilities for treatment or storage of residues and waste water, stack, devices and systems for controlling combustion operations, recording and monitoring conditions.
The Installation has a design throughput of approx 580,000 tonnes per annum with an EfW capacity approx 560,000 tonnes per annum. The transfer loading station receives food waste and clean source separated recyclables which it reloads for onward transport and recovery.  There is a single waste reception followed by three independent waste treatment lines each complete with a heat recovery boiler, acid gas abatement, bag filter and a separate flue in the chimney. The heat produced from the combustion of the waste is used to generate steam in the boilers and the steam is then combined and passed to a steam turbine which generates approx 34.5 MW of electrical energy for export to the National Grid.</t>
  </si>
  <si>
    <t xml:space="preserve">Include summary of plant design, design capacity, no. of combustion lines, electrical and heat capacity and any other general information that descibes the facility, its location and purpose </t>
  </si>
  <si>
    <t>Summary of Operational Processes and Procedures</t>
  </si>
  <si>
    <t xml:space="preserve">Raw Materials
Waste is delivered to the plant in road vehicles which are weighed before proceeding to the tipping
hall. This is a fully enclosed building, maintained under slight negative pressure to ensure that no
odours, dust or litter can escape the building. The vehicles carry either unsorted mixed municipal
waste, sorted waste for recycling or mixed recyclable waste and non recyclable waste and each tip
into the appropriate section of the tipping hall.
The unsorted mixed waste (black bag) is transferred by crane grab to a waste shredding line, it then
moves forward through a metals extraction section where ferrous metals are removed for recycling
before moving to the prepared fuel bunker.
The facility also operates as a waste transfer site. It receives clean mixed recyclates and food wastes
collected in the community and loads them in bulk onto their designated transport vehicles for transport
off site for recovery.
A crane grab in the prepared fuel bunker both mixes the waste and charges the hoppers of the three
incineration lines.
Hydrated lime for the flue gas cleaning process is delivered by bulk tanker and offloaded pneumatically
into three 125m3 silos vented through a reverse pulse jet filter.
Activated carbon for the flue gas cleaning process is stored in dedicated silos that are pneumatically
filled from delivery trucks. There are three silos, one for each line, each equipped with filters to prevent
dust emissions during filling.
Urea, dissolved in water is stored in a fully bunded tank and is injected into the furnaces as necessary
to control NOx emissions.
Caustic soda for water treatment resin regeneration is delivered by bulk tanker and offloaded into a
5.5 m3 tank with scrubber, inside the demineralisation area.
Hydrochloric acid for water treatment resin regeneration is delivered by bulk tanker and offloaded into
a 5.5 m3 tank vented through the caustic soda scrubber in a bund outside the demineralisation area.
Various other water treatment chemicals are delivered in appropriate containers and stored in bunded
areas.
Gas oil for the combustion chamber burners and on-site vehicles is stored in a fully bunded 150 m3
tank.
Sand for the fluidised bed furnaces is stored in 3 silos each of 55 cubic meters capacity.
Various maintenance materials (oils, greases, insulants, antifreezes, welding and fire fighting gases
etc.) are stored in the appropriate manner.
                                                                                                                                                                                                                                                                                                                                                                                                                                                                                         Combustion Process:-  The technology employed for incineration is the ROWITEC unit which uses a fluidised bed process.
The design has an inclined air distributor plate with a number of separate air supply chambers providing
differential air flows across the bed, causing a revolving action. This technique promotes rapid and
uniform mixing of the sand and bottom ash and ensures that heavy inert and non-combustible material
migrates to the sides of the bed where they can easily be removed.
An angled furnace wall above the fluidised bed zone restrains bed expansion under high fluidising air
flows and so minimises particulate carry over. The elliptical patterns of air flow converge in the centre
of the combustion area ensuring effective vertical and lateral turbulent mixing and high combustion
efficiency and uniformity.
The waste is burned on a bed consisting of sand and ash that is held in suspension by an upward flow
of combustion air that circulates the combustion mixture up to the throat of the furnace.
The furnace operating design is based on a thermal capacity of 53.8MW at full load and this can be
achieved over the typical range of waste calorific values expected with municipal waste.
The combustion air system provides the furnace with the total air requirements for fluidisation and
combustion. Primary air is supplied to the bottom of the combustion chamber and fluidises the bed.
This air is extracted from the waste reception and storage buildings and destroys all odours in the
combustion chamber.
Each furnace is equipped with two fuel oil burners for use at start-up to heat the furnace and also
during extreme reductions in waste fuel calorific value when the temperature of the furnace would
otherwise fall below 850 degrees Centigrade.
Combustion control of the furnace will be achieved through a combination of furnace bed and freeboard
temperature control, primary air flow control, oxygen control within the flue gas and furnace load.
Recirculated flue gas is fed to the furnace bed as a cooling medium to control the furnace bed
temperature and also to assist the control of NOx by influencing the combustion temperature conditions
within the furnace.
The furnace bed is managed to remove non-combustible material (bottom ash) from the bed and
maintain the sand level within the optimum operating range. Bottom ashes produced in the furnace
together with sand migrate down the slope of the furnace to the discharge section located at each side
of the bed. The bottom ash and sand are both withdrawn from the discharge sections of the bed by
two water-cooled discharge screw conveyors. Material passing out of the screw conveyors is
discharged to a vibrating screen. Undersize material is returned to the sand hopper for re-use within
the furnace while the oversized material is sent off site for recovery or re-use or landfill.
</t>
  </si>
  <si>
    <t>Include summary of key processes and procedures such as (but not limited to); waste reception, control rooms, grate, bed and bolier, energy &amp; heat  generation, cooling systems, residue management, emission controls, health and safety systems, maintenance</t>
  </si>
  <si>
    <t xml:space="preserve">
Energy Recovery
Hot gases from the furnace pass through to a boiler designed to generate steam. The boiler comprises
two fully water cooled radiation chambers, a single pass horizontal plain tube convective heating
surface, incorporating a three stage convective superheater unit and a plain tube economiser section.
The economiser is designed for high velocity gas flow to minimise the reformation of dioxins in the
critical de Novo synthesis range.
Steam is generated at 65 bar and a final temperature of 420 degrees Centigrade.
The high pressure steam from all three boilers feeds into a common header which in turn will feed a
condensing steam turbine that will generate electricity. Steam exiting the turbine will be condensed in
an air cooled condenser and the condensate returned to the boilers.
Gas Cleaning
The plant is designed to meet the requirements of the Industrial Emissions Directive as a minimum for
releases to air by a combination of main process design and operation and abatement equipment.
Flue gases pass from the boiler to the gas cleaning equipment. The gas passes to an electrostatic
precipitator (ESP) for the separation of ash carried over from the furnace with the flue gas. Material
collected in the ESP will be discharged by means of rotary valves and chain conveyors and then
pneumatically fed to the ash silos or re-injected into the flue gas cleaning system.
Gases leaving the ESP enter the gas cleaning system. This comprises a circo clean reactor and bag
filter system. Gases entering the circo clean reactor will be at a temperature of 190 to 230 degrees C
and will come into contact with a mixture of water, hydrated lime and activated carbon that have been
injected into the reactor. The reactor is designed to reduce or remove acidic pollutants such as HCl,
SO2 and HF by the use of the hydrated lime and dioxins and furans, PCBs, PAHs, mercury vapour and
heavy metal salts such as mercury chloride by the use of the activated carbon. The injected water enhances the reactions and cools the gas. The control system of the circo clean reactor optimises the
use of reactants by balancing the feed rate with the concentration of the pollutants entering the circo
clean reactor.
The final stage of the gas cleaning system is the bag filter unit which separates the particulate material
from the flue gas. The baghouse filter consists of compartments each of which contains a number of
tubular filter bags. A thick porous layer of particulate builds on the bag surfaces to form a filter cake
which efficiently removes ultra fine particles from the gas stream and the excess lime continues to
react with the acid gases.
Bag house residue is discharged from the compartments via the integrated buffer storage by a closed
pneumatic conveying system into the reaction product silos. Silos are equipped with a filter, hopper
heating and fluidisation system to assist discharge. The residue is then discharged directly into road
vehicles under dust free conditions for transport off site to a licensed facility.
Nitrogen oxides (NOx) abatement is achieved by the use of both flue gas recirculation (FGR) and
selective non-catalytic reduction (SNCR). The SNCR is based on the injection of urea into the furnace
chambers before the boilers and before the lime and carbon injection and before the gas passes to
bag filters.
The cleaned gas then discharges to atmosphere via three 80-metre flues in a common stack at an
efflux velocity in excess of 15 ms-1 at maximum throughput.
Ancillary Operations
Demineralised water is required to compensate for boiler blowdown losses. A package
demineralisation plant provides this water. The ion exchange resins are regenerated using sodium
hydroxide and hydrochloric acid and the regeneration effluent is routed through a neutralisation tank
to the collection pit for reuse where possible.
Ash Handling
Bottom ash, the combined boiler and ESP ash and the flue gas treatment residue (FGTR) from the
bag filter system, are each sent for separate disposal off site by licensed contractors subject to waste
licensing legislation. FGTR is not mixed with any other ash at any time. The bottom ash is likely to be
subject to ferrous and non ferrous metals extraction by the contractors before disposal or reuse. All
operations will be subject to waste licensing legislation and be tracked by the Environment Agency. At
least quarterly sampling of the bottom ash will be carried out to ensure effective burn out is being
achieved by testing for the “loss on ignition” of the residual ash. All other solid waste residues arising
from the operation of the process will be removed from site, in enclosed containers, for disposal by
suitable contractors.
Liquid Effluent and Site Drainage
Uncontaminated surface water from the roads and parking area that is not reused within the process
will be discharged to sewer.
</t>
  </si>
  <si>
    <t xml:space="preserve">Emissions Monitoring
Emissions from the stack are continuously monitored for: particulate, carbon monoxide (CO), ammonia
(NH3), sulphur dioxide (SO2), hydrogen chloride (HCl), oxygen (O2), nitrogen oxides (NOx) and volatile
organic compounds (VOC). In addition periodic sampling and measurement will be carried out for
metals cadmium (Cd), thallium (Tl), mercury (Hg), antimony (Sb), arsenic (As), lead (Pb), chromium
(Cr), cobalt (Co), copper (Cu), manganese (Mn), nickel (Ni), vanadium (V), dioxins and furans, dioxin
like PCBs, hydrogen fluoride (HF) and nitrous oxide (N2O). Periodic measurements will be carried out
four times in the first year and thereafter either at the same frequency or twice per year dependant on
the substances.
</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</si>
  <si>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</si>
  <si>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</si>
  <si>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</si>
  <si>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</si>
  <si>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</si>
  <si>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</si>
  <si>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</si>
  <si>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</si>
  <si>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</si>
  <si>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</si>
  <si>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</si>
  <si>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</si>
  <si>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</si>
  <si>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</si>
  <si>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</si>
  <si>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</si>
  <si>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</si>
  <si>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</si>
  <si>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</si>
  <si>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</si>
  <si>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</si>
  <si>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</si>
  <si>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</si>
  <si>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</si>
  <si>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</si>
  <si>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</si>
  <si>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Food waste</t>
  </si>
  <si>
    <t>Recyclates waste</t>
  </si>
  <si>
    <t>Card/Paper</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</si>
  <si>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</si>
  <si>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</si>
  <si>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</si>
  <si>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</si>
  <si>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</si>
  <si>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</si>
  <si>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</si>
  <si>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</si>
  <si>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</si>
  <si>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</si>
  <si>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</si>
  <si>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</si>
  <si>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</si>
  <si>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</si>
  <si>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</si>
  <si>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</si>
  <si>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</si>
  <si>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 (including FGT, Boiler and ESP ash)</t>
  </si>
  <si>
    <t>IBA - produced</t>
  </si>
  <si>
    <t>Metals recycling</t>
  </si>
  <si>
    <t>Other</t>
  </si>
  <si>
    <t>Raw Material Usage</t>
  </si>
  <si>
    <t>kg or Ltr /te</t>
  </si>
  <si>
    <t>Mains Water</t>
  </si>
  <si>
    <t>ltrs</t>
  </si>
  <si>
    <t>Lime / hydrated lime</t>
  </si>
  <si>
    <t>kgs</t>
  </si>
  <si>
    <t>Urea</t>
  </si>
  <si>
    <t>Activated carbon</t>
  </si>
  <si>
    <t>Caustic Soda</t>
  </si>
  <si>
    <t>Hydrochloric Acid</t>
  </si>
  <si>
    <t>Sand</t>
  </si>
  <si>
    <t>Ammonia</t>
  </si>
  <si>
    <t>Salt</t>
  </si>
  <si>
    <t>Fuel oil</t>
  </si>
  <si>
    <t xml:space="preserve">Summary </t>
  </si>
  <si>
    <t>Line/Unit</t>
  </si>
  <si>
    <t xml:space="preserve">Hrs in year </t>
  </si>
  <si>
    <t>Availability of waste combustion by line, hrs</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</si>
  <si>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</si>
  <si>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</si>
  <si>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</si>
  <si>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</si>
  <si>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</si>
  <si>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</si>
  <si>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</si>
  <si>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</si>
  <si>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</si>
  <si>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</si>
  <si>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</si>
  <si>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</si>
  <si>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 xml:space="preserve">Line 3 and Line 2 underwent planned maintenance outages in March and April, with particular focus in the following areas:
-	Furnace refractory inspection and repair/replacement
-	Boiler cleaning and inspection using non-destructive testing
-	Inconel weld overlay of boiler tube to protect against corrosion from flue gas
-	Inspection and overhaul of 120+ valves to improve efficiency
-	Replacement of sand screw cooling systems
-	Dry-ice cleaning of Electrostatic Precipitators to improve efficiency
-	Inspection and replacement of residue ash hopper walls where thin
-	Inspection and cleaning of electrical system components
For a period of 9 days the entire site was shut down and fed via generators to enable 3 yearly maintenance of common plant systems, including:
-	High voltage electrical equipment inspection and testing
-	Statutory inspection of pressure systems including safety valves
-	Inspection of the chimney
-	Upgrade of fuel preparation conveyors </t>
  </si>
  <si>
    <t xml:space="preserve">Include summary of key operational and/or mainteanance activity undertaken in the year, such as any major component upgrades and/or replacements </t>
  </si>
  <si>
    <t>Summary of Residue Handling for the reporting year</t>
  </si>
  <si>
    <t xml:space="preserve">Bottom ash, the combined boiler and ESP ash and the flue gas treatment residue (FGTR) from the
bag filter system, are each sent for separate disposal off site by licensed contractors subject to waste
licensing legislation. FGTR is not mixed with any other ash at any time. The bottom ash is likely to be
subject to ferrous and non ferrous metals extraction.
IBA is subject to hazardous assessment twice a month and approx. 42 vehicles are sent off site every week for recovery.
The APC residues are tested quarterly and approx. 35 tankers are sent off site every week. </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</si>
  <si>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</si>
  <si>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</si>
  <si>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</si>
  <si>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</si>
  <si>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</si>
  <si>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</si>
  <si>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</si>
  <si>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</si>
  <si>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</si>
  <si>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</si>
  <si>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</si>
  <si>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</si>
  <si>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</si>
  <si>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</si>
  <si>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</si>
  <si>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 (including FGT, Boiler and ESP ash)</t>
  </si>
  <si>
    <t>Landfill</t>
  </si>
  <si>
    <t>Recycling</t>
  </si>
  <si>
    <t>Total Hazardous Waste</t>
  </si>
  <si>
    <t>2) Non-Hazardous Wastes</t>
  </si>
  <si>
    <t>IBA</t>
  </si>
  <si>
    <t>Ferrous Metal</t>
  </si>
  <si>
    <t>Total Non-Hazardous Waste</t>
  </si>
  <si>
    <t>TOTAL WASTE</t>
  </si>
  <si>
    <t>Operator’s comments :</t>
  </si>
  <si>
    <t>In 2021 APCr was sent primarily to landfill. During 2022 there has been a significant shift and APCr is now primarily recycled.</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</si>
  <si>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</si>
  <si>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</si>
  <si>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</si>
  <si>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</si>
  <si>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</si>
  <si>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</si>
  <si>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</si>
  <si>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kg/te</t>
  </si>
  <si>
    <t>ltrs/te</t>
  </si>
  <si>
    <t>No comments for this section.</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</si>
  <si>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</si>
  <si>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</si>
  <si>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</si>
  <si>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</si>
  <si>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</si>
  <si>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</si>
  <si>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</si>
  <si>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</si>
  <si>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</si>
  <si>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</si>
  <si>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</si>
  <si>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</si>
  <si>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</si>
  <si>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The number of periods of abnormal operation have reduded in 2022 from 2021.</t>
  </si>
  <si>
    <t xml:space="preserve">Signed: </t>
  </si>
  <si>
    <t>Date:</t>
  </si>
  <si>
    <t>27th January 2023</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</si>
  <si>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</si>
  <si>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</si>
  <si>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</si>
  <si>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</si>
  <si>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</si>
  <si>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</si>
  <si>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</si>
  <si>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</si>
  <si>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</si>
  <si>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</si>
  <si>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</si>
  <si>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Electricity generation has improved from 2021 and the use of gas oil has seen a significant improvement on 2021 from 2302 tonnes to 1184 tonnes.</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</si>
  <si>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</si>
  <si>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</si>
  <si>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</si>
  <si>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</si>
  <si>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</si>
  <si>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</si>
  <si>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</si>
  <si>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</si>
  <si>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</si>
  <si>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</si>
  <si>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</si>
  <si>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</si>
  <si>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</si>
  <si>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</si>
  <si>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Summary of any notifications or non-compliances under the permit</t>
  </si>
  <si>
    <t>Summary of notification or non-compliance [including Line/Reference]</t>
  </si>
  <si>
    <t xml:space="preserve">Reason </t>
  </si>
  <si>
    <t>Measures taken to prevent reoccurrence</t>
  </si>
  <si>
    <t>089 Schedule 1 Power Cut</t>
  </si>
  <si>
    <t>Site turbine tripped</t>
  </si>
  <si>
    <t>No evidence of any environmental impact</t>
  </si>
  <si>
    <t>025 L3 HCl abnormal operation</t>
  </si>
  <si>
    <t>Abatement system failure</t>
  </si>
  <si>
    <t>•	A review of the planned maintenance on the compensators will be carried out.
•	The existing procedure will be reviewed to determine if any lessons can be learnt.
•	Investigate the possibility of auto switch over between fans on a low pressure alarm.</t>
  </si>
  <si>
    <t>026 L1 SO2 abnormal operation</t>
  </si>
  <si>
    <t>Significant increase in moisture conditions</t>
  </si>
  <si>
    <t>The event occurred and ended by the end of the 30 minute period.</t>
  </si>
  <si>
    <t>091 Schedule 5 Line 1 CO 10 min</t>
  </si>
  <si>
    <t>Function group not started</t>
  </si>
  <si>
    <t>Clear indication on the CEMS main control room screen of the number of allowable CO exceedances that are permitted between midnight to midnight has been included</t>
  </si>
  <si>
    <t>092 Schedule 5 Line 2 NOx half hour</t>
  </si>
  <si>
    <t xml:space="preserve">The following contributed and require better control: -
•	Primary combustion temperatures.
•	Recirc fan control.
•	Primary air fan control.
•	Waste CV fluctuations. </t>
  </si>
  <si>
    <t>Nox control procedure reviewed and reissued on 4.1.2023
New procedure attached.
No further action reqd.</t>
  </si>
  <si>
    <t xml:space="preserve">093 Schedule 5  Line 1 PAC dosing </t>
  </si>
  <si>
    <t>Alarm categorisation was too low and considered not urgent.</t>
  </si>
  <si>
    <t>The alarm categorisation raised to "high" on the DCS system on 6th Jan 2023</t>
  </si>
  <si>
    <t>094 Schedule 5 Line 2 HCl half hour</t>
  </si>
  <si>
    <t>At the time this report was issued this notification was still being investigated via root cause analysis and no reason or corrective actions are available.</t>
  </si>
  <si>
    <t>Summary of any complaints received and actions taken to resolve them.</t>
  </si>
  <si>
    <t>Summary of complaint [including Line/Reference]</t>
  </si>
  <si>
    <t>Reason *</t>
  </si>
  <si>
    <t>Queues</t>
  </si>
  <si>
    <t>Substantiated Operator</t>
  </si>
  <si>
    <t>Customers arriving at the facility before the weighbridge was open. All customers contacted and advised of facility opening times.</t>
  </si>
  <si>
    <t>Odour</t>
  </si>
  <si>
    <t>All odour complaints have been justified on wind direction information. Following any odour complaint the facility carries out an odour survey and checks all odour controls are in place and compliant. The complainant is then contacted (if details are avialable) and advised of any findings and very often invited to the facility for a site tour.</t>
  </si>
  <si>
    <t>Flies</t>
  </si>
  <si>
    <t>Not Substantiated Operator</t>
  </si>
  <si>
    <t>N/A</t>
  </si>
  <si>
    <t>The facility was building up waste stocks for the Christmas period and increased the opening times to allow customers to deliver waste over night.</t>
  </si>
  <si>
    <t>* including whether substantiated by the operator or the EA</t>
  </si>
  <si>
    <t>Summary of Plant Improvements</t>
  </si>
  <si>
    <t>Summary of any efficiency improvements that have been completed within the year.</t>
  </si>
  <si>
    <t>Outside of planned outages plant availability has increased on previous years’ performance, whilst improvements to the plant control systems have led to greater plant stability, in turn reducing the need for manual intervention. Air ingress testing has been completed by an external contractor which has improved efficiency, to the point that FCC have purchased their own helium test equipment and are undertaking training of individuals in-house.</t>
  </si>
  <si>
    <t>Summary of any permit improvement conditions that have been completed within the year and the resulting environmental benefits.</t>
  </si>
  <si>
    <r>
      <rPr>
        <sz val="10"/>
        <color theme="1"/>
        <rFont val="Arial"/>
        <family val="2"/>
      </rPr>
      <t>New BREF permit issued on 19th April 2022 as BR4551 IV version 012.
The following conditions have been completed:-
Improvement condition 1 (IC1) - completion of BAT conclusions.
Improvement condition 5 (IC5) - no longer required to carry out assessment for energy efficiency.</t>
    </r>
    <r>
      <rPr>
        <i/>
        <sz val="10"/>
        <color theme="1"/>
        <rFont val="Arial"/>
        <family val="2"/>
      </rPr>
      <t xml:space="preserve">
</t>
    </r>
  </si>
  <si>
    <t>Summary of any changes to the plant or operating techniques which required a variation to the permit and a summary of the resulting environmental impact.</t>
  </si>
  <si>
    <t>New BREF permit issued on 19th April 2022 as BR4551 IV version 012.
There are a significant number of emission limit value changes that shall require limit values to change during 2023.</t>
  </si>
  <si>
    <t>Summary of any other improvements made to the plant or planned to be made and a summary of the resulting environmental benefits.</t>
  </si>
  <si>
    <t>1. Ongoing progress to replacing all standard lighting with low energy LED lighting.
2. A planned 'abatement' risk review is planned for 2023.
3. Currently planned to install vehicle electric charging points.
4. Planned installation of ID fan variable speed drives to reduce parasitic load and export more to the grid.
5. Investment in 2 x new front loaders and 1 x road sweeper with improved environmental performance (Low NOx engines).</t>
  </si>
  <si>
    <t>Details of Public &amp; Stakeholder Liasion</t>
  </si>
  <si>
    <t>Summary of events held during the reporting year.</t>
  </si>
  <si>
    <t>Description</t>
  </si>
  <si>
    <t>The Facility has an active liaison group involving representatives from the following stakeholders:
• Chairman - Mr Brian White
• Environment Agency 
• 10 Local Residents 
• Councillors Walker and Hammond (TMBC members) 
• Councillors Robertson, Harwood and Daley (MBC members). Cllr Daley is also a member of KCC.
• Councillors Homewood and Bird (KCC members)
• Maidstone Borough Council Environmental Health, Wilcock 
• Councillors Walker and Balcombe (Aylesford Parish Council)
• Tonbridge &amp; Malling &amp; Maidstone Borough Council Environmental Health 
• Kent County Council Waste Management 
• Kent Enviropower</t>
  </si>
  <si>
    <t>List of events planned for next year</t>
  </si>
  <si>
    <t>February 2023</t>
  </si>
  <si>
    <t>Opposite are the months for the Liaison meetings planned for 2023. There have been some spaces that have become available at the meeting. Invites have been sent out to prospective new members and all spaces have now been filled.</t>
  </si>
  <si>
    <t>June 2023</t>
  </si>
  <si>
    <t>October 2023</t>
  </si>
  <si>
    <t>If you wish to be involved in the public liasion programme, please contact 
Brian White (Chairman) - Email: drbdwhite@yahoo.co.uk</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</si>
  <si>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</si>
  <si>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</si>
  <si>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</si>
  <si>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</si>
  <si>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</si>
  <si>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</si>
  <si>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</si>
  <si>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CO2 is obtained from a QAL 2 calibrated CEMS</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</si>
  <si>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</si>
  <si>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</si>
  <si>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</si>
  <si>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Description of how annual nitrous oxide mass emission has been calculated</t>
  </si>
  <si>
    <t>N2O is obtained from a QAL 2 calibrated CEMS</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</si>
  <si>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</si>
  <si>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</si>
  <si>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</si>
  <si>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</si>
  <si>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</si>
  <si>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x %</t>
  </si>
  <si>
    <t>Description of how biogenic NCV percentage has been calculated or estimated</t>
  </si>
  <si>
    <t>Waste feed analysis carried out annually (these figures are from the 2022 report). The % recorded is all wastes (recorded at 99.64%) minus the following non biogenic waste:-
Plastic film 11.37%
Dense plastic 25.55%
Note: Textiles 11.25% - This calculation assumed textiles are 100% biogenic.</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</si>
  <si>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</si>
  <si>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</si>
  <si>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</si>
  <si>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Used the same figure as the biogenic NCV %. Facility does not have BIOMA but shall carry out C14 testing during the first half year of 2023.</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</si>
  <si>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</si>
  <si>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</si>
  <si>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CO2 and N2O have come directly from the continuous emission monitoring system (CEMS) and are both QAL 2 caibrated with calibration functions in place.</t>
  </si>
  <si>
    <t>Residue Quality Monitoring Requirements</t>
  </si>
  <si>
    <t>Summary of monitoring undertaken and compliance</t>
  </si>
  <si>
    <t>Waste Description:  Bottom Ash
Parameter to be measured :
TOC or LOI, Metals (Cd, Tl, Hg, Pb, Cr, Cu, Mn, Ni, As, Co, V, Sb, Zn)  and  their  compounds  and  
the total   soluble   fraction   of   these metals, dioxins/ furans and dioxin like PCB’s. Sampling 
and analysis as    per    Agency    ash    sampling protocol.
Frequency:
Quarterly      (with      the exception   of   the   total soluble   fraction   which shall   be   
sampled   and analysed  before  the  use of   a   new   disposal   or recycling route).
Hazard assessment undertaken twice a month (24 samples a year)</t>
  </si>
  <si>
    <t>Commentary on any specific events</t>
  </si>
  <si>
    <t>Date &amp; Event</t>
  </si>
  <si>
    <t>NA</t>
  </si>
  <si>
    <t>Residue Quality Monitoring Results</t>
  </si>
  <si>
    <t xml:space="preserve">Parameter (unit) </t>
  </si>
  <si>
    <t>Limit</t>
  </si>
  <si>
    <t xml:space="preserve">Normal Operation </t>
  </si>
  <si>
    <t xml:space="preserve">Bottom ash  </t>
  </si>
  <si>
    <t>APC Residues</t>
  </si>
  <si>
    <t>Loss on Ignition (average %)</t>
  </si>
  <si>
    <t>Not limit set</t>
  </si>
  <si>
    <t>1.67 *</t>
  </si>
  <si>
    <t>Total Organic Carbon (average %)</t>
  </si>
  <si>
    <t>&lt;3%</t>
  </si>
  <si>
    <t>No. of Assessments Undertaken</t>
  </si>
  <si>
    <t>---</t>
  </si>
  <si>
    <t>28*</t>
  </si>
  <si>
    <t>No. of Hazardous Results</t>
  </si>
  <si>
    <t>Comments :</t>
  </si>
  <si>
    <t>* The new permit variation BREF (BR4551IC version 012) no longer requires LOI to be recorded.
** This equates to 24 IBA hazard assessments and 4 quarterly reports.</t>
  </si>
  <si>
    <t>Parameters for which reports shall be made, in accordance with conditions of the Consent to the Discharge of Trade Effluent issued by Southern Water, are listed below and are measured monthly. 
These are not Environmental Permit limits but limits for disposal of effluent water discharged down sewage drains.</t>
  </si>
  <si>
    <t>High suspended solids recorded
Investigation identified that new sample point 7.3 does not always contain enough water (non representative sample) and solids being sampled. New sampling point has been identified and sampling procedure has been rewritten.</t>
  </si>
  <si>
    <t>Emissions to Water / Sewer</t>
  </si>
  <si>
    <t>Monitoring Frequency</t>
  </si>
  <si>
    <t>Target</t>
  </si>
  <si>
    <t>Max.</t>
  </si>
  <si>
    <t>Average</t>
  </si>
  <si>
    <t>Arsenic</t>
  </si>
  <si>
    <t>monthly</t>
  </si>
  <si>
    <t>COD shaken</t>
  </si>
  <si>
    <t>Chromium</t>
  </si>
  <si>
    <t>Copper</t>
  </si>
  <si>
    <t>Fluoride</t>
  </si>
  <si>
    <t>Lead</t>
  </si>
  <si>
    <t>Molybdenum</t>
  </si>
  <si>
    <t>Nickel</t>
  </si>
  <si>
    <t>Selenium</t>
  </si>
  <si>
    <t>Suspended solids</t>
  </si>
  <si>
    <t>Sulphate</t>
  </si>
  <si>
    <t>Zinc</t>
  </si>
  <si>
    <t>pH</t>
  </si>
  <si>
    <t>Summary of monitoring undertaken, standards used and compliance</t>
  </si>
  <si>
    <t>Samples taken as required by the new permit variation BREF BR4551IC version 12</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</si>
  <si>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</si>
  <si>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</si>
  <si>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</si>
  <si>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</si>
  <si>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</si>
  <si>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Cadmium &amp; Thallium</t>
  </si>
  <si>
    <t>1 hr</t>
  </si>
  <si>
    <t>0.05 mg/m3</t>
  </si>
  <si>
    <t>Heavy Metals</t>
  </si>
  <si>
    <t>0.5 mg/m3</t>
  </si>
  <si>
    <t>Mercury</t>
  </si>
  <si>
    <t>Hydrogen Fluoride</t>
  </si>
  <si>
    <t>1 mg/m3</t>
  </si>
  <si>
    <t>Nitrous Oxide</t>
  </si>
  <si>
    <t>4 hrs</t>
  </si>
  <si>
    <t>None set mg/m3</t>
  </si>
  <si>
    <t>Dioxins / furans (I-TEQ)6</t>
  </si>
  <si>
    <t>6 hrs</t>
  </si>
  <si>
    <t>0.1 µg/m3</t>
  </si>
  <si>
    <t>Dioxins / furans (WHO-TEQ Humans / Mammals) 6</t>
  </si>
  <si>
    <t>None set µg/m3</t>
  </si>
  <si>
    <t>Dioxins / furans (WHO-TEQ Fish) 6</t>
  </si>
  <si>
    <t>Dioxins / furans (WHO-TEQ Birds) 6</t>
  </si>
  <si>
    <t>Dioxin-like PCBs (WHO-TEQ Humans / Mammals)6</t>
  </si>
  <si>
    <t>Dioxin-like PCBs (WHO-TEQ Fish)6</t>
  </si>
  <si>
    <t>Dioxin-like PCBs (WHO-TEQ Birds)6</t>
  </si>
  <si>
    <t>PAHs (DEFRA 16)</t>
  </si>
  <si>
    <t>Anthanthrene</t>
  </si>
  <si>
    <t>Benzo{a}anthracene</t>
  </si>
  <si>
    <t>Benzo[b]fluoranthene</t>
  </si>
  <si>
    <t>Benzo[k]fluoranthene</t>
  </si>
  <si>
    <t>Benzo[b]naph(2,1-d}thiophene</t>
  </si>
  <si>
    <t>Benzo[c]phenanthrene</t>
  </si>
  <si>
    <t>Benzo[ghi]perylene</t>
  </si>
  <si>
    <t>Benzo[a]pyrene</t>
  </si>
  <si>
    <t>Cholanthrene</t>
  </si>
  <si>
    <t>Chrysene</t>
  </si>
  <si>
    <t>Cyclopenta(cd)pyrene</t>
  </si>
  <si>
    <t>Dibenzo[ah]anthracene</t>
  </si>
  <si>
    <t>Dibenzo[ai]pyrene</t>
  </si>
  <si>
    <t>Fluoranthene</t>
  </si>
  <si>
    <t>Indeno[1,2,3-cd]pyrene</t>
  </si>
  <si>
    <t>Naphthalene</t>
  </si>
  <si>
    <t>All determinants passed periodic testing.</t>
  </si>
  <si>
    <t>Emissions to Air (continously monitored)</t>
  </si>
  <si>
    <t>Template may require adjustment for any bespoke monitoring requirements of permit</t>
  </si>
  <si>
    <t>Monitoring is underatken as required by permit BR4551IC version 12 and all determinants are from QAL 2 calibrated CEMS.</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</si>
  <si>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</si>
  <si>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</si>
  <si>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</si>
  <si>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</si>
  <si>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</si>
  <si>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</si>
  <si>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</si>
  <si>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</si>
  <si>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</si>
  <si>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</si>
  <si>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</si>
  <si>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</si>
  <si>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t>* ½ hourly mean</t>
  </si>
  <si>
    <t xml:space="preserve">* 10 mg/m3 </t>
  </si>
  <si>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</si>
  <si>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</si>
  <si>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</si>
  <si>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</si>
  <si>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95%ile 10-min avg</t>
  </si>
  <si>
    <r>
      <t>150 mg/m</t>
    </r>
    <r>
      <rPr>
        <vertAlign val="superscript"/>
        <sz val="10"/>
        <color theme="1"/>
        <rFont val="Arial"/>
        <family val="2"/>
      </rPr>
      <t>3</t>
    </r>
  </si>
  <si>
    <t xml:space="preserve"> Ammonia</t>
  </si>
  <si>
    <t>10 mg/m3</t>
  </si>
  <si>
    <t>* = delete or amend as appropriate</t>
  </si>
  <si>
    <t>* TOC is 97% of all half hour averages in a rolling year and this has been compliant for all periods.</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</si>
  <si>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</si>
  <si>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</si>
  <si>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</si>
  <si>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</si>
  <si>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</si>
  <si>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</si>
  <si>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</si>
  <si>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</si>
  <si>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</si>
  <si>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</si>
  <si>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</si>
  <si>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</si>
  <si>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</si>
  <si>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</si>
  <si>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</si>
  <si>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</si>
  <si>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</si>
  <si>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</si>
  <si>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</si>
  <si>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</si>
  <si>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</si>
  <si>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</si>
  <si>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</si>
  <si>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</si>
  <si>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</si>
  <si>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</si>
  <si>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</si>
  <si>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</si>
  <si>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</si>
  <si>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</si>
  <si>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</si>
  <si>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</si>
  <si>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</si>
  <si>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No comments to add</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</si>
  <si>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</si>
  <si>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</si>
  <si>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</si>
  <si>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</si>
  <si>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</si>
  <si>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</si>
  <si>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</si>
  <si>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</si>
  <si>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</si>
  <si>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</si>
  <si>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</si>
  <si>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</si>
  <si>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</si>
  <si>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</si>
  <si>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</si>
  <si>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</si>
  <si>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</si>
  <si>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</si>
  <si>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</si>
  <si>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</si>
  <si>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</si>
  <si>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</si>
  <si>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</si>
  <si>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</si>
  <si>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</si>
  <si>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</si>
  <si>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</si>
  <si>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</si>
  <si>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</si>
  <si>
    <t>newsnow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</si>
</sst>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_ ;\-#,##0.0\ "/>
  </numFmts>
  <fonts count="40" x14ac:knownFonts="1">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sz val="8"/>
      <name val="Arial"/>
      <family val="2"/>
    </font>
    <font>
      <i/>
      <sz val="10"/>
      <color theme="1"/>
      <name val="Arial"/>
      <family val="2"/>
    </font>
    <font>
      <sz val="10"/>
      <name val="Calibri"/>
      <family val="2"/>
    </font>
    <font>
      <sz val="10"/>
      <color theme="1"/>
      <name val="Calibri"/>
      <family val="2"/>
    </font>
    <font>
      <b/>
      <sz val="12"/>
      <color rgb="FF000000"/>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24">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style="thin">
        <color indexed="63"/>
      </left>
      <right/>
      <top style="thin">
        <color indexed="63"/>
      </top>
      <bottom style="thin">
        <color indexed="63"/>
      </bottom>
      <diagonal/>
    </border>
    <border>
      <left/>
      <right/>
      <top style="thin">
        <color indexed="63"/>
      </top>
      <bottom style="thin">
        <color indexed="63"/>
      </bottom>
      <diagonal/>
    </border>
    <border>
      <left/>
      <right style="thin">
        <color indexed="64"/>
      </right>
      <top style="thin">
        <color indexed="63"/>
      </top>
      <bottom style="thin">
        <color indexed="63"/>
      </bottom>
      <diagonal/>
    </border>
    <border>
      <left style="thin">
        <color indexed="63"/>
      </left>
      <right/>
      <top style="thin">
        <color indexed="63"/>
      </top>
      <bottom style="thin">
        <color indexed="64"/>
      </bottom>
      <diagonal/>
    </border>
    <border>
      <left/>
      <right/>
      <top style="thin">
        <color indexed="63"/>
      </top>
      <bottom style="thin">
        <color indexed="64"/>
      </bottom>
      <diagonal/>
    </border>
    <border>
      <left/>
      <right style="thin">
        <color indexed="64"/>
      </right>
      <top style="thin">
        <color indexed="63"/>
      </top>
      <bottom style="thin">
        <color indexed="64"/>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438">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0" fontId="2" fillId="2" borderId="0" xfId="0" applyFont="1" applyFill="1"/>
    <xf numFmtId="169" fontId="10" fillId="0" borderId="0" xfId="1" applyNumberFormat="1" applyFont="1" applyAlignment="1">
      <alignment horizontal="center"/>
    </xf>
    <xf numFmtId="4" fontId="1" fillId="0" borderId="2" xfId="0" applyNumberFormat="1" applyFont="1" applyBorder="1" applyAlignment="1">
      <alignment horizontal="center" vertical="center" wrapText="1"/>
    </xf>
    <xf numFmtId="0" fontId="1" fillId="2" borderId="2" xfId="0" applyFont="1" applyFill="1" applyBorder="1" applyAlignment="1">
      <alignment horizontal="center" vertical="center"/>
    </xf>
    <xf numFmtId="0" fontId="37" fillId="0" borderId="2" xfId="0" applyFont="1" applyBorder="1" applyAlignment="1">
      <alignment horizontal="center" vertical="center" wrapText="1"/>
    </xf>
    <xf numFmtId="0" fontId="38" fillId="0" borderId="2" xfId="0" applyFont="1" applyBorder="1" applyAlignment="1">
      <alignment horizontal="center" vertical="center" wrapText="1"/>
    </xf>
    <xf numFmtId="0" fontId="37" fillId="0" borderId="1" xfId="0" applyFont="1" applyBorder="1" applyAlignment="1">
      <alignment horizontal="center" vertical="center" wrapText="1"/>
    </xf>
    <xf numFmtId="14" fontId="0" fillId="0" borderId="2" xfId="0" applyNumberFormat="1" applyBorder="1" applyAlignment="1">
      <alignment horizontal="left" vertical="top"/>
    </xf>
    <xf numFmtId="0" fontId="1" fillId="0" borderId="2" xfId="0" applyFont="1" applyBorder="1" applyAlignment="1">
      <alignment horizontal="center" vertical="center" wrapText="1"/>
    </xf>
    <xf numFmtId="0" fontId="1" fillId="0" borderId="1" xfId="0" applyFont="1" applyBorder="1" applyAlignment="1">
      <alignment horizontal="center" vertical="center" wrapText="1"/>
    </xf>
    <xf numFmtId="0" fontId="1" fillId="5" borderId="2" xfId="0" applyFont="1" applyFill="1" applyBorder="1" applyAlignment="1">
      <alignment horizontal="center" vertical="center" wrapText="1"/>
    </xf>
    <xf numFmtId="3" fontId="2" fillId="5" borderId="2" xfId="0" applyNumberFormat="1" applyFont="1" applyFill="1" applyBorder="1" applyAlignment="1">
      <alignment vertical="top"/>
    </xf>
    <xf numFmtId="164" fontId="6" fillId="2" borderId="7" xfId="1" applyNumberFormat="1" applyFont="1" applyFill="1" applyBorder="1"/>
    <xf numFmtId="9" fontId="1" fillId="0" borderId="2" xfId="0" applyNumberFormat="1" applyFont="1" applyBorder="1" applyAlignment="1">
      <alignment horizontal="center" vertical="center" wrapText="1"/>
    </xf>
    <xf numFmtId="164" fontId="10" fillId="0" borderId="7" xfId="1" applyNumberFormat="1" applyFont="1" applyFill="1" applyBorder="1" applyAlignment="1">
      <alignment horizontal="center"/>
    </xf>
    <xf numFmtId="164" fontId="10" fillId="0" borderId="12" xfId="1" applyNumberFormat="1" applyFont="1" applyFill="1" applyBorder="1" applyAlignment="1">
      <alignment horizontal="center"/>
    </xf>
    <xf numFmtId="0" fontId="1" fillId="2" borderId="3" xfId="0" applyFont="1" applyFill="1" applyBorder="1" applyAlignment="1">
      <alignment horizontal="left" vertical="top"/>
    </xf>
    <xf numFmtId="17" fontId="2" fillId="0" borderId="0" xfId="0" applyNumberFormat="1" applyFont="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center" vertical="top"/>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12" xfId="0" applyFont="1" applyBorder="1"/>
    <xf numFmtId="166" fontId="1" fillId="0" borderId="12" xfId="0" applyNumberFormat="1" applyFont="1" applyBorder="1"/>
    <xf numFmtId="166" fontId="1" fillId="2" borderId="12" xfId="0" applyNumberFormat="1" applyFont="1" applyFill="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0" borderId="6" xfId="0" applyFont="1" applyBorder="1" applyAlignment="1">
      <alignment wrapText="1"/>
    </xf>
    <xf numFmtId="0" fontId="1" fillId="2" borderId="9" xfId="0" applyFont="1" applyFill="1" applyBorder="1"/>
    <xf numFmtId="0" fontId="1" fillId="2" borderId="11" xfId="0" applyFont="1" applyFill="1" applyBorder="1"/>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0" fontId="1" fillId="2" borderId="12" xfId="0" applyFont="1" applyFill="1" applyBorder="1" applyAlignment="1">
      <alignment horizontal="center" vertical="center"/>
    </xf>
    <xf numFmtId="43" fontId="1" fillId="0" borderId="13" xfId="0" applyNumberFormat="1" applyFont="1" applyBorder="1" applyAlignment="1">
      <alignment horizontal="center" vertical="center"/>
    </xf>
    <xf numFmtId="0" fontId="1" fillId="0" borderId="6" xfId="0" applyFont="1" applyBorder="1" applyAlignment="1">
      <alignment horizontal="center"/>
    </xf>
    <xf numFmtId="165" fontId="1" fillId="0" borderId="10" xfId="2" quotePrefix="1" applyNumberFormat="1" applyFont="1" applyBorder="1" applyAlignment="1">
      <alignment horizontal="center"/>
    </xf>
    <xf numFmtId="169" fontId="1" fillId="2" borderId="0" xfId="1" applyNumberFormat="1" applyFont="1" applyFill="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0" xfId="0" applyFont="1" applyAlignment="1">
      <alignment vertical="center"/>
    </xf>
    <xf numFmtId="4" fontId="1" fillId="2" borderId="2"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0" fontId="1" fillId="2" borderId="2" xfId="0" applyFont="1" applyFill="1" applyBorder="1" applyAlignment="1">
      <alignment horizontal="center" vertical="center" wrapText="1"/>
    </xf>
    <xf numFmtId="2" fontId="1" fillId="5" borderId="2" xfId="0" applyNumberFormat="1" applyFont="1" applyFill="1" applyBorder="1" applyAlignment="1">
      <alignment horizontal="center" vertical="center" wrapText="1"/>
    </xf>
    <xf numFmtId="0" fontId="1" fillId="0" borderId="2" xfId="0" applyFont="1" applyBorder="1" applyAlignment="1">
      <alignment horizontal="left" vertical="center" wrapText="1"/>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5" borderId="1" xfId="0" applyFont="1" applyFill="1" applyBorder="1" applyAlignment="1">
      <alignment horizontal="center" vertical="center" wrapText="1"/>
    </xf>
    <xf numFmtId="0" fontId="22" fillId="0" borderId="0" xfId="0" applyFont="1" applyAlignment="1">
      <alignment horizontal="left" wrapText="1"/>
    </xf>
    <xf numFmtId="0" fontId="8" fillId="2" borderId="0" xfId="0" applyFont="1" applyFill="1" applyAlignment="1">
      <alignment horizontal="center"/>
    </xf>
    <xf numFmtId="0" fontId="2" fillId="2" borderId="0" xfId="0" applyFont="1" applyFill="1" applyAlignment="1">
      <alignment horizontal="center" vertical="center"/>
    </xf>
    <xf numFmtId="0" fontId="2" fillId="2" borderId="0" xfId="0" applyFont="1" applyFill="1" applyAlignment="1">
      <alignment horizontal="center"/>
    </xf>
    <xf numFmtId="0" fontId="6" fillId="3" borderId="2" xfId="0" applyFont="1" applyFill="1" applyBorder="1" applyAlignment="1">
      <alignment horizontal="left"/>
    </xf>
    <xf numFmtId="0" fontId="7" fillId="0" borderId="2" xfId="0" applyFont="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1"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2" fillId="0" borderId="0" xfId="0" applyFont="1" applyAlignment="1">
      <alignment horizontal="left" vertical="top" wrapText="1"/>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12" xfId="0" applyFont="1" applyBorder="1" applyAlignment="1">
      <alignment horizontal="center" vertical="center" textRotation="90"/>
    </xf>
    <xf numFmtId="164" fontId="6" fillId="2" borderId="7" xfId="1" applyNumberFormat="1" applyFont="1" applyFill="1" applyBorder="1" applyAlignment="1"/>
    <xf numFmtId="0" fontId="1" fillId="0" borderId="0" xfId="0" applyFont="1" applyAlignment="1">
      <alignment horizontal="center" textRotation="90"/>
    </xf>
    <xf numFmtId="166" fontId="1" fillId="2" borderId="12" xfId="0" applyNumberFormat="1" applyFont="1" applyFill="1" applyBorder="1" applyAlignment="1">
      <alignment horizontal="center"/>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0" borderId="2" xfId="0" applyFont="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0" borderId="3" xfId="0" applyFont="1" applyBorder="1" applyAlignment="1">
      <alignment horizontal="left" vertical="center" wrapText="1"/>
    </xf>
    <xf numFmtId="0" fontId="1" fillId="0" borderId="5" xfId="0" applyFont="1" applyBorder="1" applyAlignment="1">
      <alignment horizontal="left" vertical="center" wrapText="1"/>
    </xf>
    <xf numFmtId="0" fontId="1" fillId="2" borderId="2" xfId="0" applyFont="1" applyFill="1" applyBorder="1" applyAlignment="1">
      <alignment horizontal="left" vertical="center" wrapText="1"/>
    </xf>
    <xf numFmtId="0" fontId="1" fillId="2" borderId="2" xfId="0" applyFont="1" applyFill="1" applyBorder="1" applyAlignment="1">
      <alignment horizontal="center"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168" fontId="1" fillId="2" borderId="3" xfId="0" applyNumberFormat="1" applyFont="1" applyFill="1" applyBorder="1" applyAlignment="1">
      <alignment horizontal="center" vertical="center" wrapText="1"/>
    </xf>
    <xf numFmtId="168" fontId="1" fillId="2" borderId="5"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1" fillId="0" borderId="2" xfId="2"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 fillId="0" borderId="3" xfId="0" applyFont="1" applyBorder="1" applyAlignment="1">
      <alignment horizontal="center" vertical="center" wrapText="1"/>
    </xf>
    <xf numFmtId="0" fontId="14" fillId="4" borderId="2" xfId="0" applyFont="1" applyFill="1" applyBorder="1" applyAlignment="1">
      <alignment horizontal="left"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0" fontId="1" fillId="5" borderId="2" xfId="0" applyFont="1" applyFill="1" applyBorder="1" applyAlignment="1">
      <alignment horizontal="center" vertical="center" wrapText="1"/>
    </xf>
    <xf numFmtId="0" fontId="1" fillId="0" borderId="2" xfId="0" applyFont="1" applyBorder="1" applyAlignment="1">
      <alignment horizontal="center"/>
    </xf>
    <xf numFmtId="0" fontId="1" fillId="2" borderId="2" xfId="0" applyFont="1" applyFill="1" applyBorder="1" applyAlignment="1">
      <alignment horizontal="left" vertical="top" wrapText="1"/>
    </xf>
    <xf numFmtId="0" fontId="10" fillId="0" borderId="7" xfId="0" applyFont="1" applyBorder="1" applyAlignment="1">
      <alignment horizontal="center" wrapText="1"/>
    </xf>
    <xf numFmtId="0" fontId="7" fillId="0" borderId="2" xfId="0" applyFont="1" applyBorder="1" applyAlignment="1">
      <alignment horizontal="left" vertical="center" wrapText="1"/>
    </xf>
    <xf numFmtId="9"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10" fontId="1" fillId="2" borderId="2" xfId="0" applyNumberFormat="1" applyFont="1" applyFill="1" applyBorder="1" applyAlignment="1">
      <alignment horizontal="center" vertical="center"/>
    </xf>
    <xf numFmtId="10" fontId="1" fillId="2" borderId="2" xfId="0" applyNumberFormat="1" applyFont="1" applyFill="1" applyBorder="1" applyAlignment="1">
      <alignment horizontal="center" vertical="center" wrapText="1"/>
    </xf>
    <xf numFmtId="0" fontId="1" fillId="2" borderId="3" xfId="0" applyFont="1" applyFill="1" applyBorder="1" applyAlignment="1">
      <alignment horizontal="left" vertical="top" wrapText="1"/>
    </xf>
    <xf numFmtId="0" fontId="1" fillId="2" borderId="3" xfId="0" applyFont="1" applyFill="1" applyBorder="1" applyAlignment="1">
      <alignment horizontal="left" vertical="top"/>
    </xf>
    <xf numFmtId="0" fontId="1" fillId="2" borderId="4" xfId="0" applyFont="1" applyFill="1" applyBorder="1" applyAlignment="1">
      <alignment horizontal="left" vertical="top"/>
    </xf>
    <xf numFmtId="0" fontId="1" fillId="2" borderId="5" xfId="0" applyFont="1" applyFill="1" applyBorder="1" applyAlignment="1">
      <alignment horizontal="left" vertical="top"/>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6" fillId="7" borderId="3" xfId="0" applyFont="1" applyFill="1" applyBorder="1" applyAlignment="1">
      <alignment horizontal="center"/>
    </xf>
    <xf numFmtId="0" fontId="6" fillId="7" borderId="5" xfId="0" applyFont="1" applyFill="1" applyBorder="1" applyAlignment="1">
      <alignment horizont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1" fillId="5" borderId="3" xfId="0" applyFont="1" applyFill="1" applyBorder="1" applyAlignment="1">
      <alignment horizontal="left" vertical="top" wrapText="1"/>
    </xf>
    <xf numFmtId="0" fontId="1" fillId="5" borderId="4" xfId="0" applyFont="1" applyFill="1" applyBorder="1" applyAlignment="1">
      <alignment horizontal="left" vertical="top" wrapText="1"/>
    </xf>
    <xf numFmtId="0" fontId="1" fillId="5" borderId="5" xfId="0" applyFont="1" applyFill="1" applyBorder="1" applyAlignment="1">
      <alignment horizontal="left" vertical="top" wrapText="1"/>
    </xf>
    <xf numFmtId="0" fontId="1" fillId="5" borderId="2" xfId="0" applyFont="1" applyFill="1" applyBorder="1" applyAlignment="1">
      <alignment horizontal="left" vertical="top" wrapText="1"/>
    </xf>
    <xf numFmtId="0" fontId="1" fillId="5" borderId="6" xfId="0" applyFont="1" applyFill="1" applyBorder="1" applyAlignment="1">
      <alignment horizontal="left" vertical="top" wrapText="1"/>
    </xf>
    <xf numFmtId="0" fontId="1" fillId="5" borderId="7" xfId="0" applyFont="1" applyFill="1" applyBorder="1" applyAlignment="1">
      <alignment horizontal="left" vertical="top" wrapText="1"/>
    </xf>
    <xf numFmtId="0" fontId="1" fillId="5" borderId="8" xfId="0" applyFont="1" applyFill="1" applyBorder="1" applyAlignment="1">
      <alignment horizontal="left" vertical="top" wrapText="1"/>
    </xf>
    <xf numFmtId="0" fontId="0" fillId="5" borderId="9" xfId="0" applyFill="1" applyBorder="1" applyAlignment="1">
      <alignment horizontal="left" vertical="top" wrapText="1"/>
    </xf>
    <xf numFmtId="0" fontId="0" fillId="5" borderId="0" xfId="0" applyFill="1" applyAlignment="1">
      <alignment horizontal="left" vertical="top" wrapText="1"/>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2" xfId="0" applyFill="1" applyBorder="1" applyAlignment="1">
      <alignment horizontal="left" vertical="top" wrapText="1"/>
    </xf>
    <xf numFmtId="0" fontId="0" fillId="5" borderId="13" xfId="0" applyFill="1" applyBorder="1" applyAlignment="1">
      <alignment horizontal="left" vertical="top" wrapText="1"/>
    </xf>
    <xf numFmtId="0" fontId="1" fillId="2" borderId="4" xfId="0" applyFont="1" applyFill="1" applyBorder="1" applyAlignment="1">
      <alignment horizontal="left" vertical="top" wrapText="1"/>
    </xf>
    <xf numFmtId="0" fontId="1" fillId="2" borderId="5" xfId="0" applyFont="1" applyFill="1" applyBorder="1" applyAlignment="1">
      <alignment horizontal="left" vertical="top"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36" fillId="2" borderId="6" xfId="0" applyFont="1" applyFill="1" applyBorder="1" applyAlignment="1">
      <alignment horizontal="left" vertical="top" wrapText="1"/>
    </xf>
    <xf numFmtId="0" fontId="36" fillId="2" borderId="7" xfId="0" applyFont="1" applyFill="1" applyBorder="1" applyAlignment="1">
      <alignment horizontal="left" vertical="top"/>
    </xf>
    <xf numFmtId="0" fontId="36" fillId="2" borderId="8" xfId="0" applyFont="1" applyFill="1" applyBorder="1" applyAlignment="1">
      <alignment horizontal="left" vertical="top"/>
    </xf>
    <xf numFmtId="0" fontId="36" fillId="2" borderId="9" xfId="0" applyFont="1" applyFill="1" applyBorder="1" applyAlignment="1">
      <alignment horizontal="left" vertical="top"/>
    </xf>
    <xf numFmtId="0" fontId="36" fillId="2" borderId="0" xfId="0" applyFont="1" applyFill="1" applyAlignment="1">
      <alignment horizontal="left" vertical="top"/>
    </xf>
    <xf numFmtId="0" fontId="36" fillId="2" borderId="10" xfId="0" applyFont="1" applyFill="1" applyBorder="1" applyAlignment="1">
      <alignment horizontal="left" vertical="top"/>
    </xf>
    <xf numFmtId="0" fontId="36" fillId="2" borderId="11" xfId="0" applyFont="1" applyFill="1" applyBorder="1" applyAlignment="1">
      <alignment horizontal="left" vertical="top"/>
    </xf>
    <xf numFmtId="0" fontId="36" fillId="2" borderId="12" xfId="0" applyFont="1" applyFill="1" applyBorder="1" applyAlignment="1">
      <alignment horizontal="left" vertical="top"/>
    </xf>
    <xf numFmtId="0" fontId="36" fillId="2" borderId="13" xfId="0" applyFont="1" applyFill="1" applyBorder="1" applyAlignment="1">
      <alignment horizontal="left" vertical="top"/>
    </xf>
    <xf numFmtId="14" fontId="1" fillId="2" borderId="6" xfId="0" applyNumberFormat="1" applyFont="1" applyFill="1" applyBorder="1" applyAlignment="1">
      <alignment horizontal="left" vertical="top"/>
    </xf>
    <xf numFmtId="0" fontId="1" fillId="2" borderId="6" xfId="0" applyFont="1" applyFill="1" applyBorder="1" applyAlignment="1">
      <alignment horizontal="left" vertical="top"/>
    </xf>
    <xf numFmtId="49" fontId="1" fillId="2" borderId="6" xfId="0" applyNumberFormat="1" applyFont="1" applyFill="1" applyBorder="1" applyAlignment="1">
      <alignment horizontal="left" vertical="top"/>
    </xf>
    <xf numFmtId="49" fontId="1" fillId="2" borderId="8" xfId="0" applyNumberFormat="1" applyFont="1" applyFill="1" applyBorder="1" applyAlignment="1">
      <alignment horizontal="left" vertical="top"/>
    </xf>
    <xf numFmtId="49" fontId="1" fillId="2" borderId="11" xfId="0" applyNumberFormat="1" applyFont="1" applyFill="1" applyBorder="1" applyAlignment="1">
      <alignment horizontal="left" vertical="top"/>
    </xf>
    <xf numFmtId="49" fontId="1" fillId="2" borderId="13" xfId="0" applyNumberFormat="1" applyFont="1" applyFill="1" applyBorder="1" applyAlignment="1">
      <alignment horizontal="left" vertical="top"/>
    </xf>
    <xf numFmtId="0" fontId="0" fillId="0" borderId="0" xfId="0" applyAlignment="1">
      <alignment wrapText="1"/>
    </xf>
    <xf numFmtId="0" fontId="2" fillId="0" borderId="0" xfId="0" applyFont="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1" fillId="0" borderId="2" xfId="0" applyFont="1" applyBorder="1" applyAlignment="1">
      <alignment horizontal="left" vertical="top" wrapText="1"/>
    </xf>
    <xf numFmtId="0" fontId="4" fillId="0" borderId="2" xfId="0" applyFont="1" applyBorder="1" applyAlignment="1">
      <alignment vertical="top" wrapText="1"/>
    </xf>
    <xf numFmtId="0" fontId="0" fillId="0" borderId="2" xfId="0" applyBorder="1" applyAlignment="1">
      <alignment vertical="top"/>
    </xf>
    <xf numFmtId="0" fontId="34"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18" fillId="0" borderId="2" xfId="0" applyFont="1" applyBorder="1" applyAlignment="1">
      <alignment horizontal="left" vertical="center" wrapText="1"/>
    </xf>
    <xf numFmtId="0" fontId="6" fillId="0" borderId="2" xfId="0" applyFont="1" applyBorder="1" applyAlignment="1">
      <alignment horizontal="left" vertical="top" wrapText="1"/>
    </xf>
    <xf numFmtId="0" fontId="6" fillId="0" borderId="2" xfId="0" applyFont="1" applyBorder="1" applyAlignment="1">
      <alignment horizontal="left" vertical="top"/>
    </xf>
    <xf numFmtId="0" fontId="10" fillId="3" borderId="2" xfId="0" applyFont="1" applyFill="1" applyBorder="1" applyAlignment="1">
      <alignment horizontal="left"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35" fillId="5" borderId="18" xfId="0" applyFont="1" applyFill="1" applyBorder="1" applyAlignment="1">
      <alignment horizontal="left" vertical="center" wrapText="1"/>
    </xf>
    <xf numFmtId="0" fontId="35" fillId="5" borderId="19" xfId="0" applyFont="1" applyFill="1" applyBorder="1" applyAlignment="1">
      <alignment horizontal="left" vertical="center" wrapText="1"/>
    </xf>
    <xf numFmtId="0" fontId="35" fillId="5" borderId="20" xfId="0" applyFont="1" applyFill="1" applyBorder="1" applyAlignment="1">
      <alignment horizontal="left" vertical="center" wrapText="1"/>
    </xf>
    <xf numFmtId="0" fontId="35" fillId="5" borderId="21" xfId="0" applyFont="1" applyFill="1" applyBorder="1" applyAlignment="1">
      <alignment horizontal="left" vertical="center" wrapText="1"/>
    </xf>
    <xf numFmtId="0" fontId="35" fillId="5" borderId="22" xfId="0" applyFont="1" applyFill="1" applyBorder="1" applyAlignment="1">
      <alignment horizontal="left" vertical="center" wrapText="1"/>
    </xf>
    <xf numFmtId="0" fontId="35" fillId="5" borderId="23" xfId="0" applyFont="1" applyFill="1" applyBorder="1" applyAlignment="1">
      <alignment horizontal="left" vertical="center" wrapText="1"/>
    </xf>
    <xf numFmtId="0" fontId="35" fillId="5" borderId="3" xfId="0" applyFont="1" applyFill="1" applyBorder="1" applyAlignment="1">
      <alignment horizontal="left" vertical="center" wrapText="1"/>
    </xf>
    <xf numFmtId="0" fontId="35" fillId="5" borderId="4" xfId="0" applyFont="1" applyFill="1" applyBorder="1" applyAlignment="1">
      <alignment horizontal="left" vertical="center" wrapText="1"/>
    </xf>
    <xf numFmtId="0" fontId="35" fillId="5" borderId="5"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17" fontId="1" fillId="2" borderId="6" xfId="0" applyNumberFormat="1" applyFont="1" applyFill="1" applyBorder="1" applyAlignment="1">
      <alignment horizontal="left" vertical="top" wrapText="1"/>
    </xf>
    <xf numFmtId="17" fontId="1" fillId="2" borderId="6" xfId="0" applyNumberFormat="1" applyFont="1" applyFill="1" applyBorder="1" applyAlignment="1">
      <alignment horizontal="left" vertical="top"/>
    </xf>
    <xf numFmtId="0" fontId="23" fillId="0" borderId="0" xfId="0" applyFont="1" applyAlignment="1">
      <alignment horizontal="left" vertical="top" wrapText="1"/>
    </xf>
    <xf numFmtId="0" fontId="1" fillId="0" borderId="6" xfId="0" applyFont="1" applyBorder="1" applyAlignment="1">
      <alignment horizontal="left" vertical="top"/>
    </xf>
    <xf numFmtId="0" fontId="1" fillId="0" borderId="7" xfId="0" applyFont="1" applyBorder="1" applyAlignment="1">
      <alignment horizontal="left" vertical="top"/>
    </xf>
    <xf numFmtId="0" fontId="1" fillId="0" borderId="8" xfId="0" applyFont="1" applyBorder="1" applyAlignment="1">
      <alignment horizontal="left" vertical="top"/>
    </xf>
    <xf numFmtId="0" fontId="1" fillId="0" borderId="11" xfId="0" applyFont="1" applyBorder="1" applyAlignment="1">
      <alignment horizontal="left" vertical="top"/>
    </xf>
    <xf numFmtId="0" fontId="1" fillId="0" borderId="12" xfId="0" applyFont="1" applyBorder="1" applyAlignment="1">
      <alignment horizontal="left" vertical="top"/>
    </xf>
    <xf numFmtId="0" fontId="1" fillId="0" borderId="13" xfId="0" applyFont="1" applyBorder="1" applyAlignment="1">
      <alignment horizontal="left" vertical="top"/>
    </xf>
    <xf numFmtId="0" fontId="0" fillId="0" borderId="0" xfId="0" applyAlignment="1"/>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37" fillId="0" borderId="3" xfId="0" applyFont="1" applyBorder="1" applyAlignment="1">
      <alignment horizontal="center" vertical="center" wrapText="1"/>
    </xf>
    <xf numFmtId="0" fontId="37" fillId="0" borderId="5" xfId="0" applyFont="1" applyBorder="1" applyAlignment="1">
      <alignment horizontal="center" vertical="center" wrapText="1"/>
    </xf>
    <xf numFmtId="0" fontId="38" fillId="0" borderId="3" xfId="0" applyFont="1" applyBorder="1" applyAlignment="1">
      <alignment horizontal="center" vertical="center" wrapText="1"/>
    </xf>
    <xf numFmtId="0" fontId="38" fillId="0" borderId="5" xfId="0" applyFont="1" applyBorder="1" applyAlignment="1">
      <alignment horizontal="center"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0" borderId="14" xfId="0" applyFont="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0" borderId="6" xfId="0" applyFont="1" applyBorder="1" applyAlignment="1">
      <alignment horizontal="left" vertical="top"/>
    </xf>
    <xf numFmtId="0" fontId="6" fillId="0" borderId="7" xfId="0" applyFont="1" applyBorder="1" applyAlignment="1">
      <alignment horizontal="lef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1" xfId="0" applyFont="1" applyBorder="1" applyAlignment="1">
      <alignment horizontal="left" vertical="top"/>
    </xf>
    <xf numFmtId="0" fontId="6" fillId="0" borderId="12" xfId="0" applyFont="1" applyBorder="1" applyAlignment="1">
      <alignment horizontal="left" vertical="top"/>
    </xf>
    <xf numFmtId="0" fontId="6" fillId="0" borderId="13" xfId="0" applyFont="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0" borderId="6"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9" xfId="0" applyFont="1" applyBorder="1" applyAlignment="1">
      <alignment horizontal="left" vertical="top" wrapText="1"/>
    </xf>
    <xf numFmtId="0" fontId="6" fillId="0" borderId="0" xfId="0" applyFont="1" applyAlignment="1">
      <alignment horizontal="left" vertical="top" wrapText="1"/>
    </xf>
    <xf numFmtId="0" fontId="6" fillId="0" borderId="10" xfId="0" applyFont="1" applyBorder="1" applyAlignment="1">
      <alignment horizontal="left" vertical="top" wrapText="1"/>
    </xf>
    <xf numFmtId="0" fontId="6" fillId="0" borderId="11" xfId="0" applyFont="1" applyBorder="1" applyAlignment="1">
      <alignment horizontal="left" vertical="top" wrapText="1"/>
    </xf>
    <xf numFmtId="0" fontId="6" fillId="0" borderId="12" xfId="0" applyFont="1" applyBorder="1" applyAlignment="1">
      <alignment horizontal="left" vertical="top" wrapText="1"/>
    </xf>
    <xf numFmtId="0" fontId="6" fillId="0" borderId="13" xfId="0" applyFont="1" applyBorder="1" applyAlignment="1">
      <alignment horizontal="left" vertical="top" wrapText="1"/>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4.63</c:v>
                </c:pt>
                <c:pt idx="1">
                  <c:v>5.23</c:v>
                </c:pt>
                <c:pt idx="2">
                  <c:v>3.83</c:v>
                </c:pt>
                <c:pt idx="3">
                  <c:v>4.0999999999999996</c:v>
                </c:pt>
                <c:pt idx="4">
                  <c:v>4.53</c:v>
                </c:pt>
                <c:pt idx="5">
                  <c:v>3.83</c:v>
                </c:pt>
                <c:pt idx="6">
                  <c:v>4.8600000000000003</c:v>
                </c:pt>
                <c:pt idx="7">
                  <c:v>4.9000000000000004</c:v>
                </c:pt>
                <c:pt idx="8">
                  <c:v>4.4000000000000004</c:v>
                </c:pt>
                <c:pt idx="9">
                  <c:v>3.9</c:v>
                </c:pt>
                <c:pt idx="10">
                  <c:v>4.0999999999999996</c:v>
                </c:pt>
                <c:pt idx="11">
                  <c:v>2.83</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26.4</c:v>
                </c:pt>
                <c:pt idx="1">
                  <c:v>151</c:v>
                </c:pt>
                <c:pt idx="2">
                  <c:v>37.5</c:v>
                </c:pt>
                <c:pt idx="3">
                  <c:v>24.6</c:v>
                </c:pt>
                <c:pt idx="4">
                  <c:v>16.2</c:v>
                </c:pt>
                <c:pt idx="5">
                  <c:v>17.8</c:v>
                </c:pt>
                <c:pt idx="6">
                  <c:v>28.2</c:v>
                </c:pt>
                <c:pt idx="7">
                  <c:v>19.399999999999999</c:v>
                </c:pt>
                <c:pt idx="8">
                  <c:v>30.3</c:v>
                </c:pt>
                <c:pt idx="9">
                  <c:v>14.7</c:v>
                </c:pt>
                <c:pt idx="10">
                  <c:v>34.700000000000003</c:v>
                </c:pt>
                <c:pt idx="11">
                  <c:v>61.3</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4.5599999999999996</c:v>
                </c:pt>
                <c:pt idx="1">
                  <c:v>5.03</c:v>
                </c:pt>
                <c:pt idx="2">
                  <c:v>2.2999999999999998</c:v>
                </c:pt>
                <c:pt idx="3">
                  <c:v>4.13</c:v>
                </c:pt>
                <c:pt idx="4">
                  <c:v>4.5999999999999996</c:v>
                </c:pt>
                <c:pt idx="5">
                  <c:v>3.83</c:v>
                </c:pt>
                <c:pt idx="6">
                  <c:v>4.93</c:v>
                </c:pt>
                <c:pt idx="7">
                  <c:v>4.93</c:v>
                </c:pt>
                <c:pt idx="8">
                  <c:v>4.3600000000000003</c:v>
                </c:pt>
                <c:pt idx="9">
                  <c:v>3.93</c:v>
                </c:pt>
                <c:pt idx="10">
                  <c:v>4.0599999999999996</c:v>
                </c:pt>
                <c:pt idx="11">
                  <c:v>2.73</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8.3000000000000007</c:v>
                </c:pt>
                <c:pt idx="1">
                  <c:v>8.1999999999999993</c:v>
                </c:pt>
                <c:pt idx="2">
                  <c:v>5.7</c:v>
                </c:pt>
                <c:pt idx="3">
                  <c:v>6.3</c:v>
                </c:pt>
                <c:pt idx="4">
                  <c:v>7.7</c:v>
                </c:pt>
                <c:pt idx="5">
                  <c:v>5.8</c:v>
                </c:pt>
                <c:pt idx="6">
                  <c:v>7.3</c:v>
                </c:pt>
                <c:pt idx="7">
                  <c:v>5.9</c:v>
                </c:pt>
                <c:pt idx="8">
                  <c:v>6.4</c:v>
                </c:pt>
                <c:pt idx="9">
                  <c:v>6.1</c:v>
                </c:pt>
                <c:pt idx="10">
                  <c:v>6.5</c:v>
                </c:pt>
                <c:pt idx="11">
                  <c:v>4.7</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0.2</c:v>
                </c:pt>
                <c:pt idx="1">
                  <c:v>0.23</c:v>
                </c:pt>
                <c:pt idx="2">
                  <c:v>0.23</c:v>
                </c:pt>
                <c:pt idx="3">
                  <c:v>0.76</c:v>
                </c:pt>
                <c:pt idx="4">
                  <c:v>0.6</c:v>
                </c:pt>
                <c:pt idx="5">
                  <c:v>0.6</c:v>
                </c:pt>
                <c:pt idx="6">
                  <c:v>0.63</c:v>
                </c:pt>
                <c:pt idx="7">
                  <c:v>0.46</c:v>
                </c:pt>
                <c:pt idx="8">
                  <c:v>0.56000000000000005</c:v>
                </c:pt>
                <c:pt idx="9">
                  <c:v>0.63</c:v>
                </c:pt>
                <c:pt idx="10">
                  <c:v>0.76</c:v>
                </c:pt>
                <c:pt idx="11">
                  <c:v>0.46</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14.5</c:v>
                </c:pt>
                <c:pt idx="1">
                  <c:v>26.5</c:v>
                </c:pt>
                <c:pt idx="2">
                  <c:v>18.5</c:v>
                </c:pt>
                <c:pt idx="3">
                  <c:v>59.5</c:v>
                </c:pt>
                <c:pt idx="4">
                  <c:v>149.4</c:v>
                </c:pt>
                <c:pt idx="5">
                  <c:v>232.8</c:v>
                </c:pt>
                <c:pt idx="6">
                  <c:v>188</c:v>
                </c:pt>
                <c:pt idx="7">
                  <c:v>18.2</c:v>
                </c:pt>
                <c:pt idx="8">
                  <c:v>28</c:v>
                </c:pt>
                <c:pt idx="9">
                  <c:v>183.4</c:v>
                </c:pt>
                <c:pt idx="10">
                  <c:v>36.799999999999997</c:v>
                </c:pt>
                <c:pt idx="11">
                  <c:v>21.5</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0.2</c:v>
                </c:pt>
                <c:pt idx="1">
                  <c:v>0.23</c:v>
                </c:pt>
                <c:pt idx="2">
                  <c:v>0.2</c:v>
                </c:pt>
                <c:pt idx="3">
                  <c:v>0.76</c:v>
                </c:pt>
                <c:pt idx="4">
                  <c:v>0.56000000000000005</c:v>
                </c:pt>
                <c:pt idx="5">
                  <c:v>0.6</c:v>
                </c:pt>
                <c:pt idx="6">
                  <c:v>0.56000000000000005</c:v>
                </c:pt>
                <c:pt idx="7">
                  <c:v>0.46</c:v>
                </c:pt>
                <c:pt idx="8">
                  <c:v>0.56000000000000005</c:v>
                </c:pt>
                <c:pt idx="9">
                  <c:v>0.56000000000000005</c:v>
                </c:pt>
                <c:pt idx="10">
                  <c:v>0.76</c:v>
                </c:pt>
                <c:pt idx="11">
                  <c:v>0.46</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0.6</c:v>
                </c:pt>
                <c:pt idx="1">
                  <c:v>0.7</c:v>
                </c:pt>
                <c:pt idx="2">
                  <c:v>1</c:v>
                </c:pt>
                <c:pt idx="3">
                  <c:v>2.8</c:v>
                </c:pt>
                <c:pt idx="4">
                  <c:v>2</c:v>
                </c:pt>
                <c:pt idx="5">
                  <c:v>5.3</c:v>
                </c:pt>
                <c:pt idx="6">
                  <c:v>1.9</c:v>
                </c:pt>
                <c:pt idx="7">
                  <c:v>1.7</c:v>
                </c:pt>
                <c:pt idx="8">
                  <c:v>1.7</c:v>
                </c:pt>
                <c:pt idx="9">
                  <c:v>2.1</c:v>
                </c:pt>
                <c:pt idx="10">
                  <c:v>2.2000000000000002</c:v>
                </c:pt>
                <c:pt idx="11">
                  <c:v>1.5</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152.43</c:v>
                </c:pt>
                <c:pt idx="1">
                  <c:v>150.13</c:v>
                </c:pt>
                <c:pt idx="2">
                  <c:v>147.63</c:v>
                </c:pt>
                <c:pt idx="3">
                  <c:v>141.56</c:v>
                </c:pt>
                <c:pt idx="4">
                  <c:v>137.93</c:v>
                </c:pt>
                <c:pt idx="5">
                  <c:v>121.56</c:v>
                </c:pt>
                <c:pt idx="6">
                  <c:v>119.46</c:v>
                </c:pt>
                <c:pt idx="7">
                  <c:v>120.56</c:v>
                </c:pt>
                <c:pt idx="8">
                  <c:v>128.93</c:v>
                </c:pt>
                <c:pt idx="9">
                  <c:v>137.69999999999999</c:v>
                </c:pt>
                <c:pt idx="10">
                  <c:v>138.4</c:v>
                </c:pt>
                <c:pt idx="11">
                  <c:v>123.7</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265.39999999999998</c:v>
                </c:pt>
                <c:pt idx="1">
                  <c:v>281.2</c:v>
                </c:pt>
                <c:pt idx="2">
                  <c:v>219.2</c:v>
                </c:pt>
                <c:pt idx="3">
                  <c:v>249.9</c:v>
                </c:pt>
                <c:pt idx="4">
                  <c:v>235.7</c:v>
                </c:pt>
                <c:pt idx="5">
                  <c:v>307.2</c:v>
                </c:pt>
                <c:pt idx="6">
                  <c:v>213.3</c:v>
                </c:pt>
                <c:pt idx="7">
                  <c:v>364.5</c:v>
                </c:pt>
                <c:pt idx="8">
                  <c:v>337.2</c:v>
                </c:pt>
                <c:pt idx="9">
                  <c:v>330.9</c:v>
                </c:pt>
                <c:pt idx="10">
                  <c:v>465.6</c:v>
                </c:pt>
                <c:pt idx="11">
                  <c:v>310.5</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152.86000000000001</c:v>
                </c:pt>
                <c:pt idx="1">
                  <c:v>150.4</c:v>
                </c:pt>
                <c:pt idx="2">
                  <c:v>97.1</c:v>
                </c:pt>
                <c:pt idx="3">
                  <c:v>141.93</c:v>
                </c:pt>
                <c:pt idx="4">
                  <c:v>137.93</c:v>
                </c:pt>
                <c:pt idx="5">
                  <c:v>121.26</c:v>
                </c:pt>
                <c:pt idx="6">
                  <c:v>118.86</c:v>
                </c:pt>
                <c:pt idx="7">
                  <c:v>120.9</c:v>
                </c:pt>
                <c:pt idx="8">
                  <c:v>127.36</c:v>
                </c:pt>
                <c:pt idx="9">
                  <c:v>137.16</c:v>
                </c:pt>
                <c:pt idx="10">
                  <c:v>138.46</c:v>
                </c:pt>
                <c:pt idx="11">
                  <c:v>123.4</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167.5</c:v>
                </c:pt>
                <c:pt idx="1">
                  <c:v>166</c:v>
                </c:pt>
                <c:pt idx="2">
                  <c:v>162.6</c:v>
                </c:pt>
                <c:pt idx="3">
                  <c:v>168.1</c:v>
                </c:pt>
                <c:pt idx="4">
                  <c:v>165.5</c:v>
                </c:pt>
                <c:pt idx="5">
                  <c:v>150.69999999999999</c:v>
                </c:pt>
                <c:pt idx="6">
                  <c:v>147.80000000000001</c:v>
                </c:pt>
                <c:pt idx="7">
                  <c:v>160.30000000000001</c:v>
                </c:pt>
                <c:pt idx="8">
                  <c:v>155.6</c:v>
                </c:pt>
                <c:pt idx="9">
                  <c:v>166.4</c:v>
                </c:pt>
                <c:pt idx="10">
                  <c:v>165.2</c:v>
                </c:pt>
                <c:pt idx="11">
                  <c:v>159.4</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0.4</c:v>
                </c:pt>
                <c:pt idx="1">
                  <c:v>0.33</c:v>
                </c:pt>
                <c:pt idx="2">
                  <c:v>0.3</c:v>
                </c:pt>
                <c:pt idx="3">
                  <c:v>0.4</c:v>
                </c:pt>
                <c:pt idx="4">
                  <c:v>0.36</c:v>
                </c:pt>
                <c:pt idx="5">
                  <c:v>0.4</c:v>
                </c:pt>
                <c:pt idx="6">
                  <c:v>0.46</c:v>
                </c:pt>
                <c:pt idx="7">
                  <c:v>0.43</c:v>
                </c:pt>
                <c:pt idx="8">
                  <c:v>0.43</c:v>
                </c:pt>
                <c:pt idx="9">
                  <c:v>0.76</c:v>
                </c:pt>
                <c:pt idx="10">
                  <c:v>0.3</c:v>
                </c:pt>
                <c:pt idx="11">
                  <c:v>0.3</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176.9</c:v>
                </c:pt>
                <c:pt idx="1">
                  <c:v>23.7</c:v>
                </c:pt>
                <c:pt idx="2">
                  <c:v>4.5</c:v>
                </c:pt>
                <c:pt idx="3">
                  <c:v>18</c:v>
                </c:pt>
                <c:pt idx="4">
                  <c:v>26</c:v>
                </c:pt>
                <c:pt idx="5">
                  <c:v>42.7</c:v>
                </c:pt>
                <c:pt idx="6">
                  <c:v>62.5</c:v>
                </c:pt>
                <c:pt idx="7">
                  <c:v>21.7</c:v>
                </c:pt>
                <c:pt idx="8">
                  <c:v>65.5</c:v>
                </c:pt>
                <c:pt idx="9">
                  <c:v>1292.9000000000001</c:v>
                </c:pt>
                <c:pt idx="10">
                  <c:v>27.3</c:v>
                </c:pt>
                <c:pt idx="11">
                  <c:v>37.9</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0.4</c:v>
                </c:pt>
                <c:pt idx="1">
                  <c:v>0.3</c:v>
                </c:pt>
                <c:pt idx="2">
                  <c:v>0.16</c:v>
                </c:pt>
                <c:pt idx="3">
                  <c:v>0.4</c:v>
                </c:pt>
                <c:pt idx="4">
                  <c:v>0.36</c:v>
                </c:pt>
                <c:pt idx="5">
                  <c:v>0.4</c:v>
                </c:pt>
                <c:pt idx="6">
                  <c:v>0.46</c:v>
                </c:pt>
                <c:pt idx="7">
                  <c:v>0.43</c:v>
                </c:pt>
                <c:pt idx="8">
                  <c:v>0.43</c:v>
                </c:pt>
                <c:pt idx="9">
                  <c:v>0.4</c:v>
                </c:pt>
                <c:pt idx="10">
                  <c:v>0.3</c:v>
                </c:pt>
                <c:pt idx="11">
                  <c:v>0.33</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4</c:v>
                </c:pt>
                <c:pt idx="1">
                  <c:v>0.7</c:v>
                </c:pt>
                <c:pt idx="2">
                  <c:v>0.6</c:v>
                </c:pt>
                <c:pt idx="3">
                  <c:v>0.9</c:v>
                </c:pt>
                <c:pt idx="4">
                  <c:v>1</c:v>
                </c:pt>
                <c:pt idx="5">
                  <c:v>1.3</c:v>
                </c:pt>
                <c:pt idx="6">
                  <c:v>1.8</c:v>
                </c:pt>
                <c:pt idx="7">
                  <c:v>1.4</c:v>
                </c:pt>
                <c:pt idx="8">
                  <c:v>1.7</c:v>
                </c:pt>
                <c:pt idx="9">
                  <c:v>1.5</c:v>
                </c:pt>
                <c:pt idx="10">
                  <c:v>0.8</c:v>
                </c:pt>
                <c:pt idx="11">
                  <c:v>1.3</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1.9</c:v>
                </c:pt>
                <c:pt idx="1">
                  <c:v>1.6</c:v>
                </c:pt>
                <c:pt idx="2">
                  <c:v>2.4300000000000002</c:v>
                </c:pt>
                <c:pt idx="3">
                  <c:v>0.3</c:v>
                </c:pt>
                <c:pt idx="4">
                  <c:v>0.36</c:v>
                </c:pt>
                <c:pt idx="5">
                  <c:v>0.6</c:v>
                </c:pt>
                <c:pt idx="6">
                  <c:v>0.63</c:v>
                </c:pt>
                <c:pt idx="7">
                  <c:v>1</c:v>
                </c:pt>
                <c:pt idx="8">
                  <c:v>1.26</c:v>
                </c:pt>
                <c:pt idx="9">
                  <c:v>1.03</c:v>
                </c:pt>
                <c:pt idx="10">
                  <c:v>1.6</c:v>
                </c:pt>
                <c:pt idx="11">
                  <c:v>2</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16.899999999999999</c:v>
                </c:pt>
                <c:pt idx="1">
                  <c:v>7.8</c:v>
                </c:pt>
                <c:pt idx="2">
                  <c:v>6.6</c:v>
                </c:pt>
                <c:pt idx="3">
                  <c:v>6.8</c:v>
                </c:pt>
                <c:pt idx="4">
                  <c:v>7.2</c:v>
                </c:pt>
                <c:pt idx="5">
                  <c:v>20.5</c:v>
                </c:pt>
                <c:pt idx="6">
                  <c:v>4.3</c:v>
                </c:pt>
                <c:pt idx="7">
                  <c:v>12</c:v>
                </c:pt>
                <c:pt idx="8">
                  <c:v>7.4</c:v>
                </c:pt>
                <c:pt idx="9">
                  <c:v>6.6</c:v>
                </c:pt>
                <c:pt idx="10">
                  <c:v>5.3</c:v>
                </c:pt>
                <c:pt idx="11">
                  <c:v>7.9</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1.86</c:v>
                </c:pt>
                <c:pt idx="1">
                  <c:v>1.66</c:v>
                </c:pt>
                <c:pt idx="2">
                  <c:v>1.2</c:v>
                </c:pt>
                <c:pt idx="3">
                  <c:v>0.3</c:v>
                </c:pt>
                <c:pt idx="4">
                  <c:v>0.4</c:v>
                </c:pt>
                <c:pt idx="5">
                  <c:v>0.6</c:v>
                </c:pt>
                <c:pt idx="6">
                  <c:v>0.6</c:v>
                </c:pt>
                <c:pt idx="7">
                  <c:v>0.96</c:v>
                </c:pt>
                <c:pt idx="8">
                  <c:v>1.33</c:v>
                </c:pt>
                <c:pt idx="9">
                  <c:v>1.03</c:v>
                </c:pt>
                <c:pt idx="10">
                  <c:v>1.6</c:v>
                </c:pt>
                <c:pt idx="11">
                  <c:v>2.0299999999999998</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4.3</c:v>
                </c:pt>
                <c:pt idx="1">
                  <c:v>4.2</c:v>
                </c:pt>
                <c:pt idx="2">
                  <c:v>3.6</c:v>
                </c:pt>
                <c:pt idx="3">
                  <c:v>1.9</c:v>
                </c:pt>
                <c:pt idx="4">
                  <c:v>2.7</c:v>
                </c:pt>
                <c:pt idx="5">
                  <c:v>4.3</c:v>
                </c:pt>
                <c:pt idx="6">
                  <c:v>3.3</c:v>
                </c:pt>
                <c:pt idx="7">
                  <c:v>3</c:v>
                </c:pt>
                <c:pt idx="8">
                  <c:v>4.2</c:v>
                </c:pt>
                <c:pt idx="9">
                  <c:v>2.8</c:v>
                </c:pt>
                <c:pt idx="10">
                  <c:v>4.0999999999999996</c:v>
                </c:pt>
                <c:pt idx="11">
                  <c:v>4.5999999999999996</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28.5</c:v>
                </c:pt>
                <c:pt idx="1">
                  <c:v>15.7</c:v>
                </c:pt>
                <c:pt idx="2">
                  <c:v>14.8</c:v>
                </c:pt>
                <c:pt idx="3">
                  <c:v>26.4</c:v>
                </c:pt>
                <c:pt idx="4">
                  <c:v>25.2</c:v>
                </c:pt>
                <c:pt idx="5">
                  <c:v>41.6</c:v>
                </c:pt>
                <c:pt idx="6">
                  <c:v>31.6</c:v>
                </c:pt>
                <c:pt idx="7">
                  <c:v>44.5</c:v>
                </c:pt>
                <c:pt idx="8">
                  <c:v>28.6</c:v>
                </c:pt>
                <c:pt idx="9">
                  <c:v>38.299999999999997</c:v>
                </c:pt>
                <c:pt idx="10">
                  <c:v>46.3</c:v>
                </c:pt>
                <c:pt idx="11">
                  <c:v>29.1</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846</c:v>
                </c:pt>
                <c:pt idx="1">
                  <c:v>1235.8</c:v>
                </c:pt>
                <c:pt idx="2">
                  <c:v>406</c:v>
                </c:pt>
                <c:pt idx="3">
                  <c:v>1089.9000000000001</c:v>
                </c:pt>
                <c:pt idx="4">
                  <c:v>10394.4</c:v>
                </c:pt>
                <c:pt idx="5">
                  <c:v>3605.8</c:v>
                </c:pt>
                <c:pt idx="6">
                  <c:v>4239.7</c:v>
                </c:pt>
                <c:pt idx="7">
                  <c:v>859.1</c:v>
                </c:pt>
                <c:pt idx="8">
                  <c:v>2764.4</c:v>
                </c:pt>
                <c:pt idx="9">
                  <c:v>24734.1</c:v>
                </c:pt>
                <c:pt idx="10">
                  <c:v>1214.4000000000001</c:v>
                </c:pt>
                <c:pt idx="11">
                  <c:v>1594.9</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4.0999999999999996</c:v>
                </c:pt>
                <c:pt idx="1">
                  <c:v>3.3</c:v>
                </c:pt>
                <c:pt idx="2">
                  <c:v>0.9</c:v>
                </c:pt>
                <c:pt idx="3">
                  <c:v>4.03</c:v>
                </c:pt>
                <c:pt idx="4">
                  <c:v>3.66</c:v>
                </c:pt>
                <c:pt idx="5">
                  <c:v>5.4</c:v>
                </c:pt>
                <c:pt idx="6">
                  <c:v>5.86</c:v>
                </c:pt>
                <c:pt idx="7">
                  <c:v>5.53</c:v>
                </c:pt>
                <c:pt idx="8">
                  <c:v>5.26</c:v>
                </c:pt>
                <c:pt idx="9">
                  <c:v>5.8</c:v>
                </c:pt>
                <c:pt idx="10">
                  <c:v>6.03</c:v>
                </c:pt>
                <c:pt idx="11">
                  <c:v>3.93</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13.7</c:v>
                </c:pt>
                <c:pt idx="1">
                  <c:v>12.2</c:v>
                </c:pt>
                <c:pt idx="2">
                  <c:v>7.3</c:v>
                </c:pt>
                <c:pt idx="3">
                  <c:v>24.1</c:v>
                </c:pt>
                <c:pt idx="4">
                  <c:v>34.9</c:v>
                </c:pt>
                <c:pt idx="5">
                  <c:v>28.4</c:v>
                </c:pt>
                <c:pt idx="6">
                  <c:v>35.799999999999997</c:v>
                </c:pt>
                <c:pt idx="7">
                  <c:v>18</c:v>
                </c:pt>
                <c:pt idx="8">
                  <c:v>23.7</c:v>
                </c:pt>
                <c:pt idx="9">
                  <c:v>31.2</c:v>
                </c:pt>
                <c:pt idx="10">
                  <c:v>19.7</c:v>
                </c:pt>
                <c:pt idx="11">
                  <c:v>22.8</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0.13</c:v>
                </c:pt>
                <c:pt idx="1">
                  <c:v>0.13</c:v>
                </c:pt>
                <c:pt idx="2">
                  <c:v>0.13</c:v>
                </c:pt>
                <c:pt idx="3">
                  <c:v>0.26</c:v>
                </c:pt>
                <c:pt idx="4">
                  <c:v>0.2</c:v>
                </c:pt>
                <c:pt idx="5">
                  <c:v>0.23</c:v>
                </c:pt>
                <c:pt idx="6">
                  <c:v>0.23</c:v>
                </c:pt>
                <c:pt idx="7">
                  <c:v>0.26</c:v>
                </c:pt>
                <c:pt idx="8">
                  <c:v>0.23</c:v>
                </c:pt>
                <c:pt idx="9">
                  <c:v>0.33</c:v>
                </c:pt>
                <c:pt idx="10">
                  <c:v>0.23</c:v>
                </c:pt>
                <c:pt idx="11">
                  <c:v>0.13</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8.3000000000000007</c:v>
                </c:pt>
                <c:pt idx="1">
                  <c:v>3.8</c:v>
                </c:pt>
                <c:pt idx="2">
                  <c:v>2.5</c:v>
                </c:pt>
                <c:pt idx="3">
                  <c:v>59.4</c:v>
                </c:pt>
                <c:pt idx="4">
                  <c:v>17.2</c:v>
                </c:pt>
                <c:pt idx="5">
                  <c:v>23.6</c:v>
                </c:pt>
                <c:pt idx="6">
                  <c:v>17.7</c:v>
                </c:pt>
                <c:pt idx="7">
                  <c:v>5.7</c:v>
                </c:pt>
                <c:pt idx="8">
                  <c:v>30.2</c:v>
                </c:pt>
                <c:pt idx="9">
                  <c:v>149.19999999999999</c:v>
                </c:pt>
                <c:pt idx="10">
                  <c:v>5.3</c:v>
                </c:pt>
                <c:pt idx="11">
                  <c:v>10.9</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0.13</c:v>
                </c:pt>
                <c:pt idx="1">
                  <c:v>0.13</c:v>
                </c:pt>
                <c:pt idx="2">
                  <c:v>0.06</c:v>
                </c:pt>
                <c:pt idx="3">
                  <c:v>0.2</c:v>
                </c:pt>
                <c:pt idx="4">
                  <c:v>0.16</c:v>
                </c:pt>
                <c:pt idx="5">
                  <c:v>0.23</c:v>
                </c:pt>
                <c:pt idx="6">
                  <c:v>0.23</c:v>
                </c:pt>
                <c:pt idx="7">
                  <c:v>0.26</c:v>
                </c:pt>
                <c:pt idx="8">
                  <c:v>0.23</c:v>
                </c:pt>
                <c:pt idx="9">
                  <c:v>0.26</c:v>
                </c:pt>
                <c:pt idx="10">
                  <c:v>0.23</c:v>
                </c:pt>
                <c:pt idx="11">
                  <c:v>0.13</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2</c:v>
                </c:pt>
                <c:pt idx="1">
                  <c:v>0.4</c:v>
                </c:pt>
                <c:pt idx="2">
                  <c:v>0.2</c:v>
                </c:pt>
                <c:pt idx="3">
                  <c:v>0.7</c:v>
                </c:pt>
                <c:pt idx="4">
                  <c:v>0.6</c:v>
                </c:pt>
                <c:pt idx="5">
                  <c:v>1.2</c:v>
                </c:pt>
                <c:pt idx="6">
                  <c:v>0.9</c:v>
                </c:pt>
                <c:pt idx="7">
                  <c:v>0.9</c:v>
                </c:pt>
                <c:pt idx="8">
                  <c:v>1</c:v>
                </c:pt>
                <c:pt idx="9">
                  <c:v>1.3</c:v>
                </c:pt>
                <c:pt idx="10">
                  <c:v>0.7</c:v>
                </c:pt>
                <c:pt idx="11">
                  <c:v>0.9</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0</xdr:row>
          <xdr:rowOff>15240</xdr:rowOff>
        </xdr:from>
        <xdr:to>
          <xdr:col>7</xdr:col>
          <xdr:colOff>60960</xdr:colOff>
          <xdr:row>5</xdr:row>
          <xdr:rowOff>182880</xdr:rowOff>
        </xdr:to>
        <xdr:sp macro="" textlink="">
          <xdr:nvSpPr>
            <xdr:cNvPr id="9219" name="Object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extLst>
              <a:ext uri="{909E8E84-426E-40DD-AFC4-6F175D3DCCD1}">
                <a14:hiddenFill>
                  <a:solidFill>
                    <a:srgbClr val="00264F"/>
                  </a:solidFill>
                </a14:hiddenFill>
              </a:ext>
            </a:extLst>
          </xdr:spPr>
        </xdr:sp>
        <xdr:clientData/>
      </xdr:twoCellAnchor>
    </mc:Choice>
    <mc:Fallback/>
  </mc:AlternateContent>
  <xdr:twoCellAnchor editAs="oneCell">
    <xdr:from>
      <xdr:col>1</xdr:col>
      <xdr:colOff>0</xdr:colOff>
      <xdr:row>7</xdr:row>
      <xdr:rowOff>0</xdr:rowOff>
    </xdr:from>
    <xdr:to>
      <xdr:col>9</xdr:col>
      <xdr:colOff>66675</xdr:colOff>
      <xdr:row>23</xdr:row>
      <xdr:rowOff>180975</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9125" y="1333500"/>
          <a:ext cx="5372100" cy="3238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66675</xdr:colOff>
      <xdr:row>58</xdr:row>
      <xdr:rowOff>144398</xdr:rowOff>
    </xdr:from>
    <xdr:to>
      <xdr:col>3</xdr:col>
      <xdr:colOff>161925</xdr:colOff>
      <xdr:row>60</xdr:row>
      <xdr:rowOff>140970</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43025" y="12603098"/>
          <a:ext cx="733425" cy="3966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85725</xdr:colOff>
      <xdr:row>27</xdr:row>
      <xdr:rowOff>10107</xdr:rowOff>
    </xdr:from>
    <xdr:to>
      <xdr:col>3</xdr:col>
      <xdr:colOff>295275</xdr:colOff>
      <xdr:row>29</xdr:row>
      <xdr:rowOff>112395</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81125" y="6315657"/>
          <a:ext cx="847725" cy="4642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327660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11.bin"/><Relationship Id="rId5" Type="http://schemas.openxmlformats.org/officeDocument/2006/relationships/image" Target="../media/image4.emf"/><Relationship Id="rId4" Type="http://schemas.openxmlformats.org/officeDocument/2006/relationships/oleObject" Target="../embeddings/oleObject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topLeftCell="A13" workbookViewId="0">
      <selection activeCell="L25" sqref="L25"/>
    </sheetView>
  </sheetViews>
  <sheetFormatPr defaultColWidth="9.109375" defaultRowHeight="15" x14ac:dyDescent="0.25"/>
  <cols>
    <col min="1" max="1" width="9.109375" style="2" customWidth="1"/>
    <col min="2" max="2" width="14.5546875" style="2" bestFit="1" customWidth="1"/>
    <col min="3" max="9" width="9.109375" style="2"/>
    <col min="10" max="10" width="11.5546875" style="2" customWidth="1"/>
    <col min="11" max="14" width="9.109375" style="2"/>
    <col min="15" max="15" width="9.109375" style="2" customWidth="1"/>
    <col min="16" max="16384" width="9.109375" style="2"/>
  </cols>
  <sheetData>
    <row r="1" spans="2:16" x14ac:dyDescent="0.25">
      <c r="B1" s="91"/>
      <c r="C1" s="91"/>
      <c r="D1" s="182" t="s">
        <v>0</v>
      </c>
      <c r="E1" s="182"/>
      <c r="F1" s="182"/>
      <c r="G1" s="182"/>
      <c r="H1" s="91"/>
      <c r="I1" s="91"/>
      <c r="J1" s="91"/>
      <c r="K1" s="91"/>
      <c r="L1" s="91"/>
      <c r="M1" s="91"/>
      <c r="N1" s="91"/>
      <c r="O1" s="91"/>
      <c r="P1" s="91"/>
    </row>
    <row r="2" spans="2:16" x14ac:dyDescent="0.25">
      <c r="B2" s="91"/>
      <c r="C2" s="91"/>
      <c r="D2" s="182"/>
      <c r="E2" s="182"/>
      <c r="F2" s="182"/>
      <c r="G2" s="182"/>
      <c r="H2" s="91"/>
      <c r="I2" s="91"/>
      <c r="J2" s="91"/>
      <c r="K2" s="91"/>
      <c r="L2" s="91"/>
      <c r="M2" s="91"/>
      <c r="N2" s="91" t="s">
        <v>1</v>
      </c>
      <c r="O2" s="91"/>
      <c r="P2" s="116"/>
    </row>
    <row r="3" spans="2:16" x14ac:dyDescent="0.25">
      <c r="B3" s="91"/>
      <c r="C3" s="91"/>
      <c r="D3" s="182"/>
      <c r="E3" s="182"/>
      <c r="F3" s="182"/>
      <c r="G3" s="182"/>
      <c r="H3" s="91"/>
      <c r="I3" s="91"/>
      <c r="J3" s="91"/>
      <c r="K3" s="91"/>
      <c r="L3" s="91"/>
      <c r="M3" s="91"/>
      <c r="N3" s="116"/>
      <c r="O3" s="91"/>
      <c r="P3" s="91"/>
    </row>
    <row r="4" spans="2:16" x14ac:dyDescent="0.25">
      <c r="B4" s="91"/>
      <c r="C4" s="91"/>
      <c r="D4" s="182"/>
      <c r="E4" s="182"/>
      <c r="F4" s="182"/>
      <c r="G4" s="182"/>
      <c r="H4" s="91"/>
      <c r="I4" s="91"/>
      <c r="J4" s="91"/>
      <c r="K4" s="91"/>
      <c r="L4" s="91"/>
      <c r="M4" s="91"/>
      <c r="N4" s="91"/>
      <c r="O4" s="91"/>
      <c r="P4" s="91"/>
    </row>
    <row r="5" spans="2:16" x14ac:dyDescent="0.25">
      <c r="B5" s="91"/>
      <c r="C5" s="91"/>
      <c r="D5" s="182"/>
      <c r="E5" s="182"/>
      <c r="F5" s="182"/>
      <c r="G5" s="182"/>
      <c r="H5" s="91"/>
      <c r="I5" s="91"/>
      <c r="J5" s="91"/>
      <c r="K5" s="91"/>
      <c r="L5" s="91"/>
      <c r="M5" s="91"/>
      <c r="N5" s="91"/>
      <c r="O5" s="91"/>
      <c r="P5" s="91"/>
    </row>
    <row r="6" spans="2:16" x14ac:dyDescent="0.25">
      <c r="B6" s="91"/>
      <c r="C6" s="91"/>
      <c r="D6" s="182"/>
      <c r="E6" s="182"/>
      <c r="F6" s="182"/>
      <c r="G6" s="182"/>
      <c r="H6" s="91"/>
      <c r="I6" s="91"/>
      <c r="J6" s="91"/>
      <c r="K6" s="91"/>
      <c r="L6" s="91"/>
      <c r="M6" s="91"/>
      <c r="N6" s="91"/>
      <c r="O6" s="91"/>
      <c r="P6" s="91"/>
    </row>
    <row r="8" spans="2:16" ht="15.75" customHeight="1" x14ac:dyDescent="0.25">
      <c r="B8" s="182" t="s">
        <v>2</v>
      </c>
      <c r="C8" s="182"/>
      <c r="D8" s="182"/>
      <c r="E8" s="182"/>
      <c r="F8" s="182"/>
      <c r="G8" s="182"/>
      <c r="H8" s="182"/>
      <c r="I8" s="182"/>
      <c r="J8" s="91"/>
      <c r="K8" s="91"/>
      <c r="L8" s="91"/>
      <c r="M8" s="91"/>
      <c r="N8" s="70"/>
      <c r="O8" s="91"/>
      <c r="P8" s="91"/>
    </row>
    <row r="9" spans="2:16" x14ac:dyDescent="0.25">
      <c r="B9" s="182"/>
      <c r="C9" s="182"/>
      <c r="D9" s="182"/>
      <c r="E9" s="182"/>
      <c r="F9" s="182"/>
      <c r="G9" s="182"/>
      <c r="H9" s="182"/>
      <c r="I9" s="182"/>
      <c r="J9" s="91"/>
      <c r="K9" s="91"/>
      <c r="L9" s="91"/>
      <c r="M9" s="91"/>
      <c r="N9" s="91"/>
      <c r="O9" s="91"/>
      <c r="P9" s="91"/>
    </row>
    <row r="10" spans="2:16" x14ac:dyDescent="0.25">
      <c r="B10" s="182"/>
      <c r="C10" s="182"/>
      <c r="D10" s="182"/>
      <c r="E10" s="182"/>
      <c r="F10" s="182"/>
      <c r="G10" s="182"/>
      <c r="H10" s="182"/>
      <c r="I10" s="182"/>
      <c r="J10" s="91"/>
      <c r="K10" s="91"/>
      <c r="L10" s="91"/>
      <c r="M10" s="91"/>
      <c r="N10" s="91"/>
      <c r="O10" s="91"/>
      <c r="P10" s="91"/>
    </row>
    <row r="11" spans="2:16" x14ac:dyDescent="0.25">
      <c r="B11" s="182"/>
      <c r="C11" s="182"/>
      <c r="D11" s="182"/>
      <c r="E11" s="182"/>
      <c r="F11" s="182"/>
      <c r="G11" s="182"/>
      <c r="H11" s="182"/>
      <c r="I11" s="182"/>
      <c r="J11" s="91"/>
      <c r="K11" s="91"/>
      <c r="L11" s="91"/>
      <c r="M11" s="91"/>
      <c r="N11" s="91"/>
      <c r="O11" s="91"/>
      <c r="P11" s="91"/>
    </row>
    <row r="12" spans="2:16" x14ac:dyDescent="0.25">
      <c r="B12" s="182"/>
      <c r="C12" s="182"/>
      <c r="D12" s="182"/>
      <c r="E12" s="182"/>
      <c r="F12" s="182"/>
      <c r="G12" s="182"/>
      <c r="H12" s="182"/>
      <c r="I12" s="182"/>
      <c r="J12" s="91"/>
      <c r="K12" s="91"/>
      <c r="L12" s="91"/>
      <c r="M12" s="91"/>
      <c r="N12" s="91"/>
      <c r="O12" s="91"/>
      <c r="P12" s="91"/>
    </row>
    <row r="13" spans="2:16" ht="15.6" x14ac:dyDescent="0.3">
      <c r="B13" s="182"/>
      <c r="C13" s="182"/>
      <c r="D13" s="182"/>
      <c r="E13" s="182"/>
      <c r="F13" s="182"/>
      <c r="G13" s="182"/>
      <c r="H13" s="182"/>
      <c r="I13" s="182"/>
      <c r="J13" s="91"/>
      <c r="K13" s="91"/>
      <c r="L13" s="91"/>
      <c r="M13" s="91"/>
      <c r="N13" s="74" t="s">
        <v>3</v>
      </c>
      <c r="O13" s="72"/>
      <c r="P13" s="72"/>
    </row>
    <row r="14" spans="2:16" ht="15.6" customHeight="1" x14ac:dyDescent="0.25">
      <c r="B14" s="182"/>
      <c r="C14" s="182"/>
      <c r="D14" s="182"/>
      <c r="E14" s="182"/>
      <c r="F14" s="182"/>
      <c r="G14" s="182"/>
      <c r="H14" s="182"/>
      <c r="I14" s="182"/>
      <c r="J14" s="91"/>
      <c r="K14" s="91"/>
      <c r="L14" s="91"/>
      <c r="M14" s="91"/>
      <c r="N14" s="180" t="s">
        <v>4</v>
      </c>
      <c r="O14" s="180"/>
      <c r="P14" s="180"/>
    </row>
    <row r="15" spans="2:16" x14ac:dyDescent="0.25">
      <c r="B15" s="182"/>
      <c r="C15" s="182"/>
      <c r="D15" s="182"/>
      <c r="E15" s="182"/>
      <c r="F15" s="182"/>
      <c r="G15" s="182"/>
      <c r="H15" s="182"/>
      <c r="I15" s="182"/>
      <c r="J15" s="91"/>
      <c r="K15" s="91"/>
      <c r="L15" s="91"/>
      <c r="M15" s="91"/>
      <c r="N15" s="180"/>
      <c r="O15" s="180"/>
      <c r="P15" s="180"/>
    </row>
    <row r="16" spans="2:16" x14ac:dyDescent="0.25">
      <c r="B16" s="182"/>
      <c r="C16" s="182"/>
      <c r="D16" s="182"/>
      <c r="E16" s="182"/>
      <c r="F16" s="182"/>
      <c r="G16" s="182"/>
      <c r="H16" s="182"/>
      <c r="I16" s="182"/>
      <c r="J16" s="91"/>
      <c r="K16" s="91"/>
      <c r="L16" s="91"/>
      <c r="M16" s="91"/>
      <c r="N16" s="180"/>
      <c r="O16" s="180"/>
      <c r="P16" s="180"/>
    </row>
    <row r="17" spans="2:16" x14ac:dyDescent="0.25">
      <c r="B17" s="182"/>
      <c r="C17" s="182"/>
      <c r="D17" s="182"/>
      <c r="E17" s="182"/>
      <c r="F17" s="182"/>
      <c r="G17" s="182"/>
      <c r="H17" s="182"/>
      <c r="I17" s="182"/>
      <c r="J17" s="91"/>
      <c r="K17" s="91"/>
      <c r="L17" s="91"/>
      <c r="M17" s="91"/>
      <c r="N17" s="180"/>
      <c r="O17" s="180"/>
      <c r="P17" s="180"/>
    </row>
    <row r="18" spans="2:16" x14ac:dyDescent="0.25">
      <c r="B18" s="182"/>
      <c r="C18" s="182"/>
      <c r="D18" s="182"/>
      <c r="E18" s="182"/>
      <c r="F18" s="182"/>
      <c r="G18" s="182"/>
      <c r="H18" s="182"/>
      <c r="I18" s="182"/>
      <c r="J18" s="91"/>
      <c r="K18" s="91"/>
      <c r="L18" s="91"/>
      <c r="M18" s="91"/>
      <c r="N18" s="180"/>
      <c r="O18" s="180"/>
      <c r="P18" s="180"/>
    </row>
    <row r="19" spans="2:16" x14ac:dyDescent="0.25">
      <c r="B19" s="182"/>
      <c r="C19" s="182"/>
      <c r="D19" s="182"/>
      <c r="E19" s="182"/>
      <c r="F19" s="182"/>
      <c r="G19" s="182"/>
      <c r="H19" s="182"/>
      <c r="I19" s="182"/>
      <c r="J19" s="91"/>
      <c r="K19" s="91"/>
      <c r="L19" s="91"/>
      <c r="M19" s="91"/>
      <c r="N19" s="180"/>
      <c r="O19" s="180"/>
      <c r="P19" s="180"/>
    </row>
    <row r="20" spans="2:16" x14ac:dyDescent="0.25">
      <c r="B20" s="182"/>
      <c r="C20" s="182"/>
      <c r="D20" s="182"/>
      <c r="E20" s="182"/>
      <c r="F20" s="182"/>
      <c r="G20" s="182"/>
      <c r="H20" s="182"/>
      <c r="I20" s="182"/>
      <c r="J20" s="91"/>
      <c r="K20" s="91"/>
      <c r="L20" s="91"/>
      <c r="M20" s="91"/>
      <c r="N20" s="91"/>
      <c r="O20" s="91"/>
      <c r="P20" s="91"/>
    </row>
    <row r="21" spans="2:16" x14ac:dyDescent="0.25">
      <c r="B21" s="182"/>
      <c r="C21" s="182"/>
      <c r="D21" s="182"/>
      <c r="E21" s="182"/>
      <c r="F21" s="182"/>
      <c r="G21" s="182"/>
      <c r="H21" s="182"/>
      <c r="I21" s="182"/>
      <c r="J21" s="91"/>
      <c r="K21" s="91"/>
      <c r="L21" s="91"/>
      <c r="M21" s="91"/>
      <c r="N21" s="91"/>
      <c r="O21" s="91"/>
      <c r="P21" s="91"/>
    </row>
    <row r="22" spans="2:16" x14ac:dyDescent="0.25">
      <c r="B22" s="182"/>
      <c r="C22" s="182"/>
      <c r="D22" s="182"/>
      <c r="E22" s="182"/>
      <c r="F22" s="182"/>
      <c r="G22" s="182"/>
      <c r="H22" s="182"/>
      <c r="I22" s="182"/>
      <c r="J22" s="91"/>
      <c r="K22" s="91"/>
      <c r="L22" s="91"/>
      <c r="M22" s="91"/>
      <c r="N22" s="91"/>
      <c r="O22" s="91"/>
      <c r="P22" s="91"/>
    </row>
    <row r="23" spans="2:16" x14ac:dyDescent="0.25">
      <c r="B23" s="182"/>
      <c r="C23" s="182"/>
      <c r="D23" s="182"/>
      <c r="E23" s="182"/>
      <c r="F23" s="182"/>
      <c r="G23" s="182"/>
      <c r="H23" s="182"/>
      <c r="I23" s="182"/>
      <c r="J23" s="91"/>
      <c r="K23" s="91"/>
      <c r="L23" s="91"/>
      <c r="M23" s="91"/>
      <c r="N23" s="91"/>
      <c r="O23" s="91"/>
      <c r="P23" s="91"/>
    </row>
    <row r="24" spans="2:16" x14ac:dyDescent="0.25">
      <c r="B24" s="182"/>
      <c r="C24" s="182"/>
      <c r="D24" s="182"/>
      <c r="E24" s="182"/>
      <c r="F24" s="182"/>
      <c r="G24" s="182"/>
      <c r="H24" s="182"/>
      <c r="I24" s="182"/>
      <c r="J24" s="91"/>
      <c r="K24" s="91"/>
      <c r="L24" s="91"/>
      <c r="M24" s="91"/>
      <c r="N24" s="91"/>
      <c r="O24" s="91"/>
      <c r="P24" s="91"/>
    </row>
    <row r="29" spans="2:16" ht="17.399999999999999" x14ac:dyDescent="0.3">
      <c r="B29" s="181" t="s">
        <v>5</v>
      </c>
      <c r="C29" s="181"/>
      <c r="D29" s="181"/>
      <c r="E29" s="181"/>
      <c r="F29" s="181"/>
      <c r="G29" s="181"/>
      <c r="H29" s="181"/>
      <c r="I29" s="181"/>
      <c r="J29" s="91"/>
      <c r="K29" s="91"/>
      <c r="L29" s="91"/>
      <c r="M29" s="91"/>
      <c r="N29" s="91"/>
      <c r="O29" s="91"/>
      <c r="P29" s="91"/>
    </row>
    <row r="30" spans="2:16" ht="17.399999999999999" x14ac:dyDescent="0.3">
      <c r="B30" s="91"/>
      <c r="C30" s="7"/>
      <c r="D30" s="8"/>
      <c r="E30" s="8"/>
      <c r="F30" s="8"/>
      <c r="G30" s="8"/>
      <c r="H30" s="8"/>
      <c r="I30" s="8"/>
      <c r="J30" s="91"/>
      <c r="K30" s="91"/>
      <c r="L30" s="91"/>
      <c r="M30" s="91"/>
      <c r="N30" s="91"/>
      <c r="O30" s="91"/>
      <c r="P30" s="91"/>
    </row>
    <row r="31" spans="2:16" ht="17.399999999999999" x14ac:dyDescent="0.3">
      <c r="B31" s="181" t="s">
        <v>6</v>
      </c>
      <c r="C31" s="181"/>
      <c r="D31" s="181"/>
      <c r="E31" s="181"/>
      <c r="F31" s="181"/>
      <c r="G31" s="181"/>
      <c r="H31" s="181"/>
      <c r="I31" s="181"/>
      <c r="J31" s="91"/>
      <c r="K31" s="91"/>
      <c r="L31" s="91"/>
      <c r="M31" s="91"/>
      <c r="N31" s="91"/>
      <c r="O31" s="91"/>
      <c r="P31" s="91"/>
    </row>
    <row r="32" spans="2:16" ht="17.399999999999999" x14ac:dyDescent="0.3">
      <c r="B32" s="91"/>
      <c r="C32" s="7"/>
      <c r="D32" s="8"/>
      <c r="E32" s="8"/>
      <c r="F32" s="8"/>
      <c r="G32" s="8"/>
      <c r="H32" s="8"/>
      <c r="I32" s="8"/>
      <c r="J32" s="91"/>
      <c r="K32" s="91"/>
      <c r="L32" s="91"/>
      <c r="M32" s="91"/>
      <c r="N32" s="91"/>
      <c r="O32" s="91"/>
      <c r="P32" s="91"/>
    </row>
    <row r="33" spans="2:9" ht="17.399999999999999" x14ac:dyDescent="0.3">
      <c r="B33" s="181" t="s">
        <v>7</v>
      </c>
      <c r="C33" s="181"/>
      <c r="D33" s="181"/>
      <c r="E33" s="181"/>
      <c r="F33" s="181"/>
      <c r="G33" s="181"/>
      <c r="H33" s="181"/>
      <c r="I33" s="181"/>
    </row>
    <row r="34" spans="2:9" ht="17.399999999999999" x14ac:dyDescent="0.3">
      <c r="B34" s="91"/>
      <c r="C34" s="7"/>
      <c r="D34" s="8"/>
      <c r="E34" s="8"/>
      <c r="F34" s="8"/>
      <c r="G34" s="8"/>
      <c r="H34" s="8"/>
      <c r="I34" s="8"/>
    </row>
    <row r="35" spans="2:9" ht="17.399999999999999" x14ac:dyDescent="0.3">
      <c r="B35" s="181" t="s">
        <v>8</v>
      </c>
      <c r="C35" s="181"/>
      <c r="D35" s="181"/>
      <c r="E35" s="181"/>
      <c r="F35" s="181"/>
      <c r="G35" s="181"/>
      <c r="H35" s="181"/>
      <c r="I35" s="181"/>
    </row>
    <row r="37" spans="2:9" ht="17.399999999999999" x14ac:dyDescent="0.3">
      <c r="B37" s="181" t="s">
        <v>7</v>
      </c>
      <c r="C37" s="181"/>
      <c r="D37" s="181"/>
      <c r="E37" s="181"/>
      <c r="F37" s="181"/>
      <c r="G37" s="181"/>
      <c r="H37" s="181"/>
      <c r="I37" s="181"/>
    </row>
    <row r="39" spans="2:9" x14ac:dyDescent="0.25">
      <c r="B39" s="91" t="s">
        <v>9</v>
      </c>
      <c r="C39" s="99">
        <v>2022</v>
      </c>
      <c r="D39" s="91"/>
      <c r="E39" s="91"/>
      <c r="F39" s="91"/>
      <c r="G39" s="91"/>
      <c r="H39" s="91"/>
      <c r="I39" s="91"/>
    </row>
    <row r="40" spans="2:9" ht="14.25" customHeight="1" x14ac:dyDescent="0.25">
      <c r="B40" s="91"/>
      <c r="C40" s="91"/>
      <c r="D40" s="91"/>
      <c r="E40" s="91"/>
      <c r="F40" s="91"/>
      <c r="G40" s="91"/>
      <c r="H40" s="91"/>
      <c r="I40" s="91"/>
    </row>
    <row r="41" spans="2:9" x14ac:dyDescent="0.25">
      <c r="B41" s="117" t="s">
        <v>10</v>
      </c>
      <c r="C41" s="183" t="s">
        <v>11</v>
      </c>
      <c r="D41" s="183"/>
      <c r="E41" s="183"/>
      <c r="F41" s="183"/>
      <c r="G41" s="183"/>
      <c r="H41" s="183"/>
      <c r="I41" s="183"/>
    </row>
    <row r="42" spans="2:9" x14ac:dyDescent="0.25">
      <c r="B42" s="117"/>
      <c r="C42" s="91"/>
      <c r="D42" s="91"/>
      <c r="E42" s="91"/>
      <c r="F42" s="91"/>
      <c r="G42" s="91"/>
      <c r="H42" s="91"/>
      <c r="I42" s="91"/>
    </row>
    <row r="43" spans="2:9" x14ac:dyDescent="0.25">
      <c r="B43" s="117" t="s">
        <v>12</v>
      </c>
      <c r="C43" s="183" t="s">
        <v>13</v>
      </c>
      <c r="D43" s="183"/>
      <c r="E43" s="183"/>
      <c r="F43" s="91"/>
      <c r="G43" s="91"/>
      <c r="H43" s="91"/>
      <c r="I43" s="91"/>
    </row>
    <row r="44" spans="2:9" x14ac:dyDescent="0.25">
      <c r="B44" s="117"/>
      <c r="C44" s="91"/>
      <c r="D44" s="91"/>
      <c r="E44" s="91"/>
      <c r="F44" s="91"/>
      <c r="G44" s="91"/>
      <c r="H44" s="91"/>
      <c r="I44" s="91"/>
    </row>
    <row r="45" spans="2:9" x14ac:dyDescent="0.25">
      <c r="B45" s="117" t="s">
        <v>14</v>
      </c>
      <c r="C45" s="183"/>
      <c r="D45" s="183"/>
      <c r="E45" s="183"/>
      <c r="F45" s="91"/>
      <c r="G45" s="91"/>
      <c r="H45" s="91"/>
      <c r="I45" s="91"/>
    </row>
    <row r="46" spans="2:9" x14ac:dyDescent="0.25">
      <c r="B46" s="117"/>
      <c r="C46" s="91"/>
      <c r="D46" s="91"/>
      <c r="E46" s="91"/>
      <c r="F46" s="91"/>
      <c r="G46" s="91"/>
      <c r="H46" s="91"/>
      <c r="I46" s="91"/>
    </row>
    <row r="47" spans="2:9" x14ac:dyDescent="0.25">
      <c r="B47" s="117" t="s">
        <v>15</v>
      </c>
      <c r="C47" s="183" t="s">
        <v>16</v>
      </c>
      <c r="D47" s="183"/>
      <c r="E47" s="91"/>
      <c r="F47" s="91" t="s">
        <v>17</v>
      </c>
      <c r="G47" s="183" t="s">
        <v>18</v>
      </c>
      <c r="H47" s="183"/>
      <c r="I47" s="183"/>
    </row>
    <row r="48" spans="2:9" x14ac:dyDescent="0.25">
      <c r="B48" s="117"/>
      <c r="C48" s="91"/>
      <c r="D48" s="91"/>
      <c r="E48" s="91"/>
      <c r="F48" s="91"/>
      <c r="G48" s="91"/>
      <c r="H48" s="91"/>
      <c r="I48" s="91"/>
    </row>
    <row r="49" spans="2:9" x14ac:dyDescent="0.25">
      <c r="B49" s="117" t="s">
        <v>19</v>
      </c>
      <c r="C49" s="183" t="s">
        <v>20</v>
      </c>
      <c r="D49" s="183"/>
      <c r="E49" s="91"/>
      <c r="F49" s="91" t="s">
        <v>17</v>
      </c>
      <c r="G49" s="183" t="s">
        <v>21</v>
      </c>
      <c r="H49" s="183"/>
      <c r="I49" s="183"/>
    </row>
    <row r="50" spans="2:9" x14ac:dyDescent="0.25">
      <c r="B50" s="117"/>
      <c r="C50" s="91"/>
      <c r="D50" s="91"/>
      <c r="E50" s="91"/>
      <c r="F50" s="91"/>
      <c r="G50" s="91"/>
      <c r="H50" s="91"/>
      <c r="I50" s="91"/>
    </row>
    <row r="51" spans="2:9" x14ac:dyDescent="0.25">
      <c r="B51" s="117" t="s">
        <v>22</v>
      </c>
      <c r="C51" s="99">
        <v>1</v>
      </c>
      <c r="D51" s="91"/>
      <c r="E51" s="91"/>
      <c r="F51" s="91"/>
      <c r="G51" s="91"/>
      <c r="H51" s="91"/>
      <c r="I51" s="91"/>
    </row>
    <row r="52" spans="2:9" x14ac:dyDescent="0.25">
      <c r="B52" s="117"/>
      <c r="C52" s="91"/>
      <c r="D52" s="91"/>
      <c r="E52" s="91"/>
      <c r="F52" s="91"/>
      <c r="G52" s="91"/>
      <c r="H52" s="91"/>
      <c r="I52" s="91"/>
    </row>
    <row r="53" spans="2:9" x14ac:dyDescent="0.25">
      <c r="B53" s="117" t="s">
        <v>23</v>
      </c>
      <c r="C53" s="183" t="s">
        <v>24</v>
      </c>
      <c r="D53" s="183"/>
      <c r="E53" s="91"/>
      <c r="F53" s="91"/>
      <c r="G53" s="91"/>
      <c r="H53" s="91"/>
      <c r="I53" s="91"/>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pageMargins left="1.0899999999999999" right="0.7" top="0.75" bottom="0.75" header="0.3" footer="0.3"/>
  <pageSetup scale="80" orientation="portrait" r:id="rId1"/>
  <headerFooter differentFirst="1"/>
  <drawing r:id="rId2"/>
  <legacyDrawing r:id="rId3"/>
  <oleObjects>
    <mc:AlternateContent xmlns:mc="http://schemas.openxmlformats.org/markup-compatibility/2006">
      <mc:Choice Requires="x14">
        <oleObject shapeId="9219" r:id="rId4">
          <objectPr defaultSize="0" autoPict="0" r:id="rId5">
            <anchor moveWithCells="1" sizeWithCells="1">
              <from>
                <xdr:col>3</xdr:col>
                <xdr:colOff>30480</xdr:colOff>
                <xdr:row>0</xdr:row>
                <xdr:rowOff>15240</xdr:rowOff>
              </from>
              <to>
                <xdr:col>7</xdr:col>
                <xdr:colOff>60960</xdr:colOff>
                <xdr:row>5</xdr:row>
                <xdr:rowOff>182880</xdr:rowOff>
              </to>
            </anchor>
          </objectPr>
        </oleObject>
      </mc:Choice>
      <mc:Fallback>
        <oleObject shapeId="9219" r:id="rId4"/>
      </mc:Fallback>
    </mc:AlternateContent>
  </oleObjects>
  <mc:AlternateContent xmlns:mc="http://schemas.openxmlformats.org/markup-compatibility/2006">
    <mc:Choice Requires="x14">
      <controls>
        <mc:AlternateContent xmlns:mc="http://schemas.openxmlformats.org/markup-compatibility/2006">
          <mc:Choice Requires="x14">
            <control shapeId="9217" r:id="rId6"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7"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B15" sqref="B15:G15"/>
    </sheetView>
  </sheetViews>
  <sheetFormatPr defaultColWidth="9.109375" defaultRowHeight="15" x14ac:dyDescent="0.25"/>
  <cols>
    <col min="1" max="1" width="9.109375" style="2" customWidth="1"/>
    <col min="2" max="2" width="14.5546875" style="2" bestFit="1" customWidth="1"/>
    <col min="3" max="9" width="9.109375" style="2"/>
    <col min="10" max="10" width="11.5546875" style="2" customWidth="1"/>
    <col min="11" max="16384" width="9.109375" style="2"/>
  </cols>
  <sheetData>
    <row r="1" spans="1:15" x14ac:dyDescent="0.25">
      <c r="A1" s="91" t="str">
        <f>+'Cover Page'!$B$29</f>
        <v>Annual Performance Report 2022</v>
      </c>
      <c r="B1" s="91"/>
      <c r="C1" s="91"/>
      <c r="D1" s="91"/>
      <c r="E1" s="91" t="str">
        <f>+'Cover Page'!$B$33</f>
        <v>Kent Enviropower Limited</v>
      </c>
      <c r="F1" s="91"/>
      <c r="G1" s="91"/>
      <c r="H1" s="91"/>
      <c r="I1" s="91"/>
      <c r="J1" s="91"/>
      <c r="K1" s="91"/>
      <c r="L1" s="91"/>
      <c r="M1" s="91"/>
      <c r="N1" s="91"/>
      <c r="O1" s="91"/>
    </row>
    <row r="3" spans="1:15" ht="15.6" x14ac:dyDescent="0.3">
      <c r="A3" s="52" t="s">
        <v>25</v>
      </c>
      <c r="B3" s="118"/>
      <c r="C3" s="118"/>
      <c r="D3" s="118"/>
      <c r="E3" s="118"/>
      <c r="F3" s="118"/>
      <c r="G3" s="118"/>
      <c r="H3" s="119"/>
      <c r="I3" s="91"/>
      <c r="J3" s="91"/>
      <c r="K3" s="74" t="s">
        <v>3</v>
      </c>
      <c r="L3" s="91"/>
      <c r="M3" s="91"/>
      <c r="N3" s="91"/>
      <c r="O3" s="91"/>
    </row>
    <row r="4" spans="1:15" ht="15.6" x14ac:dyDescent="0.3">
      <c r="A4" s="5" t="s">
        <v>26</v>
      </c>
      <c r="B4" s="185" t="s">
        <v>27</v>
      </c>
      <c r="C4" s="185"/>
      <c r="D4" s="185"/>
      <c r="E4" s="185"/>
      <c r="F4" s="185"/>
      <c r="G4" s="185"/>
      <c r="H4" s="6" t="s">
        <v>28</v>
      </c>
      <c r="I4" s="91"/>
      <c r="J4" s="91"/>
      <c r="K4" s="72" t="s">
        <v>29</v>
      </c>
      <c r="L4" s="91"/>
      <c r="M4" s="91"/>
      <c r="N4" s="91"/>
      <c r="O4" s="91"/>
    </row>
    <row r="5" spans="1:15" ht="15.6" customHeight="1" x14ac:dyDescent="0.25">
      <c r="A5" s="4"/>
      <c r="B5" s="184" t="s">
        <v>30</v>
      </c>
      <c r="C5" s="184"/>
      <c r="D5" s="184"/>
      <c r="E5" s="184"/>
      <c r="F5" s="184"/>
      <c r="G5" s="184"/>
      <c r="H5" s="4"/>
      <c r="I5" s="91"/>
      <c r="J5" s="91"/>
      <c r="K5" s="180" t="s">
        <v>31</v>
      </c>
      <c r="L5" s="180"/>
      <c r="M5" s="180"/>
      <c r="N5" s="180"/>
      <c r="O5" s="180"/>
    </row>
    <row r="6" spans="1:15" x14ac:dyDescent="0.25">
      <c r="A6" s="4"/>
      <c r="B6" s="184" t="s">
        <v>32</v>
      </c>
      <c r="C6" s="184"/>
      <c r="D6" s="184"/>
      <c r="E6" s="184"/>
      <c r="F6" s="184"/>
      <c r="G6" s="184"/>
      <c r="H6" s="4"/>
      <c r="I6" s="91"/>
      <c r="J6" s="91"/>
      <c r="K6" s="180"/>
      <c r="L6" s="180"/>
      <c r="M6" s="180"/>
      <c r="N6" s="180"/>
      <c r="O6" s="180"/>
    </row>
    <row r="7" spans="1:15" ht="15.75" customHeight="1" x14ac:dyDescent="0.25">
      <c r="A7" s="4"/>
      <c r="B7" s="184" t="s">
        <v>33</v>
      </c>
      <c r="C7" s="184"/>
      <c r="D7" s="184"/>
      <c r="E7" s="184"/>
      <c r="F7" s="184"/>
      <c r="G7" s="184"/>
      <c r="H7" s="4"/>
      <c r="I7" s="91"/>
      <c r="J7" s="91"/>
      <c r="K7" s="180"/>
      <c r="L7" s="180"/>
      <c r="M7" s="180"/>
      <c r="N7" s="180"/>
      <c r="O7" s="180"/>
    </row>
    <row r="8" spans="1:15" x14ac:dyDescent="0.25">
      <c r="A8" s="4"/>
      <c r="B8" s="184" t="s">
        <v>34</v>
      </c>
      <c r="C8" s="184"/>
      <c r="D8" s="184"/>
      <c r="E8" s="184"/>
      <c r="F8" s="184"/>
      <c r="G8" s="184"/>
      <c r="H8" s="4"/>
      <c r="I8" s="91"/>
      <c r="J8" s="91"/>
      <c r="K8" s="180"/>
      <c r="L8" s="180"/>
      <c r="M8" s="180"/>
      <c r="N8" s="180"/>
      <c r="O8" s="180"/>
    </row>
    <row r="9" spans="1:15" x14ac:dyDescent="0.25">
      <c r="A9" s="4"/>
      <c r="B9" s="184" t="s">
        <v>35</v>
      </c>
      <c r="C9" s="184"/>
      <c r="D9" s="184"/>
      <c r="E9" s="184"/>
      <c r="F9" s="184"/>
      <c r="G9" s="184"/>
      <c r="H9" s="4"/>
      <c r="I9" s="91"/>
      <c r="J9" s="91"/>
      <c r="K9" s="91"/>
      <c r="L9" s="91"/>
      <c r="M9" s="91"/>
      <c r="N9" s="91"/>
      <c r="O9" s="91"/>
    </row>
    <row r="10" spans="1:15" x14ac:dyDescent="0.25">
      <c r="A10" s="4"/>
      <c r="B10" s="184" t="s">
        <v>36</v>
      </c>
      <c r="C10" s="184"/>
      <c r="D10" s="184"/>
      <c r="E10" s="184"/>
      <c r="F10" s="184"/>
      <c r="G10" s="184"/>
      <c r="H10" s="4"/>
      <c r="I10" s="91"/>
      <c r="J10" s="91"/>
      <c r="K10" s="91"/>
      <c r="L10" s="91"/>
      <c r="M10" s="91"/>
      <c r="N10" s="91"/>
      <c r="O10" s="91"/>
    </row>
    <row r="11" spans="1:15" x14ac:dyDescent="0.25">
      <c r="A11" s="4"/>
      <c r="B11" s="184" t="s">
        <v>37</v>
      </c>
      <c r="C11" s="184"/>
      <c r="D11" s="184"/>
      <c r="E11" s="184"/>
      <c r="F11" s="184"/>
      <c r="G11" s="184"/>
      <c r="H11" s="4"/>
      <c r="I11" s="91"/>
      <c r="J11" s="91"/>
      <c r="K11" s="91"/>
      <c r="L11" s="91"/>
      <c r="M11" s="91"/>
      <c r="N11" s="91"/>
      <c r="O11" s="91"/>
    </row>
    <row r="12" spans="1:15" x14ac:dyDescent="0.25">
      <c r="A12" s="4"/>
      <c r="B12" s="184" t="s">
        <v>38</v>
      </c>
      <c r="C12" s="184"/>
      <c r="D12" s="184"/>
      <c r="E12" s="184"/>
      <c r="F12" s="184"/>
      <c r="G12" s="184"/>
      <c r="H12" s="4"/>
      <c r="I12" s="91"/>
      <c r="J12" s="91"/>
      <c r="K12" s="91"/>
      <c r="L12" s="91"/>
      <c r="M12" s="91"/>
      <c r="N12" s="91"/>
      <c r="O12" s="91"/>
    </row>
    <row r="13" spans="1:15" ht="15.6" x14ac:dyDescent="0.3">
      <c r="A13" s="4"/>
      <c r="B13" s="186" t="s">
        <v>39</v>
      </c>
      <c r="C13" s="187"/>
      <c r="D13" s="187"/>
      <c r="E13" s="187"/>
      <c r="F13" s="187"/>
      <c r="G13" s="188"/>
      <c r="H13" s="4"/>
      <c r="I13" s="91"/>
      <c r="J13" s="91"/>
      <c r="K13" s="91"/>
      <c r="L13" s="91"/>
      <c r="M13" s="91"/>
      <c r="N13" s="91"/>
      <c r="O13" s="91"/>
    </row>
    <row r="14" spans="1:15" x14ac:dyDescent="0.25">
      <c r="A14" s="4"/>
      <c r="B14" s="184" t="s">
        <v>40</v>
      </c>
      <c r="C14" s="184"/>
      <c r="D14" s="184"/>
      <c r="E14" s="184"/>
      <c r="F14" s="184"/>
      <c r="G14" s="184"/>
      <c r="H14" s="4"/>
      <c r="I14" s="91"/>
      <c r="J14" s="91"/>
      <c r="K14" s="91"/>
      <c r="L14" s="91"/>
      <c r="M14" s="91"/>
      <c r="N14" s="91"/>
      <c r="O14" s="91"/>
    </row>
    <row r="15" spans="1:15" x14ac:dyDescent="0.25">
      <c r="A15" s="4"/>
      <c r="B15" s="184" t="s">
        <v>41</v>
      </c>
      <c r="C15" s="184"/>
      <c r="D15" s="184"/>
      <c r="E15" s="184"/>
      <c r="F15" s="184"/>
      <c r="G15" s="184"/>
      <c r="H15" s="4"/>
      <c r="I15" s="91"/>
      <c r="J15" s="91"/>
      <c r="K15" s="91"/>
      <c r="L15" s="91"/>
      <c r="M15" s="91"/>
      <c r="N15" s="91"/>
      <c r="O15" s="91"/>
    </row>
    <row r="16" spans="1:15" x14ac:dyDescent="0.25">
      <c r="A16" s="4"/>
      <c r="B16" s="184" t="s">
        <v>42</v>
      </c>
      <c r="C16" s="184"/>
      <c r="D16" s="184"/>
      <c r="E16" s="184"/>
      <c r="F16" s="184"/>
      <c r="G16" s="184"/>
      <c r="H16" s="4"/>
      <c r="I16" s="91"/>
      <c r="J16" s="91"/>
      <c r="K16" s="91"/>
      <c r="L16" s="91"/>
      <c r="M16" s="91"/>
      <c r="N16" s="91"/>
      <c r="O16" s="91"/>
    </row>
    <row r="17" spans="1:8" x14ac:dyDescent="0.25">
      <c r="A17" s="4"/>
      <c r="B17" s="184" t="s">
        <v>43</v>
      </c>
      <c r="C17" s="184"/>
      <c r="D17" s="184"/>
      <c r="E17" s="184"/>
      <c r="F17" s="184"/>
      <c r="G17" s="184"/>
      <c r="H17" s="4"/>
    </row>
    <row r="18" spans="1:8" x14ac:dyDescent="0.25">
      <c r="A18" s="4"/>
      <c r="B18" s="184" t="s">
        <v>44</v>
      </c>
      <c r="C18" s="184"/>
      <c r="D18" s="184"/>
      <c r="E18" s="184"/>
      <c r="F18" s="184"/>
      <c r="G18" s="184"/>
      <c r="H18" s="4"/>
    </row>
    <row r="19" spans="1:8" x14ac:dyDescent="0.25">
      <c r="A19" s="4"/>
      <c r="B19" s="184" t="s">
        <v>45</v>
      </c>
      <c r="C19" s="184"/>
      <c r="D19" s="184"/>
      <c r="E19" s="184"/>
      <c r="F19" s="184"/>
      <c r="G19" s="184"/>
      <c r="H19" s="4"/>
    </row>
    <row r="20" spans="1:8" x14ac:dyDescent="0.25">
      <c r="A20" s="4"/>
      <c r="B20" s="184" t="s">
        <v>46</v>
      </c>
      <c r="C20" s="184"/>
      <c r="D20" s="184"/>
      <c r="E20" s="184"/>
      <c r="F20" s="184"/>
      <c r="G20" s="184"/>
      <c r="H20" s="4"/>
    </row>
    <row r="21" spans="1:8" x14ac:dyDescent="0.25">
      <c r="A21" s="4"/>
      <c r="B21" s="184" t="s">
        <v>47</v>
      </c>
      <c r="C21" s="184"/>
      <c r="D21" s="184"/>
      <c r="E21" s="184"/>
      <c r="F21" s="184"/>
      <c r="G21" s="184"/>
      <c r="H21" s="4"/>
    </row>
    <row r="22" spans="1:8" x14ac:dyDescent="0.25">
      <c r="A22" s="4"/>
      <c r="B22" s="184" t="s">
        <v>48</v>
      </c>
      <c r="C22" s="184"/>
      <c r="D22" s="184"/>
      <c r="E22" s="184"/>
      <c r="F22" s="184"/>
      <c r="G22" s="184"/>
      <c r="H22" s="4"/>
    </row>
    <row r="23" spans="1:8" x14ac:dyDescent="0.25">
      <c r="A23" s="4"/>
      <c r="B23" s="190" t="s">
        <v>49</v>
      </c>
      <c r="C23" s="191"/>
      <c r="D23" s="191"/>
      <c r="E23" s="191"/>
      <c r="F23" s="191"/>
      <c r="G23" s="192"/>
      <c r="H23" s="4"/>
    </row>
    <row r="24" spans="1:8" x14ac:dyDescent="0.25">
      <c r="A24" s="4"/>
      <c r="B24" s="190" t="s">
        <v>50</v>
      </c>
      <c r="C24" s="191"/>
      <c r="D24" s="191"/>
      <c r="E24" s="191"/>
      <c r="F24" s="191"/>
      <c r="G24" s="192"/>
      <c r="H24" s="4"/>
    </row>
    <row r="25" spans="1:8" x14ac:dyDescent="0.25">
      <c r="A25" s="4"/>
      <c r="B25" s="193"/>
      <c r="C25" s="193"/>
      <c r="D25" s="193"/>
      <c r="E25" s="193"/>
      <c r="F25" s="193"/>
      <c r="G25" s="193"/>
      <c r="H25" s="4"/>
    </row>
    <row r="27" spans="1:8" x14ac:dyDescent="0.25">
      <c r="A27" s="51" t="s">
        <v>51</v>
      </c>
      <c r="B27" s="118"/>
      <c r="C27" s="118"/>
      <c r="D27" s="118"/>
      <c r="E27" s="118"/>
      <c r="F27" s="118"/>
      <c r="G27" s="118"/>
      <c r="H27" s="119"/>
    </row>
    <row r="28" spans="1:8" x14ac:dyDescent="0.25">
      <c r="A28" s="10" t="s">
        <v>26</v>
      </c>
      <c r="B28" s="194" t="s">
        <v>52</v>
      </c>
      <c r="C28" s="194"/>
      <c r="D28" s="194"/>
      <c r="E28" s="194"/>
      <c r="F28" s="194"/>
      <c r="G28" s="194"/>
      <c r="H28" s="11" t="s">
        <v>53</v>
      </c>
    </row>
    <row r="29" spans="1:8" x14ac:dyDescent="0.25">
      <c r="A29" s="120"/>
      <c r="B29" s="195"/>
      <c r="C29" s="195"/>
      <c r="D29" s="195"/>
      <c r="E29" s="195"/>
      <c r="F29" s="195"/>
      <c r="G29" s="195"/>
      <c r="H29" s="120"/>
    </row>
    <row r="30" spans="1:8" x14ac:dyDescent="0.25">
      <c r="A30" s="120"/>
      <c r="B30" s="195"/>
      <c r="C30" s="195"/>
      <c r="D30" s="195"/>
      <c r="E30" s="195"/>
      <c r="F30" s="195"/>
      <c r="G30" s="195"/>
      <c r="H30" s="120"/>
    </row>
    <row r="31" spans="1:8" x14ac:dyDescent="0.25">
      <c r="A31" s="120"/>
      <c r="B31" s="195"/>
      <c r="C31" s="195"/>
      <c r="D31" s="195"/>
      <c r="E31" s="195"/>
      <c r="F31" s="195"/>
      <c r="G31" s="195"/>
      <c r="H31" s="120"/>
    </row>
    <row r="32" spans="1:8" x14ac:dyDescent="0.25">
      <c r="A32" s="120"/>
      <c r="B32" s="195"/>
      <c r="C32" s="195"/>
      <c r="D32" s="195"/>
      <c r="E32" s="195"/>
      <c r="F32" s="195"/>
      <c r="G32" s="195"/>
      <c r="H32" s="120"/>
    </row>
    <row r="33" spans="1:10" x14ac:dyDescent="0.25">
      <c r="A33" s="120"/>
      <c r="B33" s="195"/>
      <c r="C33" s="195"/>
      <c r="D33" s="195"/>
      <c r="E33" s="195"/>
      <c r="F33" s="195"/>
      <c r="G33" s="195"/>
      <c r="H33" s="120"/>
      <c r="I33" s="91"/>
      <c r="J33" s="91"/>
    </row>
    <row r="35" spans="1:10" ht="14.25" customHeight="1" x14ac:dyDescent="0.25">
      <c r="A35" s="51" t="s">
        <v>54</v>
      </c>
      <c r="B35" s="118"/>
      <c r="C35" s="118"/>
      <c r="D35" s="118"/>
      <c r="E35" s="118"/>
      <c r="F35" s="118"/>
      <c r="G35" s="118"/>
      <c r="H35" s="119"/>
      <c r="I35" s="91"/>
      <c r="J35" s="91"/>
    </row>
    <row r="36" spans="1:10" x14ac:dyDescent="0.25">
      <c r="A36" s="13" t="s">
        <v>55</v>
      </c>
      <c r="B36" s="196" t="s">
        <v>56</v>
      </c>
      <c r="C36" s="196"/>
      <c r="D36" s="196"/>
      <c r="E36" s="196"/>
      <c r="F36" s="196"/>
      <c r="G36" s="196"/>
      <c r="H36" s="14" t="s">
        <v>57</v>
      </c>
      <c r="I36" s="91"/>
      <c r="J36" s="91"/>
    </row>
    <row r="37" spans="1:10" x14ac:dyDescent="0.25">
      <c r="A37" s="121"/>
      <c r="B37" s="189"/>
      <c r="C37" s="189"/>
      <c r="D37" s="189"/>
      <c r="E37" s="189"/>
      <c r="F37" s="189"/>
      <c r="G37" s="189"/>
      <c r="H37" s="121"/>
      <c r="I37" s="91"/>
      <c r="J37" s="91"/>
    </row>
    <row r="38" spans="1:10" x14ac:dyDescent="0.25">
      <c r="A38" s="121"/>
      <c r="B38" s="189"/>
      <c r="C38" s="189"/>
      <c r="D38" s="189"/>
      <c r="E38" s="189"/>
      <c r="F38" s="189"/>
      <c r="G38" s="189"/>
      <c r="H38" s="121"/>
      <c r="I38" s="91"/>
      <c r="J38" s="91"/>
    </row>
    <row r="39" spans="1:10" x14ac:dyDescent="0.25">
      <c r="A39" s="121"/>
      <c r="B39" s="189"/>
      <c r="C39" s="189"/>
      <c r="D39" s="189"/>
      <c r="E39" s="189"/>
      <c r="F39" s="189"/>
      <c r="G39" s="189"/>
      <c r="H39" s="121"/>
      <c r="I39" s="91"/>
      <c r="J39" s="91"/>
    </row>
    <row r="40" spans="1:10" x14ac:dyDescent="0.25">
      <c r="A40" s="121"/>
      <c r="B40" s="189"/>
      <c r="C40" s="189"/>
      <c r="D40" s="189"/>
      <c r="E40" s="189"/>
      <c r="F40" s="189"/>
      <c r="G40" s="189"/>
      <c r="H40" s="121"/>
      <c r="I40" s="91"/>
      <c r="J40" s="91"/>
    </row>
    <row r="41" spans="1:10" x14ac:dyDescent="0.25">
      <c r="A41" s="121"/>
      <c r="B41" s="189"/>
      <c r="C41" s="189"/>
      <c r="D41" s="189"/>
      <c r="E41" s="189"/>
      <c r="F41" s="189"/>
      <c r="G41" s="189"/>
      <c r="H41" s="121"/>
      <c r="I41" s="91"/>
      <c r="J41" s="91"/>
    </row>
    <row r="42" spans="1:10" x14ac:dyDescent="0.25">
      <c r="A42" s="121"/>
      <c r="B42" s="189"/>
      <c r="C42" s="189"/>
      <c r="D42" s="189"/>
      <c r="E42" s="189"/>
      <c r="F42" s="189"/>
      <c r="G42" s="189"/>
      <c r="H42" s="121"/>
      <c r="I42" s="91"/>
      <c r="J42" s="91"/>
    </row>
    <row r="43" spans="1:10" x14ac:dyDescent="0.25">
      <c r="A43" s="121"/>
      <c r="B43" s="189"/>
      <c r="C43" s="189"/>
      <c r="D43" s="189"/>
      <c r="E43" s="189"/>
      <c r="F43" s="189"/>
      <c r="G43" s="189"/>
      <c r="H43" s="121"/>
      <c r="I43" s="91"/>
      <c r="J43" s="91"/>
    </row>
    <row r="45" spans="1:10" x14ac:dyDescent="0.25">
      <c r="A45" s="197" t="s">
        <v>58</v>
      </c>
      <c r="B45" s="198"/>
      <c r="C45" s="198"/>
      <c r="D45" s="198"/>
      <c r="E45" s="198"/>
      <c r="F45" s="198"/>
      <c r="G45" s="198"/>
      <c r="H45" s="198"/>
      <c r="I45" s="198"/>
      <c r="J45" s="199"/>
    </row>
    <row r="46" spans="1:10" x14ac:dyDescent="0.25">
      <c r="A46" s="200"/>
      <c r="B46" s="201"/>
      <c r="C46" s="201"/>
      <c r="D46" s="201"/>
      <c r="E46" s="201"/>
      <c r="F46" s="201"/>
      <c r="G46" s="201"/>
      <c r="H46" s="201"/>
      <c r="I46" s="201"/>
      <c r="J46" s="202"/>
    </row>
    <row r="47" spans="1:10" x14ac:dyDescent="0.25">
      <c r="A47" s="200"/>
      <c r="B47" s="201"/>
      <c r="C47" s="201"/>
      <c r="D47" s="201"/>
      <c r="E47" s="201"/>
      <c r="F47" s="201"/>
      <c r="G47" s="201"/>
      <c r="H47" s="201"/>
      <c r="I47" s="201"/>
      <c r="J47" s="202"/>
    </row>
    <row r="48" spans="1:10" x14ac:dyDescent="0.25">
      <c r="A48" s="203"/>
      <c r="B48" s="204"/>
      <c r="C48" s="204"/>
      <c r="D48" s="204"/>
      <c r="E48" s="204"/>
      <c r="F48" s="204"/>
      <c r="G48" s="204"/>
      <c r="H48" s="204"/>
      <c r="I48" s="204"/>
      <c r="J48" s="205"/>
    </row>
    <row r="66" spans="6:6" x14ac:dyDescent="0.25">
      <c r="F66" s="3"/>
    </row>
  </sheetData>
  <mergeCells count="38">
    <mergeCell ref="A45:J48"/>
    <mergeCell ref="B38:G38"/>
    <mergeCell ref="B39:G39"/>
    <mergeCell ref="B40:G40"/>
    <mergeCell ref="B41:G41"/>
    <mergeCell ref="B42:G42"/>
    <mergeCell ref="B43:G43"/>
    <mergeCell ref="B37:G37"/>
    <mergeCell ref="B23:G23"/>
    <mergeCell ref="B24:G24"/>
    <mergeCell ref="B25:G25"/>
    <mergeCell ref="B28:G28"/>
    <mergeCell ref="B29:G29"/>
    <mergeCell ref="B30:G30"/>
    <mergeCell ref="B31:G31"/>
    <mergeCell ref="B32:G32"/>
    <mergeCell ref="B33:G33"/>
    <mergeCell ref="B36:G36"/>
    <mergeCell ref="B22:G22"/>
    <mergeCell ref="B10:G10"/>
    <mergeCell ref="B11:G11"/>
    <mergeCell ref="B12:G12"/>
    <mergeCell ref="B14:G14"/>
    <mergeCell ref="B15:G15"/>
    <mergeCell ref="B16:G16"/>
    <mergeCell ref="B17:G17"/>
    <mergeCell ref="B18:G18"/>
    <mergeCell ref="B19:G19"/>
    <mergeCell ref="B20:G20"/>
    <mergeCell ref="B21:G21"/>
    <mergeCell ref="B13:G13"/>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77"/>
  <sheetViews>
    <sheetView workbookViewId="0">
      <selection activeCell="R17" sqref="R17"/>
    </sheetView>
  </sheetViews>
  <sheetFormatPr defaultColWidth="9.109375" defaultRowHeight="15" x14ac:dyDescent="0.25"/>
  <cols>
    <col min="1" max="1" width="9.109375" style="2" customWidth="1"/>
    <col min="2" max="2" width="14.5546875" style="2" bestFit="1" customWidth="1"/>
    <col min="3" max="9" width="9.109375" style="2"/>
    <col min="10" max="10" width="11.5546875" style="2" customWidth="1"/>
    <col min="11" max="16384" width="9.109375" style="2"/>
  </cols>
  <sheetData>
    <row r="1" spans="1:14" x14ac:dyDescent="0.25">
      <c r="A1" s="91" t="str">
        <f>+'Cover Page'!$B$29</f>
        <v>Annual Performance Report 2022</v>
      </c>
      <c r="B1" s="91"/>
      <c r="C1" s="91"/>
      <c r="D1" s="91"/>
      <c r="E1" s="91" t="str">
        <f>+'Cover Page'!$B$33</f>
        <v>Kent Enviropower Limited</v>
      </c>
      <c r="F1" s="91"/>
      <c r="G1" s="91"/>
      <c r="H1" s="91"/>
      <c r="I1" s="91"/>
      <c r="J1" s="91"/>
      <c r="K1" s="91"/>
      <c r="L1" s="91"/>
      <c r="M1" s="91"/>
      <c r="N1" s="91"/>
    </row>
    <row r="3" spans="1:14" ht="15.6" x14ac:dyDescent="0.3">
      <c r="A3" s="50" t="s">
        <v>59</v>
      </c>
      <c r="B3" s="122"/>
      <c r="C3" s="122"/>
      <c r="D3" s="122"/>
      <c r="E3" s="122"/>
      <c r="F3" s="122"/>
      <c r="G3" s="122"/>
      <c r="H3" s="122"/>
      <c r="I3" s="123"/>
      <c r="J3" s="91"/>
      <c r="K3" s="80" t="s">
        <v>3</v>
      </c>
      <c r="L3" s="91"/>
      <c r="M3" s="91"/>
      <c r="N3" s="91"/>
    </row>
    <row r="4" spans="1:14" x14ac:dyDescent="0.25">
      <c r="A4" s="124"/>
      <c r="B4" s="125"/>
      <c r="C4" s="125"/>
      <c r="D4" s="125"/>
      <c r="E4" s="125"/>
      <c r="F4" s="125"/>
      <c r="G4" s="125"/>
      <c r="H4" s="125"/>
      <c r="I4" s="126"/>
      <c r="J4" s="91"/>
      <c r="K4" s="91"/>
      <c r="L4" s="91"/>
      <c r="M4" s="91"/>
      <c r="N4" s="91"/>
    </row>
    <row r="5" spans="1:14" ht="28.5" customHeight="1" x14ac:dyDescent="0.25">
      <c r="A5" s="206" t="s">
        <v>60</v>
      </c>
      <c r="B5" s="215"/>
      <c r="C5" s="215"/>
      <c r="D5" s="215"/>
      <c r="E5" s="215"/>
      <c r="F5" s="215"/>
      <c r="G5" s="215"/>
      <c r="H5" s="215"/>
      <c r="I5" s="216"/>
      <c r="J5" s="91"/>
      <c r="K5" s="220" t="s">
        <v>61</v>
      </c>
      <c r="L5" s="220"/>
      <c r="M5" s="220"/>
      <c r="N5" s="220"/>
    </row>
    <row r="6" spans="1:14" ht="28.5" customHeight="1" x14ac:dyDescent="0.25">
      <c r="A6" s="217"/>
      <c r="B6" s="218"/>
      <c r="C6" s="218"/>
      <c r="D6" s="218"/>
      <c r="E6" s="218"/>
      <c r="F6" s="218"/>
      <c r="G6" s="218"/>
      <c r="H6" s="218"/>
      <c r="I6" s="219"/>
      <c r="J6" s="91"/>
      <c r="K6" s="220"/>
      <c r="L6" s="220"/>
      <c r="M6" s="220"/>
      <c r="N6" s="220"/>
    </row>
    <row r="7" spans="1:14" ht="28.5" customHeight="1" x14ac:dyDescent="0.25">
      <c r="A7" s="217"/>
      <c r="B7" s="218"/>
      <c r="C7" s="218"/>
      <c r="D7" s="218"/>
      <c r="E7" s="218"/>
      <c r="F7" s="218"/>
      <c r="G7" s="218"/>
      <c r="H7" s="218"/>
      <c r="I7" s="219"/>
      <c r="J7" s="91"/>
      <c r="K7" s="220"/>
      <c r="L7" s="220"/>
      <c r="M7" s="220"/>
      <c r="N7" s="220"/>
    </row>
    <row r="8" spans="1:14" ht="28.5" customHeight="1" x14ac:dyDescent="0.25">
      <c r="A8" s="217"/>
      <c r="B8" s="218"/>
      <c r="C8" s="218"/>
      <c r="D8" s="218"/>
      <c r="E8" s="218"/>
      <c r="F8" s="218"/>
      <c r="G8" s="218"/>
      <c r="H8" s="218"/>
      <c r="I8" s="219"/>
      <c r="J8" s="91"/>
      <c r="K8" s="220"/>
      <c r="L8" s="220"/>
      <c r="M8" s="220"/>
      <c r="N8" s="220"/>
    </row>
    <row r="9" spans="1:14" ht="28.5" customHeight="1" x14ac:dyDescent="0.25">
      <c r="A9" s="217"/>
      <c r="B9" s="218"/>
      <c r="C9" s="218"/>
      <c r="D9" s="218"/>
      <c r="E9" s="218"/>
      <c r="F9" s="218"/>
      <c r="G9" s="218"/>
      <c r="H9" s="218"/>
      <c r="I9" s="219"/>
      <c r="J9" s="91"/>
      <c r="K9" s="220"/>
      <c r="L9" s="220"/>
      <c r="M9" s="220"/>
      <c r="N9" s="220"/>
    </row>
    <row r="10" spans="1:14" ht="28.5" customHeight="1" x14ac:dyDescent="0.25">
      <c r="A10" s="217"/>
      <c r="B10" s="218"/>
      <c r="C10" s="218"/>
      <c r="D10" s="218"/>
      <c r="E10" s="218"/>
      <c r="F10" s="218"/>
      <c r="G10" s="218"/>
      <c r="H10" s="218"/>
      <c r="I10" s="219"/>
      <c r="J10" s="91"/>
      <c r="K10" s="220"/>
      <c r="L10" s="220"/>
      <c r="M10" s="220"/>
      <c r="N10" s="220"/>
    </row>
    <row r="11" spans="1:14" ht="28.5" customHeight="1" x14ac:dyDescent="0.25">
      <c r="A11" s="217"/>
      <c r="B11" s="218"/>
      <c r="C11" s="218"/>
      <c r="D11" s="218"/>
      <c r="E11" s="218"/>
      <c r="F11" s="218"/>
      <c r="G11" s="218"/>
      <c r="H11" s="218"/>
      <c r="I11" s="219"/>
      <c r="J11" s="91"/>
      <c r="K11" s="220"/>
      <c r="L11" s="220"/>
      <c r="M11" s="220"/>
      <c r="N11" s="220"/>
    </row>
    <row r="12" spans="1:14" ht="28.5" customHeight="1" x14ac:dyDescent="0.25">
      <c r="A12" s="217"/>
      <c r="B12" s="218"/>
      <c r="C12" s="218"/>
      <c r="D12" s="218"/>
      <c r="E12" s="218"/>
      <c r="F12" s="218"/>
      <c r="G12" s="218"/>
      <c r="H12" s="218"/>
      <c r="I12" s="219"/>
      <c r="J12" s="91"/>
      <c r="K12" s="220"/>
      <c r="L12" s="220"/>
      <c r="M12" s="220"/>
      <c r="N12" s="220"/>
    </row>
    <row r="13" spans="1:14" ht="28.5" customHeight="1" x14ac:dyDescent="0.25">
      <c r="A13" s="217"/>
      <c r="B13" s="218"/>
      <c r="C13" s="218"/>
      <c r="D13" s="218"/>
      <c r="E13" s="218"/>
      <c r="F13" s="218"/>
      <c r="G13" s="218"/>
      <c r="H13" s="218"/>
      <c r="I13" s="219"/>
      <c r="J13" s="91"/>
      <c r="K13" s="220"/>
      <c r="L13" s="220"/>
      <c r="M13" s="220"/>
      <c r="N13" s="220"/>
    </row>
    <row r="14" spans="1:14" ht="28.5" customHeight="1" x14ac:dyDescent="0.25">
      <c r="A14" s="91"/>
      <c r="B14" s="91"/>
      <c r="C14" s="91"/>
      <c r="D14" s="91"/>
      <c r="E14" s="91"/>
      <c r="F14" s="91"/>
      <c r="G14" s="91"/>
      <c r="H14" s="91"/>
      <c r="I14" s="91"/>
      <c r="J14" s="91"/>
      <c r="K14" s="91"/>
      <c r="L14" s="91"/>
      <c r="M14" s="91"/>
      <c r="N14" s="91"/>
    </row>
    <row r="15" spans="1:14" ht="28.5" customHeight="1" x14ac:dyDescent="0.25">
      <c r="A15" s="50" t="s">
        <v>62</v>
      </c>
      <c r="B15" s="122"/>
      <c r="C15" s="122"/>
      <c r="D15" s="122"/>
      <c r="E15" s="122"/>
      <c r="F15" s="122"/>
      <c r="G15" s="122"/>
      <c r="H15" s="122"/>
      <c r="I15" s="123"/>
      <c r="J15" s="91"/>
      <c r="K15" s="91"/>
      <c r="L15" s="91"/>
      <c r="M15" s="91"/>
      <c r="N15" s="91"/>
    </row>
    <row r="16" spans="1:14" ht="28.5" customHeight="1" x14ac:dyDescent="0.25">
      <c r="A16" s="124"/>
      <c r="B16" s="125"/>
      <c r="C16" s="125"/>
      <c r="D16" s="125"/>
      <c r="E16" s="125"/>
      <c r="F16" s="125"/>
      <c r="G16" s="125"/>
      <c r="H16" s="125"/>
      <c r="I16" s="126"/>
      <c r="J16" s="91"/>
      <c r="K16" s="91"/>
      <c r="L16" s="91"/>
      <c r="M16" s="91"/>
      <c r="N16" s="91"/>
    </row>
    <row r="17" spans="1:14" ht="28.5" customHeight="1" x14ac:dyDescent="0.25">
      <c r="A17" s="206" t="s">
        <v>63</v>
      </c>
      <c r="B17" s="207"/>
      <c r="C17" s="207"/>
      <c r="D17" s="207"/>
      <c r="E17" s="207"/>
      <c r="F17" s="207"/>
      <c r="G17" s="207"/>
      <c r="H17" s="207"/>
      <c r="I17" s="208"/>
      <c r="J17" s="91"/>
      <c r="K17" s="220" t="s">
        <v>64</v>
      </c>
      <c r="L17" s="220"/>
      <c r="M17" s="220"/>
      <c r="N17" s="220"/>
    </row>
    <row r="18" spans="1:14" ht="28.5" customHeight="1" x14ac:dyDescent="0.25">
      <c r="A18" s="209"/>
      <c r="B18" s="210"/>
      <c r="C18" s="210"/>
      <c r="D18" s="210"/>
      <c r="E18" s="210"/>
      <c r="F18" s="210"/>
      <c r="G18" s="210"/>
      <c r="H18" s="210"/>
      <c r="I18" s="211"/>
      <c r="J18" s="91"/>
      <c r="K18" s="220"/>
      <c r="L18" s="220"/>
      <c r="M18" s="220"/>
      <c r="N18" s="220"/>
    </row>
    <row r="19" spans="1:14" ht="28.5" customHeight="1" x14ac:dyDescent="0.25">
      <c r="A19" s="209"/>
      <c r="B19" s="210"/>
      <c r="C19" s="210"/>
      <c r="D19" s="210"/>
      <c r="E19" s="210"/>
      <c r="F19" s="210"/>
      <c r="G19" s="210"/>
      <c r="H19" s="210"/>
      <c r="I19" s="211"/>
      <c r="J19" s="91"/>
      <c r="K19" s="220"/>
      <c r="L19" s="220"/>
      <c r="M19" s="220"/>
      <c r="N19" s="220"/>
    </row>
    <row r="20" spans="1:14" ht="28.5" customHeight="1" x14ac:dyDescent="0.25">
      <c r="A20" s="209"/>
      <c r="B20" s="210"/>
      <c r="C20" s="210"/>
      <c r="D20" s="210"/>
      <c r="E20" s="210"/>
      <c r="F20" s="210"/>
      <c r="G20" s="210"/>
      <c r="H20" s="210"/>
      <c r="I20" s="211"/>
      <c r="J20" s="91"/>
      <c r="K20" s="220"/>
      <c r="L20" s="220"/>
      <c r="M20" s="220"/>
      <c r="N20" s="220"/>
    </row>
    <row r="21" spans="1:14" ht="28.5" customHeight="1" x14ac:dyDescent="0.25">
      <c r="A21" s="209"/>
      <c r="B21" s="210"/>
      <c r="C21" s="210"/>
      <c r="D21" s="210"/>
      <c r="E21" s="210"/>
      <c r="F21" s="210"/>
      <c r="G21" s="210"/>
      <c r="H21" s="210"/>
      <c r="I21" s="211"/>
      <c r="J21" s="91"/>
      <c r="K21" s="220"/>
      <c r="L21" s="220"/>
      <c r="M21" s="220"/>
      <c r="N21" s="220"/>
    </row>
    <row r="22" spans="1:14" ht="28.5" customHeight="1" x14ac:dyDescent="0.25">
      <c r="A22" s="209"/>
      <c r="B22" s="210"/>
      <c r="C22" s="210"/>
      <c r="D22" s="210"/>
      <c r="E22" s="210"/>
      <c r="F22" s="210"/>
      <c r="G22" s="210"/>
      <c r="H22" s="210"/>
      <c r="I22" s="211"/>
      <c r="J22" s="91"/>
      <c r="K22" s="220"/>
      <c r="L22" s="220"/>
      <c r="M22" s="220"/>
      <c r="N22" s="220"/>
    </row>
    <row r="23" spans="1:14" ht="28.5" customHeight="1" x14ac:dyDescent="0.25">
      <c r="A23" s="209"/>
      <c r="B23" s="210"/>
      <c r="C23" s="210"/>
      <c r="D23" s="210"/>
      <c r="E23" s="210"/>
      <c r="F23" s="210"/>
      <c r="G23" s="210"/>
      <c r="H23" s="210"/>
      <c r="I23" s="211"/>
      <c r="J23" s="91"/>
      <c r="K23" s="220"/>
      <c r="L23" s="220"/>
      <c r="M23" s="220"/>
      <c r="N23" s="220"/>
    </row>
    <row r="24" spans="1:14" ht="28.5" customHeight="1" x14ac:dyDescent="0.25">
      <c r="A24" s="209"/>
      <c r="B24" s="210"/>
      <c r="C24" s="210"/>
      <c r="D24" s="210"/>
      <c r="E24" s="210"/>
      <c r="F24" s="210"/>
      <c r="G24" s="210"/>
      <c r="H24" s="210"/>
      <c r="I24" s="211"/>
      <c r="J24" s="91"/>
      <c r="K24" s="220"/>
      <c r="L24" s="220"/>
      <c r="M24" s="220"/>
      <c r="N24" s="220"/>
    </row>
    <row r="25" spans="1:14" ht="28.5" customHeight="1" x14ac:dyDescent="0.25">
      <c r="A25" s="209"/>
      <c r="B25" s="210"/>
      <c r="C25" s="210"/>
      <c r="D25" s="210"/>
      <c r="E25" s="210"/>
      <c r="F25" s="210"/>
      <c r="G25" s="210"/>
      <c r="H25" s="210"/>
      <c r="I25" s="211"/>
      <c r="J25" s="91"/>
      <c r="K25" s="220"/>
      <c r="L25" s="220"/>
      <c r="M25" s="220"/>
      <c r="N25" s="220"/>
    </row>
    <row r="26" spans="1:14" ht="28.5" customHeight="1" x14ac:dyDescent="0.25">
      <c r="A26" s="209"/>
      <c r="B26" s="210"/>
      <c r="C26" s="210"/>
      <c r="D26" s="210"/>
      <c r="E26" s="210"/>
      <c r="F26" s="210"/>
      <c r="G26" s="210"/>
      <c r="H26" s="210"/>
      <c r="I26" s="211"/>
      <c r="J26" s="91"/>
      <c r="K26" s="220"/>
      <c r="L26" s="220"/>
      <c r="M26" s="220"/>
      <c r="N26" s="220"/>
    </row>
    <row r="27" spans="1:14" ht="28.5" customHeight="1" x14ac:dyDescent="0.25">
      <c r="A27" s="209"/>
      <c r="B27" s="210"/>
      <c r="C27" s="210"/>
      <c r="D27" s="210"/>
      <c r="E27" s="210"/>
      <c r="F27" s="210"/>
      <c r="G27" s="210"/>
      <c r="H27" s="210"/>
      <c r="I27" s="211"/>
      <c r="J27" s="91"/>
      <c r="K27" s="91"/>
      <c r="L27" s="91"/>
      <c r="M27" s="91"/>
      <c r="N27" s="91"/>
    </row>
    <row r="28" spans="1:14" ht="28.5" customHeight="1" x14ac:dyDescent="0.25">
      <c r="A28" s="209"/>
      <c r="B28" s="210"/>
      <c r="C28" s="210"/>
      <c r="D28" s="210"/>
      <c r="E28" s="210"/>
      <c r="F28" s="210"/>
      <c r="G28" s="210"/>
      <c r="H28" s="210"/>
      <c r="I28" s="211"/>
      <c r="J28" s="91"/>
      <c r="K28" s="91"/>
      <c r="L28" s="91"/>
      <c r="M28" s="91"/>
      <c r="N28" s="91"/>
    </row>
    <row r="29" spans="1:14" ht="28.5" customHeight="1" x14ac:dyDescent="0.25">
      <c r="A29" s="209"/>
      <c r="B29" s="210"/>
      <c r="C29" s="210"/>
      <c r="D29" s="210"/>
      <c r="E29" s="210"/>
      <c r="F29" s="210"/>
      <c r="G29" s="210"/>
      <c r="H29" s="210"/>
      <c r="I29" s="211"/>
      <c r="J29" s="91"/>
      <c r="K29" s="91"/>
      <c r="L29" s="91"/>
      <c r="M29" s="91"/>
      <c r="N29" s="91"/>
    </row>
    <row r="30" spans="1:14" ht="28.5" customHeight="1" x14ac:dyDescent="0.25">
      <c r="A30" s="209"/>
      <c r="B30" s="210"/>
      <c r="C30" s="210"/>
      <c r="D30" s="210"/>
      <c r="E30" s="210"/>
      <c r="F30" s="210"/>
      <c r="G30" s="210"/>
      <c r="H30" s="210"/>
      <c r="I30" s="211"/>
      <c r="J30" s="91"/>
      <c r="K30" s="91"/>
      <c r="L30" s="91"/>
      <c r="M30" s="91"/>
      <c r="N30" s="91"/>
    </row>
    <row r="31" spans="1:14" ht="28.5" customHeight="1" x14ac:dyDescent="0.25">
      <c r="A31" s="209"/>
      <c r="B31" s="210"/>
      <c r="C31" s="210"/>
      <c r="D31" s="210"/>
      <c r="E31" s="210"/>
      <c r="F31" s="210"/>
      <c r="G31" s="210"/>
      <c r="H31" s="210"/>
      <c r="I31" s="211"/>
      <c r="J31" s="91"/>
      <c r="K31" s="91"/>
      <c r="L31" s="91"/>
      <c r="M31" s="91"/>
      <c r="N31" s="91"/>
    </row>
    <row r="32" spans="1:14" ht="28.5" customHeight="1" x14ac:dyDescent="0.25">
      <c r="A32" s="209"/>
      <c r="B32" s="210"/>
      <c r="C32" s="210"/>
      <c r="D32" s="210"/>
      <c r="E32" s="210"/>
      <c r="F32" s="210"/>
      <c r="G32" s="210"/>
      <c r="H32" s="210"/>
      <c r="I32" s="211"/>
      <c r="J32" s="91"/>
      <c r="K32" s="91"/>
      <c r="L32" s="91"/>
      <c r="M32" s="91"/>
      <c r="N32" s="91"/>
    </row>
    <row r="33" spans="1:9" ht="28.5" customHeight="1" x14ac:dyDescent="0.25">
      <c r="A33" s="209"/>
      <c r="B33" s="210"/>
      <c r="C33" s="210"/>
      <c r="D33" s="210"/>
      <c r="E33" s="210"/>
      <c r="F33" s="210"/>
      <c r="G33" s="210"/>
      <c r="H33" s="210"/>
      <c r="I33" s="211"/>
    </row>
    <row r="34" spans="1:9" ht="28.5" customHeight="1" x14ac:dyDescent="0.25">
      <c r="A34" s="209"/>
      <c r="B34" s="210"/>
      <c r="C34" s="210"/>
      <c r="D34" s="210"/>
      <c r="E34" s="210"/>
      <c r="F34" s="210"/>
      <c r="G34" s="210"/>
      <c r="H34" s="210"/>
      <c r="I34" s="211"/>
    </row>
    <row r="35" spans="1:9" ht="28.5" customHeight="1" x14ac:dyDescent="0.25">
      <c r="A35" s="209"/>
      <c r="B35" s="210"/>
      <c r="C35" s="210"/>
      <c r="D35" s="210"/>
      <c r="E35" s="210"/>
      <c r="F35" s="210"/>
      <c r="G35" s="210"/>
      <c r="H35" s="210"/>
      <c r="I35" s="211"/>
    </row>
    <row r="36" spans="1:9" ht="28.5" customHeight="1" x14ac:dyDescent="0.25">
      <c r="A36" s="209"/>
      <c r="B36" s="210"/>
      <c r="C36" s="210"/>
      <c r="D36" s="210"/>
      <c r="E36" s="210"/>
      <c r="F36" s="210"/>
      <c r="G36" s="210"/>
      <c r="H36" s="210"/>
      <c r="I36" s="211"/>
    </row>
    <row r="37" spans="1:9" ht="28.5" customHeight="1" x14ac:dyDescent="0.25">
      <c r="A37" s="209"/>
      <c r="B37" s="210"/>
      <c r="C37" s="210"/>
      <c r="D37" s="210"/>
      <c r="E37" s="210"/>
      <c r="F37" s="210"/>
      <c r="G37" s="210"/>
      <c r="H37" s="210"/>
      <c r="I37" s="211"/>
    </row>
    <row r="38" spans="1:9" ht="28.5" customHeight="1" x14ac:dyDescent="0.25">
      <c r="A38" s="209"/>
      <c r="B38" s="210"/>
      <c r="C38" s="210"/>
      <c r="D38" s="210"/>
      <c r="E38" s="210"/>
      <c r="F38" s="210"/>
      <c r="G38" s="210"/>
      <c r="H38" s="210"/>
      <c r="I38" s="211"/>
    </row>
    <row r="39" spans="1:9" ht="28.5" customHeight="1" x14ac:dyDescent="0.25">
      <c r="A39" s="209"/>
      <c r="B39" s="210"/>
      <c r="C39" s="210"/>
      <c r="D39" s="210"/>
      <c r="E39" s="210"/>
      <c r="F39" s="210"/>
      <c r="G39" s="210"/>
      <c r="H39" s="210"/>
      <c r="I39" s="211"/>
    </row>
    <row r="40" spans="1:9" ht="28.5" customHeight="1" x14ac:dyDescent="0.25">
      <c r="A40" s="209"/>
      <c r="B40" s="210"/>
      <c r="C40" s="210"/>
      <c r="D40" s="210"/>
      <c r="E40" s="210"/>
      <c r="F40" s="210"/>
      <c r="G40" s="210"/>
      <c r="H40" s="210"/>
      <c r="I40" s="211"/>
    </row>
    <row r="41" spans="1:9" ht="28.5" customHeight="1" x14ac:dyDescent="0.25">
      <c r="A41" s="209"/>
      <c r="B41" s="210"/>
      <c r="C41" s="210"/>
      <c r="D41" s="210"/>
      <c r="E41" s="210"/>
      <c r="F41" s="210"/>
      <c r="G41" s="210"/>
      <c r="H41" s="210"/>
      <c r="I41" s="211"/>
    </row>
    <row r="42" spans="1:9" ht="28.5" customHeight="1" x14ac:dyDescent="0.25">
      <c r="A42" s="209"/>
      <c r="B42" s="210"/>
      <c r="C42" s="210"/>
      <c r="D42" s="210"/>
      <c r="E42" s="210"/>
      <c r="F42" s="210"/>
      <c r="G42" s="210"/>
      <c r="H42" s="210"/>
      <c r="I42" s="211"/>
    </row>
    <row r="43" spans="1:9" ht="28.5" customHeight="1" x14ac:dyDescent="0.25">
      <c r="A43" s="209"/>
      <c r="B43" s="210"/>
      <c r="C43" s="210"/>
      <c r="D43" s="210"/>
      <c r="E43" s="210"/>
      <c r="F43" s="210"/>
      <c r="G43" s="210"/>
      <c r="H43" s="210"/>
      <c r="I43" s="211"/>
    </row>
    <row r="44" spans="1:9" ht="28.5" customHeight="1" x14ac:dyDescent="0.25">
      <c r="A44" s="209"/>
      <c r="B44" s="210"/>
      <c r="C44" s="210"/>
      <c r="D44" s="210"/>
      <c r="E44" s="210"/>
      <c r="F44" s="210"/>
      <c r="G44" s="210"/>
      <c r="H44" s="210"/>
      <c r="I44" s="211"/>
    </row>
    <row r="45" spans="1:9" ht="28.5" customHeight="1" x14ac:dyDescent="0.25">
      <c r="A45" s="209"/>
      <c r="B45" s="210"/>
      <c r="C45" s="210"/>
      <c r="D45" s="210"/>
      <c r="E45" s="210"/>
      <c r="F45" s="210"/>
      <c r="G45" s="210"/>
      <c r="H45" s="210"/>
      <c r="I45" s="211"/>
    </row>
    <row r="46" spans="1:9" ht="28.5" customHeight="1" x14ac:dyDescent="0.25">
      <c r="A46" s="209"/>
      <c r="B46" s="210"/>
      <c r="C46" s="210"/>
      <c r="D46" s="210"/>
      <c r="E46" s="210"/>
      <c r="F46" s="210"/>
      <c r="G46" s="210"/>
      <c r="H46" s="210"/>
      <c r="I46" s="211"/>
    </row>
    <row r="47" spans="1:9" ht="28.5" customHeight="1" x14ac:dyDescent="0.25">
      <c r="A47" s="206" t="s">
        <v>65</v>
      </c>
      <c r="B47" s="207"/>
      <c r="C47" s="207"/>
      <c r="D47" s="207"/>
      <c r="E47" s="207"/>
      <c r="F47" s="207"/>
      <c r="G47" s="207"/>
      <c r="H47" s="207"/>
      <c r="I47" s="208"/>
    </row>
    <row r="48" spans="1:9" ht="28.5" customHeight="1" x14ac:dyDescent="0.25">
      <c r="A48" s="209"/>
      <c r="B48" s="210"/>
      <c r="C48" s="210"/>
      <c r="D48" s="210"/>
      <c r="E48" s="210"/>
      <c r="F48" s="210"/>
      <c r="G48" s="210"/>
      <c r="H48" s="210"/>
      <c r="I48" s="211"/>
    </row>
    <row r="49" spans="1:9" ht="28.5" customHeight="1" x14ac:dyDescent="0.25">
      <c r="A49" s="209"/>
      <c r="B49" s="210"/>
      <c r="C49" s="210"/>
      <c r="D49" s="210"/>
      <c r="E49" s="210"/>
      <c r="F49" s="210"/>
      <c r="G49" s="210"/>
      <c r="H49" s="210"/>
      <c r="I49" s="211"/>
    </row>
    <row r="50" spans="1:9" ht="28.5" customHeight="1" x14ac:dyDescent="0.25">
      <c r="A50" s="209"/>
      <c r="B50" s="210"/>
      <c r="C50" s="210"/>
      <c r="D50" s="210"/>
      <c r="E50" s="210"/>
      <c r="F50" s="210"/>
      <c r="G50" s="210"/>
      <c r="H50" s="210"/>
      <c r="I50" s="211"/>
    </row>
    <row r="51" spans="1:9" ht="28.5" customHeight="1" x14ac:dyDescent="0.25">
      <c r="A51" s="209"/>
      <c r="B51" s="210"/>
      <c r="C51" s="210"/>
      <c r="D51" s="210"/>
      <c r="E51" s="210"/>
      <c r="F51" s="210"/>
      <c r="G51" s="210"/>
      <c r="H51" s="210"/>
      <c r="I51" s="211"/>
    </row>
    <row r="52" spans="1:9" ht="28.5" customHeight="1" x14ac:dyDescent="0.25">
      <c r="A52" s="209"/>
      <c r="B52" s="210"/>
      <c r="C52" s="210"/>
      <c r="D52" s="210"/>
      <c r="E52" s="210"/>
      <c r="F52" s="210"/>
      <c r="G52" s="210"/>
      <c r="H52" s="210"/>
      <c r="I52" s="211"/>
    </row>
    <row r="53" spans="1:9" ht="28.5" customHeight="1" x14ac:dyDescent="0.25">
      <c r="A53" s="209"/>
      <c r="B53" s="210"/>
      <c r="C53" s="210"/>
      <c r="D53" s="210"/>
      <c r="E53" s="210"/>
      <c r="F53" s="210"/>
      <c r="G53" s="210"/>
      <c r="H53" s="210"/>
      <c r="I53" s="211"/>
    </row>
    <row r="54" spans="1:9" ht="28.5" customHeight="1" x14ac:dyDescent="0.25">
      <c r="A54" s="209"/>
      <c r="B54" s="210"/>
      <c r="C54" s="210"/>
      <c r="D54" s="210"/>
      <c r="E54" s="210"/>
      <c r="F54" s="210"/>
      <c r="G54" s="210"/>
      <c r="H54" s="210"/>
      <c r="I54" s="211"/>
    </row>
    <row r="55" spans="1:9" ht="28.5" customHeight="1" x14ac:dyDescent="0.25">
      <c r="A55" s="209"/>
      <c r="B55" s="210"/>
      <c r="C55" s="210"/>
      <c r="D55" s="210"/>
      <c r="E55" s="210"/>
      <c r="F55" s="210"/>
      <c r="G55" s="210"/>
      <c r="H55" s="210"/>
      <c r="I55" s="211"/>
    </row>
    <row r="56" spans="1:9" ht="28.5" customHeight="1" x14ac:dyDescent="0.25">
      <c r="A56" s="209"/>
      <c r="B56" s="210"/>
      <c r="C56" s="210"/>
      <c r="D56" s="210"/>
      <c r="E56" s="210"/>
      <c r="F56" s="210"/>
      <c r="G56" s="210"/>
      <c r="H56" s="210"/>
      <c r="I56" s="211"/>
    </row>
    <row r="57" spans="1:9" ht="28.5" customHeight="1" x14ac:dyDescent="0.25">
      <c r="A57" s="209"/>
      <c r="B57" s="210"/>
      <c r="C57" s="210"/>
      <c r="D57" s="210"/>
      <c r="E57" s="210"/>
      <c r="F57" s="210"/>
      <c r="G57" s="210"/>
      <c r="H57" s="210"/>
      <c r="I57" s="211"/>
    </row>
    <row r="58" spans="1:9" ht="28.5" customHeight="1" x14ac:dyDescent="0.25">
      <c r="A58" s="209"/>
      <c r="B58" s="210"/>
      <c r="C58" s="210"/>
      <c r="D58" s="210"/>
      <c r="E58" s="210"/>
      <c r="F58" s="210"/>
      <c r="G58" s="210"/>
      <c r="H58" s="210"/>
      <c r="I58" s="211"/>
    </row>
    <row r="59" spans="1:9" ht="28.5" customHeight="1" x14ac:dyDescent="0.25">
      <c r="A59" s="209"/>
      <c r="B59" s="210"/>
      <c r="C59" s="210"/>
      <c r="D59" s="210"/>
      <c r="E59" s="210"/>
      <c r="F59" s="210"/>
      <c r="G59" s="210"/>
      <c r="H59" s="210"/>
      <c r="I59" s="211"/>
    </row>
    <row r="60" spans="1:9" ht="28.5" customHeight="1" x14ac:dyDescent="0.25">
      <c r="A60" s="209"/>
      <c r="B60" s="210"/>
      <c r="C60" s="210"/>
      <c r="D60" s="210"/>
      <c r="E60" s="210"/>
      <c r="F60" s="210"/>
      <c r="G60" s="210"/>
      <c r="H60" s="210"/>
      <c r="I60" s="211"/>
    </row>
    <row r="61" spans="1:9" ht="28.5" customHeight="1" x14ac:dyDescent="0.25">
      <c r="A61" s="209"/>
      <c r="B61" s="210"/>
      <c r="C61" s="210"/>
      <c r="D61" s="210"/>
      <c r="E61" s="210"/>
      <c r="F61" s="210"/>
      <c r="G61" s="210"/>
      <c r="H61" s="210"/>
      <c r="I61" s="211"/>
    </row>
    <row r="62" spans="1:9" ht="28.5" customHeight="1" x14ac:dyDescent="0.25">
      <c r="A62" s="209"/>
      <c r="B62" s="210"/>
      <c r="C62" s="210"/>
      <c r="D62" s="210"/>
      <c r="E62" s="210"/>
      <c r="F62" s="210"/>
      <c r="G62" s="210"/>
      <c r="H62" s="210"/>
      <c r="I62" s="211"/>
    </row>
    <row r="63" spans="1:9" ht="28.5" customHeight="1" x14ac:dyDescent="0.25">
      <c r="A63" s="209"/>
      <c r="B63" s="210"/>
      <c r="C63" s="210"/>
      <c r="D63" s="210"/>
      <c r="E63" s="210"/>
      <c r="F63" s="210"/>
      <c r="G63" s="210"/>
      <c r="H63" s="210"/>
      <c r="I63" s="211"/>
    </row>
    <row r="64" spans="1:9" ht="28.5" customHeight="1" x14ac:dyDescent="0.25">
      <c r="A64" s="209"/>
      <c r="B64" s="210"/>
      <c r="C64" s="210"/>
      <c r="D64" s="210"/>
      <c r="E64" s="210"/>
      <c r="F64" s="210"/>
      <c r="G64" s="210"/>
      <c r="H64" s="210"/>
      <c r="I64" s="211"/>
    </row>
    <row r="65" spans="1:9" ht="28.5" customHeight="1" x14ac:dyDescent="0.25">
      <c r="A65" s="209"/>
      <c r="B65" s="210"/>
      <c r="C65" s="210"/>
      <c r="D65" s="210"/>
      <c r="E65" s="210"/>
      <c r="F65" s="210"/>
      <c r="G65" s="210"/>
      <c r="H65" s="210"/>
      <c r="I65" s="211"/>
    </row>
    <row r="66" spans="1:9" ht="28.5" customHeight="1" x14ac:dyDescent="0.25">
      <c r="A66" s="209"/>
      <c r="B66" s="210"/>
      <c r="C66" s="210"/>
      <c r="D66" s="210"/>
      <c r="E66" s="210"/>
      <c r="F66" s="210"/>
      <c r="G66" s="210"/>
      <c r="H66" s="210"/>
      <c r="I66" s="211"/>
    </row>
    <row r="67" spans="1:9" ht="28.5" customHeight="1" x14ac:dyDescent="0.25">
      <c r="A67" s="209"/>
      <c r="B67" s="210"/>
      <c r="C67" s="210"/>
      <c r="D67" s="210"/>
      <c r="E67" s="210"/>
      <c r="F67" s="210"/>
      <c r="G67" s="210"/>
      <c r="H67" s="210"/>
      <c r="I67" s="211"/>
    </row>
    <row r="68" spans="1:9" ht="28.5" customHeight="1" x14ac:dyDescent="0.25">
      <c r="A68" s="209"/>
      <c r="B68" s="210"/>
      <c r="C68" s="210"/>
      <c r="D68" s="210"/>
      <c r="E68" s="210"/>
      <c r="F68" s="210"/>
      <c r="G68" s="210"/>
      <c r="H68" s="210"/>
      <c r="I68" s="211"/>
    </row>
    <row r="69" spans="1:9" ht="28.5" customHeight="1" x14ac:dyDescent="0.25">
      <c r="A69" s="209"/>
      <c r="B69" s="210"/>
      <c r="C69" s="210"/>
      <c r="D69" s="210"/>
      <c r="E69" s="210"/>
      <c r="F69" s="210"/>
      <c r="G69" s="210"/>
      <c r="H69" s="210"/>
      <c r="I69" s="211"/>
    </row>
    <row r="70" spans="1:9" ht="28.5" customHeight="1" x14ac:dyDescent="0.25">
      <c r="A70" s="209"/>
      <c r="B70" s="210"/>
      <c r="C70" s="210"/>
      <c r="D70" s="210"/>
      <c r="E70" s="210"/>
      <c r="F70" s="210"/>
      <c r="G70" s="210"/>
      <c r="H70" s="210"/>
      <c r="I70" s="211"/>
    </row>
    <row r="71" spans="1:9" ht="28.5" customHeight="1" x14ac:dyDescent="0.25">
      <c r="A71" s="209"/>
      <c r="B71" s="210"/>
      <c r="C71" s="210"/>
      <c r="D71" s="210"/>
      <c r="E71" s="210"/>
      <c r="F71" s="210"/>
      <c r="G71" s="210"/>
      <c r="H71" s="210"/>
      <c r="I71" s="211"/>
    </row>
    <row r="72" spans="1:9" ht="28.5" customHeight="1" x14ac:dyDescent="0.25">
      <c r="A72" s="209"/>
      <c r="B72" s="210"/>
      <c r="C72" s="210"/>
      <c r="D72" s="210"/>
      <c r="E72" s="210"/>
      <c r="F72" s="210"/>
      <c r="G72" s="210"/>
      <c r="H72" s="210"/>
      <c r="I72" s="211"/>
    </row>
    <row r="73" spans="1:9" ht="28.5" customHeight="1" x14ac:dyDescent="0.25">
      <c r="A73" s="209"/>
      <c r="B73" s="210"/>
      <c r="C73" s="210"/>
      <c r="D73" s="210"/>
      <c r="E73" s="210"/>
      <c r="F73" s="210"/>
      <c r="G73" s="210"/>
      <c r="H73" s="210"/>
      <c r="I73" s="211"/>
    </row>
    <row r="74" spans="1:9" ht="28.5" customHeight="1" x14ac:dyDescent="0.25">
      <c r="A74" s="206" t="s">
        <v>66</v>
      </c>
      <c r="B74" s="207"/>
      <c r="C74" s="207"/>
      <c r="D74" s="207"/>
      <c r="E74" s="207"/>
      <c r="F74" s="207"/>
      <c r="G74" s="207"/>
      <c r="H74" s="207"/>
      <c r="I74" s="208"/>
    </row>
    <row r="75" spans="1:9" ht="28.5" customHeight="1" x14ac:dyDescent="0.25">
      <c r="A75" s="209"/>
      <c r="B75" s="210"/>
      <c r="C75" s="210"/>
      <c r="D75" s="210"/>
      <c r="E75" s="210"/>
      <c r="F75" s="210"/>
      <c r="G75" s="210"/>
      <c r="H75" s="210"/>
      <c r="I75" s="211"/>
    </row>
    <row r="76" spans="1:9" ht="28.5" customHeight="1" x14ac:dyDescent="0.25">
      <c r="A76" s="209"/>
      <c r="B76" s="210"/>
      <c r="C76" s="210"/>
      <c r="D76" s="210"/>
      <c r="E76" s="210"/>
      <c r="F76" s="210"/>
      <c r="G76" s="210"/>
      <c r="H76" s="210"/>
      <c r="I76" s="211"/>
    </row>
    <row r="77" spans="1:9" ht="28.5" customHeight="1" x14ac:dyDescent="0.25">
      <c r="A77" s="212"/>
      <c r="B77" s="213"/>
      <c r="C77" s="213"/>
      <c r="D77" s="213"/>
      <c r="E77" s="213"/>
      <c r="F77" s="213"/>
      <c r="G77" s="213"/>
      <c r="H77" s="213"/>
      <c r="I77" s="214"/>
    </row>
  </sheetData>
  <mergeCells count="6">
    <mergeCell ref="A47:I73"/>
    <mergeCell ref="A74:I77"/>
    <mergeCell ref="A5:I13"/>
    <mergeCell ref="K5:N13"/>
    <mergeCell ref="K17:N26"/>
    <mergeCell ref="A17:I46"/>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6"/>
  <sheetViews>
    <sheetView topLeftCell="A37" workbookViewId="0">
      <selection activeCell="G42" sqref="G42"/>
    </sheetView>
  </sheetViews>
  <sheetFormatPr defaultColWidth="9.109375" defaultRowHeight="15" x14ac:dyDescent="0.25"/>
  <cols>
    <col min="1" max="1" width="28.44140625" style="2" customWidth="1"/>
    <col min="2" max="2" width="8.109375" style="12" customWidth="1"/>
    <col min="3" max="3" width="13.44140625" style="12" customWidth="1"/>
    <col min="4" max="6" width="12.88671875" style="12" customWidth="1"/>
    <col min="7" max="7" width="12.88671875" style="15" customWidth="1"/>
    <col min="8" max="8" width="11.5546875" style="16" customWidth="1"/>
    <col min="9" max="10" width="9.109375" style="2"/>
    <col min="11" max="11" width="38.44140625" style="2" customWidth="1"/>
    <col min="12" max="16384" width="9.109375" style="2"/>
  </cols>
  <sheetData>
    <row r="1" spans="1:11" x14ac:dyDescent="0.25">
      <c r="A1" s="91" t="str">
        <f>+'Cover Page'!$B$29</f>
        <v>Annual Performance Report 2022</v>
      </c>
      <c r="B1" s="91"/>
      <c r="C1" s="91"/>
      <c r="D1" s="91"/>
      <c r="E1" s="91" t="str">
        <f>+'Cover Page'!$B$33</f>
        <v>Kent Enviropower Limited</v>
      </c>
      <c r="F1" s="91"/>
      <c r="G1" s="91"/>
      <c r="H1" s="91"/>
      <c r="I1" s="91"/>
      <c r="J1" s="91"/>
      <c r="K1" s="91"/>
    </row>
    <row r="3" spans="1:11" ht="15.6" x14ac:dyDescent="0.3">
      <c r="A3" s="1" t="s">
        <v>32</v>
      </c>
      <c r="B3" s="127"/>
      <c r="C3" s="127"/>
      <c r="D3" s="127"/>
      <c r="E3" s="127"/>
      <c r="F3" s="127"/>
      <c r="H3" s="128"/>
      <c r="I3" s="91"/>
      <c r="J3" s="91"/>
      <c r="K3" s="80" t="s">
        <v>3</v>
      </c>
    </row>
    <row r="4" spans="1:11" x14ac:dyDescent="0.25">
      <c r="A4" s="18" t="s">
        <v>67</v>
      </c>
      <c r="B4" s="228">
        <v>560000</v>
      </c>
      <c r="C4" s="228"/>
      <c r="D4" s="19" t="s">
        <v>68</v>
      </c>
      <c r="E4" s="111">
        <v>41670</v>
      </c>
      <c r="F4" s="19" t="s">
        <v>69</v>
      </c>
      <c r="G4" s="111">
        <v>376680</v>
      </c>
      <c r="H4" s="69" t="s">
        <v>70</v>
      </c>
      <c r="I4" s="91"/>
      <c r="J4" s="91"/>
      <c r="K4" s="17" t="s">
        <v>71</v>
      </c>
    </row>
    <row r="5" spans="1:11" x14ac:dyDescent="0.25">
      <c r="A5" s="20" t="s">
        <v>72</v>
      </c>
      <c r="B5" s="21">
        <v>3</v>
      </c>
      <c r="C5" s="22"/>
      <c r="D5" s="22" t="s">
        <v>73</v>
      </c>
      <c r="E5" s="22"/>
      <c r="F5" s="23">
        <v>1</v>
      </c>
      <c r="G5" s="24"/>
      <c r="H5" s="25"/>
      <c r="I5" s="91"/>
      <c r="J5" s="91"/>
      <c r="K5" s="17" t="s">
        <v>74</v>
      </c>
    </row>
    <row r="6" spans="1:11" x14ac:dyDescent="0.25">
      <c r="A6" s="3"/>
      <c r="B6" s="127"/>
      <c r="C6" s="127"/>
      <c r="D6" s="127"/>
      <c r="E6" s="127"/>
      <c r="F6" s="127"/>
      <c r="H6" s="128"/>
      <c r="I6" s="91"/>
      <c r="J6" s="91"/>
      <c r="K6" s="223" t="s">
        <v>75</v>
      </c>
    </row>
    <row r="7" spans="1:11" x14ac:dyDescent="0.25">
      <c r="A7" s="9" t="s">
        <v>76</v>
      </c>
      <c r="B7" s="129" t="s">
        <v>77</v>
      </c>
      <c r="C7" s="130" t="s">
        <v>78</v>
      </c>
      <c r="D7" s="130" t="s">
        <v>79</v>
      </c>
      <c r="E7" s="130" t="s">
        <v>80</v>
      </c>
      <c r="F7" s="130" t="s">
        <v>81</v>
      </c>
      <c r="G7" s="26" t="s">
        <v>82</v>
      </c>
      <c r="H7" s="131" t="s">
        <v>83</v>
      </c>
      <c r="I7" s="91"/>
      <c r="J7" s="91"/>
      <c r="K7" s="223"/>
    </row>
    <row r="8" spans="1:11" ht="15.75" customHeight="1" x14ac:dyDescent="0.25">
      <c r="A8" s="132" t="s">
        <v>84</v>
      </c>
      <c r="B8" s="225" t="s">
        <v>85</v>
      </c>
      <c r="C8" s="133">
        <v>69602.439999999988</v>
      </c>
      <c r="D8" s="133">
        <v>83133.87999999999</v>
      </c>
      <c r="E8" s="133">
        <v>80770.237999999998</v>
      </c>
      <c r="F8" s="133">
        <v>79493.78</v>
      </c>
      <c r="G8" s="27">
        <f>SUM(C8:F8)</f>
        <v>313000.33799999999</v>
      </c>
      <c r="H8" s="134">
        <f t="shared" ref="H8:H15" si="0">IF(G8&gt;0,G8/$G$18,"-")</f>
        <v>0.60185320593108182</v>
      </c>
      <c r="I8" s="91"/>
      <c r="J8" s="91"/>
      <c r="K8" s="224" t="s">
        <v>86</v>
      </c>
    </row>
    <row r="9" spans="1:11" x14ac:dyDescent="0.25">
      <c r="A9" s="135" t="s">
        <v>87</v>
      </c>
      <c r="B9" s="226"/>
      <c r="C9" s="136">
        <v>34947.75</v>
      </c>
      <c r="D9" s="136">
        <v>39540.69</v>
      </c>
      <c r="E9" s="136">
        <v>45269.362000000008</v>
      </c>
      <c r="F9" s="136">
        <v>60736.04</v>
      </c>
      <c r="G9" s="87">
        <f t="shared" ref="G9:G15" si="1">SUM(C9:F9)</f>
        <v>180493.842</v>
      </c>
      <c r="H9" s="137">
        <f t="shared" si="0"/>
        <v>0.34706287588263934</v>
      </c>
      <c r="I9" s="91"/>
      <c r="J9" s="91"/>
      <c r="K9" s="224"/>
    </row>
    <row r="10" spans="1:11" x14ac:dyDescent="0.25">
      <c r="A10" s="135" t="s">
        <v>88</v>
      </c>
      <c r="B10" s="226"/>
      <c r="C10" s="136"/>
      <c r="D10" s="136"/>
      <c r="E10" s="136"/>
      <c r="F10" s="136"/>
      <c r="G10" s="87">
        <f t="shared" si="1"/>
        <v>0</v>
      </c>
      <c r="H10" s="137" t="str">
        <f t="shared" si="0"/>
        <v>-</v>
      </c>
      <c r="I10" s="91"/>
      <c r="J10" s="91"/>
      <c r="K10" s="224"/>
    </row>
    <row r="11" spans="1:11" x14ac:dyDescent="0.25">
      <c r="A11" s="135" t="s">
        <v>89</v>
      </c>
      <c r="B11" s="226"/>
      <c r="C11" s="136"/>
      <c r="D11" s="136"/>
      <c r="E11" s="136"/>
      <c r="F11" s="136"/>
      <c r="G11" s="87">
        <f t="shared" si="1"/>
        <v>0</v>
      </c>
      <c r="H11" s="137" t="str">
        <f t="shared" si="0"/>
        <v>-</v>
      </c>
      <c r="I11" s="91"/>
      <c r="J11" s="91"/>
      <c r="K11" s="224"/>
    </row>
    <row r="12" spans="1:11" x14ac:dyDescent="0.25">
      <c r="A12" s="135" t="s">
        <v>90</v>
      </c>
      <c r="B12" s="226"/>
      <c r="C12" s="136"/>
      <c r="D12" s="136"/>
      <c r="E12" s="136"/>
      <c r="F12" s="136"/>
      <c r="G12" s="87">
        <f t="shared" si="1"/>
        <v>0</v>
      </c>
      <c r="H12" s="137" t="str">
        <f t="shared" si="0"/>
        <v>-</v>
      </c>
      <c r="I12" s="91"/>
      <c r="J12" s="91"/>
      <c r="K12" s="224"/>
    </row>
    <row r="13" spans="1:11" x14ac:dyDescent="0.25">
      <c r="A13" s="135" t="s">
        <v>91</v>
      </c>
      <c r="B13" s="226"/>
      <c r="C13" s="136"/>
      <c r="D13" s="136"/>
      <c r="E13" s="136"/>
      <c r="F13" s="136"/>
      <c r="G13" s="87">
        <f t="shared" ref="G13" si="2">SUM(C13:F13)</f>
        <v>0</v>
      </c>
      <c r="H13" s="137" t="str">
        <f t="shared" si="0"/>
        <v>-</v>
      </c>
      <c r="I13" s="91"/>
      <c r="J13" s="91"/>
      <c r="K13" s="224"/>
    </row>
    <row r="14" spans="1:11" x14ac:dyDescent="0.25">
      <c r="A14" s="135" t="s">
        <v>92</v>
      </c>
      <c r="B14" s="226"/>
      <c r="C14" s="136"/>
      <c r="D14" s="136"/>
      <c r="E14" s="136"/>
      <c r="F14" s="136"/>
      <c r="G14" s="87">
        <f t="shared" si="1"/>
        <v>0</v>
      </c>
      <c r="H14" s="137" t="str">
        <f t="shared" si="0"/>
        <v>-</v>
      </c>
      <c r="I14" s="91"/>
      <c r="J14" s="91"/>
      <c r="K14" s="224"/>
    </row>
    <row r="15" spans="1:11" x14ac:dyDescent="0.25">
      <c r="A15" s="138" t="s">
        <v>93</v>
      </c>
      <c r="B15" s="226"/>
      <c r="C15" s="136">
        <v>1194.97</v>
      </c>
      <c r="D15" s="136">
        <v>1108.5</v>
      </c>
      <c r="E15" s="136">
        <v>1036.0999999999999</v>
      </c>
      <c r="F15" s="136">
        <v>1054.52</v>
      </c>
      <c r="G15" s="87">
        <f t="shared" si="1"/>
        <v>4394.09</v>
      </c>
      <c r="H15" s="137">
        <f t="shared" si="0"/>
        <v>8.449183060146432E-3</v>
      </c>
      <c r="I15" s="91"/>
      <c r="J15" s="91"/>
      <c r="K15" s="224"/>
    </row>
    <row r="16" spans="1:11" x14ac:dyDescent="0.25">
      <c r="A16" s="138" t="s">
        <v>94</v>
      </c>
      <c r="B16" s="226"/>
      <c r="C16" s="136">
        <v>5202.8599999999997</v>
      </c>
      <c r="D16" s="136">
        <v>5028.7800000000007</v>
      </c>
      <c r="E16" s="136">
        <v>5007.18</v>
      </c>
      <c r="F16" s="136">
        <v>4772.4399999999996</v>
      </c>
      <c r="G16" s="87">
        <v>20011.259999999998</v>
      </c>
      <c r="H16" s="137">
        <f t="shared" ref="H16:H17" si="3">IF(G16&gt;0,G16/$G$18,"-")</f>
        <v>3.8478683641934026E-2</v>
      </c>
      <c r="I16" s="91"/>
      <c r="J16" s="91"/>
      <c r="K16" s="224"/>
    </row>
    <row r="17" spans="1:12" x14ac:dyDescent="0.25">
      <c r="A17" s="138" t="s">
        <v>95</v>
      </c>
      <c r="B17" s="226"/>
      <c r="C17" s="136">
        <v>585.44000000000005</v>
      </c>
      <c r="D17" s="136">
        <v>475.78000000000009</v>
      </c>
      <c r="E17" s="136">
        <v>504.5200000000001</v>
      </c>
      <c r="F17" s="136">
        <v>595.66</v>
      </c>
      <c r="G17" s="87">
        <v>2161.4</v>
      </c>
      <c r="H17" s="137">
        <f t="shared" si="3"/>
        <v>4.1560514841982067E-3</v>
      </c>
      <c r="I17" s="91"/>
      <c r="J17" s="91"/>
      <c r="K17" s="224"/>
      <c r="L17" s="91"/>
    </row>
    <row r="18" spans="1:12" x14ac:dyDescent="0.25">
      <c r="A18" s="89" t="s">
        <v>96</v>
      </c>
      <c r="B18" s="226"/>
      <c r="C18" s="87">
        <f>SUM(C8:C17)</f>
        <v>111533.45999999999</v>
      </c>
      <c r="D18" s="87">
        <f>SUM(D8:D17)</f>
        <v>129287.62999999999</v>
      </c>
      <c r="E18" s="87">
        <f>SUM(E8:E17)</f>
        <v>132587.4</v>
      </c>
      <c r="F18" s="87">
        <f>SUM(F8:F17)</f>
        <v>146652.44</v>
      </c>
      <c r="G18" s="87">
        <f>SUM(G8:G17)</f>
        <v>520060.93000000005</v>
      </c>
      <c r="H18" s="139">
        <v>1</v>
      </c>
      <c r="I18" s="91"/>
      <c r="J18" s="91"/>
      <c r="K18" s="224"/>
      <c r="L18" s="91"/>
    </row>
    <row r="19" spans="1:12" x14ac:dyDescent="0.25">
      <c r="A19" s="135" t="s">
        <v>97</v>
      </c>
      <c r="B19" s="226"/>
      <c r="C19" s="136">
        <v>209.44000000000003</v>
      </c>
      <c r="D19" s="136">
        <v>132.98000000000002</v>
      </c>
      <c r="E19" s="136">
        <v>9.58</v>
      </c>
      <c r="F19" s="136">
        <v>6.82</v>
      </c>
      <c r="G19" s="87">
        <v>358.82000000000005</v>
      </c>
      <c r="H19" s="137">
        <f t="shared" ref="H19" si="4">IF(G19&gt;0,G19/$G$18,"-")</f>
        <v>6.8995761708152156E-4</v>
      </c>
      <c r="I19" s="91"/>
      <c r="J19" s="91"/>
      <c r="K19" s="224"/>
      <c r="L19" s="91"/>
    </row>
    <row r="20" spans="1:12" x14ac:dyDescent="0.25">
      <c r="A20" s="135" t="s">
        <v>98</v>
      </c>
      <c r="B20" s="226"/>
      <c r="C20" s="136">
        <v>6983.27</v>
      </c>
      <c r="D20" s="136">
        <v>6613.06</v>
      </c>
      <c r="E20" s="136">
        <v>6547.8000000000011</v>
      </c>
      <c r="F20" s="136">
        <v>6422.619999999999</v>
      </c>
      <c r="G20" s="87">
        <f t="shared" ref="G20" si="5">SUM(C20:F20)</f>
        <v>26566.750000000004</v>
      </c>
      <c r="H20" s="137">
        <f>IF(G20&gt;0,G20/$G$18,"-")</f>
        <v>5.1083918186278672E-2</v>
      </c>
      <c r="I20" s="91"/>
      <c r="J20" s="91"/>
      <c r="K20" s="91"/>
      <c r="L20" s="91"/>
    </row>
    <row r="21" spans="1:12" x14ac:dyDescent="0.25">
      <c r="A21" s="90" t="s">
        <v>99</v>
      </c>
      <c r="B21" s="140"/>
      <c r="C21" s="88">
        <v>92221</v>
      </c>
      <c r="D21" s="88">
        <v>119683</v>
      </c>
      <c r="E21" s="88">
        <v>119926</v>
      </c>
      <c r="F21" s="88">
        <v>131847</v>
      </c>
      <c r="G21" s="29">
        <f>SUM(C21:F21)</f>
        <v>463677</v>
      </c>
      <c r="H21" s="141">
        <f>IF(G21&gt;0,G21/$G$18,"-")</f>
        <v>0.89158206904717863</v>
      </c>
      <c r="I21" s="91"/>
      <c r="J21" s="91"/>
      <c r="K21" s="91"/>
      <c r="L21" s="91"/>
    </row>
    <row r="22" spans="1:12" x14ac:dyDescent="0.25">
      <c r="A22" s="3"/>
      <c r="B22" s="127"/>
      <c r="C22" s="128"/>
      <c r="D22" s="128"/>
      <c r="E22" s="128"/>
      <c r="F22" s="128"/>
      <c r="G22" s="30"/>
      <c r="H22" s="128"/>
      <c r="I22" s="91"/>
      <c r="J22" s="91"/>
      <c r="K22" s="91"/>
      <c r="L22" s="91"/>
    </row>
    <row r="23" spans="1:12" x14ac:dyDescent="0.25">
      <c r="A23" s="9" t="s">
        <v>100</v>
      </c>
      <c r="B23" s="129" t="s">
        <v>77</v>
      </c>
      <c r="C23" s="142" t="s">
        <v>78</v>
      </c>
      <c r="D23" s="142" t="s">
        <v>79</v>
      </c>
      <c r="E23" s="142" t="s">
        <v>80</v>
      </c>
      <c r="F23" s="142" t="s">
        <v>81</v>
      </c>
      <c r="G23" s="31" t="s">
        <v>82</v>
      </c>
      <c r="H23" s="143" t="s">
        <v>101</v>
      </c>
      <c r="I23" s="91"/>
      <c r="J23" s="91"/>
      <c r="K23" s="91"/>
      <c r="L23" s="91"/>
    </row>
    <row r="24" spans="1:12" ht="15" customHeight="1" x14ac:dyDescent="0.25">
      <c r="A24" s="144" t="s">
        <v>102</v>
      </c>
      <c r="B24" s="225" t="s">
        <v>103</v>
      </c>
      <c r="C24" s="133">
        <v>53258.33</v>
      </c>
      <c r="D24" s="133">
        <v>68220.649999999994</v>
      </c>
      <c r="E24" s="133">
        <v>71946.880000000005</v>
      </c>
      <c r="F24" s="133">
        <v>75112.14</v>
      </c>
      <c r="G24" s="27">
        <f t="shared" ref="G24:G27" si="6">SUM(C24:F24)</f>
        <v>268538</v>
      </c>
      <c r="H24" s="145">
        <f>IF(G24&gt;0,G24*1000/$G$21,"-")</f>
        <v>579.14884715006349</v>
      </c>
      <c r="I24" s="91"/>
      <c r="J24" s="91"/>
      <c r="K24" s="91"/>
      <c r="L24" s="91"/>
    </row>
    <row r="25" spans="1:12" x14ac:dyDescent="0.25">
      <c r="A25" s="146" t="s">
        <v>104</v>
      </c>
      <c r="B25" s="226"/>
      <c r="C25" s="147">
        <v>40698.879999999997</v>
      </c>
      <c r="D25" s="147">
        <v>52722</v>
      </c>
      <c r="E25" s="147">
        <v>56036</v>
      </c>
      <c r="F25" s="147">
        <v>59257</v>
      </c>
      <c r="G25" s="28">
        <f>SUM(C25:F25)</f>
        <v>208713.88</v>
      </c>
      <c r="H25" s="148">
        <f>IF(G25&gt;0,G25*1000/$G$21,"-")</f>
        <v>450.12773978437576</v>
      </c>
      <c r="I25" s="91"/>
      <c r="J25" s="91"/>
      <c r="K25" s="91"/>
      <c r="L25" s="91"/>
    </row>
    <row r="26" spans="1:12" x14ac:dyDescent="0.25">
      <c r="A26" s="146" t="s">
        <v>105</v>
      </c>
      <c r="B26" s="226"/>
      <c r="C26" s="147">
        <v>11522</v>
      </c>
      <c r="D26" s="147">
        <v>15586.09</v>
      </c>
      <c r="E26" s="147">
        <v>14866.5</v>
      </c>
      <c r="F26" s="147">
        <v>15465.91</v>
      </c>
      <c r="G26" s="28">
        <f>SUM(C26:F26)</f>
        <v>57440.5</v>
      </c>
      <c r="H26" s="148">
        <f>IF(G26&gt;0,G26*1000/$G$21,"-")</f>
        <v>123.88041675562945</v>
      </c>
      <c r="I26" s="91"/>
      <c r="J26" s="91"/>
      <c r="K26" s="91"/>
      <c r="L26" s="91"/>
    </row>
    <row r="27" spans="1:12" x14ac:dyDescent="0.25">
      <c r="A27" s="146" t="s">
        <v>106</v>
      </c>
      <c r="B27" s="226"/>
      <c r="C27" s="147">
        <v>811</v>
      </c>
      <c r="D27" s="147">
        <v>493</v>
      </c>
      <c r="E27" s="147">
        <v>429</v>
      </c>
      <c r="F27" s="147">
        <v>206</v>
      </c>
      <c r="G27" s="28">
        <f t="shared" si="6"/>
        <v>1939</v>
      </c>
      <c r="H27" s="148">
        <f>IF(G27&gt;0,G27*1000/$G$21,"-")</f>
        <v>4.1817903411210819</v>
      </c>
      <c r="I27" s="91"/>
      <c r="J27" s="91"/>
      <c r="K27" s="91"/>
      <c r="L27" s="91"/>
    </row>
    <row r="28" spans="1:12" x14ac:dyDescent="0.25">
      <c r="A28" s="146" t="s">
        <v>107</v>
      </c>
      <c r="B28" s="149" t="s">
        <v>83</v>
      </c>
      <c r="C28" s="150">
        <f>IF(C24&gt;0,1-C25/(C24+C27),"-")</f>
        <v>0.24728344146302539</v>
      </c>
      <c r="D28" s="150">
        <f>IF(D24&gt;0,1-D25/(D24+D27),"-")</f>
        <v>0.23272886828162953</v>
      </c>
      <c r="E28" s="150">
        <f>IF(E24&gt;0,1-E25/(E24+E27),"-")</f>
        <v>0.22576416342018923</v>
      </c>
      <c r="F28" s="150">
        <f>IF(F24&gt;0,1-F25/(F24+F27),"-")</f>
        <v>0.21324398079931339</v>
      </c>
      <c r="G28" s="150">
        <f>IF(G24&gt;0,1-G25/(G24+G27),"-")</f>
        <v>0.22834887994173259</v>
      </c>
      <c r="H28" s="148"/>
      <c r="I28" s="91"/>
      <c r="J28" s="91"/>
      <c r="K28" s="91"/>
      <c r="L28" s="91"/>
    </row>
    <row r="29" spans="1:12" x14ac:dyDescent="0.25">
      <c r="A29" s="146" t="s">
        <v>108</v>
      </c>
      <c r="B29" s="229" t="s">
        <v>103</v>
      </c>
      <c r="C29" s="147"/>
      <c r="D29" s="147"/>
      <c r="E29" s="147"/>
      <c r="F29" s="147"/>
      <c r="G29" s="28">
        <f t="shared" ref="G29:G30" si="7">SUM(C29:F29)</f>
        <v>0</v>
      </c>
      <c r="H29" s="148" t="str">
        <f>IF(G29&gt;0,G29*1000/$G$21,"-")</f>
        <v>-</v>
      </c>
      <c r="I29" s="91"/>
      <c r="J29" s="91"/>
      <c r="K29" s="91"/>
      <c r="L29" s="91"/>
    </row>
    <row r="30" spans="1:12" x14ac:dyDescent="0.25">
      <c r="A30" s="146" t="s">
        <v>109</v>
      </c>
      <c r="B30" s="229"/>
      <c r="C30" s="147"/>
      <c r="D30" s="147"/>
      <c r="E30" s="147"/>
      <c r="F30" s="147"/>
      <c r="G30" s="28">
        <f t="shared" si="7"/>
        <v>0</v>
      </c>
      <c r="H30" s="148" t="str">
        <f>IF(G30&gt;0,G30*1000/$G$21,"-")</f>
        <v>-</v>
      </c>
      <c r="I30" s="91"/>
      <c r="J30" s="91"/>
      <c r="K30" s="17"/>
      <c r="L30" s="17"/>
    </row>
    <row r="31" spans="1:12" ht="15.75" customHeight="1" x14ac:dyDescent="0.25">
      <c r="A31" s="98" t="s">
        <v>110</v>
      </c>
      <c r="B31" s="151"/>
      <c r="C31" s="230">
        <v>0.62</v>
      </c>
      <c r="D31" s="230"/>
      <c r="E31" s="230"/>
      <c r="F31" s="230"/>
      <c r="G31" s="152"/>
      <c r="H31" s="153"/>
      <c r="I31" s="91"/>
      <c r="J31" s="91"/>
      <c r="K31" s="91"/>
      <c r="L31" s="17"/>
    </row>
    <row r="32" spans="1:12" x14ac:dyDescent="0.25">
      <c r="A32" s="3"/>
      <c r="B32" s="127"/>
      <c r="C32" s="128"/>
      <c r="D32" s="128"/>
      <c r="E32" s="128"/>
      <c r="F32" s="128"/>
      <c r="G32" s="30"/>
      <c r="H32" s="128"/>
      <c r="I32" s="91"/>
      <c r="J32" s="91"/>
      <c r="K32" s="91"/>
      <c r="L32" s="17"/>
    </row>
    <row r="33" spans="1:12" x14ac:dyDescent="0.25">
      <c r="A33" s="9" t="s">
        <v>111</v>
      </c>
      <c r="B33" s="154" t="s">
        <v>77</v>
      </c>
      <c r="C33" s="142" t="s">
        <v>78</v>
      </c>
      <c r="D33" s="142" t="s">
        <v>79</v>
      </c>
      <c r="E33" s="142" t="s">
        <v>80</v>
      </c>
      <c r="F33" s="142" t="s">
        <v>81</v>
      </c>
      <c r="G33" s="31" t="s">
        <v>82</v>
      </c>
      <c r="H33" s="155" t="s">
        <v>112</v>
      </c>
      <c r="I33" s="91"/>
      <c r="J33" s="91"/>
      <c r="K33" s="91"/>
      <c r="L33" s="17"/>
    </row>
    <row r="34" spans="1:12" ht="41.25" customHeight="1" x14ac:dyDescent="0.25">
      <c r="A34" s="156" t="s">
        <v>113</v>
      </c>
      <c r="B34" s="225" t="s">
        <v>85</v>
      </c>
      <c r="C34" s="133">
        <v>8863.9600000000009</v>
      </c>
      <c r="D34" s="133">
        <v>12076.019999999999</v>
      </c>
      <c r="E34" s="133">
        <v>12059.94</v>
      </c>
      <c r="F34" s="133">
        <v>11852.099999999999</v>
      </c>
      <c r="G34" s="27">
        <f t="shared" ref="G34:G35" si="8">SUM(C34:F34)</f>
        <v>44852.02</v>
      </c>
      <c r="H34" s="134">
        <f>IF(G34&gt;0,G34/$G$21,"-")</f>
        <v>9.673117277760164E-2</v>
      </c>
      <c r="I34" s="91"/>
      <c r="J34" s="91"/>
      <c r="K34" s="17"/>
      <c r="L34" s="17"/>
    </row>
    <row r="35" spans="1:12" ht="15" customHeight="1" x14ac:dyDescent="0.25">
      <c r="A35" s="146" t="s">
        <v>114</v>
      </c>
      <c r="B35" s="226"/>
      <c r="C35" s="147">
        <v>10389.540000000001</v>
      </c>
      <c r="D35" s="147">
        <v>12066.9</v>
      </c>
      <c r="E35" s="147">
        <v>12586.736000000001</v>
      </c>
      <c r="F35" s="147">
        <v>12227.159999999998</v>
      </c>
      <c r="G35" s="28">
        <f t="shared" si="8"/>
        <v>47270.336000000003</v>
      </c>
      <c r="H35" s="137">
        <f t="shared" ref="H35:H39" si="9">IF(G35&gt;0,G35/$G$21,"-")</f>
        <v>0.10194669133901402</v>
      </c>
      <c r="I35" s="91"/>
      <c r="J35" s="91"/>
      <c r="K35" s="17"/>
      <c r="L35" s="17"/>
    </row>
    <row r="36" spans="1:12" ht="15" customHeight="1" x14ac:dyDescent="0.25">
      <c r="A36" s="146" t="s">
        <v>115</v>
      </c>
      <c r="B36" s="226"/>
      <c r="C36" s="147">
        <v>2866.86</v>
      </c>
      <c r="D36" s="147">
        <v>3851.32</v>
      </c>
      <c r="E36" s="147">
        <v>4025.38</v>
      </c>
      <c r="F36" s="147">
        <v>3785.4799999999996</v>
      </c>
      <c r="G36" s="28">
        <f t="shared" ref="G36:G39" si="10">SUM(C36:F36)</f>
        <v>14529.04</v>
      </c>
      <c r="H36" s="137">
        <f t="shared" si="9"/>
        <v>3.1334398730150516E-2</v>
      </c>
      <c r="I36" s="91"/>
      <c r="J36" s="91"/>
      <c r="K36" s="91"/>
      <c r="L36" s="91"/>
    </row>
    <row r="37" spans="1:12" x14ac:dyDescent="0.25">
      <c r="A37" s="157" t="s">
        <v>116</v>
      </c>
      <c r="B37" s="226"/>
      <c r="C37" s="147">
        <v>0</v>
      </c>
      <c r="D37" s="147">
        <v>0</v>
      </c>
      <c r="E37" s="147">
        <v>0</v>
      </c>
      <c r="F37" s="147">
        <v>0</v>
      </c>
      <c r="G37" s="28">
        <f t="shared" ref="G37" si="11">SUM(C37:F37)</f>
        <v>0</v>
      </c>
      <c r="H37" s="137" t="str">
        <f t="shared" si="9"/>
        <v>-</v>
      </c>
      <c r="I37" s="91"/>
      <c r="J37" s="91"/>
      <c r="K37" s="91"/>
      <c r="L37" s="91"/>
    </row>
    <row r="38" spans="1:12" x14ac:dyDescent="0.25">
      <c r="A38" s="157" t="s">
        <v>116</v>
      </c>
      <c r="B38" s="226"/>
      <c r="C38" s="147">
        <v>0</v>
      </c>
      <c r="D38" s="147">
        <v>0</v>
      </c>
      <c r="E38" s="147">
        <v>0</v>
      </c>
      <c r="F38" s="147">
        <v>0</v>
      </c>
      <c r="G38" s="28">
        <f t="shared" si="10"/>
        <v>0</v>
      </c>
      <c r="H38" s="137" t="str">
        <f t="shared" si="9"/>
        <v>-</v>
      </c>
      <c r="I38" s="91"/>
      <c r="J38" s="91"/>
      <c r="K38" s="91"/>
      <c r="L38" s="91"/>
    </row>
    <row r="39" spans="1:12" x14ac:dyDescent="0.25">
      <c r="A39" s="158" t="s">
        <v>116</v>
      </c>
      <c r="B39" s="227"/>
      <c r="C39" s="159">
        <v>0</v>
      </c>
      <c r="D39" s="159">
        <v>0</v>
      </c>
      <c r="E39" s="159">
        <v>0</v>
      </c>
      <c r="F39" s="159">
        <v>0</v>
      </c>
      <c r="G39" s="29">
        <f t="shared" si="10"/>
        <v>0</v>
      </c>
      <c r="H39" s="141" t="str">
        <f t="shared" si="9"/>
        <v>-</v>
      </c>
      <c r="I39" s="91"/>
      <c r="J39" s="91"/>
      <c r="K39" s="91"/>
      <c r="L39" s="91"/>
    </row>
    <row r="40" spans="1:12" x14ac:dyDescent="0.25">
      <c r="A40" s="127"/>
      <c r="B40" s="127"/>
      <c r="C40" s="128"/>
      <c r="D40" s="128"/>
      <c r="E40" s="128"/>
      <c r="F40" s="128"/>
      <c r="G40" s="30"/>
      <c r="H40" s="128"/>
      <c r="I40" s="91"/>
      <c r="J40" s="91"/>
      <c r="K40" s="91"/>
      <c r="L40" s="91"/>
    </row>
    <row r="41" spans="1:12" x14ac:dyDescent="0.25">
      <c r="A41" s="9" t="s">
        <v>117</v>
      </c>
      <c r="B41" s="160" t="s">
        <v>77</v>
      </c>
      <c r="C41" s="130" t="s">
        <v>78</v>
      </c>
      <c r="D41" s="130" t="s">
        <v>79</v>
      </c>
      <c r="E41" s="130" t="s">
        <v>80</v>
      </c>
      <c r="F41" s="130" t="s">
        <v>81</v>
      </c>
      <c r="G41" s="26" t="s">
        <v>82</v>
      </c>
      <c r="H41" s="131" t="s">
        <v>118</v>
      </c>
      <c r="I41" s="91"/>
      <c r="J41" s="91"/>
      <c r="K41" s="91"/>
      <c r="L41" s="91"/>
    </row>
    <row r="42" spans="1:12" ht="15.6" customHeight="1" x14ac:dyDescent="0.25">
      <c r="A42" s="144" t="s">
        <v>119</v>
      </c>
      <c r="B42" s="149" t="s">
        <v>120</v>
      </c>
      <c r="C42" s="133">
        <v>44176000</v>
      </c>
      <c r="D42" s="133">
        <v>45706000</v>
      </c>
      <c r="E42" s="133">
        <v>43102000</v>
      </c>
      <c r="F42" s="133">
        <v>43102000</v>
      </c>
      <c r="G42" s="113">
        <f t="shared" ref="G42:G51" si="12">SUM(C42:F42)</f>
        <v>176086000</v>
      </c>
      <c r="H42" s="161">
        <f>IF(G42&gt;0,G42/$G$21,"-")</f>
        <v>379.76004848202518</v>
      </c>
      <c r="I42" s="91"/>
      <c r="J42" s="91"/>
      <c r="K42" s="91"/>
      <c r="L42" s="91"/>
    </row>
    <row r="43" spans="1:12" x14ac:dyDescent="0.25">
      <c r="A43" s="146" t="s">
        <v>121</v>
      </c>
      <c r="B43" s="149" t="s">
        <v>122</v>
      </c>
      <c r="C43" s="147">
        <v>648000</v>
      </c>
      <c r="D43" s="147">
        <v>934000</v>
      </c>
      <c r="E43" s="147">
        <v>860000</v>
      </c>
      <c r="F43" s="147">
        <v>746000</v>
      </c>
      <c r="G43" s="28">
        <f t="shared" si="12"/>
        <v>3188000</v>
      </c>
      <c r="H43" s="161">
        <f t="shared" ref="H43:H51" si="13">IF(G43&gt;0,G43/$G$21,"-")</f>
        <v>6.875475816139252</v>
      </c>
      <c r="I43" s="91"/>
      <c r="J43" s="91"/>
      <c r="K43" s="91"/>
      <c r="L43" s="91"/>
    </row>
    <row r="44" spans="1:12" ht="15.6" customHeight="1" x14ac:dyDescent="0.25">
      <c r="A44" s="146" t="s">
        <v>123</v>
      </c>
      <c r="B44" s="149" t="s">
        <v>122</v>
      </c>
      <c r="C44" s="147">
        <v>8000</v>
      </c>
      <c r="D44" s="147">
        <v>66000</v>
      </c>
      <c r="E44" s="147">
        <v>0</v>
      </c>
      <c r="F44" s="147">
        <v>0</v>
      </c>
      <c r="G44" s="28">
        <f t="shared" si="12"/>
        <v>74000</v>
      </c>
      <c r="H44" s="161">
        <f t="shared" si="13"/>
        <v>0.15959385520523986</v>
      </c>
      <c r="I44" s="91"/>
      <c r="J44" s="91"/>
      <c r="K44" s="91"/>
      <c r="L44" s="91"/>
    </row>
    <row r="45" spans="1:12" ht="15.6" customHeight="1" x14ac:dyDescent="0.25">
      <c r="A45" s="146" t="s">
        <v>124</v>
      </c>
      <c r="B45" s="149" t="s">
        <v>122</v>
      </c>
      <c r="C45" s="147">
        <v>86000</v>
      </c>
      <c r="D45" s="147">
        <v>57000</v>
      </c>
      <c r="E45" s="147">
        <v>72000</v>
      </c>
      <c r="F45" s="147">
        <v>66000</v>
      </c>
      <c r="G45" s="28">
        <f t="shared" ref="G45" si="14">SUM(C45:F45)</f>
        <v>281000</v>
      </c>
      <c r="H45" s="161">
        <f t="shared" si="13"/>
        <v>0.60602531503611345</v>
      </c>
      <c r="I45" s="91"/>
      <c r="J45" s="91"/>
      <c r="K45" s="91"/>
      <c r="L45" s="91"/>
    </row>
    <row r="46" spans="1:12" x14ac:dyDescent="0.25">
      <c r="A46" s="146" t="s">
        <v>125</v>
      </c>
      <c r="B46" s="149" t="s">
        <v>122</v>
      </c>
      <c r="C46" s="147">
        <v>48000</v>
      </c>
      <c r="D46" s="147">
        <v>31000</v>
      </c>
      <c r="E46" s="147">
        <v>52000</v>
      </c>
      <c r="F46" s="147">
        <v>37000</v>
      </c>
      <c r="G46" s="28">
        <f t="shared" si="12"/>
        <v>168000</v>
      </c>
      <c r="H46" s="161">
        <f t="shared" si="13"/>
        <v>0.36232118479027425</v>
      </c>
      <c r="I46" s="91"/>
      <c r="J46" s="91"/>
      <c r="K46" s="91"/>
      <c r="L46" s="91"/>
    </row>
    <row r="47" spans="1:12" x14ac:dyDescent="0.25">
      <c r="A47" s="146" t="s">
        <v>126</v>
      </c>
      <c r="B47" s="149" t="s">
        <v>122</v>
      </c>
      <c r="C47" s="147">
        <v>60000</v>
      </c>
      <c r="D47" s="147">
        <v>38000</v>
      </c>
      <c r="E47" s="147">
        <v>55000</v>
      </c>
      <c r="F47" s="147">
        <v>30000</v>
      </c>
      <c r="G47" s="28">
        <f t="shared" si="12"/>
        <v>183000</v>
      </c>
      <c r="H47" s="161">
        <f t="shared" si="13"/>
        <v>0.39467129057512018</v>
      </c>
      <c r="I47" s="91"/>
      <c r="J47" s="91"/>
      <c r="K47" s="91"/>
      <c r="L47" s="91"/>
    </row>
    <row r="48" spans="1:12" x14ac:dyDescent="0.25">
      <c r="A48" s="146" t="s">
        <v>127</v>
      </c>
      <c r="B48" s="149" t="s">
        <v>122</v>
      </c>
      <c r="C48" s="147">
        <v>702000</v>
      </c>
      <c r="D48" s="147">
        <v>850000</v>
      </c>
      <c r="E48" s="147">
        <v>819000</v>
      </c>
      <c r="F48" s="147">
        <v>1044000</v>
      </c>
      <c r="G48" s="28">
        <f t="shared" si="12"/>
        <v>3415000</v>
      </c>
      <c r="H48" s="161">
        <f t="shared" si="13"/>
        <v>7.3650407503499205</v>
      </c>
      <c r="I48" s="91"/>
      <c r="J48" s="91"/>
      <c r="K48" s="91"/>
      <c r="L48" s="91"/>
    </row>
    <row r="49" spans="1:10" x14ac:dyDescent="0.25">
      <c r="A49" s="146" t="s">
        <v>128</v>
      </c>
      <c r="B49" s="149" t="s">
        <v>122</v>
      </c>
      <c r="C49" s="147">
        <v>0</v>
      </c>
      <c r="D49" s="147">
        <v>0</v>
      </c>
      <c r="E49" s="147">
        <v>0</v>
      </c>
      <c r="F49" s="147">
        <v>0</v>
      </c>
      <c r="G49" s="28"/>
      <c r="H49" s="161" t="str">
        <f t="shared" si="13"/>
        <v>-</v>
      </c>
      <c r="I49" s="91"/>
      <c r="J49" s="91"/>
    </row>
    <row r="50" spans="1:10" x14ac:dyDescent="0.25">
      <c r="A50" s="146" t="s">
        <v>129</v>
      </c>
      <c r="B50" s="149" t="s">
        <v>122</v>
      </c>
      <c r="C50" s="147">
        <v>0</v>
      </c>
      <c r="D50" s="147">
        <v>1000</v>
      </c>
      <c r="E50" s="147">
        <v>2000</v>
      </c>
      <c r="F50" s="147">
        <v>1000</v>
      </c>
      <c r="G50" s="28">
        <f t="shared" si="12"/>
        <v>4000</v>
      </c>
      <c r="H50" s="161">
        <f t="shared" si="13"/>
        <v>8.6266948759589103E-3</v>
      </c>
      <c r="I50" s="91"/>
      <c r="J50" s="91"/>
    </row>
    <row r="51" spans="1:10" x14ac:dyDescent="0.25">
      <c r="A51" s="98" t="s">
        <v>130</v>
      </c>
      <c r="B51" s="162" t="s">
        <v>120</v>
      </c>
      <c r="C51" s="159">
        <v>224106</v>
      </c>
      <c r="D51" s="159">
        <v>421490</v>
      </c>
      <c r="E51" s="159">
        <v>397550</v>
      </c>
      <c r="F51" s="159">
        <v>295280</v>
      </c>
      <c r="G51" s="114">
        <f t="shared" si="12"/>
        <v>1338426</v>
      </c>
      <c r="H51" s="163">
        <f t="shared" si="13"/>
        <v>2.8865481790125456</v>
      </c>
      <c r="I51" s="91"/>
      <c r="J51" s="91"/>
    </row>
    <row r="52" spans="1:10" x14ac:dyDescent="0.25">
      <c r="A52" s="127"/>
      <c r="B52" s="127"/>
      <c r="C52" s="128"/>
      <c r="D52" s="128"/>
      <c r="E52" s="128"/>
      <c r="F52" s="128"/>
      <c r="G52" s="30"/>
      <c r="H52" s="128"/>
      <c r="I52" s="91"/>
      <c r="J52" s="91"/>
    </row>
    <row r="53" spans="1:10" x14ac:dyDescent="0.25">
      <c r="A53" s="9" t="s">
        <v>131</v>
      </c>
      <c r="B53" s="164" t="s">
        <v>132</v>
      </c>
      <c r="C53" s="142" t="s">
        <v>78</v>
      </c>
      <c r="D53" s="142" t="s">
        <v>79</v>
      </c>
      <c r="E53" s="142" t="s">
        <v>80</v>
      </c>
      <c r="F53" s="142" t="s">
        <v>81</v>
      </c>
      <c r="G53" s="31" t="s">
        <v>82</v>
      </c>
      <c r="H53" s="131"/>
      <c r="I53" s="91"/>
      <c r="J53" s="85" t="s">
        <v>133</v>
      </c>
    </row>
    <row r="54" spans="1:10" ht="14.25" customHeight="1" x14ac:dyDescent="0.25">
      <c r="A54" s="221" t="s">
        <v>134</v>
      </c>
      <c r="B54" s="142">
        <v>1</v>
      </c>
      <c r="C54" s="133">
        <v>1514.4</v>
      </c>
      <c r="D54" s="133">
        <v>1970.26</v>
      </c>
      <c r="E54" s="133">
        <v>1573.28</v>
      </c>
      <c r="F54" s="133">
        <v>2076.77</v>
      </c>
      <c r="G54" s="27">
        <f t="shared" ref="G54:G63" si="15">SUM(C54:F54)</f>
        <v>7134.7099999999991</v>
      </c>
      <c r="H54" s="134">
        <f>+(G54)/$J$54</f>
        <v>0.81446461187214603</v>
      </c>
      <c r="I54" s="91"/>
      <c r="J54" s="86">
        <v>8760</v>
      </c>
    </row>
    <row r="55" spans="1:10" ht="14.25" customHeight="1" x14ac:dyDescent="0.25">
      <c r="A55" s="222"/>
      <c r="B55" s="128">
        <v>2</v>
      </c>
      <c r="C55" s="136">
        <v>1714.68</v>
      </c>
      <c r="D55" s="136">
        <v>1731.84</v>
      </c>
      <c r="E55" s="136">
        <v>2014.53</v>
      </c>
      <c r="F55" s="136">
        <v>1789.89</v>
      </c>
      <c r="G55" s="28">
        <f t="shared" si="15"/>
        <v>7250.9400000000005</v>
      </c>
      <c r="H55" s="137">
        <f t="shared" ref="H55:H58" si="16">+(G55)/$J$54</f>
        <v>0.82773287671232887</v>
      </c>
      <c r="I55" s="91"/>
      <c r="J55" s="91"/>
    </row>
    <row r="56" spans="1:10" ht="14.25" customHeight="1" x14ac:dyDescent="0.25">
      <c r="A56" s="222"/>
      <c r="B56" s="128">
        <v>3</v>
      </c>
      <c r="C56" s="136">
        <v>1402.92</v>
      </c>
      <c r="D56" s="136">
        <v>1995.42</v>
      </c>
      <c r="E56" s="136">
        <v>2157.4</v>
      </c>
      <c r="F56" s="136">
        <v>1935.5</v>
      </c>
      <c r="G56" s="28">
        <f t="shared" si="15"/>
        <v>7491.24</v>
      </c>
      <c r="H56" s="137">
        <f t="shared" si="16"/>
        <v>0.85516438356164381</v>
      </c>
      <c r="I56" s="91"/>
      <c r="J56" s="91"/>
    </row>
    <row r="57" spans="1:10" ht="14.25" customHeight="1" x14ac:dyDescent="0.25">
      <c r="A57" s="146" t="s">
        <v>135</v>
      </c>
      <c r="B57" s="128"/>
      <c r="C57" s="136">
        <v>1544</v>
      </c>
      <c r="D57" s="136">
        <v>1899.1733333333334</v>
      </c>
      <c r="E57" s="136">
        <v>1915.07</v>
      </c>
      <c r="F57" s="136">
        <v>1934.0533333333333</v>
      </c>
      <c r="G57" s="28">
        <f>AVERAGE(G54:G56)</f>
        <v>7292.2966666666662</v>
      </c>
      <c r="H57" s="137">
        <f t="shared" si="16"/>
        <v>0.83245395738203953</v>
      </c>
      <c r="I57" s="91"/>
      <c r="J57" s="91"/>
    </row>
    <row r="58" spans="1:10" ht="14.25" customHeight="1" x14ac:dyDescent="0.25">
      <c r="A58" s="146" t="s">
        <v>136</v>
      </c>
      <c r="B58" s="128">
        <v>1</v>
      </c>
      <c r="C58" s="136">
        <v>1717.65</v>
      </c>
      <c r="D58" s="136">
        <v>2095.25</v>
      </c>
      <c r="E58" s="136">
        <v>2148.92</v>
      </c>
      <c r="F58" s="136">
        <v>2173.1799999999998</v>
      </c>
      <c r="G58" s="28">
        <f t="shared" si="15"/>
        <v>8135</v>
      </c>
      <c r="H58" s="137">
        <f t="shared" si="16"/>
        <v>0.92865296803652964</v>
      </c>
      <c r="I58" s="91"/>
      <c r="J58" s="91"/>
    </row>
    <row r="59" spans="1:10" x14ac:dyDescent="0.25">
      <c r="A59" s="146" t="s">
        <v>137</v>
      </c>
      <c r="B59" s="128"/>
      <c r="C59" s="147"/>
      <c r="D59" s="147"/>
      <c r="E59" s="147"/>
      <c r="F59" s="147"/>
      <c r="G59" s="28">
        <f t="shared" si="15"/>
        <v>0</v>
      </c>
      <c r="H59" s="137" t="str">
        <f>IF(B59&gt;0,#REF!/J54,"n/a")</f>
        <v>n/a</v>
      </c>
      <c r="I59" s="91"/>
      <c r="J59" s="91"/>
    </row>
    <row r="60" spans="1:10" x14ac:dyDescent="0.25">
      <c r="A60" s="146" t="s">
        <v>138</v>
      </c>
      <c r="B60" s="128" t="s">
        <v>139</v>
      </c>
      <c r="C60" s="147"/>
      <c r="D60" s="147"/>
      <c r="E60" s="147"/>
      <c r="F60" s="147"/>
      <c r="G60" s="28"/>
      <c r="H60" s="165" t="s">
        <v>140</v>
      </c>
      <c r="I60" s="91"/>
      <c r="J60" s="91"/>
    </row>
    <row r="61" spans="1:10" x14ac:dyDescent="0.25">
      <c r="A61" s="146" t="s">
        <v>141</v>
      </c>
      <c r="B61" s="128" t="s">
        <v>142</v>
      </c>
      <c r="C61" s="147">
        <v>1</v>
      </c>
      <c r="D61" s="147">
        <v>1</v>
      </c>
      <c r="E61" s="147">
        <v>0</v>
      </c>
      <c r="F61" s="147">
        <v>0</v>
      </c>
      <c r="G61" s="28">
        <f t="shared" si="15"/>
        <v>2</v>
      </c>
      <c r="H61" s="148" t="str">
        <f>IF(G61&gt;0,"yes","no")</f>
        <v>yes</v>
      </c>
      <c r="I61" s="91"/>
      <c r="J61" s="91"/>
    </row>
    <row r="62" spans="1:10" x14ac:dyDescent="0.25">
      <c r="A62" s="146" t="s">
        <v>143</v>
      </c>
      <c r="B62" s="128" t="s">
        <v>144</v>
      </c>
      <c r="C62" s="147">
        <v>2</v>
      </c>
      <c r="D62" s="166">
        <v>0.5</v>
      </c>
      <c r="E62" s="147">
        <v>0</v>
      </c>
      <c r="F62" s="147">
        <v>0</v>
      </c>
      <c r="G62" s="100">
        <f t="shared" si="15"/>
        <v>2.5</v>
      </c>
      <c r="H62" s="167">
        <f>+(G62)/J54</f>
        <v>2.8538812785388126E-4</v>
      </c>
      <c r="I62" s="91"/>
      <c r="J62" s="91"/>
    </row>
    <row r="63" spans="1:10" x14ac:dyDescent="0.25">
      <c r="A63" s="98" t="s">
        <v>145</v>
      </c>
      <c r="B63" s="168" t="s">
        <v>142</v>
      </c>
      <c r="C63" s="159">
        <v>1</v>
      </c>
      <c r="D63" s="159">
        <v>0</v>
      </c>
      <c r="E63" s="159">
        <v>0</v>
      </c>
      <c r="F63" s="159">
        <v>4</v>
      </c>
      <c r="G63" s="29">
        <f t="shared" si="15"/>
        <v>5</v>
      </c>
      <c r="H63" s="169" t="str">
        <f>IF(G63&gt;0,"yes","no")</f>
        <v>yes</v>
      </c>
      <c r="I63" s="91"/>
      <c r="J63" s="91"/>
    </row>
    <row r="76" spans="6:6" x14ac:dyDescent="0.25">
      <c r="F76" s="3"/>
    </row>
  </sheetData>
  <mergeCells count="9">
    <mergeCell ref="A54:A56"/>
    <mergeCell ref="K6:K7"/>
    <mergeCell ref="K8:K19"/>
    <mergeCell ref="B34:B39"/>
    <mergeCell ref="B4:C4"/>
    <mergeCell ref="B8:B20"/>
    <mergeCell ref="B24:B27"/>
    <mergeCell ref="B29:B30"/>
    <mergeCell ref="C31:F31"/>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1" max="16383" man="1"/>
  </rowBreaks>
  <ignoredErrors>
    <ignoredError sqref="G58 G55: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topLeftCell="A16" workbookViewId="0">
      <selection activeCell="M21" sqref="M21"/>
    </sheetView>
  </sheetViews>
  <sheetFormatPr defaultColWidth="9.109375" defaultRowHeight="15" x14ac:dyDescent="0.25"/>
  <cols>
    <col min="1" max="1" width="9.109375" style="2" customWidth="1"/>
    <col min="2" max="2" width="14.5546875" style="2" bestFit="1" customWidth="1"/>
    <col min="3" max="9" width="9.109375" style="2"/>
    <col min="10" max="10" width="11.5546875" style="2" customWidth="1"/>
    <col min="11" max="16384" width="9.109375" style="2"/>
  </cols>
  <sheetData>
    <row r="1" spans="1:14" x14ac:dyDescent="0.25">
      <c r="A1" s="91" t="str">
        <f>+'Cover Page'!$B$29</f>
        <v>Annual Performance Report 2022</v>
      </c>
      <c r="B1" s="91"/>
      <c r="C1" s="91"/>
      <c r="D1" s="91"/>
      <c r="E1" s="91" t="str">
        <f>+'Cover Page'!$B$33</f>
        <v>Kent Enviropower Limited</v>
      </c>
      <c r="F1" s="91"/>
      <c r="G1" s="91"/>
      <c r="H1" s="91"/>
      <c r="I1" s="91"/>
      <c r="J1" s="91"/>
      <c r="K1" s="91"/>
      <c r="L1" s="91"/>
      <c r="M1" s="91"/>
      <c r="N1" s="91"/>
    </row>
    <row r="3" spans="1:14" ht="15.6" x14ac:dyDescent="0.3">
      <c r="A3" s="50" t="s">
        <v>146</v>
      </c>
      <c r="B3" s="122"/>
      <c r="C3" s="122"/>
      <c r="D3" s="122"/>
      <c r="E3" s="122"/>
      <c r="F3" s="122"/>
      <c r="G3" s="122"/>
      <c r="H3" s="122"/>
      <c r="I3" s="123"/>
      <c r="J3" s="91"/>
      <c r="K3" s="80" t="s">
        <v>3</v>
      </c>
      <c r="L3" s="91"/>
      <c r="M3" s="91"/>
      <c r="N3" s="91"/>
    </row>
    <row r="4" spans="1:14" x14ac:dyDescent="0.25">
      <c r="A4" s="124"/>
      <c r="B4" s="125"/>
      <c r="C4" s="125"/>
      <c r="D4" s="125"/>
      <c r="E4" s="125"/>
      <c r="F4" s="125"/>
      <c r="G4" s="125"/>
      <c r="H4" s="125"/>
      <c r="I4" s="126"/>
      <c r="J4" s="91"/>
      <c r="K4" s="91"/>
      <c r="L4" s="91"/>
      <c r="M4" s="91"/>
      <c r="N4" s="91"/>
    </row>
    <row r="5" spans="1:14" ht="15.75" customHeight="1" x14ac:dyDescent="0.25">
      <c r="A5" s="206" t="s">
        <v>147</v>
      </c>
      <c r="B5" s="215"/>
      <c r="C5" s="215"/>
      <c r="D5" s="215"/>
      <c r="E5" s="215"/>
      <c r="F5" s="215"/>
      <c r="G5" s="215"/>
      <c r="H5" s="215"/>
      <c r="I5" s="216"/>
      <c r="J5" s="91"/>
      <c r="K5" s="220" t="s">
        <v>148</v>
      </c>
      <c r="L5" s="220"/>
      <c r="M5" s="220"/>
      <c r="N5" s="220"/>
    </row>
    <row r="6" spans="1:14" x14ac:dyDescent="0.25">
      <c r="A6" s="217"/>
      <c r="B6" s="218"/>
      <c r="C6" s="218"/>
      <c r="D6" s="218"/>
      <c r="E6" s="218"/>
      <c r="F6" s="218"/>
      <c r="G6" s="218"/>
      <c r="H6" s="218"/>
      <c r="I6" s="219"/>
      <c r="J6" s="91"/>
      <c r="K6" s="220"/>
      <c r="L6" s="220"/>
      <c r="M6" s="220"/>
      <c r="N6" s="220"/>
    </row>
    <row r="7" spans="1:14" x14ac:dyDescent="0.25">
      <c r="A7" s="217"/>
      <c r="B7" s="218"/>
      <c r="C7" s="218"/>
      <c r="D7" s="218"/>
      <c r="E7" s="218"/>
      <c r="F7" s="218"/>
      <c r="G7" s="218"/>
      <c r="H7" s="218"/>
      <c r="I7" s="219"/>
      <c r="J7" s="91"/>
      <c r="K7" s="220"/>
      <c r="L7" s="220"/>
      <c r="M7" s="220"/>
      <c r="N7" s="220"/>
    </row>
    <row r="8" spans="1:14" ht="15.75" customHeight="1" x14ac:dyDescent="0.25">
      <c r="A8" s="217"/>
      <c r="B8" s="218"/>
      <c r="C8" s="218"/>
      <c r="D8" s="218"/>
      <c r="E8" s="218"/>
      <c r="F8" s="218"/>
      <c r="G8" s="218"/>
      <c r="H8" s="218"/>
      <c r="I8" s="219"/>
      <c r="J8" s="91"/>
      <c r="K8" s="220"/>
      <c r="L8" s="220"/>
      <c r="M8" s="220"/>
      <c r="N8" s="220"/>
    </row>
    <row r="9" spans="1:14" ht="15.75" customHeight="1" x14ac:dyDescent="0.25">
      <c r="A9" s="217"/>
      <c r="B9" s="218"/>
      <c r="C9" s="218"/>
      <c r="D9" s="218"/>
      <c r="E9" s="218"/>
      <c r="F9" s="218"/>
      <c r="G9" s="218"/>
      <c r="H9" s="218"/>
      <c r="I9" s="219"/>
      <c r="J9" s="91"/>
      <c r="K9" s="220"/>
      <c r="L9" s="220"/>
      <c r="M9" s="220"/>
      <c r="N9" s="220"/>
    </row>
    <row r="10" spans="1:14" ht="15.75" customHeight="1" x14ac:dyDescent="0.25">
      <c r="A10" s="217"/>
      <c r="B10" s="218"/>
      <c r="C10" s="218"/>
      <c r="D10" s="218"/>
      <c r="E10" s="218"/>
      <c r="F10" s="218"/>
      <c r="G10" s="218"/>
      <c r="H10" s="218"/>
      <c r="I10" s="219"/>
      <c r="J10" s="91"/>
      <c r="K10" s="220"/>
      <c r="L10" s="220"/>
      <c r="M10" s="220"/>
      <c r="N10" s="220"/>
    </row>
    <row r="11" spans="1:14" ht="15.75" customHeight="1" x14ac:dyDescent="0.25">
      <c r="A11" s="217"/>
      <c r="B11" s="218"/>
      <c r="C11" s="218"/>
      <c r="D11" s="218"/>
      <c r="E11" s="218"/>
      <c r="F11" s="218"/>
      <c r="G11" s="218"/>
      <c r="H11" s="218"/>
      <c r="I11" s="219"/>
      <c r="J11" s="91"/>
      <c r="K11" s="220"/>
      <c r="L11" s="220"/>
      <c r="M11" s="220"/>
      <c r="N11" s="220"/>
    </row>
    <row r="12" spans="1:14" ht="15.75" customHeight="1" x14ac:dyDescent="0.25">
      <c r="A12" s="217"/>
      <c r="B12" s="218"/>
      <c r="C12" s="218"/>
      <c r="D12" s="218"/>
      <c r="E12" s="218"/>
      <c r="F12" s="218"/>
      <c r="G12" s="218"/>
      <c r="H12" s="218"/>
      <c r="I12" s="219"/>
      <c r="J12" s="91"/>
      <c r="K12" s="220"/>
      <c r="L12" s="220"/>
      <c r="M12" s="220"/>
      <c r="N12" s="220"/>
    </row>
    <row r="13" spans="1:14" ht="15.75" customHeight="1" x14ac:dyDescent="0.25">
      <c r="A13" s="217"/>
      <c r="B13" s="218"/>
      <c r="C13" s="218"/>
      <c r="D13" s="218"/>
      <c r="E13" s="218"/>
      <c r="F13" s="218"/>
      <c r="G13" s="218"/>
      <c r="H13" s="218"/>
      <c r="I13" s="219"/>
      <c r="J13" s="91"/>
      <c r="K13" s="220"/>
      <c r="L13" s="220"/>
      <c r="M13" s="220"/>
      <c r="N13" s="220"/>
    </row>
    <row r="14" spans="1:14" ht="15.75" customHeight="1" x14ac:dyDescent="0.25">
      <c r="A14" s="217"/>
      <c r="B14" s="218"/>
      <c r="C14" s="218"/>
      <c r="D14" s="218"/>
      <c r="E14" s="218"/>
      <c r="F14" s="218"/>
      <c r="G14" s="218"/>
      <c r="H14" s="218"/>
      <c r="I14" s="219"/>
      <c r="J14" s="91"/>
      <c r="K14" s="220"/>
      <c r="L14" s="220"/>
      <c r="M14" s="220"/>
      <c r="N14" s="220"/>
    </row>
    <row r="15" spans="1:14" ht="15.75" customHeight="1" x14ac:dyDescent="0.25">
      <c r="A15" s="217"/>
      <c r="B15" s="218"/>
      <c r="C15" s="218"/>
      <c r="D15" s="218"/>
      <c r="E15" s="218"/>
      <c r="F15" s="218"/>
      <c r="G15" s="218"/>
      <c r="H15" s="218"/>
      <c r="I15" s="219"/>
      <c r="J15" s="91"/>
      <c r="K15" s="91"/>
      <c r="L15" s="91"/>
      <c r="M15" s="91"/>
      <c r="N15" s="91"/>
    </row>
    <row r="16" spans="1:14" ht="15.75" customHeight="1" x14ac:dyDescent="0.25">
      <c r="A16" s="217"/>
      <c r="B16" s="218"/>
      <c r="C16" s="218"/>
      <c r="D16" s="218"/>
      <c r="E16" s="218"/>
      <c r="F16" s="218"/>
      <c r="G16" s="218"/>
      <c r="H16" s="218"/>
      <c r="I16" s="219"/>
      <c r="J16" s="91"/>
      <c r="K16" s="91"/>
      <c r="L16" s="91"/>
      <c r="M16" s="91"/>
      <c r="N16" s="91"/>
    </row>
    <row r="17" spans="1:14" ht="15.75" customHeight="1" x14ac:dyDescent="0.25">
      <c r="A17" s="217"/>
      <c r="B17" s="218"/>
      <c r="C17" s="218"/>
      <c r="D17" s="218"/>
      <c r="E17" s="218"/>
      <c r="F17" s="218"/>
      <c r="G17" s="218"/>
      <c r="H17" s="218"/>
      <c r="I17" s="219"/>
      <c r="J17" s="91"/>
      <c r="K17" s="91"/>
      <c r="L17" s="91"/>
      <c r="M17" s="91"/>
      <c r="N17" s="91"/>
    </row>
    <row r="18" spans="1:14" x14ac:dyDescent="0.25">
      <c r="A18" s="217"/>
      <c r="B18" s="218"/>
      <c r="C18" s="218"/>
      <c r="D18" s="218"/>
      <c r="E18" s="218"/>
      <c r="F18" s="218"/>
      <c r="G18" s="218"/>
      <c r="H18" s="218"/>
      <c r="I18" s="219"/>
      <c r="J18" s="91"/>
      <c r="K18" s="91"/>
      <c r="L18" s="91"/>
      <c r="M18" s="91"/>
      <c r="N18" s="91"/>
    </row>
    <row r="19" spans="1:14" x14ac:dyDescent="0.25">
      <c r="A19" s="217"/>
      <c r="B19" s="218"/>
      <c r="C19" s="218"/>
      <c r="D19" s="218"/>
      <c r="E19" s="218"/>
      <c r="F19" s="218"/>
      <c r="G19" s="218"/>
      <c r="H19" s="218"/>
      <c r="I19" s="219"/>
      <c r="J19" s="91"/>
      <c r="K19" s="91"/>
      <c r="L19" s="91"/>
      <c r="M19" s="91"/>
      <c r="N19" s="91"/>
    </row>
    <row r="20" spans="1:14" x14ac:dyDescent="0.25">
      <c r="A20" s="217"/>
      <c r="B20" s="218"/>
      <c r="C20" s="218"/>
      <c r="D20" s="218"/>
      <c r="E20" s="218"/>
      <c r="F20" s="218"/>
      <c r="G20" s="218"/>
      <c r="H20" s="218"/>
      <c r="I20" s="219"/>
      <c r="J20" s="91"/>
      <c r="K20" s="91"/>
      <c r="L20" s="91"/>
      <c r="M20" s="91"/>
      <c r="N20" s="91"/>
    </row>
    <row r="21" spans="1:14" x14ac:dyDescent="0.25">
      <c r="A21" s="217"/>
      <c r="B21" s="218"/>
      <c r="C21" s="218"/>
      <c r="D21" s="218"/>
      <c r="E21" s="218"/>
      <c r="F21" s="218"/>
      <c r="G21" s="218"/>
      <c r="H21" s="218"/>
      <c r="I21" s="219"/>
      <c r="J21" s="91"/>
      <c r="K21" s="91"/>
      <c r="L21" s="91"/>
      <c r="M21" s="91"/>
      <c r="N21" s="91"/>
    </row>
    <row r="22" spans="1:14" ht="15.6" customHeight="1" x14ac:dyDescent="0.25">
      <c r="A22" s="217"/>
      <c r="B22" s="218"/>
      <c r="C22" s="218"/>
      <c r="D22" s="218"/>
      <c r="E22" s="218"/>
      <c r="F22" s="218"/>
      <c r="G22" s="218"/>
      <c r="H22" s="218"/>
      <c r="I22" s="219"/>
      <c r="J22" s="91"/>
      <c r="K22" s="93"/>
      <c r="L22" s="93"/>
      <c r="M22" s="93"/>
      <c r="N22" s="93"/>
    </row>
    <row r="23" spans="1:14" x14ac:dyDescent="0.25">
      <c r="A23" s="217"/>
      <c r="B23" s="218"/>
      <c r="C23" s="218"/>
      <c r="D23" s="218"/>
      <c r="E23" s="218"/>
      <c r="F23" s="218"/>
      <c r="G23" s="218"/>
      <c r="H23" s="218"/>
      <c r="I23" s="219"/>
      <c r="J23" s="91"/>
      <c r="K23" s="93"/>
      <c r="L23" s="93"/>
      <c r="M23" s="93"/>
      <c r="N23" s="93"/>
    </row>
    <row r="24" spans="1:14" x14ac:dyDescent="0.25">
      <c r="A24" s="217"/>
      <c r="B24" s="218"/>
      <c r="C24" s="218"/>
      <c r="D24" s="218"/>
      <c r="E24" s="218"/>
      <c r="F24" s="218"/>
      <c r="G24" s="218"/>
      <c r="H24" s="218"/>
      <c r="I24" s="219"/>
      <c r="J24" s="91"/>
      <c r="K24" s="93"/>
      <c r="L24" s="93"/>
      <c r="M24" s="93"/>
      <c r="N24" s="93"/>
    </row>
    <row r="25" spans="1:14" x14ac:dyDescent="0.25">
      <c r="A25" s="217"/>
      <c r="B25" s="218"/>
      <c r="C25" s="218"/>
      <c r="D25" s="218"/>
      <c r="E25" s="218"/>
      <c r="F25" s="218"/>
      <c r="G25" s="218"/>
      <c r="H25" s="218"/>
      <c r="I25" s="219"/>
      <c r="J25" s="91"/>
      <c r="K25" s="93"/>
      <c r="L25" s="93"/>
      <c r="M25" s="93"/>
      <c r="N25" s="93"/>
    </row>
    <row r="26" spans="1:14" x14ac:dyDescent="0.25">
      <c r="A26" s="217"/>
      <c r="B26" s="218"/>
      <c r="C26" s="218"/>
      <c r="D26" s="218"/>
      <c r="E26" s="218"/>
      <c r="F26" s="218"/>
      <c r="G26" s="218"/>
      <c r="H26" s="218"/>
      <c r="I26" s="219"/>
      <c r="J26" s="91"/>
      <c r="K26" s="93"/>
      <c r="L26" s="93"/>
      <c r="M26" s="93"/>
      <c r="N26" s="93"/>
    </row>
    <row r="27" spans="1:14" x14ac:dyDescent="0.25">
      <c r="A27" s="231"/>
      <c r="B27" s="232"/>
      <c r="C27" s="232"/>
      <c r="D27" s="232"/>
      <c r="E27" s="232"/>
      <c r="F27" s="232"/>
      <c r="G27" s="232"/>
      <c r="H27" s="232"/>
      <c r="I27" s="233"/>
      <c r="J27" s="91"/>
      <c r="K27" s="93"/>
      <c r="L27" s="93"/>
      <c r="M27" s="93"/>
      <c r="N27" s="93"/>
    </row>
    <row r="28" spans="1:14" x14ac:dyDescent="0.25">
      <c r="A28" s="91"/>
      <c r="B28" s="91"/>
      <c r="C28" s="91"/>
      <c r="D28" s="91"/>
      <c r="E28" s="91"/>
      <c r="F28" s="91"/>
      <c r="G28" s="91"/>
      <c r="H28" s="91"/>
      <c r="I28" s="91"/>
      <c r="J28" s="91"/>
      <c r="K28" s="93"/>
      <c r="L28" s="93"/>
      <c r="M28" s="93"/>
      <c r="N28" s="93"/>
    </row>
    <row r="29" spans="1:14" x14ac:dyDescent="0.25">
      <c r="A29" s="50" t="s">
        <v>149</v>
      </c>
      <c r="B29" s="122"/>
      <c r="C29" s="122"/>
      <c r="D29" s="122"/>
      <c r="E29" s="122"/>
      <c r="F29" s="122"/>
      <c r="G29" s="122"/>
      <c r="H29" s="122"/>
      <c r="I29" s="123"/>
      <c r="J29" s="91"/>
      <c r="K29" s="93"/>
      <c r="L29" s="93"/>
      <c r="M29" s="93"/>
      <c r="N29" s="93"/>
    </row>
    <row r="30" spans="1:14" x14ac:dyDescent="0.25">
      <c r="A30" s="124"/>
      <c r="B30" s="125"/>
      <c r="C30" s="125"/>
      <c r="D30" s="125"/>
      <c r="E30" s="125"/>
      <c r="F30" s="125"/>
      <c r="G30" s="125"/>
      <c r="H30" s="125"/>
      <c r="I30" s="126"/>
      <c r="J30" s="91"/>
      <c r="K30" s="93"/>
      <c r="L30" s="93"/>
      <c r="M30" s="93"/>
      <c r="N30" s="93"/>
    </row>
    <row r="31" spans="1:14" x14ac:dyDescent="0.25">
      <c r="A31" s="206" t="s">
        <v>150</v>
      </c>
      <c r="B31" s="207"/>
      <c r="C31" s="207"/>
      <c r="D31" s="207"/>
      <c r="E31" s="207"/>
      <c r="F31" s="207"/>
      <c r="G31" s="207"/>
      <c r="H31" s="207"/>
      <c r="I31" s="208"/>
      <c r="J31" s="91"/>
      <c r="K31" s="220" t="s">
        <v>151</v>
      </c>
      <c r="L31" s="220"/>
      <c r="M31" s="220"/>
      <c r="N31" s="220"/>
    </row>
    <row r="32" spans="1:14" x14ac:dyDescent="0.25">
      <c r="A32" s="209"/>
      <c r="B32" s="210"/>
      <c r="C32" s="210"/>
      <c r="D32" s="210"/>
      <c r="E32" s="210"/>
      <c r="F32" s="210"/>
      <c r="G32" s="210"/>
      <c r="H32" s="210"/>
      <c r="I32" s="211"/>
      <c r="J32" s="91"/>
      <c r="K32" s="220"/>
      <c r="L32" s="220"/>
      <c r="M32" s="220"/>
      <c r="N32" s="220"/>
    </row>
    <row r="33" spans="1:14" x14ac:dyDescent="0.25">
      <c r="A33" s="209"/>
      <c r="B33" s="210"/>
      <c r="C33" s="210"/>
      <c r="D33" s="210"/>
      <c r="E33" s="210"/>
      <c r="F33" s="210"/>
      <c r="G33" s="210"/>
      <c r="H33" s="210"/>
      <c r="I33" s="211"/>
      <c r="J33" s="91"/>
      <c r="K33" s="220"/>
      <c r="L33" s="220"/>
      <c r="M33" s="220"/>
      <c r="N33" s="220"/>
    </row>
    <row r="34" spans="1:14" x14ac:dyDescent="0.25">
      <c r="A34" s="209"/>
      <c r="B34" s="210"/>
      <c r="C34" s="210"/>
      <c r="D34" s="210"/>
      <c r="E34" s="210"/>
      <c r="F34" s="210"/>
      <c r="G34" s="210"/>
      <c r="H34" s="210"/>
      <c r="I34" s="211"/>
      <c r="J34" s="91"/>
      <c r="K34" s="220"/>
      <c r="L34" s="220"/>
      <c r="M34" s="220"/>
      <c r="N34" s="220"/>
    </row>
    <row r="35" spans="1:14" x14ac:dyDescent="0.25">
      <c r="A35" s="209"/>
      <c r="B35" s="210"/>
      <c r="C35" s="210"/>
      <c r="D35" s="210"/>
      <c r="E35" s="210"/>
      <c r="F35" s="210"/>
      <c r="G35" s="210"/>
      <c r="H35" s="210"/>
      <c r="I35" s="211"/>
      <c r="J35" s="91"/>
      <c r="K35" s="220"/>
      <c r="L35" s="220"/>
      <c r="M35" s="220"/>
      <c r="N35" s="220"/>
    </row>
    <row r="36" spans="1:14" x14ac:dyDescent="0.25">
      <c r="A36" s="209"/>
      <c r="B36" s="210"/>
      <c r="C36" s="210"/>
      <c r="D36" s="210"/>
      <c r="E36" s="210"/>
      <c r="F36" s="210"/>
      <c r="G36" s="210"/>
      <c r="H36" s="210"/>
      <c r="I36" s="211"/>
      <c r="J36" s="91"/>
      <c r="K36" s="220"/>
      <c r="L36" s="220"/>
      <c r="M36" s="220"/>
      <c r="N36" s="220"/>
    </row>
    <row r="37" spans="1:14" x14ac:dyDescent="0.25">
      <c r="A37" s="209"/>
      <c r="B37" s="210"/>
      <c r="C37" s="210"/>
      <c r="D37" s="210"/>
      <c r="E37" s="210"/>
      <c r="F37" s="210"/>
      <c r="G37" s="210"/>
      <c r="H37" s="210"/>
      <c r="I37" s="211"/>
      <c r="J37" s="91"/>
      <c r="K37" s="220"/>
      <c r="L37" s="220"/>
      <c r="M37" s="220"/>
      <c r="N37" s="220"/>
    </row>
    <row r="38" spans="1:14" ht="14.25" customHeight="1" x14ac:dyDescent="0.25">
      <c r="A38" s="209"/>
      <c r="B38" s="210"/>
      <c r="C38" s="210"/>
      <c r="D38" s="210"/>
      <c r="E38" s="210"/>
      <c r="F38" s="210"/>
      <c r="G38" s="210"/>
      <c r="H38" s="210"/>
      <c r="I38" s="211"/>
      <c r="J38" s="91"/>
      <c r="K38" s="220"/>
      <c r="L38" s="220"/>
      <c r="M38" s="220"/>
      <c r="N38" s="220"/>
    </row>
    <row r="39" spans="1:14" x14ac:dyDescent="0.25">
      <c r="A39" s="209"/>
      <c r="B39" s="210"/>
      <c r="C39" s="210"/>
      <c r="D39" s="210"/>
      <c r="E39" s="210"/>
      <c r="F39" s="210"/>
      <c r="G39" s="210"/>
      <c r="H39" s="210"/>
      <c r="I39" s="211"/>
      <c r="J39" s="91"/>
      <c r="K39" s="220"/>
      <c r="L39" s="220"/>
      <c r="M39" s="220"/>
      <c r="N39" s="220"/>
    </row>
    <row r="40" spans="1:14" x14ac:dyDescent="0.25">
      <c r="A40" s="209"/>
      <c r="B40" s="210"/>
      <c r="C40" s="210"/>
      <c r="D40" s="210"/>
      <c r="E40" s="210"/>
      <c r="F40" s="210"/>
      <c r="G40" s="210"/>
      <c r="H40" s="210"/>
      <c r="I40" s="211"/>
      <c r="J40" s="91"/>
      <c r="K40" s="220"/>
      <c r="L40" s="220"/>
      <c r="M40" s="220"/>
      <c r="N40" s="220"/>
    </row>
    <row r="41" spans="1:14" x14ac:dyDescent="0.25">
      <c r="A41" s="209"/>
      <c r="B41" s="210"/>
      <c r="C41" s="210"/>
      <c r="D41" s="210"/>
      <c r="E41" s="210"/>
      <c r="F41" s="210"/>
      <c r="G41" s="210"/>
      <c r="H41" s="210"/>
      <c r="I41" s="211"/>
      <c r="J41" s="91"/>
      <c r="K41" s="91"/>
      <c r="L41" s="91"/>
      <c r="M41" s="91"/>
      <c r="N41" s="91"/>
    </row>
    <row r="42" spans="1:14" x14ac:dyDescent="0.25">
      <c r="A42" s="209"/>
      <c r="B42" s="210"/>
      <c r="C42" s="210"/>
      <c r="D42" s="210"/>
      <c r="E42" s="210"/>
      <c r="F42" s="210"/>
      <c r="G42" s="210"/>
      <c r="H42" s="210"/>
      <c r="I42" s="211"/>
      <c r="J42" s="91"/>
      <c r="K42" s="91"/>
      <c r="L42" s="91"/>
      <c r="M42" s="91"/>
      <c r="N42" s="91"/>
    </row>
    <row r="43" spans="1:14" x14ac:dyDescent="0.25">
      <c r="A43" s="209"/>
      <c r="B43" s="210"/>
      <c r="C43" s="210"/>
      <c r="D43" s="210"/>
      <c r="E43" s="210"/>
      <c r="F43" s="210"/>
      <c r="G43" s="210"/>
      <c r="H43" s="210"/>
      <c r="I43" s="211"/>
      <c r="J43" s="91"/>
      <c r="K43" s="91"/>
      <c r="L43" s="91"/>
      <c r="M43" s="91"/>
      <c r="N43" s="91"/>
    </row>
    <row r="44" spans="1:14" x14ac:dyDescent="0.25">
      <c r="A44" s="209"/>
      <c r="B44" s="210"/>
      <c r="C44" s="210"/>
      <c r="D44" s="210"/>
      <c r="E44" s="210"/>
      <c r="F44" s="210"/>
      <c r="G44" s="210"/>
      <c r="H44" s="210"/>
      <c r="I44" s="211"/>
      <c r="J44" s="91"/>
      <c r="K44" s="91"/>
      <c r="L44" s="91"/>
      <c r="M44" s="91"/>
      <c r="N44" s="91"/>
    </row>
    <row r="45" spans="1:14" x14ac:dyDescent="0.25">
      <c r="A45" s="209"/>
      <c r="B45" s="210"/>
      <c r="C45" s="210"/>
      <c r="D45" s="210"/>
      <c r="E45" s="210"/>
      <c r="F45" s="210"/>
      <c r="G45" s="210"/>
      <c r="H45" s="210"/>
      <c r="I45" s="211"/>
      <c r="J45" s="91"/>
      <c r="K45" s="91"/>
      <c r="L45" s="91"/>
      <c r="M45" s="91"/>
      <c r="N45" s="91"/>
    </row>
    <row r="46" spans="1:14" x14ac:dyDescent="0.25">
      <c r="A46" s="209"/>
      <c r="B46" s="210"/>
      <c r="C46" s="210"/>
      <c r="D46" s="210"/>
      <c r="E46" s="210"/>
      <c r="F46" s="210"/>
      <c r="G46" s="210"/>
      <c r="H46" s="210"/>
      <c r="I46" s="211"/>
      <c r="J46" s="91"/>
      <c r="K46" s="91"/>
      <c r="L46" s="91"/>
      <c r="M46" s="91"/>
      <c r="N46" s="91"/>
    </row>
    <row r="47" spans="1:14" x14ac:dyDescent="0.25">
      <c r="A47" s="209"/>
      <c r="B47" s="210"/>
      <c r="C47" s="210"/>
      <c r="D47" s="210"/>
      <c r="E47" s="210"/>
      <c r="F47" s="210"/>
      <c r="G47" s="210"/>
      <c r="H47" s="210"/>
      <c r="I47" s="211"/>
      <c r="J47" s="91"/>
      <c r="K47" s="91"/>
      <c r="L47" s="91"/>
      <c r="M47" s="91"/>
      <c r="N47" s="91"/>
    </row>
    <row r="48" spans="1:14" x14ac:dyDescent="0.25">
      <c r="A48" s="209"/>
      <c r="B48" s="210"/>
      <c r="C48" s="210"/>
      <c r="D48" s="210"/>
      <c r="E48" s="210"/>
      <c r="F48" s="210"/>
      <c r="G48" s="210"/>
      <c r="H48" s="210"/>
      <c r="I48" s="211"/>
      <c r="J48" s="91"/>
      <c r="K48" s="91"/>
      <c r="L48" s="91"/>
      <c r="M48" s="91"/>
      <c r="N48" s="91"/>
    </row>
    <row r="49" spans="1:9" x14ac:dyDescent="0.25">
      <c r="A49" s="209"/>
      <c r="B49" s="210"/>
      <c r="C49" s="210"/>
      <c r="D49" s="210"/>
      <c r="E49" s="210"/>
      <c r="F49" s="210"/>
      <c r="G49" s="210"/>
      <c r="H49" s="210"/>
      <c r="I49" s="211"/>
    </row>
    <row r="50" spans="1:9" x14ac:dyDescent="0.25">
      <c r="A50" s="209"/>
      <c r="B50" s="210"/>
      <c r="C50" s="210"/>
      <c r="D50" s="210"/>
      <c r="E50" s="210"/>
      <c r="F50" s="210"/>
      <c r="G50" s="210"/>
      <c r="H50" s="210"/>
      <c r="I50" s="211"/>
    </row>
    <row r="51" spans="1:9" x14ac:dyDescent="0.25">
      <c r="A51" s="209"/>
      <c r="B51" s="210"/>
      <c r="C51" s="210"/>
      <c r="D51" s="210"/>
      <c r="E51" s="210"/>
      <c r="F51" s="210"/>
      <c r="G51" s="210"/>
      <c r="H51" s="210"/>
      <c r="I51" s="211"/>
    </row>
    <row r="52" spans="1:9" x14ac:dyDescent="0.25">
      <c r="A52" s="212"/>
      <c r="B52" s="213"/>
      <c r="C52" s="213"/>
      <c r="D52" s="213"/>
      <c r="E52" s="213"/>
      <c r="F52" s="213"/>
      <c r="G52" s="213"/>
      <c r="H52" s="213"/>
      <c r="I52" s="214"/>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8"/>
  <sheetViews>
    <sheetView topLeftCell="A25" workbookViewId="0">
      <selection activeCell="L40" sqref="L40"/>
    </sheetView>
  </sheetViews>
  <sheetFormatPr defaultColWidth="9.109375" defaultRowHeight="15" x14ac:dyDescent="0.25"/>
  <cols>
    <col min="1" max="16384" width="9.109375" style="2"/>
  </cols>
  <sheetData>
    <row r="1" spans="1:10" ht="15.6" x14ac:dyDescent="0.3">
      <c r="A1" s="32">
        <f>+'Cover Page'!C39</f>
        <v>2022</v>
      </c>
      <c r="B1" s="33" t="s">
        <v>152</v>
      </c>
      <c r="C1" s="33"/>
      <c r="D1" s="33"/>
      <c r="E1" s="33"/>
      <c r="F1" s="33"/>
      <c r="G1" s="33"/>
      <c r="H1" s="33"/>
      <c r="I1" s="33"/>
      <c r="J1" s="33"/>
    </row>
    <row r="2" spans="1:10" ht="8.25" customHeight="1" x14ac:dyDescent="0.25">
      <c r="A2" s="91"/>
      <c r="B2" s="91"/>
      <c r="C2" s="91"/>
      <c r="D2" s="91"/>
      <c r="E2" s="91"/>
      <c r="F2" s="91"/>
      <c r="G2" s="91"/>
      <c r="H2" s="91"/>
      <c r="I2" s="91"/>
      <c r="J2" s="91"/>
    </row>
    <row r="3" spans="1:10" s="3" customFormat="1" ht="13.8" x14ac:dyDescent="0.25">
      <c r="A3" s="239" t="str">
        <f>+'Cover Page'!B31</f>
        <v>Permit EPR/BR4551IC</v>
      </c>
      <c r="B3" s="239"/>
      <c r="C3" s="239"/>
      <c r="D3" s="239"/>
      <c r="E3" s="239"/>
      <c r="F3" s="3" t="s">
        <v>153</v>
      </c>
      <c r="G3" s="240" t="s">
        <v>7</v>
      </c>
      <c r="H3" s="240"/>
      <c r="I3" s="240"/>
    </row>
    <row r="4" spans="1:10" s="3" customFormat="1" ht="13.8" x14ac:dyDescent="0.25">
      <c r="A4" s="3" t="s">
        <v>154</v>
      </c>
      <c r="B4" s="239" t="str">
        <f>+'Cover Page'!B33:I33</f>
        <v>Kent Enviropower Limited</v>
      </c>
      <c r="C4" s="239"/>
      <c r="D4" s="239"/>
      <c r="E4" s="239"/>
      <c r="F4" s="3" t="s">
        <v>155</v>
      </c>
      <c r="G4" s="3" t="s">
        <v>156</v>
      </c>
    </row>
    <row r="5" spans="1:10" s="3" customFormat="1" ht="6.75" customHeight="1" x14ac:dyDescent="0.25"/>
    <row r="6" spans="1:10" s="3" customFormat="1" ht="15.75" customHeight="1" x14ac:dyDescent="0.25">
      <c r="A6" s="3" t="s">
        <v>157</v>
      </c>
      <c r="D6" s="241">
        <v>44562</v>
      </c>
      <c r="E6" s="241"/>
      <c r="F6" s="34" t="s">
        <v>158</v>
      </c>
      <c r="G6" s="241">
        <v>44926</v>
      </c>
      <c r="H6" s="241"/>
    </row>
    <row r="7" spans="1:10" s="3" customFormat="1" ht="7.5" customHeight="1" x14ac:dyDescent="0.25"/>
    <row r="8" spans="1:10" s="3" customFormat="1" ht="15.6" x14ac:dyDescent="0.3">
      <c r="A8" s="9">
        <f>+A1</f>
        <v>2022</v>
      </c>
      <c r="B8" s="33" t="s">
        <v>159</v>
      </c>
      <c r="C8"/>
      <c r="D8"/>
      <c r="E8"/>
      <c r="F8"/>
      <c r="G8"/>
    </row>
    <row r="9" spans="1:10" s="3" customFormat="1" ht="28.5" customHeight="1" x14ac:dyDescent="0.25">
      <c r="A9" s="242" t="s">
        <v>160</v>
      </c>
      <c r="B9" s="242"/>
      <c r="C9" s="242" t="s">
        <v>161</v>
      </c>
      <c r="D9" s="242"/>
      <c r="E9" s="242" t="s">
        <v>162</v>
      </c>
      <c r="F9" s="242"/>
      <c r="G9" s="242" t="s">
        <v>163</v>
      </c>
      <c r="H9" s="242"/>
      <c r="I9" s="242" t="s">
        <v>164</v>
      </c>
      <c r="J9" s="242"/>
    </row>
    <row r="10" spans="1:10" s="3" customFormat="1" ht="14.25" customHeight="1" x14ac:dyDescent="0.25">
      <c r="A10" s="234" t="s">
        <v>165</v>
      </c>
      <c r="B10" s="234"/>
      <c r="C10" s="234"/>
      <c r="D10" s="234"/>
      <c r="E10" s="234"/>
      <c r="F10" s="234"/>
      <c r="G10" s="234"/>
      <c r="H10" s="234"/>
      <c r="I10" s="234"/>
      <c r="J10" s="234"/>
    </row>
    <row r="11" spans="1:10" s="3" customFormat="1" ht="49.5" customHeight="1" x14ac:dyDescent="0.25">
      <c r="A11" s="234" t="s">
        <v>166</v>
      </c>
      <c r="B11" s="234"/>
      <c r="C11" s="235" t="s">
        <v>167</v>
      </c>
      <c r="D11" s="236"/>
      <c r="E11" s="237">
        <v>10088.58</v>
      </c>
      <c r="F11" s="237"/>
      <c r="G11" s="237"/>
      <c r="H11" s="237"/>
      <c r="I11" s="238">
        <f>IF((E11+G11)&gt;0,(E11+G11)/'Operational Data'!$G$21, "-")</f>
        <v>2.1757775347925386E-2</v>
      </c>
      <c r="J11" s="238"/>
    </row>
    <row r="12" spans="1:10" s="3" customFormat="1" ht="57" customHeight="1" x14ac:dyDescent="0.25">
      <c r="A12" s="243" t="s">
        <v>166</v>
      </c>
      <c r="B12" s="244"/>
      <c r="C12" s="235" t="s">
        <v>168</v>
      </c>
      <c r="D12" s="236"/>
      <c r="E12" s="237"/>
      <c r="F12" s="237"/>
      <c r="G12" s="237">
        <v>34763.440000000002</v>
      </c>
      <c r="H12" s="237"/>
      <c r="I12" s="238">
        <f>IF((E12+G12)&gt;0,(E12+G12)/'Operational Data'!$G$21, "-")</f>
        <v>7.4973397429676264E-2</v>
      </c>
      <c r="J12" s="238"/>
    </row>
    <row r="13" spans="1:10" s="3" customFormat="1" ht="14.25" customHeight="1" x14ac:dyDescent="0.25">
      <c r="A13" s="245"/>
      <c r="B13" s="245"/>
      <c r="C13" s="246"/>
      <c r="D13" s="246"/>
      <c r="E13" s="237"/>
      <c r="F13" s="237"/>
      <c r="G13" s="237"/>
      <c r="H13" s="237"/>
      <c r="I13" s="238" t="str">
        <f>IF((E13+G13)&gt;0,(E13+G13)/'Operational Data'!$G$21, "-")</f>
        <v>-</v>
      </c>
      <c r="J13" s="238"/>
    </row>
    <row r="14" spans="1:10" s="3" customFormat="1" ht="14.25" customHeight="1" x14ac:dyDescent="0.25">
      <c r="A14" s="245"/>
      <c r="B14" s="245"/>
      <c r="C14" s="246"/>
      <c r="D14" s="246"/>
      <c r="E14" s="237"/>
      <c r="F14" s="237"/>
      <c r="G14" s="237"/>
      <c r="H14" s="237"/>
      <c r="I14" s="238" t="str">
        <f>IF((E14+G14)&gt;0,(E14+G14)/'Operational Data'!$G$21, "-")</f>
        <v>-</v>
      </c>
      <c r="J14" s="238"/>
    </row>
    <row r="15" spans="1:10" s="3" customFormat="1" ht="14.25" customHeight="1" x14ac:dyDescent="0.25">
      <c r="A15" s="252" t="s">
        <v>169</v>
      </c>
      <c r="B15" s="252"/>
      <c r="C15" s="252"/>
      <c r="D15" s="252"/>
      <c r="E15" s="253">
        <f>SUM(E11:F14)</f>
        <v>10088.58</v>
      </c>
      <c r="F15" s="253"/>
      <c r="G15" s="253">
        <f>SUM(G11:H14)</f>
        <v>34763.440000000002</v>
      </c>
      <c r="H15" s="253"/>
      <c r="I15" s="238">
        <f>IF((E15+G15)&gt;0,(E15+G15)/'Operational Data'!$G$21, "-")</f>
        <v>9.6731172777601654E-2</v>
      </c>
      <c r="J15" s="238"/>
    </row>
    <row r="16" spans="1:10" s="3" customFormat="1" ht="14.25" customHeight="1" x14ac:dyDescent="0.25">
      <c r="A16" s="243"/>
      <c r="B16" s="247"/>
      <c r="C16" s="247"/>
      <c r="D16" s="247"/>
      <c r="E16" s="248"/>
      <c r="F16" s="248"/>
      <c r="G16" s="248"/>
      <c r="H16" s="248"/>
      <c r="I16" s="249"/>
      <c r="J16" s="250"/>
    </row>
    <row r="17" spans="1:10" s="3" customFormat="1" ht="14.25" customHeight="1" x14ac:dyDescent="0.25">
      <c r="A17" s="251" t="s">
        <v>170</v>
      </c>
      <c r="B17" s="251"/>
      <c r="C17" s="251"/>
      <c r="D17" s="251"/>
      <c r="E17" s="251"/>
      <c r="F17" s="251"/>
      <c r="G17" s="251"/>
      <c r="H17" s="251"/>
      <c r="I17" s="251"/>
      <c r="J17" s="251"/>
    </row>
    <row r="18" spans="1:10" ht="14.25" customHeight="1" x14ac:dyDescent="0.25">
      <c r="A18" s="234" t="s">
        <v>171</v>
      </c>
      <c r="B18" s="234"/>
      <c r="C18" s="246" t="s">
        <v>168</v>
      </c>
      <c r="D18" s="246"/>
      <c r="E18" s="237"/>
      <c r="F18" s="237"/>
      <c r="G18" s="254">
        <v>47270.336000000003</v>
      </c>
      <c r="H18" s="255"/>
      <c r="I18" s="238">
        <f>IF((E18+G18)&gt;0,(E18+G18)/'Operational Data'!$G$21, "-")</f>
        <v>0.10194669133901402</v>
      </c>
      <c r="J18" s="238"/>
    </row>
    <row r="19" spans="1:10" s="3" customFormat="1" ht="14.25" customHeight="1" x14ac:dyDescent="0.25">
      <c r="A19" s="234" t="s">
        <v>172</v>
      </c>
      <c r="B19" s="234"/>
      <c r="C19" s="246" t="s">
        <v>168</v>
      </c>
      <c r="D19" s="246"/>
      <c r="E19" s="237"/>
      <c r="F19" s="237"/>
      <c r="G19" s="254">
        <v>14529.04</v>
      </c>
      <c r="H19" s="255"/>
      <c r="I19" s="238">
        <f>IF((E19+G19)&gt;0,(E19+G19)/'Operational Data'!$G$21, "-")</f>
        <v>3.1334398730150516E-2</v>
      </c>
      <c r="J19" s="238"/>
    </row>
    <row r="20" spans="1:10" s="3" customFormat="1" ht="14.25" customHeight="1" x14ac:dyDescent="0.25">
      <c r="A20" s="234"/>
      <c r="B20" s="234"/>
      <c r="C20" s="246"/>
      <c r="D20" s="246"/>
      <c r="E20" s="237"/>
      <c r="F20" s="237"/>
      <c r="G20" s="237"/>
      <c r="H20" s="237"/>
      <c r="I20" s="238" t="str">
        <f>IF((E20+G20)&gt;0,(E20+G20)/'Operational Data'!$G$21, "-")</f>
        <v>-</v>
      </c>
      <c r="J20" s="238"/>
    </row>
    <row r="21" spans="1:10" s="3" customFormat="1" ht="14.25" customHeight="1" x14ac:dyDescent="0.25">
      <c r="A21" s="256"/>
      <c r="B21" s="256"/>
      <c r="C21" s="246"/>
      <c r="D21" s="246"/>
      <c r="E21" s="237"/>
      <c r="F21" s="237"/>
      <c r="G21" s="237"/>
      <c r="H21" s="237"/>
      <c r="I21" s="238" t="str">
        <f>IF((E21+G21)&gt;0,(E21+G21)/'Operational Data'!$G$21, "-")</f>
        <v>-</v>
      </c>
      <c r="J21" s="238"/>
    </row>
    <row r="22" spans="1:10" s="3" customFormat="1" ht="14.25" customHeight="1" x14ac:dyDescent="0.25">
      <c r="A22" s="256"/>
      <c r="B22" s="256"/>
      <c r="C22" s="246"/>
      <c r="D22" s="246"/>
      <c r="E22" s="237"/>
      <c r="F22" s="237"/>
      <c r="G22" s="237"/>
      <c r="H22" s="237"/>
      <c r="I22" s="238" t="str">
        <f>IF((E22+G22)&gt;0,(E22+G22)/'Operational Data'!$G$21, "-")</f>
        <v>-</v>
      </c>
      <c r="J22" s="238"/>
    </row>
    <row r="23" spans="1:10" s="3" customFormat="1" ht="14.25" customHeight="1" x14ac:dyDescent="0.25">
      <c r="A23" s="257" t="s">
        <v>173</v>
      </c>
      <c r="B23" s="257"/>
      <c r="C23" s="257"/>
      <c r="D23" s="257"/>
      <c r="E23" s="253">
        <f>SUM(E18:F22)</f>
        <v>0</v>
      </c>
      <c r="F23" s="253"/>
      <c r="G23" s="253">
        <f>SUM(G18:H22)</f>
        <v>61799.376000000004</v>
      </c>
      <c r="H23" s="253"/>
      <c r="I23" s="238">
        <f>IF((E23+G23)&gt;0,(E23+G23)/'Operational Data'!$G$21, "-")</f>
        <v>0.13328109006916453</v>
      </c>
      <c r="J23" s="238"/>
    </row>
    <row r="24" spans="1:10" s="3" customFormat="1" ht="14.25" customHeight="1" x14ac:dyDescent="0.25">
      <c r="A24" s="258" t="s">
        <v>174</v>
      </c>
      <c r="B24" s="258"/>
      <c r="C24" s="258"/>
      <c r="D24" s="258"/>
      <c r="E24" s="259">
        <f>+E23+E15</f>
        <v>10088.58</v>
      </c>
      <c r="F24" s="259"/>
      <c r="G24" s="259">
        <f>+G23+G15</f>
        <v>96562.816000000006</v>
      </c>
      <c r="H24" s="259"/>
      <c r="I24" s="260">
        <f>IF((E24+G24)&gt;0,(E24+G24)/'Operational Data'!$G$21, "-")</f>
        <v>0.23001226284676618</v>
      </c>
      <c r="J24" s="260"/>
    </row>
    <row r="25" spans="1:10" s="3" customFormat="1" ht="8.25" customHeight="1" x14ac:dyDescent="0.3">
      <c r="A25" s="170"/>
      <c r="B25"/>
      <c r="C25"/>
      <c r="D25"/>
      <c r="E25"/>
      <c r="F25"/>
      <c r="G25"/>
    </row>
    <row r="26" spans="1:10" s="3" customFormat="1" ht="14.25" customHeight="1" x14ac:dyDescent="0.25">
      <c r="A26" s="261" t="s">
        <v>175</v>
      </c>
      <c r="B26" s="261"/>
      <c r="C26" s="261"/>
      <c r="D26" s="261"/>
      <c r="E26" s="261"/>
      <c r="F26" s="261"/>
      <c r="G26" s="261"/>
      <c r="H26" s="261"/>
      <c r="I26" s="261"/>
      <c r="J26" s="261"/>
    </row>
    <row r="27" spans="1:10" s="3" customFormat="1" ht="14.25" customHeight="1" x14ac:dyDescent="0.25">
      <c r="A27" s="262" t="s">
        <v>176</v>
      </c>
      <c r="B27" s="262"/>
      <c r="C27" s="262"/>
      <c r="D27" s="262"/>
      <c r="E27" s="262"/>
      <c r="F27" s="262"/>
      <c r="G27" s="262"/>
      <c r="H27" s="262"/>
      <c r="I27" s="262"/>
      <c r="J27" s="262"/>
    </row>
    <row r="28" spans="1:10" s="3" customFormat="1" ht="14.25" customHeight="1" x14ac:dyDescent="0.25">
      <c r="A28" s="262"/>
      <c r="B28" s="262"/>
      <c r="C28" s="262"/>
      <c r="D28" s="262"/>
      <c r="E28" s="262"/>
      <c r="F28" s="262"/>
      <c r="G28" s="262"/>
      <c r="H28" s="262"/>
      <c r="I28" s="262"/>
      <c r="J28" s="262"/>
    </row>
    <row r="29" spans="1:10" s="3" customFormat="1" ht="14.25" customHeight="1" x14ac:dyDescent="0.25">
      <c r="A29" s="262"/>
      <c r="B29" s="262"/>
      <c r="C29" s="262"/>
      <c r="D29" s="262"/>
      <c r="E29" s="262"/>
      <c r="F29" s="262"/>
      <c r="G29" s="262"/>
      <c r="H29" s="262"/>
      <c r="I29" s="262"/>
      <c r="J29" s="262"/>
    </row>
    <row r="30" spans="1:10" s="3" customFormat="1" ht="14.25" customHeight="1" x14ac:dyDescent="0.3">
      <c r="A30" s="170"/>
      <c r="B30"/>
      <c r="C30"/>
      <c r="D30"/>
      <c r="E30"/>
      <c r="F30"/>
      <c r="G30"/>
    </row>
    <row r="31" spans="1:10" s="3" customFormat="1" ht="14.25" customHeight="1" x14ac:dyDescent="0.3">
      <c r="A31" s="1">
        <f>+A1</f>
        <v>2022</v>
      </c>
      <c r="B31" s="33" t="s">
        <v>177</v>
      </c>
      <c r="C31" s="33"/>
      <c r="D31" s="33"/>
      <c r="E31" s="33"/>
      <c r="F31" s="33"/>
    </row>
    <row r="32" spans="1:10" s="3" customFormat="1" ht="24.75" customHeight="1" x14ac:dyDescent="0.25">
      <c r="A32" s="265" t="s">
        <v>178</v>
      </c>
      <c r="B32" s="266"/>
      <c r="C32" s="266"/>
      <c r="D32" s="267"/>
      <c r="E32" s="37" t="s">
        <v>179</v>
      </c>
      <c r="F32" s="38"/>
      <c r="G32" s="39" t="s">
        <v>77</v>
      </c>
      <c r="H32" s="268" t="s">
        <v>180</v>
      </c>
      <c r="I32" s="269"/>
      <c r="J32" s="40" t="s">
        <v>77</v>
      </c>
    </row>
    <row r="33" spans="1:10" s="3" customFormat="1" ht="14.25" customHeight="1" x14ac:dyDescent="0.25">
      <c r="A33" s="243" t="s">
        <v>119</v>
      </c>
      <c r="B33" s="247"/>
      <c r="C33" s="247"/>
      <c r="D33" s="244"/>
      <c r="E33" s="270">
        <f>+'Operational Data'!G42/1000</f>
        <v>176086</v>
      </c>
      <c r="F33" s="250"/>
      <c r="G33" s="101" t="s">
        <v>181</v>
      </c>
      <c r="H33" s="263">
        <f>IF(E33&gt;0,E33/'Operational Data'!$G$21,"-")</f>
        <v>0.37976004848202521</v>
      </c>
      <c r="I33" s="264"/>
      <c r="J33" s="101" t="s">
        <v>182</v>
      </c>
    </row>
    <row r="34" spans="1:10" s="3" customFormat="1" ht="14.25" customHeight="1" x14ac:dyDescent="0.25">
      <c r="A34" s="243" t="s">
        <v>183</v>
      </c>
      <c r="B34" s="247"/>
      <c r="C34" s="247"/>
      <c r="D34" s="244"/>
      <c r="E34" s="270">
        <v>176086</v>
      </c>
      <c r="F34" s="250"/>
      <c r="G34" s="101" t="s">
        <v>181</v>
      </c>
      <c r="H34" s="263">
        <f>IF(E34&gt;0,E34/'Operational Data'!$G$21,"-")</f>
        <v>0.37976004848202521</v>
      </c>
      <c r="I34" s="264"/>
      <c r="J34" s="101" t="s">
        <v>182</v>
      </c>
    </row>
    <row r="35" spans="1:10" s="3" customFormat="1" ht="14.25" customHeight="1" x14ac:dyDescent="0.25">
      <c r="A35" s="243" t="s">
        <v>121</v>
      </c>
      <c r="B35" s="247" t="s">
        <v>121</v>
      </c>
      <c r="C35" s="247" t="s">
        <v>121</v>
      </c>
      <c r="D35" s="244" t="s">
        <v>121</v>
      </c>
      <c r="E35" s="270">
        <f>'Operational Data'!G43</f>
        <v>3188000</v>
      </c>
      <c r="F35" s="250"/>
      <c r="G35" s="101" t="s">
        <v>122</v>
      </c>
      <c r="H35" s="263">
        <f>IF(E35&gt;0,E35/'Operational Data'!$G$21,"-")</f>
        <v>6.875475816139252</v>
      </c>
      <c r="I35" s="264"/>
      <c r="J35" s="101" t="s">
        <v>184</v>
      </c>
    </row>
    <row r="36" spans="1:10" s="3" customFormat="1" ht="14.25" customHeight="1" x14ac:dyDescent="0.25">
      <c r="A36" s="243" t="s">
        <v>123</v>
      </c>
      <c r="B36" s="247" t="s">
        <v>123</v>
      </c>
      <c r="C36" s="247" t="s">
        <v>123</v>
      </c>
      <c r="D36" s="244" t="s">
        <v>123</v>
      </c>
      <c r="E36" s="270">
        <f>'Operational Data'!G44</f>
        <v>74000</v>
      </c>
      <c r="F36" s="250"/>
      <c r="G36" s="101" t="s">
        <v>122</v>
      </c>
      <c r="H36" s="263">
        <f>IF(E36&gt;0,E36/'Operational Data'!$G$21,"-")</f>
        <v>0.15959385520523986</v>
      </c>
      <c r="I36" s="264"/>
      <c r="J36" s="101" t="s">
        <v>184</v>
      </c>
    </row>
    <row r="37" spans="1:10" s="3" customFormat="1" ht="14.25" customHeight="1" x14ac:dyDescent="0.25">
      <c r="A37" s="243" t="s">
        <v>124</v>
      </c>
      <c r="B37" s="247" t="s">
        <v>124</v>
      </c>
      <c r="C37" s="247" t="s">
        <v>124</v>
      </c>
      <c r="D37" s="244" t="s">
        <v>124</v>
      </c>
      <c r="E37" s="270">
        <f>'Operational Data'!G45</f>
        <v>281000</v>
      </c>
      <c r="F37" s="250"/>
      <c r="G37" s="101" t="s">
        <v>122</v>
      </c>
      <c r="H37" s="263">
        <f>IF(E37&gt;0,E37/'Operational Data'!$G$21,"-")</f>
        <v>0.60602531503611345</v>
      </c>
      <c r="I37" s="264"/>
      <c r="J37" s="101" t="s">
        <v>184</v>
      </c>
    </row>
    <row r="38" spans="1:10" s="3" customFormat="1" ht="14.25" customHeight="1" x14ac:dyDescent="0.25">
      <c r="A38" s="243" t="s">
        <v>125</v>
      </c>
      <c r="B38" s="247" t="s">
        <v>125</v>
      </c>
      <c r="C38" s="247" t="s">
        <v>125</v>
      </c>
      <c r="D38" s="244" t="s">
        <v>125</v>
      </c>
      <c r="E38" s="270">
        <f>'Operational Data'!G46</f>
        <v>168000</v>
      </c>
      <c r="F38" s="250"/>
      <c r="G38" s="101" t="s">
        <v>122</v>
      </c>
      <c r="H38" s="263">
        <f>IF(E38&gt;0,E38/'Operational Data'!$G$21,"-")</f>
        <v>0.36232118479027425</v>
      </c>
      <c r="I38" s="264"/>
      <c r="J38" s="101" t="s">
        <v>184</v>
      </c>
    </row>
    <row r="39" spans="1:10" s="3" customFormat="1" ht="14.25" customHeight="1" x14ac:dyDescent="0.25">
      <c r="A39" s="243" t="s">
        <v>126</v>
      </c>
      <c r="B39" s="247" t="s">
        <v>126</v>
      </c>
      <c r="C39" s="247" t="s">
        <v>126</v>
      </c>
      <c r="D39" s="244" t="s">
        <v>126</v>
      </c>
      <c r="E39" s="270">
        <f>'Operational Data'!G47</f>
        <v>183000</v>
      </c>
      <c r="F39" s="250"/>
      <c r="G39" s="101" t="s">
        <v>122</v>
      </c>
      <c r="H39" s="263">
        <f>IF(E39&gt;0,E39/'Operational Data'!$G$21,"-")</f>
        <v>0.39467129057512018</v>
      </c>
      <c r="I39" s="264"/>
      <c r="J39" s="101" t="s">
        <v>184</v>
      </c>
    </row>
    <row r="40" spans="1:10" s="3" customFormat="1" ht="14.25" customHeight="1" x14ac:dyDescent="0.25">
      <c r="A40" s="243" t="s">
        <v>127</v>
      </c>
      <c r="B40" s="247" t="s">
        <v>127</v>
      </c>
      <c r="C40" s="247" t="s">
        <v>127</v>
      </c>
      <c r="D40" s="244" t="s">
        <v>127</v>
      </c>
      <c r="E40" s="270">
        <f>'Operational Data'!G48</f>
        <v>3415000</v>
      </c>
      <c r="F40" s="250"/>
      <c r="G40" s="101" t="s">
        <v>122</v>
      </c>
      <c r="H40" s="263">
        <f>IF(E40&gt;0,E40/'Operational Data'!$G$21,"-")</f>
        <v>7.3650407503499205</v>
      </c>
      <c r="I40" s="264"/>
      <c r="J40" s="101" t="s">
        <v>184</v>
      </c>
    </row>
    <row r="41" spans="1:10" s="3" customFormat="1" ht="14.25" customHeight="1" x14ac:dyDescent="0.25">
      <c r="A41" s="243" t="s">
        <v>128</v>
      </c>
      <c r="B41" s="247" t="s">
        <v>128</v>
      </c>
      <c r="C41" s="247" t="s">
        <v>128</v>
      </c>
      <c r="D41" s="244" t="s">
        <v>128</v>
      </c>
      <c r="E41" s="270">
        <f>'Operational Data'!G49</f>
        <v>0</v>
      </c>
      <c r="F41" s="250"/>
      <c r="G41" s="101" t="s">
        <v>122</v>
      </c>
      <c r="H41" s="263" t="str">
        <f>IF(E41&gt;0,E41/'Operational Data'!$G$21,"-")</f>
        <v>-</v>
      </c>
      <c r="I41" s="264"/>
      <c r="J41" s="101" t="s">
        <v>184</v>
      </c>
    </row>
    <row r="42" spans="1:10" s="3" customFormat="1" ht="14.25" customHeight="1" x14ac:dyDescent="0.25">
      <c r="A42" s="243" t="s">
        <v>129</v>
      </c>
      <c r="B42" s="247" t="s">
        <v>129</v>
      </c>
      <c r="C42" s="247" t="s">
        <v>129</v>
      </c>
      <c r="D42" s="244" t="s">
        <v>129</v>
      </c>
      <c r="E42" s="270">
        <f>'Operational Data'!G50</f>
        <v>4000</v>
      </c>
      <c r="F42" s="250"/>
      <c r="G42" s="101" t="s">
        <v>122</v>
      </c>
      <c r="H42" s="263">
        <f>IF(E42&gt;0,E42/'Operational Data'!$G$21,"-")</f>
        <v>8.6266948759589103E-3</v>
      </c>
      <c r="I42" s="264"/>
      <c r="J42" s="101" t="s">
        <v>184</v>
      </c>
    </row>
    <row r="43" spans="1:10" s="3" customFormat="1" ht="14.25" customHeight="1" x14ac:dyDescent="0.25">
      <c r="A43" s="243" t="s">
        <v>130</v>
      </c>
      <c r="B43" s="247" t="s">
        <v>130</v>
      </c>
      <c r="C43" s="247" t="s">
        <v>130</v>
      </c>
      <c r="D43" s="244" t="s">
        <v>130</v>
      </c>
      <c r="E43" s="270">
        <f>'Operational Data'!G51</f>
        <v>1338426</v>
      </c>
      <c r="F43" s="250"/>
      <c r="G43" s="101" t="s">
        <v>120</v>
      </c>
      <c r="H43" s="263">
        <f>IF(E43&gt;0,E43/'Operational Data'!$G$21,"-")</f>
        <v>2.8865481790125456</v>
      </c>
      <c r="I43" s="264"/>
      <c r="J43" s="101" t="s">
        <v>185</v>
      </c>
    </row>
    <row r="44" spans="1:10" s="3" customFormat="1" ht="14.25" customHeight="1" x14ac:dyDescent="0.25">
      <c r="A44" s="272"/>
      <c r="B44" s="273"/>
      <c r="C44" s="273"/>
      <c r="D44" s="274"/>
      <c r="E44" s="235"/>
      <c r="F44" s="236"/>
      <c r="G44" s="171"/>
      <c r="H44" s="275"/>
      <c r="I44" s="276"/>
      <c r="J44" s="171"/>
    </row>
    <row r="45" spans="1:10" s="3" customFormat="1" ht="14.25" customHeight="1" x14ac:dyDescent="0.25">
      <c r="A45" s="261" t="s">
        <v>175</v>
      </c>
      <c r="B45" s="261"/>
      <c r="C45" s="261"/>
      <c r="D45" s="261"/>
      <c r="E45" s="261"/>
      <c r="F45" s="261"/>
      <c r="G45" s="261"/>
      <c r="H45" s="261"/>
      <c r="I45" s="261"/>
      <c r="J45" s="261"/>
    </row>
    <row r="46" spans="1:10" s="3" customFormat="1" ht="14.25" customHeight="1" x14ac:dyDescent="0.25">
      <c r="A46" s="262" t="s">
        <v>186</v>
      </c>
      <c r="B46" s="262"/>
      <c r="C46" s="262"/>
      <c r="D46" s="262"/>
      <c r="E46" s="262"/>
      <c r="F46" s="262"/>
      <c r="G46" s="262"/>
      <c r="H46" s="262"/>
      <c r="I46" s="262"/>
      <c r="J46" s="262"/>
    </row>
    <row r="47" spans="1:10" s="3" customFormat="1" ht="14.25" customHeight="1" x14ac:dyDescent="0.25">
      <c r="A47" s="262"/>
      <c r="B47" s="262"/>
      <c r="C47" s="262"/>
      <c r="D47" s="262"/>
      <c r="E47" s="262"/>
      <c r="F47" s="262"/>
      <c r="G47" s="262"/>
      <c r="H47" s="262"/>
      <c r="I47" s="262"/>
      <c r="J47" s="262"/>
    </row>
    <row r="48" spans="1:10" s="3" customFormat="1" ht="14.25" customHeight="1" x14ac:dyDescent="0.25">
      <c r="A48" s="41"/>
      <c r="B48" s="41"/>
      <c r="C48" s="41"/>
      <c r="D48" s="41"/>
      <c r="E48" s="41"/>
      <c r="F48" s="41"/>
      <c r="G48" s="41"/>
      <c r="H48" s="41"/>
      <c r="I48" s="41"/>
      <c r="J48" s="41"/>
    </row>
    <row r="49" spans="1:10" s="3" customFormat="1" ht="14.25" customHeight="1" x14ac:dyDescent="0.25">
      <c r="A49" s="33">
        <f>+A31</f>
        <v>2022</v>
      </c>
      <c r="B49" s="33" t="s">
        <v>187</v>
      </c>
      <c r="C49" s="33"/>
      <c r="D49" s="33"/>
      <c r="E49" s="33"/>
      <c r="F49" s="33"/>
      <c r="G49" s="91"/>
    </row>
    <row r="50" spans="1:10" ht="14.25" customHeight="1" x14ac:dyDescent="0.25">
      <c r="A50" s="271" t="s">
        <v>188</v>
      </c>
      <c r="B50" s="271"/>
      <c r="C50" s="271" t="s">
        <v>189</v>
      </c>
      <c r="D50" s="271"/>
      <c r="E50" s="271"/>
      <c r="F50" s="271"/>
      <c r="G50" s="271"/>
      <c r="H50" s="271"/>
      <c r="I50" s="271"/>
      <c r="J50" s="271"/>
    </row>
    <row r="51" spans="1:10" ht="14.25" customHeight="1" x14ac:dyDescent="0.25">
      <c r="A51" s="42"/>
      <c r="B51" s="42"/>
      <c r="C51" s="35" t="s">
        <v>190</v>
      </c>
      <c r="D51" s="35" t="s">
        <v>191</v>
      </c>
      <c r="E51" s="35" t="s">
        <v>192</v>
      </c>
      <c r="F51" s="35" t="s">
        <v>193</v>
      </c>
      <c r="G51" s="35" t="s">
        <v>194</v>
      </c>
      <c r="H51" s="35"/>
      <c r="I51" s="35" t="s">
        <v>195</v>
      </c>
      <c r="J51" s="35" t="s">
        <v>196</v>
      </c>
    </row>
    <row r="52" spans="1:10" ht="31.5" customHeight="1" x14ac:dyDescent="0.25">
      <c r="A52" s="234" t="s">
        <v>197</v>
      </c>
      <c r="B52" s="234"/>
      <c r="C52" s="172">
        <v>7134.7099999999991</v>
      </c>
      <c r="D52" s="172">
        <v>7250.9400000000005</v>
      </c>
      <c r="E52" s="172">
        <v>7491.24</v>
      </c>
      <c r="F52" s="173"/>
      <c r="G52" s="173"/>
      <c r="H52" s="173"/>
      <c r="I52" s="102">
        <v>8135</v>
      </c>
      <c r="J52" s="173"/>
    </row>
    <row r="53" spans="1:10" ht="43.5" customHeight="1" x14ac:dyDescent="0.25">
      <c r="A53" s="234" t="s">
        <v>198</v>
      </c>
      <c r="B53" s="234"/>
      <c r="C53" s="172">
        <v>1</v>
      </c>
      <c r="D53" s="172">
        <v>0</v>
      </c>
      <c r="E53" s="172">
        <v>1</v>
      </c>
      <c r="F53" s="173"/>
      <c r="G53" s="173"/>
      <c r="H53" s="173"/>
      <c r="I53" s="173"/>
      <c r="J53" s="173"/>
    </row>
    <row r="54" spans="1:10" ht="42.75" customHeight="1" x14ac:dyDescent="0.25">
      <c r="A54" s="234" t="s">
        <v>199</v>
      </c>
      <c r="B54" s="234"/>
      <c r="C54" s="172">
        <v>0.5</v>
      </c>
      <c r="D54" s="172">
        <v>0</v>
      </c>
      <c r="E54" s="172">
        <v>2</v>
      </c>
      <c r="F54" s="173"/>
      <c r="G54" s="173"/>
      <c r="H54" s="173"/>
      <c r="I54" s="173"/>
      <c r="J54" s="173"/>
    </row>
    <row r="55" spans="1:10" ht="8.25" customHeight="1" x14ac:dyDescent="0.25">
      <c r="A55" s="91"/>
      <c r="B55" s="91"/>
      <c r="C55" s="91"/>
      <c r="D55" s="91"/>
      <c r="E55" s="91"/>
      <c r="F55" s="91"/>
      <c r="G55" s="91"/>
      <c r="H55" s="91"/>
      <c r="I55" s="91"/>
      <c r="J55" s="91"/>
    </row>
    <row r="56" spans="1:10" x14ac:dyDescent="0.25">
      <c r="A56" s="261" t="s">
        <v>175</v>
      </c>
      <c r="B56" s="261"/>
      <c r="C56" s="261"/>
      <c r="D56" s="261"/>
      <c r="E56" s="261"/>
      <c r="F56" s="261"/>
      <c r="G56" s="261"/>
      <c r="H56" s="261"/>
      <c r="I56" s="261"/>
      <c r="J56" s="261"/>
    </row>
    <row r="57" spans="1:10" x14ac:dyDescent="0.25">
      <c r="A57" s="262" t="s">
        <v>200</v>
      </c>
      <c r="B57" s="262"/>
      <c r="C57" s="262"/>
      <c r="D57" s="262"/>
      <c r="E57" s="262"/>
      <c r="F57" s="262"/>
      <c r="G57" s="262"/>
      <c r="H57" s="262"/>
      <c r="I57" s="262"/>
      <c r="J57" s="262"/>
    </row>
    <row r="58" spans="1:10" x14ac:dyDescent="0.25">
      <c r="A58" s="262"/>
      <c r="B58" s="262"/>
      <c r="C58" s="262"/>
      <c r="D58" s="262"/>
      <c r="E58" s="262"/>
      <c r="F58" s="262"/>
      <c r="G58" s="262"/>
      <c r="H58" s="262"/>
      <c r="I58" s="262"/>
      <c r="J58" s="262"/>
    </row>
    <row r="60" spans="1:10" x14ac:dyDescent="0.25">
      <c r="A60" s="3" t="s">
        <v>201</v>
      </c>
      <c r="B60" s="43"/>
      <c r="C60" s="43"/>
      <c r="D60" s="43"/>
      <c r="E60" s="43"/>
      <c r="F60" s="3"/>
      <c r="G60" s="3" t="s">
        <v>202</v>
      </c>
      <c r="H60" s="43" t="s">
        <v>203</v>
      </c>
      <c r="I60" s="43"/>
      <c r="J60" s="91"/>
    </row>
    <row r="68" spans="6:6" x14ac:dyDescent="0.25">
      <c r="F68" s="3"/>
    </row>
  </sheetData>
  <mergeCells count="123">
    <mergeCell ref="A41:D41"/>
    <mergeCell ref="E41:F41"/>
    <mergeCell ref="A56:J56"/>
    <mergeCell ref="A57:J58"/>
    <mergeCell ref="A45:J45"/>
    <mergeCell ref="A46:J47"/>
    <mergeCell ref="A50:B50"/>
    <mergeCell ref="C50:J50"/>
    <mergeCell ref="A52:B52"/>
    <mergeCell ref="A53:B53"/>
    <mergeCell ref="A43:D43"/>
    <mergeCell ref="E43:F43"/>
    <mergeCell ref="H43:I43"/>
    <mergeCell ref="A44:D44"/>
    <mergeCell ref="E44:F44"/>
    <mergeCell ref="H44:I44"/>
    <mergeCell ref="A54:B54"/>
    <mergeCell ref="H41:I41"/>
    <mergeCell ref="A42:D42"/>
    <mergeCell ref="E42:F42"/>
    <mergeCell ref="H42:I42"/>
    <mergeCell ref="A40:D40"/>
    <mergeCell ref="E40:F40"/>
    <mergeCell ref="H40:I40"/>
    <mergeCell ref="H39:I39"/>
    <mergeCell ref="H38:I38"/>
    <mergeCell ref="H37:I37"/>
    <mergeCell ref="A39:D39"/>
    <mergeCell ref="E34:F34"/>
    <mergeCell ref="A37:D37"/>
    <mergeCell ref="A38:D38"/>
    <mergeCell ref="E35:F35"/>
    <mergeCell ref="E36:F36"/>
    <mergeCell ref="E37:F37"/>
    <mergeCell ref="E38:F38"/>
    <mergeCell ref="E39:F39"/>
    <mergeCell ref="A24:D24"/>
    <mergeCell ref="E24:F24"/>
    <mergeCell ref="G24:H24"/>
    <mergeCell ref="I24:J24"/>
    <mergeCell ref="A26:J26"/>
    <mergeCell ref="A27:J29"/>
    <mergeCell ref="H34:I34"/>
    <mergeCell ref="H35:I35"/>
    <mergeCell ref="H36:I36"/>
    <mergeCell ref="A34:D34"/>
    <mergeCell ref="A35:D35"/>
    <mergeCell ref="A36:D36"/>
    <mergeCell ref="A32:D32"/>
    <mergeCell ref="H32:I32"/>
    <mergeCell ref="A33:D33"/>
    <mergeCell ref="E33:F33"/>
    <mergeCell ref="H33:I33"/>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honeticPr fontId="25" type="noConversion"/>
  <pageMargins left="0.25" right="0.25" top="0.75" bottom="0.75" header="0.3" footer="0.3"/>
  <pageSetup paperSize="9" scale="87" orientation="portrait" r:id="rId1"/>
  <headerFooter scaleWithDoc="0">
    <oddFooter>&amp;C&amp;"Arial,Regular"Page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D13" sqref="D13:E13"/>
    </sheetView>
  </sheetViews>
  <sheetFormatPr defaultColWidth="9.109375" defaultRowHeight="15" x14ac:dyDescent="0.25"/>
  <cols>
    <col min="1" max="1" width="9.44140625" style="2" bestFit="1" customWidth="1"/>
    <col min="2" max="16384" width="9.109375" style="2"/>
  </cols>
  <sheetData>
    <row r="1" spans="1:10" ht="15.6" x14ac:dyDescent="0.3">
      <c r="A1" s="32">
        <f>+'Cover Page'!C39</f>
        <v>2022</v>
      </c>
      <c r="B1" s="33" t="s">
        <v>204</v>
      </c>
      <c r="C1" s="33"/>
      <c r="D1" s="33"/>
      <c r="E1" s="33"/>
      <c r="F1" s="33"/>
      <c r="G1" s="33"/>
      <c r="H1" s="33"/>
      <c r="I1" s="33"/>
      <c r="J1" s="33"/>
    </row>
    <row r="3" spans="1:10" s="3" customFormat="1" ht="15" customHeight="1" x14ac:dyDescent="0.25">
      <c r="A3" s="3" t="str">
        <f>+'Cover Page'!B31</f>
        <v>Permit EPR/BR4551IC</v>
      </c>
      <c r="F3" s="3" t="s">
        <v>153</v>
      </c>
      <c r="G3" s="277" t="s">
        <v>7</v>
      </c>
      <c r="H3" s="277"/>
      <c r="I3" s="277"/>
    </row>
    <row r="4" spans="1:10" s="3" customFormat="1" ht="13.8" x14ac:dyDescent="0.25"/>
    <row r="5" spans="1:10" s="3" customFormat="1" ht="13.8" x14ac:dyDescent="0.25">
      <c r="A5" s="3" t="s">
        <v>154</v>
      </c>
      <c r="B5" s="239" t="str">
        <f>+'Cover Page'!B33:I33</f>
        <v>Kent Enviropower Limited</v>
      </c>
      <c r="C5" s="239"/>
      <c r="D5" s="239"/>
      <c r="E5" s="239"/>
      <c r="F5" s="3" t="s">
        <v>155</v>
      </c>
      <c r="G5" s="3" t="s">
        <v>205</v>
      </c>
    </row>
    <row r="6" spans="1:10" s="3" customFormat="1" ht="13.8" x14ac:dyDescent="0.25"/>
    <row r="7" spans="1:10" s="3" customFormat="1" ht="15.75" customHeight="1" x14ac:dyDescent="0.25">
      <c r="A7" s="3" t="s">
        <v>157</v>
      </c>
      <c r="D7" s="278">
        <f>+'Perf. Form 1'!D6:E6</f>
        <v>44562</v>
      </c>
      <c r="E7" s="278"/>
      <c r="F7" s="34" t="s">
        <v>158</v>
      </c>
      <c r="G7" s="278">
        <f>+'Perf. Form 1'!G6:H6</f>
        <v>44926</v>
      </c>
      <c r="H7" s="278"/>
    </row>
    <row r="8" spans="1:10" s="3" customFormat="1" ht="14.4" x14ac:dyDescent="0.3">
      <c r="B8"/>
      <c r="C8"/>
      <c r="D8"/>
    </row>
    <row r="9" spans="1:10" s="3" customFormat="1" ht="37.5" customHeight="1" x14ac:dyDescent="0.25">
      <c r="A9" s="271" t="s">
        <v>206</v>
      </c>
      <c r="B9" s="271"/>
      <c r="C9" s="271"/>
      <c r="D9" s="242" t="s">
        <v>207</v>
      </c>
      <c r="E9" s="242"/>
      <c r="F9" s="35" t="s">
        <v>77</v>
      </c>
      <c r="G9" s="271" t="s">
        <v>208</v>
      </c>
      <c r="H9" s="271"/>
      <c r="I9" s="271"/>
    </row>
    <row r="10" spans="1:10" s="3" customFormat="1" ht="24.75" customHeight="1" x14ac:dyDescent="0.25">
      <c r="A10" s="234" t="s">
        <v>209</v>
      </c>
      <c r="B10" s="234"/>
      <c r="C10" s="234"/>
      <c r="D10" s="279">
        <f>+'Operational Data'!G24</f>
        <v>268538</v>
      </c>
      <c r="E10" s="279"/>
      <c r="F10" s="107" t="s">
        <v>103</v>
      </c>
      <c r="G10" s="280">
        <f>+'Operational Data'!H24</f>
        <v>579.14884715006349</v>
      </c>
      <c r="H10" s="280"/>
      <c r="I10" s="280"/>
    </row>
    <row r="11" spans="1:10" s="3" customFormat="1" ht="24.75" customHeight="1" x14ac:dyDescent="0.25">
      <c r="A11" s="234" t="s">
        <v>210</v>
      </c>
      <c r="B11" s="234"/>
      <c r="C11" s="234"/>
      <c r="D11" s="281">
        <f>+'Operational Data'!G27</f>
        <v>1939</v>
      </c>
      <c r="E11" s="281"/>
      <c r="F11" s="107" t="s">
        <v>103</v>
      </c>
      <c r="G11" s="280">
        <f>+'Operational Data'!H27</f>
        <v>4.1817903411210819</v>
      </c>
      <c r="H11" s="280"/>
      <c r="I11" s="280"/>
    </row>
    <row r="12" spans="1:10" s="3" customFormat="1" ht="24.75" customHeight="1" x14ac:dyDescent="0.25">
      <c r="A12" s="234" t="s">
        <v>211</v>
      </c>
      <c r="B12" s="234"/>
      <c r="C12" s="234"/>
      <c r="D12" s="279">
        <f>+'Operational Data'!G25</f>
        <v>208713.88</v>
      </c>
      <c r="E12" s="279"/>
      <c r="F12" s="107" t="s">
        <v>103</v>
      </c>
      <c r="G12" s="280">
        <f>+'Operational Data'!H25</f>
        <v>450.12773978437576</v>
      </c>
      <c r="H12" s="280"/>
      <c r="I12" s="280"/>
    </row>
    <row r="13" spans="1:10" s="3" customFormat="1" ht="24.75" customHeight="1" x14ac:dyDescent="0.25">
      <c r="A13" s="234" t="s">
        <v>212</v>
      </c>
      <c r="B13" s="234"/>
      <c r="C13" s="234"/>
      <c r="D13" s="282">
        <v>1184.51</v>
      </c>
      <c r="E13" s="282"/>
      <c r="F13" s="107" t="s">
        <v>85</v>
      </c>
      <c r="G13" s="283">
        <v>29.71</v>
      </c>
      <c r="H13" s="283"/>
      <c r="I13" s="283"/>
    </row>
    <row r="14" spans="1:10" s="3" customFormat="1" ht="24.75" customHeight="1" x14ac:dyDescent="0.25">
      <c r="A14" s="234" t="s">
        <v>213</v>
      </c>
      <c r="B14" s="234"/>
      <c r="C14" s="234"/>
      <c r="D14" s="279">
        <f>+'Operational Data'!G30</f>
        <v>0</v>
      </c>
      <c r="E14" s="279"/>
      <c r="F14" s="107" t="s">
        <v>214</v>
      </c>
      <c r="G14" s="280" t="str">
        <f>+'Operational Data'!H30</f>
        <v>-</v>
      </c>
      <c r="H14" s="280"/>
      <c r="I14" s="280"/>
    </row>
    <row r="15" spans="1:10" s="3" customFormat="1" ht="24.75" customHeight="1" x14ac:dyDescent="0.25">
      <c r="A15" s="245"/>
      <c r="B15" s="245"/>
      <c r="C15" s="245"/>
      <c r="D15" s="245"/>
      <c r="E15" s="245"/>
      <c r="F15" s="174"/>
      <c r="G15" s="195"/>
      <c r="H15" s="195"/>
      <c r="I15" s="195"/>
    </row>
    <row r="16" spans="1:10" s="3" customFormat="1" ht="24.75" customHeight="1" x14ac:dyDescent="0.25">
      <c r="A16" s="245"/>
      <c r="B16" s="245"/>
      <c r="C16" s="245"/>
      <c r="D16" s="245"/>
      <c r="E16" s="245"/>
      <c r="F16" s="174"/>
      <c r="G16" s="195"/>
      <c r="H16" s="195"/>
      <c r="I16" s="195"/>
    </row>
    <row r="17" spans="1:9" s="3" customFormat="1" ht="14.4" x14ac:dyDescent="0.3">
      <c r="A17" s="44"/>
      <c r="B17"/>
      <c r="C17"/>
      <c r="D17"/>
    </row>
    <row r="18" spans="1:9" s="3" customFormat="1" ht="24" customHeight="1" x14ac:dyDescent="0.25">
      <c r="A18" s="261" t="s">
        <v>175</v>
      </c>
      <c r="B18" s="261"/>
      <c r="C18" s="261"/>
      <c r="D18" s="261"/>
      <c r="E18" s="261"/>
      <c r="F18" s="261"/>
      <c r="G18" s="261"/>
      <c r="H18" s="261"/>
      <c r="I18" s="261"/>
    </row>
    <row r="19" spans="1:9" s="3" customFormat="1" ht="13.8" x14ac:dyDescent="0.25">
      <c r="A19" s="284" t="s">
        <v>215</v>
      </c>
      <c r="B19" s="284"/>
      <c r="C19" s="284"/>
      <c r="D19" s="284"/>
      <c r="E19" s="284"/>
      <c r="F19" s="284"/>
      <c r="G19" s="284"/>
      <c r="H19" s="284"/>
      <c r="I19" s="284"/>
    </row>
    <row r="20" spans="1:9" s="3" customFormat="1" ht="13.8" x14ac:dyDescent="0.25">
      <c r="A20" s="284"/>
      <c r="B20" s="284"/>
      <c r="C20" s="284"/>
      <c r="D20" s="284"/>
      <c r="E20" s="284"/>
      <c r="F20" s="284"/>
      <c r="G20" s="284"/>
      <c r="H20" s="284"/>
      <c r="I20" s="284"/>
    </row>
    <row r="21" spans="1:9" s="3" customFormat="1" ht="13.8" x14ac:dyDescent="0.25">
      <c r="A21" s="284"/>
      <c r="B21" s="284"/>
      <c r="C21" s="284"/>
      <c r="D21" s="284"/>
      <c r="E21" s="284"/>
      <c r="F21" s="284"/>
      <c r="G21" s="284"/>
      <c r="H21" s="284"/>
      <c r="I21" s="284"/>
    </row>
    <row r="22" spans="1:9" s="3" customFormat="1" ht="13.8" x14ac:dyDescent="0.25">
      <c r="A22" s="284"/>
      <c r="B22" s="284"/>
      <c r="C22" s="284"/>
      <c r="D22" s="284"/>
      <c r="E22" s="284"/>
      <c r="F22" s="284"/>
      <c r="G22" s="284"/>
      <c r="H22" s="284"/>
      <c r="I22" s="284"/>
    </row>
    <row r="23" spans="1:9" s="3" customFormat="1" ht="13.8" x14ac:dyDescent="0.25">
      <c r="A23" s="284"/>
      <c r="B23" s="284"/>
      <c r="C23" s="284"/>
      <c r="D23" s="284"/>
      <c r="E23" s="284"/>
      <c r="F23" s="284"/>
      <c r="G23" s="284"/>
      <c r="H23" s="284"/>
      <c r="I23" s="284"/>
    </row>
    <row r="24" spans="1:9" s="3" customFormat="1" ht="13.8" x14ac:dyDescent="0.25">
      <c r="A24" s="284"/>
      <c r="B24" s="284"/>
      <c r="C24" s="284"/>
      <c r="D24" s="284"/>
      <c r="E24" s="284"/>
      <c r="F24" s="284"/>
      <c r="G24" s="284"/>
      <c r="H24" s="284"/>
      <c r="I24" s="284"/>
    </row>
    <row r="25" spans="1:9" s="3" customFormat="1" ht="13.8" x14ac:dyDescent="0.25">
      <c r="A25" s="284"/>
      <c r="B25" s="284"/>
      <c r="C25" s="284"/>
      <c r="D25" s="284"/>
      <c r="E25" s="284"/>
      <c r="F25" s="284"/>
      <c r="G25" s="284"/>
      <c r="H25" s="284"/>
      <c r="I25" s="284"/>
    </row>
    <row r="26" spans="1:9" s="3" customFormat="1" ht="13.8" x14ac:dyDescent="0.25">
      <c r="A26" s="41"/>
      <c r="B26" s="41"/>
      <c r="C26" s="41"/>
      <c r="D26" s="41"/>
      <c r="E26" s="41"/>
      <c r="F26" s="41"/>
      <c r="G26" s="41"/>
      <c r="H26" s="41"/>
      <c r="I26" s="41"/>
    </row>
    <row r="27" spans="1:9" s="3" customFormat="1" ht="13.8" x14ac:dyDescent="0.25"/>
    <row r="28" spans="1:9" s="3" customFormat="1" ht="13.8" x14ac:dyDescent="0.25"/>
    <row r="29" spans="1:9" s="3" customFormat="1" ht="13.8" x14ac:dyDescent="0.25">
      <c r="A29" s="3" t="s">
        <v>201</v>
      </c>
      <c r="B29" s="43"/>
      <c r="C29" s="43"/>
      <c r="D29" s="43"/>
      <c r="E29" s="43"/>
      <c r="G29" s="3" t="s">
        <v>202</v>
      </c>
      <c r="H29" s="43" t="s">
        <v>203</v>
      </c>
      <c r="I29" s="43"/>
    </row>
    <row r="30" spans="1:9" s="3" customFormat="1" ht="13.8" x14ac:dyDescent="0.25"/>
    <row r="31" spans="1:9" ht="14.25" customHeight="1" x14ac:dyDescent="0.25">
      <c r="A31" s="3"/>
      <c r="B31" s="3"/>
      <c r="C31" s="3"/>
      <c r="D31" s="3"/>
      <c r="E31" s="3"/>
      <c r="F31" s="3"/>
      <c r="G31" s="3"/>
      <c r="H31" s="3"/>
      <c r="I31" s="3"/>
    </row>
    <row r="32" spans="1:9" s="3" customFormat="1" ht="13.8" x14ac:dyDescent="0.25"/>
    <row r="33" spans="1:9" s="3" customFormat="1" ht="13.8" x14ac:dyDescent="0.25"/>
    <row r="34" spans="1:9" s="3" customFormat="1" x14ac:dyDescent="0.25">
      <c r="A34" s="91"/>
      <c r="B34" s="91"/>
      <c r="C34" s="91"/>
      <c r="D34" s="91"/>
      <c r="E34" s="91"/>
      <c r="F34" s="91"/>
      <c r="G34" s="91"/>
      <c r="H34" s="91"/>
      <c r="I34" s="91"/>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64" spans="6:6" x14ac:dyDescent="0.25">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92"/>
  <sheetViews>
    <sheetView topLeftCell="A25" workbookViewId="0">
      <selection activeCell="L40" sqref="L40"/>
    </sheetView>
  </sheetViews>
  <sheetFormatPr defaultColWidth="9.109375" defaultRowHeight="15" x14ac:dyDescent="0.25"/>
  <cols>
    <col min="1" max="1" width="12.109375" style="2" customWidth="1"/>
    <col min="2" max="2" width="11.88671875" style="2" customWidth="1"/>
    <col min="3" max="3" width="18.109375" style="2" bestFit="1" customWidth="1"/>
    <col min="4" max="4" width="12.5546875" style="2" bestFit="1" customWidth="1"/>
    <col min="5" max="5" width="3.109375" style="2" customWidth="1"/>
    <col min="6" max="6" width="9.109375" style="2"/>
    <col min="7" max="7" width="11.109375" style="2" customWidth="1"/>
    <col min="8" max="8" width="9.109375" style="2"/>
    <col min="9" max="9" width="45.109375" style="2" customWidth="1"/>
    <col min="10" max="10" width="9.109375" style="2" hidden="1" customWidth="1"/>
    <col min="11" max="11" width="10.88671875" style="2" bestFit="1" customWidth="1"/>
    <col min="12" max="12" width="31.88671875" style="2" customWidth="1"/>
    <col min="13" max="16384" width="9.109375" style="2"/>
  </cols>
  <sheetData>
    <row r="1" spans="1:15" x14ac:dyDescent="0.25">
      <c r="A1" s="91" t="str">
        <f>+'Cover Page'!$B$29</f>
        <v>Annual Performance Report 2022</v>
      </c>
      <c r="B1" s="91"/>
      <c r="C1" s="91"/>
      <c r="D1" s="91"/>
      <c r="E1" s="91" t="str">
        <f>+'Cover Page'!$B$33</f>
        <v>Kent Enviropower Limited</v>
      </c>
      <c r="F1" s="91"/>
      <c r="G1" s="91"/>
      <c r="H1" s="91"/>
      <c r="I1" s="91"/>
      <c r="J1" s="91"/>
      <c r="K1" s="91"/>
      <c r="L1" s="91"/>
      <c r="M1" s="91"/>
      <c r="N1" s="91"/>
      <c r="O1" s="91"/>
    </row>
    <row r="3" spans="1:15" ht="15.6" x14ac:dyDescent="0.3">
      <c r="A3" s="1" t="s">
        <v>216</v>
      </c>
      <c r="B3" s="91"/>
      <c r="C3" s="91"/>
      <c r="D3" s="91"/>
      <c r="E3" s="91"/>
      <c r="F3" s="91"/>
      <c r="G3" s="91"/>
      <c r="H3" s="91"/>
      <c r="I3" s="91"/>
      <c r="J3" s="91"/>
      <c r="K3" s="91"/>
      <c r="L3" s="91"/>
      <c r="M3" s="91"/>
      <c r="N3" s="91"/>
      <c r="O3" s="91"/>
    </row>
    <row r="4" spans="1:15" ht="15.6" x14ac:dyDescent="0.3">
      <c r="A4" s="1"/>
      <c r="B4" s="91"/>
      <c r="C4" s="91"/>
      <c r="D4" s="91"/>
      <c r="E4" s="91"/>
      <c r="F4" s="91"/>
      <c r="G4" s="91"/>
      <c r="H4" s="91"/>
      <c r="I4" s="91"/>
      <c r="J4" s="91"/>
      <c r="K4" s="91"/>
      <c r="L4" s="91"/>
      <c r="M4" s="91"/>
      <c r="N4" s="91"/>
      <c r="O4" s="91"/>
    </row>
    <row r="5" spans="1:15" x14ac:dyDescent="0.25">
      <c r="A5" s="9" t="s">
        <v>217</v>
      </c>
      <c r="B5" s="91"/>
      <c r="C5" s="91"/>
      <c r="D5" s="91"/>
      <c r="E5" s="91"/>
      <c r="F5" s="91"/>
      <c r="G5" s="91"/>
      <c r="H5" s="91"/>
      <c r="I5" s="91"/>
      <c r="J5" s="91"/>
      <c r="K5" s="91"/>
      <c r="L5" s="91"/>
      <c r="M5" s="91"/>
      <c r="N5" s="91"/>
      <c r="O5" s="91"/>
    </row>
    <row r="6" spans="1:15" x14ac:dyDescent="0.25">
      <c r="A6" s="9"/>
      <c r="B6" s="91"/>
      <c r="C6" s="91"/>
      <c r="D6" s="91"/>
      <c r="E6" s="91"/>
      <c r="F6" s="91"/>
      <c r="G6" s="91"/>
      <c r="H6" s="91"/>
      <c r="I6" s="91"/>
      <c r="J6" s="91"/>
      <c r="K6" s="91"/>
      <c r="L6" s="91"/>
      <c r="M6" s="91"/>
      <c r="N6" s="91"/>
      <c r="O6" s="91"/>
    </row>
    <row r="7" spans="1:15" x14ac:dyDescent="0.25">
      <c r="A7" s="127" t="s">
        <v>218</v>
      </c>
      <c r="B7" s="91"/>
      <c r="C7" s="91"/>
      <c r="D7" s="91"/>
      <c r="E7" s="91"/>
      <c r="F7" s="91"/>
      <c r="G7" s="91"/>
      <c r="H7" s="91"/>
      <c r="I7" s="91"/>
      <c r="J7" s="91"/>
      <c r="K7" s="91"/>
      <c r="L7" s="91"/>
      <c r="M7" s="91"/>
      <c r="N7" s="91"/>
      <c r="O7" s="91"/>
    </row>
    <row r="8" spans="1:15" s="3" customFormat="1" ht="25.5" customHeight="1" x14ac:dyDescent="0.3">
      <c r="A8" s="295" t="s">
        <v>219</v>
      </c>
      <c r="B8" s="296"/>
      <c r="C8" s="295" t="s">
        <v>220</v>
      </c>
      <c r="D8" s="297"/>
      <c r="E8" s="297"/>
      <c r="F8" s="297"/>
      <c r="G8" s="297"/>
      <c r="H8" s="297"/>
      <c r="I8" s="296"/>
      <c r="L8" s="80" t="s">
        <v>3</v>
      </c>
    </row>
    <row r="9" spans="1:15" s="3" customFormat="1" ht="22.5" customHeight="1" x14ac:dyDescent="0.25">
      <c r="A9" s="298"/>
      <c r="B9" s="299"/>
      <c r="C9" s="300" t="s">
        <v>221</v>
      </c>
      <c r="D9" s="300"/>
      <c r="E9" s="300"/>
      <c r="F9" s="300" t="s">
        <v>222</v>
      </c>
      <c r="G9" s="300"/>
      <c r="H9" s="300"/>
      <c r="I9" s="300"/>
      <c r="L9" s="220" t="s">
        <v>223</v>
      </c>
      <c r="M9" s="220"/>
      <c r="N9" s="220"/>
      <c r="O9" s="220"/>
    </row>
    <row r="10" spans="1:15" s="3" customFormat="1" ht="22.5" customHeight="1" x14ac:dyDescent="0.25">
      <c r="A10" s="286" t="s">
        <v>224</v>
      </c>
      <c r="B10" s="286"/>
      <c r="C10" s="287">
        <v>1</v>
      </c>
      <c r="D10" s="288"/>
      <c r="E10" s="288"/>
      <c r="F10" s="287">
        <v>1</v>
      </c>
      <c r="G10" s="288"/>
      <c r="H10" s="288"/>
      <c r="I10" s="288"/>
      <c r="L10" s="220"/>
      <c r="M10" s="220"/>
      <c r="N10" s="220"/>
      <c r="O10" s="220"/>
    </row>
    <row r="11" spans="1:15" s="3" customFormat="1" ht="22.5" customHeight="1" x14ac:dyDescent="0.25">
      <c r="A11" s="286" t="s">
        <v>225</v>
      </c>
      <c r="B11" s="286"/>
      <c r="C11" s="289">
        <v>0.99990000000000001</v>
      </c>
      <c r="D11" s="288"/>
      <c r="E11" s="288"/>
      <c r="F11" s="287">
        <v>1</v>
      </c>
      <c r="G11" s="288"/>
      <c r="H11" s="288"/>
      <c r="I11" s="288"/>
      <c r="L11" s="220"/>
      <c r="M11" s="220"/>
      <c r="N11" s="220"/>
      <c r="O11" s="220"/>
    </row>
    <row r="12" spans="1:15" s="3" customFormat="1" ht="22.5" customHeight="1" x14ac:dyDescent="0.25">
      <c r="A12" s="286" t="s">
        <v>226</v>
      </c>
      <c r="B12" s="286"/>
      <c r="C12" s="287">
        <v>1</v>
      </c>
      <c r="D12" s="288"/>
      <c r="E12" s="288"/>
      <c r="F12" s="287">
        <v>1</v>
      </c>
      <c r="G12" s="288"/>
      <c r="H12" s="288"/>
      <c r="I12" s="288"/>
      <c r="L12" s="220"/>
      <c r="M12" s="220"/>
      <c r="N12" s="220"/>
      <c r="O12" s="220"/>
    </row>
    <row r="13" spans="1:15" s="3" customFormat="1" ht="22.5" customHeight="1" x14ac:dyDescent="0.25">
      <c r="A13" s="286" t="s">
        <v>227</v>
      </c>
      <c r="B13" s="286"/>
      <c r="C13" s="290">
        <v>0.99990000000000001</v>
      </c>
      <c r="D13" s="288"/>
      <c r="E13" s="288"/>
      <c r="F13" s="287">
        <v>1</v>
      </c>
      <c r="G13" s="288"/>
      <c r="H13" s="288"/>
      <c r="I13" s="288"/>
      <c r="L13" s="220"/>
      <c r="M13" s="220"/>
      <c r="N13" s="220"/>
      <c r="O13" s="220"/>
    </row>
    <row r="14" spans="1:15" s="3" customFormat="1" ht="22.5" customHeight="1" x14ac:dyDescent="0.25">
      <c r="A14" s="286" t="s">
        <v>228</v>
      </c>
      <c r="B14" s="286"/>
      <c r="C14" s="287">
        <v>1</v>
      </c>
      <c r="D14" s="288"/>
      <c r="E14" s="288"/>
      <c r="F14" s="287">
        <v>1</v>
      </c>
      <c r="G14" s="288"/>
      <c r="H14" s="288"/>
      <c r="I14" s="288"/>
      <c r="L14" s="220"/>
      <c r="M14" s="220"/>
      <c r="N14" s="220"/>
      <c r="O14" s="220"/>
    </row>
    <row r="15" spans="1:15" s="3" customFormat="1" ht="22.5" customHeight="1" x14ac:dyDescent="0.25">
      <c r="A15" s="286" t="s">
        <v>229</v>
      </c>
      <c r="B15" s="286"/>
      <c r="C15" s="289">
        <v>0.99990000000000001</v>
      </c>
      <c r="D15" s="288"/>
      <c r="E15" s="288"/>
      <c r="F15" s="287">
        <v>1</v>
      </c>
      <c r="G15" s="288"/>
      <c r="H15" s="288"/>
      <c r="I15" s="288"/>
      <c r="L15" s="220"/>
      <c r="M15" s="220"/>
      <c r="N15" s="220"/>
      <c r="O15" s="220"/>
    </row>
    <row r="16" spans="1:15" s="3" customFormat="1" ht="22.5" customHeight="1" x14ac:dyDescent="0.25">
      <c r="A16" s="286" t="s">
        <v>128</v>
      </c>
      <c r="B16" s="286"/>
      <c r="C16" s="287">
        <v>1</v>
      </c>
      <c r="D16" s="288"/>
      <c r="E16" s="288"/>
      <c r="F16" s="287">
        <v>1</v>
      </c>
      <c r="G16" s="288"/>
      <c r="H16" s="288"/>
      <c r="I16" s="288"/>
      <c r="L16" s="220"/>
      <c r="M16" s="220"/>
      <c r="N16" s="220"/>
      <c r="O16" s="220"/>
    </row>
    <row r="17" spans="1:15" s="3" customFormat="1" ht="22.5" customHeight="1" x14ac:dyDescent="0.25">
      <c r="A17" s="303"/>
      <c r="B17" s="304"/>
      <c r="C17" s="288"/>
      <c r="D17" s="288"/>
      <c r="E17" s="288"/>
      <c r="F17" s="287"/>
      <c r="G17" s="288"/>
      <c r="H17" s="288"/>
      <c r="I17" s="288"/>
      <c r="L17" s="220"/>
      <c r="M17" s="220"/>
      <c r="N17" s="220"/>
      <c r="O17" s="220"/>
    </row>
    <row r="18" spans="1:15" s="3" customFormat="1" ht="13.8" x14ac:dyDescent="0.25">
      <c r="L18" s="220"/>
      <c r="M18" s="220"/>
      <c r="N18" s="220"/>
      <c r="O18" s="220"/>
    </row>
    <row r="19" spans="1:15" s="44" customFormat="1" ht="21.75" customHeight="1" x14ac:dyDescent="0.3">
      <c r="A19" s="305" t="s">
        <v>230</v>
      </c>
      <c r="B19" s="306"/>
      <c r="C19" s="306"/>
      <c r="D19" s="306"/>
      <c r="E19" s="306"/>
      <c r="F19" s="306"/>
      <c r="G19" s="306"/>
      <c r="H19" s="306"/>
      <c r="I19" s="306"/>
      <c r="J19" s="306"/>
      <c r="K19" s="307"/>
    </row>
    <row r="20" spans="1:15" s="3" customFormat="1" ht="38.25" customHeight="1" x14ac:dyDescent="0.25">
      <c r="A20" s="45" t="s">
        <v>53</v>
      </c>
      <c r="B20" s="301" t="s">
        <v>231</v>
      </c>
      <c r="C20" s="301"/>
      <c r="D20" s="301"/>
      <c r="E20" s="301" t="s">
        <v>232</v>
      </c>
      <c r="F20" s="301"/>
      <c r="G20" s="301"/>
      <c r="H20" s="301" t="s">
        <v>233</v>
      </c>
      <c r="I20" s="301"/>
      <c r="J20" s="302"/>
      <c r="K20" s="71"/>
    </row>
    <row r="21" spans="1:15" s="3" customFormat="1" ht="33" customHeight="1" x14ac:dyDescent="0.25">
      <c r="A21" s="106">
        <v>44589</v>
      </c>
      <c r="B21" s="189" t="s">
        <v>234</v>
      </c>
      <c r="C21" s="189"/>
      <c r="D21" s="189"/>
      <c r="E21" s="189" t="s">
        <v>235</v>
      </c>
      <c r="F21" s="189"/>
      <c r="G21" s="189"/>
      <c r="H21" s="284" t="s">
        <v>236</v>
      </c>
      <c r="I21" s="284"/>
      <c r="J21" s="291"/>
      <c r="K21" s="71"/>
    </row>
    <row r="22" spans="1:15" s="3" customFormat="1" ht="186" customHeight="1" x14ac:dyDescent="0.25">
      <c r="A22" s="106">
        <v>44604</v>
      </c>
      <c r="B22" s="189" t="s">
        <v>237</v>
      </c>
      <c r="C22" s="189"/>
      <c r="D22" s="189"/>
      <c r="E22" s="189" t="s">
        <v>238</v>
      </c>
      <c r="F22" s="189"/>
      <c r="G22" s="189"/>
      <c r="H22" s="284" t="s">
        <v>239</v>
      </c>
      <c r="I22" s="284"/>
      <c r="J22" s="291"/>
      <c r="K22" s="71"/>
    </row>
    <row r="23" spans="1:15" s="3" customFormat="1" ht="54.75" customHeight="1" x14ac:dyDescent="0.25">
      <c r="A23" s="106">
        <v>44715</v>
      </c>
      <c r="B23" s="189" t="s">
        <v>240</v>
      </c>
      <c r="C23" s="189"/>
      <c r="D23" s="189"/>
      <c r="E23" s="284" t="s">
        <v>241</v>
      </c>
      <c r="F23" s="284"/>
      <c r="G23" s="284"/>
      <c r="H23" s="284" t="s">
        <v>242</v>
      </c>
      <c r="I23" s="284"/>
      <c r="J23" s="291"/>
      <c r="K23" s="71"/>
    </row>
    <row r="24" spans="1:15" s="3" customFormat="1" ht="115.5" customHeight="1" x14ac:dyDescent="0.25">
      <c r="A24" s="106">
        <v>44859</v>
      </c>
      <c r="B24" s="189" t="s">
        <v>243</v>
      </c>
      <c r="C24" s="189"/>
      <c r="D24" s="189"/>
      <c r="E24" s="189" t="s">
        <v>244</v>
      </c>
      <c r="F24" s="189"/>
      <c r="G24" s="189"/>
      <c r="H24" s="284" t="s">
        <v>245</v>
      </c>
      <c r="I24" s="284"/>
      <c r="J24" s="291"/>
      <c r="K24" s="71"/>
    </row>
    <row r="25" spans="1:15" s="3" customFormat="1" ht="94.5" customHeight="1" x14ac:dyDescent="0.25">
      <c r="A25" s="106">
        <v>44876</v>
      </c>
      <c r="B25" s="292" t="s">
        <v>246</v>
      </c>
      <c r="C25" s="293"/>
      <c r="D25" s="294"/>
      <c r="E25" s="291" t="s">
        <v>247</v>
      </c>
      <c r="F25" s="293"/>
      <c r="G25" s="294"/>
      <c r="H25" s="291" t="s">
        <v>248</v>
      </c>
      <c r="I25" s="294"/>
      <c r="J25" s="115"/>
      <c r="K25" s="71"/>
    </row>
    <row r="26" spans="1:15" s="3" customFormat="1" ht="66" customHeight="1" x14ac:dyDescent="0.25">
      <c r="A26" s="106">
        <v>44894</v>
      </c>
      <c r="B26" s="292" t="s">
        <v>249</v>
      </c>
      <c r="C26" s="293"/>
      <c r="D26" s="294"/>
      <c r="E26" s="291" t="s">
        <v>250</v>
      </c>
      <c r="F26" s="321"/>
      <c r="G26" s="322"/>
      <c r="H26" s="291" t="s">
        <v>251</v>
      </c>
      <c r="I26" s="322"/>
      <c r="J26" s="115"/>
      <c r="K26" s="71"/>
    </row>
    <row r="27" spans="1:15" s="3" customFormat="1" ht="29.1" customHeight="1" x14ac:dyDescent="0.25">
      <c r="A27" s="106">
        <v>44912</v>
      </c>
      <c r="B27" s="189" t="s">
        <v>252</v>
      </c>
      <c r="C27" s="189"/>
      <c r="D27" s="189"/>
      <c r="E27" s="308" t="s">
        <v>253</v>
      </c>
      <c r="F27" s="309"/>
      <c r="G27" s="309"/>
      <c r="H27" s="309"/>
      <c r="I27" s="309"/>
      <c r="J27" s="310"/>
      <c r="K27" s="71"/>
    </row>
    <row r="28" spans="1:15" s="3" customFormat="1" ht="13.8" x14ac:dyDescent="0.25"/>
    <row r="29" spans="1:15" s="44" customFormat="1" ht="22.5" customHeight="1" x14ac:dyDescent="0.3">
      <c r="A29" s="305" t="s">
        <v>254</v>
      </c>
      <c r="B29" s="306"/>
      <c r="C29" s="306"/>
      <c r="D29" s="306"/>
      <c r="E29" s="306"/>
      <c r="F29" s="306"/>
      <c r="G29" s="306"/>
      <c r="H29" s="306"/>
      <c r="I29" s="306"/>
      <c r="J29" s="306"/>
      <c r="K29" s="307"/>
    </row>
    <row r="30" spans="1:15" s="3" customFormat="1" ht="39" customHeight="1" x14ac:dyDescent="0.25">
      <c r="A30" s="45" t="s">
        <v>53</v>
      </c>
      <c r="B30" s="301" t="s">
        <v>255</v>
      </c>
      <c r="C30" s="301"/>
      <c r="D30" s="301"/>
      <c r="E30" s="301" t="s">
        <v>256</v>
      </c>
      <c r="F30" s="301"/>
      <c r="G30" s="301"/>
      <c r="H30" s="301" t="s">
        <v>233</v>
      </c>
      <c r="I30" s="301"/>
      <c r="J30" s="302"/>
      <c r="K30" s="71"/>
    </row>
    <row r="31" spans="1:15" s="3" customFormat="1" ht="14.4" x14ac:dyDescent="0.25">
      <c r="A31" s="106">
        <v>44589</v>
      </c>
      <c r="B31" s="292" t="s">
        <v>257</v>
      </c>
      <c r="C31" s="293" t="s">
        <v>257</v>
      </c>
      <c r="D31" s="294" t="s">
        <v>257</v>
      </c>
      <c r="E31" s="292" t="s">
        <v>258</v>
      </c>
      <c r="F31" s="293" t="s">
        <v>258</v>
      </c>
      <c r="G31" s="294" t="s">
        <v>258</v>
      </c>
      <c r="H31" s="312" t="s">
        <v>259</v>
      </c>
      <c r="I31" s="313"/>
      <c r="J31" s="314"/>
      <c r="K31" s="71"/>
    </row>
    <row r="32" spans="1:15" ht="14.25" customHeight="1" x14ac:dyDescent="0.25">
      <c r="A32" s="106">
        <v>44593</v>
      </c>
      <c r="B32" s="292" t="s">
        <v>257</v>
      </c>
      <c r="C32" s="293" t="s">
        <v>257</v>
      </c>
      <c r="D32" s="294" t="s">
        <v>257</v>
      </c>
      <c r="E32" s="292" t="s">
        <v>258</v>
      </c>
      <c r="F32" s="293" t="s">
        <v>258</v>
      </c>
      <c r="G32" s="294" t="s">
        <v>258</v>
      </c>
      <c r="H32" s="318"/>
      <c r="I32" s="319"/>
      <c r="J32" s="320"/>
      <c r="K32" s="71"/>
      <c r="L32" s="91"/>
      <c r="M32" s="91"/>
      <c r="N32" s="91"/>
      <c r="O32" s="91"/>
    </row>
    <row r="33" spans="1:11" s="3" customFormat="1" ht="14.4" x14ac:dyDescent="0.25">
      <c r="A33" s="106">
        <v>44651</v>
      </c>
      <c r="B33" s="292" t="s">
        <v>260</v>
      </c>
      <c r="C33" s="293" t="s">
        <v>260</v>
      </c>
      <c r="D33" s="294" t="s">
        <v>260</v>
      </c>
      <c r="E33" s="292" t="s">
        <v>258</v>
      </c>
      <c r="F33" s="293" t="s">
        <v>258</v>
      </c>
      <c r="G33" s="294" t="s">
        <v>258</v>
      </c>
      <c r="H33" s="312" t="s">
        <v>261</v>
      </c>
      <c r="I33" s="313"/>
      <c r="J33" s="314"/>
      <c r="K33" s="71"/>
    </row>
    <row r="34" spans="1:11" s="3" customFormat="1" ht="63.6" customHeight="1" x14ac:dyDescent="0.25">
      <c r="A34" s="106">
        <v>44654</v>
      </c>
      <c r="B34" s="292" t="s">
        <v>260</v>
      </c>
      <c r="C34" s="293" t="s">
        <v>260</v>
      </c>
      <c r="D34" s="294" t="s">
        <v>260</v>
      </c>
      <c r="E34" s="292" t="s">
        <v>258</v>
      </c>
      <c r="F34" s="293" t="s">
        <v>258</v>
      </c>
      <c r="G34" s="294" t="s">
        <v>258</v>
      </c>
      <c r="H34" s="318"/>
      <c r="I34" s="319"/>
      <c r="J34" s="320"/>
      <c r="K34" s="71"/>
    </row>
    <row r="35" spans="1:11" s="3" customFormat="1" ht="29.1" customHeight="1" x14ac:dyDescent="0.25">
      <c r="A35" s="106">
        <v>44673</v>
      </c>
      <c r="B35" s="292" t="s">
        <v>257</v>
      </c>
      <c r="C35" s="293" t="s">
        <v>257</v>
      </c>
      <c r="D35" s="294" t="s">
        <v>257</v>
      </c>
      <c r="E35" s="292" t="s">
        <v>258</v>
      </c>
      <c r="F35" s="293" t="s">
        <v>258</v>
      </c>
      <c r="G35" s="294" t="s">
        <v>258</v>
      </c>
      <c r="H35" s="311" t="s">
        <v>259</v>
      </c>
      <c r="I35" s="311"/>
      <c r="J35" s="308"/>
      <c r="K35" s="71"/>
    </row>
    <row r="36" spans="1:11" s="3" customFormat="1" ht="14.4" x14ac:dyDescent="0.25">
      <c r="A36" s="106">
        <v>44708</v>
      </c>
      <c r="B36" s="292" t="s">
        <v>260</v>
      </c>
      <c r="C36" s="293" t="s">
        <v>260</v>
      </c>
      <c r="D36" s="294" t="s">
        <v>260</v>
      </c>
      <c r="E36" s="292" t="s">
        <v>258</v>
      </c>
      <c r="F36" s="293" t="s">
        <v>258</v>
      </c>
      <c r="G36" s="294" t="s">
        <v>258</v>
      </c>
      <c r="H36" s="312" t="s">
        <v>261</v>
      </c>
      <c r="I36" s="313"/>
      <c r="J36" s="314"/>
      <c r="K36" s="71"/>
    </row>
    <row r="37" spans="1:11" ht="14.25" customHeight="1" x14ac:dyDescent="0.25">
      <c r="A37" s="106">
        <v>44720</v>
      </c>
      <c r="B37" s="292" t="s">
        <v>260</v>
      </c>
      <c r="C37" s="293" t="s">
        <v>260</v>
      </c>
      <c r="D37" s="294" t="s">
        <v>260</v>
      </c>
      <c r="E37" s="292" t="s">
        <v>258</v>
      </c>
      <c r="F37" s="293" t="s">
        <v>258</v>
      </c>
      <c r="G37" s="294" t="s">
        <v>258</v>
      </c>
      <c r="H37" s="315"/>
      <c r="I37" s="316"/>
      <c r="J37" s="317"/>
      <c r="K37" s="71"/>
    </row>
    <row r="38" spans="1:11" s="3" customFormat="1" ht="14.4" x14ac:dyDescent="0.25">
      <c r="A38" s="106">
        <v>44725</v>
      </c>
      <c r="B38" s="292" t="s">
        <v>260</v>
      </c>
      <c r="C38" s="293" t="s">
        <v>260</v>
      </c>
      <c r="D38" s="294" t="s">
        <v>260</v>
      </c>
      <c r="E38" s="292" t="s">
        <v>258</v>
      </c>
      <c r="F38" s="293" t="s">
        <v>258</v>
      </c>
      <c r="G38" s="294" t="s">
        <v>258</v>
      </c>
      <c r="H38" s="315"/>
      <c r="I38" s="316"/>
      <c r="J38" s="317"/>
      <c r="K38" s="71"/>
    </row>
    <row r="39" spans="1:11" s="3" customFormat="1" ht="14.4" x14ac:dyDescent="0.25">
      <c r="A39" s="106">
        <v>44751</v>
      </c>
      <c r="B39" s="292" t="s">
        <v>260</v>
      </c>
      <c r="C39" s="293" t="s">
        <v>260</v>
      </c>
      <c r="D39" s="294" t="s">
        <v>260</v>
      </c>
      <c r="E39" s="292" t="s">
        <v>258</v>
      </c>
      <c r="F39" s="293" t="s">
        <v>258</v>
      </c>
      <c r="G39" s="294" t="s">
        <v>258</v>
      </c>
      <c r="H39" s="315"/>
      <c r="I39" s="316"/>
      <c r="J39" s="317"/>
      <c r="K39" s="71"/>
    </row>
    <row r="40" spans="1:11" s="3" customFormat="1" ht="14.4" x14ac:dyDescent="0.25">
      <c r="A40" s="106">
        <v>44755</v>
      </c>
      <c r="B40" s="292" t="s">
        <v>260</v>
      </c>
      <c r="C40" s="293" t="s">
        <v>260</v>
      </c>
      <c r="D40" s="294" t="s">
        <v>260</v>
      </c>
      <c r="E40" s="292" t="s">
        <v>258</v>
      </c>
      <c r="F40" s="293" t="s">
        <v>258</v>
      </c>
      <c r="G40" s="294" t="s">
        <v>258</v>
      </c>
      <c r="H40" s="315"/>
      <c r="I40" s="316"/>
      <c r="J40" s="317"/>
      <c r="K40" s="71"/>
    </row>
    <row r="41" spans="1:11" ht="14.25" customHeight="1" x14ac:dyDescent="0.25">
      <c r="A41" s="106">
        <v>44755</v>
      </c>
      <c r="B41" s="292" t="s">
        <v>260</v>
      </c>
      <c r="C41" s="293" t="s">
        <v>260</v>
      </c>
      <c r="D41" s="294" t="s">
        <v>260</v>
      </c>
      <c r="E41" s="292" t="s">
        <v>258</v>
      </c>
      <c r="F41" s="293" t="s">
        <v>258</v>
      </c>
      <c r="G41" s="294" t="s">
        <v>258</v>
      </c>
      <c r="H41" s="315"/>
      <c r="I41" s="316"/>
      <c r="J41" s="317"/>
      <c r="K41" s="71"/>
    </row>
    <row r="42" spans="1:11" s="3" customFormat="1" ht="14.4" x14ac:dyDescent="0.25">
      <c r="A42" s="106">
        <v>44756</v>
      </c>
      <c r="B42" s="292" t="s">
        <v>260</v>
      </c>
      <c r="C42" s="293" t="s">
        <v>260</v>
      </c>
      <c r="D42" s="294" t="s">
        <v>260</v>
      </c>
      <c r="E42" s="292" t="s">
        <v>258</v>
      </c>
      <c r="F42" s="293" t="s">
        <v>258</v>
      </c>
      <c r="G42" s="294" t="s">
        <v>258</v>
      </c>
      <c r="H42" s="318"/>
      <c r="I42" s="319"/>
      <c r="J42" s="320"/>
      <c r="K42" s="71"/>
    </row>
    <row r="43" spans="1:11" s="3" customFormat="1" ht="14.4" x14ac:dyDescent="0.25">
      <c r="A43" s="106">
        <v>44784</v>
      </c>
      <c r="B43" s="292" t="s">
        <v>262</v>
      </c>
      <c r="C43" s="293" t="s">
        <v>262</v>
      </c>
      <c r="D43" s="294" t="s">
        <v>262</v>
      </c>
      <c r="E43" s="292" t="s">
        <v>263</v>
      </c>
      <c r="F43" s="293" t="s">
        <v>263</v>
      </c>
      <c r="G43" s="294" t="s">
        <v>263</v>
      </c>
      <c r="H43" s="311" t="s">
        <v>264</v>
      </c>
      <c r="I43" s="311"/>
      <c r="J43" s="308"/>
      <c r="K43" s="71"/>
    </row>
    <row r="44" spans="1:11" s="3" customFormat="1" ht="14.4" x14ac:dyDescent="0.25">
      <c r="A44" s="106">
        <v>44789</v>
      </c>
      <c r="B44" s="292" t="s">
        <v>260</v>
      </c>
      <c r="C44" s="293" t="s">
        <v>260</v>
      </c>
      <c r="D44" s="294" t="s">
        <v>260</v>
      </c>
      <c r="E44" s="292" t="s">
        <v>258</v>
      </c>
      <c r="F44" s="293" t="s">
        <v>258</v>
      </c>
      <c r="G44" s="294" t="s">
        <v>258</v>
      </c>
      <c r="H44" s="312" t="s">
        <v>261</v>
      </c>
      <c r="I44" s="313"/>
      <c r="J44" s="314"/>
      <c r="K44" s="71"/>
    </row>
    <row r="45" spans="1:11" s="3" customFormat="1" ht="14.4" x14ac:dyDescent="0.25">
      <c r="A45" s="106">
        <v>44798</v>
      </c>
      <c r="B45" s="292" t="s">
        <v>260</v>
      </c>
      <c r="C45" s="293" t="s">
        <v>260</v>
      </c>
      <c r="D45" s="294" t="s">
        <v>260</v>
      </c>
      <c r="E45" s="292" t="s">
        <v>258</v>
      </c>
      <c r="F45" s="293" t="s">
        <v>258</v>
      </c>
      <c r="G45" s="294" t="s">
        <v>258</v>
      </c>
      <c r="H45" s="315"/>
      <c r="I45" s="316"/>
      <c r="J45" s="317"/>
      <c r="K45" s="71"/>
    </row>
    <row r="46" spans="1:11" ht="14.25" customHeight="1" x14ac:dyDescent="0.25">
      <c r="A46" s="106">
        <v>44801</v>
      </c>
      <c r="B46" s="292" t="s">
        <v>260</v>
      </c>
      <c r="C46" s="293" t="s">
        <v>260</v>
      </c>
      <c r="D46" s="294" t="s">
        <v>260</v>
      </c>
      <c r="E46" s="292" t="s">
        <v>258</v>
      </c>
      <c r="F46" s="293" t="s">
        <v>258</v>
      </c>
      <c r="G46" s="294" t="s">
        <v>258</v>
      </c>
      <c r="H46" s="315"/>
      <c r="I46" s="316"/>
      <c r="J46" s="317"/>
      <c r="K46" s="71"/>
    </row>
    <row r="47" spans="1:11" s="3" customFormat="1" ht="14.4" x14ac:dyDescent="0.25">
      <c r="A47" s="106">
        <v>44814</v>
      </c>
      <c r="B47" s="292" t="s">
        <v>260</v>
      </c>
      <c r="C47" s="293" t="s">
        <v>260</v>
      </c>
      <c r="D47" s="294" t="s">
        <v>260</v>
      </c>
      <c r="E47" s="292" t="s">
        <v>258</v>
      </c>
      <c r="F47" s="293" t="s">
        <v>258</v>
      </c>
      <c r="G47" s="294" t="s">
        <v>258</v>
      </c>
      <c r="H47" s="315"/>
      <c r="I47" s="316"/>
      <c r="J47" s="317"/>
      <c r="K47" s="71"/>
    </row>
    <row r="48" spans="1:11" s="3" customFormat="1" ht="14.4" x14ac:dyDescent="0.25">
      <c r="A48" s="106">
        <v>44820</v>
      </c>
      <c r="B48" s="292" t="s">
        <v>260</v>
      </c>
      <c r="C48" s="293" t="s">
        <v>260</v>
      </c>
      <c r="D48" s="294" t="s">
        <v>260</v>
      </c>
      <c r="E48" s="292" t="s">
        <v>258</v>
      </c>
      <c r="F48" s="293" t="s">
        <v>258</v>
      </c>
      <c r="G48" s="294" t="s">
        <v>258</v>
      </c>
      <c r="H48" s="315"/>
      <c r="I48" s="316"/>
      <c r="J48" s="317"/>
      <c r="K48" s="71"/>
    </row>
    <row r="49" spans="1:11" s="3" customFormat="1" ht="14.4" x14ac:dyDescent="0.25">
      <c r="A49" s="106">
        <v>44821</v>
      </c>
      <c r="B49" s="292" t="s">
        <v>260</v>
      </c>
      <c r="C49" s="293" t="s">
        <v>260</v>
      </c>
      <c r="D49" s="294" t="s">
        <v>260</v>
      </c>
      <c r="E49" s="292" t="s">
        <v>258</v>
      </c>
      <c r="F49" s="293" t="s">
        <v>258</v>
      </c>
      <c r="G49" s="294" t="s">
        <v>258</v>
      </c>
      <c r="H49" s="315"/>
      <c r="I49" s="316"/>
      <c r="J49" s="317"/>
      <c r="K49" s="71"/>
    </row>
    <row r="50" spans="1:11" s="3" customFormat="1" ht="14.4" x14ac:dyDescent="0.25">
      <c r="A50" s="106">
        <v>44824</v>
      </c>
      <c r="B50" s="292" t="s">
        <v>260</v>
      </c>
      <c r="C50" s="293" t="s">
        <v>260</v>
      </c>
      <c r="D50" s="294" t="s">
        <v>260</v>
      </c>
      <c r="E50" s="292" t="s">
        <v>258</v>
      </c>
      <c r="F50" s="293" t="s">
        <v>258</v>
      </c>
      <c r="G50" s="294" t="s">
        <v>258</v>
      </c>
      <c r="H50" s="315"/>
      <c r="I50" s="316"/>
      <c r="J50" s="317"/>
      <c r="K50" s="71"/>
    </row>
    <row r="51" spans="1:11" ht="14.25" customHeight="1" x14ac:dyDescent="0.25">
      <c r="A51" s="106">
        <v>44829</v>
      </c>
      <c r="B51" s="292" t="s">
        <v>260</v>
      </c>
      <c r="C51" s="293" t="s">
        <v>260</v>
      </c>
      <c r="D51" s="294" t="s">
        <v>260</v>
      </c>
      <c r="E51" s="292" t="s">
        <v>258</v>
      </c>
      <c r="F51" s="293" t="s">
        <v>258</v>
      </c>
      <c r="G51" s="294" t="s">
        <v>258</v>
      </c>
      <c r="H51" s="315"/>
      <c r="I51" s="316"/>
      <c r="J51" s="317"/>
      <c r="K51" s="71"/>
    </row>
    <row r="52" spans="1:11" s="3" customFormat="1" ht="14.4" x14ac:dyDescent="0.25">
      <c r="A52" s="106">
        <v>44829</v>
      </c>
      <c r="B52" s="292" t="s">
        <v>260</v>
      </c>
      <c r="C52" s="293" t="s">
        <v>260</v>
      </c>
      <c r="D52" s="294" t="s">
        <v>260</v>
      </c>
      <c r="E52" s="292" t="s">
        <v>258</v>
      </c>
      <c r="F52" s="293" t="s">
        <v>258</v>
      </c>
      <c r="G52" s="294" t="s">
        <v>258</v>
      </c>
      <c r="H52" s="318"/>
      <c r="I52" s="319"/>
      <c r="J52" s="320"/>
      <c r="K52" s="71"/>
    </row>
    <row r="53" spans="1:11" s="3" customFormat="1" ht="14.4" x14ac:dyDescent="0.25">
      <c r="A53" s="106">
        <v>44897</v>
      </c>
      <c r="B53" s="292" t="s">
        <v>257</v>
      </c>
      <c r="C53" s="293" t="s">
        <v>257</v>
      </c>
      <c r="D53" s="294" t="s">
        <v>257</v>
      </c>
      <c r="E53" s="292" t="s">
        <v>258</v>
      </c>
      <c r="F53" s="293" t="s">
        <v>258</v>
      </c>
      <c r="G53" s="294" t="s">
        <v>258</v>
      </c>
      <c r="H53" s="312" t="s">
        <v>265</v>
      </c>
      <c r="I53" s="313"/>
      <c r="J53" s="314"/>
      <c r="K53" s="71"/>
    </row>
    <row r="54" spans="1:11" s="3" customFormat="1" ht="14.4" x14ac:dyDescent="0.25">
      <c r="A54" s="106">
        <v>44897</v>
      </c>
      <c r="B54" s="292" t="s">
        <v>257</v>
      </c>
      <c r="C54" s="293" t="s">
        <v>257</v>
      </c>
      <c r="D54" s="294" t="s">
        <v>257</v>
      </c>
      <c r="E54" s="292" t="s">
        <v>258</v>
      </c>
      <c r="F54" s="293" t="s">
        <v>258</v>
      </c>
      <c r="G54" s="294" t="s">
        <v>258</v>
      </c>
      <c r="H54" s="315"/>
      <c r="I54" s="316"/>
      <c r="J54" s="317"/>
      <c r="K54" s="71"/>
    </row>
    <row r="55" spans="1:11" s="3" customFormat="1" ht="14.4" x14ac:dyDescent="0.25">
      <c r="A55" s="106">
        <v>44897</v>
      </c>
      <c r="B55" s="292" t="s">
        <v>257</v>
      </c>
      <c r="C55" s="293" t="s">
        <v>257</v>
      </c>
      <c r="D55" s="294" t="s">
        <v>257</v>
      </c>
      <c r="E55" s="292" t="s">
        <v>258</v>
      </c>
      <c r="F55" s="293" t="s">
        <v>258</v>
      </c>
      <c r="G55" s="294" t="s">
        <v>258</v>
      </c>
      <c r="H55" s="315"/>
      <c r="I55" s="316"/>
      <c r="J55" s="317"/>
      <c r="K55" s="71"/>
    </row>
    <row r="56" spans="1:11" ht="14.25" customHeight="1" x14ac:dyDescent="0.25">
      <c r="A56" s="106">
        <v>44897</v>
      </c>
      <c r="B56" s="292" t="s">
        <v>257</v>
      </c>
      <c r="C56" s="293" t="s">
        <v>257</v>
      </c>
      <c r="D56" s="294" t="s">
        <v>257</v>
      </c>
      <c r="E56" s="292" t="s">
        <v>258</v>
      </c>
      <c r="F56" s="293" t="s">
        <v>258</v>
      </c>
      <c r="G56" s="294" t="s">
        <v>258</v>
      </c>
      <c r="H56" s="315"/>
      <c r="I56" s="316"/>
      <c r="J56" s="317"/>
      <c r="K56" s="71"/>
    </row>
    <row r="57" spans="1:11" s="3" customFormat="1" ht="14.4" x14ac:dyDescent="0.25">
      <c r="A57" s="106">
        <v>44897</v>
      </c>
      <c r="B57" s="292" t="s">
        <v>257</v>
      </c>
      <c r="C57" s="293" t="s">
        <v>257</v>
      </c>
      <c r="D57" s="294" t="s">
        <v>257</v>
      </c>
      <c r="E57" s="292" t="s">
        <v>258</v>
      </c>
      <c r="F57" s="293" t="s">
        <v>258</v>
      </c>
      <c r="G57" s="294" t="s">
        <v>258</v>
      </c>
      <c r="H57" s="318"/>
      <c r="I57" s="319"/>
      <c r="J57" s="320"/>
      <c r="K57" s="71"/>
    </row>
    <row r="58" spans="1:11" s="3" customFormat="1" ht="83.4" customHeight="1" x14ac:dyDescent="0.25">
      <c r="A58" s="106">
        <v>44900</v>
      </c>
      <c r="B58" s="292" t="s">
        <v>260</v>
      </c>
      <c r="C58" s="293" t="s">
        <v>260</v>
      </c>
      <c r="D58" s="294" t="s">
        <v>260</v>
      </c>
      <c r="E58" s="292" t="s">
        <v>258</v>
      </c>
      <c r="F58" s="293" t="s">
        <v>258</v>
      </c>
      <c r="G58" s="294" t="s">
        <v>258</v>
      </c>
      <c r="H58" s="308" t="s">
        <v>261</v>
      </c>
      <c r="I58" s="309"/>
      <c r="J58" s="310"/>
      <c r="K58" s="71"/>
    </row>
    <row r="59" spans="1:11" s="3" customFormat="1" ht="29.25" customHeight="1" x14ac:dyDescent="0.25">
      <c r="A59" s="127"/>
      <c r="E59" s="285" t="s">
        <v>266</v>
      </c>
      <c r="F59" s="285"/>
      <c r="G59" s="285"/>
      <c r="H59" s="285"/>
      <c r="I59" s="285"/>
      <c r="J59" s="127"/>
    </row>
    <row r="92" spans="6:6" x14ac:dyDescent="0.25">
      <c r="F92" s="3"/>
    </row>
  </sheetData>
  <mergeCells count="123">
    <mergeCell ref="B23:D23"/>
    <mergeCell ref="E23:G23"/>
    <mergeCell ref="E27:J27"/>
    <mergeCell ref="B37:D37"/>
    <mergeCell ref="E37:G37"/>
    <mergeCell ref="B38:D38"/>
    <mergeCell ref="H23:J23"/>
    <mergeCell ref="B25:D25"/>
    <mergeCell ref="B36:D36"/>
    <mergeCell ref="E36:G36"/>
    <mergeCell ref="H35:J35"/>
    <mergeCell ref="B24:D24"/>
    <mergeCell ref="E24:G24"/>
    <mergeCell ref="H24:J24"/>
    <mergeCell ref="B27:D27"/>
    <mergeCell ref="B35:D35"/>
    <mergeCell ref="E35:G35"/>
    <mergeCell ref="H25:I25"/>
    <mergeCell ref="H26:I26"/>
    <mergeCell ref="E41:G41"/>
    <mergeCell ref="B42:D42"/>
    <mergeCell ref="E42:G42"/>
    <mergeCell ref="B43:D43"/>
    <mergeCell ref="E43:G43"/>
    <mergeCell ref="E38:G38"/>
    <mergeCell ref="B22:D22"/>
    <mergeCell ref="B31:D31"/>
    <mergeCell ref="E31:G31"/>
    <mergeCell ref="B32:D32"/>
    <mergeCell ref="E32:G32"/>
    <mergeCell ref="B33:D33"/>
    <mergeCell ref="E33:G33"/>
    <mergeCell ref="B34:D34"/>
    <mergeCell ref="E34:G34"/>
    <mergeCell ref="B26:D26"/>
    <mergeCell ref="E25:G25"/>
    <mergeCell ref="E26:G26"/>
    <mergeCell ref="A29:K29"/>
    <mergeCell ref="B30:D30"/>
    <mergeCell ref="E30:G30"/>
    <mergeCell ref="H30:J30"/>
    <mergeCell ref="H31:J32"/>
    <mergeCell ref="H33:J34"/>
    <mergeCell ref="H43:J43"/>
    <mergeCell ref="B44:D44"/>
    <mergeCell ref="E44:G44"/>
    <mergeCell ref="B41:D41"/>
    <mergeCell ref="B39:D39"/>
    <mergeCell ref="B54:D54"/>
    <mergeCell ref="E54:G54"/>
    <mergeCell ref="B40:D40"/>
    <mergeCell ref="E40:G40"/>
    <mergeCell ref="E39:G39"/>
    <mergeCell ref="B47:D47"/>
    <mergeCell ref="E47:G47"/>
    <mergeCell ref="B48:D48"/>
    <mergeCell ref="E48:G48"/>
    <mergeCell ref="B45:D45"/>
    <mergeCell ref="E45:G45"/>
    <mergeCell ref="B46:D46"/>
    <mergeCell ref="E46:G46"/>
    <mergeCell ref="H36:J42"/>
    <mergeCell ref="H44:J52"/>
    <mergeCell ref="H53:J57"/>
    <mergeCell ref="B53:D53"/>
    <mergeCell ref="E53:G53"/>
    <mergeCell ref="B51:D51"/>
    <mergeCell ref="E58:G58"/>
    <mergeCell ref="H58:J58"/>
    <mergeCell ref="B55:D55"/>
    <mergeCell ref="E55:G55"/>
    <mergeCell ref="B56:D56"/>
    <mergeCell ref="E56:G56"/>
    <mergeCell ref="B49:D49"/>
    <mergeCell ref="E49:G49"/>
    <mergeCell ref="B50:D50"/>
    <mergeCell ref="E50:G50"/>
    <mergeCell ref="B57:D57"/>
    <mergeCell ref="E57:G57"/>
    <mergeCell ref="E51:G51"/>
    <mergeCell ref="B52:D52"/>
    <mergeCell ref="E52:G52"/>
    <mergeCell ref="A8:B8"/>
    <mergeCell ref="C8:I8"/>
    <mergeCell ref="A9:B9"/>
    <mergeCell ref="C9:E9"/>
    <mergeCell ref="F9:I9"/>
    <mergeCell ref="B20:D20"/>
    <mergeCell ref="E20:G20"/>
    <mergeCell ref="H20:J20"/>
    <mergeCell ref="B21:D21"/>
    <mergeCell ref="E21:G21"/>
    <mergeCell ref="H21:J21"/>
    <mergeCell ref="C17:E17"/>
    <mergeCell ref="F17:I17"/>
    <mergeCell ref="C16:E16"/>
    <mergeCell ref="F16:I16"/>
    <mergeCell ref="A17:B17"/>
    <mergeCell ref="A19:K19"/>
    <mergeCell ref="L9:O18"/>
    <mergeCell ref="E59:I59"/>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F14:I14"/>
    <mergeCell ref="A15:B15"/>
    <mergeCell ref="C15:E15"/>
    <mergeCell ref="F15:I15"/>
    <mergeCell ref="A16:B16"/>
    <mergeCell ref="E22:G22"/>
    <mergeCell ref="H22:J22"/>
    <mergeCell ref="B58:D58"/>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47"/>
  <sheetViews>
    <sheetView workbookViewId="0">
      <selection activeCell="J24" sqref="J24"/>
    </sheetView>
  </sheetViews>
  <sheetFormatPr defaultColWidth="9.109375" defaultRowHeight="15" x14ac:dyDescent="0.25"/>
  <cols>
    <col min="1" max="1" width="9.109375" style="2" customWidth="1"/>
    <col min="2" max="2" width="14.5546875" style="2" bestFit="1" customWidth="1"/>
    <col min="3" max="8" width="9.109375" style="2"/>
    <col min="9" max="9" width="11.5546875" style="2" customWidth="1"/>
    <col min="10" max="16384" width="9.109375" style="2"/>
  </cols>
  <sheetData>
    <row r="1" spans="1:9" x14ac:dyDescent="0.25">
      <c r="A1" s="91" t="str">
        <f>+'Cover Page'!$B$29</f>
        <v>Annual Performance Report 2022</v>
      </c>
      <c r="B1" s="91"/>
      <c r="C1" s="91"/>
      <c r="D1" s="91"/>
      <c r="E1" s="91" t="str">
        <f>+'Cover Page'!$B$33</f>
        <v>Kent Enviropower Limited</v>
      </c>
      <c r="F1" s="91"/>
      <c r="G1" s="91"/>
      <c r="H1" s="91"/>
      <c r="I1" s="91"/>
    </row>
    <row r="3" spans="1:9" ht="15.6" x14ac:dyDescent="0.3">
      <c r="A3" s="1" t="s">
        <v>267</v>
      </c>
      <c r="B3" s="91"/>
      <c r="C3" s="91"/>
      <c r="D3" s="91"/>
      <c r="E3" s="91"/>
      <c r="F3" s="91"/>
      <c r="G3" s="91"/>
      <c r="H3" s="91"/>
      <c r="I3" s="91"/>
    </row>
    <row r="4" spans="1:9" ht="15.6" x14ac:dyDescent="0.3">
      <c r="A4" s="1"/>
      <c r="B4" s="91"/>
      <c r="C4" s="91"/>
      <c r="D4" s="91"/>
      <c r="E4" s="91"/>
      <c r="F4" s="91"/>
      <c r="G4" s="91"/>
      <c r="H4" s="91"/>
      <c r="I4" s="91"/>
    </row>
    <row r="5" spans="1:9" s="3" customFormat="1" ht="13.8" x14ac:dyDescent="0.25">
      <c r="A5" s="326" t="s">
        <v>268</v>
      </c>
      <c r="B5" s="327"/>
      <c r="C5" s="327"/>
      <c r="D5" s="327"/>
      <c r="E5" s="327"/>
      <c r="F5" s="327"/>
      <c r="G5" s="327"/>
      <c r="H5" s="327"/>
      <c r="I5" s="328"/>
    </row>
    <row r="6" spans="1:9" s="3" customFormat="1" ht="13.5" customHeight="1" x14ac:dyDescent="0.25">
      <c r="A6" s="206" t="s">
        <v>269</v>
      </c>
      <c r="B6" s="215"/>
      <c r="C6" s="215"/>
      <c r="D6" s="215"/>
      <c r="E6" s="215"/>
      <c r="F6" s="215"/>
      <c r="G6" s="215"/>
      <c r="H6" s="215"/>
      <c r="I6" s="216"/>
    </row>
    <row r="7" spans="1:9" s="3" customFormat="1" ht="15.75" customHeight="1" x14ac:dyDescent="0.25">
      <c r="A7" s="217"/>
      <c r="B7" s="218"/>
      <c r="C7" s="218"/>
      <c r="D7" s="218"/>
      <c r="E7" s="218"/>
      <c r="F7" s="218"/>
      <c r="G7" s="218"/>
      <c r="H7" s="218"/>
      <c r="I7" s="219"/>
    </row>
    <row r="8" spans="1:9" s="3" customFormat="1" ht="15.75" customHeight="1" x14ac:dyDescent="0.25">
      <c r="A8" s="217"/>
      <c r="B8" s="218"/>
      <c r="C8" s="218"/>
      <c r="D8" s="218"/>
      <c r="E8" s="218"/>
      <c r="F8" s="218"/>
      <c r="G8" s="218"/>
      <c r="H8" s="218"/>
      <c r="I8" s="219"/>
    </row>
    <row r="9" spans="1:9" s="3" customFormat="1" ht="15.75" customHeight="1" x14ac:dyDescent="0.25">
      <c r="A9" s="217"/>
      <c r="B9" s="218"/>
      <c r="C9" s="218"/>
      <c r="D9" s="218"/>
      <c r="E9" s="218"/>
      <c r="F9" s="218"/>
      <c r="G9" s="218"/>
      <c r="H9" s="218"/>
      <c r="I9" s="219"/>
    </row>
    <row r="10" spans="1:9" s="3" customFormat="1" ht="15.75" customHeight="1" x14ac:dyDescent="0.25">
      <c r="A10" s="231"/>
      <c r="B10" s="232"/>
      <c r="C10" s="232"/>
      <c r="D10" s="232"/>
      <c r="E10" s="232"/>
      <c r="F10" s="232"/>
      <c r="G10" s="232"/>
      <c r="H10" s="232"/>
      <c r="I10" s="233"/>
    </row>
    <row r="11" spans="1:9" s="3" customFormat="1" ht="13.8" x14ac:dyDescent="0.25"/>
    <row r="12" spans="1:9" s="46" customFormat="1" ht="33.75" customHeight="1" x14ac:dyDescent="0.3">
      <c r="A12" s="323" t="s">
        <v>270</v>
      </c>
      <c r="B12" s="324"/>
      <c r="C12" s="324"/>
      <c r="D12" s="324"/>
      <c r="E12" s="324"/>
      <c r="F12" s="324"/>
      <c r="G12" s="324"/>
      <c r="H12" s="324"/>
      <c r="I12" s="325"/>
    </row>
    <row r="13" spans="1:9" ht="15.75" customHeight="1" x14ac:dyDescent="0.25">
      <c r="A13" s="329" t="s">
        <v>271</v>
      </c>
      <c r="B13" s="330"/>
      <c r="C13" s="330"/>
      <c r="D13" s="330"/>
      <c r="E13" s="330"/>
      <c r="F13" s="330"/>
      <c r="G13" s="330"/>
      <c r="H13" s="330"/>
      <c r="I13" s="331"/>
    </row>
    <row r="14" spans="1:9" ht="15.75" customHeight="1" x14ac:dyDescent="0.25">
      <c r="A14" s="332"/>
      <c r="B14" s="333"/>
      <c r="C14" s="333"/>
      <c r="D14" s="333"/>
      <c r="E14" s="333"/>
      <c r="F14" s="333"/>
      <c r="G14" s="333"/>
      <c r="H14" s="333"/>
      <c r="I14" s="334"/>
    </row>
    <row r="15" spans="1:9" ht="15.75" customHeight="1" x14ac:dyDescent="0.25">
      <c r="A15" s="332"/>
      <c r="B15" s="333"/>
      <c r="C15" s="333"/>
      <c r="D15" s="333"/>
      <c r="E15" s="333"/>
      <c r="F15" s="333"/>
      <c r="G15" s="333"/>
      <c r="H15" s="333"/>
      <c r="I15" s="334"/>
    </row>
    <row r="16" spans="1:9" ht="15.75" customHeight="1" x14ac:dyDescent="0.25">
      <c r="A16" s="335"/>
      <c r="B16" s="336"/>
      <c r="C16" s="336"/>
      <c r="D16" s="336"/>
      <c r="E16" s="336"/>
      <c r="F16" s="336"/>
      <c r="G16" s="336"/>
      <c r="H16" s="336"/>
      <c r="I16" s="337"/>
    </row>
    <row r="17" spans="1:9" ht="15.6" x14ac:dyDescent="0.3">
      <c r="A17" s="1"/>
      <c r="B17" s="91"/>
      <c r="C17" s="91"/>
      <c r="D17" s="91"/>
      <c r="E17" s="91"/>
      <c r="F17" s="91"/>
      <c r="G17" s="91"/>
      <c r="H17" s="91"/>
      <c r="I17" s="91"/>
    </row>
    <row r="18" spans="1:9" ht="36.75" customHeight="1" x14ac:dyDescent="0.25">
      <c r="A18" s="323" t="s">
        <v>272</v>
      </c>
      <c r="B18" s="324"/>
      <c r="C18" s="324"/>
      <c r="D18" s="324"/>
      <c r="E18" s="324"/>
      <c r="F18" s="324"/>
      <c r="G18" s="324"/>
      <c r="H18" s="324"/>
      <c r="I18" s="325"/>
    </row>
    <row r="19" spans="1:9" ht="15.75" customHeight="1" x14ac:dyDescent="0.25">
      <c r="A19" s="206" t="s">
        <v>273</v>
      </c>
      <c r="B19" s="207"/>
      <c r="C19" s="207"/>
      <c r="D19" s="207"/>
      <c r="E19" s="207"/>
      <c r="F19" s="207"/>
      <c r="G19" s="207"/>
      <c r="H19" s="207"/>
      <c r="I19" s="208"/>
    </row>
    <row r="20" spans="1:9" ht="15.75" customHeight="1" x14ac:dyDescent="0.25">
      <c r="A20" s="217"/>
      <c r="B20" s="210"/>
      <c r="C20" s="210"/>
      <c r="D20" s="210"/>
      <c r="E20" s="210"/>
      <c r="F20" s="210"/>
      <c r="G20" s="210"/>
      <c r="H20" s="210"/>
      <c r="I20" s="211"/>
    </row>
    <row r="21" spans="1:9" ht="15.75" customHeight="1" x14ac:dyDescent="0.25">
      <c r="A21" s="212"/>
      <c r="B21" s="213"/>
      <c r="C21" s="213"/>
      <c r="D21" s="213"/>
      <c r="E21" s="213"/>
      <c r="F21" s="213"/>
      <c r="G21" s="213"/>
      <c r="H21" s="213"/>
      <c r="I21" s="214"/>
    </row>
    <row r="23" spans="1:9" ht="33" customHeight="1" x14ac:dyDescent="0.25">
      <c r="A23" s="323" t="s">
        <v>274</v>
      </c>
      <c r="B23" s="324"/>
      <c r="C23" s="324"/>
      <c r="D23" s="324"/>
      <c r="E23" s="324"/>
      <c r="F23" s="324"/>
      <c r="G23" s="324"/>
      <c r="H23" s="324"/>
      <c r="I23" s="325"/>
    </row>
    <row r="24" spans="1:9" ht="15.75" customHeight="1" x14ac:dyDescent="0.25">
      <c r="A24" s="206" t="s">
        <v>275</v>
      </c>
      <c r="B24" s="207"/>
      <c r="C24" s="207"/>
      <c r="D24" s="207"/>
      <c r="E24" s="207"/>
      <c r="F24" s="207"/>
      <c r="G24" s="207"/>
      <c r="H24" s="207"/>
      <c r="I24" s="208"/>
    </row>
    <row r="25" spans="1:9" ht="15.75" customHeight="1" x14ac:dyDescent="0.25">
      <c r="A25" s="209"/>
      <c r="B25" s="210"/>
      <c r="C25" s="210"/>
      <c r="D25" s="210"/>
      <c r="E25" s="210"/>
      <c r="F25" s="210"/>
      <c r="G25" s="210"/>
      <c r="H25" s="210"/>
      <c r="I25" s="211"/>
    </row>
    <row r="26" spans="1:9" ht="15.75" customHeight="1" x14ac:dyDescent="0.25">
      <c r="A26" s="209"/>
      <c r="B26" s="210"/>
      <c r="C26" s="210"/>
      <c r="D26" s="210"/>
      <c r="E26" s="210"/>
      <c r="F26" s="210"/>
      <c r="G26" s="210"/>
      <c r="H26" s="210"/>
      <c r="I26" s="211"/>
    </row>
    <row r="27" spans="1:9" ht="15.75" customHeight="1" x14ac:dyDescent="0.25">
      <c r="A27" s="209"/>
      <c r="B27" s="210"/>
      <c r="C27" s="210"/>
      <c r="D27" s="210"/>
      <c r="E27" s="210"/>
      <c r="F27" s="210"/>
      <c r="G27" s="210"/>
      <c r="H27" s="210"/>
      <c r="I27" s="211"/>
    </row>
    <row r="28" spans="1:9" ht="15.75" customHeight="1" x14ac:dyDescent="0.25">
      <c r="A28" s="209"/>
      <c r="B28" s="210"/>
      <c r="C28" s="210"/>
      <c r="D28" s="210"/>
      <c r="E28" s="210"/>
      <c r="F28" s="210"/>
      <c r="G28" s="210"/>
      <c r="H28" s="210"/>
      <c r="I28" s="211"/>
    </row>
    <row r="29" spans="1:9" ht="15.75" customHeight="1" x14ac:dyDescent="0.25">
      <c r="A29" s="212"/>
      <c r="B29" s="213"/>
      <c r="C29" s="213"/>
      <c r="D29" s="213"/>
      <c r="E29" s="213"/>
      <c r="F29" s="213"/>
      <c r="G29" s="213"/>
      <c r="H29" s="213"/>
      <c r="I29" s="214"/>
    </row>
    <row r="47" spans="6:6" x14ac:dyDescent="0.25">
      <c r="F47" s="3"/>
    </row>
  </sheetData>
  <mergeCells count="8">
    <mergeCell ref="A23:I23"/>
    <mergeCell ref="A24:I29"/>
    <mergeCell ref="A5:I5"/>
    <mergeCell ref="A6:I10"/>
    <mergeCell ref="A12:I12"/>
    <mergeCell ref="A13:I16"/>
    <mergeCell ref="A18:I18"/>
    <mergeCell ref="A19:I21"/>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4"/>
  <sheetViews>
    <sheetView workbookViewId="0">
      <selection activeCell="O9" sqref="O9"/>
    </sheetView>
  </sheetViews>
  <sheetFormatPr defaultColWidth="9.109375" defaultRowHeight="15" x14ac:dyDescent="0.25"/>
  <cols>
    <col min="1" max="1" width="9.109375" style="2" customWidth="1"/>
    <col min="2" max="2" width="14.5546875" style="2" bestFit="1" customWidth="1"/>
    <col min="3" max="8" width="9.109375" style="2"/>
    <col min="9" max="9" width="11.5546875" style="2" customWidth="1"/>
    <col min="10" max="16384" width="9.109375" style="2"/>
  </cols>
  <sheetData>
    <row r="1" spans="1:9" x14ac:dyDescent="0.25">
      <c r="A1" s="91" t="str">
        <f>+'Cover Page'!$B$29</f>
        <v>Annual Performance Report 2022</v>
      </c>
      <c r="B1" s="91"/>
      <c r="C1" s="91"/>
      <c r="D1" s="91"/>
      <c r="E1" s="91" t="str">
        <f>+'Cover Page'!$B$33</f>
        <v>Kent Enviropower Limited</v>
      </c>
      <c r="F1" s="91"/>
      <c r="G1" s="91"/>
      <c r="H1" s="91"/>
      <c r="I1" s="91"/>
    </row>
    <row r="3" spans="1:9" ht="15.6" x14ac:dyDescent="0.3">
      <c r="A3" s="1" t="s">
        <v>276</v>
      </c>
      <c r="B3" s="91"/>
      <c r="C3" s="91"/>
      <c r="D3" s="91"/>
      <c r="E3" s="91"/>
      <c r="F3" s="91"/>
      <c r="G3" s="91"/>
      <c r="H3" s="91"/>
      <c r="I3" s="91"/>
    </row>
    <row r="4" spans="1:9" ht="15.6" x14ac:dyDescent="0.3">
      <c r="A4" s="1"/>
      <c r="B4" s="91"/>
      <c r="C4" s="91"/>
      <c r="D4" s="91"/>
      <c r="E4" s="91"/>
      <c r="F4" s="91"/>
      <c r="G4" s="91"/>
      <c r="H4" s="91"/>
      <c r="I4" s="91"/>
    </row>
    <row r="5" spans="1:9" s="3" customFormat="1" ht="28.5" customHeight="1" x14ac:dyDescent="0.25">
      <c r="A5" s="47" t="s">
        <v>277</v>
      </c>
      <c r="B5" s="48"/>
      <c r="C5" s="48"/>
      <c r="D5" s="48"/>
      <c r="E5" s="48"/>
      <c r="F5" s="48"/>
      <c r="G5" s="48"/>
      <c r="H5" s="48"/>
      <c r="I5" s="49"/>
    </row>
    <row r="6" spans="1:9" s="3" customFormat="1" ht="15.75" customHeight="1" x14ac:dyDescent="0.25">
      <c r="A6" s="326" t="s">
        <v>53</v>
      </c>
      <c r="B6" s="328"/>
      <c r="C6" s="326" t="s">
        <v>278</v>
      </c>
      <c r="D6" s="327"/>
      <c r="E6" s="327"/>
      <c r="F6" s="327"/>
      <c r="G6" s="327"/>
      <c r="H6" s="327"/>
      <c r="I6" s="328"/>
    </row>
    <row r="7" spans="1:9" s="3" customFormat="1" ht="33.75" customHeight="1" x14ac:dyDescent="0.25">
      <c r="A7" s="338">
        <v>44593</v>
      </c>
      <c r="B7" s="208"/>
      <c r="C7" s="206" t="s">
        <v>279</v>
      </c>
      <c r="D7" s="207"/>
      <c r="E7" s="207"/>
      <c r="F7" s="207"/>
      <c r="G7" s="207"/>
      <c r="H7" s="207"/>
      <c r="I7" s="208"/>
    </row>
    <row r="8" spans="1:9" s="3" customFormat="1" ht="33.75" customHeight="1" x14ac:dyDescent="0.25">
      <c r="A8" s="212"/>
      <c r="B8" s="214"/>
      <c r="C8" s="209"/>
      <c r="D8" s="210"/>
      <c r="E8" s="210"/>
      <c r="F8" s="210"/>
      <c r="G8" s="210"/>
      <c r="H8" s="210"/>
      <c r="I8" s="211"/>
    </row>
    <row r="9" spans="1:9" s="3" customFormat="1" ht="33.75" customHeight="1" x14ac:dyDescent="0.25">
      <c r="A9" s="338">
        <v>44719</v>
      </c>
      <c r="B9" s="208"/>
      <c r="C9" s="209"/>
      <c r="D9" s="210"/>
      <c r="E9" s="210"/>
      <c r="F9" s="210"/>
      <c r="G9" s="210"/>
      <c r="H9" s="210"/>
      <c r="I9" s="211"/>
    </row>
    <row r="10" spans="1:9" s="3" customFormat="1" ht="33.75" customHeight="1" x14ac:dyDescent="0.25">
      <c r="A10" s="212"/>
      <c r="B10" s="214"/>
      <c r="C10" s="209"/>
      <c r="D10" s="210"/>
      <c r="E10" s="210"/>
      <c r="F10" s="210"/>
      <c r="G10" s="210"/>
      <c r="H10" s="210"/>
      <c r="I10" s="211"/>
    </row>
    <row r="11" spans="1:9" s="3" customFormat="1" ht="33.75" customHeight="1" x14ac:dyDescent="0.25">
      <c r="A11" s="338">
        <v>44851</v>
      </c>
      <c r="B11" s="208"/>
      <c r="C11" s="209"/>
      <c r="D11" s="210"/>
      <c r="E11" s="210"/>
      <c r="F11" s="210"/>
      <c r="G11" s="210"/>
      <c r="H11" s="210"/>
      <c r="I11" s="211"/>
    </row>
    <row r="12" spans="1:9" s="3" customFormat="1" ht="33.75" customHeight="1" x14ac:dyDescent="0.25">
      <c r="A12" s="212"/>
      <c r="B12" s="214"/>
      <c r="C12" s="212"/>
      <c r="D12" s="213"/>
      <c r="E12" s="213"/>
      <c r="F12" s="213"/>
      <c r="G12" s="213"/>
      <c r="H12" s="213"/>
      <c r="I12" s="214"/>
    </row>
    <row r="13" spans="1:9" s="3" customFormat="1" ht="13.8" x14ac:dyDescent="0.25"/>
    <row r="14" spans="1:9" s="46" customFormat="1" ht="33.75" customHeight="1" x14ac:dyDescent="0.3">
      <c r="A14" s="323" t="s">
        <v>280</v>
      </c>
      <c r="B14" s="324"/>
      <c r="C14" s="324"/>
      <c r="D14" s="324"/>
      <c r="E14" s="324"/>
      <c r="F14" s="324"/>
      <c r="G14" s="324"/>
      <c r="H14" s="324"/>
      <c r="I14" s="325"/>
    </row>
    <row r="15" spans="1:9" ht="15.75" customHeight="1" x14ac:dyDescent="0.25">
      <c r="A15" s="326" t="s">
        <v>53</v>
      </c>
      <c r="B15" s="328"/>
      <c r="C15" s="326" t="s">
        <v>278</v>
      </c>
      <c r="D15" s="327"/>
      <c r="E15" s="327"/>
      <c r="F15" s="327"/>
      <c r="G15" s="327"/>
      <c r="H15" s="327"/>
      <c r="I15" s="327"/>
    </row>
    <row r="16" spans="1:9" ht="15.75" customHeight="1" x14ac:dyDescent="0.25">
      <c r="A16" s="340" t="s">
        <v>281</v>
      </c>
      <c r="B16" s="341"/>
      <c r="C16" s="206" t="s">
        <v>282</v>
      </c>
      <c r="D16" s="215"/>
      <c r="E16" s="215"/>
      <c r="F16" s="215"/>
      <c r="G16" s="215"/>
      <c r="H16" s="215"/>
      <c r="I16" s="216"/>
    </row>
    <row r="17" spans="1:9" ht="15.75" customHeight="1" x14ac:dyDescent="0.25">
      <c r="A17" s="342"/>
      <c r="B17" s="343"/>
      <c r="C17" s="217"/>
      <c r="D17" s="218"/>
      <c r="E17" s="218"/>
      <c r="F17" s="218"/>
      <c r="G17" s="218"/>
      <c r="H17" s="218"/>
      <c r="I17" s="219"/>
    </row>
    <row r="18" spans="1:9" ht="15.75" customHeight="1" x14ac:dyDescent="0.25">
      <c r="A18" s="340" t="s">
        <v>283</v>
      </c>
      <c r="B18" s="341"/>
      <c r="C18" s="217"/>
      <c r="D18" s="218"/>
      <c r="E18" s="218"/>
      <c r="F18" s="218"/>
      <c r="G18" s="218"/>
      <c r="H18" s="218"/>
      <c r="I18" s="219"/>
    </row>
    <row r="19" spans="1:9" ht="15.75" customHeight="1" x14ac:dyDescent="0.25">
      <c r="A19" s="342"/>
      <c r="B19" s="343"/>
      <c r="C19" s="217"/>
      <c r="D19" s="218"/>
      <c r="E19" s="218"/>
      <c r="F19" s="218"/>
      <c r="G19" s="218"/>
      <c r="H19" s="218"/>
      <c r="I19" s="219"/>
    </row>
    <row r="20" spans="1:9" ht="15.75" customHeight="1" x14ac:dyDescent="0.25">
      <c r="A20" s="340" t="s">
        <v>284</v>
      </c>
      <c r="B20" s="341"/>
      <c r="C20" s="217"/>
      <c r="D20" s="218"/>
      <c r="E20" s="218"/>
      <c r="F20" s="218"/>
      <c r="G20" s="218"/>
      <c r="H20" s="218"/>
      <c r="I20" s="219"/>
    </row>
    <row r="21" spans="1:9" ht="15.75" customHeight="1" x14ac:dyDescent="0.25">
      <c r="A21" s="342"/>
      <c r="B21" s="343"/>
      <c r="C21" s="231"/>
      <c r="D21" s="232"/>
      <c r="E21" s="232"/>
      <c r="F21" s="232"/>
      <c r="G21" s="232"/>
      <c r="H21" s="232"/>
      <c r="I21" s="233"/>
    </row>
    <row r="22" spans="1:9" ht="15.75" customHeight="1" x14ac:dyDescent="0.25">
      <c r="A22" s="339"/>
      <c r="B22" s="208"/>
      <c r="C22" s="339"/>
      <c r="D22" s="207"/>
      <c r="E22" s="207"/>
      <c r="F22" s="207"/>
      <c r="G22" s="207"/>
      <c r="H22" s="207"/>
      <c r="I22" s="208"/>
    </row>
    <row r="23" spans="1:9" ht="15.75" customHeight="1" x14ac:dyDescent="0.25">
      <c r="A23" s="212"/>
      <c r="B23" s="214"/>
      <c r="C23" s="212"/>
      <c r="D23" s="213"/>
      <c r="E23" s="213"/>
      <c r="F23" s="213"/>
      <c r="G23" s="213"/>
      <c r="H23" s="213"/>
      <c r="I23" s="214"/>
    </row>
    <row r="24" spans="1:9" ht="15.75" customHeight="1" x14ac:dyDescent="0.25">
      <c r="A24" s="339"/>
      <c r="B24" s="208"/>
      <c r="C24" s="339"/>
      <c r="D24" s="207"/>
      <c r="E24" s="207"/>
      <c r="F24" s="207"/>
      <c r="G24" s="207"/>
      <c r="H24" s="207"/>
      <c r="I24" s="208"/>
    </row>
    <row r="25" spans="1:9" ht="15.75" customHeight="1" x14ac:dyDescent="0.25">
      <c r="A25" s="212"/>
      <c r="B25" s="214"/>
      <c r="C25" s="212"/>
      <c r="D25" s="213"/>
      <c r="E25" s="213"/>
      <c r="F25" s="213"/>
      <c r="G25" s="213"/>
      <c r="H25" s="213"/>
      <c r="I25" s="214"/>
    </row>
    <row r="26" spans="1:9" ht="15.6" x14ac:dyDescent="0.3">
      <c r="A26" s="1"/>
      <c r="B26" s="91"/>
      <c r="C26" s="91"/>
      <c r="D26" s="91"/>
      <c r="E26" s="91"/>
      <c r="F26" s="91"/>
      <c r="G26" s="91"/>
      <c r="H26" s="91"/>
      <c r="I26" s="91"/>
    </row>
    <row r="27" spans="1:9" ht="36.75" customHeight="1" x14ac:dyDescent="0.25">
      <c r="A27" s="323" t="s">
        <v>285</v>
      </c>
      <c r="B27" s="324"/>
      <c r="C27" s="324"/>
      <c r="D27" s="324"/>
      <c r="E27" s="324"/>
      <c r="F27" s="324"/>
      <c r="G27" s="324"/>
      <c r="H27" s="324"/>
      <c r="I27" s="325"/>
    </row>
    <row r="64" spans="6:6" x14ac:dyDescent="0.25">
      <c r="F64" s="3"/>
    </row>
  </sheetData>
  <mergeCells count="18">
    <mergeCell ref="A24:B25"/>
    <mergeCell ref="C24:I25"/>
    <mergeCell ref="A27:I27"/>
    <mergeCell ref="A16:B17"/>
    <mergeCell ref="A18:B19"/>
    <mergeCell ref="A20:B21"/>
    <mergeCell ref="C16:I21"/>
    <mergeCell ref="A22:B23"/>
    <mergeCell ref="C22:I23"/>
    <mergeCell ref="A15:B15"/>
    <mergeCell ref="C15:I15"/>
    <mergeCell ref="A6:B6"/>
    <mergeCell ref="C6:I6"/>
    <mergeCell ref="A7:B8"/>
    <mergeCell ref="A9:B10"/>
    <mergeCell ref="A11:B12"/>
    <mergeCell ref="A14:I14"/>
    <mergeCell ref="C7:I12"/>
  </mergeCells>
  <phoneticPr fontId="25" type="noConversion"/>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4"/>
  <sheetViews>
    <sheetView topLeftCell="A15" zoomScaleNormal="100" workbookViewId="0">
      <selection activeCell="E20" sqref="E20:O20"/>
    </sheetView>
  </sheetViews>
  <sheetFormatPr defaultColWidth="8.88671875" defaultRowHeight="15" x14ac:dyDescent="0.25"/>
  <cols>
    <col min="1" max="1" width="36.88671875" style="91" customWidth="1"/>
    <col min="2" max="2" width="17.88671875" style="91" customWidth="1"/>
    <col min="3" max="3" width="37.109375" style="91" customWidth="1"/>
    <col min="4" max="14" width="8.88671875" style="91"/>
    <col min="15" max="15" width="9" style="91" customWidth="1"/>
    <col min="16" max="16384" width="8.88671875" style="91"/>
  </cols>
  <sheetData>
    <row r="1" spans="1:15" x14ac:dyDescent="0.25">
      <c r="A1" s="91" t="str">
        <f>+'Cover Page'!$B$29</f>
        <v>Annual Performance Report 2022</v>
      </c>
      <c r="C1" s="91" t="str">
        <f>+'Cover Page'!$B$33</f>
        <v>Kent Enviropower Limited</v>
      </c>
    </row>
    <row r="2" spans="1:15" ht="10.35" customHeight="1" x14ac:dyDescent="0.25"/>
    <row r="3" spans="1:15" ht="15.6" x14ac:dyDescent="0.3">
      <c r="A3" s="1" t="s">
        <v>286</v>
      </c>
      <c r="E3" s="80" t="s">
        <v>3</v>
      </c>
    </row>
    <row r="4" spans="1:15" ht="9.6" customHeight="1" x14ac:dyDescent="0.25"/>
    <row r="5" spans="1:15" x14ac:dyDescent="0.25">
      <c r="A5" s="349" t="s">
        <v>287</v>
      </c>
      <c r="B5" s="350"/>
      <c r="C5" s="350"/>
    </row>
    <row r="6" spans="1:15" ht="30" x14ac:dyDescent="0.25">
      <c r="A6" s="92" t="s">
        <v>288</v>
      </c>
      <c r="B6" s="96" t="s">
        <v>289</v>
      </c>
      <c r="C6" s="95">
        <v>509512</v>
      </c>
    </row>
    <row r="7" spans="1:15" ht="30" x14ac:dyDescent="0.25">
      <c r="A7" s="92" t="s">
        <v>290</v>
      </c>
      <c r="B7" s="96" t="s">
        <v>289</v>
      </c>
      <c r="C7" s="95">
        <v>1.1000000000000001</v>
      </c>
    </row>
    <row r="8" spans="1:15" ht="45" x14ac:dyDescent="0.25">
      <c r="A8" s="92" t="s">
        <v>291</v>
      </c>
      <c r="B8" s="96" t="s">
        <v>289</v>
      </c>
      <c r="C8" s="95">
        <v>2.44</v>
      </c>
    </row>
    <row r="9" spans="1:15" ht="89.4" customHeight="1" x14ac:dyDescent="0.3">
      <c r="A9" s="92" t="s">
        <v>292</v>
      </c>
      <c r="B9" s="351" t="s">
        <v>293</v>
      </c>
      <c r="C9" s="352"/>
      <c r="E9" s="345" t="s">
        <v>294</v>
      </c>
      <c r="F9" s="344"/>
      <c r="G9" s="344"/>
      <c r="H9" s="344"/>
      <c r="I9" s="344"/>
      <c r="J9" s="344"/>
      <c r="K9" s="344"/>
      <c r="L9" s="344"/>
      <c r="M9" s="344"/>
      <c r="N9" s="344"/>
      <c r="O9" s="344"/>
    </row>
    <row r="10" spans="1:15" ht="8.85" customHeight="1" x14ac:dyDescent="0.25">
      <c r="A10" s="93"/>
      <c r="B10" s="94"/>
      <c r="C10" s="94"/>
    </row>
    <row r="11" spans="1:15" x14ac:dyDescent="0.25">
      <c r="A11" s="353" t="s">
        <v>295</v>
      </c>
      <c r="B11" s="350"/>
      <c r="C11" s="350"/>
    </row>
    <row r="12" spans="1:15" ht="33.6" customHeight="1" x14ac:dyDescent="0.25">
      <c r="A12" s="92" t="s">
        <v>296</v>
      </c>
      <c r="B12" s="96" t="s">
        <v>289</v>
      </c>
      <c r="C12" s="95">
        <v>6.9409999999999998</v>
      </c>
    </row>
    <row r="13" spans="1:15" ht="101.4" customHeight="1" x14ac:dyDescent="0.3">
      <c r="A13" s="92" t="s">
        <v>297</v>
      </c>
      <c r="B13" s="346" t="s">
        <v>298</v>
      </c>
      <c r="C13" s="347"/>
      <c r="E13" s="220" t="s">
        <v>299</v>
      </c>
      <c r="F13" s="344"/>
      <c r="G13" s="344"/>
      <c r="H13" s="344"/>
      <c r="I13" s="344"/>
      <c r="J13" s="344"/>
      <c r="K13" s="344"/>
      <c r="L13" s="344"/>
      <c r="M13" s="344"/>
      <c r="N13" s="344"/>
      <c r="O13" s="344"/>
    </row>
    <row r="14" spans="1:15" ht="66.900000000000006" customHeight="1" x14ac:dyDescent="0.25">
      <c r="A14" s="92" t="s">
        <v>300</v>
      </c>
      <c r="B14" s="97" t="s">
        <v>301</v>
      </c>
      <c r="C14" s="110">
        <v>2068</v>
      </c>
    </row>
    <row r="15" spans="1:15" ht="6.6" customHeight="1" x14ac:dyDescent="0.25">
      <c r="A15" s="93"/>
      <c r="B15" s="94"/>
      <c r="C15" s="94"/>
    </row>
    <row r="16" spans="1:15" ht="39" customHeight="1" x14ac:dyDescent="0.25">
      <c r="A16" s="349" t="s">
        <v>302</v>
      </c>
      <c r="B16" s="350"/>
      <c r="C16" s="350"/>
    </row>
    <row r="17" spans="1:15" ht="49.35" customHeight="1" x14ac:dyDescent="0.25">
      <c r="A17" s="92" t="s">
        <v>303</v>
      </c>
      <c r="B17" s="96" t="s">
        <v>304</v>
      </c>
      <c r="C17" s="95">
        <v>51.47</v>
      </c>
    </row>
    <row r="18" spans="1:15" ht="103.35" customHeight="1" x14ac:dyDescent="0.3">
      <c r="A18" s="92" t="s">
        <v>305</v>
      </c>
      <c r="B18" s="346" t="s">
        <v>306</v>
      </c>
      <c r="C18" s="347"/>
      <c r="E18" s="220" t="s">
        <v>307</v>
      </c>
      <c r="F18" s="344"/>
      <c r="G18" s="344"/>
      <c r="H18" s="344"/>
      <c r="I18" s="344"/>
      <c r="J18" s="344"/>
      <c r="K18" s="344"/>
      <c r="L18" s="344"/>
      <c r="M18" s="344"/>
      <c r="N18" s="344"/>
      <c r="O18" s="344"/>
    </row>
    <row r="19" spans="1:15" ht="34.35" customHeight="1" x14ac:dyDescent="0.25">
      <c r="A19" s="92" t="s">
        <v>308</v>
      </c>
      <c r="B19" s="96" t="s">
        <v>304</v>
      </c>
      <c r="C19" s="95">
        <v>51.47</v>
      </c>
      <c r="F19" s="91" t="s">
        <v>494</v>
      </c>
    </row>
    <row r="20" spans="1:15" ht="92.4" customHeight="1" x14ac:dyDescent="0.3">
      <c r="A20" s="92" t="s">
        <v>309</v>
      </c>
      <c r="B20" s="346" t="s">
        <v>310</v>
      </c>
      <c r="C20" s="347"/>
      <c r="E20" s="220" t="s">
        <v>311</v>
      </c>
      <c r="F20" s="344"/>
      <c r="G20" s="344"/>
      <c r="H20" s="344"/>
      <c r="I20" s="344"/>
      <c r="J20" s="344"/>
      <c r="K20" s="344"/>
      <c r="L20" s="344"/>
      <c r="M20" s="344"/>
      <c r="N20" s="344"/>
      <c r="O20" s="344"/>
    </row>
    <row r="21" spans="1:15" ht="10.35" customHeight="1" x14ac:dyDescent="0.25"/>
    <row r="22" spans="1:15" x14ac:dyDescent="0.25">
      <c r="A22" s="91" t="s">
        <v>312</v>
      </c>
    </row>
    <row r="23" spans="1:15" x14ac:dyDescent="0.25">
      <c r="A23" s="348" t="s">
        <v>313</v>
      </c>
      <c r="B23" s="348"/>
      <c r="C23" s="348"/>
    </row>
    <row r="24" spans="1:15" ht="65.099999999999994" customHeight="1" x14ac:dyDescent="0.25">
      <c r="A24" s="348"/>
      <c r="B24" s="348"/>
      <c r="C24" s="348"/>
    </row>
  </sheetData>
  <mergeCells count="12">
    <mergeCell ref="A23:C24"/>
    <mergeCell ref="A5:C5"/>
    <mergeCell ref="B9:C9"/>
    <mergeCell ref="A11:C11"/>
    <mergeCell ref="B13:C13"/>
    <mergeCell ref="A16:C16"/>
    <mergeCell ref="B18:C18"/>
    <mergeCell ref="E20:O20"/>
    <mergeCell ref="E18:O18"/>
    <mergeCell ref="E13:O13"/>
    <mergeCell ref="E9:O9"/>
    <mergeCell ref="B20:C2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327660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2"/>
  <sheetViews>
    <sheetView topLeftCell="A10" workbookViewId="0">
      <selection activeCell="K33" sqref="K33"/>
    </sheetView>
  </sheetViews>
  <sheetFormatPr defaultColWidth="9.109375" defaultRowHeight="15" x14ac:dyDescent="0.25"/>
  <cols>
    <col min="1" max="1" width="9.109375" style="2" customWidth="1"/>
    <col min="2" max="2" width="14.5546875" style="2" bestFit="1" customWidth="1"/>
    <col min="3" max="3" width="9.109375" style="2"/>
    <col min="4" max="4" width="17.5546875" style="2" customWidth="1"/>
    <col min="5" max="5" width="9.109375" style="2" customWidth="1"/>
    <col min="6" max="6" width="21.5546875" style="2" customWidth="1"/>
    <col min="7" max="7" width="10.44140625" style="2" customWidth="1"/>
    <col min="8" max="16384" width="9.109375" style="2"/>
  </cols>
  <sheetData>
    <row r="1" spans="1:7" x14ac:dyDescent="0.25">
      <c r="A1" s="91" t="str">
        <f>+'Cover Page'!$B$29</f>
        <v>Annual Performance Report 2022</v>
      </c>
      <c r="B1" s="91"/>
      <c r="C1" s="91"/>
      <c r="D1" s="91"/>
      <c r="E1" s="91" t="str">
        <f>+'Cover Page'!$B$33</f>
        <v>Kent Enviropower Limited</v>
      </c>
      <c r="F1" s="91"/>
      <c r="G1" s="91"/>
    </row>
    <row r="3" spans="1:7" ht="15.6" x14ac:dyDescent="0.3">
      <c r="A3" s="1" t="s">
        <v>314</v>
      </c>
      <c r="B3" s="91"/>
      <c r="C3" s="91"/>
      <c r="D3" s="91"/>
      <c r="E3" s="91"/>
      <c r="F3" s="91"/>
      <c r="G3" s="91"/>
    </row>
    <row r="4" spans="1:7" ht="15.6" x14ac:dyDescent="0.3">
      <c r="A4" s="1"/>
      <c r="B4" s="91"/>
      <c r="C4" s="91"/>
      <c r="D4" s="91"/>
      <c r="E4" s="91"/>
      <c r="F4" s="91"/>
      <c r="G4" s="91"/>
    </row>
    <row r="5" spans="1:7" s="3" customFormat="1" ht="21.75" customHeight="1" x14ac:dyDescent="0.25">
      <c r="A5" s="47" t="s">
        <v>315</v>
      </c>
      <c r="B5" s="48"/>
      <c r="C5" s="48"/>
      <c r="D5" s="48"/>
      <c r="E5" s="48"/>
      <c r="F5" s="48"/>
      <c r="G5" s="49"/>
    </row>
    <row r="6" spans="1:7" s="3" customFormat="1" ht="58.5" customHeight="1" x14ac:dyDescent="0.25">
      <c r="A6" s="206" t="s">
        <v>316</v>
      </c>
      <c r="B6" s="207"/>
      <c r="C6" s="207"/>
      <c r="D6" s="207"/>
      <c r="E6" s="207"/>
      <c r="F6" s="207"/>
      <c r="G6" s="208"/>
    </row>
    <row r="7" spans="1:7" s="3" customFormat="1" ht="58.5" customHeight="1" x14ac:dyDescent="0.25">
      <c r="A7" s="212"/>
      <c r="B7" s="213"/>
      <c r="C7" s="213"/>
      <c r="D7" s="213"/>
      <c r="E7" s="213"/>
      <c r="F7" s="213"/>
      <c r="G7" s="214"/>
    </row>
    <row r="8" spans="1:7" s="3" customFormat="1" ht="13.8" x14ac:dyDescent="0.25"/>
    <row r="9" spans="1:7" s="46" customFormat="1" ht="33.75" customHeight="1" x14ac:dyDescent="0.3">
      <c r="A9" s="323" t="s">
        <v>317</v>
      </c>
      <c r="B9" s="324"/>
      <c r="C9" s="324"/>
      <c r="D9" s="324"/>
      <c r="E9" s="324"/>
      <c r="F9" s="324"/>
      <c r="G9" s="325"/>
    </row>
    <row r="10" spans="1:7" ht="15.75" customHeight="1" x14ac:dyDescent="0.25">
      <c r="A10" s="326" t="s">
        <v>318</v>
      </c>
      <c r="B10" s="328"/>
      <c r="C10" s="326" t="s">
        <v>278</v>
      </c>
      <c r="D10" s="327"/>
      <c r="E10" s="327"/>
      <c r="F10" s="327"/>
      <c r="G10" s="327"/>
    </row>
    <row r="11" spans="1:7" ht="15.75" customHeight="1" x14ac:dyDescent="0.25">
      <c r="A11" s="206" t="s">
        <v>319</v>
      </c>
      <c r="B11" s="216"/>
      <c r="C11" s="339" t="s">
        <v>319</v>
      </c>
      <c r="D11" s="207"/>
      <c r="E11" s="207"/>
      <c r="F11" s="207"/>
      <c r="G11" s="208"/>
    </row>
    <row r="12" spans="1:7" ht="15.75" customHeight="1" x14ac:dyDescent="0.25">
      <c r="A12" s="231"/>
      <c r="B12" s="233"/>
      <c r="C12" s="212"/>
      <c r="D12" s="213"/>
      <c r="E12" s="213"/>
      <c r="F12" s="213"/>
      <c r="G12" s="214"/>
    </row>
    <row r="13" spans="1:7" ht="15.75" customHeight="1" x14ac:dyDescent="0.25">
      <c r="A13" s="339"/>
      <c r="B13" s="208"/>
      <c r="C13" s="339"/>
      <c r="D13" s="207"/>
      <c r="E13" s="207"/>
      <c r="F13" s="207"/>
      <c r="G13" s="208"/>
    </row>
    <row r="14" spans="1:7" ht="15.75" customHeight="1" x14ac:dyDescent="0.25">
      <c r="A14" s="212"/>
      <c r="B14" s="214"/>
      <c r="C14" s="212"/>
      <c r="D14" s="213"/>
      <c r="E14" s="213"/>
      <c r="F14" s="213"/>
      <c r="G14" s="214"/>
    </row>
    <row r="15" spans="1:7" ht="15.75" customHeight="1" x14ac:dyDescent="0.25">
      <c r="A15" s="339"/>
      <c r="B15" s="208"/>
      <c r="C15" s="339"/>
      <c r="D15" s="207"/>
      <c r="E15" s="207"/>
      <c r="F15" s="207"/>
      <c r="G15" s="208"/>
    </row>
    <row r="16" spans="1:7" ht="15.75" customHeight="1" x14ac:dyDescent="0.25">
      <c r="A16" s="212"/>
      <c r="B16" s="214"/>
      <c r="C16" s="212"/>
      <c r="D16" s="213"/>
      <c r="E16" s="213"/>
      <c r="F16" s="213"/>
      <c r="G16" s="214"/>
    </row>
    <row r="17" spans="1:11" ht="15.75" customHeight="1" x14ac:dyDescent="0.25">
      <c r="A17" s="339"/>
      <c r="B17" s="208"/>
      <c r="C17" s="339"/>
      <c r="D17" s="207"/>
      <c r="E17" s="207"/>
      <c r="F17" s="207"/>
      <c r="G17" s="208"/>
      <c r="H17" s="91"/>
      <c r="I17" s="91"/>
      <c r="J17" s="91"/>
      <c r="K17" s="91"/>
    </row>
    <row r="18" spans="1:11" ht="15.75" customHeight="1" x14ac:dyDescent="0.25">
      <c r="A18" s="212"/>
      <c r="B18" s="214"/>
      <c r="C18" s="212"/>
      <c r="D18" s="213"/>
      <c r="E18" s="213"/>
      <c r="F18" s="213"/>
      <c r="G18" s="214"/>
      <c r="H18" s="91"/>
      <c r="I18" s="91"/>
      <c r="J18" s="91"/>
      <c r="K18" s="91"/>
    </row>
    <row r="19" spans="1:11" ht="15.75" customHeight="1" x14ac:dyDescent="0.25">
      <c r="A19" s="339"/>
      <c r="B19" s="208"/>
      <c r="C19" s="339"/>
      <c r="D19" s="207"/>
      <c r="E19" s="207"/>
      <c r="F19" s="207"/>
      <c r="G19" s="208"/>
      <c r="H19" s="91"/>
      <c r="I19" s="91"/>
      <c r="J19" s="91"/>
      <c r="K19" s="91"/>
    </row>
    <row r="20" spans="1:11" ht="15.75" customHeight="1" x14ac:dyDescent="0.25">
      <c r="A20" s="212"/>
      <c r="B20" s="214"/>
      <c r="C20" s="212"/>
      <c r="D20" s="213"/>
      <c r="E20" s="213"/>
      <c r="F20" s="213"/>
      <c r="G20" s="214"/>
      <c r="H20" s="91"/>
      <c r="I20" s="91"/>
      <c r="J20" s="91"/>
      <c r="K20" s="91"/>
    </row>
    <row r="22" spans="1:11" x14ac:dyDescent="0.25">
      <c r="A22" s="127"/>
      <c r="B22" s="127"/>
      <c r="C22" s="127"/>
      <c r="D22" s="127"/>
      <c r="E22" s="127"/>
      <c r="F22" s="127"/>
      <c r="G22" s="127"/>
      <c r="H22" s="91"/>
      <c r="I22" s="91"/>
      <c r="J22" s="91"/>
      <c r="K22" s="91"/>
    </row>
    <row r="23" spans="1:11" s="55" customFormat="1" ht="16.5" customHeight="1" x14ac:dyDescent="0.25">
      <c r="A23" s="354" t="s">
        <v>320</v>
      </c>
      <c r="B23" s="354"/>
      <c r="C23" s="354"/>
      <c r="D23" s="354"/>
      <c r="E23" s="354"/>
      <c r="F23" s="354"/>
      <c r="G23" s="354"/>
    </row>
    <row r="24" spans="1:11" s="12" customFormat="1" ht="17.25" customHeight="1" x14ac:dyDescent="0.25">
      <c r="A24" s="357" t="s">
        <v>321</v>
      </c>
      <c r="B24" s="357"/>
      <c r="C24" s="301" t="s">
        <v>322</v>
      </c>
      <c r="D24" s="301" t="s">
        <v>323</v>
      </c>
      <c r="E24" s="301"/>
      <c r="F24" s="301"/>
      <c r="G24" s="301"/>
      <c r="H24" s="127"/>
      <c r="I24" s="127"/>
      <c r="J24" s="127"/>
      <c r="K24" s="127"/>
    </row>
    <row r="25" spans="1:11" s="12" customFormat="1" ht="17.25" customHeight="1" x14ac:dyDescent="0.25">
      <c r="A25" s="357"/>
      <c r="B25" s="357"/>
      <c r="C25" s="301"/>
      <c r="D25" s="301" t="s">
        <v>324</v>
      </c>
      <c r="E25" s="301"/>
      <c r="F25" s="301" t="s">
        <v>325</v>
      </c>
      <c r="G25" s="301"/>
      <c r="H25" s="127"/>
      <c r="I25" s="127"/>
      <c r="J25" s="127"/>
      <c r="K25" s="127"/>
    </row>
    <row r="26" spans="1:11" s="36" customFormat="1" ht="38.1" customHeight="1" x14ac:dyDescent="0.25">
      <c r="A26" s="234" t="s">
        <v>326</v>
      </c>
      <c r="B26" s="234"/>
      <c r="C26" s="112" t="s">
        <v>327</v>
      </c>
      <c r="D26" s="282" t="s">
        <v>328</v>
      </c>
      <c r="E26" s="282"/>
      <c r="F26" s="358"/>
      <c r="G26" s="359"/>
      <c r="H26" s="170"/>
      <c r="I26" s="170"/>
      <c r="J26" s="127"/>
      <c r="K26" s="127"/>
    </row>
    <row r="27" spans="1:11" s="36" customFormat="1" ht="38.1" customHeight="1" x14ac:dyDescent="0.25">
      <c r="A27" s="234" t="s">
        <v>329</v>
      </c>
      <c r="B27" s="234"/>
      <c r="C27" s="107" t="s">
        <v>330</v>
      </c>
      <c r="D27" s="282">
        <v>1.1200000000000001</v>
      </c>
      <c r="E27" s="282"/>
      <c r="F27" s="358"/>
      <c r="G27" s="359"/>
      <c r="H27" s="170"/>
      <c r="I27" s="170"/>
      <c r="J27" s="127"/>
      <c r="K27" s="127"/>
    </row>
    <row r="28" spans="1:11" s="36" customFormat="1" ht="38.1" customHeight="1" x14ac:dyDescent="0.25">
      <c r="A28" s="234" t="s">
        <v>331</v>
      </c>
      <c r="B28" s="234"/>
      <c r="C28" s="107" t="s">
        <v>332</v>
      </c>
      <c r="D28" s="282" t="s">
        <v>333</v>
      </c>
      <c r="E28" s="282"/>
      <c r="F28" s="360">
        <v>4</v>
      </c>
      <c r="G28" s="361"/>
      <c r="H28" s="170"/>
      <c r="I28" s="170"/>
      <c r="J28" s="127"/>
      <c r="K28" s="127"/>
    </row>
    <row r="29" spans="1:11" s="36" customFormat="1" ht="38.1" customHeight="1" x14ac:dyDescent="0.3">
      <c r="A29" s="234" t="s">
        <v>334</v>
      </c>
      <c r="B29" s="234"/>
      <c r="C29" s="107" t="s">
        <v>332</v>
      </c>
      <c r="D29" s="282">
        <v>0</v>
      </c>
      <c r="E29" s="282"/>
      <c r="F29" s="358"/>
      <c r="G29" s="359"/>
      <c r="H29" s="170"/>
      <c r="I29" s="170"/>
      <c r="J29" s="170"/>
      <c r="K29" s="170"/>
    </row>
    <row r="31" spans="1:11" x14ac:dyDescent="0.25">
      <c r="A31" s="261" t="s">
        <v>335</v>
      </c>
      <c r="B31" s="261"/>
      <c r="C31" s="261"/>
      <c r="D31" s="261"/>
      <c r="E31" s="261"/>
      <c r="F31" s="261"/>
      <c r="G31" s="261"/>
      <c r="H31" s="91"/>
      <c r="I31" s="91"/>
      <c r="J31" s="91"/>
      <c r="K31" s="91"/>
    </row>
    <row r="32" spans="1:11" x14ac:dyDescent="0.25">
      <c r="A32" s="355" t="s">
        <v>336</v>
      </c>
      <c r="B32" s="356"/>
      <c r="C32" s="356"/>
      <c r="D32" s="356"/>
      <c r="E32" s="356"/>
      <c r="F32" s="356"/>
      <c r="G32" s="356"/>
      <c r="H32" s="91"/>
      <c r="I32" s="91"/>
      <c r="J32" s="91"/>
      <c r="K32" s="91"/>
    </row>
    <row r="33" spans="1:7" x14ac:dyDescent="0.25">
      <c r="A33" s="356"/>
      <c r="B33" s="356"/>
      <c r="C33" s="356"/>
      <c r="D33" s="356"/>
      <c r="E33" s="356"/>
      <c r="F33" s="356"/>
      <c r="G33" s="356"/>
    </row>
    <row r="34" spans="1:7" x14ac:dyDescent="0.25">
      <c r="A34" s="356"/>
      <c r="B34" s="356"/>
      <c r="C34" s="356"/>
      <c r="D34" s="356"/>
      <c r="E34" s="356"/>
      <c r="F34" s="356"/>
      <c r="G34" s="356"/>
    </row>
    <row r="35" spans="1:7" x14ac:dyDescent="0.25">
      <c r="A35" s="356"/>
      <c r="B35" s="356"/>
      <c r="C35" s="356"/>
      <c r="D35" s="356"/>
      <c r="E35" s="356"/>
      <c r="F35" s="356"/>
      <c r="G35" s="356"/>
    </row>
    <row r="36" spans="1:7" x14ac:dyDescent="0.25">
      <c r="A36" s="356"/>
      <c r="B36" s="356"/>
      <c r="C36" s="356"/>
      <c r="D36" s="356"/>
      <c r="E36" s="356"/>
      <c r="F36" s="356"/>
      <c r="G36" s="356"/>
    </row>
    <row r="37" spans="1:7" x14ac:dyDescent="0.25">
      <c r="A37" s="356"/>
      <c r="B37" s="356"/>
      <c r="C37" s="356"/>
      <c r="D37" s="356"/>
      <c r="E37" s="356"/>
      <c r="F37" s="356"/>
      <c r="G37" s="356"/>
    </row>
    <row r="52" spans="6:6" x14ac:dyDescent="0.25">
      <c r="F52" s="3"/>
    </row>
  </sheetData>
  <mergeCells count="34">
    <mergeCell ref="A32:G37"/>
    <mergeCell ref="D29:E29"/>
    <mergeCell ref="A31:G31"/>
    <mergeCell ref="A24:B25"/>
    <mergeCell ref="A26:B26"/>
    <mergeCell ref="A27:B27"/>
    <mergeCell ref="A28:B28"/>
    <mergeCell ref="A29:B29"/>
    <mergeCell ref="D26:E26"/>
    <mergeCell ref="D27:E27"/>
    <mergeCell ref="F26:G26"/>
    <mergeCell ref="F27:G27"/>
    <mergeCell ref="F28:G28"/>
    <mergeCell ref="F29:G29"/>
    <mergeCell ref="A19:B20"/>
    <mergeCell ref="C19:G20"/>
    <mergeCell ref="D28:E28"/>
    <mergeCell ref="C24:C25"/>
    <mergeCell ref="D25:E25"/>
    <mergeCell ref="F25:G25"/>
    <mergeCell ref="D24:G24"/>
    <mergeCell ref="A23:G23"/>
    <mergeCell ref="A6:G7"/>
    <mergeCell ref="A11:B12"/>
    <mergeCell ref="C11:G12"/>
    <mergeCell ref="A17:B18"/>
    <mergeCell ref="C17:G18"/>
    <mergeCell ref="A13:B14"/>
    <mergeCell ref="C13:G14"/>
    <mergeCell ref="A15:B16"/>
    <mergeCell ref="C15:G16"/>
    <mergeCell ref="A9:G9"/>
    <mergeCell ref="A10:B10"/>
    <mergeCell ref="C10:G10"/>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topLeftCell="A4" workbookViewId="0">
      <selection activeCell="A6" sqref="A6:I7"/>
    </sheetView>
  </sheetViews>
  <sheetFormatPr defaultColWidth="9.109375" defaultRowHeight="15" x14ac:dyDescent="0.25"/>
  <cols>
    <col min="1" max="1" width="9.109375" style="2" customWidth="1"/>
    <col min="2" max="2" width="14.5546875" style="2" bestFit="1" customWidth="1"/>
    <col min="3" max="8" width="9.109375" style="2"/>
    <col min="9" max="9" width="11.5546875" style="2" customWidth="1"/>
    <col min="10" max="16384" width="9.109375" style="2"/>
  </cols>
  <sheetData>
    <row r="1" spans="1:9" x14ac:dyDescent="0.25">
      <c r="A1" s="91" t="str">
        <f>+'Cover Page'!$B$29</f>
        <v>Annual Performance Report 2022</v>
      </c>
      <c r="B1" s="91"/>
      <c r="C1" s="91"/>
      <c r="D1" s="91"/>
      <c r="E1" s="91" t="str">
        <f>+'Cover Page'!$B$33</f>
        <v>Kent Enviropower Limited</v>
      </c>
      <c r="F1" s="91"/>
      <c r="G1" s="91"/>
      <c r="H1" s="91"/>
      <c r="I1" s="91"/>
    </row>
    <row r="3" spans="1:9" ht="15.6" x14ac:dyDescent="0.3">
      <c r="A3" s="1" t="s">
        <v>41</v>
      </c>
      <c r="B3" s="91"/>
      <c r="C3" s="91"/>
      <c r="D3" s="91"/>
      <c r="E3" s="91"/>
      <c r="F3" s="91"/>
      <c r="G3" s="91"/>
      <c r="H3" s="91"/>
      <c r="I3" s="91"/>
    </row>
    <row r="4" spans="1:9" ht="15.6" x14ac:dyDescent="0.3">
      <c r="A4" s="1"/>
      <c r="B4" s="91"/>
      <c r="C4" s="91"/>
      <c r="D4" s="91"/>
      <c r="E4" s="91"/>
      <c r="F4" s="91"/>
      <c r="G4" s="91"/>
      <c r="H4" s="91"/>
      <c r="I4" s="91"/>
    </row>
    <row r="5" spans="1:9" s="3" customFormat="1" ht="21.75" customHeight="1" x14ac:dyDescent="0.25">
      <c r="A5" s="47" t="s">
        <v>315</v>
      </c>
      <c r="B5" s="48"/>
      <c r="C5" s="48"/>
      <c r="D5" s="48"/>
      <c r="E5" s="48"/>
      <c r="F5" s="48"/>
      <c r="G5" s="48"/>
      <c r="H5" s="48"/>
      <c r="I5" s="49"/>
    </row>
    <row r="6" spans="1:9" s="3" customFormat="1" ht="29.25" customHeight="1" x14ac:dyDescent="0.25">
      <c r="A6" s="206" t="s">
        <v>337</v>
      </c>
      <c r="B6" s="207"/>
      <c r="C6" s="207"/>
      <c r="D6" s="207"/>
      <c r="E6" s="207"/>
      <c r="F6" s="207"/>
      <c r="G6" s="207"/>
      <c r="H6" s="207"/>
      <c r="I6" s="208"/>
    </row>
    <row r="7" spans="1:9" s="3" customFormat="1" ht="24.75" customHeight="1" x14ac:dyDescent="0.25">
      <c r="A7" s="212"/>
      <c r="B7" s="213"/>
      <c r="C7" s="213"/>
      <c r="D7" s="213"/>
      <c r="E7" s="213"/>
      <c r="F7" s="213"/>
      <c r="G7" s="213"/>
      <c r="H7" s="213"/>
      <c r="I7" s="214"/>
    </row>
    <row r="8" spans="1:9" s="3" customFormat="1" ht="15.75" customHeight="1" x14ac:dyDescent="0.25">
      <c r="A8" s="206"/>
      <c r="B8" s="215"/>
      <c r="C8" s="215"/>
      <c r="D8" s="215"/>
      <c r="E8" s="215"/>
      <c r="F8" s="215"/>
      <c r="G8" s="215"/>
      <c r="H8" s="215"/>
      <c r="I8" s="216"/>
    </row>
    <row r="9" spans="1:9" s="3" customFormat="1" ht="15.75" customHeight="1" x14ac:dyDescent="0.25">
      <c r="A9" s="231"/>
      <c r="B9" s="232"/>
      <c r="C9" s="232"/>
      <c r="D9" s="232"/>
      <c r="E9" s="232"/>
      <c r="F9" s="232"/>
      <c r="G9" s="232"/>
      <c r="H9" s="232"/>
      <c r="I9" s="233"/>
    </row>
    <row r="10" spans="1:9" s="3" customFormat="1" ht="15.75" customHeight="1" x14ac:dyDescent="0.25">
      <c r="A10" s="206"/>
      <c r="B10" s="215"/>
      <c r="C10" s="215"/>
      <c r="D10" s="215"/>
      <c r="E10" s="215"/>
      <c r="F10" s="215"/>
      <c r="G10" s="215"/>
      <c r="H10" s="215"/>
      <c r="I10" s="216"/>
    </row>
    <row r="11" spans="1:9" s="3" customFormat="1" ht="15.75" customHeight="1" x14ac:dyDescent="0.25">
      <c r="A11" s="231"/>
      <c r="B11" s="232"/>
      <c r="C11" s="232"/>
      <c r="D11" s="232"/>
      <c r="E11" s="232"/>
      <c r="F11" s="232"/>
      <c r="G11" s="232"/>
      <c r="H11" s="232"/>
      <c r="I11" s="233"/>
    </row>
    <row r="12" spans="1:9" s="3" customFormat="1" ht="13.8" x14ac:dyDescent="0.25"/>
    <row r="13" spans="1:9" s="46" customFormat="1" ht="33.75" customHeight="1" x14ac:dyDescent="0.3">
      <c r="A13" s="323" t="s">
        <v>317</v>
      </c>
      <c r="B13" s="324"/>
      <c r="C13" s="324"/>
      <c r="D13" s="324"/>
      <c r="E13" s="324"/>
      <c r="F13" s="324"/>
      <c r="G13" s="324"/>
      <c r="H13" s="324"/>
      <c r="I13" s="325"/>
    </row>
    <row r="14" spans="1:9" ht="15.75" customHeight="1" x14ac:dyDescent="0.25">
      <c r="A14" s="326" t="s">
        <v>318</v>
      </c>
      <c r="B14" s="328"/>
      <c r="C14" s="326" t="s">
        <v>278</v>
      </c>
      <c r="D14" s="327"/>
      <c r="E14" s="327"/>
      <c r="F14" s="327"/>
      <c r="G14" s="327"/>
      <c r="H14" s="327"/>
      <c r="I14" s="327"/>
    </row>
    <row r="15" spans="1:9" ht="15.75" customHeight="1" x14ac:dyDescent="0.25">
      <c r="A15" s="380">
        <v>44621</v>
      </c>
      <c r="B15" s="216"/>
      <c r="C15" s="206" t="s">
        <v>338</v>
      </c>
      <c r="D15" s="207"/>
      <c r="E15" s="207"/>
      <c r="F15" s="207"/>
      <c r="G15" s="207"/>
      <c r="H15" s="207"/>
      <c r="I15" s="208"/>
    </row>
    <row r="16" spans="1:9" ht="15.75" customHeight="1" x14ac:dyDescent="0.25">
      <c r="A16" s="231"/>
      <c r="B16" s="233"/>
      <c r="C16" s="209"/>
      <c r="D16" s="210"/>
      <c r="E16" s="210"/>
      <c r="F16" s="210"/>
      <c r="G16" s="210"/>
      <c r="H16" s="210"/>
      <c r="I16" s="211"/>
    </row>
    <row r="17" spans="1:9" ht="15.75" customHeight="1" x14ac:dyDescent="0.25">
      <c r="A17" s="381">
        <v>44743</v>
      </c>
      <c r="B17" s="208"/>
      <c r="C17" s="209"/>
      <c r="D17" s="210"/>
      <c r="E17" s="210"/>
      <c r="F17" s="210"/>
      <c r="G17" s="210"/>
      <c r="H17" s="210"/>
      <c r="I17" s="211"/>
    </row>
    <row r="18" spans="1:9" ht="15.75" customHeight="1" x14ac:dyDescent="0.25">
      <c r="A18" s="212"/>
      <c r="B18" s="214"/>
      <c r="C18" s="212"/>
      <c r="D18" s="213"/>
      <c r="E18" s="213"/>
      <c r="F18" s="213"/>
      <c r="G18" s="213"/>
      <c r="H18" s="213"/>
      <c r="I18" s="214"/>
    </row>
    <row r="19" spans="1:9" ht="15.75" customHeight="1" x14ac:dyDescent="0.25">
      <c r="A19" s="339"/>
      <c r="B19" s="208"/>
      <c r="C19" s="339"/>
      <c r="D19" s="207"/>
      <c r="E19" s="207"/>
      <c r="F19" s="207"/>
      <c r="G19" s="207"/>
      <c r="H19" s="207"/>
      <c r="I19" s="208"/>
    </row>
    <row r="20" spans="1:9" ht="15.75" customHeight="1" x14ac:dyDescent="0.25">
      <c r="A20" s="212"/>
      <c r="B20" s="214"/>
      <c r="C20" s="212"/>
      <c r="D20" s="213"/>
      <c r="E20" s="213"/>
      <c r="F20" s="213"/>
      <c r="G20" s="213"/>
      <c r="H20" s="213"/>
      <c r="I20" s="214"/>
    </row>
    <row r="22" spans="1:9" ht="22.5" customHeight="1" x14ac:dyDescent="0.25">
      <c r="A22" s="373" t="s">
        <v>339</v>
      </c>
      <c r="B22" s="374"/>
      <c r="C22" s="374"/>
      <c r="D22" s="374"/>
      <c r="E22" s="374"/>
      <c r="F22" s="374"/>
      <c r="G22" s="374"/>
      <c r="H22" s="374"/>
      <c r="I22" s="374"/>
    </row>
    <row r="23" spans="1:9" ht="19.5" customHeight="1" x14ac:dyDescent="0.25">
      <c r="A23" s="375" t="s">
        <v>188</v>
      </c>
      <c r="B23" s="376"/>
      <c r="C23" s="377"/>
      <c r="D23" s="378" t="s">
        <v>340</v>
      </c>
      <c r="E23" s="379"/>
      <c r="F23" s="53" t="s">
        <v>322</v>
      </c>
      <c r="G23" s="53" t="s">
        <v>341</v>
      </c>
      <c r="H23" s="53" t="s">
        <v>342</v>
      </c>
      <c r="I23" s="53" t="s">
        <v>343</v>
      </c>
    </row>
    <row r="24" spans="1:9" x14ac:dyDescent="0.25">
      <c r="A24" s="362" t="s">
        <v>344</v>
      </c>
      <c r="B24" s="363"/>
      <c r="C24" s="364"/>
      <c r="D24" s="371" t="s">
        <v>345</v>
      </c>
      <c r="E24" s="372"/>
      <c r="F24" s="109">
        <v>1</v>
      </c>
      <c r="G24" s="109">
        <v>1</v>
      </c>
      <c r="H24" s="109">
        <v>0.02</v>
      </c>
      <c r="I24" s="175">
        <v>8.3333333333333315E-3</v>
      </c>
    </row>
    <row r="25" spans="1:9" ht="15" customHeight="1" x14ac:dyDescent="0.25">
      <c r="A25" s="362" t="s">
        <v>346</v>
      </c>
      <c r="B25" s="363"/>
      <c r="C25" s="364"/>
      <c r="D25" s="371" t="s">
        <v>345</v>
      </c>
      <c r="E25" s="372"/>
      <c r="F25" s="109">
        <v>800</v>
      </c>
      <c r="G25" s="109">
        <v>800</v>
      </c>
      <c r="H25" s="109">
        <v>112</v>
      </c>
      <c r="I25" s="175">
        <v>25.916666666666668</v>
      </c>
    </row>
    <row r="26" spans="1:9" x14ac:dyDescent="0.25">
      <c r="A26" s="362" t="s">
        <v>347</v>
      </c>
      <c r="B26" s="363"/>
      <c r="C26" s="364"/>
      <c r="D26" s="371" t="s">
        <v>345</v>
      </c>
      <c r="E26" s="372"/>
      <c r="F26" s="109">
        <v>1</v>
      </c>
      <c r="G26" s="109">
        <v>1</v>
      </c>
      <c r="H26" s="109">
        <v>0.1</v>
      </c>
      <c r="I26" s="175">
        <v>2.5000000000000005E-2</v>
      </c>
    </row>
    <row r="27" spans="1:9" x14ac:dyDescent="0.25">
      <c r="A27" s="362" t="s">
        <v>348</v>
      </c>
      <c r="B27" s="363"/>
      <c r="C27" s="364"/>
      <c r="D27" s="371" t="s">
        <v>345</v>
      </c>
      <c r="E27" s="372"/>
      <c r="F27" s="109">
        <v>1</v>
      </c>
      <c r="G27" s="109">
        <v>1</v>
      </c>
      <c r="H27" s="109">
        <v>0.3</v>
      </c>
      <c r="I27" s="175">
        <v>6.1666666666666675E-2</v>
      </c>
    </row>
    <row r="28" spans="1:9" x14ac:dyDescent="0.25">
      <c r="A28" s="362" t="s">
        <v>349</v>
      </c>
      <c r="B28" s="363"/>
      <c r="C28" s="364"/>
      <c r="D28" s="371" t="s">
        <v>345</v>
      </c>
      <c r="E28" s="372"/>
      <c r="F28" s="109">
        <v>2</v>
      </c>
      <c r="G28" s="109">
        <v>2</v>
      </c>
      <c r="H28" s="109">
        <v>0.7</v>
      </c>
      <c r="I28" s="175">
        <v>0.27583333333333337</v>
      </c>
    </row>
    <row r="29" spans="1:9" x14ac:dyDescent="0.25">
      <c r="A29" s="362" t="s">
        <v>350</v>
      </c>
      <c r="B29" s="363"/>
      <c r="C29" s="364"/>
      <c r="D29" s="371" t="s">
        <v>345</v>
      </c>
      <c r="E29" s="372"/>
      <c r="F29" s="109">
        <v>1</v>
      </c>
      <c r="G29" s="109">
        <v>1</v>
      </c>
      <c r="H29" s="109">
        <v>0.2</v>
      </c>
      <c r="I29" s="175">
        <v>2.3333333333333341E-2</v>
      </c>
    </row>
    <row r="30" spans="1:9" ht="15" customHeight="1" x14ac:dyDescent="0.25">
      <c r="A30" s="362" t="s">
        <v>351</v>
      </c>
      <c r="B30" s="363"/>
      <c r="C30" s="364"/>
      <c r="D30" s="371" t="s">
        <v>345</v>
      </c>
      <c r="E30" s="372"/>
      <c r="F30" s="109">
        <v>1</v>
      </c>
      <c r="G30" s="109">
        <v>1</v>
      </c>
      <c r="H30" s="109">
        <v>0.03</v>
      </c>
      <c r="I30" s="175">
        <v>9.1666666666666667E-3</v>
      </c>
    </row>
    <row r="31" spans="1:9" x14ac:dyDescent="0.25">
      <c r="A31" s="362" t="s">
        <v>352</v>
      </c>
      <c r="B31" s="363"/>
      <c r="C31" s="364"/>
      <c r="D31" s="371" t="s">
        <v>345</v>
      </c>
      <c r="E31" s="372"/>
      <c r="F31" s="109">
        <v>1</v>
      </c>
      <c r="G31" s="109">
        <v>1</v>
      </c>
      <c r="H31" s="109">
        <v>0.1</v>
      </c>
      <c r="I31" s="175">
        <v>1.5833333333333335E-2</v>
      </c>
    </row>
    <row r="32" spans="1:9" x14ac:dyDescent="0.25">
      <c r="A32" s="362" t="s">
        <v>353</v>
      </c>
      <c r="B32" s="363"/>
      <c r="C32" s="364"/>
      <c r="D32" s="371" t="s">
        <v>345</v>
      </c>
      <c r="E32" s="372"/>
      <c r="F32" s="109">
        <v>1</v>
      </c>
      <c r="G32" s="109">
        <v>1</v>
      </c>
      <c r="H32" s="109">
        <v>0.01</v>
      </c>
      <c r="I32" s="175">
        <v>7.4999999999999997E-3</v>
      </c>
    </row>
    <row r="33" spans="1:9" ht="15" customHeight="1" x14ac:dyDescent="0.25">
      <c r="A33" s="362" t="s">
        <v>354</v>
      </c>
      <c r="B33" s="363"/>
      <c r="C33" s="364"/>
      <c r="D33" s="371" t="s">
        <v>345</v>
      </c>
      <c r="E33" s="372"/>
      <c r="F33" s="109">
        <v>200</v>
      </c>
      <c r="G33" s="109">
        <v>200</v>
      </c>
      <c r="H33" s="109">
        <v>837</v>
      </c>
      <c r="I33" s="175">
        <v>115.08333333333333</v>
      </c>
    </row>
    <row r="34" spans="1:9" x14ac:dyDescent="0.25">
      <c r="A34" s="362" t="s">
        <v>355</v>
      </c>
      <c r="B34" s="363"/>
      <c r="C34" s="364"/>
      <c r="D34" s="371" t="s">
        <v>345</v>
      </c>
      <c r="E34" s="372"/>
      <c r="F34" s="109">
        <v>500</v>
      </c>
      <c r="G34" s="109">
        <v>500</v>
      </c>
      <c r="H34" s="109">
        <v>285</v>
      </c>
      <c r="I34" s="175">
        <v>69</v>
      </c>
    </row>
    <row r="35" spans="1:9" x14ac:dyDescent="0.25">
      <c r="A35" s="365" t="s">
        <v>356</v>
      </c>
      <c r="B35" s="366"/>
      <c r="C35" s="367"/>
      <c r="D35" s="371" t="s">
        <v>345</v>
      </c>
      <c r="E35" s="372"/>
      <c r="F35" s="109">
        <v>3</v>
      </c>
      <c r="G35" s="109">
        <v>3</v>
      </c>
      <c r="H35" s="109">
        <v>1.3</v>
      </c>
      <c r="I35" s="175">
        <v>0.16333333333333336</v>
      </c>
    </row>
    <row r="36" spans="1:9" x14ac:dyDescent="0.25">
      <c r="A36" s="368" t="s">
        <v>357</v>
      </c>
      <c r="B36" s="369"/>
      <c r="C36" s="370"/>
      <c r="D36" s="371" t="s">
        <v>345</v>
      </c>
      <c r="E36" s="372"/>
      <c r="F36" s="109"/>
      <c r="G36" s="109"/>
      <c r="H36" s="109">
        <v>7.5</v>
      </c>
      <c r="I36" s="175">
        <v>5.2499999999999991</v>
      </c>
    </row>
    <row r="66" spans="5:5" x14ac:dyDescent="0.25">
      <c r="E66" s="3"/>
    </row>
  </sheetData>
  <mergeCells count="40">
    <mergeCell ref="A30:C30"/>
    <mergeCell ref="D30:E30"/>
    <mergeCell ref="A27:C27"/>
    <mergeCell ref="D27:E27"/>
    <mergeCell ref="A28:C28"/>
    <mergeCell ref="D28:E28"/>
    <mergeCell ref="A29:C29"/>
    <mergeCell ref="D29:E29"/>
    <mergeCell ref="A24:C24"/>
    <mergeCell ref="D24:E24"/>
    <mergeCell ref="A25:C25"/>
    <mergeCell ref="D25:E25"/>
    <mergeCell ref="A26:C26"/>
    <mergeCell ref="D26:E26"/>
    <mergeCell ref="A22:I22"/>
    <mergeCell ref="A23:C23"/>
    <mergeCell ref="D23:E23"/>
    <mergeCell ref="A15:B16"/>
    <mergeCell ref="A17:B18"/>
    <mergeCell ref="A19:B20"/>
    <mergeCell ref="C19:I20"/>
    <mergeCell ref="C15:I18"/>
    <mergeCell ref="A6:I7"/>
    <mergeCell ref="A8:I9"/>
    <mergeCell ref="A10:I11"/>
    <mergeCell ref="A13:I13"/>
    <mergeCell ref="A14:B14"/>
    <mergeCell ref="C14:I14"/>
    <mergeCell ref="A31:C31"/>
    <mergeCell ref="A32:C32"/>
    <mergeCell ref="A33:C33"/>
    <mergeCell ref="D31:E31"/>
    <mergeCell ref="D32:E32"/>
    <mergeCell ref="D33:E33"/>
    <mergeCell ref="A34:C34"/>
    <mergeCell ref="A35:C35"/>
    <mergeCell ref="A36:C36"/>
    <mergeCell ref="D34:E34"/>
    <mergeCell ref="D35:E35"/>
    <mergeCell ref="D36:E36"/>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6"/>
  <sheetViews>
    <sheetView topLeftCell="A19" workbookViewId="0">
      <selection activeCell="N34" sqref="N34"/>
    </sheetView>
  </sheetViews>
  <sheetFormatPr defaultColWidth="9.109375" defaultRowHeight="15" x14ac:dyDescent="0.25"/>
  <cols>
    <col min="1" max="1" width="9.109375" style="2" customWidth="1"/>
    <col min="2" max="2" width="14.5546875" style="2" bestFit="1" customWidth="1"/>
    <col min="3" max="9" width="9.109375" style="2"/>
    <col min="10" max="10" width="10.44140625" style="2" customWidth="1"/>
    <col min="11" max="16384" width="9.109375" style="2"/>
  </cols>
  <sheetData>
    <row r="1" spans="1:16" x14ac:dyDescent="0.25">
      <c r="A1" s="91" t="str">
        <f>+'Cover Page'!$B$29</f>
        <v>Annual Performance Report 2022</v>
      </c>
      <c r="B1" s="91"/>
      <c r="C1" s="91"/>
      <c r="D1" s="91"/>
      <c r="E1" s="91" t="str">
        <f>+'Cover Page'!$B$33</f>
        <v>Kent Enviropower Limited</v>
      </c>
      <c r="F1" s="91"/>
      <c r="G1" s="91"/>
      <c r="H1" s="91"/>
      <c r="I1" s="91"/>
      <c r="J1" s="91"/>
      <c r="K1" s="91"/>
      <c r="L1" s="91"/>
      <c r="M1" s="91"/>
      <c r="N1" s="91"/>
      <c r="O1" s="91"/>
      <c r="P1" s="91"/>
    </row>
    <row r="2" spans="1:16" ht="7.5" customHeight="1" x14ac:dyDescent="0.25">
      <c r="A2" s="91"/>
      <c r="B2" s="91"/>
      <c r="C2" s="91"/>
      <c r="D2" s="91"/>
      <c r="E2" s="91"/>
      <c r="F2" s="91"/>
      <c r="G2" s="91"/>
      <c r="H2" s="91"/>
      <c r="I2" s="91"/>
      <c r="J2" s="91"/>
      <c r="K2" s="91"/>
      <c r="L2" s="91"/>
      <c r="M2" s="91"/>
      <c r="N2" s="91"/>
      <c r="O2" s="91"/>
      <c r="P2" s="91"/>
    </row>
    <row r="3" spans="1:16" ht="15.6" x14ac:dyDescent="0.3">
      <c r="A3" s="1" t="s">
        <v>42</v>
      </c>
      <c r="B3" s="91"/>
      <c r="C3" s="91"/>
      <c r="D3" s="91"/>
      <c r="E3" s="91"/>
      <c r="F3" s="91"/>
      <c r="G3" s="91"/>
      <c r="H3" s="91"/>
      <c r="I3" s="91"/>
      <c r="J3" s="91"/>
      <c r="K3" s="91"/>
      <c r="L3" s="91"/>
      <c r="M3" s="91"/>
      <c r="N3" s="91"/>
      <c r="O3" s="91"/>
      <c r="P3" s="91"/>
    </row>
    <row r="4" spans="1:16" ht="9.75" customHeight="1" x14ac:dyDescent="0.3">
      <c r="A4" s="1"/>
      <c r="B4" s="91"/>
      <c r="C4" s="91"/>
      <c r="D4" s="91"/>
      <c r="E4" s="91"/>
      <c r="F4" s="91"/>
      <c r="G4" s="91"/>
      <c r="H4" s="91"/>
      <c r="I4" s="91"/>
      <c r="J4" s="91"/>
      <c r="K4" s="91"/>
      <c r="L4" s="91"/>
      <c r="M4" s="91"/>
      <c r="N4" s="91"/>
      <c r="O4" s="91"/>
      <c r="P4" s="91"/>
    </row>
    <row r="5" spans="1:16" s="3" customFormat="1" ht="21.75" customHeight="1" x14ac:dyDescent="0.3">
      <c r="A5" s="47" t="s">
        <v>358</v>
      </c>
      <c r="B5" s="48"/>
      <c r="C5" s="48"/>
      <c r="D5" s="48"/>
      <c r="E5" s="48"/>
      <c r="F5" s="48"/>
      <c r="G5" s="48"/>
      <c r="H5" s="48"/>
      <c r="I5" s="48"/>
      <c r="J5" s="49"/>
      <c r="M5" s="81" t="s">
        <v>3</v>
      </c>
    </row>
    <row r="6" spans="1:16" s="3" customFormat="1" ht="15.75" customHeight="1" x14ac:dyDescent="0.25">
      <c r="A6" s="383" t="s">
        <v>359</v>
      </c>
      <c r="B6" s="384"/>
      <c r="C6" s="384"/>
      <c r="D6" s="384"/>
      <c r="E6" s="384"/>
      <c r="F6" s="384"/>
      <c r="G6" s="384"/>
      <c r="H6" s="384"/>
      <c r="I6" s="384"/>
      <c r="J6" s="385"/>
      <c r="M6" s="382" t="s">
        <v>360</v>
      </c>
      <c r="N6" s="382"/>
      <c r="O6" s="382"/>
      <c r="P6" s="382"/>
    </row>
    <row r="7" spans="1:16" s="3" customFormat="1" ht="15.75" customHeight="1" x14ac:dyDescent="0.25">
      <c r="A7" s="386"/>
      <c r="B7" s="387"/>
      <c r="C7" s="387"/>
      <c r="D7" s="387"/>
      <c r="E7" s="387"/>
      <c r="F7" s="387"/>
      <c r="G7" s="387"/>
      <c r="H7" s="387"/>
      <c r="I7" s="387"/>
      <c r="J7" s="388"/>
      <c r="M7" s="382"/>
      <c r="N7" s="382"/>
      <c r="O7" s="382"/>
      <c r="P7" s="382"/>
    </row>
    <row r="8" spans="1:16" s="3" customFormat="1" ht="13.8" x14ac:dyDescent="0.25">
      <c r="M8" s="382"/>
      <c r="N8" s="382"/>
      <c r="O8" s="382"/>
      <c r="P8" s="382"/>
    </row>
    <row r="9" spans="1:16" s="55" customFormat="1" ht="16.5" customHeight="1" x14ac:dyDescent="0.25">
      <c r="A9" s="354" t="s">
        <v>361</v>
      </c>
      <c r="B9" s="354"/>
      <c r="C9" s="354"/>
      <c r="D9" s="354"/>
      <c r="E9" s="354"/>
      <c r="F9" s="354"/>
      <c r="G9" s="354"/>
      <c r="H9" s="354"/>
      <c r="I9" s="354"/>
      <c r="J9" s="354"/>
      <c r="M9" s="382"/>
      <c r="N9" s="382"/>
      <c r="O9" s="382"/>
      <c r="P9" s="382"/>
    </row>
    <row r="10" spans="1:16" s="55" customFormat="1" ht="16.5" customHeight="1" x14ac:dyDescent="0.25">
      <c r="A10" s="390" t="s">
        <v>219</v>
      </c>
      <c r="B10" s="391"/>
      <c r="C10" s="401" t="s">
        <v>362</v>
      </c>
      <c r="D10" s="397" t="s">
        <v>363</v>
      </c>
      <c r="E10" s="398"/>
      <c r="F10" s="394" t="s">
        <v>343</v>
      </c>
      <c r="G10" s="395"/>
      <c r="H10" s="395"/>
      <c r="I10" s="395"/>
      <c r="J10" s="396"/>
      <c r="M10" s="382" t="s">
        <v>364</v>
      </c>
      <c r="N10" s="382"/>
      <c r="O10" s="382"/>
      <c r="P10" s="382"/>
    </row>
    <row r="11" spans="1:16" s="12" customFormat="1" ht="17.25" customHeight="1" x14ac:dyDescent="0.25">
      <c r="A11" s="392"/>
      <c r="B11" s="393"/>
      <c r="C11" s="402"/>
      <c r="D11" s="399"/>
      <c r="E11" s="400"/>
      <c r="F11" s="45" t="s">
        <v>190</v>
      </c>
      <c r="G11" s="45" t="s">
        <v>191</v>
      </c>
      <c r="H11" s="45" t="s">
        <v>192</v>
      </c>
      <c r="I11" s="45" t="s">
        <v>193</v>
      </c>
      <c r="J11" s="45" t="s">
        <v>194</v>
      </c>
      <c r="K11" s="127"/>
      <c r="L11" s="127"/>
      <c r="M11" s="382"/>
      <c r="N11" s="382"/>
      <c r="O11" s="382"/>
      <c r="P11" s="382"/>
    </row>
    <row r="12" spans="1:16" s="12" customFormat="1" ht="23.25" customHeight="1" x14ac:dyDescent="0.25">
      <c r="A12" s="243" t="s">
        <v>365</v>
      </c>
      <c r="B12" s="244"/>
      <c r="C12" s="103" t="s">
        <v>366</v>
      </c>
      <c r="D12" s="403" t="s">
        <v>367</v>
      </c>
      <c r="E12" s="404"/>
      <c r="F12" s="109">
        <v>1.3500000000000001E-3</v>
      </c>
      <c r="G12" s="109">
        <v>1.5E-3</v>
      </c>
      <c r="H12" s="109">
        <v>1.65E-3</v>
      </c>
      <c r="I12" s="109"/>
      <c r="J12" s="109"/>
      <c r="K12" s="127"/>
      <c r="L12" s="127"/>
      <c r="M12" s="389"/>
      <c r="N12" s="389"/>
      <c r="O12" s="389"/>
      <c r="P12" s="389"/>
    </row>
    <row r="13" spans="1:16" s="12" customFormat="1" ht="23.25" customHeight="1" x14ac:dyDescent="0.25">
      <c r="A13" s="243" t="s">
        <v>368</v>
      </c>
      <c r="B13" s="244"/>
      <c r="C13" s="103" t="s">
        <v>366</v>
      </c>
      <c r="D13" s="403" t="s">
        <v>369</v>
      </c>
      <c r="E13" s="404"/>
      <c r="F13" s="109">
        <v>0.1195</v>
      </c>
      <c r="G13" s="109">
        <v>0.13849999999999998</v>
      </c>
      <c r="H13" s="109">
        <v>0.18300000000000002</v>
      </c>
      <c r="I13" s="109"/>
      <c r="J13" s="109"/>
      <c r="K13" s="127"/>
      <c r="L13" s="127"/>
      <c r="M13" s="389"/>
      <c r="N13" s="389"/>
      <c r="O13" s="389"/>
      <c r="P13" s="389"/>
    </row>
    <row r="14" spans="1:16" s="12" customFormat="1" ht="23.25" customHeight="1" x14ac:dyDescent="0.25">
      <c r="A14" s="243" t="s">
        <v>370</v>
      </c>
      <c r="B14" s="244"/>
      <c r="C14" s="103" t="s">
        <v>366</v>
      </c>
      <c r="D14" s="403" t="s">
        <v>367</v>
      </c>
      <c r="E14" s="404"/>
      <c r="F14" s="109">
        <v>1E-3</v>
      </c>
      <c r="G14" s="109">
        <v>1.4E-3</v>
      </c>
      <c r="H14" s="109">
        <v>1.2000000000000001E-3</v>
      </c>
      <c r="I14" s="109"/>
      <c r="J14" s="109"/>
      <c r="K14" s="127"/>
      <c r="L14" s="127"/>
      <c r="M14" s="127"/>
      <c r="N14" s="127"/>
      <c r="O14" s="127"/>
      <c r="P14" s="127"/>
    </row>
    <row r="15" spans="1:16" s="12" customFormat="1" ht="23.25" customHeight="1" x14ac:dyDescent="0.25">
      <c r="A15" s="243" t="s">
        <v>371</v>
      </c>
      <c r="B15" s="244"/>
      <c r="C15" s="103" t="s">
        <v>366</v>
      </c>
      <c r="D15" s="405" t="s">
        <v>372</v>
      </c>
      <c r="E15" s="406"/>
      <c r="F15" s="109">
        <v>0.24349999999999999</v>
      </c>
      <c r="G15" s="109">
        <v>7.2500000000000009E-2</v>
      </c>
      <c r="H15" s="109">
        <v>5.4499999999999993E-2</v>
      </c>
      <c r="I15" s="109"/>
      <c r="J15" s="109"/>
      <c r="K15" s="127"/>
      <c r="L15" s="127"/>
      <c r="M15" s="127"/>
      <c r="N15" s="127"/>
      <c r="O15" s="127"/>
      <c r="P15" s="127"/>
    </row>
    <row r="16" spans="1:16" s="12" customFormat="1" ht="23.25" customHeight="1" x14ac:dyDescent="0.25">
      <c r="A16" s="243" t="s">
        <v>373</v>
      </c>
      <c r="B16" s="244"/>
      <c r="C16" s="104" t="s">
        <v>374</v>
      </c>
      <c r="D16" s="405" t="s">
        <v>375</v>
      </c>
      <c r="E16" s="406"/>
      <c r="F16" s="109">
        <v>20.099999999999998</v>
      </c>
      <c r="G16" s="109">
        <v>15.05</v>
      </c>
      <c r="H16" s="109">
        <v>15.65</v>
      </c>
      <c r="I16" s="109"/>
      <c r="J16" s="109"/>
      <c r="K16" s="127"/>
      <c r="L16" s="127"/>
      <c r="M16" s="127"/>
      <c r="N16" s="127"/>
      <c r="O16" s="127"/>
      <c r="P16" s="127"/>
    </row>
    <row r="17" spans="1:10" s="12" customFormat="1" ht="23.25" customHeight="1" x14ac:dyDescent="0.25">
      <c r="A17" s="243" t="s">
        <v>376</v>
      </c>
      <c r="B17" s="244"/>
      <c r="C17" s="103" t="s">
        <v>377</v>
      </c>
      <c r="D17" s="403" t="s">
        <v>378</v>
      </c>
      <c r="E17" s="404"/>
      <c r="F17" s="109">
        <v>3.7499999999999999E-2</v>
      </c>
      <c r="G17" s="109">
        <v>3.2000000000000001E-2</v>
      </c>
      <c r="H17" s="109">
        <v>2.6999999999999996E-2</v>
      </c>
      <c r="I17" s="109"/>
      <c r="J17" s="109"/>
    </row>
    <row r="18" spans="1:10" s="12" customFormat="1" ht="35.1" customHeight="1" x14ac:dyDescent="0.25">
      <c r="A18" s="243" t="s">
        <v>379</v>
      </c>
      <c r="B18" s="244"/>
      <c r="C18" s="103" t="s">
        <v>377</v>
      </c>
      <c r="D18" s="403" t="s">
        <v>380</v>
      </c>
      <c r="E18" s="404"/>
      <c r="F18" s="109">
        <v>3.7999999999999999E-2</v>
      </c>
      <c r="G18" s="109">
        <v>3.4000000000000002E-2</v>
      </c>
      <c r="H18" s="109">
        <v>0.03</v>
      </c>
      <c r="I18" s="109"/>
      <c r="J18" s="109"/>
    </row>
    <row r="19" spans="1:10" s="12" customFormat="1" ht="32.1" customHeight="1" x14ac:dyDescent="0.25">
      <c r="A19" s="243" t="s">
        <v>381</v>
      </c>
      <c r="B19" s="244"/>
      <c r="C19" s="103" t="s">
        <v>377</v>
      </c>
      <c r="D19" s="403" t="s">
        <v>380</v>
      </c>
      <c r="E19" s="404"/>
      <c r="F19" s="109">
        <v>3.15E-2</v>
      </c>
      <c r="G19" s="109">
        <v>2.8000000000000001E-2</v>
      </c>
      <c r="H19" s="109">
        <v>2.4E-2</v>
      </c>
      <c r="I19" s="109"/>
      <c r="J19" s="109"/>
    </row>
    <row r="20" spans="1:10" s="12" customFormat="1" ht="29.1" customHeight="1" x14ac:dyDescent="0.25">
      <c r="A20" s="243" t="s">
        <v>382</v>
      </c>
      <c r="B20" s="244"/>
      <c r="C20" s="103" t="s">
        <v>377</v>
      </c>
      <c r="D20" s="403" t="s">
        <v>380</v>
      </c>
      <c r="E20" s="404"/>
      <c r="F20" s="109">
        <v>0.04</v>
      </c>
      <c r="G20" s="109">
        <v>3.5500000000000004E-2</v>
      </c>
      <c r="H20" s="109">
        <v>2.8499999999999998E-2</v>
      </c>
      <c r="I20" s="109"/>
      <c r="J20" s="109"/>
    </row>
    <row r="21" spans="1:10" s="12" customFormat="1" ht="30" customHeight="1" x14ac:dyDescent="0.25">
      <c r="A21" s="243" t="s">
        <v>383</v>
      </c>
      <c r="B21" s="244"/>
      <c r="C21" s="103" t="s">
        <v>377</v>
      </c>
      <c r="D21" s="403" t="s">
        <v>380</v>
      </c>
      <c r="E21" s="404"/>
      <c r="F21" s="109">
        <v>2.5999999999999999E-3</v>
      </c>
      <c r="G21" s="109">
        <v>2.4499999999999999E-3</v>
      </c>
      <c r="H21" s="109">
        <v>1.5500000000000002E-3</v>
      </c>
      <c r="I21" s="109"/>
      <c r="J21" s="109"/>
    </row>
    <row r="22" spans="1:10" s="12" customFormat="1" ht="30" customHeight="1" x14ac:dyDescent="0.25">
      <c r="A22" s="243" t="s">
        <v>384</v>
      </c>
      <c r="B22" s="244"/>
      <c r="C22" s="103" t="s">
        <v>377</v>
      </c>
      <c r="D22" s="403" t="s">
        <v>380</v>
      </c>
      <c r="E22" s="404"/>
      <c r="F22" s="109">
        <v>1.1549999999999999E-4</v>
      </c>
      <c r="G22" s="109">
        <v>1.1400000000000001E-4</v>
      </c>
      <c r="H22" s="109">
        <v>7.2999999999999999E-5</v>
      </c>
      <c r="I22" s="109"/>
      <c r="J22" s="109"/>
    </row>
    <row r="23" spans="1:10" s="12" customFormat="1" ht="32.1" customHeight="1" x14ac:dyDescent="0.25">
      <c r="A23" s="243" t="s">
        <v>385</v>
      </c>
      <c r="B23" s="244"/>
      <c r="C23" s="103" t="s">
        <v>377</v>
      </c>
      <c r="D23" s="403" t="s">
        <v>380</v>
      </c>
      <c r="E23" s="404"/>
      <c r="F23" s="109">
        <v>2.2600000000000002E-2</v>
      </c>
      <c r="G23" s="109">
        <v>5.3499999999999997E-3</v>
      </c>
      <c r="H23" s="109">
        <v>3.2500000000000003E-3</v>
      </c>
      <c r="I23" s="109"/>
      <c r="J23" s="109"/>
    </row>
    <row r="24" spans="1:10" s="12" customFormat="1" ht="23.25" customHeight="1" x14ac:dyDescent="0.25">
      <c r="A24" s="243" t="s">
        <v>386</v>
      </c>
      <c r="B24" s="244"/>
      <c r="C24" s="103" t="s">
        <v>377</v>
      </c>
      <c r="D24" s="403" t="s">
        <v>380</v>
      </c>
      <c r="E24" s="404"/>
      <c r="F24" s="109">
        <v>0.15</v>
      </c>
      <c r="G24" s="109">
        <v>0.23</v>
      </c>
      <c r="H24" s="109">
        <v>0.21</v>
      </c>
      <c r="I24" s="109"/>
      <c r="J24" s="109"/>
    </row>
    <row r="25" spans="1:10" s="12" customFormat="1" ht="23.25" customHeight="1" x14ac:dyDescent="0.25">
      <c r="A25" s="243" t="s">
        <v>387</v>
      </c>
      <c r="B25" s="244"/>
      <c r="C25" s="103" t="s">
        <v>377</v>
      </c>
      <c r="D25" s="403" t="s">
        <v>380</v>
      </c>
      <c r="E25" s="404"/>
      <c r="F25" s="109">
        <v>1.5E-3</v>
      </c>
      <c r="G25" s="109">
        <v>3.0000000000000001E-3</v>
      </c>
      <c r="H25" s="109">
        <v>2.0999999999999999E-3</v>
      </c>
      <c r="I25" s="109"/>
      <c r="J25" s="109"/>
    </row>
    <row r="26" spans="1:10" s="12" customFormat="1" ht="23.25" customHeight="1" x14ac:dyDescent="0.25">
      <c r="A26" s="243" t="s">
        <v>388</v>
      </c>
      <c r="B26" s="244"/>
      <c r="C26" s="103" t="s">
        <v>377</v>
      </c>
      <c r="D26" s="403" t="s">
        <v>380</v>
      </c>
      <c r="E26" s="404"/>
      <c r="F26" s="109">
        <v>4.4999999999999997E-3</v>
      </c>
      <c r="G26" s="109">
        <v>3.0000000000000001E-3</v>
      </c>
      <c r="H26" s="109">
        <v>2.0999999999999999E-3</v>
      </c>
      <c r="I26" s="109"/>
      <c r="J26" s="109"/>
    </row>
    <row r="27" spans="1:10" s="12" customFormat="1" ht="23.25" customHeight="1" x14ac:dyDescent="0.25">
      <c r="A27" s="243" t="s">
        <v>389</v>
      </c>
      <c r="B27" s="244"/>
      <c r="C27" s="103" t="s">
        <v>377</v>
      </c>
      <c r="D27" s="403" t="s">
        <v>380</v>
      </c>
      <c r="E27" s="404"/>
      <c r="F27" s="109">
        <v>4.1999999999999997E-3</v>
      </c>
      <c r="G27" s="109">
        <v>3.0000000000000001E-3</v>
      </c>
      <c r="H27" s="109">
        <v>2.0999999999999999E-3</v>
      </c>
      <c r="I27" s="109"/>
      <c r="J27" s="109"/>
    </row>
    <row r="28" spans="1:10" s="12" customFormat="1" ht="23.25" customHeight="1" x14ac:dyDescent="0.25">
      <c r="A28" s="243" t="s">
        <v>390</v>
      </c>
      <c r="B28" s="244"/>
      <c r="C28" s="103" t="s">
        <v>377</v>
      </c>
      <c r="D28" s="403" t="s">
        <v>380</v>
      </c>
      <c r="E28" s="404"/>
      <c r="F28" s="109">
        <v>2.2000000000000001E-3</v>
      </c>
      <c r="G28" s="109">
        <v>3.0000000000000001E-3</v>
      </c>
      <c r="H28" s="109">
        <v>2.0999999999999999E-3</v>
      </c>
      <c r="I28" s="109"/>
      <c r="J28" s="109"/>
    </row>
    <row r="29" spans="1:10" s="12" customFormat="1" ht="23.25" customHeight="1" x14ac:dyDescent="0.25">
      <c r="A29" s="243" t="s">
        <v>391</v>
      </c>
      <c r="B29" s="244"/>
      <c r="C29" s="103" t="s">
        <v>377</v>
      </c>
      <c r="D29" s="403" t="s">
        <v>380</v>
      </c>
      <c r="E29" s="404"/>
      <c r="F29" s="109">
        <v>5.1000000000000004E-3</v>
      </c>
      <c r="G29" s="109">
        <v>0.01</v>
      </c>
      <c r="H29" s="109">
        <v>6.7999999999999996E-3</v>
      </c>
      <c r="I29" s="109"/>
      <c r="J29" s="109"/>
    </row>
    <row r="30" spans="1:10" s="12" customFormat="1" ht="23.25" customHeight="1" x14ac:dyDescent="0.25">
      <c r="A30" s="243" t="s">
        <v>392</v>
      </c>
      <c r="B30" s="244"/>
      <c r="C30" s="103" t="s">
        <v>377</v>
      </c>
      <c r="D30" s="403" t="s">
        <v>380</v>
      </c>
      <c r="E30" s="404"/>
      <c r="F30" s="109">
        <v>1.6000000000000001E-3</v>
      </c>
      <c r="G30" s="109">
        <v>3.0000000000000001E-3</v>
      </c>
      <c r="H30" s="109">
        <v>2.0999999999999999E-3</v>
      </c>
      <c r="I30" s="109"/>
      <c r="J30" s="109"/>
    </row>
    <row r="31" spans="1:10" s="12" customFormat="1" ht="23.25" customHeight="1" x14ac:dyDescent="0.25">
      <c r="A31" s="243" t="s">
        <v>393</v>
      </c>
      <c r="B31" s="244"/>
      <c r="C31" s="103" t="s">
        <v>377</v>
      </c>
      <c r="D31" s="403" t="s">
        <v>380</v>
      </c>
      <c r="E31" s="404"/>
      <c r="F31" s="109">
        <v>1.5E-3</v>
      </c>
      <c r="G31" s="109">
        <v>3.0000000000000001E-3</v>
      </c>
      <c r="H31" s="109">
        <v>2.0999999999999999E-3</v>
      </c>
      <c r="I31" s="109"/>
      <c r="J31" s="109"/>
    </row>
    <row r="32" spans="1:10" s="12" customFormat="1" ht="23.25" customHeight="1" x14ac:dyDescent="0.25">
      <c r="A32" s="243" t="s">
        <v>394</v>
      </c>
      <c r="B32" s="244"/>
      <c r="C32" s="103" t="s">
        <v>377</v>
      </c>
      <c r="D32" s="403" t="s">
        <v>380</v>
      </c>
      <c r="E32" s="404"/>
      <c r="F32" s="109">
        <v>2.8E-3</v>
      </c>
      <c r="G32" s="109">
        <v>3.0000000000000001E-3</v>
      </c>
      <c r="H32" s="109">
        <v>2.0999999999999999E-3</v>
      </c>
      <c r="I32" s="109"/>
      <c r="J32" s="109"/>
    </row>
    <row r="33" spans="1:10" s="12" customFormat="1" ht="23.25" customHeight="1" x14ac:dyDescent="0.25">
      <c r="A33" s="243" t="s">
        <v>395</v>
      </c>
      <c r="B33" s="244"/>
      <c r="C33" s="103" t="s">
        <v>377</v>
      </c>
      <c r="D33" s="403" t="s">
        <v>380</v>
      </c>
      <c r="E33" s="404"/>
      <c r="F33" s="109">
        <v>1.5E-3</v>
      </c>
      <c r="G33" s="109">
        <v>3.0000000000000001E-3</v>
      </c>
      <c r="H33" s="109">
        <v>2.0999999999999999E-3</v>
      </c>
      <c r="I33" s="109"/>
      <c r="J33" s="109"/>
    </row>
    <row r="34" spans="1:10" s="12" customFormat="1" ht="23.25" customHeight="1" x14ac:dyDescent="0.25">
      <c r="A34" s="243" t="s">
        <v>396</v>
      </c>
      <c r="B34" s="244"/>
      <c r="C34" s="103" t="s">
        <v>377</v>
      </c>
      <c r="D34" s="403" t="s">
        <v>380</v>
      </c>
      <c r="E34" s="404"/>
      <c r="F34" s="109">
        <v>6.1999999999999998E-3</v>
      </c>
      <c r="G34" s="109">
        <v>3.7000000000000002E-3</v>
      </c>
      <c r="H34" s="109">
        <v>2.4E-2</v>
      </c>
      <c r="I34" s="109"/>
      <c r="J34" s="109"/>
    </row>
    <row r="35" spans="1:10" s="12" customFormat="1" ht="23.25" customHeight="1" x14ac:dyDescent="0.25">
      <c r="A35" s="243" t="s">
        <v>397</v>
      </c>
      <c r="B35" s="244"/>
      <c r="C35" s="103" t="s">
        <v>377</v>
      </c>
      <c r="D35" s="403" t="s">
        <v>380</v>
      </c>
      <c r="E35" s="404"/>
      <c r="F35" s="109">
        <v>3.3999999999999998E-3</v>
      </c>
      <c r="G35" s="109">
        <v>3.0000000000000001E-3</v>
      </c>
      <c r="H35" s="109">
        <v>2.0999999999999999E-3</v>
      </c>
      <c r="I35" s="109"/>
      <c r="J35" s="109"/>
    </row>
    <row r="36" spans="1:10" s="12" customFormat="1" ht="23.25" customHeight="1" x14ac:dyDescent="0.25">
      <c r="A36" s="243" t="s">
        <v>398</v>
      </c>
      <c r="B36" s="244"/>
      <c r="C36" s="103" t="s">
        <v>377</v>
      </c>
      <c r="D36" s="403" t="s">
        <v>380</v>
      </c>
      <c r="E36" s="404"/>
      <c r="F36" s="109">
        <v>1.5E-3</v>
      </c>
      <c r="G36" s="109">
        <v>3.0000000000000001E-3</v>
      </c>
      <c r="H36" s="109">
        <v>2.0999999999999999E-3</v>
      </c>
      <c r="I36" s="109"/>
      <c r="J36" s="109"/>
    </row>
    <row r="37" spans="1:10" s="12" customFormat="1" ht="23.25" customHeight="1" x14ac:dyDescent="0.25">
      <c r="A37" s="243" t="s">
        <v>399</v>
      </c>
      <c r="B37" s="244"/>
      <c r="C37" s="103" t="s">
        <v>377</v>
      </c>
      <c r="D37" s="403" t="s">
        <v>380</v>
      </c>
      <c r="E37" s="404"/>
      <c r="F37" s="109">
        <v>1.5E-3</v>
      </c>
      <c r="G37" s="109">
        <v>3.0000000000000001E-3</v>
      </c>
      <c r="H37" s="109">
        <v>2.0999999999999999E-3</v>
      </c>
      <c r="I37" s="109"/>
      <c r="J37" s="109"/>
    </row>
    <row r="38" spans="1:10" s="12" customFormat="1" ht="23.25" customHeight="1" x14ac:dyDescent="0.25">
      <c r="A38" s="243" t="s">
        <v>400</v>
      </c>
      <c r="B38" s="244"/>
      <c r="C38" s="103" t="s">
        <v>377</v>
      </c>
      <c r="D38" s="403" t="s">
        <v>380</v>
      </c>
      <c r="E38" s="404"/>
      <c r="F38" s="109">
        <v>3.5999999999999997E-2</v>
      </c>
      <c r="G38" s="109">
        <v>4.4999999999999998E-2</v>
      </c>
      <c r="H38" s="109">
        <v>5.2999999999999999E-2</v>
      </c>
      <c r="I38" s="109"/>
      <c r="J38" s="109"/>
    </row>
    <row r="39" spans="1:10" s="12" customFormat="1" ht="23.25" customHeight="1" x14ac:dyDescent="0.25">
      <c r="A39" s="243" t="s">
        <v>401</v>
      </c>
      <c r="B39" s="244"/>
      <c r="C39" s="103" t="s">
        <v>377</v>
      </c>
      <c r="D39" s="403" t="s">
        <v>380</v>
      </c>
      <c r="E39" s="404"/>
      <c r="F39" s="109">
        <v>1.5E-3</v>
      </c>
      <c r="G39" s="109">
        <v>3.0000000000000001E-3</v>
      </c>
      <c r="H39" s="109">
        <v>2.0999999999999999E-3</v>
      </c>
      <c r="I39" s="109"/>
      <c r="J39" s="109"/>
    </row>
    <row r="40" spans="1:10" s="12" customFormat="1" ht="23.25" customHeight="1" x14ac:dyDescent="0.25">
      <c r="A40" s="243" t="s">
        <v>402</v>
      </c>
      <c r="B40" s="244"/>
      <c r="C40" s="105" t="s">
        <v>377</v>
      </c>
      <c r="D40" s="403" t="s">
        <v>380</v>
      </c>
      <c r="E40" s="404"/>
      <c r="F40" s="109">
        <v>7.6999999999999999E-2</v>
      </c>
      <c r="G40" s="109">
        <v>0.14000000000000001</v>
      </c>
      <c r="H40" s="109">
        <v>0.1</v>
      </c>
      <c r="I40" s="109"/>
      <c r="J40" s="109"/>
    </row>
    <row r="41" spans="1:10" x14ac:dyDescent="0.25">
      <c r="A41" s="261" t="s">
        <v>335</v>
      </c>
      <c r="B41" s="261"/>
      <c r="C41" s="261"/>
      <c r="D41" s="261"/>
      <c r="E41" s="261"/>
      <c r="F41" s="261"/>
      <c r="G41" s="261"/>
      <c r="H41" s="261"/>
      <c r="I41" s="261"/>
      <c r="J41" s="261"/>
    </row>
    <row r="42" spans="1:10" x14ac:dyDescent="0.25">
      <c r="A42" s="356" t="s">
        <v>403</v>
      </c>
      <c r="B42" s="356"/>
      <c r="C42" s="356"/>
      <c r="D42" s="356"/>
      <c r="E42" s="356"/>
      <c r="F42" s="356"/>
      <c r="G42" s="356"/>
      <c r="H42" s="356"/>
      <c r="I42" s="356"/>
      <c r="J42" s="356"/>
    </row>
    <row r="43" spans="1:10" x14ac:dyDescent="0.25">
      <c r="A43" s="356"/>
      <c r="B43" s="356"/>
      <c r="C43" s="356"/>
      <c r="D43" s="356"/>
      <c r="E43" s="356"/>
      <c r="F43" s="356"/>
      <c r="G43" s="356"/>
      <c r="H43" s="356"/>
      <c r="I43" s="356"/>
      <c r="J43" s="356"/>
    </row>
    <row r="66" spans="6:6" x14ac:dyDescent="0.25">
      <c r="F66" s="3"/>
    </row>
  </sheetData>
  <mergeCells count="68">
    <mergeCell ref="A14:B14"/>
    <mergeCell ref="D19:E19"/>
    <mergeCell ref="D20:E20"/>
    <mergeCell ref="A23:B23"/>
    <mergeCell ref="A24:B24"/>
    <mergeCell ref="A18:B18"/>
    <mergeCell ref="A21:B21"/>
    <mergeCell ref="A22:B22"/>
    <mergeCell ref="D16:E16"/>
    <mergeCell ref="D17:E17"/>
    <mergeCell ref="D18:E18"/>
    <mergeCell ref="D24:E24"/>
    <mergeCell ref="D14:E14"/>
    <mergeCell ref="D25:E25"/>
    <mergeCell ref="A25:B25"/>
    <mergeCell ref="A26:B26"/>
    <mergeCell ref="A15:B15"/>
    <mergeCell ref="D26:E26"/>
    <mergeCell ref="D15:E15"/>
    <mergeCell ref="D21:E21"/>
    <mergeCell ref="D22:E22"/>
    <mergeCell ref="D23:E23"/>
    <mergeCell ref="A27:B27"/>
    <mergeCell ref="D27:E27"/>
    <mergeCell ref="A28:B28"/>
    <mergeCell ref="D32:E32"/>
    <mergeCell ref="D38:E38"/>
    <mergeCell ref="D37:E37"/>
    <mergeCell ref="A29:B29"/>
    <mergeCell ref="D36:E36"/>
    <mergeCell ref="A38:B38"/>
    <mergeCell ref="D33:E33"/>
    <mergeCell ref="D28:E28"/>
    <mergeCell ref="D29:E29"/>
    <mergeCell ref="A39:B39"/>
    <mergeCell ref="A40:B40"/>
    <mergeCell ref="A30:B30"/>
    <mergeCell ref="D30:E30"/>
    <mergeCell ref="A31:B31"/>
    <mergeCell ref="D31:E31"/>
    <mergeCell ref="A42:J43"/>
    <mergeCell ref="A19:B19"/>
    <mergeCell ref="A20:B20"/>
    <mergeCell ref="A16:B16"/>
    <mergeCell ref="A17:B17"/>
    <mergeCell ref="A32:B32"/>
    <mergeCell ref="A33:B33"/>
    <mergeCell ref="A34:B34"/>
    <mergeCell ref="A35:B35"/>
    <mergeCell ref="A36:B36"/>
    <mergeCell ref="A37:B37"/>
    <mergeCell ref="D34:E34"/>
    <mergeCell ref="D35:E35"/>
    <mergeCell ref="A41:J41"/>
    <mergeCell ref="D39:E39"/>
    <mergeCell ref="D40:E40"/>
    <mergeCell ref="M6:P9"/>
    <mergeCell ref="A9:J9"/>
    <mergeCell ref="A6:J7"/>
    <mergeCell ref="M10:P13"/>
    <mergeCell ref="A10:B11"/>
    <mergeCell ref="F10:J10"/>
    <mergeCell ref="D10:E11"/>
    <mergeCell ref="C10:C11"/>
    <mergeCell ref="D12:E12"/>
    <mergeCell ref="D13:E13"/>
    <mergeCell ref="A12:B12"/>
    <mergeCell ref="A13:B13"/>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7"/>
  <sheetViews>
    <sheetView workbookViewId="0">
      <selection activeCell="P19" sqref="P19"/>
    </sheetView>
  </sheetViews>
  <sheetFormatPr defaultColWidth="9.109375" defaultRowHeight="15" x14ac:dyDescent="0.25"/>
  <cols>
    <col min="1" max="1" width="21.109375" style="2" customWidth="1"/>
    <col min="2" max="2" width="13.88671875" style="2" customWidth="1"/>
    <col min="3" max="3" width="16.109375" style="2" customWidth="1"/>
    <col min="4" max="12" width="9.109375" style="2"/>
    <col min="13" max="13" width="10.44140625" style="2" customWidth="1"/>
    <col min="14" max="16384" width="9.109375" style="2"/>
  </cols>
  <sheetData>
    <row r="1" spans="1:16" x14ac:dyDescent="0.25">
      <c r="A1" s="91" t="str">
        <f>+'Cover Page'!$B$29</f>
        <v>Annual Performance Report 2022</v>
      </c>
      <c r="B1" s="91"/>
      <c r="C1" s="91"/>
      <c r="D1" s="91"/>
      <c r="E1" s="91"/>
      <c r="F1" s="91"/>
      <c r="G1" s="91"/>
      <c r="H1" s="91"/>
      <c r="I1" s="91" t="str">
        <f>+'Cover Page'!$B$33</f>
        <v>Kent Enviropower Limited</v>
      </c>
      <c r="J1" s="91"/>
      <c r="K1" s="91"/>
      <c r="L1" s="91"/>
      <c r="M1" s="91"/>
      <c r="N1" s="91"/>
      <c r="O1" s="91"/>
      <c r="P1" s="91"/>
    </row>
    <row r="3" spans="1:16" ht="15.6" x14ac:dyDescent="0.3">
      <c r="A3" s="1" t="s">
        <v>404</v>
      </c>
      <c r="B3" s="91"/>
      <c r="C3" s="91"/>
      <c r="D3" s="91"/>
      <c r="E3" s="91"/>
      <c r="F3" s="91"/>
      <c r="G3" s="91"/>
      <c r="H3" s="91"/>
      <c r="I3" s="91"/>
      <c r="J3" s="91"/>
      <c r="K3" s="91"/>
      <c r="L3" s="91"/>
      <c r="M3" s="91"/>
      <c r="N3" s="91"/>
      <c r="O3" s="91"/>
      <c r="P3" s="91"/>
    </row>
    <row r="4" spans="1:16" ht="15.6" x14ac:dyDescent="0.3">
      <c r="A4" s="1"/>
      <c r="B4" s="91"/>
      <c r="C4" s="91"/>
      <c r="D4" s="91"/>
      <c r="E4" s="91"/>
      <c r="F4" s="91"/>
      <c r="G4" s="91"/>
      <c r="H4" s="91"/>
      <c r="I4" s="91"/>
      <c r="J4" s="91"/>
      <c r="K4" s="91"/>
      <c r="L4" s="91"/>
      <c r="M4" s="91"/>
      <c r="N4" s="91"/>
      <c r="O4" s="91"/>
      <c r="P4" s="72" t="s">
        <v>3</v>
      </c>
    </row>
    <row r="5" spans="1:16" s="3" customFormat="1" ht="21.75" customHeight="1" x14ac:dyDescent="0.3">
      <c r="A5" s="47" t="s">
        <v>358</v>
      </c>
      <c r="B5" s="48"/>
      <c r="C5" s="48"/>
      <c r="D5" s="48"/>
      <c r="E5" s="48"/>
      <c r="F5" s="48"/>
      <c r="G5" s="48"/>
      <c r="H5" s="48"/>
      <c r="I5" s="48"/>
      <c r="J5" s="48"/>
      <c r="K5" s="48"/>
      <c r="L5" s="48"/>
      <c r="M5" s="49"/>
      <c r="P5" s="73" t="s">
        <v>405</v>
      </c>
    </row>
    <row r="6" spans="1:16" s="3" customFormat="1" ht="15.75" customHeight="1" x14ac:dyDescent="0.25">
      <c r="A6" s="383" t="s">
        <v>406</v>
      </c>
      <c r="B6" s="384"/>
      <c r="C6" s="384"/>
      <c r="D6" s="384"/>
      <c r="E6" s="384"/>
      <c r="F6" s="384"/>
      <c r="G6" s="384"/>
      <c r="H6" s="384"/>
      <c r="I6" s="384"/>
      <c r="J6" s="384"/>
      <c r="K6" s="384"/>
      <c r="L6" s="384"/>
      <c r="M6" s="385"/>
      <c r="P6" s="3" t="s">
        <v>407</v>
      </c>
    </row>
    <row r="7" spans="1:16" s="3" customFormat="1" ht="15.75" customHeight="1" x14ac:dyDescent="0.25">
      <c r="A7" s="386"/>
      <c r="B7" s="387"/>
      <c r="C7" s="387"/>
      <c r="D7" s="387"/>
      <c r="E7" s="387"/>
      <c r="F7" s="387"/>
      <c r="G7" s="387"/>
      <c r="H7" s="387"/>
      <c r="I7" s="387"/>
      <c r="J7" s="387"/>
      <c r="K7" s="387"/>
      <c r="L7" s="387"/>
      <c r="M7" s="388"/>
    </row>
    <row r="8" spans="1:16" s="3" customFormat="1" ht="15.75" customHeight="1" x14ac:dyDescent="0.25">
      <c r="A8" s="197"/>
      <c r="B8" s="198"/>
      <c r="C8" s="198"/>
      <c r="D8" s="198"/>
      <c r="E8" s="198"/>
      <c r="F8" s="198"/>
      <c r="G8" s="198"/>
      <c r="H8" s="198"/>
      <c r="I8" s="198"/>
      <c r="J8" s="198"/>
      <c r="K8" s="198"/>
      <c r="L8" s="198"/>
      <c r="M8" s="199"/>
    </row>
    <row r="9" spans="1:16" s="3" customFormat="1" ht="15.75" customHeight="1" x14ac:dyDescent="0.25">
      <c r="A9" s="203"/>
      <c r="B9" s="204"/>
      <c r="C9" s="204"/>
      <c r="D9" s="204"/>
      <c r="E9" s="204"/>
      <c r="F9" s="204"/>
      <c r="G9" s="204"/>
      <c r="H9" s="204"/>
      <c r="I9" s="204"/>
      <c r="J9" s="204"/>
      <c r="K9" s="204"/>
      <c r="L9" s="204"/>
      <c r="M9" s="205"/>
    </row>
    <row r="10" spans="1:16" s="3" customFormat="1" ht="13.8" x14ac:dyDescent="0.25"/>
    <row r="11" spans="1:16" s="55" customFormat="1" ht="16.5" customHeight="1" x14ac:dyDescent="0.25">
      <c r="A11" s="354" t="s">
        <v>408</v>
      </c>
      <c r="B11" s="354"/>
      <c r="C11" s="354"/>
      <c r="D11" s="354"/>
      <c r="E11" s="354"/>
      <c r="F11" s="354"/>
      <c r="G11" s="354"/>
      <c r="H11" s="354"/>
      <c r="I11" s="354"/>
      <c r="J11" s="354"/>
      <c r="K11" s="354"/>
      <c r="L11" s="354"/>
      <c r="M11" s="354"/>
    </row>
    <row r="12" spans="1:16" s="55" customFormat="1" ht="16.5" customHeight="1" x14ac:dyDescent="0.25">
      <c r="A12" s="411" t="s">
        <v>219</v>
      </c>
      <c r="B12" s="401" t="s">
        <v>409</v>
      </c>
      <c r="C12" s="301" t="s">
        <v>363</v>
      </c>
      <c r="D12" s="302" t="s">
        <v>190</v>
      </c>
      <c r="E12" s="413"/>
      <c r="F12" s="302" t="s">
        <v>191</v>
      </c>
      <c r="G12" s="413"/>
      <c r="H12" s="302" t="s">
        <v>192</v>
      </c>
      <c r="I12" s="413"/>
      <c r="J12" s="302"/>
      <c r="K12" s="413"/>
      <c r="L12" s="302"/>
      <c r="M12" s="413"/>
    </row>
    <row r="13" spans="1:16" s="12" customFormat="1" ht="17.25" customHeight="1" x14ac:dyDescent="0.25">
      <c r="A13" s="411"/>
      <c r="B13" s="412"/>
      <c r="C13" s="301"/>
      <c r="D13" s="45" t="s">
        <v>342</v>
      </c>
      <c r="E13" s="56" t="s">
        <v>410</v>
      </c>
      <c r="F13" s="45" t="s">
        <v>342</v>
      </c>
      <c r="G13" s="56" t="s">
        <v>410</v>
      </c>
      <c r="H13" s="45" t="s">
        <v>342</v>
      </c>
      <c r="I13" s="56" t="s">
        <v>410</v>
      </c>
      <c r="J13" s="45"/>
      <c r="K13" s="56"/>
      <c r="L13" s="45"/>
      <c r="M13" s="56"/>
      <c r="N13" s="127"/>
      <c r="O13" s="127"/>
      <c r="P13" s="127"/>
    </row>
    <row r="14" spans="1:16" s="12" customFormat="1" ht="23.25" customHeight="1" x14ac:dyDescent="0.25">
      <c r="A14" s="234" t="s">
        <v>225</v>
      </c>
      <c r="B14" s="107" t="s">
        <v>411</v>
      </c>
      <c r="C14" s="107" t="s">
        <v>412</v>
      </c>
      <c r="D14" s="109">
        <v>166.4</v>
      </c>
      <c r="E14" s="109">
        <v>126.9</v>
      </c>
      <c r="F14" s="109">
        <v>168.1</v>
      </c>
      <c r="G14" s="109">
        <v>145.9</v>
      </c>
      <c r="H14" s="109">
        <v>166.9</v>
      </c>
      <c r="I14" s="109">
        <v>118.9</v>
      </c>
      <c r="J14" s="109"/>
      <c r="K14" s="109"/>
      <c r="L14" s="109"/>
      <c r="M14" s="109"/>
      <c r="N14" s="127"/>
      <c r="O14" s="127"/>
      <c r="P14" s="127"/>
    </row>
    <row r="15" spans="1:16" s="12" customFormat="1" ht="23.25" customHeight="1" x14ac:dyDescent="0.25">
      <c r="A15" s="234"/>
      <c r="B15" s="107" t="s">
        <v>413</v>
      </c>
      <c r="C15" s="107" t="s">
        <v>414</v>
      </c>
      <c r="D15" s="109">
        <v>310.5</v>
      </c>
      <c r="E15" s="109">
        <v>127.5</v>
      </c>
      <c r="F15" s="109">
        <v>465.6</v>
      </c>
      <c r="G15" s="109">
        <v>145.9</v>
      </c>
      <c r="H15" s="109">
        <v>326.39999999999998</v>
      </c>
      <c r="I15" s="109">
        <v>131.5</v>
      </c>
      <c r="J15" s="109"/>
      <c r="K15" s="109"/>
      <c r="L15" s="109"/>
      <c r="M15" s="109"/>
      <c r="N15" s="127"/>
      <c r="O15" s="127"/>
      <c r="P15" s="127"/>
    </row>
    <row r="16" spans="1:16" s="12" customFormat="1" ht="23.25" customHeight="1" x14ac:dyDescent="0.25">
      <c r="A16" s="176" t="s">
        <v>224</v>
      </c>
      <c r="B16" s="177" t="s">
        <v>411</v>
      </c>
      <c r="C16" s="107" t="s">
        <v>415</v>
      </c>
      <c r="D16" s="109">
        <v>4.5999999999999996</v>
      </c>
      <c r="E16" s="109">
        <v>1.1000000000000001</v>
      </c>
      <c r="F16" s="109">
        <v>4.2</v>
      </c>
      <c r="G16" s="109">
        <v>1.24</v>
      </c>
      <c r="H16" s="109">
        <v>4.3</v>
      </c>
      <c r="I16" s="109">
        <v>1.05</v>
      </c>
      <c r="J16" s="109"/>
      <c r="K16" s="109"/>
      <c r="L16" s="109"/>
      <c r="M16" s="109"/>
      <c r="N16" s="127"/>
      <c r="O16" s="127"/>
      <c r="P16" s="127"/>
    </row>
    <row r="17" spans="1:13" s="12" customFormat="1" ht="23.25" customHeight="1" x14ac:dyDescent="0.25">
      <c r="A17" s="176"/>
      <c r="B17" s="107" t="s">
        <v>413</v>
      </c>
      <c r="C17" s="107" t="s">
        <v>416</v>
      </c>
      <c r="D17" s="109">
        <v>20.5</v>
      </c>
      <c r="E17" s="109">
        <v>1.0900000000000001</v>
      </c>
      <c r="F17" s="109">
        <v>16.899999999999999</v>
      </c>
      <c r="G17" s="109">
        <v>1.22</v>
      </c>
      <c r="H17" s="109">
        <v>14.2</v>
      </c>
      <c r="I17" s="109">
        <v>1.36</v>
      </c>
      <c r="J17" s="109"/>
      <c r="K17" s="109"/>
      <c r="L17" s="109"/>
      <c r="M17" s="109"/>
    </row>
    <row r="18" spans="1:13" s="12" customFormat="1" ht="23.25" customHeight="1" x14ac:dyDescent="0.25">
      <c r="A18" s="176" t="s">
        <v>417</v>
      </c>
      <c r="B18" s="107" t="s">
        <v>411</v>
      </c>
      <c r="C18" s="107" t="s">
        <v>418</v>
      </c>
      <c r="D18" s="109">
        <v>1.7</v>
      </c>
      <c r="E18" s="109">
        <v>0.4</v>
      </c>
      <c r="F18" s="109">
        <v>1.8</v>
      </c>
      <c r="G18" s="109">
        <v>0.28999999999999998</v>
      </c>
      <c r="H18" s="109">
        <v>4</v>
      </c>
      <c r="I18" s="109">
        <v>0.4</v>
      </c>
      <c r="J18" s="109"/>
      <c r="K18" s="109"/>
      <c r="L18" s="109"/>
      <c r="M18" s="109"/>
    </row>
    <row r="19" spans="1:13" s="12" customFormat="1" ht="23.25" customHeight="1" x14ac:dyDescent="0.25">
      <c r="A19" s="176"/>
      <c r="B19" s="107" t="s">
        <v>419</v>
      </c>
      <c r="C19" s="107" t="s">
        <v>420</v>
      </c>
      <c r="D19" s="109">
        <v>1292.9000000000001</v>
      </c>
      <c r="E19" s="109">
        <v>0.5</v>
      </c>
      <c r="F19" s="109">
        <v>62.5</v>
      </c>
      <c r="G19" s="109">
        <v>0.28999999999999998</v>
      </c>
      <c r="H19" s="109">
        <v>176.9</v>
      </c>
      <c r="I19" s="109">
        <v>0.43</v>
      </c>
      <c r="J19" s="109"/>
      <c r="K19" s="109"/>
      <c r="L19" s="109"/>
      <c r="M19" s="109"/>
    </row>
    <row r="20" spans="1:13" s="12" customFormat="1" ht="23.25" customHeight="1" x14ac:dyDescent="0.25">
      <c r="A20" s="176" t="s">
        <v>421</v>
      </c>
      <c r="B20" s="107" t="s">
        <v>411</v>
      </c>
      <c r="C20" s="107" t="s">
        <v>418</v>
      </c>
      <c r="D20" s="109">
        <v>8.1999999999999993</v>
      </c>
      <c r="E20" s="109">
        <v>3.28</v>
      </c>
      <c r="F20" s="109">
        <v>7.7</v>
      </c>
      <c r="G20" s="109">
        <v>4.96</v>
      </c>
      <c r="H20" s="109">
        <v>8.3000000000000007</v>
      </c>
      <c r="I20" s="109">
        <v>4.0999999999999996</v>
      </c>
      <c r="J20" s="109"/>
      <c r="K20" s="109"/>
      <c r="L20" s="109"/>
      <c r="M20" s="109"/>
    </row>
    <row r="21" spans="1:13" s="12" customFormat="1" ht="23.25" customHeight="1" x14ac:dyDescent="0.25">
      <c r="A21" s="176"/>
      <c r="B21" s="107" t="s">
        <v>413</v>
      </c>
      <c r="C21" s="107" t="s">
        <v>422</v>
      </c>
      <c r="D21" s="109">
        <v>38.700000000000003</v>
      </c>
      <c r="E21" s="109">
        <v>3.26</v>
      </c>
      <c r="F21" s="109">
        <v>61.3</v>
      </c>
      <c r="G21" s="109">
        <v>4.99</v>
      </c>
      <c r="H21" s="109">
        <v>151</v>
      </c>
      <c r="I21" s="109">
        <v>4.53</v>
      </c>
      <c r="J21" s="109"/>
      <c r="K21" s="109"/>
      <c r="L21" s="109"/>
      <c r="M21" s="109"/>
    </row>
    <row r="22" spans="1:13" s="12" customFormat="1" ht="23.25" customHeight="1" x14ac:dyDescent="0.25">
      <c r="A22" s="176" t="s">
        <v>226</v>
      </c>
      <c r="B22" s="107" t="s">
        <v>411</v>
      </c>
      <c r="C22" s="107" t="s">
        <v>423</v>
      </c>
      <c r="D22" s="109">
        <v>5.3</v>
      </c>
      <c r="E22" s="109">
        <v>0.22</v>
      </c>
      <c r="F22" s="109">
        <v>2.8</v>
      </c>
      <c r="G22" s="109">
        <v>0.8</v>
      </c>
      <c r="H22" s="109">
        <v>2.8</v>
      </c>
      <c r="I22" s="109">
        <v>0.46</v>
      </c>
      <c r="J22" s="109"/>
      <c r="K22" s="109"/>
      <c r="L22" s="109"/>
      <c r="M22" s="109"/>
    </row>
    <row r="23" spans="1:13" s="12" customFormat="1" ht="23.25" customHeight="1" x14ac:dyDescent="0.25">
      <c r="A23" s="176"/>
      <c r="B23" s="107" t="s">
        <v>413</v>
      </c>
      <c r="C23" s="107" t="s">
        <v>412</v>
      </c>
      <c r="D23" s="109">
        <v>232.8</v>
      </c>
      <c r="E23" s="109">
        <v>0.25</v>
      </c>
      <c r="F23" s="109">
        <v>188</v>
      </c>
      <c r="G23" s="109">
        <v>0.81</v>
      </c>
      <c r="H23" s="109">
        <v>38.6</v>
      </c>
      <c r="I23" s="109">
        <v>0.47</v>
      </c>
      <c r="J23" s="109"/>
      <c r="K23" s="109"/>
      <c r="L23" s="109"/>
      <c r="M23" s="109"/>
    </row>
    <row r="24" spans="1:13" s="12" customFormat="1" ht="23.25" customHeight="1" x14ac:dyDescent="0.25">
      <c r="A24" s="176" t="s">
        <v>424</v>
      </c>
      <c r="B24" s="107" t="s">
        <v>411</v>
      </c>
      <c r="C24" s="107" t="s">
        <v>423</v>
      </c>
      <c r="D24" s="109">
        <v>35.799999999999997</v>
      </c>
      <c r="E24" s="109">
        <v>4.82</v>
      </c>
      <c r="F24" s="109">
        <v>21.8</v>
      </c>
      <c r="G24" s="109">
        <v>3.16</v>
      </c>
      <c r="H24" s="109">
        <v>18.2</v>
      </c>
      <c r="I24" s="109">
        <v>5.46</v>
      </c>
      <c r="J24" s="109"/>
      <c r="K24" s="109"/>
      <c r="L24" s="109"/>
      <c r="M24" s="109"/>
    </row>
    <row r="25" spans="1:13" s="12" customFormat="1" ht="23.25" customHeight="1" x14ac:dyDescent="0.25">
      <c r="A25" s="176"/>
      <c r="B25" s="107" t="s">
        <v>425</v>
      </c>
      <c r="C25" s="107" t="s">
        <v>426</v>
      </c>
      <c r="D25" s="109">
        <v>15.15</v>
      </c>
      <c r="E25" s="109" t="s">
        <v>264</v>
      </c>
      <c r="F25" s="109">
        <v>9.32</v>
      </c>
      <c r="G25" s="109" t="s">
        <v>264</v>
      </c>
      <c r="H25" s="109">
        <v>28.9</v>
      </c>
      <c r="I25" s="109" t="s">
        <v>264</v>
      </c>
      <c r="J25" s="109"/>
      <c r="K25" s="109"/>
      <c r="L25" s="109"/>
      <c r="M25" s="109"/>
    </row>
    <row r="26" spans="1:13" s="12" customFormat="1" ht="23.25" customHeight="1" x14ac:dyDescent="0.25">
      <c r="A26" s="178" t="s">
        <v>427</v>
      </c>
      <c r="B26" s="108" t="s">
        <v>411</v>
      </c>
      <c r="C26" s="108" t="s">
        <v>428</v>
      </c>
      <c r="D26" s="179">
        <v>2</v>
      </c>
      <c r="E26" s="179">
        <v>0.17</v>
      </c>
      <c r="F26" s="179">
        <v>0.6</v>
      </c>
      <c r="G26" s="179">
        <v>0.1</v>
      </c>
      <c r="H26" s="179">
        <v>0.9</v>
      </c>
      <c r="I26" s="179">
        <v>0.28999999999999998</v>
      </c>
      <c r="J26" s="179"/>
      <c r="K26" s="179"/>
      <c r="L26" s="179"/>
      <c r="M26" s="179"/>
    </row>
    <row r="27" spans="1:13" x14ac:dyDescent="0.25">
      <c r="A27" s="407" t="s">
        <v>429</v>
      </c>
      <c r="B27" s="408"/>
      <c r="C27" s="408"/>
      <c r="D27" s="408"/>
      <c r="E27" s="408"/>
      <c r="F27" s="408"/>
      <c r="G27" s="408"/>
      <c r="H27" s="408"/>
      <c r="I27" s="408"/>
      <c r="J27" s="408"/>
      <c r="K27" s="408"/>
      <c r="L27" s="408"/>
      <c r="M27" s="409"/>
    </row>
    <row r="28" spans="1:13" x14ac:dyDescent="0.25">
      <c r="A28" s="82" t="s">
        <v>335</v>
      </c>
      <c r="B28" s="83"/>
      <c r="C28" s="83"/>
      <c r="D28" s="83"/>
      <c r="E28" s="83"/>
      <c r="F28" s="83"/>
      <c r="G28" s="83"/>
      <c r="H28" s="83"/>
      <c r="I28" s="83"/>
      <c r="J28" s="83"/>
      <c r="K28" s="83"/>
      <c r="L28" s="83"/>
      <c r="M28" s="84"/>
    </row>
    <row r="29" spans="1:13" x14ac:dyDescent="0.25">
      <c r="A29" s="410" t="s">
        <v>430</v>
      </c>
      <c r="B29" s="410"/>
      <c r="C29" s="410"/>
      <c r="D29" s="410"/>
      <c r="E29" s="410"/>
      <c r="F29" s="410"/>
      <c r="G29" s="410"/>
      <c r="H29" s="410"/>
      <c r="I29" s="410"/>
      <c r="J29" s="410"/>
      <c r="K29" s="410"/>
      <c r="L29" s="410"/>
      <c r="M29" s="410"/>
    </row>
    <row r="30" spans="1:13" x14ac:dyDescent="0.25">
      <c r="A30" s="356"/>
      <c r="B30" s="356"/>
      <c r="C30" s="356"/>
      <c r="D30" s="356"/>
      <c r="E30" s="356"/>
      <c r="F30" s="356"/>
      <c r="G30" s="356"/>
      <c r="H30" s="356"/>
      <c r="I30" s="356"/>
      <c r="J30" s="356"/>
      <c r="K30" s="356"/>
      <c r="L30" s="356"/>
      <c r="M30" s="356"/>
    </row>
    <row r="67" spans="6:6" x14ac:dyDescent="0.25">
      <c r="F67" s="3"/>
    </row>
  </sheetData>
  <mergeCells count="14">
    <mergeCell ref="A27:M27"/>
    <mergeCell ref="A29:M30"/>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topLeftCell="A13" workbookViewId="0">
      <selection activeCell="A49" sqref="A49:G52"/>
    </sheetView>
  </sheetViews>
  <sheetFormatPr defaultRowHeight="13.8" x14ac:dyDescent="0.25"/>
  <cols>
    <col min="1" max="1" width="14" style="3" customWidth="1"/>
    <col min="2" max="7" width="17" style="34" customWidth="1"/>
    <col min="8" max="11" width="9.109375" style="3"/>
    <col min="12" max="12" width="15.44140625" style="3" customWidth="1"/>
    <col min="13" max="13" width="17.44140625" style="3" bestFit="1" customWidth="1"/>
    <col min="14" max="14" width="13.88671875" style="3" customWidth="1"/>
    <col min="15" max="15" width="15" style="3" customWidth="1"/>
    <col min="16" max="18" width="9.109375" style="3"/>
    <col min="19" max="19" width="21.88671875" style="3" customWidth="1"/>
    <col min="20" max="256" width="9.109375" style="3"/>
    <col min="257" max="257" width="14" style="3" customWidth="1"/>
    <col min="258" max="263" width="10.109375" style="3" customWidth="1"/>
    <col min="264" max="512" width="9.109375" style="3"/>
    <col min="513" max="513" width="14" style="3" customWidth="1"/>
    <col min="514" max="519" width="10.109375" style="3" customWidth="1"/>
    <col min="520" max="768" width="9.109375" style="3"/>
    <col min="769" max="769" width="14" style="3" customWidth="1"/>
    <col min="770" max="775" width="10.109375" style="3" customWidth="1"/>
    <col min="776" max="1024" width="9.109375" style="3"/>
    <col min="1025" max="1025" width="14" style="3" customWidth="1"/>
    <col min="1026" max="1031" width="10.109375" style="3" customWidth="1"/>
    <col min="1032" max="1280" width="9.109375" style="3"/>
    <col min="1281" max="1281" width="14" style="3" customWidth="1"/>
    <col min="1282" max="1287" width="10.109375" style="3" customWidth="1"/>
    <col min="1288" max="1536" width="9.109375" style="3"/>
    <col min="1537" max="1537" width="14" style="3" customWidth="1"/>
    <col min="1538" max="1543" width="10.109375" style="3" customWidth="1"/>
    <col min="1544" max="1792" width="9.109375" style="3"/>
    <col min="1793" max="1793" width="14" style="3" customWidth="1"/>
    <col min="1794" max="1799" width="10.109375" style="3" customWidth="1"/>
    <col min="1800" max="2048" width="9.109375" style="3"/>
    <col min="2049" max="2049" width="14" style="3" customWidth="1"/>
    <col min="2050" max="2055" width="10.109375" style="3" customWidth="1"/>
    <col min="2056" max="2304" width="9.109375" style="3"/>
    <col min="2305" max="2305" width="14" style="3" customWidth="1"/>
    <col min="2306" max="2311" width="10.109375" style="3" customWidth="1"/>
    <col min="2312" max="2560" width="9.109375" style="3"/>
    <col min="2561" max="2561" width="14" style="3" customWidth="1"/>
    <col min="2562" max="2567" width="10.109375" style="3" customWidth="1"/>
    <col min="2568" max="2816" width="9.109375" style="3"/>
    <col min="2817" max="2817" width="14" style="3" customWidth="1"/>
    <col min="2818" max="2823" width="10.109375" style="3" customWidth="1"/>
    <col min="2824" max="3072" width="9.109375" style="3"/>
    <col min="3073" max="3073" width="14" style="3" customWidth="1"/>
    <col min="3074" max="3079" width="10.109375" style="3" customWidth="1"/>
    <col min="3080" max="3328" width="9.109375" style="3"/>
    <col min="3329" max="3329" width="14" style="3" customWidth="1"/>
    <col min="3330" max="3335" width="10.109375" style="3" customWidth="1"/>
    <col min="3336" max="3584" width="9.109375" style="3"/>
    <col min="3585" max="3585" width="14" style="3" customWidth="1"/>
    <col min="3586" max="3591" width="10.109375" style="3" customWidth="1"/>
    <col min="3592" max="3840" width="9.109375" style="3"/>
    <col min="3841" max="3841" width="14" style="3" customWidth="1"/>
    <col min="3842" max="3847" width="10.109375" style="3" customWidth="1"/>
    <col min="3848" max="4096" width="9.109375" style="3"/>
    <col min="4097" max="4097" width="14" style="3" customWidth="1"/>
    <col min="4098" max="4103" width="10.109375" style="3" customWidth="1"/>
    <col min="4104" max="4352" width="9.109375" style="3"/>
    <col min="4353" max="4353" width="14" style="3" customWidth="1"/>
    <col min="4354" max="4359" width="10.109375" style="3" customWidth="1"/>
    <col min="4360" max="4608" width="9.109375" style="3"/>
    <col min="4609" max="4609" width="14" style="3" customWidth="1"/>
    <col min="4610" max="4615" width="10.109375" style="3" customWidth="1"/>
    <col min="4616" max="4864" width="9.109375" style="3"/>
    <col min="4865" max="4865" width="14" style="3" customWidth="1"/>
    <col min="4866" max="4871" width="10.109375" style="3" customWidth="1"/>
    <col min="4872" max="5120" width="9.109375" style="3"/>
    <col min="5121" max="5121" width="14" style="3" customWidth="1"/>
    <col min="5122" max="5127" width="10.109375" style="3" customWidth="1"/>
    <col min="5128" max="5376" width="9.109375" style="3"/>
    <col min="5377" max="5377" width="14" style="3" customWidth="1"/>
    <col min="5378" max="5383" width="10.109375" style="3" customWidth="1"/>
    <col min="5384" max="5632" width="9.109375" style="3"/>
    <col min="5633" max="5633" width="14" style="3" customWidth="1"/>
    <col min="5634" max="5639" width="10.109375" style="3" customWidth="1"/>
    <col min="5640" max="5888" width="9.109375" style="3"/>
    <col min="5889" max="5889" width="14" style="3" customWidth="1"/>
    <col min="5890" max="5895" width="10.109375" style="3" customWidth="1"/>
    <col min="5896" max="6144" width="9.109375" style="3"/>
    <col min="6145" max="6145" width="14" style="3" customWidth="1"/>
    <col min="6146" max="6151" width="10.109375" style="3" customWidth="1"/>
    <col min="6152" max="6400" width="9.109375" style="3"/>
    <col min="6401" max="6401" width="14" style="3" customWidth="1"/>
    <col min="6402" max="6407" width="10.109375" style="3" customWidth="1"/>
    <col min="6408" max="6656" width="9.109375" style="3"/>
    <col min="6657" max="6657" width="14" style="3" customWidth="1"/>
    <col min="6658" max="6663" width="10.109375" style="3" customWidth="1"/>
    <col min="6664" max="6912" width="9.109375" style="3"/>
    <col min="6913" max="6913" width="14" style="3" customWidth="1"/>
    <col min="6914" max="6919" width="10.109375" style="3" customWidth="1"/>
    <col min="6920" max="7168" width="9.109375" style="3"/>
    <col min="7169" max="7169" width="14" style="3" customWidth="1"/>
    <col min="7170" max="7175" width="10.109375" style="3" customWidth="1"/>
    <col min="7176" max="7424" width="9.109375" style="3"/>
    <col min="7425" max="7425" width="14" style="3" customWidth="1"/>
    <col min="7426" max="7431" width="10.109375" style="3" customWidth="1"/>
    <col min="7432" max="7680" width="9.109375" style="3"/>
    <col min="7681" max="7681" width="14" style="3" customWidth="1"/>
    <col min="7682" max="7687" width="10.109375" style="3" customWidth="1"/>
    <col min="7688" max="7936" width="9.109375" style="3"/>
    <col min="7937" max="7937" width="14" style="3" customWidth="1"/>
    <col min="7938" max="7943" width="10.109375" style="3" customWidth="1"/>
    <col min="7944" max="8192" width="9.109375" style="3"/>
    <col min="8193" max="8193" width="14" style="3" customWidth="1"/>
    <col min="8194" max="8199" width="10.109375" style="3" customWidth="1"/>
    <col min="8200" max="8448" width="9.109375" style="3"/>
    <col min="8449" max="8449" width="14" style="3" customWidth="1"/>
    <col min="8450" max="8455" width="10.109375" style="3" customWidth="1"/>
    <col min="8456" max="8704" width="9.109375" style="3"/>
    <col min="8705" max="8705" width="14" style="3" customWidth="1"/>
    <col min="8706" max="8711" width="10.109375" style="3" customWidth="1"/>
    <col min="8712" max="8960" width="9.109375" style="3"/>
    <col min="8961" max="8961" width="14" style="3" customWidth="1"/>
    <col min="8962" max="8967" width="10.109375" style="3" customWidth="1"/>
    <col min="8968" max="9216" width="9.109375" style="3"/>
    <col min="9217" max="9217" width="14" style="3" customWidth="1"/>
    <col min="9218" max="9223" width="10.109375" style="3" customWidth="1"/>
    <col min="9224" max="9472" width="9.109375" style="3"/>
    <col min="9473" max="9473" width="14" style="3" customWidth="1"/>
    <col min="9474" max="9479" width="10.109375" style="3" customWidth="1"/>
    <col min="9480" max="9728" width="9.109375" style="3"/>
    <col min="9729" max="9729" width="14" style="3" customWidth="1"/>
    <col min="9730" max="9735" width="10.109375" style="3" customWidth="1"/>
    <col min="9736" max="9984" width="9.109375" style="3"/>
    <col min="9985" max="9985" width="14" style="3" customWidth="1"/>
    <col min="9986" max="9991" width="10.109375" style="3" customWidth="1"/>
    <col min="9992" max="10240" width="9.109375" style="3"/>
    <col min="10241" max="10241" width="14" style="3" customWidth="1"/>
    <col min="10242" max="10247" width="10.109375" style="3" customWidth="1"/>
    <col min="10248" max="10496" width="9.109375" style="3"/>
    <col min="10497" max="10497" width="14" style="3" customWidth="1"/>
    <col min="10498" max="10503" width="10.109375" style="3" customWidth="1"/>
    <col min="10504" max="10752" width="9.109375" style="3"/>
    <col min="10753" max="10753" width="14" style="3" customWidth="1"/>
    <col min="10754" max="10759" width="10.109375" style="3" customWidth="1"/>
    <col min="10760" max="11008" width="9.109375" style="3"/>
    <col min="11009" max="11009" width="14" style="3" customWidth="1"/>
    <col min="11010" max="11015" width="10.109375" style="3" customWidth="1"/>
    <col min="11016" max="11264" width="9.109375" style="3"/>
    <col min="11265" max="11265" width="14" style="3" customWidth="1"/>
    <col min="11266" max="11271" width="10.109375" style="3" customWidth="1"/>
    <col min="11272" max="11520" width="9.109375" style="3"/>
    <col min="11521" max="11521" width="14" style="3" customWidth="1"/>
    <col min="11522" max="11527" width="10.109375" style="3" customWidth="1"/>
    <col min="11528" max="11776" width="9.109375" style="3"/>
    <col min="11777" max="11777" width="14" style="3" customWidth="1"/>
    <col min="11778" max="11783" width="10.109375" style="3" customWidth="1"/>
    <col min="11784" max="12032" width="9.109375" style="3"/>
    <col min="12033" max="12033" width="14" style="3" customWidth="1"/>
    <col min="12034" max="12039" width="10.109375" style="3" customWidth="1"/>
    <col min="12040" max="12288" width="9.109375" style="3"/>
    <col min="12289" max="12289" width="14" style="3" customWidth="1"/>
    <col min="12290" max="12295" width="10.109375" style="3" customWidth="1"/>
    <col min="12296" max="12544" width="9.109375" style="3"/>
    <col min="12545" max="12545" width="14" style="3" customWidth="1"/>
    <col min="12546" max="12551" width="10.109375" style="3" customWidth="1"/>
    <col min="12552" max="12800" width="9.109375" style="3"/>
    <col min="12801" max="12801" width="14" style="3" customWidth="1"/>
    <col min="12802" max="12807" width="10.109375" style="3" customWidth="1"/>
    <col min="12808" max="13056" width="9.109375" style="3"/>
    <col min="13057" max="13057" width="14" style="3" customWidth="1"/>
    <col min="13058" max="13063" width="10.109375" style="3" customWidth="1"/>
    <col min="13064" max="13312" width="9.109375" style="3"/>
    <col min="13313" max="13313" width="14" style="3" customWidth="1"/>
    <col min="13314" max="13319" width="10.109375" style="3" customWidth="1"/>
    <col min="13320" max="13568" width="9.109375" style="3"/>
    <col min="13569" max="13569" width="14" style="3" customWidth="1"/>
    <col min="13570" max="13575" width="10.109375" style="3" customWidth="1"/>
    <col min="13576" max="13824" width="9.109375" style="3"/>
    <col min="13825" max="13825" width="14" style="3" customWidth="1"/>
    <col min="13826" max="13831" width="10.109375" style="3" customWidth="1"/>
    <col min="13832" max="14080" width="9.109375" style="3"/>
    <col min="14081" max="14081" width="14" style="3" customWidth="1"/>
    <col min="14082" max="14087" width="10.109375" style="3" customWidth="1"/>
    <col min="14088" max="14336" width="9.109375" style="3"/>
    <col min="14337" max="14337" width="14" style="3" customWidth="1"/>
    <col min="14338" max="14343" width="10.109375" style="3" customWidth="1"/>
    <col min="14344" max="14592" width="9.109375" style="3"/>
    <col min="14593" max="14593" width="14" style="3" customWidth="1"/>
    <col min="14594" max="14599" width="10.109375" style="3" customWidth="1"/>
    <col min="14600" max="14848" width="9.109375" style="3"/>
    <col min="14849" max="14849" width="14" style="3" customWidth="1"/>
    <col min="14850" max="14855" width="10.109375" style="3" customWidth="1"/>
    <col min="14856" max="15104" width="9.109375" style="3"/>
    <col min="15105" max="15105" width="14" style="3" customWidth="1"/>
    <col min="15106" max="15111" width="10.109375" style="3" customWidth="1"/>
    <col min="15112" max="15360" width="9.109375" style="3"/>
    <col min="15361" max="15361" width="14" style="3" customWidth="1"/>
    <col min="15362" max="15367" width="10.109375" style="3" customWidth="1"/>
    <col min="15368" max="15616" width="9.109375" style="3"/>
    <col min="15617" max="15617" width="14" style="3" customWidth="1"/>
    <col min="15618" max="15623" width="10.109375" style="3" customWidth="1"/>
    <col min="15624" max="15872" width="9.109375" style="3"/>
    <col min="15873" max="15873" width="14" style="3" customWidth="1"/>
    <col min="15874" max="15879" width="10.109375" style="3" customWidth="1"/>
    <col min="15880" max="16128" width="9.109375" style="3"/>
    <col min="16129" max="16129" width="14" style="3" customWidth="1"/>
    <col min="16130" max="16135" width="10.109375" style="3" customWidth="1"/>
    <col min="16136" max="16384" width="9.109375" style="3"/>
  </cols>
  <sheetData>
    <row r="1" spans="1:19" ht="15" x14ac:dyDescent="0.25">
      <c r="A1" s="91" t="str">
        <f>+'Cover Page'!$B$29</f>
        <v>Annual Performance Report 2022</v>
      </c>
      <c r="B1" s="91"/>
      <c r="C1" s="91"/>
      <c r="D1" s="91"/>
      <c r="E1" s="91" t="str">
        <f>+'Cover Page'!$B$33</f>
        <v>Kent Enviropower Limited</v>
      </c>
      <c r="F1" s="91"/>
      <c r="G1" s="91"/>
    </row>
    <row r="3" spans="1:19" ht="14.4" x14ac:dyDescent="0.3">
      <c r="A3" s="59" t="s">
        <v>431</v>
      </c>
      <c r="D3" s="75" t="s">
        <v>432</v>
      </c>
      <c r="G3" s="79" t="s">
        <v>433</v>
      </c>
      <c r="J3" s="9" t="str">
        <f>+A3</f>
        <v>Monitoring of Hydrogen Chloride emissions</v>
      </c>
      <c r="L3" s="9"/>
      <c r="N3" s="9" t="s">
        <v>434</v>
      </c>
      <c r="Q3" s="78" t="s">
        <v>3</v>
      </c>
      <c r="R3" s="73"/>
      <c r="S3" s="73"/>
    </row>
    <row r="4" spans="1:19" ht="14.1" customHeight="1" x14ac:dyDescent="0.25">
      <c r="Q4" s="382" t="s">
        <v>435</v>
      </c>
      <c r="R4" s="382"/>
      <c r="S4" s="382"/>
    </row>
    <row r="5" spans="1:19" ht="16.2" x14ac:dyDescent="0.25">
      <c r="A5" s="67" t="s">
        <v>436</v>
      </c>
      <c r="B5" s="417" t="s">
        <v>437</v>
      </c>
      <c r="C5" s="417"/>
      <c r="D5" s="417"/>
      <c r="E5" s="417" t="s">
        <v>438</v>
      </c>
      <c r="F5" s="417"/>
      <c r="G5" s="417"/>
      <c r="J5" s="416"/>
      <c r="K5" s="416"/>
      <c r="L5" s="416"/>
      <c r="M5" s="416"/>
      <c r="N5" s="416"/>
      <c r="O5" s="416"/>
      <c r="Q5" s="382"/>
      <c r="R5" s="382"/>
      <c r="S5" s="382"/>
    </row>
    <row r="6" spans="1:19" s="57" customFormat="1" ht="37.5" customHeight="1" x14ac:dyDescent="0.3">
      <c r="A6" s="64">
        <f>+'Cover Page'!C39</f>
        <v>2022</v>
      </c>
      <c r="B6" s="54" t="s">
        <v>439</v>
      </c>
      <c r="C6" s="54" t="s">
        <v>440</v>
      </c>
      <c r="D6" s="54" t="s">
        <v>441</v>
      </c>
      <c r="E6" s="54" t="s">
        <v>442</v>
      </c>
      <c r="F6" s="54" t="s">
        <v>443</v>
      </c>
      <c r="G6" s="54" t="s">
        <v>444</v>
      </c>
      <c r="H6" s="58"/>
      <c r="J6" s="60">
        <f>+A6</f>
        <v>2022</v>
      </c>
      <c r="K6" s="60" t="s">
        <v>445</v>
      </c>
      <c r="L6" s="66" t="s">
        <v>440</v>
      </c>
      <c r="M6" s="66" t="s">
        <v>446</v>
      </c>
      <c r="N6" s="66" t="s">
        <v>443</v>
      </c>
      <c r="O6" s="66" t="s">
        <v>447</v>
      </c>
      <c r="Q6" s="382"/>
      <c r="R6" s="382"/>
      <c r="S6" s="382"/>
    </row>
    <row r="7" spans="1:19" ht="14.1" customHeight="1" x14ac:dyDescent="0.25">
      <c r="A7" s="65" t="s">
        <v>448</v>
      </c>
      <c r="B7" s="62">
        <v>60</v>
      </c>
      <c r="C7" s="63">
        <v>4.63</v>
      </c>
      <c r="D7" s="63">
        <v>26.4</v>
      </c>
      <c r="E7" s="62">
        <v>10</v>
      </c>
      <c r="F7" s="63">
        <v>4.5599999999999996</v>
      </c>
      <c r="G7" s="63">
        <v>8.3000000000000007</v>
      </c>
      <c r="J7" s="415" t="s">
        <v>190</v>
      </c>
      <c r="K7" s="65" t="s">
        <v>448</v>
      </c>
      <c r="L7" s="63">
        <v>3.9</v>
      </c>
      <c r="M7" s="63">
        <v>26.4</v>
      </c>
      <c r="N7" s="63">
        <v>3.8</v>
      </c>
      <c r="O7" s="63">
        <v>7.9</v>
      </c>
      <c r="Q7" s="382"/>
      <c r="R7" s="382"/>
      <c r="S7" s="382"/>
    </row>
    <row r="8" spans="1:19" x14ac:dyDescent="0.25">
      <c r="A8" s="65" t="s">
        <v>449</v>
      </c>
      <c r="B8" s="62">
        <v>60</v>
      </c>
      <c r="C8" s="63">
        <v>5.23</v>
      </c>
      <c r="D8" s="63">
        <v>151</v>
      </c>
      <c r="E8" s="62">
        <v>10</v>
      </c>
      <c r="F8" s="63">
        <v>5.03</v>
      </c>
      <c r="G8" s="63">
        <v>8.1999999999999993</v>
      </c>
      <c r="J8" s="415"/>
      <c r="K8" s="65" t="s">
        <v>449</v>
      </c>
      <c r="L8" s="63">
        <v>4.0999999999999996</v>
      </c>
      <c r="M8" s="63">
        <v>38.700000000000003</v>
      </c>
      <c r="N8" s="63">
        <v>4</v>
      </c>
      <c r="O8" s="63">
        <v>8.1999999999999993</v>
      </c>
      <c r="Q8" s="382"/>
      <c r="R8" s="382"/>
      <c r="S8" s="382"/>
    </row>
    <row r="9" spans="1:19" x14ac:dyDescent="0.25">
      <c r="A9" s="65" t="s">
        <v>450</v>
      </c>
      <c r="B9" s="62">
        <v>60</v>
      </c>
      <c r="C9" s="63">
        <v>3.83</v>
      </c>
      <c r="D9" s="63">
        <v>37.5</v>
      </c>
      <c r="E9" s="62">
        <v>10</v>
      </c>
      <c r="F9" s="63">
        <v>2.2999999999999998</v>
      </c>
      <c r="G9" s="63">
        <v>5.7</v>
      </c>
      <c r="J9" s="415"/>
      <c r="K9" s="65" t="s">
        <v>450</v>
      </c>
      <c r="L9" s="63">
        <v>2.2999999999999998</v>
      </c>
      <c r="M9" s="63">
        <v>37.5</v>
      </c>
      <c r="N9" s="63">
        <v>2.4</v>
      </c>
      <c r="O9" s="63">
        <v>5.7</v>
      </c>
      <c r="Q9" s="77" t="s">
        <v>451</v>
      </c>
    </row>
    <row r="10" spans="1:19" ht="14.1" customHeight="1" x14ac:dyDescent="0.25">
      <c r="A10" s="65" t="s">
        <v>452</v>
      </c>
      <c r="B10" s="62">
        <v>60</v>
      </c>
      <c r="C10" s="63">
        <v>4.0999999999999996</v>
      </c>
      <c r="D10" s="63">
        <v>24.6</v>
      </c>
      <c r="E10" s="62">
        <v>10</v>
      </c>
      <c r="F10" s="63">
        <v>4.13</v>
      </c>
      <c r="G10" s="63">
        <v>6.3</v>
      </c>
      <c r="J10" s="415"/>
      <c r="K10" s="65" t="s">
        <v>452</v>
      </c>
      <c r="L10" s="63">
        <v>3.6</v>
      </c>
      <c r="M10" s="63">
        <v>24.6</v>
      </c>
      <c r="N10" s="63">
        <v>3.6</v>
      </c>
      <c r="O10" s="63">
        <v>6.3</v>
      </c>
      <c r="Q10" s="414" t="s">
        <v>453</v>
      </c>
      <c r="R10" s="414"/>
      <c r="S10" s="414"/>
    </row>
    <row r="11" spans="1:19" x14ac:dyDescent="0.25">
      <c r="A11" s="65" t="s">
        <v>454</v>
      </c>
      <c r="B11" s="62">
        <v>60</v>
      </c>
      <c r="C11" s="63">
        <v>4.53</v>
      </c>
      <c r="D11" s="63">
        <v>16.2</v>
      </c>
      <c r="E11" s="62">
        <v>10</v>
      </c>
      <c r="F11" s="63">
        <v>4.5999999999999996</v>
      </c>
      <c r="G11" s="63">
        <v>7.7</v>
      </c>
      <c r="J11" s="415"/>
      <c r="K11" s="65" t="s">
        <v>454</v>
      </c>
      <c r="L11" s="63">
        <v>3.5</v>
      </c>
      <c r="M11" s="63">
        <v>16.2</v>
      </c>
      <c r="N11" s="63">
        <v>3.6</v>
      </c>
      <c r="O11" s="63">
        <v>6.2</v>
      </c>
      <c r="Q11" s="414"/>
      <c r="R11" s="414"/>
      <c r="S11" s="414"/>
    </row>
    <row r="12" spans="1:19" x14ac:dyDescent="0.25">
      <c r="A12" s="65" t="s">
        <v>455</v>
      </c>
      <c r="B12" s="62">
        <v>60</v>
      </c>
      <c r="C12" s="63">
        <v>3.83</v>
      </c>
      <c r="D12" s="63">
        <v>17.8</v>
      </c>
      <c r="E12" s="62">
        <v>10</v>
      </c>
      <c r="F12" s="63">
        <v>3.83</v>
      </c>
      <c r="G12" s="63">
        <v>5.8</v>
      </c>
      <c r="J12" s="415"/>
      <c r="K12" s="65" t="s">
        <v>455</v>
      </c>
      <c r="L12" s="63">
        <v>2.6</v>
      </c>
      <c r="M12" s="63">
        <v>17.8</v>
      </c>
      <c r="N12" s="63">
        <v>2.6</v>
      </c>
      <c r="O12" s="63">
        <v>3.7</v>
      </c>
      <c r="Q12" s="414"/>
      <c r="R12" s="414"/>
      <c r="S12" s="414"/>
    </row>
    <row r="13" spans="1:19" ht="14.1" customHeight="1" x14ac:dyDescent="0.25">
      <c r="A13" s="65" t="s">
        <v>456</v>
      </c>
      <c r="B13" s="62">
        <v>60</v>
      </c>
      <c r="C13" s="63">
        <v>4.8600000000000003</v>
      </c>
      <c r="D13" s="63">
        <v>28.2</v>
      </c>
      <c r="E13" s="62">
        <v>10</v>
      </c>
      <c r="F13" s="63">
        <v>4.93</v>
      </c>
      <c r="G13" s="63">
        <v>7.3</v>
      </c>
      <c r="J13" s="415"/>
      <c r="K13" s="65" t="s">
        <v>456</v>
      </c>
      <c r="L13" s="63">
        <v>4.2</v>
      </c>
      <c r="M13" s="63">
        <v>20.100000000000001</v>
      </c>
      <c r="N13" s="63">
        <v>4.4000000000000004</v>
      </c>
      <c r="O13" s="63">
        <v>7.2</v>
      </c>
      <c r="Q13" s="414" t="s">
        <v>457</v>
      </c>
      <c r="R13" s="414"/>
      <c r="S13" s="414"/>
    </row>
    <row r="14" spans="1:19" x14ac:dyDescent="0.25">
      <c r="A14" s="65" t="s">
        <v>458</v>
      </c>
      <c r="B14" s="62">
        <v>60</v>
      </c>
      <c r="C14" s="63">
        <v>4.9000000000000004</v>
      </c>
      <c r="D14" s="63">
        <v>19.399999999999999</v>
      </c>
      <c r="E14" s="62">
        <v>10</v>
      </c>
      <c r="F14" s="63">
        <v>4.93</v>
      </c>
      <c r="G14" s="63">
        <v>5.9</v>
      </c>
      <c r="J14" s="415"/>
      <c r="K14" s="65" t="s">
        <v>458</v>
      </c>
      <c r="L14" s="63">
        <v>4.2</v>
      </c>
      <c r="M14" s="63">
        <v>10.6</v>
      </c>
      <c r="N14" s="63">
        <v>4.3</v>
      </c>
      <c r="O14" s="63">
        <v>5.8</v>
      </c>
      <c r="Q14" s="414"/>
      <c r="R14" s="414"/>
      <c r="S14" s="414"/>
    </row>
    <row r="15" spans="1:19" x14ac:dyDescent="0.25">
      <c r="A15" s="65" t="s">
        <v>459</v>
      </c>
      <c r="B15" s="62">
        <v>60</v>
      </c>
      <c r="C15" s="63">
        <v>4.4000000000000004</v>
      </c>
      <c r="D15" s="63">
        <v>30.3</v>
      </c>
      <c r="E15" s="62">
        <v>10</v>
      </c>
      <c r="F15" s="63">
        <v>4.3600000000000003</v>
      </c>
      <c r="G15" s="63">
        <v>6.4</v>
      </c>
      <c r="J15" s="415"/>
      <c r="K15" s="65" t="s">
        <v>459</v>
      </c>
      <c r="L15" s="63">
        <v>3.8</v>
      </c>
      <c r="M15" s="63">
        <v>14.1</v>
      </c>
      <c r="N15" s="63">
        <v>3.8</v>
      </c>
      <c r="O15" s="63">
        <v>6.1</v>
      </c>
      <c r="Q15" s="414"/>
      <c r="R15" s="414"/>
      <c r="S15" s="414"/>
    </row>
    <row r="16" spans="1:19" x14ac:dyDescent="0.25">
      <c r="A16" s="65" t="s">
        <v>460</v>
      </c>
      <c r="B16" s="62">
        <v>60</v>
      </c>
      <c r="C16" s="63">
        <v>3.9</v>
      </c>
      <c r="D16" s="63">
        <v>14.7</v>
      </c>
      <c r="E16" s="62">
        <v>10</v>
      </c>
      <c r="F16" s="63">
        <v>3.93</v>
      </c>
      <c r="G16" s="63">
        <v>6.1</v>
      </c>
      <c r="J16" s="415"/>
      <c r="K16" s="65" t="s">
        <v>460</v>
      </c>
      <c r="L16" s="63">
        <v>2.9</v>
      </c>
      <c r="M16" s="63">
        <v>14.7</v>
      </c>
      <c r="N16" s="63">
        <v>2.9</v>
      </c>
      <c r="O16" s="63">
        <v>5.4</v>
      </c>
      <c r="Q16" s="414"/>
      <c r="R16" s="414"/>
      <c r="S16" s="414"/>
    </row>
    <row r="17" spans="1:15" x14ac:dyDescent="0.25">
      <c r="A17" s="65" t="s">
        <v>461</v>
      </c>
      <c r="B17" s="62">
        <v>60</v>
      </c>
      <c r="C17" s="63">
        <v>4.0999999999999996</v>
      </c>
      <c r="D17" s="63">
        <v>34.700000000000003</v>
      </c>
      <c r="E17" s="62">
        <v>10</v>
      </c>
      <c r="F17" s="63">
        <v>4.0599999999999996</v>
      </c>
      <c r="G17" s="63">
        <v>6.5</v>
      </c>
      <c r="J17" s="415"/>
      <c r="K17" s="65" t="s">
        <v>461</v>
      </c>
      <c r="L17" s="63">
        <v>2.9</v>
      </c>
      <c r="M17" s="63">
        <v>15.3</v>
      </c>
      <c r="N17" s="63">
        <v>2.8</v>
      </c>
      <c r="O17" s="63">
        <v>6</v>
      </c>
    </row>
    <row r="18" spans="1:15" x14ac:dyDescent="0.25">
      <c r="A18" s="65" t="s">
        <v>462</v>
      </c>
      <c r="B18" s="62">
        <v>60</v>
      </c>
      <c r="C18" s="63">
        <v>2.83</v>
      </c>
      <c r="D18" s="63">
        <v>61.3</v>
      </c>
      <c r="E18" s="62">
        <v>10</v>
      </c>
      <c r="F18" s="63">
        <v>2.73</v>
      </c>
      <c r="G18" s="63">
        <v>4.7</v>
      </c>
      <c r="J18" s="415"/>
      <c r="K18" s="65" t="s">
        <v>462</v>
      </c>
      <c r="L18" s="63">
        <v>1.2</v>
      </c>
      <c r="M18" s="63">
        <v>4.2</v>
      </c>
      <c r="N18" s="63">
        <v>1.2</v>
      </c>
      <c r="O18" s="63">
        <v>1.8</v>
      </c>
    </row>
    <row r="19" spans="1:15" x14ac:dyDescent="0.25">
      <c r="J19" s="415"/>
      <c r="K19" s="61" t="s">
        <v>463</v>
      </c>
      <c r="L19" s="61">
        <f>AVERAGE(L7:L18)</f>
        <v>3.2666666666666662</v>
      </c>
      <c r="M19" s="61">
        <f>MAX(M7:M18)</f>
        <v>38.700000000000003</v>
      </c>
      <c r="N19" s="61">
        <f>AVERAGE(N7:N18)</f>
        <v>3.2833333333333332</v>
      </c>
      <c r="O19" s="61">
        <f>MAX(O7:O18)</f>
        <v>8.1999999999999993</v>
      </c>
    </row>
    <row r="21" spans="1:15" ht="41.4" x14ac:dyDescent="0.25">
      <c r="J21" s="60">
        <f>+A6</f>
        <v>2022</v>
      </c>
      <c r="K21" s="60" t="s">
        <v>445</v>
      </c>
      <c r="L21" s="66" t="s">
        <v>440</v>
      </c>
      <c r="M21" s="66" t="s">
        <v>446</v>
      </c>
      <c r="N21" s="66" t="s">
        <v>443</v>
      </c>
      <c r="O21" s="66" t="s">
        <v>447</v>
      </c>
    </row>
    <row r="22" spans="1:15" x14ac:dyDescent="0.25">
      <c r="J22" s="415" t="s">
        <v>191</v>
      </c>
      <c r="K22" s="65" t="s">
        <v>448</v>
      </c>
      <c r="L22" s="63">
        <v>4.7</v>
      </c>
      <c r="M22" s="63">
        <v>23.1</v>
      </c>
      <c r="N22" s="63">
        <v>4.5999999999999996</v>
      </c>
      <c r="O22" s="63">
        <v>7.4</v>
      </c>
    </row>
    <row r="23" spans="1:15" x14ac:dyDescent="0.25">
      <c r="J23" s="415"/>
      <c r="K23" s="65" t="s">
        <v>449</v>
      </c>
      <c r="L23" s="63">
        <v>5.9</v>
      </c>
      <c r="M23" s="63">
        <v>25.9</v>
      </c>
      <c r="N23" s="63">
        <v>5.8</v>
      </c>
      <c r="O23" s="63">
        <v>7.7</v>
      </c>
    </row>
    <row r="24" spans="1:15" x14ac:dyDescent="0.25">
      <c r="J24" s="415"/>
      <c r="K24" s="65" t="s">
        <v>450</v>
      </c>
      <c r="L24" s="63">
        <v>4.5</v>
      </c>
      <c r="M24" s="63">
        <v>12.7</v>
      </c>
      <c r="N24" s="63">
        <v>4.5</v>
      </c>
      <c r="O24" s="63">
        <v>5.5</v>
      </c>
    </row>
    <row r="25" spans="1:15" x14ac:dyDescent="0.25">
      <c r="J25" s="415"/>
      <c r="K25" s="65" t="s">
        <v>452</v>
      </c>
      <c r="L25" s="63">
        <v>5.2</v>
      </c>
      <c r="M25" s="63">
        <v>22</v>
      </c>
      <c r="N25" s="63">
        <v>5.3</v>
      </c>
      <c r="O25" s="63">
        <v>6.2</v>
      </c>
    </row>
    <row r="26" spans="1:15" x14ac:dyDescent="0.25">
      <c r="J26" s="415"/>
      <c r="K26" s="65" t="s">
        <v>454</v>
      </c>
      <c r="L26" s="63">
        <v>5.2</v>
      </c>
      <c r="M26" s="63">
        <v>15.4</v>
      </c>
      <c r="N26" s="63">
        <v>5.3</v>
      </c>
      <c r="O26" s="63">
        <v>6.3</v>
      </c>
    </row>
    <row r="27" spans="1:15" x14ac:dyDescent="0.25">
      <c r="J27" s="415"/>
      <c r="K27" s="65" t="s">
        <v>455</v>
      </c>
      <c r="L27" s="63">
        <v>4.7</v>
      </c>
      <c r="M27" s="63">
        <v>12</v>
      </c>
      <c r="N27" s="63">
        <v>4.7</v>
      </c>
      <c r="O27" s="63">
        <v>5.8</v>
      </c>
    </row>
    <row r="28" spans="1:15" x14ac:dyDescent="0.25">
      <c r="J28" s="415"/>
      <c r="K28" s="65" t="s">
        <v>456</v>
      </c>
      <c r="L28" s="63">
        <v>5.4</v>
      </c>
      <c r="M28" s="63">
        <v>28.2</v>
      </c>
      <c r="N28" s="63">
        <v>5.4</v>
      </c>
      <c r="O28" s="63">
        <v>5.7</v>
      </c>
    </row>
    <row r="29" spans="1:15" x14ac:dyDescent="0.25">
      <c r="J29" s="415"/>
      <c r="K29" s="65" t="s">
        <v>458</v>
      </c>
      <c r="L29" s="63">
        <v>5.4</v>
      </c>
      <c r="M29" s="63">
        <v>19.399999999999999</v>
      </c>
      <c r="N29" s="63">
        <v>5.4</v>
      </c>
      <c r="O29" s="63">
        <v>5.7</v>
      </c>
    </row>
    <row r="30" spans="1:15" x14ac:dyDescent="0.25">
      <c r="J30" s="415"/>
      <c r="K30" s="65" t="s">
        <v>459</v>
      </c>
      <c r="L30" s="63">
        <v>5.2</v>
      </c>
      <c r="M30" s="63">
        <v>30.3</v>
      </c>
      <c r="N30" s="63">
        <v>5.0999999999999996</v>
      </c>
      <c r="O30" s="63">
        <v>6.4</v>
      </c>
    </row>
    <row r="31" spans="1:15" x14ac:dyDescent="0.25">
      <c r="J31" s="415"/>
      <c r="K31" s="65" t="s">
        <v>460</v>
      </c>
      <c r="L31" s="63">
        <v>4.8</v>
      </c>
      <c r="M31" s="63">
        <v>10.4</v>
      </c>
      <c r="N31" s="63">
        <v>4.9000000000000004</v>
      </c>
      <c r="O31" s="63">
        <v>6.1</v>
      </c>
    </row>
    <row r="32" spans="1:15" x14ac:dyDescent="0.25">
      <c r="J32" s="415"/>
      <c r="K32" s="65" t="s">
        <v>461</v>
      </c>
      <c r="L32" s="63">
        <v>4.9000000000000004</v>
      </c>
      <c r="M32" s="63">
        <v>34.700000000000003</v>
      </c>
      <c r="N32" s="63">
        <v>4.9000000000000004</v>
      </c>
      <c r="O32" s="63">
        <v>6.5</v>
      </c>
    </row>
    <row r="33" spans="1:15" x14ac:dyDescent="0.25">
      <c r="J33" s="415"/>
      <c r="K33" s="65" t="s">
        <v>462</v>
      </c>
      <c r="L33" s="63">
        <v>4</v>
      </c>
      <c r="M33" s="63">
        <v>61.3</v>
      </c>
      <c r="N33" s="63">
        <v>3.7</v>
      </c>
      <c r="O33" s="63">
        <v>4.7</v>
      </c>
    </row>
    <row r="34" spans="1:15" x14ac:dyDescent="0.25">
      <c r="J34" s="415"/>
      <c r="K34" s="61" t="s">
        <v>463</v>
      </c>
      <c r="L34" s="61">
        <f>AVERAGE(L22:L33)</f>
        <v>4.9916666666666663</v>
      </c>
      <c r="M34" s="61">
        <f>MAX(M22:M33)</f>
        <v>61.3</v>
      </c>
      <c r="N34" s="61">
        <f>AVERAGE(N22:N33)</f>
        <v>4.9666666666666668</v>
      </c>
      <c r="O34" s="61">
        <f>MAX(O22:O33)</f>
        <v>7.7</v>
      </c>
    </row>
    <row r="36" spans="1:15" ht="41.4" x14ac:dyDescent="0.25">
      <c r="J36" s="60">
        <f>+A6</f>
        <v>2022</v>
      </c>
      <c r="K36" s="60" t="s">
        <v>445</v>
      </c>
      <c r="L36" s="66" t="s">
        <v>440</v>
      </c>
      <c r="M36" s="66" t="s">
        <v>446</v>
      </c>
      <c r="N36" s="66" t="s">
        <v>443</v>
      </c>
      <c r="O36" s="66" t="s">
        <v>447</v>
      </c>
    </row>
    <row r="37" spans="1:15" x14ac:dyDescent="0.25">
      <c r="J37" s="415" t="s">
        <v>192</v>
      </c>
      <c r="K37" s="65" t="s">
        <v>448</v>
      </c>
      <c r="L37" s="63">
        <v>5.3</v>
      </c>
      <c r="M37" s="63">
        <v>23.4</v>
      </c>
      <c r="N37" s="63">
        <v>5.3</v>
      </c>
      <c r="O37" s="63">
        <v>8.3000000000000007</v>
      </c>
    </row>
    <row r="38" spans="1:15" x14ac:dyDescent="0.25">
      <c r="J38" s="415"/>
      <c r="K38" s="65" t="s">
        <v>449</v>
      </c>
      <c r="L38" s="63">
        <v>5.7</v>
      </c>
      <c r="M38" s="63">
        <v>151</v>
      </c>
      <c r="N38" s="63">
        <v>5.3</v>
      </c>
      <c r="O38" s="63">
        <v>7.7</v>
      </c>
    </row>
    <row r="39" spans="1:15" x14ac:dyDescent="0.25">
      <c r="J39" s="415"/>
      <c r="K39" s="65" t="s">
        <v>450</v>
      </c>
      <c r="L39" s="63">
        <v>4.7</v>
      </c>
      <c r="M39" s="63">
        <v>7.9</v>
      </c>
      <c r="N39" s="63">
        <v>0</v>
      </c>
      <c r="O39" s="63">
        <v>0</v>
      </c>
    </row>
    <row r="40" spans="1:15" x14ac:dyDescent="0.25">
      <c r="J40" s="415"/>
      <c r="K40" s="65" t="s">
        <v>452</v>
      </c>
      <c r="L40" s="63">
        <v>3.5</v>
      </c>
      <c r="M40" s="63">
        <v>15.3</v>
      </c>
      <c r="N40" s="63">
        <v>3.5</v>
      </c>
      <c r="O40" s="63">
        <v>5.6</v>
      </c>
    </row>
    <row r="41" spans="1:15" x14ac:dyDescent="0.25">
      <c r="J41" s="415"/>
      <c r="K41" s="65" t="s">
        <v>454</v>
      </c>
      <c r="L41" s="63">
        <v>4.9000000000000004</v>
      </c>
      <c r="M41" s="63">
        <v>12.8</v>
      </c>
      <c r="N41" s="63">
        <v>4.9000000000000004</v>
      </c>
      <c r="O41" s="63">
        <v>7.7</v>
      </c>
    </row>
    <row r="42" spans="1:15" x14ac:dyDescent="0.25">
      <c r="J42" s="415"/>
      <c r="K42" s="65" t="s">
        <v>455</v>
      </c>
      <c r="L42" s="63">
        <v>4.2</v>
      </c>
      <c r="M42" s="63">
        <v>10.1</v>
      </c>
      <c r="N42" s="63">
        <v>4.2</v>
      </c>
      <c r="O42" s="63">
        <v>5.7</v>
      </c>
    </row>
    <row r="43" spans="1:15" x14ac:dyDescent="0.25">
      <c r="J43" s="415"/>
      <c r="K43" s="65" t="s">
        <v>456</v>
      </c>
      <c r="L43" s="63">
        <v>5</v>
      </c>
      <c r="M43" s="63">
        <v>12.5</v>
      </c>
      <c r="N43" s="63">
        <v>5</v>
      </c>
      <c r="O43" s="63">
        <v>7.3</v>
      </c>
    </row>
    <row r="44" spans="1:15" x14ac:dyDescent="0.25">
      <c r="J44" s="415"/>
      <c r="K44" s="65" t="s">
        <v>458</v>
      </c>
      <c r="L44" s="63">
        <v>5.0999999999999996</v>
      </c>
      <c r="M44" s="63">
        <v>12.8</v>
      </c>
      <c r="N44" s="63">
        <v>5.0999999999999996</v>
      </c>
      <c r="O44" s="63">
        <v>5.9</v>
      </c>
    </row>
    <row r="45" spans="1:15" x14ac:dyDescent="0.25">
      <c r="J45" s="415"/>
      <c r="K45" s="65" t="s">
        <v>459</v>
      </c>
      <c r="L45" s="63">
        <v>4.2</v>
      </c>
      <c r="M45" s="63">
        <v>8.5</v>
      </c>
      <c r="N45" s="63">
        <v>4.2</v>
      </c>
      <c r="O45" s="63">
        <v>5.6</v>
      </c>
    </row>
    <row r="46" spans="1:15" x14ac:dyDescent="0.25">
      <c r="J46" s="415"/>
      <c r="K46" s="65" t="s">
        <v>460</v>
      </c>
      <c r="L46" s="63">
        <v>4</v>
      </c>
      <c r="M46" s="63">
        <v>9.6999999999999993</v>
      </c>
      <c r="N46" s="63">
        <v>4</v>
      </c>
      <c r="O46" s="63">
        <v>5</v>
      </c>
    </row>
    <row r="47" spans="1:15" x14ac:dyDescent="0.25">
      <c r="J47" s="415"/>
      <c r="K47" s="65" t="s">
        <v>461</v>
      </c>
      <c r="L47" s="63">
        <v>4.5</v>
      </c>
      <c r="M47" s="63">
        <v>8.8000000000000007</v>
      </c>
      <c r="N47" s="63">
        <v>4.5</v>
      </c>
      <c r="O47" s="63">
        <v>5.6</v>
      </c>
    </row>
    <row r="48" spans="1:15" x14ac:dyDescent="0.25">
      <c r="A48" s="426" t="s">
        <v>335</v>
      </c>
      <c r="B48" s="427"/>
      <c r="C48" s="427"/>
      <c r="D48" s="427"/>
      <c r="E48" s="427"/>
      <c r="F48" s="427"/>
      <c r="G48" s="428"/>
      <c r="J48" s="415"/>
      <c r="K48" s="65" t="s">
        <v>462</v>
      </c>
      <c r="L48" s="63">
        <v>3.3</v>
      </c>
      <c r="M48" s="63">
        <v>10.5</v>
      </c>
      <c r="N48" s="63">
        <v>3.3</v>
      </c>
      <c r="O48" s="63">
        <v>4.5999999999999996</v>
      </c>
    </row>
    <row r="49" spans="1:15" x14ac:dyDescent="0.25">
      <c r="A49" s="418" t="s">
        <v>464</v>
      </c>
      <c r="B49" s="419"/>
      <c r="C49" s="419"/>
      <c r="D49" s="419"/>
      <c r="E49" s="419"/>
      <c r="F49" s="419"/>
      <c r="G49" s="420"/>
      <c r="J49" s="415"/>
      <c r="K49" s="61" t="s">
        <v>463</v>
      </c>
      <c r="L49" s="61">
        <f>AVERAGE(L37:L48)</f>
        <v>4.5333333333333332</v>
      </c>
      <c r="M49" s="61">
        <f>MAX(M37:M48)</f>
        <v>151</v>
      </c>
      <c r="N49" s="61">
        <f>AVERAGE(N37:N48)</f>
        <v>4.1083333333333334</v>
      </c>
      <c r="O49" s="61">
        <f>MAX(O37:O48)</f>
        <v>8.3000000000000007</v>
      </c>
    </row>
    <row r="50" spans="1:15" x14ac:dyDescent="0.25">
      <c r="A50" s="421"/>
      <c r="B50" s="240"/>
      <c r="C50" s="240"/>
      <c r="D50" s="240"/>
      <c r="E50" s="240"/>
      <c r="F50" s="240"/>
      <c r="G50" s="422"/>
    </row>
    <row r="51" spans="1:15" ht="41.4" x14ac:dyDescent="0.25">
      <c r="A51" s="421"/>
      <c r="B51" s="240"/>
      <c r="C51" s="240"/>
      <c r="D51" s="240"/>
      <c r="E51" s="240"/>
      <c r="F51" s="240"/>
      <c r="G51" s="422"/>
      <c r="J51" s="60">
        <f>+A6</f>
        <v>2022</v>
      </c>
      <c r="K51" s="60" t="s">
        <v>445</v>
      </c>
      <c r="L51" s="66" t="s">
        <v>440</v>
      </c>
      <c r="M51" s="66" t="s">
        <v>446</v>
      </c>
      <c r="N51" s="66" t="s">
        <v>443</v>
      </c>
      <c r="O51" s="66" t="s">
        <v>447</v>
      </c>
    </row>
    <row r="52" spans="1:15" x14ac:dyDescent="0.25">
      <c r="A52" s="423"/>
      <c r="B52" s="424"/>
      <c r="C52" s="424"/>
      <c r="D52" s="424"/>
      <c r="E52" s="424"/>
      <c r="F52" s="424"/>
      <c r="G52" s="425"/>
      <c r="J52" s="415" t="s">
        <v>193</v>
      </c>
      <c r="K52" s="65" t="s">
        <v>448</v>
      </c>
      <c r="L52" s="63"/>
      <c r="M52" s="63"/>
      <c r="N52" s="63"/>
      <c r="O52" s="63"/>
    </row>
    <row r="53" spans="1:15" x14ac:dyDescent="0.25">
      <c r="J53" s="415"/>
      <c r="K53" s="65" t="s">
        <v>449</v>
      </c>
      <c r="L53" s="63"/>
      <c r="M53" s="63"/>
      <c r="N53" s="63"/>
      <c r="O53" s="63"/>
    </row>
    <row r="54" spans="1:15" x14ac:dyDescent="0.25">
      <c r="J54" s="415"/>
      <c r="K54" s="65" t="s">
        <v>450</v>
      </c>
      <c r="L54" s="63"/>
      <c r="M54" s="63"/>
      <c r="N54" s="63"/>
      <c r="O54" s="63"/>
    </row>
    <row r="55" spans="1:15" x14ac:dyDescent="0.25">
      <c r="J55" s="415"/>
      <c r="K55" s="65" t="s">
        <v>452</v>
      </c>
      <c r="L55" s="63"/>
      <c r="M55" s="63"/>
      <c r="N55" s="63"/>
      <c r="O55" s="63"/>
    </row>
    <row r="56" spans="1:15" x14ac:dyDescent="0.25">
      <c r="J56" s="415"/>
      <c r="K56" s="65" t="s">
        <v>454</v>
      </c>
      <c r="L56" s="63"/>
      <c r="M56" s="63"/>
      <c r="N56" s="63"/>
      <c r="O56" s="63"/>
    </row>
    <row r="57" spans="1:15" x14ac:dyDescent="0.25">
      <c r="J57" s="415"/>
      <c r="K57" s="65" t="s">
        <v>455</v>
      </c>
      <c r="L57" s="63"/>
      <c r="M57" s="63"/>
      <c r="N57" s="63"/>
      <c r="O57" s="63"/>
    </row>
    <row r="58" spans="1:15" x14ac:dyDescent="0.25">
      <c r="J58" s="415"/>
      <c r="K58" s="65" t="s">
        <v>456</v>
      </c>
      <c r="L58" s="63"/>
      <c r="M58" s="63"/>
      <c r="N58" s="63"/>
      <c r="O58" s="63"/>
    </row>
    <row r="59" spans="1:15" x14ac:dyDescent="0.25">
      <c r="J59" s="415"/>
      <c r="K59" s="65" t="s">
        <v>458</v>
      </c>
      <c r="L59" s="63"/>
      <c r="M59" s="63"/>
      <c r="N59" s="63"/>
      <c r="O59" s="63"/>
    </row>
    <row r="60" spans="1:15" x14ac:dyDescent="0.25">
      <c r="J60" s="415"/>
      <c r="K60" s="65" t="s">
        <v>459</v>
      </c>
      <c r="L60" s="63"/>
      <c r="M60" s="63"/>
      <c r="N60" s="63"/>
      <c r="O60" s="63"/>
    </row>
    <row r="61" spans="1:15" x14ac:dyDescent="0.25">
      <c r="J61" s="415"/>
      <c r="K61" s="65" t="s">
        <v>460</v>
      </c>
      <c r="L61" s="63"/>
      <c r="M61" s="63"/>
      <c r="N61" s="63"/>
      <c r="O61" s="63"/>
    </row>
    <row r="62" spans="1:15" x14ac:dyDescent="0.25">
      <c r="J62" s="415"/>
      <c r="K62" s="65" t="s">
        <v>461</v>
      </c>
      <c r="L62" s="63"/>
      <c r="M62" s="63"/>
      <c r="N62" s="63"/>
      <c r="O62" s="63"/>
    </row>
    <row r="63" spans="1:15" x14ac:dyDescent="0.25">
      <c r="J63" s="415"/>
      <c r="K63" s="65" t="s">
        <v>462</v>
      </c>
      <c r="L63" s="63"/>
      <c r="M63" s="63"/>
      <c r="N63" s="63"/>
      <c r="O63" s="63"/>
    </row>
    <row r="64" spans="1:15" x14ac:dyDescent="0.25">
      <c r="J64" s="415"/>
      <c r="K64" s="61" t="s">
        <v>463</v>
      </c>
      <c r="L64" s="61" t="e">
        <f>AVERAGE(L52:L63)</f>
        <v>#DIV/0!</v>
      </c>
      <c r="M64" s="61">
        <f>MAX(M52:M63)</f>
        <v>0</v>
      </c>
      <c r="N64" s="61" t="e">
        <f>AVERAGE(N52:N63)</f>
        <v>#DIV/0!</v>
      </c>
      <c r="O64" s="61">
        <f>MAX(O52:O63)</f>
        <v>0</v>
      </c>
    </row>
    <row r="66" spans="10:15" ht="41.4" x14ac:dyDescent="0.25">
      <c r="J66" s="60">
        <f>+A6</f>
        <v>2022</v>
      </c>
      <c r="K66" s="60" t="s">
        <v>445</v>
      </c>
      <c r="L66" s="66" t="s">
        <v>440</v>
      </c>
      <c r="M66" s="66" t="s">
        <v>446</v>
      </c>
      <c r="N66" s="66" t="s">
        <v>443</v>
      </c>
      <c r="O66" s="66" t="s">
        <v>447</v>
      </c>
    </row>
    <row r="67" spans="10:15" x14ac:dyDescent="0.25">
      <c r="J67" s="415" t="s">
        <v>194</v>
      </c>
      <c r="K67" s="65" t="s">
        <v>448</v>
      </c>
      <c r="L67" s="63"/>
      <c r="M67" s="63"/>
      <c r="N67" s="63"/>
      <c r="O67" s="63"/>
    </row>
    <row r="68" spans="10:15" x14ac:dyDescent="0.25">
      <c r="J68" s="415"/>
      <c r="K68" s="65" t="s">
        <v>449</v>
      </c>
      <c r="L68" s="63"/>
      <c r="M68" s="63"/>
      <c r="N68" s="63"/>
      <c r="O68" s="63"/>
    </row>
    <row r="69" spans="10:15" x14ac:dyDescent="0.25">
      <c r="J69" s="415"/>
      <c r="K69" s="65" t="s">
        <v>450</v>
      </c>
      <c r="L69" s="63"/>
      <c r="M69" s="63"/>
      <c r="N69" s="63"/>
      <c r="O69" s="63"/>
    </row>
    <row r="70" spans="10:15" x14ac:dyDescent="0.25">
      <c r="J70" s="415"/>
      <c r="K70" s="65" t="s">
        <v>452</v>
      </c>
      <c r="L70" s="63"/>
      <c r="M70" s="63"/>
      <c r="N70" s="63"/>
      <c r="O70" s="63"/>
    </row>
    <row r="71" spans="10:15" x14ac:dyDescent="0.25">
      <c r="J71" s="415"/>
      <c r="K71" s="65" t="s">
        <v>454</v>
      </c>
      <c r="L71" s="63"/>
      <c r="M71" s="63"/>
      <c r="N71" s="63"/>
      <c r="O71" s="63"/>
    </row>
    <row r="72" spans="10:15" x14ac:dyDescent="0.25">
      <c r="J72" s="415"/>
      <c r="K72" s="65" t="s">
        <v>455</v>
      </c>
      <c r="L72" s="63"/>
      <c r="M72" s="63"/>
      <c r="N72" s="63"/>
      <c r="O72" s="63"/>
    </row>
    <row r="73" spans="10:15" x14ac:dyDescent="0.25">
      <c r="J73" s="415"/>
      <c r="K73" s="65" t="s">
        <v>456</v>
      </c>
      <c r="L73" s="63"/>
      <c r="M73" s="63"/>
      <c r="N73" s="63"/>
      <c r="O73" s="63"/>
    </row>
    <row r="74" spans="10:15" x14ac:dyDescent="0.25">
      <c r="J74" s="415"/>
      <c r="K74" s="65" t="s">
        <v>458</v>
      </c>
      <c r="L74" s="63"/>
      <c r="M74" s="63"/>
      <c r="N74" s="63"/>
      <c r="O74" s="63"/>
    </row>
    <row r="75" spans="10:15" x14ac:dyDescent="0.25">
      <c r="J75" s="415"/>
      <c r="K75" s="65" t="s">
        <v>459</v>
      </c>
      <c r="L75" s="63"/>
      <c r="M75" s="63"/>
      <c r="N75" s="63"/>
      <c r="O75" s="63"/>
    </row>
    <row r="76" spans="10:15" x14ac:dyDescent="0.25">
      <c r="J76" s="415"/>
      <c r="K76" s="65" t="s">
        <v>460</v>
      </c>
      <c r="L76" s="63"/>
      <c r="M76" s="63"/>
      <c r="N76" s="63"/>
      <c r="O76" s="63"/>
    </row>
    <row r="77" spans="10:15" x14ac:dyDescent="0.25">
      <c r="J77" s="415"/>
      <c r="K77" s="65" t="s">
        <v>461</v>
      </c>
      <c r="L77" s="63"/>
      <c r="M77" s="63"/>
      <c r="N77" s="63"/>
      <c r="O77" s="63"/>
    </row>
    <row r="78" spans="10:15" x14ac:dyDescent="0.25">
      <c r="J78" s="415"/>
      <c r="K78" s="65" t="s">
        <v>462</v>
      </c>
      <c r="L78" s="63"/>
      <c r="M78" s="63"/>
      <c r="N78" s="63"/>
      <c r="O78" s="63"/>
    </row>
    <row r="79" spans="10:15" x14ac:dyDescent="0.25">
      <c r="J79" s="415"/>
      <c r="K79" s="61" t="s">
        <v>463</v>
      </c>
      <c r="L79" s="61" t="e">
        <f>AVERAGE(L67:L78)</f>
        <v>#DIV/0!</v>
      </c>
      <c r="M79" s="61">
        <f>MAX(M67:M78)</f>
        <v>0</v>
      </c>
      <c r="N79" s="61" t="e">
        <f>AVERAGE(N67:N78)</f>
        <v>#DIV/0!</v>
      </c>
      <c r="O79" s="61">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topLeftCell="A43" workbookViewId="0">
      <selection activeCell="D64" sqref="D64"/>
    </sheetView>
  </sheetViews>
  <sheetFormatPr defaultRowHeight="13.8" x14ac:dyDescent="0.25"/>
  <cols>
    <col min="1" max="1" width="14" style="3" customWidth="1"/>
    <col min="2" max="4" width="17" style="34" customWidth="1"/>
    <col min="5" max="5" width="14.88671875" style="34" customWidth="1"/>
    <col min="6" max="7" width="17" style="34" customWidth="1"/>
    <col min="8" max="11" width="9.109375" style="3"/>
    <col min="12" max="12" width="15.44140625" style="3" customWidth="1"/>
    <col min="13" max="13" width="17.44140625" style="3" bestFit="1" customWidth="1"/>
    <col min="14" max="14" width="13.88671875" style="3" customWidth="1"/>
    <col min="15" max="15" width="15" style="3" customWidth="1"/>
    <col min="16" max="18" width="9.109375" style="3"/>
    <col min="19" max="19" width="22" style="3" customWidth="1"/>
    <col min="20" max="256" width="9.109375" style="3"/>
    <col min="257" max="257" width="14" style="3" customWidth="1"/>
    <col min="258" max="263" width="10.109375" style="3" customWidth="1"/>
    <col min="264" max="512" width="9.109375" style="3"/>
    <col min="513" max="513" width="14" style="3" customWidth="1"/>
    <col min="514" max="519" width="10.109375" style="3" customWidth="1"/>
    <col min="520" max="768" width="9.109375" style="3"/>
    <col min="769" max="769" width="14" style="3" customWidth="1"/>
    <col min="770" max="775" width="10.109375" style="3" customWidth="1"/>
    <col min="776" max="1024" width="9.109375" style="3"/>
    <col min="1025" max="1025" width="14" style="3" customWidth="1"/>
    <col min="1026" max="1031" width="10.109375" style="3" customWidth="1"/>
    <col min="1032" max="1280" width="9.109375" style="3"/>
    <col min="1281" max="1281" width="14" style="3" customWidth="1"/>
    <col min="1282" max="1287" width="10.109375" style="3" customWidth="1"/>
    <col min="1288" max="1536" width="9.109375" style="3"/>
    <col min="1537" max="1537" width="14" style="3" customWidth="1"/>
    <col min="1538" max="1543" width="10.109375" style="3" customWidth="1"/>
    <col min="1544" max="1792" width="9.109375" style="3"/>
    <col min="1793" max="1793" width="14" style="3" customWidth="1"/>
    <col min="1794" max="1799" width="10.109375" style="3" customWidth="1"/>
    <col min="1800" max="2048" width="9.109375" style="3"/>
    <col min="2049" max="2049" width="14" style="3" customWidth="1"/>
    <col min="2050" max="2055" width="10.109375" style="3" customWidth="1"/>
    <col min="2056" max="2304" width="9.109375" style="3"/>
    <col min="2305" max="2305" width="14" style="3" customWidth="1"/>
    <col min="2306" max="2311" width="10.109375" style="3" customWidth="1"/>
    <col min="2312" max="2560" width="9.109375" style="3"/>
    <col min="2561" max="2561" width="14" style="3" customWidth="1"/>
    <col min="2562" max="2567" width="10.109375" style="3" customWidth="1"/>
    <col min="2568" max="2816" width="9.109375" style="3"/>
    <col min="2817" max="2817" width="14" style="3" customWidth="1"/>
    <col min="2818" max="2823" width="10.109375" style="3" customWidth="1"/>
    <col min="2824" max="3072" width="9.109375" style="3"/>
    <col min="3073" max="3073" width="14" style="3" customWidth="1"/>
    <col min="3074" max="3079" width="10.109375" style="3" customWidth="1"/>
    <col min="3080" max="3328" width="9.109375" style="3"/>
    <col min="3329" max="3329" width="14" style="3" customWidth="1"/>
    <col min="3330" max="3335" width="10.109375" style="3" customWidth="1"/>
    <col min="3336" max="3584" width="9.109375" style="3"/>
    <col min="3585" max="3585" width="14" style="3" customWidth="1"/>
    <col min="3586" max="3591" width="10.109375" style="3" customWidth="1"/>
    <col min="3592" max="3840" width="9.109375" style="3"/>
    <col min="3841" max="3841" width="14" style="3" customWidth="1"/>
    <col min="3842" max="3847" width="10.109375" style="3" customWidth="1"/>
    <col min="3848" max="4096" width="9.109375" style="3"/>
    <col min="4097" max="4097" width="14" style="3" customWidth="1"/>
    <col min="4098" max="4103" width="10.109375" style="3" customWidth="1"/>
    <col min="4104" max="4352" width="9.109375" style="3"/>
    <col min="4353" max="4353" width="14" style="3" customWidth="1"/>
    <col min="4354" max="4359" width="10.109375" style="3" customWidth="1"/>
    <col min="4360" max="4608" width="9.109375" style="3"/>
    <col min="4609" max="4609" width="14" style="3" customWidth="1"/>
    <col min="4610" max="4615" width="10.109375" style="3" customWidth="1"/>
    <col min="4616" max="4864" width="9.109375" style="3"/>
    <col min="4865" max="4865" width="14" style="3" customWidth="1"/>
    <col min="4866" max="4871" width="10.109375" style="3" customWidth="1"/>
    <col min="4872" max="5120" width="9.109375" style="3"/>
    <col min="5121" max="5121" width="14" style="3" customWidth="1"/>
    <col min="5122" max="5127" width="10.109375" style="3" customWidth="1"/>
    <col min="5128" max="5376" width="9.109375" style="3"/>
    <col min="5377" max="5377" width="14" style="3" customWidth="1"/>
    <col min="5378" max="5383" width="10.109375" style="3" customWidth="1"/>
    <col min="5384" max="5632" width="9.109375" style="3"/>
    <col min="5633" max="5633" width="14" style="3" customWidth="1"/>
    <col min="5634" max="5639" width="10.109375" style="3" customWidth="1"/>
    <col min="5640" max="5888" width="9.109375" style="3"/>
    <col min="5889" max="5889" width="14" style="3" customWidth="1"/>
    <col min="5890" max="5895" width="10.109375" style="3" customWidth="1"/>
    <col min="5896" max="6144" width="9.109375" style="3"/>
    <col min="6145" max="6145" width="14" style="3" customWidth="1"/>
    <col min="6146" max="6151" width="10.109375" style="3" customWidth="1"/>
    <col min="6152" max="6400" width="9.109375" style="3"/>
    <col min="6401" max="6401" width="14" style="3" customWidth="1"/>
    <col min="6402" max="6407" width="10.109375" style="3" customWidth="1"/>
    <col min="6408" max="6656" width="9.109375" style="3"/>
    <col min="6657" max="6657" width="14" style="3" customWidth="1"/>
    <col min="6658" max="6663" width="10.109375" style="3" customWidth="1"/>
    <col min="6664" max="6912" width="9.109375" style="3"/>
    <col min="6913" max="6913" width="14" style="3" customWidth="1"/>
    <col min="6914" max="6919" width="10.109375" style="3" customWidth="1"/>
    <col min="6920" max="7168" width="9.109375" style="3"/>
    <col min="7169" max="7169" width="14" style="3" customWidth="1"/>
    <col min="7170" max="7175" width="10.109375" style="3" customWidth="1"/>
    <col min="7176" max="7424" width="9.109375" style="3"/>
    <col min="7425" max="7425" width="14" style="3" customWidth="1"/>
    <col min="7426" max="7431" width="10.109375" style="3" customWidth="1"/>
    <col min="7432" max="7680" width="9.109375" style="3"/>
    <col min="7681" max="7681" width="14" style="3" customWidth="1"/>
    <col min="7682" max="7687" width="10.109375" style="3" customWidth="1"/>
    <col min="7688" max="7936" width="9.109375" style="3"/>
    <col min="7937" max="7937" width="14" style="3" customWidth="1"/>
    <col min="7938" max="7943" width="10.109375" style="3" customWidth="1"/>
    <col min="7944" max="8192" width="9.109375" style="3"/>
    <col min="8193" max="8193" width="14" style="3" customWidth="1"/>
    <col min="8194" max="8199" width="10.109375" style="3" customWidth="1"/>
    <col min="8200" max="8448" width="9.109375" style="3"/>
    <col min="8449" max="8449" width="14" style="3" customWidth="1"/>
    <col min="8450" max="8455" width="10.109375" style="3" customWidth="1"/>
    <col min="8456" max="8704" width="9.109375" style="3"/>
    <col min="8705" max="8705" width="14" style="3" customWidth="1"/>
    <col min="8706" max="8711" width="10.109375" style="3" customWidth="1"/>
    <col min="8712" max="8960" width="9.109375" style="3"/>
    <col min="8961" max="8961" width="14" style="3" customWidth="1"/>
    <col min="8962" max="8967" width="10.109375" style="3" customWidth="1"/>
    <col min="8968" max="9216" width="9.109375" style="3"/>
    <col min="9217" max="9217" width="14" style="3" customWidth="1"/>
    <col min="9218" max="9223" width="10.109375" style="3" customWidth="1"/>
    <col min="9224" max="9472" width="9.109375" style="3"/>
    <col min="9473" max="9473" width="14" style="3" customWidth="1"/>
    <col min="9474" max="9479" width="10.109375" style="3" customWidth="1"/>
    <col min="9480" max="9728" width="9.109375" style="3"/>
    <col min="9729" max="9729" width="14" style="3" customWidth="1"/>
    <col min="9730" max="9735" width="10.109375" style="3" customWidth="1"/>
    <col min="9736" max="9984" width="9.109375" style="3"/>
    <col min="9985" max="9985" width="14" style="3" customWidth="1"/>
    <col min="9986" max="9991" width="10.109375" style="3" customWidth="1"/>
    <col min="9992" max="10240" width="9.109375" style="3"/>
    <col min="10241" max="10241" width="14" style="3" customWidth="1"/>
    <col min="10242" max="10247" width="10.109375" style="3" customWidth="1"/>
    <col min="10248" max="10496" width="9.109375" style="3"/>
    <col min="10497" max="10497" width="14" style="3" customWidth="1"/>
    <col min="10498" max="10503" width="10.109375" style="3" customWidth="1"/>
    <col min="10504" max="10752" width="9.109375" style="3"/>
    <col min="10753" max="10753" width="14" style="3" customWidth="1"/>
    <col min="10754" max="10759" width="10.109375" style="3" customWidth="1"/>
    <col min="10760" max="11008" width="9.109375" style="3"/>
    <col min="11009" max="11009" width="14" style="3" customWidth="1"/>
    <col min="11010" max="11015" width="10.109375" style="3" customWidth="1"/>
    <col min="11016" max="11264" width="9.109375" style="3"/>
    <col min="11265" max="11265" width="14" style="3" customWidth="1"/>
    <col min="11266" max="11271" width="10.109375" style="3" customWidth="1"/>
    <col min="11272" max="11520" width="9.109375" style="3"/>
    <col min="11521" max="11521" width="14" style="3" customWidth="1"/>
    <col min="11522" max="11527" width="10.109375" style="3" customWidth="1"/>
    <col min="11528" max="11776" width="9.109375" style="3"/>
    <col min="11777" max="11777" width="14" style="3" customWidth="1"/>
    <col min="11778" max="11783" width="10.109375" style="3" customWidth="1"/>
    <col min="11784" max="12032" width="9.109375" style="3"/>
    <col min="12033" max="12033" width="14" style="3" customWidth="1"/>
    <col min="12034" max="12039" width="10.109375" style="3" customWidth="1"/>
    <col min="12040" max="12288" width="9.109375" style="3"/>
    <col min="12289" max="12289" width="14" style="3" customWidth="1"/>
    <col min="12290" max="12295" width="10.109375" style="3" customWidth="1"/>
    <col min="12296" max="12544" width="9.109375" style="3"/>
    <col min="12545" max="12545" width="14" style="3" customWidth="1"/>
    <col min="12546" max="12551" width="10.109375" style="3" customWidth="1"/>
    <col min="12552" max="12800" width="9.109375" style="3"/>
    <col min="12801" max="12801" width="14" style="3" customWidth="1"/>
    <col min="12802" max="12807" width="10.109375" style="3" customWidth="1"/>
    <col min="12808" max="13056" width="9.109375" style="3"/>
    <col min="13057" max="13057" width="14" style="3" customWidth="1"/>
    <col min="13058" max="13063" width="10.109375" style="3" customWidth="1"/>
    <col min="13064" max="13312" width="9.109375" style="3"/>
    <col min="13313" max="13313" width="14" style="3" customWidth="1"/>
    <col min="13314" max="13319" width="10.109375" style="3" customWidth="1"/>
    <col min="13320" max="13568" width="9.109375" style="3"/>
    <col min="13569" max="13569" width="14" style="3" customWidth="1"/>
    <col min="13570" max="13575" width="10.109375" style="3" customWidth="1"/>
    <col min="13576" max="13824" width="9.109375" style="3"/>
    <col min="13825" max="13825" width="14" style="3" customWidth="1"/>
    <col min="13826" max="13831" width="10.109375" style="3" customWidth="1"/>
    <col min="13832" max="14080" width="9.109375" style="3"/>
    <col min="14081" max="14081" width="14" style="3" customWidth="1"/>
    <col min="14082" max="14087" width="10.109375" style="3" customWidth="1"/>
    <col min="14088" max="14336" width="9.109375" style="3"/>
    <col min="14337" max="14337" width="14" style="3" customWidth="1"/>
    <col min="14338" max="14343" width="10.109375" style="3" customWidth="1"/>
    <col min="14344" max="14592" width="9.109375" style="3"/>
    <col min="14593" max="14593" width="14" style="3" customWidth="1"/>
    <col min="14594" max="14599" width="10.109375" style="3" customWidth="1"/>
    <col min="14600" max="14848" width="9.109375" style="3"/>
    <col min="14849" max="14849" width="14" style="3" customWidth="1"/>
    <col min="14850" max="14855" width="10.109375" style="3" customWidth="1"/>
    <col min="14856" max="15104" width="9.109375" style="3"/>
    <col min="15105" max="15105" width="14" style="3" customWidth="1"/>
    <col min="15106" max="15111" width="10.109375" style="3" customWidth="1"/>
    <col min="15112" max="15360" width="9.109375" style="3"/>
    <col min="15361" max="15361" width="14" style="3" customWidth="1"/>
    <col min="15362" max="15367" width="10.109375" style="3" customWidth="1"/>
    <col min="15368" max="15616" width="9.109375" style="3"/>
    <col min="15617" max="15617" width="14" style="3" customWidth="1"/>
    <col min="15618" max="15623" width="10.109375" style="3" customWidth="1"/>
    <col min="15624" max="15872" width="9.109375" style="3"/>
    <col min="15873" max="15873" width="14" style="3" customWidth="1"/>
    <col min="15874" max="15879" width="10.109375" style="3" customWidth="1"/>
    <col min="15880" max="16128" width="9.109375" style="3"/>
    <col min="16129" max="16129" width="14" style="3" customWidth="1"/>
    <col min="16130" max="16135" width="10.109375" style="3" customWidth="1"/>
    <col min="16136" max="16384" width="9.109375" style="3"/>
  </cols>
  <sheetData>
    <row r="1" spans="1:19" ht="15" x14ac:dyDescent="0.25">
      <c r="A1" s="91" t="str">
        <f>+'Cover Page'!$B$29</f>
        <v>Annual Performance Report 2022</v>
      </c>
      <c r="B1" s="91"/>
      <c r="C1" s="91"/>
      <c r="D1" s="91"/>
      <c r="E1" s="91" t="str">
        <f>+'Cover Page'!$B$33</f>
        <v>Kent Enviropower Limited</v>
      </c>
      <c r="F1" s="91"/>
      <c r="G1" s="91"/>
    </row>
    <row r="3" spans="1:19" ht="14.4" x14ac:dyDescent="0.3">
      <c r="A3" s="59" t="s">
        <v>465</v>
      </c>
      <c r="D3" s="75" t="s">
        <v>432</v>
      </c>
      <c r="G3" s="79" t="s">
        <v>433</v>
      </c>
      <c r="J3" s="9" t="str">
        <f>+A3</f>
        <v>Monitoring of Sulphur dioxide emissions</v>
      </c>
      <c r="L3" s="9"/>
      <c r="N3" s="9" t="s">
        <v>434</v>
      </c>
      <c r="Q3" s="78" t="s">
        <v>3</v>
      </c>
      <c r="R3" s="73"/>
      <c r="S3" s="73"/>
    </row>
    <row r="4" spans="1:19" ht="14.1" customHeight="1" x14ac:dyDescent="0.25">
      <c r="Q4" s="382" t="s">
        <v>435</v>
      </c>
      <c r="R4" s="382"/>
      <c r="S4" s="382"/>
    </row>
    <row r="5" spans="1:19" ht="16.2" x14ac:dyDescent="0.25">
      <c r="A5" s="67" t="s">
        <v>436</v>
      </c>
      <c r="B5" s="417" t="s">
        <v>437</v>
      </c>
      <c r="C5" s="417"/>
      <c r="D5" s="417"/>
      <c r="E5" s="417" t="s">
        <v>438</v>
      </c>
      <c r="F5" s="417"/>
      <c r="G5" s="417"/>
      <c r="J5" s="416"/>
      <c r="K5" s="416"/>
      <c r="L5" s="416"/>
      <c r="M5" s="416"/>
      <c r="N5" s="416"/>
      <c r="O5" s="416"/>
      <c r="Q5" s="382"/>
      <c r="R5" s="382"/>
      <c r="S5" s="382"/>
    </row>
    <row r="6" spans="1:19" s="57" customFormat="1" ht="37.5" customHeight="1" x14ac:dyDescent="0.3">
      <c r="A6" s="64">
        <f>+'Cover Page'!C39</f>
        <v>2022</v>
      </c>
      <c r="B6" s="54" t="s">
        <v>466</v>
      </c>
      <c r="C6" s="54" t="s">
        <v>440</v>
      </c>
      <c r="D6" s="54" t="s">
        <v>441</v>
      </c>
      <c r="E6" s="54" t="s">
        <v>467</v>
      </c>
      <c r="F6" s="54" t="s">
        <v>443</v>
      </c>
      <c r="G6" s="54" t="s">
        <v>444</v>
      </c>
      <c r="H6" s="58"/>
      <c r="J6" s="60">
        <f>+A6</f>
        <v>2022</v>
      </c>
      <c r="K6" s="60" t="s">
        <v>445</v>
      </c>
      <c r="L6" s="66" t="s">
        <v>440</v>
      </c>
      <c r="M6" s="66" t="s">
        <v>446</v>
      </c>
      <c r="N6" s="66" t="s">
        <v>443</v>
      </c>
      <c r="O6" s="66" t="s">
        <v>447</v>
      </c>
      <c r="Q6" s="382"/>
      <c r="R6" s="382"/>
      <c r="S6" s="382"/>
    </row>
    <row r="7" spans="1:19" x14ac:dyDescent="0.25">
      <c r="A7" s="65" t="s">
        <v>448</v>
      </c>
      <c r="B7" s="62">
        <v>200</v>
      </c>
      <c r="C7" s="63">
        <v>0.2</v>
      </c>
      <c r="D7" s="63">
        <v>14.5</v>
      </c>
      <c r="E7" s="62">
        <v>50</v>
      </c>
      <c r="F7" s="63">
        <v>0.2</v>
      </c>
      <c r="G7" s="63">
        <v>0.6</v>
      </c>
      <c r="J7" s="415" t="s">
        <v>190</v>
      </c>
      <c r="K7" s="65" t="s">
        <v>448</v>
      </c>
      <c r="L7" s="63">
        <v>0.1</v>
      </c>
      <c r="M7" s="63">
        <v>9</v>
      </c>
      <c r="N7" s="63">
        <v>0.1</v>
      </c>
      <c r="O7" s="63">
        <v>0.3</v>
      </c>
      <c r="Q7" s="382"/>
      <c r="R7" s="382"/>
      <c r="S7" s="382"/>
    </row>
    <row r="8" spans="1:19" x14ac:dyDescent="0.25">
      <c r="A8" s="65" t="s">
        <v>449</v>
      </c>
      <c r="B8" s="62">
        <v>200</v>
      </c>
      <c r="C8" s="63">
        <v>0.23</v>
      </c>
      <c r="D8" s="63">
        <v>26.5</v>
      </c>
      <c r="E8" s="62">
        <v>50</v>
      </c>
      <c r="F8" s="63">
        <v>0.23</v>
      </c>
      <c r="G8" s="63">
        <v>0.7</v>
      </c>
      <c r="J8" s="415"/>
      <c r="K8" s="65" t="s">
        <v>449</v>
      </c>
      <c r="L8" s="63">
        <v>0.3</v>
      </c>
      <c r="M8" s="63">
        <v>26.5</v>
      </c>
      <c r="N8" s="63">
        <v>0.3</v>
      </c>
      <c r="O8" s="63">
        <v>0.7</v>
      </c>
      <c r="Q8" s="382"/>
      <c r="R8" s="382"/>
      <c r="S8" s="382"/>
    </row>
    <row r="9" spans="1:19" x14ac:dyDescent="0.25">
      <c r="A9" s="65" t="s">
        <v>450</v>
      </c>
      <c r="B9" s="62">
        <v>200</v>
      </c>
      <c r="C9" s="63">
        <v>0.23</v>
      </c>
      <c r="D9" s="63">
        <v>18.5</v>
      </c>
      <c r="E9" s="62">
        <v>50</v>
      </c>
      <c r="F9" s="63">
        <v>0.2</v>
      </c>
      <c r="G9" s="63">
        <v>1</v>
      </c>
      <c r="J9" s="415"/>
      <c r="K9" s="65" t="s">
        <v>450</v>
      </c>
      <c r="L9" s="63">
        <v>0.2</v>
      </c>
      <c r="M9" s="63">
        <v>18.100000000000001</v>
      </c>
      <c r="N9" s="63">
        <v>0.2</v>
      </c>
      <c r="O9" s="63">
        <v>0.4</v>
      </c>
      <c r="Q9" s="77" t="s">
        <v>451</v>
      </c>
    </row>
    <row r="10" spans="1:19" ht="14.25" customHeight="1" x14ac:dyDescent="0.25">
      <c r="A10" s="65" t="s">
        <v>452</v>
      </c>
      <c r="B10" s="62">
        <v>200</v>
      </c>
      <c r="C10" s="63">
        <v>0.76</v>
      </c>
      <c r="D10" s="63">
        <v>59.5</v>
      </c>
      <c r="E10" s="62">
        <v>50</v>
      </c>
      <c r="F10" s="63">
        <v>0.76</v>
      </c>
      <c r="G10" s="63">
        <v>2.8</v>
      </c>
      <c r="J10" s="415"/>
      <c r="K10" s="65" t="s">
        <v>452</v>
      </c>
      <c r="L10" s="63">
        <v>0.5</v>
      </c>
      <c r="M10" s="63">
        <v>35.6</v>
      </c>
      <c r="N10" s="63">
        <v>0.5</v>
      </c>
      <c r="O10" s="63">
        <v>2.2999999999999998</v>
      </c>
      <c r="Q10" s="414" t="s">
        <v>453</v>
      </c>
      <c r="R10" s="414"/>
      <c r="S10" s="414"/>
    </row>
    <row r="11" spans="1:19" x14ac:dyDescent="0.25">
      <c r="A11" s="65" t="s">
        <v>454</v>
      </c>
      <c r="B11" s="62">
        <v>200</v>
      </c>
      <c r="C11" s="63">
        <v>0.6</v>
      </c>
      <c r="D11" s="63">
        <v>149.4</v>
      </c>
      <c r="E11" s="62">
        <v>50</v>
      </c>
      <c r="F11" s="63">
        <v>0.56000000000000005</v>
      </c>
      <c r="G11" s="63">
        <v>2</v>
      </c>
      <c r="J11" s="415"/>
      <c r="K11" s="65" t="s">
        <v>454</v>
      </c>
      <c r="L11" s="63">
        <v>0.4</v>
      </c>
      <c r="M11" s="63">
        <v>149.4</v>
      </c>
      <c r="N11" s="63">
        <v>0.3</v>
      </c>
      <c r="O11" s="63">
        <v>2</v>
      </c>
      <c r="Q11" s="414"/>
      <c r="R11" s="414"/>
      <c r="S11" s="414"/>
    </row>
    <row r="12" spans="1:19" x14ac:dyDescent="0.25">
      <c r="A12" s="65" t="s">
        <v>455</v>
      </c>
      <c r="B12" s="62">
        <v>200</v>
      </c>
      <c r="C12" s="63">
        <v>0.6</v>
      </c>
      <c r="D12" s="63">
        <v>232.8</v>
      </c>
      <c r="E12" s="62">
        <v>50</v>
      </c>
      <c r="F12" s="63">
        <v>0.6</v>
      </c>
      <c r="G12" s="63">
        <v>5.3</v>
      </c>
      <c r="J12" s="415"/>
      <c r="K12" s="65" t="s">
        <v>455</v>
      </c>
      <c r="L12" s="63">
        <v>0.4</v>
      </c>
      <c r="M12" s="63">
        <v>232.8</v>
      </c>
      <c r="N12" s="63">
        <v>0.4</v>
      </c>
      <c r="O12" s="63">
        <v>5.3</v>
      </c>
      <c r="Q12" s="414"/>
      <c r="R12" s="414"/>
      <c r="S12" s="414"/>
    </row>
    <row r="13" spans="1:19" ht="14.25" customHeight="1" x14ac:dyDescent="0.25">
      <c r="A13" s="65" t="s">
        <v>456</v>
      </c>
      <c r="B13" s="62">
        <v>200</v>
      </c>
      <c r="C13" s="63">
        <v>0.63</v>
      </c>
      <c r="D13" s="63">
        <v>188</v>
      </c>
      <c r="E13" s="62">
        <v>50</v>
      </c>
      <c r="F13" s="63">
        <v>0.56000000000000005</v>
      </c>
      <c r="G13" s="63">
        <v>1.9</v>
      </c>
      <c r="J13" s="415"/>
      <c r="K13" s="65" t="s">
        <v>456</v>
      </c>
      <c r="L13" s="63">
        <v>0.3</v>
      </c>
      <c r="M13" s="63">
        <v>79.900000000000006</v>
      </c>
      <c r="N13" s="63">
        <v>0.3</v>
      </c>
      <c r="O13" s="63">
        <v>1.9</v>
      </c>
      <c r="Q13" s="414" t="s">
        <v>457</v>
      </c>
      <c r="R13" s="414"/>
      <c r="S13" s="414"/>
    </row>
    <row r="14" spans="1:19" x14ac:dyDescent="0.25">
      <c r="A14" s="65" t="s">
        <v>458</v>
      </c>
      <c r="B14" s="62">
        <v>200</v>
      </c>
      <c r="C14" s="63">
        <v>0.46</v>
      </c>
      <c r="D14" s="63">
        <v>18.2</v>
      </c>
      <c r="E14" s="62">
        <v>50</v>
      </c>
      <c r="F14" s="63">
        <v>0.46</v>
      </c>
      <c r="G14" s="63">
        <v>1.7</v>
      </c>
      <c r="J14" s="415"/>
      <c r="K14" s="65" t="s">
        <v>458</v>
      </c>
      <c r="L14" s="63">
        <v>0.1</v>
      </c>
      <c r="M14" s="63">
        <v>9.1999999999999993</v>
      </c>
      <c r="N14" s="63">
        <v>0.1</v>
      </c>
      <c r="O14" s="63">
        <v>0.4</v>
      </c>
      <c r="Q14" s="414"/>
      <c r="R14" s="414"/>
      <c r="S14" s="414"/>
    </row>
    <row r="15" spans="1:19" x14ac:dyDescent="0.25">
      <c r="A15" s="65" t="s">
        <v>459</v>
      </c>
      <c r="B15" s="62">
        <v>200</v>
      </c>
      <c r="C15" s="63">
        <v>0.56000000000000005</v>
      </c>
      <c r="D15" s="63">
        <v>28</v>
      </c>
      <c r="E15" s="62">
        <v>50</v>
      </c>
      <c r="F15" s="63">
        <v>0.56000000000000005</v>
      </c>
      <c r="G15" s="63">
        <v>1.7</v>
      </c>
      <c r="J15" s="415"/>
      <c r="K15" s="65" t="s">
        <v>459</v>
      </c>
      <c r="L15" s="63">
        <v>0.1</v>
      </c>
      <c r="M15" s="63">
        <v>14.3</v>
      </c>
      <c r="N15" s="63">
        <v>0.1</v>
      </c>
      <c r="O15" s="63">
        <v>0.4</v>
      </c>
      <c r="Q15" s="414"/>
      <c r="R15" s="414"/>
      <c r="S15" s="414"/>
    </row>
    <row r="16" spans="1:19" x14ac:dyDescent="0.25">
      <c r="A16" s="65" t="s">
        <v>460</v>
      </c>
      <c r="B16" s="62">
        <v>200</v>
      </c>
      <c r="C16" s="63">
        <v>0.63</v>
      </c>
      <c r="D16" s="63">
        <v>183.4</v>
      </c>
      <c r="E16" s="62">
        <v>50</v>
      </c>
      <c r="F16" s="63">
        <v>0.56000000000000005</v>
      </c>
      <c r="G16" s="63">
        <v>2.1</v>
      </c>
      <c r="J16" s="415"/>
      <c r="K16" s="65" t="s">
        <v>460</v>
      </c>
      <c r="L16" s="63">
        <v>0.4</v>
      </c>
      <c r="M16" s="63">
        <v>183.4</v>
      </c>
      <c r="N16" s="63">
        <v>0.2</v>
      </c>
      <c r="O16" s="63">
        <v>2.1</v>
      </c>
      <c r="Q16" s="414"/>
      <c r="R16" s="414"/>
      <c r="S16" s="414"/>
    </row>
    <row r="17" spans="1:15" x14ac:dyDescent="0.25">
      <c r="A17" s="65" t="s">
        <v>461</v>
      </c>
      <c r="B17" s="62">
        <v>200</v>
      </c>
      <c r="C17" s="63">
        <v>0.76</v>
      </c>
      <c r="D17" s="63">
        <v>36.799999999999997</v>
      </c>
      <c r="E17" s="62">
        <v>50</v>
      </c>
      <c r="F17" s="63">
        <v>0.76</v>
      </c>
      <c r="G17" s="63">
        <v>2.2000000000000002</v>
      </c>
      <c r="J17" s="415"/>
      <c r="K17" s="65" t="s">
        <v>461</v>
      </c>
      <c r="L17" s="63">
        <v>0.1</v>
      </c>
      <c r="M17" s="63">
        <v>11.9</v>
      </c>
      <c r="N17" s="63">
        <v>0.1</v>
      </c>
      <c r="O17" s="63">
        <v>0.3</v>
      </c>
    </row>
    <row r="18" spans="1:15" x14ac:dyDescent="0.25">
      <c r="A18" s="65" t="s">
        <v>462</v>
      </c>
      <c r="B18" s="62">
        <v>200</v>
      </c>
      <c r="C18" s="63">
        <v>0.46</v>
      </c>
      <c r="D18" s="63">
        <v>21.5</v>
      </c>
      <c r="E18" s="62">
        <v>50</v>
      </c>
      <c r="F18" s="63">
        <v>0.46</v>
      </c>
      <c r="G18" s="63">
        <v>1.5</v>
      </c>
      <c r="J18" s="415"/>
      <c r="K18" s="65" t="s">
        <v>462</v>
      </c>
      <c r="L18" s="63">
        <v>0.1</v>
      </c>
      <c r="M18" s="63">
        <v>11.8</v>
      </c>
      <c r="N18" s="63">
        <v>0.1</v>
      </c>
      <c r="O18" s="63">
        <v>0.6</v>
      </c>
    </row>
    <row r="19" spans="1:15" x14ac:dyDescent="0.25">
      <c r="J19" s="415"/>
      <c r="K19" s="61" t="s">
        <v>463</v>
      </c>
      <c r="L19" s="61">
        <f>AVERAGE(L7:L18)</f>
        <v>0.25</v>
      </c>
      <c r="M19" s="61">
        <f>MAX(M7:M18)</f>
        <v>232.8</v>
      </c>
      <c r="N19" s="61">
        <f>AVERAGE(N7:N18)</f>
        <v>0.22500000000000006</v>
      </c>
      <c r="O19" s="61">
        <f>MAX(O7:O18)</f>
        <v>5.3</v>
      </c>
    </row>
    <row r="21" spans="1:15" ht="41.4" x14ac:dyDescent="0.25">
      <c r="J21" s="60">
        <f>+A6</f>
        <v>2022</v>
      </c>
      <c r="K21" s="60" t="s">
        <v>445</v>
      </c>
      <c r="L21" s="66" t="s">
        <v>440</v>
      </c>
      <c r="M21" s="66" t="s">
        <v>446</v>
      </c>
      <c r="N21" s="66" t="s">
        <v>443</v>
      </c>
      <c r="O21" s="66" t="s">
        <v>447</v>
      </c>
    </row>
    <row r="22" spans="1:15" x14ac:dyDescent="0.25">
      <c r="J22" s="415" t="s">
        <v>191</v>
      </c>
      <c r="K22" s="65" t="s">
        <v>448</v>
      </c>
      <c r="L22" s="63">
        <v>0.3</v>
      </c>
      <c r="M22" s="63">
        <v>7.5</v>
      </c>
      <c r="N22" s="63">
        <v>0.3</v>
      </c>
      <c r="O22" s="63">
        <v>0.6</v>
      </c>
    </row>
    <row r="23" spans="1:15" x14ac:dyDescent="0.25">
      <c r="J23" s="415"/>
      <c r="K23" s="65" t="s">
        <v>449</v>
      </c>
      <c r="L23" s="63">
        <v>0.3</v>
      </c>
      <c r="M23" s="63">
        <v>20.399999999999999</v>
      </c>
      <c r="N23" s="63">
        <v>0.3</v>
      </c>
      <c r="O23" s="63">
        <v>0.7</v>
      </c>
    </row>
    <row r="24" spans="1:15" x14ac:dyDescent="0.25">
      <c r="J24" s="415"/>
      <c r="K24" s="65" t="s">
        <v>450</v>
      </c>
      <c r="L24" s="63">
        <v>0.4</v>
      </c>
      <c r="M24" s="63">
        <v>4.7</v>
      </c>
      <c r="N24" s="63">
        <v>0.4</v>
      </c>
      <c r="O24" s="63">
        <v>1</v>
      </c>
    </row>
    <row r="25" spans="1:15" x14ac:dyDescent="0.25">
      <c r="J25" s="415"/>
      <c r="K25" s="65" t="s">
        <v>452</v>
      </c>
      <c r="L25" s="63">
        <v>1.1000000000000001</v>
      </c>
      <c r="M25" s="63">
        <v>59.5</v>
      </c>
      <c r="N25" s="63">
        <v>1.1000000000000001</v>
      </c>
      <c r="O25" s="63">
        <v>2.8</v>
      </c>
    </row>
    <row r="26" spans="1:15" x14ac:dyDescent="0.25">
      <c r="J26" s="415"/>
      <c r="K26" s="65" t="s">
        <v>454</v>
      </c>
      <c r="L26" s="63">
        <v>0.8</v>
      </c>
      <c r="M26" s="63">
        <v>15.3</v>
      </c>
      <c r="N26" s="63">
        <v>0.8</v>
      </c>
      <c r="O26" s="63">
        <v>1.3</v>
      </c>
    </row>
    <row r="27" spans="1:15" x14ac:dyDescent="0.25">
      <c r="J27" s="415"/>
      <c r="K27" s="65" t="s">
        <v>455</v>
      </c>
      <c r="L27" s="63">
        <v>0.9</v>
      </c>
      <c r="M27" s="63">
        <v>30.7</v>
      </c>
      <c r="N27" s="63">
        <v>0.9</v>
      </c>
      <c r="O27" s="63">
        <v>1.5</v>
      </c>
    </row>
    <row r="28" spans="1:15" x14ac:dyDescent="0.25">
      <c r="J28" s="415"/>
      <c r="K28" s="65" t="s">
        <v>456</v>
      </c>
      <c r="L28" s="63">
        <v>1.1000000000000001</v>
      </c>
      <c r="M28" s="63">
        <v>188</v>
      </c>
      <c r="N28" s="63">
        <v>0.9</v>
      </c>
      <c r="O28" s="63">
        <v>1.8</v>
      </c>
    </row>
    <row r="29" spans="1:15" x14ac:dyDescent="0.25">
      <c r="J29" s="415"/>
      <c r="K29" s="65" t="s">
        <v>458</v>
      </c>
      <c r="L29" s="63">
        <v>0.7</v>
      </c>
      <c r="M29" s="63">
        <v>18.2</v>
      </c>
      <c r="N29" s="63">
        <v>0.7</v>
      </c>
      <c r="O29" s="63">
        <v>1.7</v>
      </c>
    </row>
    <row r="30" spans="1:15" x14ac:dyDescent="0.25">
      <c r="J30" s="415"/>
      <c r="K30" s="65" t="s">
        <v>459</v>
      </c>
      <c r="L30" s="63">
        <v>1</v>
      </c>
      <c r="M30" s="63">
        <v>28</v>
      </c>
      <c r="N30" s="63">
        <v>1</v>
      </c>
      <c r="O30" s="63">
        <v>1.7</v>
      </c>
    </row>
    <row r="31" spans="1:15" x14ac:dyDescent="0.25">
      <c r="J31" s="415"/>
      <c r="K31" s="65" t="s">
        <v>460</v>
      </c>
      <c r="L31" s="63">
        <v>1</v>
      </c>
      <c r="M31" s="63">
        <v>27.1</v>
      </c>
      <c r="N31" s="63">
        <v>1</v>
      </c>
      <c r="O31" s="63">
        <v>1.7</v>
      </c>
    </row>
    <row r="32" spans="1:15" x14ac:dyDescent="0.25">
      <c r="J32" s="415"/>
      <c r="K32" s="65" t="s">
        <v>461</v>
      </c>
      <c r="L32" s="63">
        <v>1.4</v>
      </c>
      <c r="M32" s="63">
        <v>36.799999999999997</v>
      </c>
      <c r="N32" s="63">
        <v>1.4</v>
      </c>
      <c r="O32" s="63">
        <v>2.2000000000000002</v>
      </c>
    </row>
    <row r="33" spans="1:15" x14ac:dyDescent="0.25">
      <c r="J33" s="415"/>
      <c r="K33" s="65" t="s">
        <v>462</v>
      </c>
      <c r="L33" s="63">
        <v>0.8</v>
      </c>
      <c r="M33" s="63">
        <v>16.3</v>
      </c>
      <c r="N33" s="63">
        <v>0.8</v>
      </c>
      <c r="O33" s="63">
        <v>1.5</v>
      </c>
    </row>
    <row r="34" spans="1:15" x14ac:dyDescent="0.25">
      <c r="J34" s="415"/>
      <c r="K34" s="61" t="s">
        <v>463</v>
      </c>
      <c r="L34" s="61">
        <f>AVERAGE(L22:L33)</f>
        <v>0.81666666666666676</v>
      </c>
      <c r="M34" s="61">
        <f>MAX(M22:M33)</f>
        <v>188</v>
      </c>
      <c r="N34" s="61">
        <f>AVERAGE(N22:N33)</f>
        <v>0.80000000000000016</v>
      </c>
      <c r="O34" s="61">
        <f>MAX(O22:O33)</f>
        <v>2.8</v>
      </c>
    </row>
    <row r="36" spans="1:15" ht="41.4" x14ac:dyDescent="0.25">
      <c r="J36" s="60">
        <f>+A6</f>
        <v>2022</v>
      </c>
      <c r="K36" s="60" t="s">
        <v>445</v>
      </c>
      <c r="L36" s="66" t="s">
        <v>440</v>
      </c>
      <c r="M36" s="66" t="s">
        <v>446</v>
      </c>
      <c r="N36" s="66" t="s">
        <v>443</v>
      </c>
      <c r="O36" s="66" t="s">
        <v>447</v>
      </c>
    </row>
    <row r="37" spans="1:15" x14ac:dyDescent="0.25">
      <c r="J37" s="415" t="s">
        <v>192</v>
      </c>
      <c r="K37" s="65" t="s">
        <v>448</v>
      </c>
      <c r="L37" s="63">
        <v>0.2</v>
      </c>
      <c r="M37" s="63">
        <v>14.5</v>
      </c>
      <c r="N37" s="63">
        <v>0.2</v>
      </c>
      <c r="O37" s="63">
        <v>0.5</v>
      </c>
    </row>
    <row r="38" spans="1:15" x14ac:dyDescent="0.25">
      <c r="J38" s="415"/>
      <c r="K38" s="65" t="s">
        <v>449</v>
      </c>
      <c r="L38" s="63">
        <v>0.1</v>
      </c>
      <c r="M38" s="63">
        <v>9.1999999999999993</v>
      </c>
      <c r="N38" s="63">
        <v>0.1</v>
      </c>
      <c r="O38" s="63">
        <v>0.4</v>
      </c>
    </row>
    <row r="39" spans="1:15" x14ac:dyDescent="0.25">
      <c r="J39" s="415"/>
      <c r="K39" s="65" t="s">
        <v>450</v>
      </c>
      <c r="L39" s="63">
        <v>0.1</v>
      </c>
      <c r="M39" s="63">
        <v>0.5</v>
      </c>
      <c r="N39" s="63">
        <v>0</v>
      </c>
      <c r="O39" s="63">
        <v>0</v>
      </c>
    </row>
    <row r="40" spans="1:15" x14ac:dyDescent="0.25">
      <c r="J40" s="415"/>
      <c r="K40" s="65" t="s">
        <v>452</v>
      </c>
      <c r="L40" s="63">
        <v>0.7</v>
      </c>
      <c r="M40" s="63">
        <v>38.6</v>
      </c>
      <c r="N40" s="63">
        <v>0.7</v>
      </c>
      <c r="O40" s="63">
        <v>2.8</v>
      </c>
    </row>
    <row r="41" spans="1:15" x14ac:dyDescent="0.25">
      <c r="J41" s="415"/>
      <c r="K41" s="65" t="s">
        <v>454</v>
      </c>
      <c r="L41" s="63">
        <v>0.6</v>
      </c>
      <c r="M41" s="63">
        <v>21.9</v>
      </c>
      <c r="N41" s="63">
        <v>0.6</v>
      </c>
      <c r="O41" s="63">
        <v>1</v>
      </c>
    </row>
    <row r="42" spans="1:15" x14ac:dyDescent="0.25">
      <c r="J42" s="415"/>
      <c r="K42" s="65" t="s">
        <v>455</v>
      </c>
      <c r="L42" s="63">
        <v>0.5</v>
      </c>
      <c r="M42" s="63">
        <v>23</v>
      </c>
      <c r="N42" s="63">
        <v>0.5</v>
      </c>
      <c r="O42" s="63">
        <v>1.1000000000000001</v>
      </c>
    </row>
    <row r="43" spans="1:15" x14ac:dyDescent="0.25">
      <c r="J43" s="415"/>
      <c r="K43" s="65" t="s">
        <v>456</v>
      </c>
      <c r="L43" s="63">
        <v>0.5</v>
      </c>
      <c r="M43" s="63">
        <v>14.9</v>
      </c>
      <c r="N43" s="63">
        <v>0.5</v>
      </c>
      <c r="O43" s="63">
        <v>1</v>
      </c>
    </row>
    <row r="44" spans="1:15" x14ac:dyDescent="0.25">
      <c r="J44" s="415"/>
      <c r="K44" s="65" t="s">
        <v>458</v>
      </c>
      <c r="L44" s="63">
        <v>0.6</v>
      </c>
      <c r="M44" s="63">
        <v>9.9</v>
      </c>
      <c r="N44" s="63">
        <v>0.6</v>
      </c>
      <c r="O44" s="63">
        <v>1.2</v>
      </c>
    </row>
    <row r="45" spans="1:15" x14ac:dyDescent="0.25">
      <c r="J45" s="415"/>
      <c r="K45" s="65" t="s">
        <v>459</v>
      </c>
      <c r="L45" s="63">
        <v>0.6</v>
      </c>
      <c r="M45" s="63">
        <v>17.7</v>
      </c>
      <c r="N45" s="63">
        <v>0.6</v>
      </c>
      <c r="O45" s="63">
        <v>1.2</v>
      </c>
    </row>
    <row r="46" spans="1:15" x14ac:dyDescent="0.25">
      <c r="J46" s="415"/>
      <c r="K46" s="65" t="s">
        <v>460</v>
      </c>
      <c r="L46" s="63">
        <v>0.5</v>
      </c>
      <c r="M46" s="63">
        <v>15.3</v>
      </c>
      <c r="N46" s="63">
        <v>0.5</v>
      </c>
      <c r="O46" s="63">
        <v>0.9</v>
      </c>
    </row>
    <row r="47" spans="1:15" x14ac:dyDescent="0.25">
      <c r="J47" s="415"/>
      <c r="K47" s="65" t="s">
        <v>461</v>
      </c>
      <c r="L47" s="63">
        <v>0.8</v>
      </c>
      <c r="M47" s="63">
        <v>19.8</v>
      </c>
      <c r="N47" s="63">
        <v>0.8</v>
      </c>
      <c r="O47" s="63">
        <v>1.4</v>
      </c>
    </row>
    <row r="48" spans="1:15" x14ac:dyDescent="0.25">
      <c r="A48" s="426" t="s">
        <v>335</v>
      </c>
      <c r="B48" s="427"/>
      <c r="C48" s="427"/>
      <c r="D48" s="427"/>
      <c r="E48" s="427"/>
      <c r="F48" s="427"/>
      <c r="G48" s="428"/>
      <c r="J48" s="415"/>
      <c r="K48" s="65" t="s">
        <v>462</v>
      </c>
      <c r="L48" s="63">
        <v>0.5</v>
      </c>
      <c r="M48" s="63">
        <v>21.5</v>
      </c>
      <c r="N48" s="63">
        <v>0.5</v>
      </c>
      <c r="O48" s="63">
        <v>1.2</v>
      </c>
    </row>
    <row r="49" spans="1:15" x14ac:dyDescent="0.25">
      <c r="A49" s="418" t="s">
        <v>464</v>
      </c>
      <c r="B49" s="419"/>
      <c r="C49" s="419"/>
      <c r="D49" s="419"/>
      <c r="E49" s="419"/>
      <c r="F49" s="419"/>
      <c r="G49" s="420"/>
      <c r="J49" s="415"/>
      <c r="K49" s="61" t="s">
        <v>463</v>
      </c>
      <c r="L49" s="61">
        <f>AVERAGE(L37:L48)</f>
        <v>0.47500000000000003</v>
      </c>
      <c r="M49" s="61">
        <f>MAX(M37:M48)</f>
        <v>38.6</v>
      </c>
      <c r="N49" s="61">
        <f>AVERAGE(N37:N48)</f>
        <v>0.46666666666666673</v>
      </c>
      <c r="O49" s="61">
        <f>MAX(O37:O48)</f>
        <v>2.8</v>
      </c>
    </row>
    <row r="50" spans="1:15" x14ac:dyDescent="0.25">
      <c r="A50" s="421"/>
      <c r="B50" s="240"/>
      <c r="C50" s="240"/>
      <c r="D50" s="240"/>
      <c r="E50" s="240"/>
      <c r="F50" s="240"/>
      <c r="G50" s="422"/>
    </row>
    <row r="51" spans="1:15" ht="41.4" x14ac:dyDescent="0.25">
      <c r="A51" s="421"/>
      <c r="B51" s="240"/>
      <c r="C51" s="240"/>
      <c r="D51" s="240"/>
      <c r="E51" s="240"/>
      <c r="F51" s="240"/>
      <c r="G51" s="422"/>
      <c r="J51" s="60">
        <f>+A6</f>
        <v>2022</v>
      </c>
      <c r="K51" s="60" t="s">
        <v>445</v>
      </c>
      <c r="L51" s="66" t="s">
        <v>440</v>
      </c>
      <c r="M51" s="66" t="s">
        <v>446</v>
      </c>
      <c r="N51" s="66" t="s">
        <v>443</v>
      </c>
      <c r="O51" s="66" t="s">
        <v>447</v>
      </c>
    </row>
    <row r="52" spans="1:15" x14ac:dyDescent="0.25">
      <c r="A52" s="423"/>
      <c r="B52" s="424"/>
      <c r="C52" s="424"/>
      <c r="D52" s="424"/>
      <c r="E52" s="424"/>
      <c r="F52" s="424"/>
      <c r="G52" s="425"/>
      <c r="J52" s="415" t="s">
        <v>193</v>
      </c>
      <c r="K52" s="65" t="s">
        <v>448</v>
      </c>
      <c r="L52" s="63"/>
      <c r="M52" s="63"/>
      <c r="N52" s="63"/>
      <c r="O52" s="63"/>
    </row>
    <row r="53" spans="1:15" x14ac:dyDescent="0.25">
      <c r="J53" s="415"/>
      <c r="K53" s="65" t="s">
        <v>449</v>
      </c>
      <c r="L53" s="63"/>
      <c r="M53" s="63"/>
      <c r="N53" s="63"/>
      <c r="O53" s="63"/>
    </row>
    <row r="54" spans="1:15" x14ac:dyDescent="0.25">
      <c r="J54" s="415"/>
      <c r="K54" s="65" t="s">
        <v>450</v>
      </c>
      <c r="L54" s="63"/>
      <c r="M54" s="63"/>
      <c r="N54" s="63"/>
      <c r="O54" s="63"/>
    </row>
    <row r="55" spans="1:15" x14ac:dyDescent="0.25">
      <c r="J55" s="415"/>
      <c r="K55" s="65" t="s">
        <v>452</v>
      </c>
      <c r="L55" s="63"/>
      <c r="M55" s="63"/>
      <c r="N55" s="63"/>
      <c r="O55" s="63"/>
    </row>
    <row r="56" spans="1:15" x14ac:dyDescent="0.25">
      <c r="J56" s="415"/>
      <c r="K56" s="65" t="s">
        <v>454</v>
      </c>
      <c r="L56" s="63"/>
      <c r="M56" s="63"/>
      <c r="N56" s="63"/>
      <c r="O56" s="63"/>
    </row>
    <row r="57" spans="1:15" x14ac:dyDescent="0.25">
      <c r="J57" s="415"/>
      <c r="K57" s="65" t="s">
        <v>455</v>
      </c>
      <c r="L57" s="63"/>
      <c r="M57" s="63"/>
      <c r="N57" s="63"/>
      <c r="O57" s="63"/>
    </row>
    <row r="58" spans="1:15" x14ac:dyDescent="0.25">
      <c r="J58" s="415"/>
      <c r="K58" s="65" t="s">
        <v>456</v>
      </c>
      <c r="L58" s="63"/>
      <c r="M58" s="63"/>
      <c r="N58" s="63"/>
      <c r="O58" s="63"/>
    </row>
    <row r="59" spans="1:15" x14ac:dyDescent="0.25">
      <c r="J59" s="415"/>
      <c r="K59" s="65" t="s">
        <v>458</v>
      </c>
      <c r="L59" s="63"/>
      <c r="M59" s="63"/>
      <c r="N59" s="63"/>
      <c r="O59" s="63"/>
    </row>
    <row r="60" spans="1:15" x14ac:dyDescent="0.25">
      <c r="J60" s="415"/>
      <c r="K60" s="65" t="s">
        <v>459</v>
      </c>
      <c r="L60" s="63"/>
      <c r="M60" s="63"/>
      <c r="N60" s="63"/>
      <c r="O60" s="63"/>
    </row>
    <row r="61" spans="1:15" x14ac:dyDescent="0.25">
      <c r="J61" s="415"/>
      <c r="K61" s="65" t="s">
        <v>460</v>
      </c>
      <c r="L61" s="63"/>
      <c r="M61" s="63"/>
      <c r="N61" s="63"/>
      <c r="O61" s="63"/>
    </row>
    <row r="62" spans="1:15" x14ac:dyDescent="0.25">
      <c r="J62" s="415"/>
      <c r="K62" s="65" t="s">
        <v>461</v>
      </c>
      <c r="L62" s="63"/>
      <c r="M62" s="63"/>
      <c r="N62" s="63"/>
      <c r="O62" s="63"/>
    </row>
    <row r="63" spans="1:15" x14ac:dyDescent="0.25">
      <c r="J63" s="415"/>
      <c r="K63" s="65" t="s">
        <v>462</v>
      </c>
      <c r="L63" s="63"/>
      <c r="M63" s="63"/>
      <c r="N63" s="63"/>
      <c r="O63" s="63"/>
    </row>
    <row r="64" spans="1:15" x14ac:dyDescent="0.25">
      <c r="J64" s="415"/>
      <c r="K64" s="61" t="s">
        <v>463</v>
      </c>
      <c r="L64" s="61" t="e">
        <f>AVERAGE(L52:L63)</f>
        <v>#DIV/0!</v>
      </c>
      <c r="M64" s="61">
        <f>MAX(M52:M63)</f>
        <v>0</v>
      </c>
      <c r="N64" s="61" t="e">
        <f>AVERAGE(N52:N63)</f>
        <v>#DIV/0!</v>
      </c>
      <c r="O64" s="61">
        <f>MAX(O52:O63)</f>
        <v>0</v>
      </c>
    </row>
    <row r="66" spans="10:15" ht="41.4" x14ac:dyDescent="0.25">
      <c r="J66" s="60">
        <f>+A6</f>
        <v>2022</v>
      </c>
      <c r="K66" s="60" t="s">
        <v>445</v>
      </c>
      <c r="L66" s="66" t="s">
        <v>440</v>
      </c>
      <c r="M66" s="66" t="s">
        <v>446</v>
      </c>
      <c r="N66" s="66" t="s">
        <v>443</v>
      </c>
      <c r="O66" s="66" t="s">
        <v>447</v>
      </c>
    </row>
    <row r="67" spans="10:15" x14ac:dyDescent="0.25">
      <c r="J67" s="415" t="s">
        <v>194</v>
      </c>
      <c r="K67" s="65" t="s">
        <v>448</v>
      </c>
      <c r="L67" s="63"/>
      <c r="M67" s="63"/>
      <c r="N67" s="63"/>
      <c r="O67" s="63"/>
    </row>
    <row r="68" spans="10:15" x14ac:dyDescent="0.25">
      <c r="J68" s="415"/>
      <c r="K68" s="65" t="s">
        <v>449</v>
      </c>
      <c r="L68" s="63"/>
      <c r="M68" s="63"/>
      <c r="N68" s="63"/>
      <c r="O68" s="63"/>
    </row>
    <row r="69" spans="10:15" x14ac:dyDescent="0.25">
      <c r="J69" s="415"/>
      <c r="K69" s="65" t="s">
        <v>450</v>
      </c>
      <c r="L69" s="63"/>
      <c r="M69" s="63"/>
      <c r="N69" s="63"/>
      <c r="O69" s="63"/>
    </row>
    <row r="70" spans="10:15" x14ac:dyDescent="0.25">
      <c r="J70" s="415"/>
      <c r="K70" s="65" t="s">
        <v>452</v>
      </c>
      <c r="L70" s="63"/>
      <c r="M70" s="63"/>
      <c r="N70" s="63"/>
      <c r="O70" s="63"/>
    </row>
    <row r="71" spans="10:15" x14ac:dyDescent="0.25">
      <c r="J71" s="415"/>
      <c r="K71" s="65" t="s">
        <v>454</v>
      </c>
      <c r="L71" s="63"/>
      <c r="M71" s="63"/>
      <c r="N71" s="63"/>
      <c r="O71" s="63"/>
    </row>
    <row r="72" spans="10:15" x14ac:dyDescent="0.25">
      <c r="J72" s="415"/>
      <c r="K72" s="65" t="s">
        <v>455</v>
      </c>
      <c r="L72" s="63"/>
      <c r="M72" s="63"/>
      <c r="N72" s="63"/>
      <c r="O72" s="63"/>
    </row>
    <row r="73" spans="10:15" x14ac:dyDescent="0.25">
      <c r="J73" s="415"/>
      <c r="K73" s="65" t="s">
        <v>456</v>
      </c>
      <c r="L73" s="63"/>
      <c r="M73" s="63"/>
      <c r="N73" s="63"/>
      <c r="O73" s="63"/>
    </row>
    <row r="74" spans="10:15" x14ac:dyDescent="0.25">
      <c r="J74" s="415"/>
      <c r="K74" s="65" t="s">
        <v>458</v>
      </c>
      <c r="L74" s="63"/>
      <c r="M74" s="63"/>
      <c r="N74" s="63"/>
      <c r="O74" s="63"/>
    </row>
    <row r="75" spans="10:15" x14ac:dyDescent="0.25">
      <c r="J75" s="415"/>
      <c r="K75" s="65" t="s">
        <v>459</v>
      </c>
      <c r="L75" s="63"/>
      <c r="M75" s="63"/>
      <c r="N75" s="63"/>
      <c r="O75" s="63"/>
    </row>
    <row r="76" spans="10:15" x14ac:dyDescent="0.25">
      <c r="J76" s="415"/>
      <c r="K76" s="65" t="s">
        <v>460</v>
      </c>
      <c r="L76" s="63"/>
      <c r="M76" s="63"/>
      <c r="N76" s="63"/>
      <c r="O76" s="63"/>
    </row>
    <row r="77" spans="10:15" x14ac:dyDescent="0.25">
      <c r="J77" s="415"/>
      <c r="K77" s="65" t="s">
        <v>461</v>
      </c>
      <c r="L77" s="63"/>
      <c r="M77" s="63"/>
      <c r="N77" s="63"/>
      <c r="O77" s="63"/>
    </row>
    <row r="78" spans="10:15" x14ac:dyDescent="0.25">
      <c r="J78" s="415"/>
      <c r="K78" s="65" t="s">
        <v>462</v>
      </c>
      <c r="L78" s="63"/>
      <c r="M78" s="63"/>
      <c r="N78" s="63"/>
      <c r="O78" s="63"/>
    </row>
    <row r="79" spans="10:15" x14ac:dyDescent="0.25">
      <c r="J79" s="415"/>
      <c r="K79" s="61" t="s">
        <v>463</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topLeftCell="A22" workbookViewId="0">
      <selection activeCell="A49" sqref="A49:G52"/>
    </sheetView>
  </sheetViews>
  <sheetFormatPr defaultRowHeight="13.8" x14ac:dyDescent="0.25"/>
  <cols>
    <col min="1" max="1" width="14" style="3" customWidth="1"/>
    <col min="2" max="4" width="17" style="34" customWidth="1"/>
    <col min="5" max="5" width="14.88671875" style="34" customWidth="1"/>
    <col min="6" max="7" width="17" style="34" customWidth="1"/>
    <col min="8" max="11" width="9.109375" style="3"/>
    <col min="12" max="12" width="15.44140625" style="3" customWidth="1"/>
    <col min="13" max="13" width="17.44140625" style="3" bestFit="1" customWidth="1"/>
    <col min="14" max="14" width="13.88671875" style="3" customWidth="1"/>
    <col min="15" max="15" width="15" style="3" customWidth="1"/>
    <col min="16" max="18" width="9.109375" style="3"/>
    <col min="19" max="19" width="21.5546875" style="3" customWidth="1"/>
    <col min="20" max="256" width="9.109375" style="3"/>
    <col min="257" max="257" width="14" style="3" customWidth="1"/>
    <col min="258" max="263" width="10.109375" style="3" customWidth="1"/>
    <col min="264" max="512" width="9.109375" style="3"/>
    <col min="513" max="513" width="14" style="3" customWidth="1"/>
    <col min="514" max="519" width="10.109375" style="3" customWidth="1"/>
    <col min="520" max="768" width="9.109375" style="3"/>
    <col min="769" max="769" width="14" style="3" customWidth="1"/>
    <col min="770" max="775" width="10.109375" style="3" customWidth="1"/>
    <col min="776" max="1024" width="9.109375" style="3"/>
    <col min="1025" max="1025" width="14" style="3" customWidth="1"/>
    <col min="1026" max="1031" width="10.109375" style="3" customWidth="1"/>
    <col min="1032" max="1280" width="9.109375" style="3"/>
    <col min="1281" max="1281" width="14" style="3" customWidth="1"/>
    <col min="1282" max="1287" width="10.109375" style="3" customWidth="1"/>
    <col min="1288" max="1536" width="9.109375" style="3"/>
    <col min="1537" max="1537" width="14" style="3" customWidth="1"/>
    <col min="1538" max="1543" width="10.109375" style="3" customWidth="1"/>
    <col min="1544" max="1792" width="9.109375" style="3"/>
    <col min="1793" max="1793" width="14" style="3" customWidth="1"/>
    <col min="1794" max="1799" width="10.109375" style="3" customWidth="1"/>
    <col min="1800" max="2048" width="9.109375" style="3"/>
    <col min="2049" max="2049" width="14" style="3" customWidth="1"/>
    <col min="2050" max="2055" width="10.109375" style="3" customWidth="1"/>
    <col min="2056" max="2304" width="9.109375" style="3"/>
    <col min="2305" max="2305" width="14" style="3" customWidth="1"/>
    <col min="2306" max="2311" width="10.109375" style="3" customWidth="1"/>
    <col min="2312" max="2560" width="9.109375" style="3"/>
    <col min="2561" max="2561" width="14" style="3" customWidth="1"/>
    <col min="2562" max="2567" width="10.109375" style="3" customWidth="1"/>
    <col min="2568" max="2816" width="9.109375" style="3"/>
    <col min="2817" max="2817" width="14" style="3" customWidth="1"/>
    <col min="2818" max="2823" width="10.109375" style="3" customWidth="1"/>
    <col min="2824" max="3072" width="9.109375" style="3"/>
    <col min="3073" max="3073" width="14" style="3" customWidth="1"/>
    <col min="3074" max="3079" width="10.109375" style="3" customWidth="1"/>
    <col min="3080" max="3328" width="9.109375" style="3"/>
    <col min="3329" max="3329" width="14" style="3" customWidth="1"/>
    <col min="3330" max="3335" width="10.109375" style="3" customWidth="1"/>
    <col min="3336" max="3584" width="9.109375" style="3"/>
    <col min="3585" max="3585" width="14" style="3" customWidth="1"/>
    <col min="3586" max="3591" width="10.109375" style="3" customWidth="1"/>
    <col min="3592" max="3840" width="9.109375" style="3"/>
    <col min="3841" max="3841" width="14" style="3" customWidth="1"/>
    <col min="3842" max="3847" width="10.109375" style="3" customWidth="1"/>
    <col min="3848" max="4096" width="9.109375" style="3"/>
    <col min="4097" max="4097" width="14" style="3" customWidth="1"/>
    <col min="4098" max="4103" width="10.109375" style="3" customWidth="1"/>
    <col min="4104" max="4352" width="9.109375" style="3"/>
    <col min="4353" max="4353" width="14" style="3" customWidth="1"/>
    <col min="4354" max="4359" width="10.109375" style="3" customWidth="1"/>
    <col min="4360" max="4608" width="9.109375" style="3"/>
    <col min="4609" max="4609" width="14" style="3" customWidth="1"/>
    <col min="4610" max="4615" width="10.109375" style="3" customWidth="1"/>
    <col min="4616" max="4864" width="9.109375" style="3"/>
    <col min="4865" max="4865" width="14" style="3" customWidth="1"/>
    <col min="4866" max="4871" width="10.109375" style="3" customWidth="1"/>
    <col min="4872" max="5120" width="9.109375" style="3"/>
    <col min="5121" max="5121" width="14" style="3" customWidth="1"/>
    <col min="5122" max="5127" width="10.109375" style="3" customWidth="1"/>
    <col min="5128" max="5376" width="9.109375" style="3"/>
    <col min="5377" max="5377" width="14" style="3" customWidth="1"/>
    <col min="5378" max="5383" width="10.109375" style="3" customWidth="1"/>
    <col min="5384" max="5632" width="9.109375" style="3"/>
    <col min="5633" max="5633" width="14" style="3" customWidth="1"/>
    <col min="5634" max="5639" width="10.109375" style="3" customWidth="1"/>
    <col min="5640" max="5888" width="9.109375" style="3"/>
    <col min="5889" max="5889" width="14" style="3" customWidth="1"/>
    <col min="5890" max="5895" width="10.109375" style="3" customWidth="1"/>
    <col min="5896" max="6144" width="9.109375" style="3"/>
    <col min="6145" max="6145" width="14" style="3" customWidth="1"/>
    <col min="6146" max="6151" width="10.109375" style="3" customWidth="1"/>
    <col min="6152" max="6400" width="9.109375" style="3"/>
    <col min="6401" max="6401" width="14" style="3" customWidth="1"/>
    <col min="6402" max="6407" width="10.109375" style="3" customWidth="1"/>
    <col min="6408" max="6656" width="9.109375" style="3"/>
    <col min="6657" max="6657" width="14" style="3" customWidth="1"/>
    <col min="6658" max="6663" width="10.109375" style="3" customWidth="1"/>
    <col min="6664" max="6912" width="9.109375" style="3"/>
    <col min="6913" max="6913" width="14" style="3" customWidth="1"/>
    <col min="6914" max="6919" width="10.109375" style="3" customWidth="1"/>
    <col min="6920" max="7168" width="9.109375" style="3"/>
    <col min="7169" max="7169" width="14" style="3" customWidth="1"/>
    <col min="7170" max="7175" width="10.109375" style="3" customWidth="1"/>
    <col min="7176" max="7424" width="9.109375" style="3"/>
    <col min="7425" max="7425" width="14" style="3" customWidth="1"/>
    <col min="7426" max="7431" width="10.109375" style="3" customWidth="1"/>
    <col min="7432" max="7680" width="9.109375" style="3"/>
    <col min="7681" max="7681" width="14" style="3" customWidth="1"/>
    <col min="7682" max="7687" width="10.109375" style="3" customWidth="1"/>
    <col min="7688" max="7936" width="9.109375" style="3"/>
    <col min="7937" max="7937" width="14" style="3" customWidth="1"/>
    <col min="7938" max="7943" width="10.109375" style="3" customWidth="1"/>
    <col min="7944" max="8192" width="9.109375" style="3"/>
    <col min="8193" max="8193" width="14" style="3" customWidth="1"/>
    <col min="8194" max="8199" width="10.109375" style="3" customWidth="1"/>
    <col min="8200" max="8448" width="9.109375" style="3"/>
    <col min="8449" max="8449" width="14" style="3" customWidth="1"/>
    <col min="8450" max="8455" width="10.109375" style="3" customWidth="1"/>
    <col min="8456" max="8704" width="9.109375" style="3"/>
    <col min="8705" max="8705" width="14" style="3" customWidth="1"/>
    <col min="8706" max="8711" width="10.109375" style="3" customWidth="1"/>
    <col min="8712" max="8960" width="9.109375" style="3"/>
    <col min="8961" max="8961" width="14" style="3" customWidth="1"/>
    <col min="8962" max="8967" width="10.109375" style="3" customWidth="1"/>
    <col min="8968" max="9216" width="9.109375" style="3"/>
    <col min="9217" max="9217" width="14" style="3" customWidth="1"/>
    <col min="9218" max="9223" width="10.109375" style="3" customWidth="1"/>
    <col min="9224" max="9472" width="9.109375" style="3"/>
    <col min="9473" max="9473" width="14" style="3" customWidth="1"/>
    <col min="9474" max="9479" width="10.109375" style="3" customWidth="1"/>
    <col min="9480" max="9728" width="9.109375" style="3"/>
    <col min="9729" max="9729" width="14" style="3" customWidth="1"/>
    <col min="9730" max="9735" width="10.109375" style="3" customWidth="1"/>
    <col min="9736" max="9984" width="9.109375" style="3"/>
    <col min="9985" max="9985" width="14" style="3" customWidth="1"/>
    <col min="9986" max="9991" width="10.109375" style="3" customWidth="1"/>
    <col min="9992" max="10240" width="9.109375" style="3"/>
    <col min="10241" max="10241" width="14" style="3" customWidth="1"/>
    <col min="10242" max="10247" width="10.109375" style="3" customWidth="1"/>
    <col min="10248" max="10496" width="9.109375" style="3"/>
    <col min="10497" max="10497" width="14" style="3" customWidth="1"/>
    <col min="10498" max="10503" width="10.109375" style="3" customWidth="1"/>
    <col min="10504" max="10752" width="9.109375" style="3"/>
    <col min="10753" max="10753" width="14" style="3" customWidth="1"/>
    <col min="10754" max="10759" width="10.109375" style="3" customWidth="1"/>
    <col min="10760" max="11008" width="9.109375" style="3"/>
    <col min="11009" max="11009" width="14" style="3" customWidth="1"/>
    <col min="11010" max="11015" width="10.109375" style="3" customWidth="1"/>
    <col min="11016" max="11264" width="9.109375" style="3"/>
    <col min="11265" max="11265" width="14" style="3" customWidth="1"/>
    <col min="11266" max="11271" width="10.109375" style="3" customWidth="1"/>
    <col min="11272" max="11520" width="9.109375" style="3"/>
    <col min="11521" max="11521" width="14" style="3" customWidth="1"/>
    <col min="11522" max="11527" width="10.109375" style="3" customWidth="1"/>
    <col min="11528" max="11776" width="9.109375" style="3"/>
    <col min="11777" max="11777" width="14" style="3" customWidth="1"/>
    <col min="11778" max="11783" width="10.109375" style="3" customWidth="1"/>
    <col min="11784" max="12032" width="9.109375" style="3"/>
    <col min="12033" max="12033" width="14" style="3" customWidth="1"/>
    <col min="12034" max="12039" width="10.109375" style="3" customWidth="1"/>
    <col min="12040" max="12288" width="9.109375" style="3"/>
    <col min="12289" max="12289" width="14" style="3" customWidth="1"/>
    <col min="12290" max="12295" width="10.109375" style="3" customWidth="1"/>
    <col min="12296" max="12544" width="9.109375" style="3"/>
    <col min="12545" max="12545" width="14" style="3" customWidth="1"/>
    <col min="12546" max="12551" width="10.109375" style="3" customWidth="1"/>
    <col min="12552" max="12800" width="9.109375" style="3"/>
    <col min="12801" max="12801" width="14" style="3" customWidth="1"/>
    <col min="12802" max="12807" width="10.109375" style="3" customWidth="1"/>
    <col min="12808" max="13056" width="9.109375" style="3"/>
    <col min="13057" max="13057" width="14" style="3" customWidth="1"/>
    <col min="13058" max="13063" width="10.109375" style="3" customWidth="1"/>
    <col min="13064" max="13312" width="9.109375" style="3"/>
    <col min="13313" max="13313" width="14" style="3" customWidth="1"/>
    <col min="13314" max="13319" width="10.109375" style="3" customWidth="1"/>
    <col min="13320" max="13568" width="9.109375" style="3"/>
    <col min="13569" max="13569" width="14" style="3" customWidth="1"/>
    <col min="13570" max="13575" width="10.109375" style="3" customWidth="1"/>
    <col min="13576" max="13824" width="9.109375" style="3"/>
    <col min="13825" max="13825" width="14" style="3" customWidth="1"/>
    <col min="13826" max="13831" width="10.109375" style="3" customWidth="1"/>
    <col min="13832" max="14080" width="9.109375" style="3"/>
    <col min="14081" max="14081" width="14" style="3" customWidth="1"/>
    <col min="14082" max="14087" width="10.109375" style="3" customWidth="1"/>
    <col min="14088" max="14336" width="9.109375" style="3"/>
    <col min="14337" max="14337" width="14" style="3" customWidth="1"/>
    <col min="14338" max="14343" width="10.109375" style="3" customWidth="1"/>
    <col min="14344" max="14592" width="9.109375" style="3"/>
    <col min="14593" max="14593" width="14" style="3" customWidth="1"/>
    <col min="14594" max="14599" width="10.109375" style="3" customWidth="1"/>
    <col min="14600" max="14848" width="9.109375" style="3"/>
    <col min="14849" max="14849" width="14" style="3" customWidth="1"/>
    <col min="14850" max="14855" width="10.109375" style="3" customWidth="1"/>
    <col min="14856" max="15104" width="9.109375" style="3"/>
    <col min="15105" max="15105" width="14" style="3" customWidth="1"/>
    <col min="15106" max="15111" width="10.109375" style="3" customWidth="1"/>
    <col min="15112" max="15360" width="9.109375" style="3"/>
    <col min="15361" max="15361" width="14" style="3" customWidth="1"/>
    <col min="15362" max="15367" width="10.109375" style="3" customWidth="1"/>
    <col min="15368" max="15616" width="9.109375" style="3"/>
    <col min="15617" max="15617" width="14" style="3" customWidth="1"/>
    <col min="15618" max="15623" width="10.109375" style="3" customWidth="1"/>
    <col min="15624" max="15872" width="9.109375" style="3"/>
    <col min="15873" max="15873" width="14" style="3" customWidth="1"/>
    <col min="15874" max="15879" width="10.109375" style="3" customWidth="1"/>
    <col min="15880" max="16128" width="9.109375" style="3"/>
    <col min="16129" max="16129" width="14" style="3" customWidth="1"/>
    <col min="16130" max="16135" width="10.109375" style="3" customWidth="1"/>
    <col min="16136" max="16384" width="9.109375" style="3"/>
  </cols>
  <sheetData>
    <row r="1" spans="1:19" ht="15" x14ac:dyDescent="0.25">
      <c r="A1" s="91" t="str">
        <f>+'Cover Page'!$B$29</f>
        <v>Annual Performance Report 2022</v>
      </c>
      <c r="B1" s="91"/>
      <c r="C1" s="91"/>
      <c r="D1" s="91"/>
      <c r="E1" s="91" t="str">
        <f>+'Cover Page'!$B$33</f>
        <v>Kent Enviropower Limited</v>
      </c>
      <c r="F1" s="91"/>
    </row>
    <row r="3" spans="1:19" ht="14.4" x14ac:dyDescent="0.3">
      <c r="A3" s="59" t="s">
        <v>468</v>
      </c>
      <c r="D3" s="75" t="s">
        <v>432</v>
      </c>
      <c r="G3" s="79" t="s">
        <v>433</v>
      </c>
      <c r="J3" s="9" t="str">
        <f>+A3</f>
        <v>Monitoring of Oxides of Nitrogen emissions</v>
      </c>
      <c r="L3" s="9"/>
      <c r="N3" s="9" t="s">
        <v>434</v>
      </c>
      <c r="Q3" s="78" t="s">
        <v>3</v>
      </c>
      <c r="R3" s="73"/>
      <c r="S3" s="73"/>
    </row>
    <row r="4" spans="1:19" ht="14.1" customHeight="1" x14ac:dyDescent="0.25">
      <c r="Q4" s="382" t="s">
        <v>435</v>
      </c>
      <c r="R4" s="382"/>
      <c r="S4" s="382"/>
    </row>
    <row r="5" spans="1:19" ht="16.2" x14ac:dyDescent="0.25">
      <c r="A5" s="67" t="s">
        <v>436</v>
      </c>
      <c r="B5" s="417" t="s">
        <v>437</v>
      </c>
      <c r="C5" s="417"/>
      <c r="D5" s="417"/>
      <c r="E5" s="417" t="s">
        <v>438</v>
      </c>
      <c r="F5" s="417"/>
      <c r="G5" s="417"/>
      <c r="J5" s="416"/>
      <c r="K5" s="416"/>
      <c r="L5" s="416"/>
      <c r="M5" s="416"/>
      <c r="N5" s="416"/>
      <c r="O5" s="416"/>
      <c r="Q5" s="382"/>
      <c r="R5" s="382"/>
      <c r="S5" s="382"/>
    </row>
    <row r="6" spans="1:19" s="57" customFormat="1" ht="37.5" customHeight="1" x14ac:dyDescent="0.3">
      <c r="A6" s="64">
        <f>+'Cover Page'!C39</f>
        <v>2022</v>
      </c>
      <c r="B6" s="54" t="s">
        <v>469</v>
      </c>
      <c r="C6" s="54" t="s">
        <v>440</v>
      </c>
      <c r="D6" s="54" t="s">
        <v>441</v>
      </c>
      <c r="E6" s="54" t="s">
        <v>470</v>
      </c>
      <c r="F6" s="54" t="s">
        <v>443</v>
      </c>
      <c r="G6" s="54" t="s">
        <v>444</v>
      </c>
      <c r="H6" s="58"/>
      <c r="J6" s="60">
        <f>+A6</f>
        <v>2022</v>
      </c>
      <c r="K6" s="60" t="s">
        <v>445</v>
      </c>
      <c r="L6" s="66" t="s">
        <v>440</v>
      </c>
      <c r="M6" s="66" t="s">
        <v>446</v>
      </c>
      <c r="N6" s="66" t="s">
        <v>443</v>
      </c>
      <c r="O6" s="66" t="s">
        <v>447</v>
      </c>
      <c r="Q6" s="382"/>
      <c r="R6" s="382"/>
      <c r="S6" s="382"/>
    </row>
    <row r="7" spans="1:19" x14ac:dyDescent="0.25">
      <c r="A7" s="65" t="s">
        <v>448</v>
      </c>
      <c r="B7" s="62">
        <v>400</v>
      </c>
      <c r="C7" s="63">
        <v>152.43</v>
      </c>
      <c r="D7" s="63">
        <v>265.39999999999998</v>
      </c>
      <c r="E7" s="62">
        <v>200</v>
      </c>
      <c r="F7" s="63">
        <v>152.86000000000001</v>
      </c>
      <c r="G7" s="63">
        <v>167.5</v>
      </c>
      <c r="J7" s="415" t="s">
        <v>190</v>
      </c>
      <c r="K7" s="65" t="s">
        <v>448</v>
      </c>
      <c r="L7" s="63">
        <v>146.4</v>
      </c>
      <c r="M7" s="63">
        <v>265.39999999999998</v>
      </c>
      <c r="N7" s="63">
        <v>146.6</v>
      </c>
      <c r="O7" s="63">
        <v>164.5</v>
      </c>
      <c r="Q7" s="382"/>
      <c r="R7" s="382"/>
      <c r="S7" s="382"/>
    </row>
    <row r="8" spans="1:19" x14ac:dyDescent="0.25">
      <c r="A8" s="65" t="s">
        <v>449</v>
      </c>
      <c r="B8" s="62">
        <v>400</v>
      </c>
      <c r="C8" s="63">
        <v>150.13</v>
      </c>
      <c r="D8" s="63">
        <v>281.2</v>
      </c>
      <c r="E8" s="62">
        <v>200</v>
      </c>
      <c r="F8" s="63">
        <v>150.4</v>
      </c>
      <c r="G8" s="63">
        <v>166</v>
      </c>
      <c r="J8" s="415"/>
      <c r="K8" s="65" t="s">
        <v>449</v>
      </c>
      <c r="L8" s="63">
        <v>145.69999999999999</v>
      </c>
      <c r="M8" s="63">
        <v>253.9</v>
      </c>
      <c r="N8" s="63">
        <v>146</v>
      </c>
      <c r="O8" s="63">
        <v>160.69999999999999</v>
      </c>
      <c r="Q8" s="382"/>
      <c r="R8" s="382"/>
      <c r="S8" s="382"/>
    </row>
    <row r="9" spans="1:19" x14ac:dyDescent="0.25">
      <c r="A9" s="65" t="s">
        <v>450</v>
      </c>
      <c r="B9" s="62">
        <v>400</v>
      </c>
      <c r="C9" s="63">
        <v>147.63</v>
      </c>
      <c r="D9" s="63">
        <v>219.2</v>
      </c>
      <c r="E9" s="62">
        <v>200</v>
      </c>
      <c r="F9" s="63">
        <v>97.1</v>
      </c>
      <c r="G9" s="63">
        <v>162.6</v>
      </c>
      <c r="J9" s="415"/>
      <c r="K9" s="65" t="s">
        <v>450</v>
      </c>
      <c r="L9" s="63">
        <v>136.30000000000001</v>
      </c>
      <c r="M9" s="63">
        <v>219.2</v>
      </c>
      <c r="N9" s="63">
        <v>135.9</v>
      </c>
      <c r="O9" s="63">
        <v>147.5</v>
      </c>
      <c r="Q9" s="77" t="s">
        <v>451</v>
      </c>
    </row>
    <row r="10" spans="1:19" ht="14.25" customHeight="1" x14ac:dyDescent="0.25">
      <c r="A10" s="65" t="s">
        <v>452</v>
      </c>
      <c r="B10" s="62">
        <v>400</v>
      </c>
      <c r="C10" s="63">
        <v>141.56</v>
      </c>
      <c r="D10" s="63">
        <v>249.9</v>
      </c>
      <c r="E10" s="62">
        <v>200</v>
      </c>
      <c r="F10" s="63">
        <v>141.93</v>
      </c>
      <c r="G10" s="63">
        <v>168.1</v>
      </c>
      <c r="J10" s="415"/>
      <c r="K10" s="65" t="s">
        <v>452</v>
      </c>
      <c r="L10" s="63">
        <v>134</v>
      </c>
      <c r="M10" s="63">
        <v>223.8</v>
      </c>
      <c r="N10" s="63">
        <v>134.30000000000001</v>
      </c>
      <c r="O10" s="63">
        <v>154.1</v>
      </c>
      <c r="Q10" s="414" t="s">
        <v>453</v>
      </c>
      <c r="R10" s="414"/>
      <c r="S10" s="414"/>
    </row>
    <row r="11" spans="1:19" x14ac:dyDescent="0.25">
      <c r="A11" s="65" t="s">
        <v>454</v>
      </c>
      <c r="B11" s="62">
        <v>400</v>
      </c>
      <c r="C11" s="63">
        <v>137.93</v>
      </c>
      <c r="D11" s="63">
        <v>235.7</v>
      </c>
      <c r="E11" s="62">
        <v>200</v>
      </c>
      <c r="F11" s="63">
        <v>137.93</v>
      </c>
      <c r="G11" s="63">
        <v>165.5</v>
      </c>
      <c r="J11" s="415"/>
      <c r="K11" s="65" t="s">
        <v>454</v>
      </c>
      <c r="L11" s="63">
        <v>128.1</v>
      </c>
      <c r="M11" s="63">
        <v>235.7</v>
      </c>
      <c r="N11" s="63">
        <v>128.19999999999999</v>
      </c>
      <c r="O11" s="63">
        <v>160.5</v>
      </c>
      <c r="Q11" s="414"/>
      <c r="R11" s="414"/>
      <c r="S11" s="414"/>
    </row>
    <row r="12" spans="1:19" x14ac:dyDescent="0.25">
      <c r="A12" s="65" t="s">
        <v>455</v>
      </c>
      <c r="B12" s="62">
        <v>400</v>
      </c>
      <c r="C12" s="63">
        <v>121.56</v>
      </c>
      <c r="D12" s="63">
        <v>307.2</v>
      </c>
      <c r="E12" s="62">
        <v>200</v>
      </c>
      <c r="F12" s="63">
        <v>121.26</v>
      </c>
      <c r="G12" s="63">
        <v>150.69999999999999</v>
      </c>
      <c r="J12" s="415"/>
      <c r="K12" s="65" t="s">
        <v>455</v>
      </c>
      <c r="L12" s="63">
        <v>113.3</v>
      </c>
      <c r="M12" s="63">
        <v>307.2</v>
      </c>
      <c r="N12" s="63">
        <v>112.7</v>
      </c>
      <c r="O12" s="63">
        <v>130.19999999999999</v>
      </c>
      <c r="Q12" s="414"/>
      <c r="R12" s="414"/>
      <c r="S12" s="414"/>
    </row>
    <row r="13" spans="1:19" ht="14.25" customHeight="1" x14ac:dyDescent="0.25">
      <c r="A13" s="65" t="s">
        <v>456</v>
      </c>
      <c r="B13" s="62">
        <v>400</v>
      </c>
      <c r="C13" s="63">
        <v>119.46</v>
      </c>
      <c r="D13" s="63">
        <v>213.3</v>
      </c>
      <c r="E13" s="62">
        <v>200</v>
      </c>
      <c r="F13" s="63">
        <v>118.86</v>
      </c>
      <c r="G13" s="63">
        <v>147.80000000000001</v>
      </c>
      <c r="J13" s="415"/>
      <c r="K13" s="65" t="s">
        <v>456</v>
      </c>
      <c r="L13" s="63">
        <v>109.2</v>
      </c>
      <c r="M13" s="63">
        <v>213.3</v>
      </c>
      <c r="N13" s="63">
        <v>107.9</v>
      </c>
      <c r="O13" s="63">
        <v>129.6</v>
      </c>
      <c r="Q13" s="414" t="s">
        <v>457</v>
      </c>
      <c r="R13" s="414"/>
      <c r="S13" s="414"/>
    </row>
    <row r="14" spans="1:19" x14ac:dyDescent="0.25">
      <c r="A14" s="65" t="s">
        <v>458</v>
      </c>
      <c r="B14" s="62">
        <v>400</v>
      </c>
      <c r="C14" s="63">
        <v>120.56</v>
      </c>
      <c r="D14" s="63">
        <v>364.5</v>
      </c>
      <c r="E14" s="62">
        <v>200</v>
      </c>
      <c r="F14" s="63">
        <v>120.9</v>
      </c>
      <c r="G14" s="63">
        <v>160.30000000000001</v>
      </c>
      <c r="J14" s="415"/>
      <c r="K14" s="65" t="s">
        <v>458</v>
      </c>
      <c r="L14" s="63">
        <v>105.9</v>
      </c>
      <c r="M14" s="63">
        <v>176.2</v>
      </c>
      <c r="N14" s="63">
        <v>106.1</v>
      </c>
      <c r="O14" s="63">
        <v>119.6</v>
      </c>
      <c r="Q14" s="414"/>
      <c r="R14" s="414"/>
      <c r="S14" s="414"/>
    </row>
    <row r="15" spans="1:19" x14ac:dyDescent="0.25">
      <c r="A15" s="65" t="s">
        <v>459</v>
      </c>
      <c r="B15" s="62">
        <v>400</v>
      </c>
      <c r="C15" s="63">
        <v>128.93</v>
      </c>
      <c r="D15" s="63">
        <v>337.2</v>
      </c>
      <c r="E15" s="62">
        <v>200</v>
      </c>
      <c r="F15" s="63">
        <v>127.36</v>
      </c>
      <c r="G15" s="63">
        <v>155.6</v>
      </c>
      <c r="J15" s="415"/>
      <c r="K15" s="65" t="s">
        <v>459</v>
      </c>
      <c r="L15" s="63">
        <v>118.1</v>
      </c>
      <c r="M15" s="63">
        <v>165.2</v>
      </c>
      <c r="N15" s="63">
        <v>114.8</v>
      </c>
      <c r="O15" s="63">
        <v>135.19999999999999</v>
      </c>
      <c r="Q15" s="414"/>
      <c r="R15" s="414"/>
      <c r="S15" s="414"/>
    </row>
    <row r="16" spans="1:19" x14ac:dyDescent="0.25">
      <c r="A16" s="65" t="s">
        <v>460</v>
      </c>
      <c r="B16" s="62">
        <v>400</v>
      </c>
      <c r="C16" s="63">
        <v>137.69999999999999</v>
      </c>
      <c r="D16" s="63">
        <v>330.9</v>
      </c>
      <c r="E16" s="62">
        <v>200</v>
      </c>
      <c r="F16" s="63">
        <v>137.16</v>
      </c>
      <c r="G16" s="63">
        <v>166.4</v>
      </c>
      <c r="J16" s="415"/>
      <c r="K16" s="65" t="s">
        <v>460</v>
      </c>
      <c r="L16" s="63">
        <v>134.4</v>
      </c>
      <c r="M16" s="63">
        <v>269</v>
      </c>
      <c r="N16" s="63">
        <v>133.19999999999999</v>
      </c>
      <c r="O16" s="63">
        <v>166.4</v>
      </c>
      <c r="Q16" s="414"/>
      <c r="R16" s="414"/>
      <c r="S16" s="414"/>
    </row>
    <row r="17" spans="1:15" x14ac:dyDescent="0.25">
      <c r="A17" s="65" t="s">
        <v>461</v>
      </c>
      <c r="B17" s="62">
        <v>400</v>
      </c>
      <c r="C17" s="63">
        <v>138.4</v>
      </c>
      <c r="D17" s="63">
        <v>465.6</v>
      </c>
      <c r="E17" s="62">
        <v>200</v>
      </c>
      <c r="F17" s="63">
        <v>138.46</v>
      </c>
      <c r="G17" s="63">
        <v>165.2</v>
      </c>
      <c r="J17" s="415"/>
      <c r="K17" s="65" t="s">
        <v>461</v>
      </c>
      <c r="L17" s="63">
        <v>132.69999999999999</v>
      </c>
      <c r="M17" s="63">
        <v>250.4</v>
      </c>
      <c r="N17" s="63">
        <v>132.69999999999999</v>
      </c>
      <c r="O17" s="63">
        <v>156.80000000000001</v>
      </c>
    </row>
    <row r="18" spans="1:15" x14ac:dyDescent="0.25">
      <c r="A18" s="65" t="s">
        <v>462</v>
      </c>
      <c r="B18" s="62">
        <v>400</v>
      </c>
      <c r="C18" s="63">
        <v>123.7</v>
      </c>
      <c r="D18" s="63">
        <v>310.5</v>
      </c>
      <c r="E18" s="62">
        <v>200</v>
      </c>
      <c r="F18" s="63">
        <v>123.4</v>
      </c>
      <c r="G18" s="63">
        <v>159.4</v>
      </c>
      <c r="J18" s="415"/>
      <c r="K18" s="65" t="s">
        <v>462</v>
      </c>
      <c r="L18" s="63">
        <v>125.8</v>
      </c>
      <c r="M18" s="63">
        <v>310.5</v>
      </c>
      <c r="N18" s="63">
        <v>125.4</v>
      </c>
      <c r="O18" s="63">
        <v>145.9</v>
      </c>
    </row>
    <row r="19" spans="1:15" x14ac:dyDescent="0.25">
      <c r="J19" s="415"/>
      <c r="K19" s="61" t="s">
        <v>463</v>
      </c>
      <c r="L19" s="61">
        <f>AVERAGE(L7:L18)</f>
        <v>127.49166666666667</v>
      </c>
      <c r="M19" s="61">
        <f>MAX(M7:M18)</f>
        <v>310.5</v>
      </c>
      <c r="N19" s="61">
        <f>AVERAGE(N7:N18)</f>
        <v>126.98333333333335</v>
      </c>
      <c r="O19" s="61">
        <f>MAX(O7:O18)</f>
        <v>166.4</v>
      </c>
    </row>
    <row r="21" spans="1:15" ht="41.4" x14ac:dyDescent="0.25">
      <c r="J21" s="60">
        <f>+A6</f>
        <v>2022</v>
      </c>
      <c r="K21" s="60" t="s">
        <v>445</v>
      </c>
      <c r="L21" s="66" t="s">
        <v>440</v>
      </c>
      <c r="M21" s="66" t="s">
        <v>446</v>
      </c>
      <c r="N21" s="66" t="s">
        <v>443</v>
      </c>
      <c r="O21" s="66" t="s">
        <v>447</v>
      </c>
    </row>
    <row r="22" spans="1:15" x14ac:dyDescent="0.25">
      <c r="J22" s="415" t="s">
        <v>191</v>
      </c>
      <c r="K22" s="65" t="s">
        <v>448</v>
      </c>
      <c r="L22" s="63">
        <v>156</v>
      </c>
      <c r="M22" s="63">
        <v>207</v>
      </c>
      <c r="N22" s="63">
        <v>156.30000000000001</v>
      </c>
      <c r="O22" s="63">
        <v>167.5</v>
      </c>
    </row>
    <row r="23" spans="1:15" x14ac:dyDescent="0.25">
      <c r="J23" s="415"/>
      <c r="K23" s="65" t="s">
        <v>449</v>
      </c>
      <c r="L23" s="63">
        <v>158.1</v>
      </c>
      <c r="M23" s="63">
        <v>213.9</v>
      </c>
      <c r="N23" s="63">
        <v>157.9</v>
      </c>
      <c r="O23" s="63">
        <v>166</v>
      </c>
    </row>
    <row r="24" spans="1:15" x14ac:dyDescent="0.25">
      <c r="J24" s="415"/>
      <c r="K24" s="65" t="s">
        <v>450</v>
      </c>
      <c r="L24" s="63">
        <v>155.4</v>
      </c>
      <c r="M24" s="63">
        <v>191.6</v>
      </c>
      <c r="N24" s="63">
        <v>155.4</v>
      </c>
      <c r="O24" s="63">
        <v>162.6</v>
      </c>
    </row>
    <row r="25" spans="1:15" x14ac:dyDescent="0.25">
      <c r="J25" s="415"/>
      <c r="K25" s="65" t="s">
        <v>452</v>
      </c>
      <c r="L25" s="63">
        <v>149.69999999999999</v>
      </c>
      <c r="M25" s="63">
        <v>249.9</v>
      </c>
      <c r="N25" s="63">
        <v>150.5</v>
      </c>
      <c r="O25" s="63">
        <v>168.1</v>
      </c>
    </row>
    <row r="26" spans="1:15" x14ac:dyDescent="0.25">
      <c r="J26" s="415"/>
      <c r="K26" s="65" t="s">
        <v>454</v>
      </c>
      <c r="L26" s="63">
        <v>147.1</v>
      </c>
      <c r="M26" s="63">
        <v>196.1</v>
      </c>
      <c r="N26" s="63">
        <v>147</v>
      </c>
      <c r="O26" s="63">
        <v>165.5</v>
      </c>
    </row>
    <row r="27" spans="1:15" x14ac:dyDescent="0.25">
      <c r="J27" s="415"/>
      <c r="K27" s="65" t="s">
        <v>455</v>
      </c>
      <c r="L27" s="63">
        <v>133.5</v>
      </c>
      <c r="M27" s="63">
        <v>237.3</v>
      </c>
      <c r="N27" s="63">
        <v>133.30000000000001</v>
      </c>
      <c r="O27" s="63">
        <v>150.69999999999999</v>
      </c>
    </row>
    <row r="28" spans="1:15" x14ac:dyDescent="0.25">
      <c r="J28" s="415"/>
      <c r="K28" s="65" t="s">
        <v>456</v>
      </c>
      <c r="L28" s="63">
        <v>136.1</v>
      </c>
      <c r="M28" s="63">
        <v>182.1</v>
      </c>
      <c r="N28" s="63">
        <v>135.6</v>
      </c>
      <c r="O28" s="63">
        <v>147.80000000000001</v>
      </c>
    </row>
    <row r="29" spans="1:15" x14ac:dyDescent="0.25">
      <c r="J29" s="415"/>
      <c r="K29" s="65" t="s">
        <v>458</v>
      </c>
      <c r="L29" s="63">
        <v>141.69999999999999</v>
      </c>
      <c r="M29" s="63">
        <v>364.5</v>
      </c>
      <c r="N29" s="63">
        <v>142</v>
      </c>
      <c r="O29" s="63">
        <v>160.30000000000001</v>
      </c>
    </row>
    <row r="30" spans="1:15" x14ac:dyDescent="0.25">
      <c r="J30" s="415"/>
      <c r="K30" s="65" t="s">
        <v>459</v>
      </c>
      <c r="L30" s="63">
        <v>142.5</v>
      </c>
      <c r="M30" s="63">
        <v>337.2</v>
      </c>
      <c r="N30" s="63">
        <v>141.5</v>
      </c>
      <c r="O30" s="63">
        <v>153.6</v>
      </c>
    </row>
    <row r="31" spans="1:15" x14ac:dyDescent="0.25">
      <c r="J31" s="415"/>
      <c r="K31" s="65" t="s">
        <v>460</v>
      </c>
      <c r="L31" s="63">
        <v>146.5</v>
      </c>
      <c r="M31" s="63">
        <v>330.9</v>
      </c>
      <c r="N31" s="63">
        <v>146</v>
      </c>
      <c r="O31" s="63">
        <v>165.9</v>
      </c>
    </row>
    <row r="32" spans="1:15" x14ac:dyDescent="0.25">
      <c r="J32" s="415"/>
      <c r="K32" s="65" t="s">
        <v>461</v>
      </c>
      <c r="L32" s="63">
        <v>150.1</v>
      </c>
      <c r="M32" s="63">
        <v>465.6</v>
      </c>
      <c r="N32" s="63">
        <v>150.5</v>
      </c>
      <c r="O32" s="63">
        <v>165.2</v>
      </c>
    </row>
    <row r="33" spans="1:15" x14ac:dyDescent="0.25">
      <c r="J33" s="415"/>
      <c r="K33" s="65" t="s">
        <v>462</v>
      </c>
      <c r="L33" s="63">
        <v>134.9</v>
      </c>
      <c r="M33" s="63">
        <v>226.7</v>
      </c>
      <c r="N33" s="63">
        <v>135.30000000000001</v>
      </c>
      <c r="O33" s="63">
        <v>159.4</v>
      </c>
    </row>
    <row r="34" spans="1:15" x14ac:dyDescent="0.25">
      <c r="J34" s="415"/>
      <c r="K34" s="61" t="s">
        <v>463</v>
      </c>
      <c r="L34" s="61">
        <f>AVERAGE(L22:L33)</f>
        <v>145.96666666666667</v>
      </c>
      <c r="M34" s="61">
        <f>MAX(M22:M33)</f>
        <v>465.6</v>
      </c>
      <c r="N34" s="61">
        <f>AVERAGE(N22:N33)</f>
        <v>145.94166666666666</v>
      </c>
      <c r="O34" s="61">
        <f>MAX(O22:O33)</f>
        <v>168.1</v>
      </c>
    </row>
    <row r="36" spans="1:15" ht="41.4" x14ac:dyDescent="0.25">
      <c r="J36" s="60">
        <f>+A6</f>
        <v>2022</v>
      </c>
      <c r="K36" s="60" t="s">
        <v>445</v>
      </c>
      <c r="L36" s="66" t="s">
        <v>440</v>
      </c>
      <c r="M36" s="66" t="s">
        <v>446</v>
      </c>
      <c r="N36" s="66" t="s">
        <v>443</v>
      </c>
      <c r="O36" s="66" t="s">
        <v>447</v>
      </c>
    </row>
    <row r="37" spans="1:15" x14ac:dyDescent="0.25">
      <c r="J37" s="415" t="s">
        <v>192</v>
      </c>
      <c r="K37" s="65" t="s">
        <v>448</v>
      </c>
      <c r="L37" s="63">
        <v>154.9</v>
      </c>
      <c r="M37" s="63">
        <v>221.2</v>
      </c>
      <c r="N37" s="63">
        <v>155.69999999999999</v>
      </c>
      <c r="O37" s="63">
        <v>166.9</v>
      </c>
    </row>
    <row r="38" spans="1:15" x14ac:dyDescent="0.25">
      <c r="J38" s="415"/>
      <c r="K38" s="65" t="s">
        <v>449</v>
      </c>
      <c r="L38" s="63">
        <v>146.6</v>
      </c>
      <c r="M38" s="63">
        <v>281.2</v>
      </c>
      <c r="N38" s="63">
        <v>147.30000000000001</v>
      </c>
      <c r="O38" s="63">
        <v>165.8</v>
      </c>
    </row>
    <row r="39" spans="1:15" x14ac:dyDescent="0.25">
      <c r="J39" s="415"/>
      <c r="K39" s="65" t="s">
        <v>450</v>
      </c>
      <c r="L39" s="63">
        <v>151.19999999999999</v>
      </c>
      <c r="M39" s="63">
        <v>176.1</v>
      </c>
      <c r="N39" s="63">
        <v>0</v>
      </c>
      <c r="O39" s="63">
        <v>0</v>
      </c>
    </row>
    <row r="40" spans="1:15" x14ac:dyDescent="0.25">
      <c r="J40" s="415"/>
      <c r="K40" s="65" t="s">
        <v>452</v>
      </c>
      <c r="L40" s="63">
        <v>141</v>
      </c>
      <c r="M40" s="63">
        <v>239.2</v>
      </c>
      <c r="N40" s="63">
        <v>141</v>
      </c>
      <c r="O40" s="63">
        <v>164.7</v>
      </c>
    </row>
    <row r="41" spans="1:15" x14ac:dyDescent="0.25">
      <c r="J41" s="415"/>
      <c r="K41" s="65" t="s">
        <v>454</v>
      </c>
      <c r="L41" s="63">
        <v>138.6</v>
      </c>
      <c r="M41" s="63">
        <v>197.6</v>
      </c>
      <c r="N41" s="63">
        <v>138.6</v>
      </c>
      <c r="O41" s="63">
        <v>162</v>
      </c>
    </row>
    <row r="42" spans="1:15" x14ac:dyDescent="0.25">
      <c r="J42" s="415"/>
      <c r="K42" s="65" t="s">
        <v>455</v>
      </c>
      <c r="L42" s="63">
        <v>117.9</v>
      </c>
      <c r="M42" s="63">
        <v>172.3</v>
      </c>
      <c r="N42" s="63">
        <v>117.8</v>
      </c>
      <c r="O42" s="63">
        <v>136.9</v>
      </c>
    </row>
    <row r="43" spans="1:15" x14ac:dyDescent="0.25">
      <c r="J43" s="415"/>
      <c r="K43" s="65" t="s">
        <v>456</v>
      </c>
      <c r="L43" s="63">
        <v>113.1</v>
      </c>
      <c r="M43" s="63">
        <v>203.2</v>
      </c>
      <c r="N43" s="63">
        <v>113.1</v>
      </c>
      <c r="O43" s="63">
        <v>127.7</v>
      </c>
    </row>
    <row r="44" spans="1:15" x14ac:dyDescent="0.25">
      <c r="J44" s="415"/>
      <c r="K44" s="65" t="s">
        <v>458</v>
      </c>
      <c r="L44" s="63">
        <v>114.1</v>
      </c>
      <c r="M44" s="63">
        <v>177.5</v>
      </c>
      <c r="N44" s="63">
        <v>114.6</v>
      </c>
      <c r="O44" s="63">
        <v>130.9</v>
      </c>
    </row>
    <row r="45" spans="1:15" x14ac:dyDescent="0.25">
      <c r="J45" s="415"/>
      <c r="K45" s="65" t="s">
        <v>459</v>
      </c>
      <c r="L45" s="63">
        <v>126.2</v>
      </c>
      <c r="M45" s="63">
        <v>195</v>
      </c>
      <c r="N45" s="63">
        <v>125.8</v>
      </c>
      <c r="O45" s="63">
        <v>155.6</v>
      </c>
    </row>
    <row r="46" spans="1:15" x14ac:dyDescent="0.25">
      <c r="J46" s="415"/>
      <c r="K46" s="65" t="s">
        <v>460</v>
      </c>
      <c r="L46" s="63">
        <v>132.19999999999999</v>
      </c>
      <c r="M46" s="63">
        <v>254.6</v>
      </c>
      <c r="N46" s="63">
        <v>132.30000000000001</v>
      </c>
      <c r="O46" s="63">
        <v>164.8</v>
      </c>
    </row>
    <row r="47" spans="1:15" x14ac:dyDescent="0.25">
      <c r="J47" s="415"/>
      <c r="K47" s="65" t="s">
        <v>461</v>
      </c>
      <c r="L47" s="63">
        <v>132.4</v>
      </c>
      <c r="M47" s="63">
        <v>326.39999999999998</v>
      </c>
      <c r="N47" s="63">
        <v>132.19999999999999</v>
      </c>
      <c r="O47" s="63">
        <v>154.69999999999999</v>
      </c>
    </row>
    <row r="48" spans="1:15" x14ac:dyDescent="0.25">
      <c r="A48" s="426" t="s">
        <v>335</v>
      </c>
      <c r="B48" s="427"/>
      <c r="C48" s="427"/>
      <c r="D48" s="427"/>
      <c r="E48" s="427"/>
      <c r="F48" s="427"/>
      <c r="G48" s="428"/>
      <c r="J48" s="415"/>
      <c r="K48" s="65" t="s">
        <v>462</v>
      </c>
      <c r="L48" s="63">
        <v>110.4</v>
      </c>
      <c r="M48" s="63">
        <v>185.9</v>
      </c>
      <c r="N48" s="63">
        <v>109.5</v>
      </c>
      <c r="O48" s="63">
        <v>127</v>
      </c>
    </row>
    <row r="49" spans="1:15" x14ac:dyDescent="0.25">
      <c r="A49" s="418" t="s">
        <v>464</v>
      </c>
      <c r="B49" s="419"/>
      <c r="C49" s="419"/>
      <c r="D49" s="419"/>
      <c r="E49" s="419"/>
      <c r="F49" s="419"/>
      <c r="G49" s="420"/>
      <c r="J49" s="415"/>
      <c r="K49" s="61" t="s">
        <v>463</v>
      </c>
      <c r="L49" s="61">
        <f>AVERAGE(L37:L48)</f>
        <v>131.55000000000004</v>
      </c>
      <c r="M49" s="61">
        <f>MAX(M37:M48)</f>
        <v>326.39999999999998</v>
      </c>
      <c r="N49" s="61">
        <f>AVERAGE(N37:N48)</f>
        <v>118.99166666666667</v>
      </c>
      <c r="O49" s="61">
        <f>MAX(O37:O48)</f>
        <v>166.9</v>
      </c>
    </row>
    <row r="50" spans="1:15" x14ac:dyDescent="0.25">
      <c r="A50" s="421"/>
      <c r="B50" s="240"/>
      <c r="C50" s="240"/>
      <c r="D50" s="240"/>
      <c r="E50" s="240"/>
      <c r="F50" s="240"/>
      <c r="G50" s="422"/>
    </row>
    <row r="51" spans="1:15" ht="41.4" x14ac:dyDescent="0.25">
      <c r="A51" s="421"/>
      <c r="B51" s="240"/>
      <c r="C51" s="240"/>
      <c r="D51" s="240"/>
      <c r="E51" s="240"/>
      <c r="F51" s="240"/>
      <c r="G51" s="422"/>
      <c r="J51" s="60">
        <f>+A6</f>
        <v>2022</v>
      </c>
      <c r="K51" s="60" t="s">
        <v>445</v>
      </c>
      <c r="L51" s="66" t="s">
        <v>440</v>
      </c>
      <c r="M51" s="66" t="s">
        <v>446</v>
      </c>
      <c r="N51" s="66" t="s">
        <v>443</v>
      </c>
      <c r="O51" s="66" t="s">
        <v>447</v>
      </c>
    </row>
    <row r="52" spans="1:15" x14ac:dyDescent="0.25">
      <c r="A52" s="423"/>
      <c r="B52" s="424"/>
      <c r="C52" s="424"/>
      <c r="D52" s="424"/>
      <c r="E52" s="424"/>
      <c r="F52" s="424"/>
      <c r="G52" s="425"/>
      <c r="J52" s="415" t="s">
        <v>193</v>
      </c>
      <c r="K52" s="65" t="s">
        <v>448</v>
      </c>
      <c r="L52" s="63"/>
      <c r="M52" s="63"/>
      <c r="N52" s="63"/>
      <c r="O52" s="63"/>
    </row>
    <row r="53" spans="1:15" x14ac:dyDescent="0.25">
      <c r="J53" s="415"/>
      <c r="K53" s="65" t="s">
        <v>449</v>
      </c>
      <c r="L53" s="63"/>
      <c r="M53" s="63"/>
      <c r="N53" s="63"/>
      <c r="O53" s="63"/>
    </row>
    <row r="54" spans="1:15" x14ac:dyDescent="0.25">
      <c r="J54" s="415"/>
      <c r="K54" s="65" t="s">
        <v>450</v>
      </c>
      <c r="L54" s="63"/>
      <c r="M54" s="63"/>
      <c r="N54" s="63"/>
      <c r="O54" s="63"/>
    </row>
    <row r="55" spans="1:15" x14ac:dyDescent="0.25">
      <c r="J55" s="415"/>
      <c r="K55" s="65" t="s">
        <v>452</v>
      </c>
      <c r="L55" s="63"/>
      <c r="M55" s="63"/>
      <c r="N55" s="63"/>
      <c r="O55" s="63"/>
    </row>
    <row r="56" spans="1:15" x14ac:dyDescent="0.25">
      <c r="J56" s="415"/>
      <c r="K56" s="65" t="s">
        <v>454</v>
      </c>
      <c r="L56" s="63"/>
      <c r="M56" s="63"/>
      <c r="N56" s="63"/>
      <c r="O56" s="63"/>
    </row>
    <row r="57" spans="1:15" x14ac:dyDescent="0.25">
      <c r="J57" s="415"/>
      <c r="K57" s="65" t="s">
        <v>455</v>
      </c>
      <c r="L57" s="63"/>
      <c r="M57" s="63"/>
      <c r="N57" s="63"/>
      <c r="O57" s="63"/>
    </row>
    <row r="58" spans="1:15" x14ac:dyDescent="0.25">
      <c r="J58" s="415"/>
      <c r="K58" s="65" t="s">
        <v>456</v>
      </c>
      <c r="L58" s="63"/>
      <c r="M58" s="63"/>
      <c r="N58" s="63"/>
      <c r="O58" s="63"/>
    </row>
    <row r="59" spans="1:15" x14ac:dyDescent="0.25">
      <c r="J59" s="415"/>
      <c r="K59" s="65" t="s">
        <v>458</v>
      </c>
      <c r="L59" s="63"/>
      <c r="M59" s="63"/>
      <c r="N59" s="63"/>
      <c r="O59" s="63"/>
    </row>
    <row r="60" spans="1:15" x14ac:dyDescent="0.25">
      <c r="J60" s="415"/>
      <c r="K60" s="65" t="s">
        <v>459</v>
      </c>
      <c r="L60" s="63"/>
      <c r="M60" s="63"/>
      <c r="N60" s="63"/>
      <c r="O60" s="63"/>
    </row>
    <row r="61" spans="1:15" x14ac:dyDescent="0.25">
      <c r="J61" s="415"/>
      <c r="K61" s="65" t="s">
        <v>460</v>
      </c>
      <c r="L61" s="63"/>
      <c r="M61" s="63"/>
      <c r="N61" s="63"/>
      <c r="O61" s="63"/>
    </row>
    <row r="62" spans="1:15" x14ac:dyDescent="0.25">
      <c r="J62" s="415"/>
      <c r="K62" s="65" t="s">
        <v>461</v>
      </c>
      <c r="L62" s="63"/>
      <c r="M62" s="63"/>
      <c r="N62" s="63"/>
      <c r="O62" s="63"/>
    </row>
    <row r="63" spans="1:15" x14ac:dyDescent="0.25">
      <c r="J63" s="415"/>
      <c r="K63" s="65" t="s">
        <v>462</v>
      </c>
      <c r="L63" s="63"/>
      <c r="M63" s="63"/>
      <c r="N63" s="63"/>
      <c r="O63" s="63"/>
    </row>
    <row r="64" spans="1:15" x14ac:dyDescent="0.25">
      <c r="J64" s="415"/>
      <c r="K64" s="61" t="s">
        <v>463</v>
      </c>
      <c r="L64" s="61" t="e">
        <f>AVERAGE(L52:L63)</f>
        <v>#DIV/0!</v>
      </c>
      <c r="M64" s="61">
        <f>MAX(M52:M63)</f>
        <v>0</v>
      </c>
      <c r="N64" s="61" t="e">
        <f>AVERAGE(N52:N63)</f>
        <v>#DIV/0!</v>
      </c>
      <c r="O64" s="61">
        <f>MAX(O52:O63)</f>
        <v>0</v>
      </c>
    </row>
    <row r="66" spans="10:15" ht="41.4" x14ac:dyDescent="0.25">
      <c r="J66" s="60">
        <f>+A6</f>
        <v>2022</v>
      </c>
      <c r="K66" s="60" t="s">
        <v>445</v>
      </c>
      <c r="L66" s="66" t="s">
        <v>440</v>
      </c>
      <c r="M66" s="66" t="s">
        <v>446</v>
      </c>
      <c r="N66" s="66" t="s">
        <v>443</v>
      </c>
      <c r="O66" s="66" t="s">
        <v>447</v>
      </c>
    </row>
    <row r="67" spans="10:15" x14ac:dyDescent="0.25">
      <c r="J67" s="415" t="s">
        <v>194</v>
      </c>
      <c r="K67" s="65" t="s">
        <v>448</v>
      </c>
      <c r="L67" s="63"/>
      <c r="M67" s="63"/>
      <c r="N67" s="63"/>
      <c r="O67" s="63"/>
    </row>
    <row r="68" spans="10:15" x14ac:dyDescent="0.25">
      <c r="J68" s="415"/>
      <c r="K68" s="65" t="s">
        <v>449</v>
      </c>
      <c r="L68" s="63"/>
      <c r="M68" s="63"/>
      <c r="N68" s="63"/>
      <c r="O68" s="63"/>
    </row>
    <row r="69" spans="10:15" x14ac:dyDescent="0.25">
      <c r="J69" s="415"/>
      <c r="K69" s="65" t="s">
        <v>450</v>
      </c>
      <c r="L69" s="63"/>
      <c r="M69" s="63"/>
      <c r="N69" s="63"/>
      <c r="O69" s="63"/>
    </row>
    <row r="70" spans="10:15" x14ac:dyDescent="0.25">
      <c r="J70" s="415"/>
      <c r="K70" s="65" t="s">
        <v>452</v>
      </c>
      <c r="L70" s="63"/>
      <c r="M70" s="63"/>
      <c r="N70" s="63"/>
      <c r="O70" s="63"/>
    </row>
    <row r="71" spans="10:15" x14ac:dyDescent="0.25">
      <c r="J71" s="415"/>
      <c r="K71" s="65" t="s">
        <v>454</v>
      </c>
      <c r="L71" s="63"/>
      <c r="M71" s="63"/>
      <c r="N71" s="63"/>
      <c r="O71" s="63"/>
    </row>
    <row r="72" spans="10:15" x14ac:dyDescent="0.25">
      <c r="J72" s="415"/>
      <c r="K72" s="65" t="s">
        <v>455</v>
      </c>
      <c r="L72" s="63"/>
      <c r="M72" s="63"/>
      <c r="N72" s="63"/>
      <c r="O72" s="63"/>
    </row>
    <row r="73" spans="10:15" x14ac:dyDescent="0.25">
      <c r="J73" s="415"/>
      <c r="K73" s="65" t="s">
        <v>456</v>
      </c>
      <c r="L73" s="63"/>
      <c r="M73" s="63"/>
      <c r="N73" s="63"/>
      <c r="O73" s="63"/>
    </row>
    <row r="74" spans="10:15" x14ac:dyDescent="0.25">
      <c r="J74" s="415"/>
      <c r="K74" s="65" t="s">
        <v>458</v>
      </c>
      <c r="L74" s="63"/>
      <c r="M74" s="63"/>
      <c r="N74" s="63"/>
      <c r="O74" s="63"/>
    </row>
    <row r="75" spans="10:15" x14ac:dyDescent="0.25">
      <c r="J75" s="415"/>
      <c r="K75" s="65" t="s">
        <v>459</v>
      </c>
      <c r="L75" s="63"/>
      <c r="M75" s="63"/>
      <c r="N75" s="63"/>
      <c r="O75" s="63"/>
    </row>
    <row r="76" spans="10:15" x14ac:dyDescent="0.25">
      <c r="J76" s="415"/>
      <c r="K76" s="65" t="s">
        <v>460</v>
      </c>
      <c r="L76" s="63"/>
      <c r="M76" s="63"/>
      <c r="N76" s="63"/>
      <c r="O76" s="63"/>
    </row>
    <row r="77" spans="10:15" x14ac:dyDescent="0.25">
      <c r="J77" s="415"/>
      <c r="K77" s="65" t="s">
        <v>461</v>
      </c>
      <c r="L77" s="63"/>
      <c r="M77" s="63"/>
      <c r="N77" s="63"/>
      <c r="O77" s="63"/>
    </row>
    <row r="78" spans="10:15" x14ac:dyDescent="0.25">
      <c r="J78" s="415"/>
      <c r="K78" s="65" t="s">
        <v>462</v>
      </c>
      <c r="L78" s="63"/>
      <c r="M78" s="63"/>
      <c r="N78" s="63"/>
      <c r="O78" s="63"/>
    </row>
    <row r="79" spans="10:15" x14ac:dyDescent="0.25">
      <c r="J79" s="415"/>
      <c r="K79" s="61" t="s">
        <v>463</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topLeftCell="A37" workbookViewId="0">
      <selection activeCell="E65" sqref="E65"/>
    </sheetView>
  </sheetViews>
  <sheetFormatPr defaultRowHeight="13.8" x14ac:dyDescent="0.25"/>
  <cols>
    <col min="1" max="1" width="14" style="3" customWidth="1"/>
    <col min="2" max="4" width="17" style="34" customWidth="1"/>
    <col min="5" max="5" width="14.88671875" style="34" customWidth="1"/>
    <col min="6" max="7" width="17" style="34" customWidth="1"/>
    <col min="8" max="11" width="9.109375" style="3"/>
    <col min="12" max="12" width="15.44140625" style="3" customWidth="1"/>
    <col min="13" max="13" width="17.44140625" style="3" bestFit="1" customWidth="1"/>
    <col min="14" max="14" width="13.88671875" style="3" customWidth="1"/>
    <col min="15" max="15" width="15" style="3" customWidth="1"/>
    <col min="16" max="18" width="9.109375" style="3"/>
    <col min="19" max="19" width="21.88671875" style="3" customWidth="1"/>
    <col min="20" max="256" width="9.109375" style="3"/>
    <col min="257" max="257" width="14" style="3" customWidth="1"/>
    <col min="258" max="263" width="10.109375" style="3" customWidth="1"/>
    <col min="264" max="512" width="9.109375" style="3"/>
    <col min="513" max="513" width="14" style="3" customWidth="1"/>
    <col min="514" max="519" width="10.109375" style="3" customWidth="1"/>
    <col min="520" max="768" width="9.109375" style="3"/>
    <col min="769" max="769" width="14" style="3" customWidth="1"/>
    <col min="770" max="775" width="10.109375" style="3" customWidth="1"/>
    <col min="776" max="1024" width="9.109375" style="3"/>
    <col min="1025" max="1025" width="14" style="3" customWidth="1"/>
    <col min="1026" max="1031" width="10.109375" style="3" customWidth="1"/>
    <col min="1032" max="1280" width="9.109375" style="3"/>
    <col min="1281" max="1281" width="14" style="3" customWidth="1"/>
    <col min="1282" max="1287" width="10.109375" style="3" customWidth="1"/>
    <col min="1288" max="1536" width="9.109375" style="3"/>
    <col min="1537" max="1537" width="14" style="3" customWidth="1"/>
    <col min="1538" max="1543" width="10.109375" style="3" customWidth="1"/>
    <col min="1544" max="1792" width="9.109375" style="3"/>
    <col min="1793" max="1793" width="14" style="3" customWidth="1"/>
    <col min="1794" max="1799" width="10.109375" style="3" customWidth="1"/>
    <col min="1800" max="2048" width="9.109375" style="3"/>
    <col min="2049" max="2049" width="14" style="3" customWidth="1"/>
    <col min="2050" max="2055" width="10.109375" style="3" customWidth="1"/>
    <col min="2056" max="2304" width="9.109375" style="3"/>
    <col min="2305" max="2305" width="14" style="3" customWidth="1"/>
    <col min="2306" max="2311" width="10.109375" style="3" customWidth="1"/>
    <col min="2312" max="2560" width="9.109375" style="3"/>
    <col min="2561" max="2561" width="14" style="3" customWidth="1"/>
    <col min="2562" max="2567" width="10.109375" style="3" customWidth="1"/>
    <col min="2568" max="2816" width="9.109375" style="3"/>
    <col min="2817" max="2817" width="14" style="3" customWidth="1"/>
    <col min="2818" max="2823" width="10.109375" style="3" customWidth="1"/>
    <col min="2824" max="3072" width="9.109375" style="3"/>
    <col min="3073" max="3073" width="14" style="3" customWidth="1"/>
    <col min="3074" max="3079" width="10.109375" style="3" customWidth="1"/>
    <col min="3080" max="3328" width="9.109375" style="3"/>
    <col min="3329" max="3329" width="14" style="3" customWidth="1"/>
    <col min="3330" max="3335" width="10.109375" style="3" customWidth="1"/>
    <col min="3336" max="3584" width="9.109375" style="3"/>
    <col min="3585" max="3585" width="14" style="3" customWidth="1"/>
    <col min="3586" max="3591" width="10.109375" style="3" customWidth="1"/>
    <col min="3592" max="3840" width="9.109375" style="3"/>
    <col min="3841" max="3841" width="14" style="3" customWidth="1"/>
    <col min="3842" max="3847" width="10.109375" style="3" customWidth="1"/>
    <col min="3848" max="4096" width="9.109375" style="3"/>
    <col min="4097" max="4097" width="14" style="3" customWidth="1"/>
    <col min="4098" max="4103" width="10.109375" style="3" customWidth="1"/>
    <col min="4104" max="4352" width="9.109375" style="3"/>
    <col min="4353" max="4353" width="14" style="3" customWidth="1"/>
    <col min="4354" max="4359" width="10.109375" style="3" customWidth="1"/>
    <col min="4360" max="4608" width="9.109375" style="3"/>
    <col min="4609" max="4609" width="14" style="3" customWidth="1"/>
    <col min="4610" max="4615" width="10.109375" style="3" customWidth="1"/>
    <col min="4616" max="4864" width="9.109375" style="3"/>
    <col min="4865" max="4865" width="14" style="3" customWidth="1"/>
    <col min="4866" max="4871" width="10.109375" style="3" customWidth="1"/>
    <col min="4872" max="5120" width="9.109375" style="3"/>
    <col min="5121" max="5121" width="14" style="3" customWidth="1"/>
    <col min="5122" max="5127" width="10.109375" style="3" customWidth="1"/>
    <col min="5128" max="5376" width="9.109375" style="3"/>
    <col min="5377" max="5377" width="14" style="3" customWidth="1"/>
    <col min="5378" max="5383" width="10.109375" style="3" customWidth="1"/>
    <col min="5384" max="5632" width="9.109375" style="3"/>
    <col min="5633" max="5633" width="14" style="3" customWidth="1"/>
    <col min="5634" max="5639" width="10.109375" style="3" customWidth="1"/>
    <col min="5640" max="5888" width="9.109375" style="3"/>
    <col min="5889" max="5889" width="14" style="3" customWidth="1"/>
    <col min="5890" max="5895" width="10.109375" style="3" customWidth="1"/>
    <col min="5896" max="6144" width="9.109375" style="3"/>
    <col min="6145" max="6145" width="14" style="3" customWidth="1"/>
    <col min="6146" max="6151" width="10.109375" style="3" customWidth="1"/>
    <col min="6152" max="6400" width="9.109375" style="3"/>
    <col min="6401" max="6401" width="14" style="3" customWidth="1"/>
    <col min="6402" max="6407" width="10.109375" style="3" customWidth="1"/>
    <col min="6408" max="6656" width="9.109375" style="3"/>
    <col min="6657" max="6657" width="14" style="3" customWidth="1"/>
    <col min="6658" max="6663" width="10.109375" style="3" customWidth="1"/>
    <col min="6664" max="6912" width="9.109375" style="3"/>
    <col min="6913" max="6913" width="14" style="3" customWidth="1"/>
    <col min="6914" max="6919" width="10.109375" style="3" customWidth="1"/>
    <col min="6920" max="7168" width="9.109375" style="3"/>
    <col min="7169" max="7169" width="14" style="3" customWidth="1"/>
    <col min="7170" max="7175" width="10.109375" style="3" customWidth="1"/>
    <col min="7176" max="7424" width="9.109375" style="3"/>
    <col min="7425" max="7425" width="14" style="3" customWidth="1"/>
    <col min="7426" max="7431" width="10.109375" style="3" customWidth="1"/>
    <col min="7432" max="7680" width="9.109375" style="3"/>
    <col min="7681" max="7681" width="14" style="3" customWidth="1"/>
    <col min="7682" max="7687" width="10.109375" style="3" customWidth="1"/>
    <col min="7688" max="7936" width="9.109375" style="3"/>
    <col min="7937" max="7937" width="14" style="3" customWidth="1"/>
    <col min="7938" max="7943" width="10.109375" style="3" customWidth="1"/>
    <col min="7944" max="8192" width="9.109375" style="3"/>
    <col min="8193" max="8193" width="14" style="3" customWidth="1"/>
    <col min="8194" max="8199" width="10.109375" style="3" customWidth="1"/>
    <col min="8200" max="8448" width="9.109375" style="3"/>
    <col min="8449" max="8449" width="14" style="3" customWidth="1"/>
    <col min="8450" max="8455" width="10.109375" style="3" customWidth="1"/>
    <col min="8456" max="8704" width="9.109375" style="3"/>
    <col min="8705" max="8705" width="14" style="3" customWidth="1"/>
    <col min="8706" max="8711" width="10.109375" style="3" customWidth="1"/>
    <col min="8712" max="8960" width="9.109375" style="3"/>
    <col min="8961" max="8961" width="14" style="3" customWidth="1"/>
    <col min="8962" max="8967" width="10.109375" style="3" customWidth="1"/>
    <col min="8968" max="9216" width="9.109375" style="3"/>
    <col min="9217" max="9217" width="14" style="3" customWidth="1"/>
    <col min="9218" max="9223" width="10.109375" style="3" customWidth="1"/>
    <col min="9224" max="9472" width="9.109375" style="3"/>
    <col min="9473" max="9473" width="14" style="3" customWidth="1"/>
    <col min="9474" max="9479" width="10.109375" style="3" customWidth="1"/>
    <col min="9480" max="9728" width="9.109375" style="3"/>
    <col min="9729" max="9729" width="14" style="3" customWidth="1"/>
    <col min="9730" max="9735" width="10.109375" style="3" customWidth="1"/>
    <col min="9736" max="9984" width="9.109375" style="3"/>
    <col min="9985" max="9985" width="14" style="3" customWidth="1"/>
    <col min="9986" max="9991" width="10.109375" style="3" customWidth="1"/>
    <col min="9992" max="10240" width="9.109375" style="3"/>
    <col min="10241" max="10241" width="14" style="3" customWidth="1"/>
    <col min="10242" max="10247" width="10.109375" style="3" customWidth="1"/>
    <col min="10248" max="10496" width="9.109375" style="3"/>
    <col min="10497" max="10497" width="14" style="3" customWidth="1"/>
    <col min="10498" max="10503" width="10.109375" style="3" customWidth="1"/>
    <col min="10504" max="10752" width="9.109375" style="3"/>
    <col min="10753" max="10753" width="14" style="3" customWidth="1"/>
    <col min="10754" max="10759" width="10.109375" style="3" customWidth="1"/>
    <col min="10760" max="11008" width="9.109375" style="3"/>
    <col min="11009" max="11009" width="14" style="3" customWidth="1"/>
    <col min="11010" max="11015" width="10.109375" style="3" customWidth="1"/>
    <col min="11016" max="11264" width="9.109375" style="3"/>
    <col min="11265" max="11265" width="14" style="3" customWidth="1"/>
    <col min="11266" max="11271" width="10.109375" style="3" customWidth="1"/>
    <col min="11272" max="11520" width="9.109375" style="3"/>
    <col min="11521" max="11521" width="14" style="3" customWidth="1"/>
    <col min="11522" max="11527" width="10.109375" style="3" customWidth="1"/>
    <col min="11528" max="11776" width="9.109375" style="3"/>
    <col min="11777" max="11777" width="14" style="3" customWidth="1"/>
    <col min="11778" max="11783" width="10.109375" style="3" customWidth="1"/>
    <col min="11784" max="12032" width="9.109375" style="3"/>
    <col min="12033" max="12033" width="14" style="3" customWidth="1"/>
    <col min="12034" max="12039" width="10.109375" style="3" customWidth="1"/>
    <col min="12040" max="12288" width="9.109375" style="3"/>
    <col min="12289" max="12289" width="14" style="3" customWidth="1"/>
    <col min="12290" max="12295" width="10.109375" style="3" customWidth="1"/>
    <col min="12296" max="12544" width="9.109375" style="3"/>
    <col min="12545" max="12545" width="14" style="3" customWidth="1"/>
    <col min="12546" max="12551" width="10.109375" style="3" customWidth="1"/>
    <col min="12552" max="12800" width="9.109375" style="3"/>
    <col min="12801" max="12801" width="14" style="3" customWidth="1"/>
    <col min="12802" max="12807" width="10.109375" style="3" customWidth="1"/>
    <col min="12808" max="13056" width="9.109375" style="3"/>
    <col min="13057" max="13057" width="14" style="3" customWidth="1"/>
    <col min="13058" max="13063" width="10.109375" style="3" customWidth="1"/>
    <col min="13064" max="13312" width="9.109375" style="3"/>
    <col min="13313" max="13313" width="14" style="3" customWidth="1"/>
    <col min="13314" max="13319" width="10.109375" style="3" customWidth="1"/>
    <col min="13320" max="13568" width="9.109375" style="3"/>
    <col min="13569" max="13569" width="14" style="3" customWidth="1"/>
    <col min="13570" max="13575" width="10.109375" style="3" customWidth="1"/>
    <col min="13576" max="13824" width="9.109375" style="3"/>
    <col min="13825" max="13825" width="14" style="3" customWidth="1"/>
    <col min="13826" max="13831" width="10.109375" style="3" customWidth="1"/>
    <col min="13832" max="14080" width="9.109375" style="3"/>
    <col min="14081" max="14081" width="14" style="3" customWidth="1"/>
    <col min="14082" max="14087" width="10.109375" style="3" customWidth="1"/>
    <col min="14088" max="14336" width="9.109375" style="3"/>
    <col min="14337" max="14337" width="14" style="3" customWidth="1"/>
    <col min="14338" max="14343" width="10.109375" style="3" customWidth="1"/>
    <col min="14344" max="14592" width="9.109375" style="3"/>
    <col min="14593" max="14593" width="14" style="3" customWidth="1"/>
    <col min="14594" max="14599" width="10.109375" style="3" customWidth="1"/>
    <col min="14600" max="14848" width="9.109375" style="3"/>
    <col min="14849" max="14849" width="14" style="3" customWidth="1"/>
    <col min="14850" max="14855" width="10.109375" style="3" customWidth="1"/>
    <col min="14856" max="15104" width="9.109375" style="3"/>
    <col min="15105" max="15105" width="14" style="3" customWidth="1"/>
    <col min="15106" max="15111" width="10.109375" style="3" customWidth="1"/>
    <col min="15112" max="15360" width="9.109375" style="3"/>
    <col min="15361" max="15361" width="14" style="3" customWidth="1"/>
    <col min="15362" max="15367" width="10.109375" style="3" customWidth="1"/>
    <col min="15368" max="15616" width="9.109375" style="3"/>
    <col min="15617" max="15617" width="14" style="3" customWidth="1"/>
    <col min="15618" max="15623" width="10.109375" style="3" customWidth="1"/>
    <col min="15624" max="15872" width="9.109375" style="3"/>
    <col min="15873" max="15873" width="14" style="3" customWidth="1"/>
    <col min="15874" max="15879" width="10.109375" style="3" customWidth="1"/>
    <col min="15880" max="16128" width="9.109375" style="3"/>
    <col min="16129" max="16129" width="14" style="3" customWidth="1"/>
    <col min="16130" max="16135" width="10.109375" style="3" customWidth="1"/>
    <col min="16136" max="16384" width="9.109375" style="3"/>
  </cols>
  <sheetData>
    <row r="1" spans="1:19" ht="15" x14ac:dyDescent="0.25">
      <c r="A1" s="91" t="str">
        <f>+'Cover Page'!$B$29</f>
        <v>Annual Performance Report 2022</v>
      </c>
      <c r="B1" s="91"/>
      <c r="C1" s="91"/>
      <c r="D1" s="91"/>
      <c r="E1" s="91" t="str">
        <f>+'Cover Page'!$B$33</f>
        <v>Kent Enviropower Limited</v>
      </c>
    </row>
    <row r="3" spans="1:19" ht="14.4" x14ac:dyDescent="0.3">
      <c r="A3" s="59" t="s">
        <v>471</v>
      </c>
      <c r="D3" s="75" t="s">
        <v>432</v>
      </c>
      <c r="G3" s="79" t="s">
        <v>433</v>
      </c>
      <c r="J3" s="9" t="str">
        <f>+A3</f>
        <v>Monitoring of Total organic carbon emissions</v>
      </c>
      <c r="L3" s="9"/>
      <c r="N3" s="9" t="s">
        <v>434</v>
      </c>
      <c r="Q3" s="78" t="s">
        <v>3</v>
      </c>
      <c r="R3" s="73"/>
      <c r="S3" s="73"/>
    </row>
    <row r="4" spans="1:19" ht="14.1" customHeight="1" x14ac:dyDescent="0.25">
      <c r="Q4" s="382" t="s">
        <v>435</v>
      </c>
      <c r="R4" s="382"/>
      <c r="S4" s="382"/>
    </row>
    <row r="5" spans="1:19" ht="16.2" x14ac:dyDescent="0.25">
      <c r="A5" s="67" t="s">
        <v>436</v>
      </c>
      <c r="B5" s="417" t="s">
        <v>437</v>
      </c>
      <c r="C5" s="417"/>
      <c r="D5" s="417"/>
      <c r="E5" s="417" t="s">
        <v>438</v>
      </c>
      <c r="F5" s="417"/>
      <c r="G5" s="417"/>
      <c r="J5" s="416"/>
      <c r="K5" s="416"/>
      <c r="L5" s="416"/>
      <c r="M5" s="416"/>
      <c r="N5" s="416"/>
      <c r="O5" s="416"/>
      <c r="Q5" s="382"/>
      <c r="R5" s="382"/>
      <c r="S5" s="382"/>
    </row>
    <row r="6" spans="1:19" s="57" customFormat="1" ht="37.5" customHeight="1" x14ac:dyDescent="0.3">
      <c r="A6" s="64">
        <f>+'Cover Page'!C39</f>
        <v>2022</v>
      </c>
      <c r="B6" s="54" t="s">
        <v>472</v>
      </c>
      <c r="C6" s="54" t="s">
        <v>440</v>
      </c>
      <c r="D6" s="54" t="s">
        <v>441</v>
      </c>
      <c r="E6" s="54" t="s">
        <v>473</v>
      </c>
      <c r="F6" s="54" t="s">
        <v>443</v>
      </c>
      <c r="G6" s="54" t="s">
        <v>444</v>
      </c>
      <c r="H6" s="58"/>
      <c r="J6" s="60">
        <f>+A6</f>
        <v>2022</v>
      </c>
      <c r="K6" s="60" t="s">
        <v>445</v>
      </c>
      <c r="L6" s="66" t="s">
        <v>440</v>
      </c>
      <c r="M6" s="66" t="s">
        <v>446</v>
      </c>
      <c r="N6" s="66" t="s">
        <v>443</v>
      </c>
      <c r="O6" s="66" t="s">
        <v>447</v>
      </c>
      <c r="Q6" s="382"/>
      <c r="R6" s="382"/>
      <c r="S6" s="382"/>
    </row>
    <row r="7" spans="1:19" x14ac:dyDescent="0.25">
      <c r="A7" s="65" t="s">
        <v>448</v>
      </c>
      <c r="B7" s="62">
        <v>10</v>
      </c>
      <c r="C7" s="63">
        <v>0.4</v>
      </c>
      <c r="D7" s="63">
        <v>176.9</v>
      </c>
      <c r="E7" s="62">
        <v>10</v>
      </c>
      <c r="F7" s="63">
        <v>0.4</v>
      </c>
      <c r="G7" s="63">
        <v>4</v>
      </c>
      <c r="J7" s="415" t="s">
        <v>190</v>
      </c>
      <c r="K7" s="65" t="s">
        <v>448</v>
      </c>
      <c r="L7" s="63">
        <v>0.3</v>
      </c>
      <c r="M7" s="63">
        <v>11.7</v>
      </c>
      <c r="N7" s="63">
        <v>0.3</v>
      </c>
      <c r="O7" s="63">
        <v>0.7</v>
      </c>
      <c r="Q7" s="382"/>
      <c r="R7" s="382"/>
      <c r="S7" s="382"/>
    </row>
    <row r="8" spans="1:19" x14ac:dyDescent="0.25">
      <c r="A8" s="65" t="s">
        <v>449</v>
      </c>
      <c r="B8" s="62">
        <v>10</v>
      </c>
      <c r="C8" s="63">
        <v>0.33</v>
      </c>
      <c r="D8" s="63">
        <v>23.7</v>
      </c>
      <c r="E8" s="62">
        <v>10</v>
      </c>
      <c r="F8" s="63">
        <v>0.3</v>
      </c>
      <c r="G8" s="63">
        <v>0.7</v>
      </c>
      <c r="J8" s="415"/>
      <c r="K8" s="65" t="s">
        <v>449</v>
      </c>
      <c r="L8" s="63">
        <v>0.4</v>
      </c>
      <c r="M8" s="63">
        <v>23.7</v>
      </c>
      <c r="N8" s="63">
        <v>0.3</v>
      </c>
      <c r="O8" s="63">
        <v>0.6</v>
      </c>
      <c r="Q8" s="382"/>
      <c r="R8" s="382"/>
      <c r="S8" s="382"/>
    </row>
    <row r="9" spans="1:19" x14ac:dyDescent="0.25">
      <c r="A9" s="65" t="s">
        <v>450</v>
      </c>
      <c r="B9" s="62">
        <v>10</v>
      </c>
      <c r="C9" s="63">
        <v>0.3</v>
      </c>
      <c r="D9" s="63">
        <v>4.5</v>
      </c>
      <c r="E9" s="62">
        <v>10</v>
      </c>
      <c r="F9" s="63">
        <v>0.16</v>
      </c>
      <c r="G9" s="63">
        <v>0.6</v>
      </c>
      <c r="J9" s="415"/>
      <c r="K9" s="65" t="s">
        <v>450</v>
      </c>
      <c r="L9" s="63">
        <v>0.3</v>
      </c>
      <c r="M9" s="63">
        <v>4.5</v>
      </c>
      <c r="N9" s="63">
        <v>0.3</v>
      </c>
      <c r="O9" s="63">
        <v>0.6</v>
      </c>
      <c r="Q9" s="77" t="s">
        <v>451</v>
      </c>
    </row>
    <row r="10" spans="1:19" ht="14.25" customHeight="1" x14ac:dyDescent="0.25">
      <c r="A10" s="65" t="s">
        <v>452</v>
      </c>
      <c r="B10" s="62">
        <v>10</v>
      </c>
      <c r="C10" s="63">
        <v>0.4</v>
      </c>
      <c r="D10" s="63">
        <v>18</v>
      </c>
      <c r="E10" s="62">
        <v>10</v>
      </c>
      <c r="F10" s="63">
        <v>0.4</v>
      </c>
      <c r="G10" s="63">
        <v>0.9</v>
      </c>
      <c r="J10" s="415"/>
      <c r="K10" s="65" t="s">
        <v>452</v>
      </c>
      <c r="L10" s="63">
        <v>0.4</v>
      </c>
      <c r="M10" s="63">
        <v>11.3</v>
      </c>
      <c r="N10" s="63">
        <v>0.4</v>
      </c>
      <c r="O10" s="63">
        <v>0.9</v>
      </c>
      <c r="Q10" s="414" t="s">
        <v>453</v>
      </c>
      <c r="R10" s="414"/>
      <c r="S10" s="414"/>
    </row>
    <row r="11" spans="1:19" x14ac:dyDescent="0.25">
      <c r="A11" s="65" t="s">
        <v>454</v>
      </c>
      <c r="B11" s="62">
        <v>10</v>
      </c>
      <c r="C11" s="63">
        <v>0.36</v>
      </c>
      <c r="D11" s="63">
        <v>26</v>
      </c>
      <c r="E11" s="62">
        <v>10</v>
      </c>
      <c r="F11" s="63">
        <v>0.36</v>
      </c>
      <c r="G11" s="63">
        <v>1</v>
      </c>
      <c r="J11" s="415"/>
      <c r="K11" s="65" t="s">
        <v>454</v>
      </c>
      <c r="L11" s="63">
        <v>0.4</v>
      </c>
      <c r="M11" s="63">
        <v>26</v>
      </c>
      <c r="N11" s="63">
        <v>0.4</v>
      </c>
      <c r="O11" s="63">
        <v>1</v>
      </c>
      <c r="Q11" s="414"/>
      <c r="R11" s="414"/>
      <c r="S11" s="414"/>
    </row>
    <row r="12" spans="1:19" x14ac:dyDescent="0.25">
      <c r="A12" s="65" t="s">
        <v>455</v>
      </c>
      <c r="B12" s="62">
        <v>10</v>
      </c>
      <c r="C12" s="63">
        <v>0.4</v>
      </c>
      <c r="D12" s="63">
        <v>42.7</v>
      </c>
      <c r="E12" s="62">
        <v>10</v>
      </c>
      <c r="F12" s="63">
        <v>0.4</v>
      </c>
      <c r="G12" s="63">
        <v>1.3</v>
      </c>
      <c r="J12" s="415"/>
      <c r="K12" s="65" t="s">
        <v>455</v>
      </c>
      <c r="L12" s="63">
        <v>0.5</v>
      </c>
      <c r="M12" s="63">
        <v>42.7</v>
      </c>
      <c r="N12" s="63">
        <v>0.5</v>
      </c>
      <c r="O12" s="63">
        <v>1.3</v>
      </c>
      <c r="Q12" s="414"/>
      <c r="R12" s="414"/>
      <c r="S12" s="414"/>
    </row>
    <row r="13" spans="1:19" ht="14.25" customHeight="1" x14ac:dyDescent="0.25">
      <c r="A13" s="65" t="s">
        <v>456</v>
      </c>
      <c r="B13" s="62">
        <v>10</v>
      </c>
      <c r="C13" s="63">
        <v>0.46</v>
      </c>
      <c r="D13" s="63">
        <v>62.5</v>
      </c>
      <c r="E13" s="62">
        <v>10</v>
      </c>
      <c r="F13" s="63">
        <v>0.46</v>
      </c>
      <c r="G13" s="63">
        <v>1.8</v>
      </c>
      <c r="J13" s="415"/>
      <c r="K13" s="65" t="s">
        <v>456</v>
      </c>
      <c r="L13" s="63">
        <v>0.6</v>
      </c>
      <c r="M13" s="63">
        <v>55.1</v>
      </c>
      <c r="N13" s="63">
        <v>0.6</v>
      </c>
      <c r="O13" s="63">
        <v>1.7</v>
      </c>
      <c r="Q13" s="414" t="s">
        <v>457</v>
      </c>
      <c r="R13" s="414"/>
      <c r="S13" s="414"/>
    </row>
    <row r="14" spans="1:19" x14ac:dyDescent="0.25">
      <c r="A14" s="65" t="s">
        <v>458</v>
      </c>
      <c r="B14" s="62">
        <v>10</v>
      </c>
      <c r="C14" s="63">
        <v>0.43</v>
      </c>
      <c r="D14" s="63">
        <v>21.7</v>
      </c>
      <c r="E14" s="62">
        <v>10</v>
      </c>
      <c r="F14" s="63">
        <v>0.43</v>
      </c>
      <c r="G14" s="63">
        <v>1.4</v>
      </c>
      <c r="J14" s="415"/>
      <c r="K14" s="65" t="s">
        <v>458</v>
      </c>
      <c r="L14" s="63">
        <v>0.5</v>
      </c>
      <c r="M14" s="63">
        <v>17</v>
      </c>
      <c r="N14" s="63">
        <v>0.5</v>
      </c>
      <c r="O14" s="63">
        <v>1.1000000000000001</v>
      </c>
      <c r="Q14" s="414"/>
      <c r="R14" s="414"/>
      <c r="S14" s="414"/>
    </row>
    <row r="15" spans="1:19" x14ac:dyDescent="0.25">
      <c r="A15" s="65" t="s">
        <v>459</v>
      </c>
      <c r="B15" s="62">
        <v>10</v>
      </c>
      <c r="C15" s="63">
        <v>0.43</v>
      </c>
      <c r="D15" s="63">
        <v>65.5</v>
      </c>
      <c r="E15" s="62">
        <v>10</v>
      </c>
      <c r="F15" s="63">
        <v>0.43</v>
      </c>
      <c r="G15" s="63">
        <v>1.7</v>
      </c>
      <c r="J15" s="415"/>
      <c r="K15" s="65" t="s">
        <v>459</v>
      </c>
      <c r="L15" s="63">
        <v>0.5</v>
      </c>
      <c r="M15" s="63">
        <v>65.5</v>
      </c>
      <c r="N15" s="63">
        <v>0.5</v>
      </c>
      <c r="O15" s="63">
        <v>1.7</v>
      </c>
      <c r="Q15" s="414"/>
      <c r="R15" s="414"/>
      <c r="S15" s="414"/>
    </row>
    <row r="16" spans="1:19" x14ac:dyDescent="0.25">
      <c r="A16" s="65" t="s">
        <v>460</v>
      </c>
      <c r="B16" s="62">
        <v>10</v>
      </c>
      <c r="C16" s="63">
        <v>0.76</v>
      </c>
      <c r="D16" s="63">
        <v>1292.9000000000001</v>
      </c>
      <c r="E16" s="62">
        <v>10</v>
      </c>
      <c r="F16" s="63">
        <v>0.4</v>
      </c>
      <c r="G16" s="63">
        <v>1.5</v>
      </c>
      <c r="J16" s="415"/>
      <c r="K16" s="65" t="s">
        <v>460</v>
      </c>
      <c r="L16" s="63">
        <v>1.5</v>
      </c>
      <c r="M16" s="63">
        <v>1292.9000000000001</v>
      </c>
      <c r="N16" s="63">
        <v>0.4</v>
      </c>
      <c r="O16" s="63">
        <v>1.5</v>
      </c>
      <c r="Q16" s="414"/>
      <c r="R16" s="414"/>
      <c r="S16" s="414"/>
    </row>
    <row r="17" spans="1:15" x14ac:dyDescent="0.25">
      <c r="A17" s="65" t="s">
        <v>461</v>
      </c>
      <c r="B17" s="62">
        <v>10</v>
      </c>
      <c r="C17" s="63">
        <v>0.3</v>
      </c>
      <c r="D17" s="63">
        <v>27.3</v>
      </c>
      <c r="E17" s="62">
        <v>10</v>
      </c>
      <c r="F17" s="63">
        <v>0.3</v>
      </c>
      <c r="G17" s="63">
        <v>0.8</v>
      </c>
      <c r="J17" s="415"/>
      <c r="K17" s="65" t="s">
        <v>461</v>
      </c>
      <c r="L17" s="63">
        <v>0.3</v>
      </c>
      <c r="M17" s="63">
        <v>10.199999999999999</v>
      </c>
      <c r="N17" s="63">
        <v>0.3</v>
      </c>
      <c r="O17" s="63">
        <v>0.5</v>
      </c>
    </row>
    <row r="18" spans="1:15" x14ac:dyDescent="0.25">
      <c r="A18" s="65" t="s">
        <v>462</v>
      </c>
      <c r="B18" s="62">
        <v>10</v>
      </c>
      <c r="C18" s="63">
        <v>0.3</v>
      </c>
      <c r="D18" s="63">
        <v>37.9</v>
      </c>
      <c r="E18" s="62">
        <v>10</v>
      </c>
      <c r="F18" s="63">
        <v>0.33</v>
      </c>
      <c r="G18" s="63">
        <v>1.3</v>
      </c>
      <c r="J18" s="415"/>
      <c r="K18" s="65" t="s">
        <v>462</v>
      </c>
      <c r="L18" s="63">
        <v>0.3</v>
      </c>
      <c r="M18" s="63">
        <v>37.9</v>
      </c>
      <c r="N18" s="63">
        <v>0.4</v>
      </c>
      <c r="O18" s="63">
        <v>1.3</v>
      </c>
    </row>
    <row r="19" spans="1:15" x14ac:dyDescent="0.25">
      <c r="J19" s="415"/>
      <c r="K19" s="61" t="s">
        <v>463</v>
      </c>
      <c r="L19" s="61">
        <f>AVERAGE(L7:L18)</f>
        <v>0.5</v>
      </c>
      <c r="M19" s="61">
        <f>MAX(M7:M18)</f>
        <v>1292.9000000000001</v>
      </c>
      <c r="N19" s="61">
        <f>AVERAGE(N7:N18)</f>
        <v>0.40833333333333338</v>
      </c>
      <c r="O19" s="61">
        <f>MAX(O7:O18)</f>
        <v>1.7</v>
      </c>
    </row>
    <row r="21" spans="1:15" ht="41.4" x14ac:dyDescent="0.25">
      <c r="J21" s="60">
        <f>+A6</f>
        <v>2022</v>
      </c>
      <c r="K21" s="60" t="s">
        <v>445</v>
      </c>
      <c r="L21" s="66" t="s">
        <v>440</v>
      </c>
      <c r="M21" s="66" t="s">
        <v>446</v>
      </c>
      <c r="N21" s="66" t="s">
        <v>443</v>
      </c>
      <c r="O21" s="66" t="s">
        <v>447</v>
      </c>
    </row>
    <row r="22" spans="1:15" x14ac:dyDescent="0.25">
      <c r="J22" s="415" t="s">
        <v>191</v>
      </c>
      <c r="K22" s="65" t="s">
        <v>448</v>
      </c>
      <c r="L22" s="63">
        <v>0.2</v>
      </c>
      <c r="M22" s="63">
        <v>9</v>
      </c>
      <c r="N22" s="63">
        <v>0.2</v>
      </c>
      <c r="O22" s="63">
        <v>0.5</v>
      </c>
    </row>
    <row r="23" spans="1:15" x14ac:dyDescent="0.25">
      <c r="J23" s="415"/>
      <c r="K23" s="65" t="s">
        <v>449</v>
      </c>
      <c r="L23" s="63">
        <v>0.2</v>
      </c>
      <c r="M23" s="63">
        <v>6.8</v>
      </c>
      <c r="N23" s="63">
        <v>0.2</v>
      </c>
      <c r="O23" s="63">
        <v>0.4</v>
      </c>
    </row>
    <row r="24" spans="1:15" x14ac:dyDescent="0.25">
      <c r="J24" s="415"/>
      <c r="K24" s="65" t="s">
        <v>450</v>
      </c>
      <c r="L24" s="63">
        <v>0.2</v>
      </c>
      <c r="M24" s="63">
        <v>2.7</v>
      </c>
      <c r="N24" s="63">
        <v>0.2</v>
      </c>
      <c r="O24" s="63">
        <v>0.5</v>
      </c>
    </row>
    <row r="25" spans="1:15" x14ac:dyDescent="0.25">
      <c r="J25" s="415"/>
      <c r="K25" s="65" t="s">
        <v>452</v>
      </c>
      <c r="L25" s="63">
        <v>0.3</v>
      </c>
      <c r="M25" s="63">
        <v>18</v>
      </c>
      <c r="N25" s="63">
        <v>0.3</v>
      </c>
      <c r="O25" s="63">
        <v>0.7</v>
      </c>
    </row>
    <row r="26" spans="1:15" x14ac:dyDescent="0.25">
      <c r="J26" s="415"/>
      <c r="K26" s="65" t="s">
        <v>454</v>
      </c>
      <c r="L26" s="63">
        <v>0.3</v>
      </c>
      <c r="M26" s="63">
        <v>10.5</v>
      </c>
      <c r="N26" s="63">
        <v>0.3</v>
      </c>
      <c r="O26" s="63">
        <v>0.6</v>
      </c>
    </row>
    <row r="27" spans="1:15" x14ac:dyDescent="0.25">
      <c r="J27" s="415"/>
      <c r="K27" s="65" t="s">
        <v>455</v>
      </c>
      <c r="L27" s="63">
        <v>0.3</v>
      </c>
      <c r="M27" s="63">
        <v>10.4</v>
      </c>
      <c r="N27" s="63">
        <v>0.3</v>
      </c>
      <c r="O27" s="63">
        <v>0.6</v>
      </c>
    </row>
    <row r="28" spans="1:15" x14ac:dyDescent="0.25">
      <c r="J28" s="415"/>
      <c r="K28" s="65" t="s">
        <v>456</v>
      </c>
      <c r="L28" s="63">
        <v>0.4</v>
      </c>
      <c r="M28" s="63">
        <v>62.5</v>
      </c>
      <c r="N28" s="63">
        <v>0.4</v>
      </c>
      <c r="O28" s="63">
        <v>1.8</v>
      </c>
    </row>
    <row r="29" spans="1:15" x14ac:dyDescent="0.25">
      <c r="J29" s="415"/>
      <c r="K29" s="65" t="s">
        <v>458</v>
      </c>
      <c r="L29" s="63">
        <v>0.4</v>
      </c>
      <c r="M29" s="63">
        <v>21.7</v>
      </c>
      <c r="N29" s="63">
        <v>0.4</v>
      </c>
      <c r="O29" s="63">
        <v>1.4</v>
      </c>
    </row>
    <row r="30" spans="1:15" x14ac:dyDescent="0.25">
      <c r="J30" s="415"/>
      <c r="K30" s="65" t="s">
        <v>459</v>
      </c>
      <c r="L30" s="63">
        <v>0.4</v>
      </c>
      <c r="M30" s="63">
        <v>49.8</v>
      </c>
      <c r="N30" s="63">
        <v>0.4</v>
      </c>
      <c r="O30" s="63">
        <v>1.4</v>
      </c>
    </row>
    <row r="31" spans="1:15" x14ac:dyDescent="0.25">
      <c r="J31" s="415"/>
      <c r="K31" s="65" t="s">
        <v>460</v>
      </c>
      <c r="L31" s="63">
        <v>0.4</v>
      </c>
      <c r="M31" s="63">
        <v>26.4</v>
      </c>
      <c r="N31" s="63">
        <v>0.4</v>
      </c>
      <c r="O31" s="63">
        <v>1.2</v>
      </c>
    </row>
    <row r="32" spans="1:15" x14ac:dyDescent="0.25">
      <c r="J32" s="415"/>
      <c r="K32" s="65" t="s">
        <v>461</v>
      </c>
      <c r="L32" s="63">
        <v>0.2</v>
      </c>
      <c r="M32" s="63">
        <v>27.3</v>
      </c>
      <c r="N32" s="63">
        <v>0.2</v>
      </c>
      <c r="O32" s="63">
        <v>0.8</v>
      </c>
    </row>
    <row r="33" spans="1:15" x14ac:dyDescent="0.25">
      <c r="J33" s="415"/>
      <c r="K33" s="65" t="s">
        <v>462</v>
      </c>
      <c r="L33" s="63">
        <v>0.2</v>
      </c>
      <c r="M33" s="63">
        <v>20</v>
      </c>
      <c r="N33" s="63">
        <v>0.2</v>
      </c>
      <c r="O33" s="63">
        <v>0.6</v>
      </c>
    </row>
    <row r="34" spans="1:15" x14ac:dyDescent="0.25">
      <c r="J34" s="415"/>
      <c r="K34" s="61" t="s">
        <v>463</v>
      </c>
      <c r="L34" s="61">
        <f>AVERAGE(L22:L33)</f>
        <v>0.29166666666666669</v>
      </c>
      <c r="M34" s="61">
        <f>MAX(M22:M33)</f>
        <v>62.5</v>
      </c>
      <c r="N34" s="61">
        <f>AVERAGE(N22:N33)</f>
        <v>0.29166666666666669</v>
      </c>
      <c r="O34" s="61">
        <f>MAX(O22:O33)</f>
        <v>1.8</v>
      </c>
    </row>
    <row r="36" spans="1:15" ht="41.4" x14ac:dyDescent="0.25">
      <c r="J36" s="60">
        <f>+A6</f>
        <v>2022</v>
      </c>
      <c r="K36" s="60" t="s">
        <v>445</v>
      </c>
      <c r="L36" s="66" t="s">
        <v>440</v>
      </c>
      <c r="M36" s="66" t="s">
        <v>446</v>
      </c>
      <c r="N36" s="66" t="s">
        <v>443</v>
      </c>
      <c r="O36" s="66" t="s">
        <v>447</v>
      </c>
    </row>
    <row r="37" spans="1:15" x14ac:dyDescent="0.25">
      <c r="J37" s="415" t="s">
        <v>192</v>
      </c>
      <c r="K37" s="65" t="s">
        <v>448</v>
      </c>
      <c r="L37" s="63">
        <v>0.7</v>
      </c>
      <c r="M37" s="63">
        <v>176.9</v>
      </c>
      <c r="N37" s="63">
        <v>0.7</v>
      </c>
      <c r="O37" s="63">
        <v>4</v>
      </c>
    </row>
    <row r="38" spans="1:15" x14ac:dyDescent="0.25">
      <c r="J38" s="415"/>
      <c r="K38" s="65" t="s">
        <v>449</v>
      </c>
      <c r="L38" s="63">
        <v>0.4</v>
      </c>
      <c r="M38" s="63">
        <v>6.5</v>
      </c>
      <c r="N38" s="63">
        <v>0.4</v>
      </c>
      <c r="O38" s="63">
        <v>0.7</v>
      </c>
    </row>
    <row r="39" spans="1:15" x14ac:dyDescent="0.25">
      <c r="J39" s="415"/>
      <c r="K39" s="65" t="s">
        <v>450</v>
      </c>
      <c r="L39" s="63">
        <v>0.4</v>
      </c>
      <c r="M39" s="63">
        <v>2</v>
      </c>
      <c r="N39" s="63">
        <v>0</v>
      </c>
      <c r="O39" s="63">
        <v>0</v>
      </c>
    </row>
    <row r="40" spans="1:15" x14ac:dyDescent="0.25">
      <c r="J40" s="415"/>
      <c r="K40" s="65" t="s">
        <v>452</v>
      </c>
      <c r="L40" s="63">
        <v>0.5</v>
      </c>
      <c r="M40" s="63">
        <v>6.8</v>
      </c>
      <c r="N40" s="63">
        <v>0.5</v>
      </c>
      <c r="O40" s="63">
        <v>0.7</v>
      </c>
    </row>
    <row r="41" spans="1:15" x14ac:dyDescent="0.25">
      <c r="J41" s="415"/>
      <c r="K41" s="65" t="s">
        <v>454</v>
      </c>
      <c r="L41" s="63">
        <v>0.4</v>
      </c>
      <c r="M41" s="63">
        <v>21.1</v>
      </c>
      <c r="N41" s="63">
        <v>0.4</v>
      </c>
      <c r="O41" s="63">
        <v>0.9</v>
      </c>
    </row>
    <row r="42" spans="1:15" x14ac:dyDescent="0.25">
      <c r="J42" s="415"/>
      <c r="K42" s="65" t="s">
        <v>455</v>
      </c>
      <c r="L42" s="63">
        <v>0.4</v>
      </c>
      <c r="M42" s="63">
        <v>28.6</v>
      </c>
      <c r="N42" s="63">
        <v>0.4</v>
      </c>
      <c r="O42" s="63">
        <v>1</v>
      </c>
    </row>
    <row r="43" spans="1:15" x14ac:dyDescent="0.25">
      <c r="J43" s="415"/>
      <c r="K43" s="65" t="s">
        <v>456</v>
      </c>
      <c r="L43" s="63">
        <v>0.4</v>
      </c>
      <c r="M43" s="63">
        <v>8.3000000000000007</v>
      </c>
      <c r="N43" s="63">
        <v>0.4</v>
      </c>
      <c r="O43" s="63">
        <v>0.8</v>
      </c>
    </row>
    <row r="44" spans="1:15" x14ac:dyDescent="0.25">
      <c r="J44" s="415"/>
      <c r="K44" s="65" t="s">
        <v>458</v>
      </c>
      <c r="L44" s="63">
        <v>0.4</v>
      </c>
      <c r="M44" s="63">
        <v>6.7</v>
      </c>
      <c r="N44" s="63">
        <v>0.4</v>
      </c>
      <c r="O44" s="63">
        <v>0.6</v>
      </c>
    </row>
    <row r="45" spans="1:15" x14ac:dyDescent="0.25">
      <c r="J45" s="415"/>
      <c r="K45" s="65" t="s">
        <v>459</v>
      </c>
      <c r="L45" s="63">
        <v>0.4</v>
      </c>
      <c r="M45" s="63">
        <v>6.8</v>
      </c>
      <c r="N45" s="63">
        <v>0.4</v>
      </c>
      <c r="O45" s="63">
        <v>0.7</v>
      </c>
    </row>
    <row r="46" spans="1:15" x14ac:dyDescent="0.25">
      <c r="J46" s="415"/>
      <c r="K46" s="65" t="s">
        <v>460</v>
      </c>
      <c r="L46" s="63">
        <v>0.4</v>
      </c>
      <c r="M46" s="63">
        <v>10.5</v>
      </c>
      <c r="N46" s="63">
        <v>0.4</v>
      </c>
      <c r="O46" s="63">
        <v>0.5</v>
      </c>
    </row>
    <row r="47" spans="1:15" x14ac:dyDescent="0.25">
      <c r="J47" s="415"/>
      <c r="K47" s="65" t="s">
        <v>461</v>
      </c>
      <c r="L47" s="63">
        <v>0.4</v>
      </c>
      <c r="M47" s="63">
        <v>7.7</v>
      </c>
      <c r="N47" s="63">
        <v>0.4</v>
      </c>
      <c r="O47" s="63">
        <v>0.6</v>
      </c>
    </row>
    <row r="48" spans="1:15" x14ac:dyDescent="0.25">
      <c r="A48" s="426" t="s">
        <v>335</v>
      </c>
      <c r="B48" s="427"/>
      <c r="C48" s="427"/>
      <c r="D48" s="427"/>
      <c r="E48" s="427"/>
      <c r="F48" s="427"/>
      <c r="G48" s="428"/>
      <c r="J48" s="415"/>
      <c r="K48" s="65" t="s">
        <v>462</v>
      </c>
      <c r="L48" s="63">
        <v>0.4</v>
      </c>
      <c r="M48" s="63">
        <v>2.5</v>
      </c>
      <c r="N48" s="63">
        <v>0.4</v>
      </c>
      <c r="O48" s="63">
        <v>0.7</v>
      </c>
    </row>
    <row r="49" spans="1:15" x14ac:dyDescent="0.25">
      <c r="A49" s="418" t="s">
        <v>464</v>
      </c>
      <c r="B49" s="419"/>
      <c r="C49" s="419"/>
      <c r="D49" s="419"/>
      <c r="E49" s="419"/>
      <c r="F49" s="419"/>
      <c r="G49" s="420"/>
      <c r="J49" s="415"/>
      <c r="K49" s="61" t="s">
        <v>463</v>
      </c>
      <c r="L49" s="61">
        <f>AVERAGE(L37:L48)</f>
        <v>0.43333333333333335</v>
      </c>
      <c r="M49" s="61">
        <f>MAX(M37:M48)</f>
        <v>176.9</v>
      </c>
      <c r="N49" s="61">
        <f>AVERAGE(N37:N48)</f>
        <v>0.39999999999999997</v>
      </c>
      <c r="O49" s="61">
        <f>MAX(O37:O48)</f>
        <v>4</v>
      </c>
    </row>
    <row r="50" spans="1:15" x14ac:dyDescent="0.25">
      <c r="A50" s="421"/>
      <c r="B50" s="240"/>
      <c r="C50" s="240"/>
      <c r="D50" s="240"/>
      <c r="E50" s="240"/>
      <c r="F50" s="240"/>
      <c r="G50" s="422"/>
    </row>
    <row r="51" spans="1:15" ht="41.4" x14ac:dyDescent="0.25">
      <c r="A51" s="421"/>
      <c r="B51" s="240"/>
      <c r="C51" s="240"/>
      <c r="D51" s="240"/>
      <c r="E51" s="240"/>
      <c r="F51" s="240"/>
      <c r="G51" s="422"/>
      <c r="J51" s="60">
        <f>+A6</f>
        <v>2022</v>
      </c>
      <c r="K51" s="60" t="s">
        <v>445</v>
      </c>
      <c r="L51" s="66" t="s">
        <v>440</v>
      </c>
      <c r="M51" s="66" t="s">
        <v>446</v>
      </c>
      <c r="N51" s="66" t="s">
        <v>443</v>
      </c>
      <c r="O51" s="66" t="s">
        <v>447</v>
      </c>
    </row>
    <row r="52" spans="1:15" x14ac:dyDescent="0.25">
      <c r="A52" s="423"/>
      <c r="B52" s="424"/>
      <c r="C52" s="424"/>
      <c r="D52" s="424"/>
      <c r="E52" s="424"/>
      <c r="F52" s="424"/>
      <c r="G52" s="425"/>
      <c r="J52" s="415" t="s">
        <v>193</v>
      </c>
      <c r="K52" s="65" t="s">
        <v>448</v>
      </c>
      <c r="L52" s="63"/>
      <c r="M52" s="63"/>
      <c r="N52" s="63"/>
      <c r="O52" s="63"/>
    </row>
    <row r="53" spans="1:15" x14ac:dyDescent="0.25">
      <c r="J53" s="415"/>
      <c r="K53" s="65" t="s">
        <v>449</v>
      </c>
      <c r="L53" s="63"/>
      <c r="M53" s="63"/>
      <c r="N53" s="63"/>
      <c r="O53" s="63"/>
    </row>
    <row r="54" spans="1:15" x14ac:dyDescent="0.25">
      <c r="J54" s="415"/>
      <c r="K54" s="65" t="s">
        <v>450</v>
      </c>
      <c r="L54" s="63"/>
      <c r="M54" s="63"/>
      <c r="N54" s="63"/>
      <c r="O54" s="63"/>
    </row>
    <row r="55" spans="1:15" x14ac:dyDescent="0.25">
      <c r="J55" s="415"/>
      <c r="K55" s="65" t="s">
        <v>452</v>
      </c>
      <c r="L55" s="63"/>
      <c r="M55" s="63"/>
      <c r="N55" s="63"/>
      <c r="O55" s="63"/>
    </row>
    <row r="56" spans="1:15" x14ac:dyDescent="0.25">
      <c r="J56" s="415"/>
      <c r="K56" s="65" t="s">
        <v>454</v>
      </c>
      <c r="L56" s="63"/>
      <c r="M56" s="63"/>
      <c r="N56" s="63"/>
      <c r="O56" s="63"/>
    </row>
    <row r="57" spans="1:15" x14ac:dyDescent="0.25">
      <c r="J57" s="415"/>
      <c r="K57" s="65" t="s">
        <v>455</v>
      </c>
      <c r="L57" s="63"/>
      <c r="M57" s="63"/>
      <c r="N57" s="63"/>
      <c r="O57" s="63"/>
    </row>
    <row r="58" spans="1:15" x14ac:dyDescent="0.25">
      <c r="J58" s="415"/>
      <c r="K58" s="65" t="s">
        <v>456</v>
      </c>
      <c r="L58" s="63"/>
      <c r="M58" s="63"/>
      <c r="N58" s="63"/>
      <c r="O58" s="63"/>
    </row>
    <row r="59" spans="1:15" x14ac:dyDescent="0.25">
      <c r="J59" s="415"/>
      <c r="K59" s="65" t="s">
        <v>458</v>
      </c>
      <c r="L59" s="63"/>
      <c r="M59" s="63"/>
      <c r="N59" s="63"/>
      <c r="O59" s="63"/>
    </row>
    <row r="60" spans="1:15" x14ac:dyDescent="0.25">
      <c r="J60" s="415"/>
      <c r="K60" s="65" t="s">
        <v>459</v>
      </c>
      <c r="L60" s="63"/>
      <c r="M60" s="63"/>
      <c r="N60" s="63"/>
      <c r="O60" s="63"/>
    </row>
    <row r="61" spans="1:15" x14ac:dyDescent="0.25">
      <c r="J61" s="415"/>
      <c r="K61" s="65" t="s">
        <v>460</v>
      </c>
      <c r="L61" s="63"/>
      <c r="M61" s="63"/>
      <c r="N61" s="63"/>
      <c r="O61" s="63"/>
    </row>
    <row r="62" spans="1:15" x14ac:dyDescent="0.25">
      <c r="J62" s="415"/>
      <c r="K62" s="65" t="s">
        <v>461</v>
      </c>
      <c r="L62" s="63"/>
      <c r="M62" s="63"/>
      <c r="N62" s="63"/>
      <c r="O62" s="63"/>
    </row>
    <row r="63" spans="1:15" x14ac:dyDescent="0.25">
      <c r="J63" s="415"/>
      <c r="K63" s="65" t="s">
        <v>462</v>
      </c>
      <c r="L63" s="63"/>
      <c r="M63" s="63"/>
      <c r="N63" s="63"/>
      <c r="O63" s="63"/>
    </row>
    <row r="64" spans="1:15" x14ac:dyDescent="0.25">
      <c r="J64" s="415"/>
      <c r="K64" s="61" t="s">
        <v>463</v>
      </c>
      <c r="L64" s="61" t="e">
        <f>AVERAGE(L52:L63)</f>
        <v>#DIV/0!</v>
      </c>
      <c r="M64" s="61">
        <f>MAX(M52:M63)</f>
        <v>0</v>
      </c>
      <c r="N64" s="61" t="e">
        <f>AVERAGE(N52:N63)</f>
        <v>#DIV/0!</v>
      </c>
      <c r="O64" s="61">
        <f>MAX(O52:O63)</f>
        <v>0</v>
      </c>
    </row>
    <row r="66" spans="10:15" ht="41.4" x14ac:dyDescent="0.25">
      <c r="J66" s="60">
        <f>+A6</f>
        <v>2022</v>
      </c>
      <c r="K66" s="60" t="s">
        <v>445</v>
      </c>
      <c r="L66" s="66" t="s">
        <v>440</v>
      </c>
      <c r="M66" s="66" t="s">
        <v>446</v>
      </c>
      <c r="N66" s="66" t="s">
        <v>443</v>
      </c>
      <c r="O66" s="66" t="s">
        <v>447</v>
      </c>
    </row>
    <row r="67" spans="10:15" x14ac:dyDescent="0.25">
      <c r="J67" s="415" t="s">
        <v>194</v>
      </c>
      <c r="K67" s="65" t="s">
        <v>448</v>
      </c>
      <c r="L67" s="63"/>
      <c r="M67" s="63"/>
      <c r="N67" s="63"/>
      <c r="O67" s="63"/>
    </row>
    <row r="68" spans="10:15" x14ac:dyDescent="0.25">
      <c r="J68" s="415"/>
      <c r="K68" s="65" t="s">
        <v>449</v>
      </c>
      <c r="L68" s="63"/>
      <c r="M68" s="63"/>
      <c r="N68" s="63"/>
      <c r="O68" s="63"/>
    </row>
    <row r="69" spans="10:15" x14ac:dyDescent="0.25">
      <c r="J69" s="415"/>
      <c r="K69" s="65" t="s">
        <v>450</v>
      </c>
      <c r="L69" s="63"/>
      <c r="M69" s="63"/>
      <c r="N69" s="63"/>
      <c r="O69" s="63"/>
    </row>
    <row r="70" spans="10:15" x14ac:dyDescent="0.25">
      <c r="J70" s="415"/>
      <c r="K70" s="65" t="s">
        <v>452</v>
      </c>
      <c r="L70" s="63"/>
      <c r="M70" s="63"/>
      <c r="N70" s="63"/>
      <c r="O70" s="63"/>
    </row>
    <row r="71" spans="10:15" x14ac:dyDescent="0.25">
      <c r="J71" s="415"/>
      <c r="K71" s="65" t="s">
        <v>454</v>
      </c>
      <c r="L71" s="63"/>
      <c r="M71" s="63"/>
      <c r="N71" s="63"/>
      <c r="O71" s="63"/>
    </row>
    <row r="72" spans="10:15" x14ac:dyDescent="0.25">
      <c r="J72" s="415"/>
      <c r="K72" s="65" t="s">
        <v>455</v>
      </c>
      <c r="L72" s="63"/>
      <c r="M72" s="63"/>
      <c r="N72" s="63"/>
      <c r="O72" s="63"/>
    </row>
    <row r="73" spans="10:15" x14ac:dyDescent="0.25">
      <c r="J73" s="415"/>
      <c r="K73" s="65" t="s">
        <v>456</v>
      </c>
      <c r="L73" s="63"/>
      <c r="M73" s="63"/>
      <c r="N73" s="63"/>
      <c r="O73" s="63"/>
    </row>
    <row r="74" spans="10:15" x14ac:dyDescent="0.25">
      <c r="J74" s="415"/>
      <c r="K74" s="65" t="s">
        <v>458</v>
      </c>
      <c r="L74" s="63"/>
      <c r="M74" s="63"/>
      <c r="N74" s="63"/>
      <c r="O74" s="63"/>
    </row>
    <row r="75" spans="10:15" x14ac:dyDescent="0.25">
      <c r="J75" s="415"/>
      <c r="K75" s="65" t="s">
        <v>459</v>
      </c>
      <c r="L75" s="63"/>
      <c r="M75" s="63"/>
      <c r="N75" s="63"/>
      <c r="O75" s="63"/>
    </row>
    <row r="76" spans="10:15" x14ac:dyDescent="0.25">
      <c r="J76" s="415"/>
      <c r="K76" s="65" t="s">
        <v>460</v>
      </c>
      <c r="L76" s="63"/>
      <c r="M76" s="63"/>
      <c r="N76" s="63"/>
      <c r="O76" s="63"/>
    </row>
    <row r="77" spans="10:15" x14ac:dyDescent="0.25">
      <c r="J77" s="415"/>
      <c r="K77" s="65" t="s">
        <v>461</v>
      </c>
      <c r="L77" s="63"/>
      <c r="M77" s="63"/>
      <c r="N77" s="63"/>
      <c r="O77" s="63"/>
    </row>
    <row r="78" spans="10:15" x14ac:dyDescent="0.25">
      <c r="J78" s="415"/>
      <c r="K78" s="65" t="s">
        <v>462</v>
      </c>
      <c r="L78" s="63"/>
      <c r="M78" s="63"/>
      <c r="N78" s="63"/>
      <c r="O78" s="63"/>
    </row>
    <row r="79" spans="10:15" x14ac:dyDescent="0.25">
      <c r="J79" s="415"/>
      <c r="K79" s="61" t="s">
        <v>463</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topLeftCell="A34" workbookViewId="0">
      <selection activeCell="A49" sqref="A49:G52"/>
    </sheetView>
  </sheetViews>
  <sheetFormatPr defaultRowHeight="13.8" x14ac:dyDescent="0.25"/>
  <cols>
    <col min="1" max="1" width="14" style="3" customWidth="1"/>
    <col min="2" max="4" width="17" style="34" customWidth="1"/>
    <col min="5" max="5" width="14.88671875" style="34" customWidth="1"/>
    <col min="6" max="7" width="17" style="34" customWidth="1"/>
    <col min="8" max="11" width="9.109375" style="3"/>
    <col min="12" max="12" width="15.44140625" style="3" customWidth="1"/>
    <col min="13" max="13" width="17.44140625" style="3" bestFit="1" customWidth="1"/>
    <col min="14" max="14" width="13.88671875" style="3" customWidth="1"/>
    <col min="15" max="15" width="15" style="3" customWidth="1"/>
    <col min="16" max="18" width="9.109375" style="3"/>
    <col min="19" max="19" width="22.109375" style="3" customWidth="1"/>
    <col min="20" max="256" width="9.109375" style="3"/>
    <col min="257" max="257" width="14" style="3" customWidth="1"/>
    <col min="258" max="263" width="10.109375" style="3" customWidth="1"/>
    <col min="264" max="512" width="9.109375" style="3"/>
    <col min="513" max="513" width="14" style="3" customWidth="1"/>
    <col min="514" max="519" width="10.109375" style="3" customWidth="1"/>
    <col min="520" max="768" width="9.109375" style="3"/>
    <col min="769" max="769" width="14" style="3" customWidth="1"/>
    <col min="770" max="775" width="10.109375" style="3" customWidth="1"/>
    <col min="776" max="1024" width="9.109375" style="3"/>
    <col min="1025" max="1025" width="14" style="3" customWidth="1"/>
    <col min="1026" max="1031" width="10.109375" style="3" customWidth="1"/>
    <col min="1032" max="1280" width="9.109375" style="3"/>
    <col min="1281" max="1281" width="14" style="3" customWidth="1"/>
    <col min="1282" max="1287" width="10.109375" style="3" customWidth="1"/>
    <col min="1288" max="1536" width="9.109375" style="3"/>
    <col min="1537" max="1537" width="14" style="3" customWidth="1"/>
    <col min="1538" max="1543" width="10.109375" style="3" customWidth="1"/>
    <col min="1544" max="1792" width="9.109375" style="3"/>
    <col min="1793" max="1793" width="14" style="3" customWidth="1"/>
    <col min="1794" max="1799" width="10.109375" style="3" customWidth="1"/>
    <col min="1800" max="2048" width="9.109375" style="3"/>
    <col min="2049" max="2049" width="14" style="3" customWidth="1"/>
    <col min="2050" max="2055" width="10.109375" style="3" customWidth="1"/>
    <col min="2056" max="2304" width="9.109375" style="3"/>
    <col min="2305" max="2305" width="14" style="3" customWidth="1"/>
    <col min="2306" max="2311" width="10.109375" style="3" customWidth="1"/>
    <col min="2312" max="2560" width="9.109375" style="3"/>
    <col min="2561" max="2561" width="14" style="3" customWidth="1"/>
    <col min="2562" max="2567" width="10.109375" style="3" customWidth="1"/>
    <col min="2568" max="2816" width="9.109375" style="3"/>
    <col min="2817" max="2817" width="14" style="3" customWidth="1"/>
    <col min="2818" max="2823" width="10.109375" style="3" customWidth="1"/>
    <col min="2824" max="3072" width="9.109375" style="3"/>
    <col min="3073" max="3073" width="14" style="3" customWidth="1"/>
    <col min="3074" max="3079" width="10.109375" style="3" customWidth="1"/>
    <col min="3080" max="3328" width="9.109375" style="3"/>
    <col min="3329" max="3329" width="14" style="3" customWidth="1"/>
    <col min="3330" max="3335" width="10.109375" style="3" customWidth="1"/>
    <col min="3336" max="3584" width="9.109375" style="3"/>
    <col min="3585" max="3585" width="14" style="3" customWidth="1"/>
    <col min="3586" max="3591" width="10.109375" style="3" customWidth="1"/>
    <col min="3592" max="3840" width="9.109375" style="3"/>
    <col min="3841" max="3841" width="14" style="3" customWidth="1"/>
    <col min="3842" max="3847" width="10.109375" style="3" customWidth="1"/>
    <col min="3848" max="4096" width="9.109375" style="3"/>
    <col min="4097" max="4097" width="14" style="3" customWidth="1"/>
    <col min="4098" max="4103" width="10.109375" style="3" customWidth="1"/>
    <col min="4104" max="4352" width="9.109375" style="3"/>
    <col min="4353" max="4353" width="14" style="3" customWidth="1"/>
    <col min="4354" max="4359" width="10.109375" style="3" customWidth="1"/>
    <col min="4360" max="4608" width="9.109375" style="3"/>
    <col min="4609" max="4609" width="14" style="3" customWidth="1"/>
    <col min="4610" max="4615" width="10.109375" style="3" customWidth="1"/>
    <col min="4616" max="4864" width="9.109375" style="3"/>
    <col min="4865" max="4865" width="14" style="3" customWidth="1"/>
    <col min="4866" max="4871" width="10.109375" style="3" customWidth="1"/>
    <col min="4872" max="5120" width="9.109375" style="3"/>
    <col min="5121" max="5121" width="14" style="3" customWidth="1"/>
    <col min="5122" max="5127" width="10.109375" style="3" customWidth="1"/>
    <col min="5128" max="5376" width="9.109375" style="3"/>
    <col min="5377" max="5377" width="14" style="3" customWidth="1"/>
    <col min="5378" max="5383" width="10.109375" style="3" customWidth="1"/>
    <col min="5384" max="5632" width="9.109375" style="3"/>
    <col min="5633" max="5633" width="14" style="3" customWidth="1"/>
    <col min="5634" max="5639" width="10.109375" style="3" customWidth="1"/>
    <col min="5640" max="5888" width="9.109375" style="3"/>
    <col min="5889" max="5889" width="14" style="3" customWidth="1"/>
    <col min="5890" max="5895" width="10.109375" style="3" customWidth="1"/>
    <col min="5896" max="6144" width="9.109375" style="3"/>
    <col min="6145" max="6145" width="14" style="3" customWidth="1"/>
    <col min="6146" max="6151" width="10.109375" style="3" customWidth="1"/>
    <col min="6152" max="6400" width="9.109375" style="3"/>
    <col min="6401" max="6401" width="14" style="3" customWidth="1"/>
    <col min="6402" max="6407" width="10.109375" style="3" customWidth="1"/>
    <col min="6408" max="6656" width="9.109375" style="3"/>
    <col min="6657" max="6657" width="14" style="3" customWidth="1"/>
    <col min="6658" max="6663" width="10.109375" style="3" customWidth="1"/>
    <col min="6664" max="6912" width="9.109375" style="3"/>
    <col min="6913" max="6913" width="14" style="3" customWidth="1"/>
    <col min="6914" max="6919" width="10.109375" style="3" customWidth="1"/>
    <col min="6920" max="7168" width="9.109375" style="3"/>
    <col min="7169" max="7169" width="14" style="3" customWidth="1"/>
    <col min="7170" max="7175" width="10.109375" style="3" customWidth="1"/>
    <col min="7176" max="7424" width="9.109375" style="3"/>
    <col min="7425" max="7425" width="14" style="3" customWidth="1"/>
    <col min="7426" max="7431" width="10.109375" style="3" customWidth="1"/>
    <col min="7432" max="7680" width="9.109375" style="3"/>
    <col min="7681" max="7681" width="14" style="3" customWidth="1"/>
    <col min="7682" max="7687" width="10.109375" style="3" customWidth="1"/>
    <col min="7688" max="7936" width="9.109375" style="3"/>
    <col min="7937" max="7937" width="14" style="3" customWidth="1"/>
    <col min="7938" max="7943" width="10.109375" style="3" customWidth="1"/>
    <col min="7944" max="8192" width="9.109375" style="3"/>
    <col min="8193" max="8193" width="14" style="3" customWidth="1"/>
    <col min="8194" max="8199" width="10.109375" style="3" customWidth="1"/>
    <col min="8200" max="8448" width="9.109375" style="3"/>
    <col min="8449" max="8449" width="14" style="3" customWidth="1"/>
    <col min="8450" max="8455" width="10.109375" style="3" customWidth="1"/>
    <col min="8456" max="8704" width="9.109375" style="3"/>
    <col min="8705" max="8705" width="14" style="3" customWidth="1"/>
    <col min="8706" max="8711" width="10.109375" style="3" customWidth="1"/>
    <col min="8712" max="8960" width="9.109375" style="3"/>
    <col min="8961" max="8961" width="14" style="3" customWidth="1"/>
    <col min="8962" max="8967" width="10.109375" style="3" customWidth="1"/>
    <col min="8968" max="9216" width="9.109375" style="3"/>
    <col min="9217" max="9217" width="14" style="3" customWidth="1"/>
    <col min="9218" max="9223" width="10.109375" style="3" customWidth="1"/>
    <col min="9224" max="9472" width="9.109375" style="3"/>
    <col min="9473" max="9473" width="14" style="3" customWidth="1"/>
    <col min="9474" max="9479" width="10.109375" style="3" customWidth="1"/>
    <col min="9480" max="9728" width="9.109375" style="3"/>
    <col min="9729" max="9729" width="14" style="3" customWidth="1"/>
    <col min="9730" max="9735" width="10.109375" style="3" customWidth="1"/>
    <col min="9736" max="9984" width="9.109375" style="3"/>
    <col min="9985" max="9985" width="14" style="3" customWidth="1"/>
    <col min="9986" max="9991" width="10.109375" style="3" customWidth="1"/>
    <col min="9992" max="10240" width="9.109375" style="3"/>
    <col min="10241" max="10241" width="14" style="3" customWidth="1"/>
    <col min="10242" max="10247" width="10.109375" style="3" customWidth="1"/>
    <col min="10248" max="10496" width="9.109375" style="3"/>
    <col min="10497" max="10497" width="14" style="3" customWidth="1"/>
    <col min="10498" max="10503" width="10.109375" style="3" customWidth="1"/>
    <col min="10504" max="10752" width="9.109375" style="3"/>
    <col min="10753" max="10753" width="14" style="3" customWidth="1"/>
    <col min="10754" max="10759" width="10.109375" style="3" customWidth="1"/>
    <col min="10760" max="11008" width="9.109375" style="3"/>
    <col min="11009" max="11009" width="14" style="3" customWidth="1"/>
    <col min="11010" max="11015" width="10.109375" style="3" customWidth="1"/>
    <col min="11016" max="11264" width="9.109375" style="3"/>
    <col min="11265" max="11265" width="14" style="3" customWidth="1"/>
    <col min="11266" max="11271" width="10.109375" style="3" customWidth="1"/>
    <col min="11272" max="11520" width="9.109375" style="3"/>
    <col min="11521" max="11521" width="14" style="3" customWidth="1"/>
    <col min="11522" max="11527" width="10.109375" style="3" customWidth="1"/>
    <col min="11528" max="11776" width="9.109375" style="3"/>
    <col min="11777" max="11777" width="14" style="3" customWidth="1"/>
    <col min="11778" max="11783" width="10.109375" style="3" customWidth="1"/>
    <col min="11784" max="12032" width="9.109375" style="3"/>
    <col min="12033" max="12033" width="14" style="3" customWidth="1"/>
    <col min="12034" max="12039" width="10.109375" style="3" customWidth="1"/>
    <col min="12040" max="12288" width="9.109375" style="3"/>
    <col min="12289" max="12289" width="14" style="3" customWidth="1"/>
    <col min="12290" max="12295" width="10.109375" style="3" customWidth="1"/>
    <col min="12296" max="12544" width="9.109375" style="3"/>
    <col min="12545" max="12545" width="14" style="3" customWidth="1"/>
    <col min="12546" max="12551" width="10.109375" style="3" customWidth="1"/>
    <col min="12552" max="12800" width="9.109375" style="3"/>
    <col min="12801" max="12801" width="14" style="3" customWidth="1"/>
    <col min="12802" max="12807" width="10.109375" style="3" customWidth="1"/>
    <col min="12808" max="13056" width="9.109375" style="3"/>
    <col min="13057" max="13057" width="14" style="3" customWidth="1"/>
    <col min="13058" max="13063" width="10.109375" style="3" customWidth="1"/>
    <col min="13064" max="13312" width="9.109375" style="3"/>
    <col min="13313" max="13313" width="14" style="3" customWidth="1"/>
    <col min="13314" max="13319" width="10.109375" style="3" customWidth="1"/>
    <col min="13320" max="13568" width="9.109375" style="3"/>
    <col min="13569" max="13569" width="14" style="3" customWidth="1"/>
    <col min="13570" max="13575" width="10.109375" style="3" customWidth="1"/>
    <col min="13576" max="13824" width="9.109375" style="3"/>
    <col min="13825" max="13825" width="14" style="3" customWidth="1"/>
    <col min="13826" max="13831" width="10.109375" style="3" customWidth="1"/>
    <col min="13832" max="14080" width="9.109375" style="3"/>
    <col min="14081" max="14081" width="14" style="3" customWidth="1"/>
    <col min="14082" max="14087" width="10.109375" style="3" customWidth="1"/>
    <col min="14088" max="14336" width="9.109375" style="3"/>
    <col min="14337" max="14337" width="14" style="3" customWidth="1"/>
    <col min="14338" max="14343" width="10.109375" style="3" customWidth="1"/>
    <col min="14344" max="14592" width="9.109375" style="3"/>
    <col min="14593" max="14593" width="14" style="3" customWidth="1"/>
    <col min="14594" max="14599" width="10.109375" style="3" customWidth="1"/>
    <col min="14600" max="14848" width="9.109375" style="3"/>
    <col min="14849" max="14849" width="14" style="3" customWidth="1"/>
    <col min="14850" max="14855" width="10.109375" style="3" customWidth="1"/>
    <col min="14856" max="15104" width="9.109375" style="3"/>
    <col min="15105" max="15105" width="14" style="3" customWidth="1"/>
    <col min="15106" max="15111" width="10.109375" style="3" customWidth="1"/>
    <col min="15112" max="15360" width="9.109375" style="3"/>
    <col min="15361" max="15361" width="14" style="3" customWidth="1"/>
    <col min="15362" max="15367" width="10.109375" style="3" customWidth="1"/>
    <col min="15368" max="15616" width="9.109375" style="3"/>
    <col min="15617" max="15617" width="14" style="3" customWidth="1"/>
    <col min="15618" max="15623" width="10.109375" style="3" customWidth="1"/>
    <col min="15624" max="15872" width="9.109375" style="3"/>
    <col min="15873" max="15873" width="14" style="3" customWidth="1"/>
    <col min="15874" max="15879" width="10.109375" style="3" customWidth="1"/>
    <col min="15880" max="16128" width="9.109375" style="3"/>
    <col min="16129" max="16129" width="14" style="3" customWidth="1"/>
    <col min="16130" max="16135" width="10.109375" style="3" customWidth="1"/>
    <col min="16136" max="16384" width="9.109375" style="3"/>
  </cols>
  <sheetData>
    <row r="1" spans="1:19" ht="15" x14ac:dyDescent="0.25">
      <c r="A1" s="91" t="str">
        <f>+'Cover Page'!$B$29</f>
        <v>Annual Performance Report 2022</v>
      </c>
      <c r="B1" s="91"/>
      <c r="C1" s="91"/>
      <c r="D1" s="91"/>
      <c r="E1" s="91" t="str">
        <f>+'Cover Page'!$B$33</f>
        <v>Kent Enviropower Limited</v>
      </c>
    </row>
    <row r="3" spans="1:19" ht="14.4" x14ac:dyDescent="0.3">
      <c r="A3" s="59" t="s">
        <v>474</v>
      </c>
      <c r="D3" s="75" t="s">
        <v>432</v>
      </c>
      <c r="G3" s="79" t="s">
        <v>433</v>
      </c>
      <c r="J3" s="9" t="str">
        <f>+A3</f>
        <v>Monitoring of Particulate matter emissions</v>
      </c>
      <c r="L3" s="9"/>
      <c r="N3" s="9" t="s">
        <v>434</v>
      </c>
      <c r="Q3" s="78" t="s">
        <v>3</v>
      </c>
      <c r="R3" s="73"/>
      <c r="S3" s="73"/>
    </row>
    <row r="4" spans="1:19" ht="14.1" customHeight="1" x14ac:dyDescent="0.25">
      <c r="Q4" s="382" t="s">
        <v>435</v>
      </c>
      <c r="R4" s="382"/>
      <c r="S4" s="382"/>
    </row>
    <row r="5" spans="1:19" ht="16.2" x14ac:dyDescent="0.25">
      <c r="A5" s="67" t="s">
        <v>436</v>
      </c>
      <c r="B5" s="417" t="s">
        <v>437</v>
      </c>
      <c r="C5" s="417"/>
      <c r="D5" s="417"/>
      <c r="E5" s="417" t="s">
        <v>438</v>
      </c>
      <c r="F5" s="417"/>
      <c r="G5" s="417"/>
      <c r="J5" s="416"/>
      <c r="K5" s="416"/>
      <c r="L5" s="416"/>
      <c r="M5" s="416"/>
      <c r="N5" s="416"/>
      <c r="O5" s="416"/>
      <c r="Q5" s="382"/>
      <c r="R5" s="382"/>
      <c r="S5" s="382"/>
    </row>
    <row r="6" spans="1:19" s="57" customFormat="1" ht="37.5" customHeight="1" x14ac:dyDescent="0.3">
      <c r="A6" s="64">
        <f>+'Cover Page'!C39</f>
        <v>2022</v>
      </c>
      <c r="B6" s="54" t="s">
        <v>475</v>
      </c>
      <c r="C6" s="54" t="s">
        <v>440</v>
      </c>
      <c r="D6" s="54" t="s">
        <v>441</v>
      </c>
      <c r="E6" s="54" t="s">
        <v>476</v>
      </c>
      <c r="F6" s="54" t="s">
        <v>443</v>
      </c>
      <c r="G6" s="54" t="s">
        <v>444</v>
      </c>
      <c r="H6" s="58"/>
      <c r="J6" s="60">
        <f>+A6</f>
        <v>2022</v>
      </c>
      <c r="K6" s="60" t="s">
        <v>445</v>
      </c>
      <c r="L6" s="66" t="s">
        <v>440</v>
      </c>
      <c r="M6" s="66" t="s">
        <v>446</v>
      </c>
      <c r="N6" s="66" t="s">
        <v>443</v>
      </c>
      <c r="O6" s="66" t="s">
        <v>447</v>
      </c>
      <c r="Q6" s="382"/>
      <c r="R6" s="382"/>
      <c r="S6" s="382"/>
    </row>
    <row r="7" spans="1:19" x14ac:dyDescent="0.25">
      <c r="A7" s="65" t="s">
        <v>448</v>
      </c>
      <c r="B7" s="62">
        <v>30</v>
      </c>
      <c r="C7" s="63">
        <v>1.9</v>
      </c>
      <c r="D7" s="63">
        <v>16.899999999999999</v>
      </c>
      <c r="E7" s="62">
        <v>10</v>
      </c>
      <c r="F7" s="63">
        <v>1.86</v>
      </c>
      <c r="G7" s="63">
        <v>4.3</v>
      </c>
      <c r="J7" s="415" t="s">
        <v>190</v>
      </c>
      <c r="K7" s="65" t="s">
        <v>448</v>
      </c>
      <c r="L7" s="63">
        <v>0.4</v>
      </c>
      <c r="M7" s="63">
        <v>7</v>
      </c>
      <c r="N7" s="63">
        <v>0.4</v>
      </c>
      <c r="O7" s="63">
        <v>3.3</v>
      </c>
      <c r="Q7" s="382"/>
      <c r="R7" s="382"/>
      <c r="S7" s="382"/>
    </row>
    <row r="8" spans="1:19" x14ac:dyDescent="0.25">
      <c r="A8" s="65" t="s">
        <v>449</v>
      </c>
      <c r="B8" s="62">
        <v>30</v>
      </c>
      <c r="C8" s="63">
        <v>1.6</v>
      </c>
      <c r="D8" s="63">
        <v>7.8</v>
      </c>
      <c r="E8" s="62">
        <v>10</v>
      </c>
      <c r="F8" s="63">
        <v>1.66</v>
      </c>
      <c r="G8" s="63">
        <v>4.2</v>
      </c>
      <c r="J8" s="415"/>
      <c r="K8" s="65" t="s">
        <v>449</v>
      </c>
      <c r="L8" s="63">
        <v>0.5</v>
      </c>
      <c r="M8" s="63">
        <v>7.3</v>
      </c>
      <c r="N8" s="63">
        <v>0.6</v>
      </c>
      <c r="O8" s="63">
        <v>2.2000000000000002</v>
      </c>
      <c r="Q8" s="382"/>
      <c r="R8" s="382"/>
      <c r="S8" s="382"/>
    </row>
    <row r="9" spans="1:19" x14ac:dyDescent="0.25">
      <c r="A9" s="65" t="s">
        <v>450</v>
      </c>
      <c r="B9" s="62">
        <v>30</v>
      </c>
      <c r="C9" s="63">
        <v>2.4300000000000002</v>
      </c>
      <c r="D9" s="63">
        <v>6.6</v>
      </c>
      <c r="E9" s="62">
        <v>10</v>
      </c>
      <c r="F9" s="63">
        <v>1.2</v>
      </c>
      <c r="G9" s="63">
        <v>3.6</v>
      </c>
      <c r="J9" s="415"/>
      <c r="K9" s="65" t="s">
        <v>450</v>
      </c>
      <c r="L9" s="63">
        <v>0.9</v>
      </c>
      <c r="M9" s="63">
        <v>6.1</v>
      </c>
      <c r="N9" s="63">
        <v>0.9</v>
      </c>
      <c r="O9" s="63">
        <v>2.9</v>
      </c>
      <c r="Q9" s="77" t="s">
        <v>451</v>
      </c>
    </row>
    <row r="10" spans="1:19" ht="14.25" customHeight="1" x14ac:dyDescent="0.25">
      <c r="A10" s="65" t="s">
        <v>452</v>
      </c>
      <c r="B10" s="62">
        <v>30</v>
      </c>
      <c r="C10" s="63">
        <v>0.3</v>
      </c>
      <c r="D10" s="63">
        <v>6.8</v>
      </c>
      <c r="E10" s="62">
        <v>10</v>
      </c>
      <c r="F10" s="63">
        <v>0.3</v>
      </c>
      <c r="G10" s="63">
        <v>1.9</v>
      </c>
      <c r="J10" s="415"/>
      <c r="K10" s="65" t="s">
        <v>452</v>
      </c>
      <c r="L10" s="63">
        <v>0.3</v>
      </c>
      <c r="M10" s="63">
        <v>6.8</v>
      </c>
      <c r="N10" s="63">
        <v>0.3</v>
      </c>
      <c r="O10" s="63">
        <v>1.9</v>
      </c>
      <c r="Q10" s="414" t="s">
        <v>453</v>
      </c>
      <c r="R10" s="414"/>
      <c r="S10" s="414"/>
    </row>
    <row r="11" spans="1:19" x14ac:dyDescent="0.25">
      <c r="A11" s="65" t="s">
        <v>454</v>
      </c>
      <c r="B11" s="62">
        <v>30</v>
      </c>
      <c r="C11" s="63">
        <v>0.36</v>
      </c>
      <c r="D11" s="63">
        <v>7.2</v>
      </c>
      <c r="E11" s="62">
        <v>10</v>
      </c>
      <c r="F11" s="63">
        <v>0.4</v>
      </c>
      <c r="G11" s="63">
        <v>2.7</v>
      </c>
      <c r="J11" s="415"/>
      <c r="K11" s="65" t="s">
        <v>454</v>
      </c>
      <c r="L11" s="63">
        <v>0.5</v>
      </c>
      <c r="M11" s="63">
        <v>7.2</v>
      </c>
      <c r="N11" s="63">
        <v>0.6</v>
      </c>
      <c r="O11" s="63">
        <v>2.7</v>
      </c>
      <c r="Q11" s="414"/>
      <c r="R11" s="414"/>
      <c r="S11" s="414"/>
    </row>
    <row r="12" spans="1:19" x14ac:dyDescent="0.25">
      <c r="A12" s="65" t="s">
        <v>455</v>
      </c>
      <c r="B12" s="62">
        <v>30</v>
      </c>
      <c r="C12" s="63">
        <v>0.6</v>
      </c>
      <c r="D12" s="63">
        <v>20.5</v>
      </c>
      <c r="E12" s="62">
        <v>10</v>
      </c>
      <c r="F12" s="63">
        <v>0.6</v>
      </c>
      <c r="G12" s="63">
        <v>4.3</v>
      </c>
      <c r="J12" s="415"/>
      <c r="K12" s="65" t="s">
        <v>455</v>
      </c>
      <c r="L12" s="63">
        <v>0.9</v>
      </c>
      <c r="M12" s="63">
        <v>20.5</v>
      </c>
      <c r="N12" s="63">
        <v>0.9</v>
      </c>
      <c r="O12" s="63">
        <v>4.3</v>
      </c>
      <c r="Q12" s="414"/>
      <c r="R12" s="414"/>
      <c r="S12" s="414"/>
    </row>
    <row r="13" spans="1:19" ht="14.25" customHeight="1" x14ac:dyDescent="0.25">
      <c r="A13" s="65" t="s">
        <v>456</v>
      </c>
      <c r="B13" s="62">
        <v>30</v>
      </c>
      <c r="C13" s="63">
        <v>0.63</v>
      </c>
      <c r="D13" s="63">
        <v>4.3</v>
      </c>
      <c r="E13" s="62">
        <v>10</v>
      </c>
      <c r="F13" s="63">
        <v>0.6</v>
      </c>
      <c r="G13" s="63">
        <v>3.3</v>
      </c>
      <c r="J13" s="415"/>
      <c r="K13" s="65" t="s">
        <v>456</v>
      </c>
      <c r="L13" s="63">
        <v>1.1000000000000001</v>
      </c>
      <c r="M13" s="63">
        <v>4.3</v>
      </c>
      <c r="N13" s="63">
        <v>1</v>
      </c>
      <c r="O13" s="63">
        <v>3.3</v>
      </c>
      <c r="Q13" s="414" t="s">
        <v>457</v>
      </c>
      <c r="R13" s="414"/>
      <c r="S13" s="414"/>
    </row>
    <row r="14" spans="1:19" x14ac:dyDescent="0.25">
      <c r="A14" s="65" t="s">
        <v>458</v>
      </c>
      <c r="B14" s="62">
        <v>30</v>
      </c>
      <c r="C14" s="63">
        <v>1</v>
      </c>
      <c r="D14" s="63">
        <v>12</v>
      </c>
      <c r="E14" s="62">
        <v>10</v>
      </c>
      <c r="F14" s="63">
        <v>0.96</v>
      </c>
      <c r="G14" s="63">
        <v>3</v>
      </c>
      <c r="J14" s="415"/>
      <c r="K14" s="65" t="s">
        <v>458</v>
      </c>
      <c r="L14" s="63">
        <v>1.1000000000000001</v>
      </c>
      <c r="M14" s="63">
        <v>12</v>
      </c>
      <c r="N14" s="63">
        <v>1</v>
      </c>
      <c r="O14" s="63">
        <v>3</v>
      </c>
      <c r="Q14" s="414"/>
      <c r="R14" s="414"/>
      <c r="S14" s="414"/>
    </row>
    <row r="15" spans="1:19" x14ac:dyDescent="0.25">
      <c r="A15" s="65" t="s">
        <v>459</v>
      </c>
      <c r="B15" s="62">
        <v>30</v>
      </c>
      <c r="C15" s="63">
        <v>1.26</v>
      </c>
      <c r="D15" s="63">
        <v>7.4</v>
      </c>
      <c r="E15" s="62">
        <v>10</v>
      </c>
      <c r="F15" s="63">
        <v>1.33</v>
      </c>
      <c r="G15" s="63">
        <v>4.2</v>
      </c>
      <c r="J15" s="415"/>
      <c r="K15" s="65" t="s">
        <v>459</v>
      </c>
      <c r="L15" s="63">
        <v>2.2000000000000002</v>
      </c>
      <c r="M15" s="63">
        <v>7.4</v>
      </c>
      <c r="N15" s="63">
        <v>2.2999999999999998</v>
      </c>
      <c r="O15" s="63">
        <v>3.6</v>
      </c>
      <c r="Q15" s="414"/>
      <c r="R15" s="414"/>
      <c r="S15" s="414"/>
    </row>
    <row r="16" spans="1:19" x14ac:dyDescent="0.25">
      <c r="A16" s="65" t="s">
        <v>460</v>
      </c>
      <c r="B16" s="62">
        <v>30</v>
      </c>
      <c r="C16" s="63">
        <v>1.03</v>
      </c>
      <c r="D16" s="63">
        <v>6.6</v>
      </c>
      <c r="E16" s="62">
        <v>10</v>
      </c>
      <c r="F16" s="63">
        <v>1.03</v>
      </c>
      <c r="G16" s="63">
        <v>2.8</v>
      </c>
      <c r="J16" s="415"/>
      <c r="K16" s="65" t="s">
        <v>460</v>
      </c>
      <c r="L16" s="63">
        <v>1.6</v>
      </c>
      <c r="M16" s="63">
        <v>6.6</v>
      </c>
      <c r="N16" s="63">
        <v>1.6</v>
      </c>
      <c r="O16" s="63">
        <v>2.8</v>
      </c>
      <c r="Q16" s="414"/>
      <c r="R16" s="414"/>
      <c r="S16" s="414"/>
    </row>
    <row r="17" spans="1:15" x14ac:dyDescent="0.25">
      <c r="A17" s="65" t="s">
        <v>461</v>
      </c>
      <c r="B17" s="62">
        <v>30</v>
      </c>
      <c r="C17" s="63">
        <v>1.6</v>
      </c>
      <c r="D17" s="63">
        <v>5.3</v>
      </c>
      <c r="E17" s="62">
        <v>10</v>
      </c>
      <c r="F17" s="63">
        <v>1.6</v>
      </c>
      <c r="G17" s="63">
        <v>4.0999999999999996</v>
      </c>
      <c r="J17" s="415"/>
      <c r="K17" s="65" t="s">
        <v>461</v>
      </c>
      <c r="L17" s="63">
        <v>1.3</v>
      </c>
      <c r="M17" s="63">
        <v>5.3</v>
      </c>
      <c r="N17" s="63">
        <v>1.3</v>
      </c>
      <c r="O17" s="63">
        <v>4.0999999999999996</v>
      </c>
    </row>
    <row r="18" spans="1:15" x14ac:dyDescent="0.25">
      <c r="A18" s="65" t="s">
        <v>462</v>
      </c>
      <c r="B18" s="62">
        <v>30</v>
      </c>
      <c r="C18" s="63">
        <v>2</v>
      </c>
      <c r="D18" s="63">
        <v>7.9</v>
      </c>
      <c r="E18" s="62">
        <v>10</v>
      </c>
      <c r="F18" s="63">
        <v>2.0299999999999998</v>
      </c>
      <c r="G18" s="63">
        <v>4.5999999999999996</v>
      </c>
      <c r="J18" s="415"/>
      <c r="K18" s="65" t="s">
        <v>462</v>
      </c>
      <c r="L18" s="63">
        <v>2.2999999999999998</v>
      </c>
      <c r="M18" s="63">
        <v>7.9</v>
      </c>
      <c r="N18" s="63">
        <v>2.2999999999999998</v>
      </c>
      <c r="O18" s="63">
        <v>4.5999999999999996</v>
      </c>
    </row>
    <row r="19" spans="1:15" x14ac:dyDescent="0.25">
      <c r="J19" s="415"/>
      <c r="K19" s="61" t="s">
        <v>463</v>
      </c>
      <c r="L19" s="61">
        <f>AVERAGE(L7:L18)</f>
        <v>1.0916666666666668</v>
      </c>
      <c r="M19" s="61">
        <f>MAX(M7:M18)</f>
        <v>20.5</v>
      </c>
      <c r="N19" s="61">
        <f>AVERAGE(N7:N18)</f>
        <v>1.0999999999999999</v>
      </c>
      <c r="O19" s="61">
        <f>MAX(O7:O18)</f>
        <v>4.5999999999999996</v>
      </c>
    </row>
    <row r="21" spans="1:15" ht="41.4" x14ac:dyDescent="0.25">
      <c r="J21" s="60">
        <f>+A6</f>
        <v>2022</v>
      </c>
      <c r="K21" s="60" t="s">
        <v>445</v>
      </c>
      <c r="L21" s="66" t="s">
        <v>440</v>
      </c>
      <c r="M21" s="66" t="s">
        <v>446</v>
      </c>
      <c r="N21" s="66" t="s">
        <v>443</v>
      </c>
      <c r="O21" s="66" t="s">
        <v>447</v>
      </c>
    </row>
    <row r="22" spans="1:15" x14ac:dyDescent="0.25">
      <c r="J22" s="415" t="s">
        <v>191</v>
      </c>
      <c r="K22" s="65" t="s">
        <v>448</v>
      </c>
      <c r="L22" s="63">
        <v>2.8</v>
      </c>
      <c r="M22" s="63">
        <v>16.899999999999999</v>
      </c>
      <c r="N22" s="63">
        <v>2.7</v>
      </c>
      <c r="O22" s="63">
        <v>3.8</v>
      </c>
    </row>
    <row r="23" spans="1:15" x14ac:dyDescent="0.25">
      <c r="J23" s="415"/>
      <c r="K23" s="65" t="s">
        <v>449</v>
      </c>
      <c r="L23" s="63">
        <v>1.8</v>
      </c>
      <c r="M23" s="63">
        <v>7.8</v>
      </c>
      <c r="N23" s="63">
        <v>1.9</v>
      </c>
      <c r="O23" s="63">
        <v>4.0999999999999996</v>
      </c>
    </row>
    <row r="24" spans="1:15" x14ac:dyDescent="0.25">
      <c r="J24" s="415"/>
      <c r="K24" s="65" t="s">
        <v>450</v>
      </c>
      <c r="L24" s="63">
        <v>2.7</v>
      </c>
      <c r="M24" s="63">
        <v>6.6</v>
      </c>
      <c r="N24" s="63">
        <v>2.7</v>
      </c>
      <c r="O24" s="63">
        <v>3.6</v>
      </c>
    </row>
    <row r="25" spans="1:15" x14ac:dyDescent="0.25">
      <c r="J25" s="415"/>
      <c r="K25" s="65" t="s">
        <v>452</v>
      </c>
      <c r="L25" s="63">
        <v>0.3</v>
      </c>
      <c r="M25" s="63">
        <v>1.3</v>
      </c>
      <c r="N25" s="63">
        <v>0.3</v>
      </c>
      <c r="O25" s="63">
        <v>0.8</v>
      </c>
    </row>
    <row r="26" spans="1:15" x14ac:dyDescent="0.25">
      <c r="J26" s="415"/>
      <c r="K26" s="65" t="s">
        <v>454</v>
      </c>
      <c r="L26" s="63">
        <v>0.2</v>
      </c>
      <c r="M26" s="63">
        <v>1</v>
      </c>
      <c r="N26" s="63">
        <v>0.2</v>
      </c>
      <c r="O26" s="63">
        <v>0.3</v>
      </c>
    </row>
    <row r="27" spans="1:15" x14ac:dyDescent="0.25">
      <c r="J27" s="415"/>
      <c r="K27" s="65" t="s">
        <v>455</v>
      </c>
      <c r="L27" s="63">
        <v>0.5</v>
      </c>
      <c r="M27" s="63">
        <v>1.1000000000000001</v>
      </c>
      <c r="N27" s="63">
        <v>0.5</v>
      </c>
      <c r="O27" s="63">
        <v>0.8</v>
      </c>
    </row>
    <row r="28" spans="1:15" x14ac:dyDescent="0.25">
      <c r="J28" s="415"/>
      <c r="K28" s="65" t="s">
        <v>456</v>
      </c>
      <c r="L28" s="63">
        <v>0.4</v>
      </c>
      <c r="M28" s="63">
        <v>1.2</v>
      </c>
      <c r="N28" s="63">
        <v>0.4</v>
      </c>
      <c r="O28" s="63">
        <v>0.9</v>
      </c>
    </row>
    <row r="29" spans="1:15" x14ac:dyDescent="0.25">
      <c r="J29" s="415"/>
      <c r="K29" s="65" t="s">
        <v>458</v>
      </c>
      <c r="L29" s="63">
        <v>1.4</v>
      </c>
      <c r="M29" s="63">
        <v>3.8</v>
      </c>
      <c r="N29" s="63">
        <v>1.4</v>
      </c>
      <c r="O29" s="63">
        <v>2.8</v>
      </c>
    </row>
    <row r="30" spans="1:15" x14ac:dyDescent="0.25">
      <c r="J30" s="415"/>
      <c r="K30" s="65" t="s">
        <v>459</v>
      </c>
      <c r="L30" s="63">
        <v>1</v>
      </c>
      <c r="M30" s="63">
        <v>7.2</v>
      </c>
      <c r="N30" s="63">
        <v>1.1000000000000001</v>
      </c>
      <c r="O30" s="63">
        <v>4.2</v>
      </c>
    </row>
    <row r="31" spans="1:15" x14ac:dyDescent="0.25">
      <c r="J31" s="415"/>
      <c r="K31" s="65" t="s">
        <v>460</v>
      </c>
      <c r="L31" s="63">
        <v>0.8</v>
      </c>
      <c r="M31" s="63">
        <v>3.7</v>
      </c>
      <c r="N31" s="63">
        <v>0.8</v>
      </c>
      <c r="O31" s="63">
        <v>2.2999999999999998</v>
      </c>
    </row>
    <row r="32" spans="1:15" x14ac:dyDescent="0.25">
      <c r="J32" s="415"/>
      <c r="K32" s="65" t="s">
        <v>461</v>
      </c>
      <c r="L32" s="63">
        <v>1.8</v>
      </c>
      <c r="M32" s="63">
        <v>3.6</v>
      </c>
      <c r="N32" s="63">
        <v>1.8</v>
      </c>
      <c r="O32" s="63">
        <v>3.1</v>
      </c>
    </row>
    <row r="33" spans="1:15" x14ac:dyDescent="0.25">
      <c r="J33" s="415"/>
      <c r="K33" s="65" t="s">
        <v>462</v>
      </c>
      <c r="L33" s="63">
        <v>1</v>
      </c>
      <c r="M33" s="63">
        <v>3.7</v>
      </c>
      <c r="N33" s="63">
        <v>1.1000000000000001</v>
      </c>
      <c r="O33" s="63">
        <v>2.2000000000000002</v>
      </c>
    </row>
    <row r="34" spans="1:15" x14ac:dyDescent="0.25">
      <c r="J34" s="415"/>
      <c r="K34" s="61" t="s">
        <v>463</v>
      </c>
      <c r="L34" s="61">
        <f>AVERAGE(L22:L33)</f>
        <v>1.2250000000000003</v>
      </c>
      <c r="M34" s="61">
        <f>MAX(M22:M33)</f>
        <v>16.899999999999999</v>
      </c>
      <c r="N34" s="61">
        <f>AVERAGE(N22:N33)</f>
        <v>1.2416666666666669</v>
      </c>
      <c r="O34" s="61">
        <f>MAX(O22:O33)</f>
        <v>4.2</v>
      </c>
    </row>
    <row r="36" spans="1:15" ht="41.4" x14ac:dyDescent="0.25">
      <c r="J36" s="60">
        <f>+A6</f>
        <v>2022</v>
      </c>
      <c r="K36" s="60" t="s">
        <v>445</v>
      </c>
      <c r="L36" s="66" t="s">
        <v>440</v>
      </c>
      <c r="M36" s="66" t="s">
        <v>446</v>
      </c>
      <c r="N36" s="66" t="s">
        <v>443</v>
      </c>
      <c r="O36" s="66" t="s">
        <v>447</v>
      </c>
    </row>
    <row r="37" spans="1:15" x14ac:dyDescent="0.25">
      <c r="J37" s="415" t="s">
        <v>192</v>
      </c>
      <c r="K37" s="65" t="s">
        <v>448</v>
      </c>
      <c r="L37" s="63">
        <v>2.5</v>
      </c>
      <c r="M37" s="63">
        <v>14.2</v>
      </c>
      <c r="N37" s="63">
        <v>2.5</v>
      </c>
      <c r="O37" s="63">
        <v>4.3</v>
      </c>
    </row>
    <row r="38" spans="1:15" x14ac:dyDescent="0.25">
      <c r="J38" s="415"/>
      <c r="K38" s="65" t="s">
        <v>449</v>
      </c>
      <c r="L38" s="63">
        <v>2.5</v>
      </c>
      <c r="M38" s="63">
        <v>6.6</v>
      </c>
      <c r="N38" s="63">
        <v>2.5</v>
      </c>
      <c r="O38" s="63">
        <v>4.2</v>
      </c>
    </row>
    <row r="39" spans="1:15" x14ac:dyDescent="0.25">
      <c r="J39" s="415"/>
      <c r="K39" s="65" t="s">
        <v>450</v>
      </c>
      <c r="L39" s="63">
        <v>3.7</v>
      </c>
      <c r="M39" s="63">
        <v>4.4000000000000004</v>
      </c>
      <c r="N39" s="63">
        <v>0</v>
      </c>
      <c r="O39" s="63">
        <v>0</v>
      </c>
    </row>
    <row r="40" spans="1:15" x14ac:dyDescent="0.25">
      <c r="J40" s="415"/>
      <c r="K40" s="65" t="s">
        <v>452</v>
      </c>
      <c r="L40" s="63">
        <v>0.3</v>
      </c>
      <c r="M40" s="63">
        <v>2.5</v>
      </c>
      <c r="N40" s="63">
        <v>0.3</v>
      </c>
      <c r="O40" s="63">
        <v>0.5</v>
      </c>
    </row>
    <row r="41" spans="1:15" x14ac:dyDescent="0.25">
      <c r="J41" s="415"/>
      <c r="K41" s="65" t="s">
        <v>454</v>
      </c>
      <c r="L41" s="63">
        <v>0.4</v>
      </c>
      <c r="M41" s="63">
        <v>1.3</v>
      </c>
      <c r="N41" s="63">
        <v>0.4</v>
      </c>
      <c r="O41" s="63">
        <v>0.8</v>
      </c>
    </row>
    <row r="42" spans="1:15" x14ac:dyDescent="0.25">
      <c r="J42" s="415"/>
      <c r="K42" s="65" t="s">
        <v>455</v>
      </c>
      <c r="L42" s="63">
        <v>0.4</v>
      </c>
      <c r="M42" s="63">
        <v>1</v>
      </c>
      <c r="N42" s="63">
        <v>0.4</v>
      </c>
      <c r="O42" s="63">
        <v>0.7</v>
      </c>
    </row>
    <row r="43" spans="1:15" x14ac:dyDescent="0.25">
      <c r="J43" s="415"/>
      <c r="K43" s="65" t="s">
        <v>456</v>
      </c>
      <c r="L43" s="63">
        <v>0.4</v>
      </c>
      <c r="M43" s="63">
        <v>1.4</v>
      </c>
      <c r="N43" s="63">
        <v>0.4</v>
      </c>
      <c r="O43" s="63">
        <v>0.5</v>
      </c>
    </row>
    <row r="44" spans="1:15" x14ac:dyDescent="0.25">
      <c r="J44" s="415"/>
      <c r="K44" s="65" t="s">
        <v>458</v>
      </c>
      <c r="L44" s="63">
        <v>0.5</v>
      </c>
      <c r="M44" s="63">
        <v>2.2000000000000002</v>
      </c>
      <c r="N44" s="63">
        <v>0.5</v>
      </c>
      <c r="O44" s="63">
        <v>0.7</v>
      </c>
    </row>
    <row r="45" spans="1:15" x14ac:dyDescent="0.25">
      <c r="J45" s="415"/>
      <c r="K45" s="65" t="s">
        <v>459</v>
      </c>
      <c r="L45" s="63">
        <v>0.6</v>
      </c>
      <c r="M45" s="63">
        <v>1.3</v>
      </c>
      <c r="N45" s="63">
        <v>0.6</v>
      </c>
      <c r="O45" s="63">
        <v>0.7</v>
      </c>
    </row>
    <row r="46" spans="1:15" x14ac:dyDescent="0.25">
      <c r="J46" s="415"/>
      <c r="K46" s="65" t="s">
        <v>460</v>
      </c>
      <c r="L46" s="63">
        <v>0.7</v>
      </c>
      <c r="M46" s="63">
        <v>1.8</v>
      </c>
      <c r="N46" s="63">
        <v>0.7</v>
      </c>
      <c r="O46" s="63">
        <v>1.1000000000000001</v>
      </c>
    </row>
    <row r="47" spans="1:15" x14ac:dyDescent="0.25">
      <c r="J47" s="415"/>
      <c r="K47" s="65" t="s">
        <v>461</v>
      </c>
      <c r="L47" s="63">
        <v>1.7</v>
      </c>
      <c r="M47" s="63">
        <v>4</v>
      </c>
      <c r="N47" s="63">
        <v>1.7</v>
      </c>
      <c r="O47" s="63">
        <v>3</v>
      </c>
    </row>
    <row r="48" spans="1:15" x14ac:dyDescent="0.25">
      <c r="A48" s="426" t="s">
        <v>335</v>
      </c>
      <c r="B48" s="427"/>
      <c r="C48" s="427"/>
      <c r="D48" s="427"/>
      <c r="E48" s="427"/>
      <c r="F48" s="427"/>
      <c r="G48" s="428"/>
      <c r="J48" s="415"/>
      <c r="K48" s="65" t="s">
        <v>462</v>
      </c>
      <c r="L48" s="63">
        <v>2.7</v>
      </c>
      <c r="M48" s="63">
        <v>4.7</v>
      </c>
      <c r="N48" s="63">
        <v>2.7</v>
      </c>
      <c r="O48" s="63">
        <v>3.8</v>
      </c>
    </row>
    <row r="49" spans="1:15" x14ac:dyDescent="0.25">
      <c r="A49" s="418" t="s">
        <v>464</v>
      </c>
      <c r="B49" s="419"/>
      <c r="C49" s="419"/>
      <c r="D49" s="419"/>
      <c r="E49" s="419"/>
      <c r="F49" s="419"/>
      <c r="G49" s="420"/>
      <c r="J49" s="415"/>
      <c r="K49" s="61" t="s">
        <v>463</v>
      </c>
      <c r="L49" s="61">
        <f>AVERAGE(L37:L48)</f>
        <v>1.3666666666666665</v>
      </c>
      <c r="M49" s="61">
        <f>MAX(M37:M48)</f>
        <v>14.2</v>
      </c>
      <c r="N49" s="61">
        <f>AVERAGE(N37:N48)</f>
        <v>1.0583333333333333</v>
      </c>
      <c r="O49" s="61">
        <f>MAX(O37:O48)</f>
        <v>4.3</v>
      </c>
    </row>
    <row r="50" spans="1:15" x14ac:dyDescent="0.25">
      <c r="A50" s="421"/>
      <c r="B50" s="240"/>
      <c r="C50" s="240"/>
      <c r="D50" s="240"/>
      <c r="E50" s="240"/>
      <c r="F50" s="240"/>
      <c r="G50" s="422"/>
    </row>
    <row r="51" spans="1:15" ht="41.4" x14ac:dyDescent="0.25">
      <c r="A51" s="421"/>
      <c r="B51" s="240"/>
      <c r="C51" s="240"/>
      <c r="D51" s="240"/>
      <c r="E51" s="240"/>
      <c r="F51" s="240"/>
      <c r="G51" s="422"/>
      <c r="J51" s="60">
        <f>+A6</f>
        <v>2022</v>
      </c>
      <c r="K51" s="60" t="s">
        <v>445</v>
      </c>
      <c r="L51" s="66" t="s">
        <v>440</v>
      </c>
      <c r="M51" s="66" t="s">
        <v>446</v>
      </c>
      <c r="N51" s="66" t="s">
        <v>443</v>
      </c>
      <c r="O51" s="66" t="s">
        <v>447</v>
      </c>
    </row>
    <row r="52" spans="1:15" x14ac:dyDescent="0.25">
      <c r="A52" s="423"/>
      <c r="B52" s="424"/>
      <c r="C52" s="424"/>
      <c r="D52" s="424"/>
      <c r="E52" s="424"/>
      <c r="F52" s="424"/>
      <c r="G52" s="425"/>
      <c r="J52" s="415" t="s">
        <v>193</v>
      </c>
      <c r="K52" s="65" t="s">
        <v>448</v>
      </c>
      <c r="L52" s="63"/>
      <c r="M52" s="63"/>
      <c r="N52" s="63"/>
      <c r="O52" s="63"/>
    </row>
    <row r="53" spans="1:15" x14ac:dyDescent="0.25">
      <c r="J53" s="415"/>
      <c r="K53" s="65" t="s">
        <v>449</v>
      </c>
      <c r="L53" s="63"/>
      <c r="M53" s="63"/>
      <c r="N53" s="63"/>
      <c r="O53" s="63"/>
    </row>
    <row r="54" spans="1:15" x14ac:dyDescent="0.25">
      <c r="J54" s="415"/>
      <c r="K54" s="65" t="s">
        <v>450</v>
      </c>
      <c r="L54" s="63"/>
      <c r="M54" s="63"/>
      <c r="N54" s="63"/>
      <c r="O54" s="63"/>
    </row>
    <row r="55" spans="1:15" x14ac:dyDescent="0.25">
      <c r="J55" s="415"/>
      <c r="K55" s="65" t="s">
        <v>452</v>
      </c>
      <c r="L55" s="63"/>
      <c r="M55" s="63"/>
      <c r="N55" s="63"/>
      <c r="O55" s="63"/>
    </row>
    <row r="56" spans="1:15" x14ac:dyDescent="0.25">
      <c r="J56" s="415"/>
      <c r="K56" s="65" t="s">
        <v>454</v>
      </c>
      <c r="L56" s="63"/>
      <c r="M56" s="63"/>
      <c r="N56" s="63"/>
      <c r="O56" s="63"/>
    </row>
    <row r="57" spans="1:15" x14ac:dyDescent="0.25">
      <c r="J57" s="415"/>
      <c r="K57" s="65" t="s">
        <v>455</v>
      </c>
      <c r="L57" s="63"/>
      <c r="M57" s="63"/>
      <c r="N57" s="63"/>
      <c r="O57" s="63"/>
    </row>
    <row r="58" spans="1:15" x14ac:dyDescent="0.25">
      <c r="J58" s="415"/>
      <c r="K58" s="65" t="s">
        <v>456</v>
      </c>
      <c r="L58" s="63"/>
      <c r="M58" s="63"/>
      <c r="N58" s="63"/>
      <c r="O58" s="63"/>
    </row>
    <row r="59" spans="1:15" x14ac:dyDescent="0.25">
      <c r="J59" s="415"/>
      <c r="K59" s="65" t="s">
        <v>458</v>
      </c>
      <c r="L59" s="63"/>
      <c r="M59" s="63"/>
      <c r="N59" s="63"/>
      <c r="O59" s="63"/>
    </row>
    <row r="60" spans="1:15" x14ac:dyDescent="0.25">
      <c r="J60" s="415"/>
      <c r="K60" s="65" t="s">
        <v>459</v>
      </c>
      <c r="L60" s="63"/>
      <c r="M60" s="63"/>
      <c r="N60" s="63"/>
      <c r="O60" s="63"/>
    </row>
    <row r="61" spans="1:15" x14ac:dyDescent="0.25">
      <c r="J61" s="415"/>
      <c r="K61" s="65" t="s">
        <v>460</v>
      </c>
      <c r="L61" s="63"/>
      <c r="M61" s="63"/>
      <c r="N61" s="63"/>
      <c r="O61" s="63"/>
    </row>
    <row r="62" spans="1:15" x14ac:dyDescent="0.25">
      <c r="J62" s="415"/>
      <c r="K62" s="65" t="s">
        <v>461</v>
      </c>
      <c r="L62" s="63"/>
      <c r="M62" s="63"/>
      <c r="N62" s="63"/>
      <c r="O62" s="63"/>
    </row>
    <row r="63" spans="1:15" x14ac:dyDescent="0.25">
      <c r="J63" s="415"/>
      <c r="K63" s="65" t="s">
        <v>462</v>
      </c>
      <c r="L63" s="63"/>
      <c r="M63" s="63"/>
      <c r="N63" s="63"/>
      <c r="O63" s="63"/>
    </row>
    <row r="64" spans="1:15" x14ac:dyDescent="0.25">
      <c r="J64" s="415"/>
      <c r="K64" s="61" t="s">
        <v>463</v>
      </c>
      <c r="L64" s="61" t="e">
        <f>AVERAGE(L52:L63)</f>
        <v>#DIV/0!</v>
      </c>
      <c r="M64" s="61">
        <f>MAX(M52:M63)</f>
        <v>0</v>
      </c>
      <c r="N64" s="61" t="e">
        <f>AVERAGE(N52:N63)</f>
        <v>#DIV/0!</v>
      </c>
      <c r="O64" s="61">
        <f>MAX(O52:O63)</f>
        <v>0</v>
      </c>
    </row>
    <row r="66" spans="10:15" ht="41.4" x14ac:dyDescent="0.25">
      <c r="J66" s="60">
        <f>+A6</f>
        <v>2022</v>
      </c>
      <c r="K66" s="60" t="s">
        <v>445</v>
      </c>
      <c r="L66" s="66" t="s">
        <v>440</v>
      </c>
      <c r="M66" s="66" t="s">
        <v>446</v>
      </c>
      <c r="N66" s="66" t="s">
        <v>443</v>
      </c>
      <c r="O66" s="66" t="s">
        <v>447</v>
      </c>
    </row>
    <row r="67" spans="10:15" x14ac:dyDescent="0.25">
      <c r="J67" s="415" t="s">
        <v>194</v>
      </c>
      <c r="K67" s="65" t="s">
        <v>448</v>
      </c>
      <c r="L67" s="63"/>
      <c r="M67" s="63"/>
      <c r="N67" s="63"/>
      <c r="O67" s="63"/>
    </row>
    <row r="68" spans="10:15" x14ac:dyDescent="0.25">
      <c r="J68" s="415"/>
      <c r="K68" s="65" t="s">
        <v>449</v>
      </c>
      <c r="L68" s="63"/>
      <c r="M68" s="63"/>
      <c r="N68" s="63"/>
      <c r="O68" s="63"/>
    </row>
    <row r="69" spans="10:15" x14ac:dyDescent="0.25">
      <c r="J69" s="415"/>
      <c r="K69" s="65" t="s">
        <v>450</v>
      </c>
      <c r="L69" s="63"/>
      <c r="M69" s="63"/>
      <c r="N69" s="63"/>
      <c r="O69" s="63"/>
    </row>
    <row r="70" spans="10:15" x14ac:dyDescent="0.25">
      <c r="J70" s="415"/>
      <c r="K70" s="65" t="s">
        <v>452</v>
      </c>
      <c r="L70" s="63"/>
      <c r="M70" s="63"/>
      <c r="N70" s="63"/>
      <c r="O70" s="63"/>
    </row>
    <row r="71" spans="10:15" x14ac:dyDescent="0.25">
      <c r="J71" s="415"/>
      <c r="K71" s="65" t="s">
        <v>454</v>
      </c>
      <c r="L71" s="63"/>
      <c r="M71" s="63"/>
      <c r="N71" s="63"/>
      <c r="O71" s="63"/>
    </row>
    <row r="72" spans="10:15" x14ac:dyDescent="0.25">
      <c r="J72" s="415"/>
      <c r="K72" s="65" t="s">
        <v>455</v>
      </c>
      <c r="L72" s="63"/>
      <c r="M72" s="63"/>
      <c r="N72" s="63"/>
      <c r="O72" s="63"/>
    </row>
    <row r="73" spans="10:15" x14ac:dyDescent="0.25">
      <c r="J73" s="415"/>
      <c r="K73" s="65" t="s">
        <v>456</v>
      </c>
      <c r="L73" s="63"/>
      <c r="M73" s="63"/>
      <c r="N73" s="63"/>
      <c r="O73" s="63"/>
    </row>
    <row r="74" spans="10:15" x14ac:dyDescent="0.25">
      <c r="J74" s="415"/>
      <c r="K74" s="65" t="s">
        <v>458</v>
      </c>
      <c r="L74" s="63"/>
      <c r="M74" s="63"/>
      <c r="N74" s="63"/>
      <c r="O74" s="63"/>
    </row>
    <row r="75" spans="10:15" x14ac:dyDescent="0.25">
      <c r="J75" s="415"/>
      <c r="K75" s="65" t="s">
        <v>459</v>
      </c>
      <c r="L75" s="63"/>
      <c r="M75" s="63"/>
      <c r="N75" s="63"/>
      <c r="O75" s="63"/>
    </row>
    <row r="76" spans="10:15" x14ac:dyDescent="0.25">
      <c r="J76" s="415"/>
      <c r="K76" s="65" t="s">
        <v>460</v>
      </c>
      <c r="L76" s="63"/>
      <c r="M76" s="63"/>
      <c r="N76" s="63"/>
      <c r="O76" s="63"/>
    </row>
    <row r="77" spans="10:15" x14ac:dyDescent="0.25">
      <c r="J77" s="415"/>
      <c r="K77" s="65" t="s">
        <v>461</v>
      </c>
      <c r="L77" s="63"/>
      <c r="M77" s="63"/>
      <c r="N77" s="63"/>
      <c r="O77" s="63"/>
    </row>
    <row r="78" spans="10:15" x14ac:dyDescent="0.25">
      <c r="J78" s="415"/>
      <c r="K78" s="65" t="s">
        <v>462</v>
      </c>
      <c r="L78" s="63"/>
      <c r="M78" s="63"/>
      <c r="N78" s="63"/>
      <c r="O78" s="63"/>
    </row>
    <row r="79" spans="10:15" x14ac:dyDescent="0.25">
      <c r="J79" s="415"/>
      <c r="K79" s="61" t="s">
        <v>463</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topLeftCell="A19" workbookViewId="0">
      <selection activeCell="D59" sqref="D59"/>
    </sheetView>
  </sheetViews>
  <sheetFormatPr defaultRowHeight="13.8" x14ac:dyDescent="0.25"/>
  <cols>
    <col min="1" max="1" width="14" style="3" customWidth="1"/>
    <col min="2" max="2" width="12.88671875" style="34" customWidth="1"/>
    <col min="3" max="3" width="15.109375" style="34" customWidth="1"/>
    <col min="4" max="4" width="17.88671875" style="34" customWidth="1"/>
    <col min="5" max="5" width="14.88671875" style="34" customWidth="1"/>
    <col min="6" max="6" width="11.5546875" style="34" customWidth="1"/>
    <col min="7" max="7" width="15" style="34" customWidth="1"/>
    <col min="8" max="8" width="14.88671875" style="34" customWidth="1"/>
    <col min="9" max="12" width="9.109375" style="3"/>
    <col min="13" max="13" width="15.44140625" style="3" customWidth="1"/>
    <col min="14" max="14" width="17.88671875" style="3" customWidth="1"/>
    <col min="15" max="15" width="17.44140625" style="3" bestFit="1" customWidth="1"/>
    <col min="16" max="16" width="13.88671875" style="3" customWidth="1"/>
    <col min="17" max="17" width="15" style="3" customWidth="1"/>
    <col min="18" max="20" width="9.109375" style="3"/>
    <col min="21" max="21" width="22.44140625" style="3" customWidth="1"/>
    <col min="22" max="258" width="9.109375" style="3"/>
    <col min="259" max="259" width="14" style="3" customWidth="1"/>
    <col min="260" max="265" width="10.109375" style="3" customWidth="1"/>
    <col min="266" max="514" width="9.109375" style="3"/>
    <col min="515" max="515" width="14" style="3" customWidth="1"/>
    <col min="516" max="521" width="10.109375" style="3" customWidth="1"/>
    <col min="522" max="770" width="9.109375" style="3"/>
    <col min="771" max="771" width="14" style="3" customWidth="1"/>
    <col min="772" max="777" width="10.109375" style="3" customWidth="1"/>
    <col min="778" max="1026" width="9.109375" style="3"/>
    <col min="1027" max="1027" width="14" style="3" customWidth="1"/>
    <col min="1028" max="1033" width="10.109375" style="3" customWidth="1"/>
    <col min="1034" max="1282" width="9.109375" style="3"/>
    <col min="1283" max="1283" width="14" style="3" customWidth="1"/>
    <col min="1284" max="1289" width="10.109375" style="3" customWidth="1"/>
    <col min="1290" max="1538" width="9.109375" style="3"/>
    <col min="1539" max="1539" width="14" style="3" customWidth="1"/>
    <col min="1540" max="1545" width="10.109375" style="3" customWidth="1"/>
    <col min="1546" max="1794" width="9.109375" style="3"/>
    <col min="1795" max="1795" width="14" style="3" customWidth="1"/>
    <col min="1796" max="1801" width="10.109375" style="3" customWidth="1"/>
    <col min="1802" max="2050" width="9.109375" style="3"/>
    <col min="2051" max="2051" width="14" style="3" customWidth="1"/>
    <col min="2052" max="2057" width="10.109375" style="3" customWidth="1"/>
    <col min="2058" max="2306" width="9.109375" style="3"/>
    <col min="2307" max="2307" width="14" style="3" customWidth="1"/>
    <col min="2308" max="2313" width="10.109375" style="3" customWidth="1"/>
    <col min="2314" max="2562" width="9.109375" style="3"/>
    <col min="2563" max="2563" width="14" style="3" customWidth="1"/>
    <col min="2564" max="2569" width="10.109375" style="3" customWidth="1"/>
    <col min="2570" max="2818" width="9.109375" style="3"/>
    <col min="2819" max="2819" width="14" style="3" customWidth="1"/>
    <col min="2820" max="2825" width="10.109375" style="3" customWidth="1"/>
    <col min="2826" max="3074" width="9.109375" style="3"/>
    <col min="3075" max="3075" width="14" style="3" customWidth="1"/>
    <col min="3076" max="3081" width="10.109375" style="3" customWidth="1"/>
    <col min="3082" max="3330" width="9.109375" style="3"/>
    <col min="3331" max="3331" width="14" style="3" customWidth="1"/>
    <col min="3332" max="3337" width="10.109375" style="3" customWidth="1"/>
    <col min="3338" max="3586" width="9.109375" style="3"/>
    <col min="3587" max="3587" width="14" style="3" customWidth="1"/>
    <col min="3588" max="3593" width="10.109375" style="3" customWidth="1"/>
    <col min="3594" max="3842" width="9.109375" style="3"/>
    <col min="3843" max="3843" width="14" style="3" customWidth="1"/>
    <col min="3844" max="3849" width="10.109375" style="3" customWidth="1"/>
    <col min="3850" max="4098" width="9.109375" style="3"/>
    <col min="4099" max="4099" width="14" style="3" customWidth="1"/>
    <col min="4100" max="4105" width="10.109375" style="3" customWidth="1"/>
    <col min="4106" max="4354" width="9.109375" style="3"/>
    <col min="4355" max="4355" width="14" style="3" customWidth="1"/>
    <col min="4356" max="4361" width="10.109375" style="3" customWidth="1"/>
    <col min="4362" max="4610" width="9.109375" style="3"/>
    <col min="4611" max="4611" width="14" style="3" customWidth="1"/>
    <col min="4612" max="4617" width="10.109375" style="3" customWidth="1"/>
    <col min="4618" max="4866" width="9.109375" style="3"/>
    <col min="4867" max="4867" width="14" style="3" customWidth="1"/>
    <col min="4868" max="4873" width="10.109375" style="3" customWidth="1"/>
    <col min="4874" max="5122" width="9.109375" style="3"/>
    <col min="5123" max="5123" width="14" style="3" customWidth="1"/>
    <col min="5124" max="5129" width="10.109375" style="3" customWidth="1"/>
    <col min="5130" max="5378" width="9.109375" style="3"/>
    <col min="5379" max="5379" width="14" style="3" customWidth="1"/>
    <col min="5380" max="5385" width="10.109375" style="3" customWidth="1"/>
    <col min="5386" max="5634" width="9.109375" style="3"/>
    <col min="5635" max="5635" width="14" style="3" customWidth="1"/>
    <col min="5636" max="5641" width="10.109375" style="3" customWidth="1"/>
    <col min="5642" max="5890" width="9.109375" style="3"/>
    <col min="5891" max="5891" width="14" style="3" customWidth="1"/>
    <col min="5892" max="5897" width="10.109375" style="3" customWidth="1"/>
    <col min="5898" max="6146" width="9.109375" style="3"/>
    <col min="6147" max="6147" width="14" style="3" customWidth="1"/>
    <col min="6148" max="6153" width="10.109375" style="3" customWidth="1"/>
    <col min="6154" max="6402" width="9.109375" style="3"/>
    <col min="6403" max="6403" width="14" style="3" customWidth="1"/>
    <col min="6404" max="6409" width="10.109375" style="3" customWidth="1"/>
    <col min="6410" max="6658" width="9.109375" style="3"/>
    <col min="6659" max="6659" width="14" style="3" customWidth="1"/>
    <col min="6660" max="6665" width="10.109375" style="3" customWidth="1"/>
    <col min="6666" max="6914" width="9.109375" style="3"/>
    <col min="6915" max="6915" width="14" style="3" customWidth="1"/>
    <col min="6916" max="6921" width="10.109375" style="3" customWidth="1"/>
    <col min="6922" max="7170" width="9.109375" style="3"/>
    <col min="7171" max="7171" width="14" style="3" customWidth="1"/>
    <col min="7172" max="7177" width="10.109375" style="3" customWidth="1"/>
    <col min="7178" max="7426" width="9.109375" style="3"/>
    <col min="7427" max="7427" width="14" style="3" customWidth="1"/>
    <col min="7428" max="7433" width="10.109375" style="3" customWidth="1"/>
    <col min="7434" max="7682" width="9.109375" style="3"/>
    <col min="7683" max="7683" width="14" style="3" customWidth="1"/>
    <col min="7684" max="7689" width="10.109375" style="3" customWidth="1"/>
    <col min="7690" max="7938" width="9.109375" style="3"/>
    <col min="7939" max="7939" width="14" style="3" customWidth="1"/>
    <col min="7940" max="7945" width="10.109375" style="3" customWidth="1"/>
    <col min="7946" max="8194" width="9.109375" style="3"/>
    <col min="8195" max="8195" width="14" style="3" customWidth="1"/>
    <col min="8196" max="8201" width="10.109375" style="3" customWidth="1"/>
    <col min="8202" max="8450" width="9.109375" style="3"/>
    <col min="8451" max="8451" width="14" style="3" customWidth="1"/>
    <col min="8452" max="8457" width="10.109375" style="3" customWidth="1"/>
    <col min="8458" max="8706" width="9.109375" style="3"/>
    <col min="8707" max="8707" width="14" style="3" customWidth="1"/>
    <col min="8708" max="8713" width="10.109375" style="3" customWidth="1"/>
    <col min="8714" max="8962" width="9.109375" style="3"/>
    <col min="8963" max="8963" width="14" style="3" customWidth="1"/>
    <col min="8964" max="8969" width="10.109375" style="3" customWidth="1"/>
    <col min="8970" max="9218" width="9.109375" style="3"/>
    <col min="9219" max="9219" width="14" style="3" customWidth="1"/>
    <col min="9220" max="9225" width="10.109375" style="3" customWidth="1"/>
    <col min="9226" max="9474" width="9.109375" style="3"/>
    <col min="9475" max="9475" width="14" style="3" customWidth="1"/>
    <col min="9476" max="9481" width="10.109375" style="3" customWidth="1"/>
    <col min="9482" max="9730" width="9.109375" style="3"/>
    <col min="9731" max="9731" width="14" style="3" customWidth="1"/>
    <col min="9732" max="9737" width="10.109375" style="3" customWidth="1"/>
    <col min="9738" max="9986" width="9.109375" style="3"/>
    <col min="9987" max="9987" width="14" style="3" customWidth="1"/>
    <col min="9988" max="9993" width="10.109375" style="3" customWidth="1"/>
    <col min="9994" max="10242" width="9.109375" style="3"/>
    <col min="10243" max="10243" width="14" style="3" customWidth="1"/>
    <col min="10244" max="10249" width="10.109375" style="3" customWidth="1"/>
    <col min="10250" max="10498" width="9.109375" style="3"/>
    <col min="10499" max="10499" width="14" style="3" customWidth="1"/>
    <col min="10500" max="10505" width="10.109375" style="3" customWidth="1"/>
    <col min="10506" max="10754" width="9.109375" style="3"/>
    <col min="10755" max="10755" width="14" style="3" customWidth="1"/>
    <col min="10756" max="10761" width="10.109375" style="3" customWidth="1"/>
    <col min="10762" max="11010" width="9.109375" style="3"/>
    <col min="11011" max="11011" width="14" style="3" customWidth="1"/>
    <col min="11012" max="11017" width="10.109375" style="3" customWidth="1"/>
    <col min="11018" max="11266" width="9.109375" style="3"/>
    <col min="11267" max="11267" width="14" style="3" customWidth="1"/>
    <col min="11268" max="11273" width="10.109375" style="3" customWidth="1"/>
    <col min="11274" max="11522" width="9.109375" style="3"/>
    <col min="11523" max="11523" width="14" style="3" customWidth="1"/>
    <col min="11524" max="11529" width="10.109375" style="3" customWidth="1"/>
    <col min="11530" max="11778" width="9.109375" style="3"/>
    <col min="11779" max="11779" width="14" style="3" customWidth="1"/>
    <col min="11780" max="11785" width="10.109375" style="3" customWidth="1"/>
    <col min="11786" max="12034" width="9.109375" style="3"/>
    <col min="12035" max="12035" width="14" style="3" customWidth="1"/>
    <col min="12036" max="12041" width="10.109375" style="3" customWidth="1"/>
    <col min="12042" max="12290" width="9.109375" style="3"/>
    <col min="12291" max="12291" width="14" style="3" customWidth="1"/>
    <col min="12292" max="12297" width="10.109375" style="3" customWidth="1"/>
    <col min="12298" max="12546" width="9.109375" style="3"/>
    <col min="12547" max="12547" width="14" style="3" customWidth="1"/>
    <col min="12548" max="12553" width="10.109375" style="3" customWidth="1"/>
    <col min="12554" max="12802" width="9.109375" style="3"/>
    <col min="12803" max="12803" width="14" style="3" customWidth="1"/>
    <col min="12804" max="12809" width="10.109375" style="3" customWidth="1"/>
    <col min="12810" max="13058" width="9.109375" style="3"/>
    <col min="13059" max="13059" width="14" style="3" customWidth="1"/>
    <col min="13060" max="13065" width="10.109375" style="3" customWidth="1"/>
    <col min="13066" max="13314" width="9.109375" style="3"/>
    <col min="13315" max="13315" width="14" style="3" customWidth="1"/>
    <col min="13316" max="13321" width="10.109375" style="3" customWidth="1"/>
    <col min="13322" max="13570" width="9.109375" style="3"/>
    <col min="13571" max="13571" width="14" style="3" customWidth="1"/>
    <col min="13572" max="13577" width="10.109375" style="3" customWidth="1"/>
    <col min="13578" max="13826" width="9.109375" style="3"/>
    <col min="13827" max="13827" width="14" style="3" customWidth="1"/>
    <col min="13828" max="13833" width="10.109375" style="3" customWidth="1"/>
    <col min="13834" max="14082" width="9.109375" style="3"/>
    <col min="14083" max="14083" width="14" style="3" customWidth="1"/>
    <col min="14084" max="14089" width="10.109375" style="3" customWidth="1"/>
    <col min="14090" max="14338" width="9.109375" style="3"/>
    <col min="14339" max="14339" width="14" style="3" customWidth="1"/>
    <col min="14340" max="14345" width="10.109375" style="3" customWidth="1"/>
    <col min="14346" max="14594" width="9.109375" style="3"/>
    <col min="14595" max="14595" width="14" style="3" customWidth="1"/>
    <col min="14596" max="14601" width="10.109375" style="3" customWidth="1"/>
    <col min="14602" max="14850" width="9.109375" style="3"/>
    <col min="14851" max="14851" width="14" style="3" customWidth="1"/>
    <col min="14852" max="14857" width="10.109375" style="3" customWidth="1"/>
    <col min="14858" max="15106" width="9.109375" style="3"/>
    <col min="15107" max="15107" width="14" style="3" customWidth="1"/>
    <col min="15108" max="15113" width="10.109375" style="3" customWidth="1"/>
    <col min="15114" max="15362" width="9.109375" style="3"/>
    <col min="15363" max="15363" width="14" style="3" customWidth="1"/>
    <col min="15364" max="15369" width="10.109375" style="3" customWidth="1"/>
    <col min="15370" max="15618" width="9.109375" style="3"/>
    <col min="15619" max="15619" width="14" style="3" customWidth="1"/>
    <col min="15620" max="15625" width="10.109375" style="3" customWidth="1"/>
    <col min="15626" max="15874" width="9.109375" style="3"/>
    <col min="15875" max="15875" width="14" style="3" customWidth="1"/>
    <col min="15876" max="15881" width="10.109375" style="3" customWidth="1"/>
    <col min="15882" max="16130" width="9.109375" style="3"/>
    <col min="16131" max="16131" width="14" style="3" customWidth="1"/>
    <col min="16132" max="16137" width="10.109375" style="3" customWidth="1"/>
    <col min="16138" max="16384" width="9.109375" style="3"/>
  </cols>
  <sheetData>
    <row r="1" spans="1:21" ht="15" x14ac:dyDescent="0.25">
      <c r="A1" s="91" t="str">
        <f>+'Cover Page'!$B$29</f>
        <v>Annual Performance Report 2022</v>
      </c>
      <c r="B1" s="91"/>
      <c r="C1" s="91"/>
      <c r="D1" s="91"/>
      <c r="E1" s="91" t="str">
        <f>+'Cover Page'!$B$33</f>
        <v>Kent Enviropower Limited</v>
      </c>
    </row>
    <row r="3" spans="1:21" ht="14.4" x14ac:dyDescent="0.3">
      <c r="A3" s="59" t="s">
        <v>477</v>
      </c>
      <c r="E3" s="75" t="s">
        <v>432</v>
      </c>
      <c r="H3" s="79" t="s">
        <v>478</v>
      </c>
      <c r="J3" s="9" t="str">
        <f>+A3</f>
        <v>Monitoring of Carbon Monoxide (10-minute avg)</v>
      </c>
      <c r="L3" s="9"/>
      <c r="O3" s="9" t="s">
        <v>434</v>
      </c>
      <c r="Q3" s="76" t="s">
        <v>3</v>
      </c>
      <c r="S3" s="78" t="s">
        <v>3</v>
      </c>
      <c r="T3" s="73"/>
      <c r="U3" s="73"/>
    </row>
    <row r="4" spans="1:21" ht="14.1" customHeight="1" x14ac:dyDescent="0.25">
      <c r="S4" s="382" t="s">
        <v>479</v>
      </c>
      <c r="T4" s="382"/>
      <c r="U4" s="382"/>
    </row>
    <row r="5" spans="1:21" ht="16.2" x14ac:dyDescent="0.25">
      <c r="A5" s="67" t="s">
        <v>436</v>
      </c>
      <c r="B5" s="417" t="s">
        <v>480</v>
      </c>
      <c r="C5" s="417"/>
      <c r="D5" s="417"/>
      <c r="E5" s="417"/>
      <c r="F5" s="417" t="s">
        <v>438</v>
      </c>
      <c r="G5" s="417"/>
      <c r="H5" s="417"/>
      <c r="K5" s="416"/>
      <c r="L5" s="416"/>
      <c r="M5" s="416"/>
      <c r="N5" s="416"/>
      <c r="O5" s="416"/>
      <c r="P5" s="416"/>
      <c r="Q5" s="416"/>
      <c r="S5" s="382"/>
      <c r="T5" s="382"/>
      <c r="U5" s="382"/>
    </row>
    <row r="6" spans="1:21" s="57" customFormat="1" ht="37.5" customHeight="1" x14ac:dyDescent="0.3">
      <c r="A6" s="64">
        <f>+'Cover Page'!C39</f>
        <v>2022</v>
      </c>
      <c r="B6" s="54" t="s">
        <v>481</v>
      </c>
      <c r="C6" s="54" t="s">
        <v>482</v>
      </c>
      <c r="D6" s="54" t="s">
        <v>483</v>
      </c>
      <c r="E6" s="54" t="s">
        <v>484</v>
      </c>
      <c r="F6" s="54" t="s">
        <v>485</v>
      </c>
      <c r="G6" s="54" t="s">
        <v>443</v>
      </c>
      <c r="H6" s="54" t="s">
        <v>444</v>
      </c>
      <c r="I6" s="58"/>
      <c r="K6" s="60">
        <f>+A6</f>
        <v>2022</v>
      </c>
      <c r="L6" s="60" t="s">
        <v>445</v>
      </c>
      <c r="M6" s="54" t="s">
        <v>482</v>
      </c>
      <c r="N6" s="54" t="s">
        <v>483</v>
      </c>
      <c r="O6" s="54" t="s">
        <v>484</v>
      </c>
      <c r="P6" s="66" t="s">
        <v>443</v>
      </c>
      <c r="Q6" s="66" t="s">
        <v>447</v>
      </c>
      <c r="S6" s="382"/>
      <c r="T6" s="382"/>
      <c r="U6" s="382"/>
    </row>
    <row r="7" spans="1:21" x14ac:dyDescent="0.25">
      <c r="A7" s="65" t="s">
        <v>448</v>
      </c>
      <c r="B7" s="68">
        <v>150</v>
      </c>
      <c r="C7" s="63">
        <v>28.5</v>
      </c>
      <c r="D7" s="63">
        <v>4.3</v>
      </c>
      <c r="E7" s="63">
        <v>846</v>
      </c>
      <c r="F7" s="68">
        <v>50</v>
      </c>
      <c r="G7" s="63">
        <v>4.0999999999999996</v>
      </c>
      <c r="H7" s="63">
        <v>13.7</v>
      </c>
      <c r="K7" s="415" t="s">
        <v>190</v>
      </c>
      <c r="L7" s="65" t="s">
        <v>448</v>
      </c>
      <c r="M7" s="63">
        <v>10.8</v>
      </c>
      <c r="N7" s="63">
        <v>3.5</v>
      </c>
      <c r="O7" s="63">
        <v>794.1</v>
      </c>
      <c r="P7" s="63">
        <v>3.4</v>
      </c>
      <c r="Q7" s="63">
        <v>10.5</v>
      </c>
      <c r="S7" s="382"/>
      <c r="T7" s="382"/>
      <c r="U7" s="382"/>
    </row>
    <row r="8" spans="1:21" x14ac:dyDescent="0.25">
      <c r="A8" s="65" t="s">
        <v>449</v>
      </c>
      <c r="B8" s="62">
        <f>+B7</f>
        <v>150</v>
      </c>
      <c r="C8" s="63">
        <v>15.7</v>
      </c>
      <c r="D8" s="63">
        <v>3.66</v>
      </c>
      <c r="E8" s="63">
        <v>1235.8</v>
      </c>
      <c r="F8" s="62">
        <f>+F7</f>
        <v>50</v>
      </c>
      <c r="G8" s="63">
        <v>3.3</v>
      </c>
      <c r="H8" s="63">
        <v>12.2</v>
      </c>
      <c r="K8" s="415"/>
      <c r="L8" s="65" t="s">
        <v>449</v>
      </c>
      <c r="M8" s="63">
        <v>15.7</v>
      </c>
      <c r="N8" s="63">
        <v>5.4</v>
      </c>
      <c r="O8" s="63">
        <v>1235.8</v>
      </c>
      <c r="P8" s="63">
        <v>4.3</v>
      </c>
      <c r="Q8" s="63">
        <v>12.2</v>
      </c>
      <c r="S8" s="382"/>
      <c r="T8" s="382"/>
      <c r="U8" s="382"/>
    </row>
    <row r="9" spans="1:21" x14ac:dyDescent="0.25">
      <c r="A9" s="65" t="s">
        <v>450</v>
      </c>
      <c r="B9" s="62">
        <f t="shared" ref="B9:B18" si="0">+B8</f>
        <v>150</v>
      </c>
      <c r="C9" s="63">
        <v>14.8</v>
      </c>
      <c r="D9" s="63">
        <v>1.96</v>
      </c>
      <c r="E9" s="63">
        <v>406</v>
      </c>
      <c r="F9" s="62">
        <f t="shared" ref="F9:F18" si="1">+F8</f>
        <v>50</v>
      </c>
      <c r="G9" s="63">
        <v>0.9</v>
      </c>
      <c r="H9" s="63">
        <v>7.3</v>
      </c>
      <c r="K9" s="415"/>
      <c r="L9" s="65" t="s">
        <v>450</v>
      </c>
      <c r="M9" s="63">
        <v>4.5</v>
      </c>
      <c r="N9" s="63">
        <v>2.1</v>
      </c>
      <c r="O9" s="63">
        <v>406</v>
      </c>
      <c r="P9" s="63">
        <v>1.7</v>
      </c>
      <c r="Q9" s="63">
        <v>7.3</v>
      </c>
      <c r="S9" s="77" t="s">
        <v>486</v>
      </c>
    </row>
    <row r="10" spans="1:21" x14ac:dyDescent="0.25">
      <c r="A10" s="65" t="s">
        <v>452</v>
      </c>
      <c r="B10" s="62">
        <f t="shared" si="0"/>
        <v>150</v>
      </c>
      <c r="C10" s="63">
        <v>26.4</v>
      </c>
      <c r="D10" s="63">
        <v>4.0599999999999996</v>
      </c>
      <c r="E10" s="63">
        <v>1089.9000000000001</v>
      </c>
      <c r="F10" s="62">
        <f t="shared" si="1"/>
        <v>50</v>
      </c>
      <c r="G10" s="63">
        <v>4.03</v>
      </c>
      <c r="H10" s="63">
        <v>24.1</v>
      </c>
      <c r="K10" s="415"/>
      <c r="L10" s="65" t="s">
        <v>452</v>
      </c>
      <c r="M10" s="63">
        <v>20</v>
      </c>
      <c r="N10" s="63">
        <v>5.2</v>
      </c>
      <c r="O10" s="63">
        <v>1089.9000000000001</v>
      </c>
      <c r="P10" s="63">
        <v>5.2</v>
      </c>
      <c r="Q10" s="63">
        <v>24.1</v>
      </c>
      <c r="S10" s="414" t="s">
        <v>487</v>
      </c>
      <c r="T10" s="414"/>
      <c r="U10" s="414"/>
    </row>
    <row r="11" spans="1:21" x14ac:dyDescent="0.25">
      <c r="A11" s="65" t="s">
        <v>454</v>
      </c>
      <c r="B11" s="62">
        <f t="shared" si="0"/>
        <v>150</v>
      </c>
      <c r="C11" s="63">
        <v>25.2</v>
      </c>
      <c r="D11" s="63">
        <v>4.5</v>
      </c>
      <c r="E11" s="63">
        <v>10394.4</v>
      </c>
      <c r="F11" s="62">
        <f t="shared" si="1"/>
        <v>50</v>
      </c>
      <c r="G11" s="63">
        <v>3.66</v>
      </c>
      <c r="H11" s="63">
        <v>34.9</v>
      </c>
      <c r="K11" s="415"/>
      <c r="L11" s="65" t="s">
        <v>454</v>
      </c>
      <c r="M11" s="63">
        <v>8.6</v>
      </c>
      <c r="N11" s="63">
        <v>6.6</v>
      </c>
      <c r="O11" s="63">
        <v>10394.4</v>
      </c>
      <c r="P11" s="63">
        <v>4.3</v>
      </c>
      <c r="Q11" s="63">
        <v>34.9</v>
      </c>
      <c r="S11" s="414"/>
      <c r="T11" s="414"/>
      <c r="U11" s="414"/>
    </row>
    <row r="12" spans="1:21" x14ac:dyDescent="0.25">
      <c r="A12" s="65" t="s">
        <v>455</v>
      </c>
      <c r="B12" s="62">
        <f t="shared" si="0"/>
        <v>150</v>
      </c>
      <c r="C12" s="63">
        <v>41.6</v>
      </c>
      <c r="D12" s="63">
        <v>5.4</v>
      </c>
      <c r="E12" s="63">
        <v>3605.8</v>
      </c>
      <c r="F12" s="62">
        <f t="shared" si="1"/>
        <v>50</v>
      </c>
      <c r="G12" s="63">
        <v>5.4</v>
      </c>
      <c r="H12" s="63">
        <v>28.4</v>
      </c>
      <c r="K12" s="415"/>
      <c r="L12" s="65" t="s">
        <v>455</v>
      </c>
      <c r="M12" s="63">
        <v>41.6</v>
      </c>
      <c r="N12" s="63">
        <v>8.4</v>
      </c>
      <c r="O12" s="63">
        <v>3605.8</v>
      </c>
      <c r="P12" s="63">
        <v>8.4</v>
      </c>
      <c r="Q12" s="63">
        <v>28.4</v>
      </c>
      <c r="S12" s="414"/>
      <c r="T12" s="414"/>
      <c r="U12" s="414"/>
    </row>
    <row r="13" spans="1:21" x14ac:dyDescent="0.25">
      <c r="A13" s="65" t="s">
        <v>456</v>
      </c>
      <c r="B13" s="62">
        <f t="shared" si="0"/>
        <v>150</v>
      </c>
      <c r="C13" s="63">
        <v>31.6</v>
      </c>
      <c r="D13" s="63">
        <v>5.8</v>
      </c>
      <c r="E13" s="63">
        <v>4239.7</v>
      </c>
      <c r="F13" s="62">
        <f t="shared" si="1"/>
        <v>50</v>
      </c>
      <c r="G13" s="63">
        <v>5.86</v>
      </c>
      <c r="H13" s="63">
        <v>35.799999999999997</v>
      </c>
      <c r="K13" s="415"/>
      <c r="L13" s="65" t="s">
        <v>456</v>
      </c>
      <c r="M13" s="63">
        <v>31.6</v>
      </c>
      <c r="N13" s="63">
        <v>8.4</v>
      </c>
      <c r="O13" s="63">
        <v>4239.7</v>
      </c>
      <c r="P13" s="63">
        <v>8.8000000000000007</v>
      </c>
      <c r="Q13" s="63">
        <v>35.799999999999997</v>
      </c>
      <c r="S13" s="414" t="s">
        <v>488</v>
      </c>
      <c r="T13" s="414"/>
      <c r="U13" s="414"/>
    </row>
    <row r="14" spans="1:21" x14ac:dyDescent="0.25">
      <c r="A14" s="65" t="s">
        <v>458</v>
      </c>
      <c r="B14" s="62">
        <f t="shared" si="0"/>
        <v>150</v>
      </c>
      <c r="C14" s="63">
        <v>44.5</v>
      </c>
      <c r="D14" s="63">
        <v>5.76</v>
      </c>
      <c r="E14" s="63">
        <v>859.1</v>
      </c>
      <c r="F14" s="62">
        <f t="shared" si="1"/>
        <v>50</v>
      </c>
      <c r="G14" s="63">
        <v>5.53</v>
      </c>
      <c r="H14" s="63">
        <v>18</v>
      </c>
      <c r="K14" s="415"/>
      <c r="L14" s="65" t="s">
        <v>458</v>
      </c>
      <c r="M14" s="63">
        <v>26.8</v>
      </c>
      <c r="N14" s="63">
        <v>6.1</v>
      </c>
      <c r="O14" s="63">
        <v>859.1</v>
      </c>
      <c r="P14" s="63">
        <v>5.6</v>
      </c>
      <c r="Q14" s="63">
        <v>17.600000000000001</v>
      </c>
      <c r="S14" s="414"/>
      <c r="T14" s="414"/>
      <c r="U14" s="414"/>
    </row>
    <row r="15" spans="1:21" x14ac:dyDescent="0.25">
      <c r="A15" s="65" t="s">
        <v>459</v>
      </c>
      <c r="B15" s="62">
        <f t="shared" si="0"/>
        <v>150</v>
      </c>
      <c r="C15" s="63">
        <v>28.6</v>
      </c>
      <c r="D15" s="63">
        <v>5.33</v>
      </c>
      <c r="E15" s="63">
        <v>2764.4</v>
      </c>
      <c r="F15" s="62">
        <f t="shared" si="1"/>
        <v>50</v>
      </c>
      <c r="G15" s="63">
        <v>5.26</v>
      </c>
      <c r="H15" s="63">
        <v>23.7</v>
      </c>
      <c r="K15" s="415"/>
      <c r="L15" s="65" t="s">
        <v>459</v>
      </c>
      <c r="M15" s="63">
        <v>9</v>
      </c>
      <c r="N15" s="63">
        <v>6.2</v>
      </c>
      <c r="O15" s="63">
        <v>2764.4</v>
      </c>
      <c r="P15" s="63">
        <v>6.1</v>
      </c>
      <c r="Q15" s="63">
        <v>23.7</v>
      </c>
      <c r="S15" s="414"/>
      <c r="T15" s="414"/>
      <c r="U15" s="414"/>
    </row>
    <row r="16" spans="1:21" x14ac:dyDescent="0.25">
      <c r="A16" s="65" t="s">
        <v>460</v>
      </c>
      <c r="B16" s="62">
        <f t="shared" si="0"/>
        <v>150</v>
      </c>
      <c r="C16" s="63">
        <v>38.299999999999997</v>
      </c>
      <c r="D16" s="63">
        <v>10.26</v>
      </c>
      <c r="E16" s="63">
        <v>24734.1</v>
      </c>
      <c r="F16" s="62">
        <f t="shared" si="1"/>
        <v>50</v>
      </c>
      <c r="G16" s="63">
        <v>5.8</v>
      </c>
      <c r="H16" s="63">
        <v>31.2</v>
      </c>
      <c r="K16" s="415"/>
      <c r="L16" s="65" t="s">
        <v>460</v>
      </c>
      <c r="M16" s="63">
        <v>5.6</v>
      </c>
      <c r="N16" s="63">
        <v>17.8</v>
      </c>
      <c r="O16" s="63">
        <v>24734.1</v>
      </c>
      <c r="P16" s="63">
        <v>4.3</v>
      </c>
      <c r="Q16" s="63">
        <v>31.2</v>
      </c>
      <c r="S16" s="414"/>
      <c r="T16" s="414"/>
      <c r="U16" s="414"/>
    </row>
    <row r="17" spans="1:17" x14ac:dyDescent="0.25">
      <c r="A17" s="65" t="s">
        <v>461</v>
      </c>
      <c r="B17" s="62">
        <f t="shared" si="0"/>
        <v>150</v>
      </c>
      <c r="C17" s="63">
        <v>46.3</v>
      </c>
      <c r="D17" s="63">
        <v>6.1</v>
      </c>
      <c r="E17" s="63">
        <v>1214.4000000000001</v>
      </c>
      <c r="F17" s="62">
        <f t="shared" si="1"/>
        <v>50</v>
      </c>
      <c r="G17" s="63">
        <v>6.03</v>
      </c>
      <c r="H17" s="63">
        <v>19.7</v>
      </c>
      <c r="K17" s="415"/>
      <c r="L17" s="65" t="s">
        <v>461</v>
      </c>
      <c r="M17" s="63">
        <v>5.4</v>
      </c>
      <c r="N17" s="63">
        <v>3.3</v>
      </c>
      <c r="O17" s="63">
        <v>1160</v>
      </c>
      <c r="P17" s="63">
        <v>3.3</v>
      </c>
      <c r="Q17" s="63">
        <v>10.199999999999999</v>
      </c>
    </row>
    <row r="18" spans="1:17" x14ac:dyDescent="0.25">
      <c r="A18" s="65" t="s">
        <v>462</v>
      </c>
      <c r="B18" s="62">
        <f t="shared" si="0"/>
        <v>150</v>
      </c>
      <c r="C18" s="63">
        <v>29.1</v>
      </c>
      <c r="D18" s="63">
        <v>4.13</v>
      </c>
      <c r="E18" s="63">
        <v>1594.9</v>
      </c>
      <c r="F18" s="62">
        <f t="shared" si="1"/>
        <v>50</v>
      </c>
      <c r="G18" s="63">
        <v>3.93</v>
      </c>
      <c r="H18" s="63">
        <v>22.8</v>
      </c>
      <c r="K18" s="415"/>
      <c r="L18" s="65" t="s">
        <v>462</v>
      </c>
      <c r="M18" s="63">
        <v>2.2000000000000002</v>
      </c>
      <c r="N18" s="63">
        <v>2.5</v>
      </c>
      <c r="O18" s="63">
        <v>1594.9</v>
      </c>
      <c r="P18" s="63">
        <v>2.5</v>
      </c>
      <c r="Q18" s="63">
        <v>22.8</v>
      </c>
    </row>
    <row r="19" spans="1:17" x14ac:dyDescent="0.25">
      <c r="K19" s="415"/>
      <c r="L19" s="61" t="s">
        <v>463</v>
      </c>
      <c r="M19" s="61">
        <f>AVERAGE(M7:M18)</f>
        <v>15.15</v>
      </c>
      <c r="N19" s="61"/>
      <c r="O19" s="61">
        <f>MAX(O7:O18)</f>
        <v>24734.1</v>
      </c>
      <c r="P19" s="61">
        <f>AVERAGE(P7:P18)</f>
        <v>4.8249999999999993</v>
      </c>
      <c r="Q19" s="61">
        <f>MAX(Q7:Q18)</f>
        <v>35.799999999999997</v>
      </c>
    </row>
    <row r="21" spans="1:17" ht="27.6" x14ac:dyDescent="0.25">
      <c r="K21" s="60">
        <f>+A6</f>
        <v>2022</v>
      </c>
      <c r="L21" s="60" t="s">
        <v>445</v>
      </c>
      <c r="M21" s="54" t="s">
        <v>482</v>
      </c>
      <c r="N21" s="54" t="s">
        <v>483</v>
      </c>
      <c r="O21" s="54" t="s">
        <v>484</v>
      </c>
      <c r="P21" s="66" t="s">
        <v>443</v>
      </c>
      <c r="Q21" s="66" t="s">
        <v>447</v>
      </c>
    </row>
    <row r="22" spans="1:17" x14ac:dyDescent="0.25">
      <c r="K22" s="415" t="s">
        <v>191</v>
      </c>
      <c r="L22" s="65" t="s">
        <v>448</v>
      </c>
      <c r="M22" s="63">
        <v>4.5</v>
      </c>
      <c r="N22" s="63">
        <v>2.8</v>
      </c>
      <c r="O22" s="63">
        <v>787.7</v>
      </c>
      <c r="P22" s="63">
        <v>2.8</v>
      </c>
      <c r="Q22" s="63">
        <v>12.1</v>
      </c>
    </row>
    <row r="23" spans="1:17" x14ac:dyDescent="0.25">
      <c r="K23" s="415"/>
      <c r="L23" s="65" t="s">
        <v>449</v>
      </c>
      <c r="M23" s="63">
        <v>5.3</v>
      </c>
      <c r="N23" s="63">
        <v>2.6</v>
      </c>
      <c r="O23" s="63">
        <v>567.5</v>
      </c>
      <c r="P23" s="63">
        <v>2.7</v>
      </c>
      <c r="Q23" s="63">
        <v>8.1999999999999993</v>
      </c>
    </row>
    <row r="24" spans="1:17" x14ac:dyDescent="0.25">
      <c r="K24" s="415"/>
      <c r="L24" s="65" t="s">
        <v>450</v>
      </c>
      <c r="M24" s="63">
        <v>1.8</v>
      </c>
      <c r="N24" s="63">
        <v>1</v>
      </c>
      <c r="O24" s="63">
        <v>137.69999999999999</v>
      </c>
      <c r="P24" s="63">
        <v>1</v>
      </c>
      <c r="Q24" s="63">
        <v>3</v>
      </c>
    </row>
    <row r="25" spans="1:17" x14ac:dyDescent="0.25">
      <c r="K25" s="415"/>
      <c r="L25" s="65" t="s">
        <v>452</v>
      </c>
      <c r="M25" s="63">
        <v>3.6</v>
      </c>
      <c r="N25" s="63">
        <v>1.6</v>
      </c>
      <c r="O25" s="63">
        <v>257.10000000000002</v>
      </c>
      <c r="P25" s="63">
        <v>1.6</v>
      </c>
      <c r="Q25" s="63">
        <v>3.8</v>
      </c>
    </row>
    <row r="26" spans="1:17" x14ac:dyDescent="0.25">
      <c r="K26" s="415"/>
      <c r="L26" s="65" t="s">
        <v>454</v>
      </c>
      <c r="M26" s="63">
        <v>0.8</v>
      </c>
      <c r="N26" s="63">
        <v>1.3</v>
      </c>
      <c r="O26" s="63">
        <v>330.6</v>
      </c>
      <c r="P26" s="63">
        <v>1.1000000000000001</v>
      </c>
      <c r="Q26" s="63">
        <v>4.4000000000000004</v>
      </c>
    </row>
    <row r="27" spans="1:17" x14ac:dyDescent="0.25">
      <c r="K27" s="415"/>
      <c r="L27" s="65" t="s">
        <v>455</v>
      </c>
      <c r="M27" s="63">
        <v>4.4000000000000004</v>
      </c>
      <c r="N27" s="63">
        <v>2.2999999999999998</v>
      </c>
      <c r="O27" s="63">
        <v>575.9</v>
      </c>
      <c r="P27" s="63">
        <v>2.2999999999999998</v>
      </c>
      <c r="Q27" s="63">
        <v>11.6</v>
      </c>
    </row>
    <row r="28" spans="1:17" x14ac:dyDescent="0.25">
      <c r="K28" s="415"/>
      <c r="L28" s="65" t="s">
        <v>456</v>
      </c>
      <c r="M28" s="63">
        <v>5.9</v>
      </c>
      <c r="N28" s="63">
        <v>3.5</v>
      </c>
      <c r="O28" s="63">
        <v>1556.4</v>
      </c>
      <c r="P28" s="63">
        <v>3.3</v>
      </c>
      <c r="Q28" s="63">
        <v>21.8</v>
      </c>
    </row>
    <row r="29" spans="1:17" x14ac:dyDescent="0.25">
      <c r="K29" s="415"/>
      <c r="L29" s="65" t="s">
        <v>458</v>
      </c>
      <c r="M29" s="63">
        <v>3.9</v>
      </c>
      <c r="N29" s="63">
        <v>2.5</v>
      </c>
      <c r="O29" s="63">
        <v>466.6</v>
      </c>
      <c r="P29" s="63">
        <v>2.4</v>
      </c>
      <c r="Q29" s="63">
        <v>14.7</v>
      </c>
    </row>
    <row r="30" spans="1:17" x14ac:dyDescent="0.25">
      <c r="K30" s="415"/>
      <c r="L30" s="65" t="s">
        <v>459</v>
      </c>
      <c r="M30" s="63">
        <v>6.7</v>
      </c>
      <c r="N30" s="63">
        <v>3.6</v>
      </c>
      <c r="O30" s="63">
        <v>1540.3</v>
      </c>
      <c r="P30" s="63">
        <v>3.6</v>
      </c>
      <c r="Q30" s="63">
        <v>18.100000000000001</v>
      </c>
    </row>
    <row r="31" spans="1:17" x14ac:dyDescent="0.25">
      <c r="K31" s="415"/>
      <c r="L31" s="65" t="s">
        <v>460</v>
      </c>
      <c r="M31" s="63">
        <v>26.4</v>
      </c>
      <c r="N31" s="63">
        <v>5.9</v>
      </c>
      <c r="O31" s="63">
        <v>930.1</v>
      </c>
      <c r="P31" s="63">
        <v>6</v>
      </c>
      <c r="Q31" s="63">
        <v>16.399999999999999</v>
      </c>
    </row>
    <row r="32" spans="1:17" x14ac:dyDescent="0.25">
      <c r="K32" s="415"/>
      <c r="L32" s="65" t="s">
        <v>461</v>
      </c>
      <c r="M32" s="63">
        <v>33</v>
      </c>
      <c r="N32" s="63">
        <v>6.9</v>
      </c>
      <c r="O32" s="63">
        <v>1214.4000000000001</v>
      </c>
      <c r="P32" s="63">
        <v>7</v>
      </c>
      <c r="Q32" s="63">
        <v>19.7</v>
      </c>
    </row>
    <row r="33" spans="1:17" x14ac:dyDescent="0.25">
      <c r="K33" s="415"/>
      <c r="L33" s="65" t="s">
        <v>462</v>
      </c>
      <c r="M33" s="63">
        <v>15.6</v>
      </c>
      <c r="N33" s="63">
        <v>4.5</v>
      </c>
      <c r="O33" s="63">
        <v>516.20000000000005</v>
      </c>
      <c r="P33" s="63">
        <v>4.2</v>
      </c>
      <c r="Q33" s="63">
        <v>10</v>
      </c>
    </row>
    <row r="34" spans="1:17" x14ac:dyDescent="0.25">
      <c r="K34" s="415"/>
      <c r="L34" s="61" t="s">
        <v>463</v>
      </c>
      <c r="M34" s="61">
        <f>AVERAGE(M22:M33)</f>
        <v>9.3249999999999993</v>
      </c>
      <c r="N34" s="61"/>
      <c r="O34" s="61">
        <f>MAX(O22:O33)</f>
        <v>1556.4</v>
      </c>
      <c r="P34" s="61">
        <f>AVERAGE(P22:P33)</f>
        <v>3.1666666666666665</v>
      </c>
      <c r="Q34" s="61">
        <f>MAX(Q22:Q33)</f>
        <v>21.8</v>
      </c>
    </row>
    <row r="36" spans="1:17" ht="27.6" x14ac:dyDescent="0.25">
      <c r="K36" s="60">
        <f>+A6</f>
        <v>2022</v>
      </c>
      <c r="L36" s="60" t="s">
        <v>445</v>
      </c>
      <c r="M36" s="54" t="s">
        <v>482</v>
      </c>
      <c r="N36" s="54" t="s">
        <v>483</v>
      </c>
      <c r="O36" s="54" t="s">
        <v>484</v>
      </c>
      <c r="P36" s="66" t="s">
        <v>443</v>
      </c>
      <c r="Q36" s="66" t="s">
        <v>447</v>
      </c>
    </row>
    <row r="37" spans="1:17" x14ac:dyDescent="0.25">
      <c r="K37" s="415" t="s">
        <v>192</v>
      </c>
      <c r="L37" s="65" t="s">
        <v>448</v>
      </c>
      <c r="M37" s="63">
        <v>28.5</v>
      </c>
      <c r="N37" s="63">
        <v>6.6</v>
      </c>
      <c r="O37" s="63">
        <v>846</v>
      </c>
      <c r="P37" s="63">
        <v>6.1</v>
      </c>
      <c r="Q37" s="63">
        <v>13.7</v>
      </c>
    </row>
    <row r="38" spans="1:17" x14ac:dyDescent="0.25">
      <c r="K38" s="415"/>
      <c r="L38" s="65" t="s">
        <v>449</v>
      </c>
      <c r="M38" s="63">
        <v>9.6999999999999993</v>
      </c>
      <c r="N38" s="63">
        <v>3</v>
      </c>
      <c r="O38" s="63">
        <v>458.4</v>
      </c>
      <c r="P38" s="63">
        <v>2.9</v>
      </c>
      <c r="Q38" s="63">
        <v>10.199999999999999</v>
      </c>
    </row>
    <row r="39" spans="1:17" x14ac:dyDescent="0.25">
      <c r="K39" s="415"/>
      <c r="L39" s="65" t="s">
        <v>450</v>
      </c>
      <c r="M39" s="63">
        <v>14.8</v>
      </c>
      <c r="N39" s="63">
        <v>2.8</v>
      </c>
      <c r="O39" s="63">
        <v>163.9</v>
      </c>
      <c r="P39" s="63">
        <v>0</v>
      </c>
      <c r="Q39" s="63">
        <v>0</v>
      </c>
    </row>
    <row r="40" spans="1:17" x14ac:dyDescent="0.25">
      <c r="K40" s="415"/>
      <c r="L40" s="65" t="s">
        <v>452</v>
      </c>
      <c r="M40" s="63">
        <v>26.4</v>
      </c>
      <c r="N40" s="63">
        <v>5.4</v>
      </c>
      <c r="O40" s="63">
        <v>583.29999999999995</v>
      </c>
      <c r="P40" s="63">
        <v>5.3</v>
      </c>
      <c r="Q40" s="63">
        <v>18.2</v>
      </c>
    </row>
    <row r="41" spans="1:17" x14ac:dyDescent="0.25">
      <c r="K41" s="415"/>
      <c r="L41" s="65" t="s">
        <v>454</v>
      </c>
      <c r="M41" s="63">
        <v>25.2</v>
      </c>
      <c r="N41" s="63">
        <v>5.6</v>
      </c>
      <c r="O41" s="63">
        <v>883.5</v>
      </c>
      <c r="P41" s="63">
        <v>5.6</v>
      </c>
      <c r="Q41" s="63">
        <v>14.8</v>
      </c>
    </row>
    <row r="42" spans="1:17" x14ac:dyDescent="0.25">
      <c r="K42" s="415"/>
      <c r="L42" s="65" t="s">
        <v>455</v>
      </c>
      <c r="M42" s="63">
        <v>28.7</v>
      </c>
      <c r="N42" s="63">
        <v>5.5</v>
      </c>
      <c r="O42" s="63">
        <v>515.20000000000005</v>
      </c>
      <c r="P42" s="63">
        <v>5.5</v>
      </c>
      <c r="Q42" s="63">
        <v>13</v>
      </c>
    </row>
    <row r="43" spans="1:17" x14ac:dyDescent="0.25">
      <c r="K43" s="415"/>
      <c r="L43" s="65" t="s">
        <v>456</v>
      </c>
      <c r="M43" s="63">
        <v>27</v>
      </c>
      <c r="N43" s="63">
        <v>5.5</v>
      </c>
      <c r="O43" s="63">
        <v>691.9</v>
      </c>
      <c r="P43" s="63">
        <v>5.5</v>
      </c>
      <c r="Q43" s="63">
        <v>13</v>
      </c>
    </row>
    <row r="44" spans="1:17" x14ac:dyDescent="0.25">
      <c r="K44" s="415"/>
      <c r="L44" s="65" t="s">
        <v>458</v>
      </c>
      <c r="M44" s="63">
        <v>44.5</v>
      </c>
      <c r="N44" s="63">
        <v>8.6999999999999993</v>
      </c>
      <c r="O44" s="63">
        <v>545.29999999999995</v>
      </c>
      <c r="P44" s="63">
        <v>8.6</v>
      </c>
      <c r="Q44" s="63">
        <v>18</v>
      </c>
    </row>
    <row r="45" spans="1:17" x14ac:dyDescent="0.25">
      <c r="K45" s="415"/>
      <c r="L45" s="65" t="s">
        <v>459</v>
      </c>
      <c r="M45" s="63">
        <v>28.6</v>
      </c>
      <c r="N45" s="63">
        <v>6.2</v>
      </c>
      <c r="O45" s="63">
        <v>522.70000000000005</v>
      </c>
      <c r="P45" s="63">
        <v>6.1</v>
      </c>
      <c r="Q45" s="63">
        <v>14</v>
      </c>
    </row>
    <row r="46" spans="1:17" x14ac:dyDescent="0.25">
      <c r="K46" s="415"/>
      <c r="L46" s="65" t="s">
        <v>460</v>
      </c>
      <c r="M46" s="63">
        <v>38.299999999999997</v>
      </c>
      <c r="N46" s="63">
        <v>7.1</v>
      </c>
      <c r="O46" s="63">
        <v>639</v>
      </c>
      <c r="P46" s="63">
        <v>7.1</v>
      </c>
      <c r="Q46" s="63">
        <v>13.6</v>
      </c>
    </row>
    <row r="47" spans="1:17" x14ac:dyDescent="0.25">
      <c r="K47" s="415"/>
      <c r="L47" s="65" t="s">
        <v>461</v>
      </c>
      <c r="M47" s="63">
        <v>46.3</v>
      </c>
      <c r="N47" s="63">
        <v>8.1</v>
      </c>
      <c r="O47" s="63">
        <v>560</v>
      </c>
      <c r="P47" s="63">
        <v>7.8</v>
      </c>
      <c r="Q47" s="63">
        <v>13.2</v>
      </c>
    </row>
    <row r="48" spans="1:17" x14ac:dyDescent="0.25">
      <c r="A48" s="426" t="s">
        <v>335</v>
      </c>
      <c r="B48" s="427"/>
      <c r="C48" s="427"/>
      <c r="D48" s="427"/>
      <c r="E48" s="427"/>
      <c r="F48" s="427"/>
      <c r="G48" s="427"/>
      <c r="H48" s="428"/>
      <c r="K48" s="415"/>
      <c r="L48" s="65" t="s">
        <v>462</v>
      </c>
      <c r="M48" s="63">
        <v>29.1</v>
      </c>
      <c r="N48" s="63">
        <v>5.4</v>
      </c>
      <c r="O48" s="63">
        <v>609.9</v>
      </c>
      <c r="P48" s="63">
        <v>5.0999999999999996</v>
      </c>
      <c r="Q48" s="63">
        <v>18.100000000000001</v>
      </c>
    </row>
    <row r="49" spans="1:17" x14ac:dyDescent="0.25">
      <c r="A49" s="429" t="s">
        <v>489</v>
      </c>
      <c r="B49" s="430"/>
      <c r="C49" s="430"/>
      <c r="D49" s="430"/>
      <c r="E49" s="430"/>
      <c r="F49" s="430"/>
      <c r="G49" s="430"/>
      <c r="H49" s="431"/>
      <c r="K49" s="415"/>
      <c r="L49" s="61" t="s">
        <v>463</v>
      </c>
      <c r="M49" s="61">
        <f>AVERAGE(M37:M48)</f>
        <v>28.925000000000001</v>
      </c>
      <c r="N49" s="61"/>
      <c r="O49" s="61">
        <f>MAX(O37:O48)</f>
        <v>883.5</v>
      </c>
      <c r="P49" s="61">
        <f>AVERAGE(P37:P48)</f>
        <v>5.4666666666666659</v>
      </c>
      <c r="Q49" s="61">
        <f>MAX(Q37:Q48)</f>
        <v>18.2</v>
      </c>
    </row>
    <row r="50" spans="1:17" x14ac:dyDescent="0.25">
      <c r="A50" s="432"/>
      <c r="B50" s="433"/>
      <c r="C50" s="433"/>
      <c r="D50" s="433"/>
      <c r="E50" s="433"/>
      <c r="F50" s="433"/>
      <c r="G50" s="433"/>
      <c r="H50" s="434"/>
    </row>
    <row r="51" spans="1:17" ht="27.6" x14ac:dyDescent="0.25">
      <c r="A51" s="432"/>
      <c r="B51" s="433"/>
      <c r="C51" s="433"/>
      <c r="D51" s="433"/>
      <c r="E51" s="433"/>
      <c r="F51" s="433"/>
      <c r="G51" s="433"/>
      <c r="H51" s="434"/>
      <c r="K51" s="60">
        <f>+A6</f>
        <v>2022</v>
      </c>
      <c r="L51" s="60" t="s">
        <v>445</v>
      </c>
      <c r="M51" s="54" t="s">
        <v>482</v>
      </c>
      <c r="N51" s="54" t="s">
        <v>483</v>
      </c>
      <c r="O51" s="54" t="s">
        <v>484</v>
      </c>
      <c r="P51" s="66" t="s">
        <v>443</v>
      </c>
      <c r="Q51" s="66" t="s">
        <v>447</v>
      </c>
    </row>
    <row r="52" spans="1:17" x14ac:dyDescent="0.25">
      <c r="A52" s="435"/>
      <c r="B52" s="436"/>
      <c r="C52" s="436"/>
      <c r="D52" s="436"/>
      <c r="E52" s="436"/>
      <c r="F52" s="436"/>
      <c r="G52" s="436"/>
      <c r="H52" s="437"/>
      <c r="K52" s="415" t="s">
        <v>193</v>
      </c>
      <c r="L52" s="65" t="s">
        <v>448</v>
      </c>
      <c r="M52" s="63"/>
      <c r="N52" s="63"/>
      <c r="O52" s="63"/>
      <c r="P52" s="63"/>
      <c r="Q52" s="63"/>
    </row>
    <row r="53" spans="1:17" x14ac:dyDescent="0.25">
      <c r="K53" s="415"/>
      <c r="L53" s="65" t="s">
        <v>449</v>
      </c>
      <c r="M53" s="63"/>
      <c r="N53" s="63"/>
      <c r="O53" s="63"/>
      <c r="P53" s="63"/>
      <c r="Q53" s="63"/>
    </row>
    <row r="54" spans="1:17" x14ac:dyDescent="0.25">
      <c r="K54" s="415"/>
      <c r="L54" s="65" t="s">
        <v>450</v>
      </c>
      <c r="M54" s="63"/>
      <c r="N54" s="63"/>
      <c r="O54" s="63"/>
      <c r="P54" s="63"/>
      <c r="Q54" s="63"/>
    </row>
    <row r="55" spans="1:17" x14ac:dyDescent="0.25">
      <c r="K55" s="415"/>
      <c r="L55" s="65" t="s">
        <v>452</v>
      </c>
      <c r="M55" s="63"/>
      <c r="N55" s="63"/>
      <c r="O55" s="63"/>
      <c r="P55" s="63"/>
      <c r="Q55" s="63"/>
    </row>
    <row r="56" spans="1:17" x14ac:dyDescent="0.25">
      <c r="K56" s="415"/>
      <c r="L56" s="65" t="s">
        <v>454</v>
      </c>
      <c r="M56" s="63"/>
      <c r="N56" s="63"/>
      <c r="O56" s="63"/>
      <c r="P56" s="63"/>
      <c r="Q56" s="63"/>
    </row>
    <row r="57" spans="1:17" x14ac:dyDescent="0.25">
      <c r="K57" s="415"/>
      <c r="L57" s="65" t="s">
        <v>455</v>
      </c>
      <c r="M57" s="63"/>
      <c r="N57" s="63"/>
      <c r="O57" s="63"/>
      <c r="P57" s="63"/>
      <c r="Q57" s="63"/>
    </row>
    <row r="58" spans="1:17" x14ac:dyDescent="0.25">
      <c r="K58" s="415"/>
      <c r="L58" s="65" t="s">
        <v>456</v>
      </c>
      <c r="M58" s="63"/>
      <c r="N58" s="63"/>
      <c r="O58" s="63"/>
      <c r="P58" s="63"/>
      <c r="Q58" s="63"/>
    </row>
    <row r="59" spans="1:17" x14ac:dyDescent="0.25">
      <c r="K59" s="415"/>
      <c r="L59" s="65" t="s">
        <v>458</v>
      </c>
      <c r="M59" s="63"/>
      <c r="N59" s="63"/>
      <c r="O59" s="63"/>
      <c r="P59" s="63"/>
      <c r="Q59" s="63"/>
    </row>
    <row r="60" spans="1:17" x14ac:dyDescent="0.25">
      <c r="K60" s="415"/>
      <c r="L60" s="65" t="s">
        <v>459</v>
      </c>
      <c r="M60" s="63"/>
      <c r="N60" s="63"/>
      <c r="O60" s="63"/>
      <c r="P60" s="63"/>
      <c r="Q60" s="63"/>
    </row>
    <row r="61" spans="1:17" x14ac:dyDescent="0.25">
      <c r="K61" s="415"/>
      <c r="L61" s="65" t="s">
        <v>460</v>
      </c>
      <c r="M61" s="63"/>
      <c r="N61" s="63"/>
      <c r="O61" s="63"/>
      <c r="P61" s="63"/>
      <c r="Q61" s="63"/>
    </row>
    <row r="62" spans="1:17" x14ac:dyDescent="0.25">
      <c r="K62" s="415"/>
      <c r="L62" s="65" t="s">
        <v>461</v>
      </c>
      <c r="M62" s="63"/>
      <c r="N62" s="63"/>
      <c r="O62" s="63"/>
      <c r="P62" s="63"/>
      <c r="Q62" s="63"/>
    </row>
    <row r="63" spans="1:17" x14ac:dyDescent="0.25">
      <c r="K63" s="415"/>
      <c r="L63" s="65" t="s">
        <v>462</v>
      </c>
      <c r="M63" s="63"/>
      <c r="N63" s="63"/>
      <c r="O63" s="63"/>
      <c r="P63" s="63"/>
      <c r="Q63" s="63"/>
    </row>
    <row r="64" spans="1:17" x14ac:dyDescent="0.25">
      <c r="K64" s="415"/>
      <c r="L64" s="61" t="s">
        <v>463</v>
      </c>
      <c r="M64" s="61" t="e">
        <f>AVERAGE(M52:M63)</f>
        <v>#DIV/0!</v>
      </c>
      <c r="N64" s="61"/>
      <c r="O64" s="61">
        <f>MAX(O52:O63)</f>
        <v>0</v>
      </c>
      <c r="P64" s="61" t="e">
        <f>AVERAGE(P52:P63)</f>
        <v>#DIV/0!</v>
      </c>
      <c r="Q64" s="61">
        <f>MAX(Q52:Q63)</f>
        <v>0</v>
      </c>
    </row>
    <row r="66" spans="11:17" ht="27.6" x14ac:dyDescent="0.25">
      <c r="K66" s="60">
        <f>+A6</f>
        <v>2022</v>
      </c>
      <c r="L66" s="60" t="s">
        <v>445</v>
      </c>
      <c r="M66" s="54" t="s">
        <v>482</v>
      </c>
      <c r="N66" s="54" t="s">
        <v>483</v>
      </c>
      <c r="O66" s="54" t="s">
        <v>484</v>
      </c>
      <c r="P66" s="66" t="s">
        <v>443</v>
      </c>
      <c r="Q66" s="66" t="s">
        <v>447</v>
      </c>
    </row>
    <row r="67" spans="11:17" x14ac:dyDescent="0.25">
      <c r="K67" s="415" t="s">
        <v>194</v>
      </c>
      <c r="L67" s="65" t="s">
        <v>448</v>
      </c>
      <c r="M67" s="63"/>
      <c r="N67" s="63"/>
      <c r="O67" s="63"/>
      <c r="P67" s="63"/>
      <c r="Q67" s="63"/>
    </row>
    <row r="68" spans="11:17" x14ac:dyDescent="0.25">
      <c r="K68" s="415"/>
      <c r="L68" s="65" t="s">
        <v>449</v>
      </c>
      <c r="M68" s="63"/>
      <c r="N68" s="63"/>
      <c r="O68" s="63"/>
      <c r="P68" s="63"/>
      <c r="Q68" s="63"/>
    </row>
    <row r="69" spans="11:17" x14ac:dyDescent="0.25">
      <c r="K69" s="415"/>
      <c r="L69" s="65" t="s">
        <v>450</v>
      </c>
      <c r="M69" s="63"/>
      <c r="N69" s="63"/>
      <c r="O69" s="63"/>
      <c r="P69" s="63"/>
      <c r="Q69" s="63"/>
    </row>
    <row r="70" spans="11:17" x14ac:dyDescent="0.25">
      <c r="K70" s="415"/>
      <c r="L70" s="65" t="s">
        <v>452</v>
      </c>
      <c r="M70" s="63"/>
      <c r="N70" s="63"/>
      <c r="O70" s="63"/>
      <c r="P70" s="63"/>
      <c r="Q70" s="63"/>
    </row>
    <row r="71" spans="11:17" x14ac:dyDescent="0.25">
      <c r="K71" s="415"/>
      <c r="L71" s="65" t="s">
        <v>454</v>
      </c>
      <c r="M71" s="63"/>
      <c r="N71" s="63"/>
      <c r="O71" s="63"/>
      <c r="P71" s="63"/>
      <c r="Q71" s="63"/>
    </row>
    <row r="72" spans="11:17" x14ac:dyDescent="0.25">
      <c r="K72" s="415"/>
      <c r="L72" s="65" t="s">
        <v>455</v>
      </c>
      <c r="M72" s="63"/>
      <c r="N72" s="63"/>
      <c r="O72" s="63"/>
      <c r="P72" s="63"/>
      <c r="Q72" s="63"/>
    </row>
    <row r="73" spans="11:17" x14ac:dyDescent="0.25">
      <c r="K73" s="415"/>
      <c r="L73" s="65" t="s">
        <v>456</v>
      </c>
      <c r="M73" s="63"/>
      <c r="N73" s="63"/>
      <c r="O73" s="63"/>
      <c r="P73" s="63"/>
      <c r="Q73" s="63"/>
    </row>
    <row r="74" spans="11:17" x14ac:dyDescent="0.25">
      <c r="K74" s="415"/>
      <c r="L74" s="65" t="s">
        <v>458</v>
      </c>
      <c r="M74" s="63"/>
      <c r="N74" s="63"/>
      <c r="O74" s="63"/>
      <c r="P74" s="63"/>
      <c r="Q74" s="63"/>
    </row>
    <row r="75" spans="11:17" x14ac:dyDescent="0.25">
      <c r="K75" s="415"/>
      <c r="L75" s="65" t="s">
        <v>459</v>
      </c>
      <c r="M75" s="63"/>
      <c r="N75" s="63"/>
      <c r="O75" s="63"/>
      <c r="P75" s="63"/>
      <c r="Q75" s="63"/>
    </row>
    <row r="76" spans="11:17" x14ac:dyDescent="0.25">
      <c r="K76" s="415"/>
      <c r="L76" s="65" t="s">
        <v>460</v>
      </c>
      <c r="M76" s="63"/>
      <c r="N76" s="63"/>
      <c r="O76" s="63"/>
      <c r="P76" s="63"/>
      <c r="Q76" s="63"/>
    </row>
    <row r="77" spans="11:17" x14ac:dyDescent="0.25">
      <c r="K77" s="415"/>
      <c r="L77" s="65" t="s">
        <v>461</v>
      </c>
      <c r="M77" s="63"/>
      <c r="N77" s="63"/>
      <c r="O77" s="63"/>
      <c r="P77" s="63"/>
      <c r="Q77" s="63"/>
    </row>
    <row r="78" spans="11:17" x14ac:dyDescent="0.25">
      <c r="K78" s="415"/>
      <c r="L78" s="65" t="s">
        <v>462</v>
      </c>
      <c r="M78" s="63"/>
      <c r="N78" s="63"/>
      <c r="O78" s="63"/>
      <c r="P78" s="63"/>
      <c r="Q78" s="63"/>
    </row>
    <row r="79" spans="11:17" x14ac:dyDescent="0.25">
      <c r="K79" s="415"/>
      <c r="L79" s="61" t="s">
        <v>463</v>
      </c>
      <c r="M79" s="61" t="e">
        <f>AVERAGE(M67:M78)</f>
        <v>#DIV/0!</v>
      </c>
      <c r="N79" s="61"/>
      <c r="O79" s="61">
        <f>MAX(O67:O78)</f>
        <v>0</v>
      </c>
      <c r="P79" s="61" t="e">
        <f>AVERAGE(P67:P78)</f>
        <v>#DIV/0!</v>
      </c>
      <c r="Q79" s="61">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topLeftCell="A25" workbookViewId="0">
      <selection activeCell="D59" sqref="D59"/>
    </sheetView>
  </sheetViews>
  <sheetFormatPr defaultRowHeight="13.8" x14ac:dyDescent="0.25"/>
  <cols>
    <col min="1" max="1" width="14" style="3" customWidth="1"/>
    <col min="2" max="4" width="17" style="34" customWidth="1"/>
    <col min="5" max="5" width="14.88671875" style="34" customWidth="1"/>
    <col min="6" max="7" width="17" style="34" customWidth="1"/>
    <col min="8" max="11" width="9.109375" style="3"/>
    <col min="12" max="12" width="15.44140625" style="3" customWidth="1"/>
    <col min="13" max="13" width="17.44140625" style="3" bestFit="1" customWidth="1"/>
    <col min="14" max="14" width="13.88671875" style="3" customWidth="1"/>
    <col min="15" max="15" width="15" style="3" customWidth="1"/>
    <col min="16" max="18" width="9.109375" style="3"/>
    <col min="19" max="19" width="22" style="3" customWidth="1"/>
    <col min="20" max="256" width="9.109375" style="3"/>
    <col min="257" max="257" width="14" style="3" customWidth="1"/>
    <col min="258" max="263" width="10.109375" style="3" customWidth="1"/>
    <col min="264" max="512" width="9.109375" style="3"/>
    <col min="513" max="513" width="14" style="3" customWidth="1"/>
    <col min="514" max="519" width="10.109375" style="3" customWidth="1"/>
    <col min="520" max="768" width="9.109375" style="3"/>
    <col min="769" max="769" width="14" style="3" customWidth="1"/>
    <col min="770" max="775" width="10.109375" style="3" customWidth="1"/>
    <col min="776" max="1024" width="9.109375" style="3"/>
    <col min="1025" max="1025" width="14" style="3" customWidth="1"/>
    <col min="1026" max="1031" width="10.109375" style="3" customWidth="1"/>
    <col min="1032" max="1280" width="9.109375" style="3"/>
    <col min="1281" max="1281" width="14" style="3" customWidth="1"/>
    <col min="1282" max="1287" width="10.109375" style="3" customWidth="1"/>
    <col min="1288" max="1536" width="9.109375" style="3"/>
    <col min="1537" max="1537" width="14" style="3" customWidth="1"/>
    <col min="1538" max="1543" width="10.109375" style="3" customWidth="1"/>
    <col min="1544" max="1792" width="9.109375" style="3"/>
    <col min="1793" max="1793" width="14" style="3" customWidth="1"/>
    <col min="1794" max="1799" width="10.109375" style="3" customWidth="1"/>
    <col min="1800" max="2048" width="9.109375" style="3"/>
    <col min="2049" max="2049" width="14" style="3" customWidth="1"/>
    <col min="2050" max="2055" width="10.109375" style="3" customWidth="1"/>
    <col min="2056" max="2304" width="9.109375" style="3"/>
    <col min="2305" max="2305" width="14" style="3" customWidth="1"/>
    <col min="2306" max="2311" width="10.109375" style="3" customWidth="1"/>
    <col min="2312" max="2560" width="9.109375" style="3"/>
    <col min="2561" max="2561" width="14" style="3" customWidth="1"/>
    <col min="2562" max="2567" width="10.109375" style="3" customWidth="1"/>
    <col min="2568" max="2816" width="9.109375" style="3"/>
    <col min="2817" max="2817" width="14" style="3" customWidth="1"/>
    <col min="2818" max="2823" width="10.109375" style="3" customWidth="1"/>
    <col min="2824" max="3072" width="9.109375" style="3"/>
    <col min="3073" max="3073" width="14" style="3" customWidth="1"/>
    <col min="3074" max="3079" width="10.109375" style="3" customWidth="1"/>
    <col min="3080" max="3328" width="9.109375" style="3"/>
    <col min="3329" max="3329" width="14" style="3" customWidth="1"/>
    <col min="3330" max="3335" width="10.109375" style="3" customWidth="1"/>
    <col min="3336" max="3584" width="9.109375" style="3"/>
    <col min="3585" max="3585" width="14" style="3" customWidth="1"/>
    <col min="3586" max="3591" width="10.109375" style="3" customWidth="1"/>
    <col min="3592" max="3840" width="9.109375" style="3"/>
    <col min="3841" max="3841" width="14" style="3" customWidth="1"/>
    <col min="3842" max="3847" width="10.109375" style="3" customWidth="1"/>
    <col min="3848" max="4096" width="9.109375" style="3"/>
    <col min="4097" max="4097" width="14" style="3" customWidth="1"/>
    <col min="4098" max="4103" width="10.109375" style="3" customWidth="1"/>
    <col min="4104" max="4352" width="9.109375" style="3"/>
    <col min="4353" max="4353" width="14" style="3" customWidth="1"/>
    <col min="4354" max="4359" width="10.109375" style="3" customWidth="1"/>
    <col min="4360" max="4608" width="9.109375" style="3"/>
    <col min="4609" max="4609" width="14" style="3" customWidth="1"/>
    <col min="4610" max="4615" width="10.109375" style="3" customWidth="1"/>
    <col min="4616" max="4864" width="9.109375" style="3"/>
    <col min="4865" max="4865" width="14" style="3" customWidth="1"/>
    <col min="4866" max="4871" width="10.109375" style="3" customWidth="1"/>
    <col min="4872" max="5120" width="9.109375" style="3"/>
    <col min="5121" max="5121" width="14" style="3" customWidth="1"/>
    <col min="5122" max="5127" width="10.109375" style="3" customWidth="1"/>
    <col min="5128" max="5376" width="9.109375" style="3"/>
    <col min="5377" max="5377" width="14" style="3" customWidth="1"/>
    <col min="5378" max="5383" width="10.109375" style="3" customWidth="1"/>
    <col min="5384" max="5632" width="9.109375" style="3"/>
    <col min="5633" max="5633" width="14" style="3" customWidth="1"/>
    <col min="5634" max="5639" width="10.109375" style="3" customWidth="1"/>
    <col min="5640" max="5888" width="9.109375" style="3"/>
    <col min="5889" max="5889" width="14" style="3" customWidth="1"/>
    <col min="5890" max="5895" width="10.109375" style="3" customWidth="1"/>
    <col min="5896" max="6144" width="9.109375" style="3"/>
    <col min="6145" max="6145" width="14" style="3" customWidth="1"/>
    <col min="6146" max="6151" width="10.109375" style="3" customWidth="1"/>
    <col min="6152" max="6400" width="9.109375" style="3"/>
    <col min="6401" max="6401" width="14" style="3" customWidth="1"/>
    <col min="6402" max="6407" width="10.109375" style="3" customWidth="1"/>
    <col min="6408" max="6656" width="9.109375" style="3"/>
    <col min="6657" max="6657" width="14" style="3" customWidth="1"/>
    <col min="6658" max="6663" width="10.109375" style="3" customWidth="1"/>
    <col min="6664" max="6912" width="9.109375" style="3"/>
    <col min="6913" max="6913" width="14" style="3" customWidth="1"/>
    <col min="6914" max="6919" width="10.109375" style="3" customWidth="1"/>
    <col min="6920" max="7168" width="9.109375" style="3"/>
    <col min="7169" max="7169" width="14" style="3" customWidth="1"/>
    <col min="7170" max="7175" width="10.109375" style="3" customWidth="1"/>
    <col min="7176" max="7424" width="9.109375" style="3"/>
    <col min="7425" max="7425" width="14" style="3" customWidth="1"/>
    <col min="7426" max="7431" width="10.109375" style="3" customWidth="1"/>
    <col min="7432" max="7680" width="9.109375" style="3"/>
    <col min="7681" max="7681" width="14" style="3" customWidth="1"/>
    <col min="7682" max="7687" width="10.109375" style="3" customWidth="1"/>
    <col min="7688" max="7936" width="9.109375" style="3"/>
    <col min="7937" max="7937" width="14" style="3" customWidth="1"/>
    <col min="7938" max="7943" width="10.109375" style="3" customWidth="1"/>
    <col min="7944" max="8192" width="9.109375" style="3"/>
    <col min="8193" max="8193" width="14" style="3" customWidth="1"/>
    <col min="8194" max="8199" width="10.109375" style="3" customWidth="1"/>
    <col min="8200" max="8448" width="9.109375" style="3"/>
    <col min="8449" max="8449" width="14" style="3" customWidth="1"/>
    <col min="8450" max="8455" width="10.109375" style="3" customWidth="1"/>
    <col min="8456" max="8704" width="9.109375" style="3"/>
    <col min="8705" max="8705" width="14" style="3" customWidth="1"/>
    <col min="8706" max="8711" width="10.109375" style="3" customWidth="1"/>
    <col min="8712" max="8960" width="9.109375" style="3"/>
    <col min="8961" max="8961" width="14" style="3" customWidth="1"/>
    <col min="8962" max="8967" width="10.109375" style="3" customWidth="1"/>
    <col min="8968" max="9216" width="9.109375" style="3"/>
    <col min="9217" max="9217" width="14" style="3" customWidth="1"/>
    <col min="9218" max="9223" width="10.109375" style="3" customWidth="1"/>
    <col min="9224" max="9472" width="9.109375" style="3"/>
    <col min="9473" max="9473" width="14" style="3" customWidth="1"/>
    <col min="9474" max="9479" width="10.109375" style="3" customWidth="1"/>
    <col min="9480" max="9728" width="9.109375" style="3"/>
    <col min="9729" max="9729" width="14" style="3" customWidth="1"/>
    <col min="9730" max="9735" width="10.109375" style="3" customWidth="1"/>
    <col min="9736" max="9984" width="9.109375" style="3"/>
    <col min="9985" max="9985" width="14" style="3" customWidth="1"/>
    <col min="9986" max="9991" width="10.109375" style="3" customWidth="1"/>
    <col min="9992" max="10240" width="9.109375" style="3"/>
    <col min="10241" max="10241" width="14" style="3" customWidth="1"/>
    <col min="10242" max="10247" width="10.109375" style="3" customWidth="1"/>
    <col min="10248" max="10496" width="9.109375" style="3"/>
    <col min="10497" max="10497" width="14" style="3" customWidth="1"/>
    <col min="10498" max="10503" width="10.109375" style="3" customWidth="1"/>
    <col min="10504" max="10752" width="9.109375" style="3"/>
    <col min="10753" max="10753" width="14" style="3" customWidth="1"/>
    <col min="10754" max="10759" width="10.109375" style="3" customWidth="1"/>
    <col min="10760" max="11008" width="9.109375" style="3"/>
    <col min="11009" max="11009" width="14" style="3" customWidth="1"/>
    <col min="11010" max="11015" width="10.109375" style="3" customWidth="1"/>
    <col min="11016" max="11264" width="9.109375" style="3"/>
    <col min="11265" max="11265" width="14" style="3" customWidth="1"/>
    <col min="11266" max="11271" width="10.109375" style="3" customWidth="1"/>
    <col min="11272" max="11520" width="9.109375" style="3"/>
    <col min="11521" max="11521" width="14" style="3" customWidth="1"/>
    <col min="11522" max="11527" width="10.109375" style="3" customWidth="1"/>
    <col min="11528" max="11776" width="9.109375" style="3"/>
    <col min="11777" max="11777" width="14" style="3" customWidth="1"/>
    <col min="11778" max="11783" width="10.109375" style="3" customWidth="1"/>
    <col min="11784" max="12032" width="9.109375" style="3"/>
    <col min="12033" max="12033" width="14" style="3" customWidth="1"/>
    <col min="12034" max="12039" width="10.109375" style="3" customWidth="1"/>
    <col min="12040" max="12288" width="9.109375" style="3"/>
    <col min="12289" max="12289" width="14" style="3" customWidth="1"/>
    <col min="12290" max="12295" width="10.109375" style="3" customWidth="1"/>
    <col min="12296" max="12544" width="9.109375" style="3"/>
    <col min="12545" max="12545" width="14" style="3" customWidth="1"/>
    <col min="12546" max="12551" width="10.109375" style="3" customWidth="1"/>
    <col min="12552" max="12800" width="9.109375" style="3"/>
    <col min="12801" max="12801" width="14" style="3" customWidth="1"/>
    <col min="12802" max="12807" width="10.109375" style="3" customWidth="1"/>
    <col min="12808" max="13056" width="9.109375" style="3"/>
    <col min="13057" max="13057" width="14" style="3" customWidth="1"/>
    <col min="13058" max="13063" width="10.109375" style="3" customWidth="1"/>
    <col min="13064" max="13312" width="9.109375" style="3"/>
    <col min="13313" max="13313" width="14" style="3" customWidth="1"/>
    <col min="13314" max="13319" width="10.109375" style="3" customWidth="1"/>
    <col min="13320" max="13568" width="9.109375" style="3"/>
    <col min="13569" max="13569" width="14" style="3" customWidth="1"/>
    <col min="13570" max="13575" width="10.109375" style="3" customWidth="1"/>
    <col min="13576" max="13824" width="9.109375" style="3"/>
    <col min="13825" max="13825" width="14" style="3" customWidth="1"/>
    <col min="13826" max="13831" width="10.109375" style="3" customWidth="1"/>
    <col min="13832" max="14080" width="9.109375" style="3"/>
    <col min="14081" max="14081" width="14" style="3" customWidth="1"/>
    <col min="14082" max="14087" width="10.109375" style="3" customWidth="1"/>
    <col min="14088" max="14336" width="9.109375" style="3"/>
    <col min="14337" max="14337" width="14" style="3" customWidth="1"/>
    <col min="14338" max="14343" width="10.109375" style="3" customWidth="1"/>
    <col min="14344" max="14592" width="9.109375" style="3"/>
    <col min="14593" max="14593" width="14" style="3" customWidth="1"/>
    <col min="14594" max="14599" width="10.109375" style="3" customWidth="1"/>
    <col min="14600" max="14848" width="9.109375" style="3"/>
    <col min="14849" max="14849" width="14" style="3" customWidth="1"/>
    <col min="14850" max="14855" width="10.109375" style="3" customWidth="1"/>
    <col min="14856" max="15104" width="9.109375" style="3"/>
    <col min="15105" max="15105" width="14" style="3" customWidth="1"/>
    <col min="15106" max="15111" width="10.109375" style="3" customWidth="1"/>
    <col min="15112" max="15360" width="9.109375" style="3"/>
    <col min="15361" max="15361" width="14" style="3" customWidth="1"/>
    <col min="15362" max="15367" width="10.109375" style="3" customWidth="1"/>
    <col min="15368" max="15616" width="9.109375" style="3"/>
    <col min="15617" max="15617" width="14" style="3" customWidth="1"/>
    <col min="15618" max="15623" width="10.109375" style="3" customWidth="1"/>
    <col min="15624" max="15872" width="9.109375" style="3"/>
    <col min="15873" max="15873" width="14" style="3" customWidth="1"/>
    <col min="15874" max="15879" width="10.109375" style="3" customWidth="1"/>
    <col min="15880" max="16128" width="9.109375" style="3"/>
    <col min="16129" max="16129" width="14" style="3" customWidth="1"/>
    <col min="16130" max="16135" width="10.109375" style="3" customWidth="1"/>
    <col min="16136" max="16384" width="9.109375" style="3"/>
  </cols>
  <sheetData>
    <row r="1" spans="1:19" ht="15" x14ac:dyDescent="0.25">
      <c r="A1" s="91" t="str">
        <f>+'Cover Page'!$B$29</f>
        <v>Annual Performance Report 2022</v>
      </c>
      <c r="B1" s="91"/>
      <c r="C1" s="91"/>
      <c r="D1" s="91"/>
      <c r="E1" s="91" t="str">
        <f>+'Cover Page'!$B$33</f>
        <v>Kent Enviropower Limited</v>
      </c>
    </row>
    <row r="3" spans="1:19" ht="14.4" x14ac:dyDescent="0.3">
      <c r="A3" s="59" t="s">
        <v>490</v>
      </c>
      <c r="D3" s="75" t="s">
        <v>432</v>
      </c>
      <c r="G3" s="79" t="s">
        <v>433</v>
      </c>
      <c r="J3" s="9" t="str">
        <f>+A3</f>
        <v xml:space="preserve">Monitoring of Ammnonia emissions </v>
      </c>
      <c r="L3" s="9"/>
      <c r="N3" s="9" t="s">
        <v>434</v>
      </c>
      <c r="Q3" s="78" t="s">
        <v>3</v>
      </c>
      <c r="R3" s="73"/>
      <c r="S3" s="73"/>
    </row>
    <row r="4" spans="1:19" ht="14.1" customHeight="1" x14ac:dyDescent="0.25">
      <c r="Q4" s="382" t="s">
        <v>435</v>
      </c>
      <c r="R4" s="382"/>
      <c r="S4" s="382"/>
    </row>
    <row r="5" spans="1:19" ht="16.2" x14ac:dyDescent="0.25">
      <c r="A5" s="67" t="s">
        <v>436</v>
      </c>
      <c r="B5" s="417" t="s">
        <v>437</v>
      </c>
      <c r="C5" s="417"/>
      <c r="D5" s="417"/>
      <c r="E5" s="417" t="s">
        <v>438</v>
      </c>
      <c r="F5" s="417"/>
      <c r="G5" s="417"/>
      <c r="J5" s="416"/>
      <c r="K5" s="416"/>
      <c r="L5" s="416"/>
      <c r="M5" s="416"/>
      <c r="N5" s="416"/>
      <c r="O5" s="416"/>
      <c r="Q5" s="382"/>
      <c r="R5" s="382"/>
      <c r="S5" s="382"/>
    </row>
    <row r="6" spans="1:19" s="57" customFormat="1" ht="37.5" customHeight="1" x14ac:dyDescent="0.3">
      <c r="A6" s="64">
        <f>+'Cover Page'!C39</f>
        <v>2022</v>
      </c>
      <c r="B6" s="54" t="s">
        <v>491</v>
      </c>
      <c r="C6" s="54" t="s">
        <v>440</v>
      </c>
      <c r="D6" s="54" t="s">
        <v>441</v>
      </c>
      <c r="E6" s="54" t="s">
        <v>492</v>
      </c>
      <c r="F6" s="54" t="s">
        <v>443</v>
      </c>
      <c r="G6" s="54" t="s">
        <v>444</v>
      </c>
      <c r="H6" s="58"/>
      <c r="J6" s="60">
        <f>+A6</f>
        <v>2022</v>
      </c>
      <c r="K6" s="60" t="s">
        <v>445</v>
      </c>
      <c r="L6" s="66" t="s">
        <v>440</v>
      </c>
      <c r="M6" s="66" t="s">
        <v>446</v>
      </c>
      <c r="N6" s="66" t="s">
        <v>443</v>
      </c>
      <c r="O6" s="66" t="s">
        <v>447</v>
      </c>
      <c r="Q6" s="382"/>
      <c r="R6" s="382"/>
      <c r="S6" s="382"/>
    </row>
    <row r="7" spans="1:19" x14ac:dyDescent="0.25">
      <c r="A7" s="65" t="s">
        <v>448</v>
      </c>
      <c r="B7" s="68" t="s">
        <v>264</v>
      </c>
      <c r="C7" s="63">
        <v>0.13</v>
      </c>
      <c r="D7" s="63">
        <v>8.3000000000000007</v>
      </c>
      <c r="E7" s="68">
        <v>10</v>
      </c>
      <c r="F7" s="63">
        <v>0.13</v>
      </c>
      <c r="G7" s="63">
        <v>2</v>
      </c>
      <c r="J7" s="415" t="s">
        <v>190</v>
      </c>
      <c r="K7" s="65" t="s">
        <v>448</v>
      </c>
      <c r="L7" s="63">
        <v>0.1</v>
      </c>
      <c r="M7" s="63">
        <v>3.6</v>
      </c>
      <c r="N7" s="63">
        <v>0.1</v>
      </c>
      <c r="O7" s="63">
        <v>2</v>
      </c>
      <c r="Q7" s="382"/>
      <c r="R7" s="382"/>
      <c r="S7" s="382"/>
    </row>
    <row r="8" spans="1:19" x14ac:dyDescent="0.25">
      <c r="A8" s="65" t="s">
        <v>449</v>
      </c>
      <c r="B8" s="62" t="str">
        <f>+B7</f>
        <v>N/A</v>
      </c>
      <c r="C8" s="63">
        <v>0.13</v>
      </c>
      <c r="D8" s="63">
        <v>3.8</v>
      </c>
      <c r="E8" s="62">
        <f>+E7</f>
        <v>10</v>
      </c>
      <c r="F8" s="63">
        <v>0.13</v>
      </c>
      <c r="G8" s="63">
        <v>0.4</v>
      </c>
      <c r="J8" s="415"/>
      <c r="K8" s="65" t="s">
        <v>449</v>
      </c>
      <c r="L8" s="63">
        <v>0.1</v>
      </c>
      <c r="M8" s="63">
        <v>2.9</v>
      </c>
      <c r="N8" s="63">
        <v>0.1</v>
      </c>
      <c r="O8" s="63">
        <v>0.2</v>
      </c>
      <c r="Q8" s="382"/>
      <c r="R8" s="382"/>
      <c r="S8" s="382"/>
    </row>
    <row r="9" spans="1:19" x14ac:dyDescent="0.25">
      <c r="A9" s="65" t="s">
        <v>450</v>
      </c>
      <c r="B9" s="62" t="str">
        <f t="shared" ref="B9:B18" si="0">+B8</f>
        <v>N/A</v>
      </c>
      <c r="C9" s="63">
        <v>0.13</v>
      </c>
      <c r="D9" s="63">
        <v>2.5</v>
      </c>
      <c r="E9" s="62">
        <f t="shared" ref="E9:E18" si="1">+E8</f>
        <v>10</v>
      </c>
      <c r="F9" s="63">
        <v>0.06</v>
      </c>
      <c r="G9" s="63">
        <v>0.2</v>
      </c>
      <c r="J9" s="415"/>
      <c r="K9" s="65" t="s">
        <v>450</v>
      </c>
      <c r="L9" s="63">
        <v>0.1</v>
      </c>
      <c r="M9" s="63">
        <v>2.5</v>
      </c>
      <c r="N9" s="63">
        <v>0.1</v>
      </c>
      <c r="O9" s="63">
        <v>0.2</v>
      </c>
      <c r="Q9" s="77" t="s">
        <v>451</v>
      </c>
    </row>
    <row r="10" spans="1:19" ht="14.25" customHeight="1" x14ac:dyDescent="0.25">
      <c r="A10" s="65" t="s">
        <v>452</v>
      </c>
      <c r="B10" s="62" t="str">
        <f t="shared" si="0"/>
        <v>N/A</v>
      </c>
      <c r="C10" s="63">
        <v>0.26</v>
      </c>
      <c r="D10" s="63">
        <v>59.4</v>
      </c>
      <c r="E10" s="62">
        <f t="shared" si="1"/>
        <v>10</v>
      </c>
      <c r="F10" s="63">
        <v>0.2</v>
      </c>
      <c r="G10" s="63">
        <v>0.7</v>
      </c>
      <c r="J10" s="415"/>
      <c r="K10" s="65" t="s">
        <v>452</v>
      </c>
      <c r="L10" s="63">
        <v>0.2</v>
      </c>
      <c r="M10" s="63">
        <v>5</v>
      </c>
      <c r="N10" s="63">
        <v>0.2</v>
      </c>
      <c r="O10" s="63">
        <v>0.6</v>
      </c>
      <c r="Q10" s="414" t="s">
        <v>453</v>
      </c>
      <c r="R10" s="414"/>
      <c r="S10" s="414"/>
    </row>
    <row r="11" spans="1:19" x14ac:dyDescent="0.25">
      <c r="A11" s="65" t="s">
        <v>454</v>
      </c>
      <c r="B11" s="62" t="str">
        <f t="shared" si="0"/>
        <v>N/A</v>
      </c>
      <c r="C11" s="63">
        <v>0.2</v>
      </c>
      <c r="D11" s="63">
        <v>17.2</v>
      </c>
      <c r="E11" s="62">
        <f t="shared" si="1"/>
        <v>10</v>
      </c>
      <c r="F11" s="63">
        <v>0.16</v>
      </c>
      <c r="G11" s="63">
        <v>0.6</v>
      </c>
      <c r="J11" s="415"/>
      <c r="K11" s="65" t="s">
        <v>454</v>
      </c>
      <c r="L11" s="63">
        <v>0.2</v>
      </c>
      <c r="M11" s="63">
        <v>17.2</v>
      </c>
      <c r="N11" s="63">
        <v>0.2</v>
      </c>
      <c r="O11" s="63">
        <v>0.3</v>
      </c>
      <c r="Q11" s="414"/>
      <c r="R11" s="414"/>
      <c r="S11" s="414"/>
    </row>
    <row r="12" spans="1:19" x14ac:dyDescent="0.25">
      <c r="A12" s="65" t="s">
        <v>455</v>
      </c>
      <c r="B12" s="62" t="str">
        <f t="shared" si="0"/>
        <v>N/A</v>
      </c>
      <c r="C12" s="63">
        <v>0.23</v>
      </c>
      <c r="D12" s="63">
        <v>23.6</v>
      </c>
      <c r="E12" s="62">
        <f t="shared" si="1"/>
        <v>10</v>
      </c>
      <c r="F12" s="63">
        <v>0.23</v>
      </c>
      <c r="G12" s="63">
        <v>1.2</v>
      </c>
      <c r="J12" s="415"/>
      <c r="K12" s="65" t="s">
        <v>455</v>
      </c>
      <c r="L12" s="63">
        <v>0.3</v>
      </c>
      <c r="M12" s="63">
        <v>23.6</v>
      </c>
      <c r="N12" s="63">
        <v>0.3</v>
      </c>
      <c r="O12" s="63">
        <v>1.2</v>
      </c>
      <c r="Q12" s="414"/>
      <c r="R12" s="414"/>
      <c r="S12" s="414"/>
    </row>
    <row r="13" spans="1:19" ht="14.25" customHeight="1" x14ac:dyDescent="0.25">
      <c r="A13" s="65" t="s">
        <v>456</v>
      </c>
      <c r="B13" s="62" t="str">
        <f t="shared" si="0"/>
        <v>N/A</v>
      </c>
      <c r="C13" s="63">
        <v>0.23</v>
      </c>
      <c r="D13" s="63">
        <v>17.7</v>
      </c>
      <c r="E13" s="62">
        <f t="shared" si="1"/>
        <v>10</v>
      </c>
      <c r="F13" s="63">
        <v>0.23</v>
      </c>
      <c r="G13" s="63">
        <v>0.9</v>
      </c>
      <c r="J13" s="415"/>
      <c r="K13" s="65" t="s">
        <v>456</v>
      </c>
      <c r="L13" s="63">
        <v>0.3</v>
      </c>
      <c r="M13" s="63">
        <v>17.7</v>
      </c>
      <c r="N13" s="63">
        <v>0.3</v>
      </c>
      <c r="O13" s="63">
        <v>0.9</v>
      </c>
      <c r="Q13" s="414" t="s">
        <v>457</v>
      </c>
      <c r="R13" s="414"/>
      <c r="S13" s="414"/>
    </row>
    <row r="14" spans="1:19" x14ac:dyDescent="0.25">
      <c r="A14" s="65" t="s">
        <v>458</v>
      </c>
      <c r="B14" s="62" t="str">
        <f t="shared" si="0"/>
        <v>N/A</v>
      </c>
      <c r="C14" s="63">
        <v>0.26</v>
      </c>
      <c r="D14" s="63">
        <v>5.7</v>
      </c>
      <c r="E14" s="62">
        <f t="shared" si="1"/>
        <v>10</v>
      </c>
      <c r="F14" s="63">
        <v>0.26</v>
      </c>
      <c r="G14" s="63">
        <v>0.9</v>
      </c>
      <c r="J14" s="415"/>
      <c r="K14" s="65" t="s">
        <v>458</v>
      </c>
      <c r="L14" s="63">
        <v>0.2</v>
      </c>
      <c r="M14" s="63">
        <v>5.0999999999999996</v>
      </c>
      <c r="N14" s="63">
        <v>0.2</v>
      </c>
      <c r="O14" s="63">
        <v>0.6</v>
      </c>
      <c r="Q14" s="414"/>
      <c r="R14" s="414"/>
      <c r="S14" s="414"/>
    </row>
    <row r="15" spans="1:19" x14ac:dyDescent="0.25">
      <c r="A15" s="65" t="s">
        <v>459</v>
      </c>
      <c r="B15" s="62" t="str">
        <f t="shared" si="0"/>
        <v>N/A</v>
      </c>
      <c r="C15" s="63">
        <v>0.23</v>
      </c>
      <c r="D15" s="63">
        <v>30.2</v>
      </c>
      <c r="E15" s="62">
        <f t="shared" si="1"/>
        <v>10</v>
      </c>
      <c r="F15" s="63">
        <v>0.23</v>
      </c>
      <c r="G15" s="63">
        <v>1</v>
      </c>
      <c r="J15" s="415"/>
      <c r="K15" s="65" t="s">
        <v>459</v>
      </c>
      <c r="L15" s="63">
        <v>0.2</v>
      </c>
      <c r="M15" s="63">
        <v>30.2</v>
      </c>
      <c r="N15" s="63">
        <v>0.2</v>
      </c>
      <c r="O15" s="63">
        <v>1</v>
      </c>
      <c r="Q15" s="414"/>
      <c r="R15" s="414"/>
      <c r="S15" s="414"/>
    </row>
    <row r="16" spans="1:19" x14ac:dyDescent="0.25">
      <c r="A16" s="65" t="s">
        <v>460</v>
      </c>
      <c r="B16" s="62" t="str">
        <f t="shared" si="0"/>
        <v>N/A</v>
      </c>
      <c r="C16" s="63">
        <v>0.33</v>
      </c>
      <c r="D16" s="63">
        <v>149.19999999999999</v>
      </c>
      <c r="E16" s="62">
        <f t="shared" si="1"/>
        <v>10</v>
      </c>
      <c r="F16" s="63">
        <v>0.26</v>
      </c>
      <c r="G16" s="63">
        <v>1.3</v>
      </c>
      <c r="J16" s="415"/>
      <c r="K16" s="65" t="s">
        <v>460</v>
      </c>
      <c r="L16" s="63">
        <v>0.4</v>
      </c>
      <c r="M16" s="63">
        <v>149.19999999999999</v>
      </c>
      <c r="N16" s="63">
        <v>0.2</v>
      </c>
      <c r="O16" s="63">
        <v>1.3</v>
      </c>
      <c r="Q16" s="414"/>
      <c r="R16" s="414"/>
      <c r="S16" s="414"/>
    </row>
    <row r="17" spans="1:15" x14ac:dyDescent="0.25">
      <c r="A17" s="65" t="s">
        <v>461</v>
      </c>
      <c r="B17" s="62" t="str">
        <f t="shared" si="0"/>
        <v>N/A</v>
      </c>
      <c r="C17" s="63">
        <v>0.23</v>
      </c>
      <c r="D17" s="63">
        <v>5.3</v>
      </c>
      <c r="E17" s="62">
        <f t="shared" si="1"/>
        <v>10</v>
      </c>
      <c r="F17" s="63">
        <v>0.23</v>
      </c>
      <c r="G17" s="63">
        <v>0.7</v>
      </c>
      <c r="J17" s="415"/>
      <c r="K17" s="65" t="s">
        <v>461</v>
      </c>
      <c r="L17" s="63">
        <v>0.1</v>
      </c>
      <c r="M17" s="63">
        <v>3.5</v>
      </c>
      <c r="N17" s="63">
        <v>0.1</v>
      </c>
      <c r="O17" s="63">
        <v>0.2</v>
      </c>
    </row>
    <row r="18" spans="1:15" x14ac:dyDescent="0.25">
      <c r="A18" s="65" t="s">
        <v>462</v>
      </c>
      <c r="B18" s="62" t="str">
        <f t="shared" si="0"/>
        <v>N/A</v>
      </c>
      <c r="C18" s="63">
        <v>0.13</v>
      </c>
      <c r="D18" s="63">
        <v>10.9</v>
      </c>
      <c r="E18" s="62">
        <f t="shared" si="1"/>
        <v>10</v>
      </c>
      <c r="F18" s="63">
        <v>0.13</v>
      </c>
      <c r="G18" s="63">
        <v>0.9</v>
      </c>
      <c r="J18" s="415"/>
      <c r="K18" s="65" t="s">
        <v>462</v>
      </c>
      <c r="L18" s="63">
        <v>0.1</v>
      </c>
      <c r="M18" s="63">
        <v>10.9</v>
      </c>
      <c r="N18" s="63">
        <v>0.1</v>
      </c>
      <c r="O18" s="63">
        <v>0.6</v>
      </c>
    </row>
    <row r="19" spans="1:15" x14ac:dyDescent="0.25">
      <c r="J19" s="415"/>
      <c r="K19" s="61" t="s">
        <v>463</v>
      </c>
      <c r="L19" s="61">
        <f>AVERAGE(L7:L18)</f>
        <v>0.19166666666666668</v>
      </c>
      <c r="M19" s="61">
        <f>MAX(M7:M18)</f>
        <v>149.19999999999999</v>
      </c>
      <c r="N19" s="61">
        <f>AVERAGE(N7:N18)</f>
        <v>0.17500000000000002</v>
      </c>
      <c r="O19" s="61">
        <f>MAX(O7:O18)</f>
        <v>2</v>
      </c>
    </row>
    <row r="21" spans="1:15" ht="41.4" x14ac:dyDescent="0.25">
      <c r="J21" s="60">
        <f>+A6</f>
        <v>2022</v>
      </c>
      <c r="K21" s="60" t="s">
        <v>445</v>
      </c>
      <c r="L21" s="66" t="s">
        <v>440</v>
      </c>
      <c r="M21" s="66" t="s">
        <v>446</v>
      </c>
      <c r="N21" s="66" t="s">
        <v>443</v>
      </c>
      <c r="O21" s="66" t="s">
        <v>447</v>
      </c>
    </row>
    <row r="22" spans="1:15" x14ac:dyDescent="0.25">
      <c r="J22" s="415" t="s">
        <v>191</v>
      </c>
      <c r="K22" s="65" t="s">
        <v>448</v>
      </c>
      <c r="L22" s="63">
        <v>0.1</v>
      </c>
      <c r="M22" s="63">
        <v>3.4</v>
      </c>
      <c r="N22" s="63">
        <v>0.1</v>
      </c>
      <c r="O22" s="63">
        <v>0.2</v>
      </c>
    </row>
    <row r="23" spans="1:15" x14ac:dyDescent="0.25">
      <c r="J23" s="415"/>
      <c r="K23" s="65" t="s">
        <v>449</v>
      </c>
      <c r="L23" s="63">
        <v>0.1</v>
      </c>
      <c r="M23" s="63">
        <v>2</v>
      </c>
      <c r="N23" s="63">
        <v>0.1</v>
      </c>
      <c r="O23" s="63">
        <v>0.2</v>
      </c>
    </row>
    <row r="24" spans="1:15" x14ac:dyDescent="0.25">
      <c r="J24" s="415"/>
      <c r="K24" s="65" t="s">
        <v>450</v>
      </c>
      <c r="L24" s="63">
        <v>0.1</v>
      </c>
      <c r="M24" s="63">
        <v>1.3</v>
      </c>
      <c r="N24" s="63">
        <v>0.1</v>
      </c>
      <c r="O24" s="63">
        <v>0.2</v>
      </c>
    </row>
    <row r="25" spans="1:15" x14ac:dyDescent="0.25">
      <c r="J25" s="415"/>
      <c r="K25" s="65" t="s">
        <v>452</v>
      </c>
      <c r="L25" s="63">
        <v>0.3</v>
      </c>
      <c r="M25" s="63">
        <v>59.4</v>
      </c>
      <c r="N25" s="63">
        <v>0.1</v>
      </c>
      <c r="O25" s="63">
        <v>0.6</v>
      </c>
    </row>
    <row r="26" spans="1:15" x14ac:dyDescent="0.25">
      <c r="J26" s="415"/>
      <c r="K26" s="65" t="s">
        <v>454</v>
      </c>
      <c r="L26" s="63">
        <v>0.1</v>
      </c>
      <c r="M26" s="63">
        <v>2</v>
      </c>
      <c r="N26" s="63">
        <v>0</v>
      </c>
      <c r="O26" s="63">
        <v>0.1</v>
      </c>
    </row>
    <row r="27" spans="1:15" x14ac:dyDescent="0.25">
      <c r="J27" s="415"/>
      <c r="K27" s="65" t="s">
        <v>455</v>
      </c>
      <c r="L27" s="63">
        <v>0.1</v>
      </c>
      <c r="M27" s="63">
        <v>3.8</v>
      </c>
      <c r="N27" s="63">
        <v>0.1</v>
      </c>
      <c r="O27" s="63">
        <v>0.2</v>
      </c>
    </row>
    <row r="28" spans="1:15" x14ac:dyDescent="0.25">
      <c r="J28" s="415"/>
      <c r="K28" s="65" t="s">
        <v>456</v>
      </c>
      <c r="L28" s="63">
        <v>0.1</v>
      </c>
      <c r="M28" s="63">
        <v>5.7</v>
      </c>
      <c r="N28" s="63">
        <v>0.1</v>
      </c>
      <c r="O28" s="63">
        <v>0.3</v>
      </c>
    </row>
    <row r="29" spans="1:15" x14ac:dyDescent="0.25">
      <c r="J29" s="415"/>
      <c r="K29" s="65" t="s">
        <v>458</v>
      </c>
      <c r="L29" s="63">
        <v>0.1</v>
      </c>
      <c r="M29" s="63">
        <v>4.5999999999999996</v>
      </c>
      <c r="N29" s="63">
        <v>0.1</v>
      </c>
      <c r="O29" s="63">
        <v>0.5</v>
      </c>
    </row>
    <row r="30" spans="1:15" x14ac:dyDescent="0.25">
      <c r="J30" s="415"/>
      <c r="K30" s="65" t="s">
        <v>459</v>
      </c>
      <c r="L30" s="63">
        <v>0.1</v>
      </c>
      <c r="M30" s="63">
        <v>3.4</v>
      </c>
      <c r="N30" s="63">
        <v>0.1</v>
      </c>
      <c r="O30" s="63">
        <v>0.2</v>
      </c>
    </row>
    <row r="31" spans="1:15" x14ac:dyDescent="0.25">
      <c r="J31" s="415"/>
      <c r="K31" s="65" t="s">
        <v>460</v>
      </c>
      <c r="L31" s="63">
        <v>0.2</v>
      </c>
      <c r="M31" s="63">
        <v>7.5</v>
      </c>
      <c r="N31" s="63">
        <v>0.2</v>
      </c>
      <c r="O31" s="63">
        <v>0.4</v>
      </c>
    </row>
    <row r="32" spans="1:15" x14ac:dyDescent="0.25">
      <c r="J32" s="415"/>
      <c r="K32" s="65" t="s">
        <v>461</v>
      </c>
      <c r="L32" s="63">
        <v>0.2</v>
      </c>
      <c r="M32" s="63">
        <v>4.9000000000000004</v>
      </c>
      <c r="N32" s="63">
        <v>0.2</v>
      </c>
      <c r="O32" s="63">
        <v>0.4</v>
      </c>
    </row>
    <row r="33" spans="1:15" x14ac:dyDescent="0.25">
      <c r="J33" s="415"/>
      <c r="K33" s="65" t="s">
        <v>462</v>
      </c>
      <c r="L33" s="63">
        <v>0.1</v>
      </c>
      <c r="M33" s="63">
        <v>5.5</v>
      </c>
      <c r="N33" s="63">
        <v>0.1</v>
      </c>
      <c r="O33" s="63">
        <v>0.4</v>
      </c>
    </row>
    <row r="34" spans="1:15" x14ac:dyDescent="0.25">
      <c r="J34" s="415"/>
      <c r="K34" s="61" t="s">
        <v>463</v>
      </c>
      <c r="L34" s="61">
        <f>AVERAGE(L22:L33)</f>
        <v>0.13333333333333333</v>
      </c>
      <c r="M34" s="61">
        <f>MAX(M22:M33)</f>
        <v>59.4</v>
      </c>
      <c r="N34" s="61">
        <f>AVERAGE(N22:N33)</f>
        <v>0.10833333333333334</v>
      </c>
      <c r="O34" s="61">
        <f>MAX(O22:O33)</f>
        <v>0.6</v>
      </c>
    </row>
    <row r="36" spans="1:15" ht="41.4" x14ac:dyDescent="0.25">
      <c r="J36" s="60">
        <f>+A6</f>
        <v>2022</v>
      </c>
      <c r="K36" s="60" t="s">
        <v>445</v>
      </c>
      <c r="L36" s="66" t="s">
        <v>440</v>
      </c>
      <c r="M36" s="66" t="s">
        <v>446</v>
      </c>
      <c r="N36" s="66" t="s">
        <v>443</v>
      </c>
      <c r="O36" s="66" t="s">
        <v>447</v>
      </c>
    </row>
    <row r="37" spans="1:15" x14ac:dyDescent="0.25">
      <c r="J37" s="415" t="s">
        <v>192</v>
      </c>
      <c r="K37" s="65" t="s">
        <v>448</v>
      </c>
      <c r="L37" s="63">
        <v>0.2</v>
      </c>
      <c r="M37" s="63">
        <v>8.3000000000000007</v>
      </c>
      <c r="N37" s="63">
        <v>0.2</v>
      </c>
      <c r="O37" s="63">
        <v>0.5</v>
      </c>
    </row>
    <row r="38" spans="1:15" x14ac:dyDescent="0.25">
      <c r="J38" s="415"/>
      <c r="K38" s="65" t="s">
        <v>449</v>
      </c>
      <c r="L38" s="63">
        <v>0.2</v>
      </c>
      <c r="M38" s="63">
        <v>3.8</v>
      </c>
      <c r="N38" s="63">
        <v>0.2</v>
      </c>
      <c r="O38" s="63">
        <v>0.4</v>
      </c>
    </row>
    <row r="39" spans="1:15" x14ac:dyDescent="0.25">
      <c r="J39" s="415"/>
      <c r="K39" s="65" t="s">
        <v>450</v>
      </c>
      <c r="L39" s="63">
        <v>0.2</v>
      </c>
      <c r="M39" s="63">
        <v>1.4</v>
      </c>
      <c r="N39" s="63">
        <v>0</v>
      </c>
      <c r="O39" s="63">
        <v>0</v>
      </c>
    </row>
    <row r="40" spans="1:15" x14ac:dyDescent="0.25">
      <c r="J40" s="415"/>
      <c r="K40" s="65" t="s">
        <v>452</v>
      </c>
      <c r="L40" s="63">
        <v>0.3</v>
      </c>
      <c r="M40" s="63">
        <v>6.5</v>
      </c>
      <c r="N40" s="63">
        <v>0.3</v>
      </c>
      <c r="O40" s="63">
        <v>0.7</v>
      </c>
    </row>
    <row r="41" spans="1:15" x14ac:dyDescent="0.25">
      <c r="J41" s="415"/>
      <c r="K41" s="65" t="s">
        <v>454</v>
      </c>
      <c r="L41" s="63">
        <v>0.3</v>
      </c>
      <c r="M41" s="63">
        <v>6.7</v>
      </c>
      <c r="N41" s="63">
        <v>0.3</v>
      </c>
      <c r="O41" s="63">
        <v>0.6</v>
      </c>
    </row>
    <row r="42" spans="1:15" x14ac:dyDescent="0.25">
      <c r="J42" s="415"/>
      <c r="K42" s="65" t="s">
        <v>455</v>
      </c>
      <c r="L42" s="63">
        <v>0.3</v>
      </c>
      <c r="M42" s="63">
        <v>8.4</v>
      </c>
      <c r="N42" s="63">
        <v>0.3</v>
      </c>
      <c r="O42" s="63">
        <v>0.7</v>
      </c>
    </row>
    <row r="43" spans="1:15" x14ac:dyDescent="0.25">
      <c r="J43" s="415"/>
      <c r="K43" s="65" t="s">
        <v>456</v>
      </c>
      <c r="L43" s="63">
        <v>0.3</v>
      </c>
      <c r="M43" s="63">
        <v>6.4</v>
      </c>
      <c r="N43" s="63">
        <v>0.3</v>
      </c>
      <c r="O43" s="63">
        <v>0.6</v>
      </c>
    </row>
    <row r="44" spans="1:15" x14ac:dyDescent="0.25">
      <c r="J44" s="415"/>
      <c r="K44" s="65" t="s">
        <v>458</v>
      </c>
      <c r="L44" s="63">
        <v>0.5</v>
      </c>
      <c r="M44" s="63">
        <v>5.7</v>
      </c>
      <c r="N44" s="63">
        <v>0.5</v>
      </c>
      <c r="O44" s="63">
        <v>0.9</v>
      </c>
    </row>
    <row r="45" spans="1:15" x14ac:dyDescent="0.25">
      <c r="J45" s="415"/>
      <c r="K45" s="65" t="s">
        <v>459</v>
      </c>
      <c r="L45" s="63">
        <v>0.4</v>
      </c>
      <c r="M45" s="63">
        <v>4.8</v>
      </c>
      <c r="N45" s="63">
        <v>0.4</v>
      </c>
      <c r="O45" s="63">
        <v>0.7</v>
      </c>
    </row>
    <row r="46" spans="1:15" x14ac:dyDescent="0.25">
      <c r="J46" s="415"/>
      <c r="K46" s="65" t="s">
        <v>460</v>
      </c>
      <c r="L46" s="63">
        <v>0.4</v>
      </c>
      <c r="M46" s="63">
        <v>8.6</v>
      </c>
      <c r="N46" s="63">
        <v>0.4</v>
      </c>
      <c r="O46" s="63">
        <v>0.6</v>
      </c>
    </row>
    <row r="47" spans="1:15" x14ac:dyDescent="0.25">
      <c r="J47" s="415"/>
      <c r="K47" s="65" t="s">
        <v>461</v>
      </c>
      <c r="L47" s="63">
        <v>0.4</v>
      </c>
      <c r="M47" s="63">
        <v>5.3</v>
      </c>
      <c r="N47" s="63">
        <v>0.4</v>
      </c>
      <c r="O47" s="63">
        <v>0.7</v>
      </c>
    </row>
    <row r="48" spans="1:15" x14ac:dyDescent="0.25">
      <c r="A48" s="426" t="s">
        <v>335</v>
      </c>
      <c r="B48" s="427"/>
      <c r="C48" s="427"/>
      <c r="D48" s="427"/>
      <c r="E48" s="427"/>
      <c r="F48" s="427"/>
      <c r="G48" s="428"/>
      <c r="J48" s="415"/>
      <c r="K48" s="65" t="s">
        <v>462</v>
      </c>
      <c r="L48" s="63">
        <v>0.2</v>
      </c>
      <c r="M48" s="63">
        <v>4</v>
      </c>
      <c r="N48" s="63">
        <v>0.2</v>
      </c>
      <c r="O48" s="63">
        <v>0.9</v>
      </c>
    </row>
    <row r="49" spans="1:15" x14ac:dyDescent="0.25">
      <c r="A49" s="418" t="s">
        <v>493</v>
      </c>
      <c r="B49" s="419"/>
      <c r="C49" s="419"/>
      <c r="D49" s="419"/>
      <c r="E49" s="419"/>
      <c r="F49" s="419"/>
      <c r="G49" s="420"/>
      <c r="J49" s="415"/>
      <c r="K49" s="61" t="s">
        <v>463</v>
      </c>
      <c r="L49" s="61">
        <f>AVERAGE(L37:L48)</f>
        <v>0.30833333333333335</v>
      </c>
      <c r="M49" s="61">
        <f>MAX(M37:M48)</f>
        <v>8.6</v>
      </c>
      <c r="N49" s="61">
        <f>AVERAGE(N37:N48)</f>
        <v>0.29166666666666669</v>
      </c>
      <c r="O49" s="61">
        <f>MAX(O37:O48)</f>
        <v>0.9</v>
      </c>
    </row>
    <row r="50" spans="1:15" x14ac:dyDescent="0.25">
      <c r="A50" s="421"/>
      <c r="B50" s="240"/>
      <c r="C50" s="240"/>
      <c r="D50" s="240"/>
      <c r="E50" s="240"/>
      <c r="F50" s="240"/>
      <c r="G50" s="422"/>
    </row>
    <row r="51" spans="1:15" ht="41.4" x14ac:dyDescent="0.25">
      <c r="A51" s="421"/>
      <c r="B51" s="240"/>
      <c r="C51" s="240"/>
      <c r="D51" s="240"/>
      <c r="E51" s="240"/>
      <c r="F51" s="240"/>
      <c r="G51" s="422"/>
      <c r="J51" s="60">
        <f>+A6</f>
        <v>2022</v>
      </c>
      <c r="K51" s="60" t="s">
        <v>445</v>
      </c>
      <c r="L51" s="66" t="s">
        <v>440</v>
      </c>
      <c r="M51" s="66" t="s">
        <v>446</v>
      </c>
      <c r="N51" s="66" t="s">
        <v>443</v>
      </c>
      <c r="O51" s="66" t="s">
        <v>447</v>
      </c>
    </row>
    <row r="52" spans="1:15" x14ac:dyDescent="0.25">
      <c r="A52" s="423"/>
      <c r="B52" s="424"/>
      <c r="C52" s="424"/>
      <c r="D52" s="424"/>
      <c r="E52" s="424"/>
      <c r="F52" s="424"/>
      <c r="G52" s="425"/>
      <c r="J52" s="415" t="s">
        <v>193</v>
      </c>
      <c r="K52" s="65" t="s">
        <v>448</v>
      </c>
      <c r="L52" s="63"/>
      <c r="M52" s="63"/>
      <c r="N52" s="63"/>
      <c r="O52" s="63"/>
    </row>
    <row r="53" spans="1:15" x14ac:dyDescent="0.25">
      <c r="J53" s="415"/>
      <c r="K53" s="65" t="s">
        <v>449</v>
      </c>
      <c r="L53" s="63"/>
      <c r="M53" s="63"/>
      <c r="N53" s="63"/>
      <c r="O53" s="63"/>
    </row>
    <row r="54" spans="1:15" x14ac:dyDescent="0.25">
      <c r="J54" s="415"/>
      <c r="K54" s="65" t="s">
        <v>450</v>
      </c>
      <c r="L54" s="63"/>
      <c r="M54" s="63"/>
      <c r="N54" s="63"/>
      <c r="O54" s="63"/>
    </row>
    <row r="55" spans="1:15" x14ac:dyDescent="0.25">
      <c r="J55" s="415"/>
      <c r="K55" s="65" t="s">
        <v>452</v>
      </c>
      <c r="L55" s="63"/>
      <c r="M55" s="63"/>
      <c r="N55" s="63"/>
      <c r="O55" s="63"/>
    </row>
    <row r="56" spans="1:15" x14ac:dyDescent="0.25">
      <c r="J56" s="415"/>
      <c r="K56" s="65" t="s">
        <v>454</v>
      </c>
      <c r="L56" s="63"/>
      <c r="M56" s="63"/>
      <c r="N56" s="63"/>
      <c r="O56" s="63"/>
    </row>
    <row r="57" spans="1:15" x14ac:dyDescent="0.25">
      <c r="J57" s="415"/>
      <c r="K57" s="65" t="s">
        <v>455</v>
      </c>
      <c r="L57" s="63"/>
      <c r="M57" s="63"/>
      <c r="N57" s="63"/>
      <c r="O57" s="63"/>
    </row>
    <row r="58" spans="1:15" x14ac:dyDescent="0.25">
      <c r="J58" s="415"/>
      <c r="K58" s="65" t="s">
        <v>456</v>
      </c>
      <c r="L58" s="63"/>
      <c r="M58" s="63"/>
      <c r="N58" s="63"/>
      <c r="O58" s="63"/>
    </row>
    <row r="59" spans="1:15" x14ac:dyDescent="0.25">
      <c r="J59" s="415"/>
      <c r="K59" s="65" t="s">
        <v>458</v>
      </c>
      <c r="L59" s="63"/>
      <c r="M59" s="63"/>
      <c r="N59" s="63"/>
      <c r="O59" s="63"/>
    </row>
    <row r="60" spans="1:15" x14ac:dyDescent="0.25">
      <c r="J60" s="415"/>
      <c r="K60" s="65" t="s">
        <v>459</v>
      </c>
      <c r="L60" s="63"/>
      <c r="M60" s="63"/>
      <c r="N60" s="63"/>
      <c r="O60" s="63"/>
    </row>
    <row r="61" spans="1:15" x14ac:dyDescent="0.25">
      <c r="J61" s="415"/>
      <c r="K61" s="65" t="s">
        <v>460</v>
      </c>
      <c r="L61" s="63"/>
      <c r="M61" s="63"/>
      <c r="N61" s="63"/>
      <c r="O61" s="63"/>
    </row>
    <row r="62" spans="1:15" x14ac:dyDescent="0.25">
      <c r="J62" s="415"/>
      <c r="K62" s="65" t="s">
        <v>461</v>
      </c>
      <c r="L62" s="63"/>
      <c r="M62" s="63"/>
      <c r="N62" s="63"/>
      <c r="O62" s="63"/>
    </row>
    <row r="63" spans="1:15" x14ac:dyDescent="0.25">
      <c r="J63" s="415"/>
      <c r="K63" s="65" t="s">
        <v>462</v>
      </c>
      <c r="L63" s="63"/>
      <c r="M63" s="63"/>
      <c r="N63" s="63"/>
      <c r="O63" s="63"/>
    </row>
    <row r="64" spans="1:15" x14ac:dyDescent="0.25">
      <c r="J64" s="415"/>
      <c r="K64" s="61" t="s">
        <v>463</v>
      </c>
      <c r="L64" s="61" t="e">
        <f>AVERAGE(L52:L63)</f>
        <v>#DIV/0!</v>
      </c>
      <c r="M64" s="61">
        <f>MAX(M52:M63)</f>
        <v>0</v>
      </c>
      <c r="N64" s="61" t="e">
        <f>AVERAGE(N52:N63)</f>
        <v>#DIV/0!</v>
      </c>
      <c r="O64" s="61">
        <f>MAX(O52:O63)</f>
        <v>0</v>
      </c>
    </row>
    <row r="66" spans="10:15" ht="41.4" x14ac:dyDescent="0.25">
      <c r="J66" s="60">
        <f>+A6</f>
        <v>2022</v>
      </c>
      <c r="K66" s="60" t="s">
        <v>445</v>
      </c>
      <c r="L66" s="66" t="s">
        <v>440</v>
      </c>
      <c r="M66" s="66" t="s">
        <v>446</v>
      </c>
      <c r="N66" s="66" t="s">
        <v>443</v>
      </c>
      <c r="O66" s="66" t="s">
        <v>447</v>
      </c>
    </row>
    <row r="67" spans="10:15" x14ac:dyDescent="0.25">
      <c r="J67" s="415" t="s">
        <v>194</v>
      </c>
      <c r="K67" s="65" t="s">
        <v>448</v>
      </c>
      <c r="L67" s="63"/>
      <c r="M67" s="63"/>
      <c r="N67" s="63"/>
      <c r="O67" s="63"/>
    </row>
    <row r="68" spans="10:15" x14ac:dyDescent="0.25">
      <c r="J68" s="415"/>
      <c r="K68" s="65" t="s">
        <v>449</v>
      </c>
      <c r="L68" s="63"/>
      <c r="M68" s="63"/>
      <c r="N68" s="63"/>
      <c r="O68" s="63"/>
    </row>
    <row r="69" spans="10:15" x14ac:dyDescent="0.25">
      <c r="J69" s="415"/>
      <c r="K69" s="65" t="s">
        <v>450</v>
      </c>
      <c r="L69" s="63"/>
      <c r="M69" s="63"/>
      <c r="N69" s="63"/>
      <c r="O69" s="63"/>
    </row>
    <row r="70" spans="10:15" x14ac:dyDescent="0.25">
      <c r="J70" s="415"/>
      <c r="K70" s="65" t="s">
        <v>452</v>
      </c>
      <c r="L70" s="63"/>
      <c r="M70" s="63"/>
      <c r="N70" s="63"/>
      <c r="O70" s="63"/>
    </row>
    <row r="71" spans="10:15" x14ac:dyDescent="0.25">
      <c r="J71" s="415"/>
      <c r="K71" s="65" t="s">
        <v>454</v>
      </c>
      <c r="L71" s="63"/>
      <c r="M71" s="63"/>
      <c r="N71" s="63"/>
      <c r="O71" s="63"/>
    </row>
    <row r="72" spans="10:15" x14ac:dyDescent="0.25">
      <c r="J72" s="415"/>
      <c r="K72" s="65" t="s">
        <v>455</v>
      </c>
      <c r="L72" s="63"/>
      <c r="M72" s="63"/>
      <c r="N72" s="63"/>
      <c r="O72" s="63"/>
    </row>
    <row r="73" spans="10:15" x14ac:dyDescent="0.25">
      <c r="J73" s="415"/>
      <c r="K73" s="65" t="s">
        <v>456</v>
      </c>
      <c r="L73" s="63"/>
      <c r="M73" s="63"/>
      <c r="N73" s="63"/>
      <c r="O73" s="63"/>
    </row>
    <row r="74" spans="10:15" x14ac:dyDescent="0.25">
      <c r="J74" s="415"/>
      <c r="K74" s="65" t="s">
        <v>458</v>
      </c>
      <c r="L74" s="63"/>
      <c r="M74" s="63"/>
      <c r="N74" s="63"/>
      <c r="O74" s="63"/>
    </row>
    <row r="75" spans="10:15" x14ac:dyDescent="0.25">
      <c r="J75" s="415"/>
      <c r="K75" s="65" t="s">
        <v>459</v>
      </c>
      <c r="L75" s="63"/>
      <c r="M75" s="63"/>
      <c r="N75" s="63"/>
      <c r="O75" s="63"/>
    </row>
    <row r="76" spans="10:15" x14ac:dyDescent="0.25">
      <c r="J76" s="415"/>
      <c r="K76" s="65" t="s">
        <v>460</v>
      </c>
      <c r="L76" s="63"/>
      <c r="M76" s="63"/>
      <c r="N76" s="63"/>
      <c r="O76" s="63"/>
    </row>
    <row r="77" spans="10:15" x14ac:dyDescent="0.25">
      <c r="J77" s="415"/>
      <c r="K77" s="65" t="s">
        <v>461</v>
      </c>
      <c r="L77" s="63"/>
      <c r="M77" s="63"/>
      <c r="N77" s="63"/>
      <c r="O77" s="63"/>
    </row>
    <row r="78" spans="10:15" x14ac:dyDescent="0.25">
      <c r="J78" s="415"/>
      <c r="K78" s="65" t="s">
        <v>462</v>
      </c>
      <c r="L78" s="63"/>
      <c r="M78" s="63"/>
      <c r="N78" s="63"/>
      <c r="O78" s="63"/>
    </row>
    <row r="79" spans="10:15" x14ac:dyDescent="0.25">
      <c r="J79" s="415"/>
      <c r="K79" s="61" t="s">
        <v>463</v>
      </c>
      <c r="L79" s="61" t="e">
        <f>AVERAGE(L67:L78)</f>
        <v>#DIV/0!</v>
      </c>
      <c r="M79" s="61">
        <f>MAX(M67:M78)</f>
        <v>0</v>
      </c>
      <c r="N79" s="61" t="e">
        <f>AVERAGE(N67:N78)</f>
        <v>#DIV/0!</v>
      </c>
      <c r="O79" s="6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1117845-93f6-4da3-abaa-fcb4fa669c78" ContentTypeId="0x010100A5BF1C78D9F64B679A5EBDE1C6598EBC01" PreviousValue="false"/>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Props1.xml><?xml version="1.0" encoding="utf-8"?>
<ds:datastoreItem xmlns:ds="http://schemas.openxmlformats.org/officeDocument/2006/customXml" ds:itemID="{EC8879F7-BB89-482E-BD9B-28B5F6AF075C}">
  <ds:schemaRefs>
    <ds:schemaRef ds:uri="Microsoft.SharePoint.Taxonomy.ContentTypeSync"/>
  </ds:schemaRefs>
</ds:datastoreItem>
</file>

<file path=customXml/itemProps2.xml><?xml version="1.0" encoding="utf-8"?>
<ds:datastoreItem xmlns:ds="http://schemas.openxmlformats.org/officeDocument/2006/customXml" ds:itemID="{291EB98E-FE86-474F-AF4F-C02344CE15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4.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662745e8-e224-48e8-a2e3-254862b8c2f5"/>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N2O</vt:lpstr>
      <vt:lpstr>Residue Quality </vt:lpstr>
      <vt:lpstr>Water</vt:lpstr>
      <vt:lpstr>Air (periodic)</vt:lpstr>
      <vt:lpstr>Air (CEMS)</vt:lpstr>
      <vt:lpstr>HCl</vt:lpstr>
      <vt:lpstr>SO2</vt:lpstr>
      <vt:lpstr>NOx</vt:lpstr>
      <vt:lpstr>TOC</vt:lpstr>
      <vt:lpstr>Particulates</vt:lpstr>
      <vt:lpstr>CO 95% 10 min</vt:lpstr>
      <vt:lpstr>NH3</vt:lpstr>
      <vt:lpstr>'Air (CEMS)'!Print_Area</vt:lpstr>
      <vt:lpstr>'Air (periodic)'!Print_Area</vt:lpstr>
      <vt:lpstr>'CO 95% 10 min'!Print_Area</vt:lpstr>
      <vt:lpstr>'CO2 N2O'!Print_Area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dcterms:created xsi:type="dcterms:W3CDTF">2019-04-02T06:44:55Z</dcterms:created>
  <dcterms:modified xsi:type="dcterms:W3CDTF">2023-03-22T17:01:42Z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