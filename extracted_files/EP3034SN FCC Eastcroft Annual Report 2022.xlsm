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embeddings/oleObject1.bin" ContentType="application/vnd.openxmlformats-officedocument.oleObject"/>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East Midlands/"/>
    </mc:Choice>
  </mc:AlternateContent>
  <xr:revisionPtr revIDLastSave="0" documentId="8_{9CACB07D-B72C-442F-9957-1E407BB64397}" xr6:coauthVersionLast="47" xr6:coauthVersionMax="47" xr10:uidLastSave="{00000000-0000-0000-0000-000000000000}"/>
  <bookViews>
    <workbookView xWindow="-108" yWindow="-108" windowWidth="23256" windowHeight="12576" xr2:uid="{00000000-000D-0000-FFFF-FFFF00000000}"/>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Air (periodic)" sheetId="23" r:id="rId13"/>
    <sheet name="Air (CEMS)" sheetId="24" r:id="rId14"/>
    <sheet name="HCl" sheetId="13" r:id="rId15"/>
    <sheet name="SO2" sheetId="25" r:id="rId16"/>
    <sheet name="NOx" sheetId="26" r:id="rId17"/>
    <sheet name="TOC" sheetId="27" r:id="rId18"/>
    <sheet name="Particulates" sheetId="28" r:id="rId19"/>
    <sheet name="CO 95% 10 min" sheetId="30" r:id="rId20"/>
    <sheet name="NH3" sheetId="31" r:id="rId21"/>
  </sheets>
  <definedNames>
    <definedName name="_xlnm.Print_Area" localSheetId="13">'Air (CEMS)'!$A$1:$M$31</definedName>
    <definedName name="_xlnm.Print_Area" localSheetId="12">'Air (periodic)'!$A$1:$J$41</definedName>
    <definedName name="_xlnm.Print_Area" localSheetId="19">'CO 95% 10 min'!$A$1:$H$52</definedName>
    <definedName name="_xlnm.Print_Area" localSheetId="10">'CO2 N2O'!$A$1:$C$24</definedName>
    <definedName name="_xlnm.Print_Area" localSheetId="1">Contents!$A$1:$J$48</definedName>
    <definedName name="_xlnm.Print_Area" localSheetId="0">'Cover Page'!$A$1:$J$55</definedName>
    <definedName name="_xlnm.Print_Area" localSheetId="6">'Energy Form 1'!$A$1:$I$29</definedName>
    <definedName name="_xlnm.Print_Area" localSheetId="2">'Facility Info'!$A$1:$I$54</definedName>
    <definedName name="_xlnm.Print_Area" localSheetId="14">HCl!$A$1:$G$52</definedName>
    <definedName name="_xlnm.Print_Area" localSheetId="8">Improvements!$A$1:$I$48</definedName>
    <definedName name="_xlnm.Print_Area" localSheetId="20">'NH3'!$A$1:$G$52</definedName>
    <definedName name="_xlnm.Print_Area" localSheetId="16">NOx!$A$1:$G$52</definedName>
    <definedName name="_xlnm.Print_Area" localSheetId="3">'Operational Data'!$A$1:$H$65</definedName>
    <definedName name="_xlnm.Print_Area" localSheetId="4">'Operational Summary'!$A$1:$I$52</definedName>
    <definedName name="_xlnm.Print_Area" localSheetId="18">Particulates!$A$1:$G$52</definedName>
    <definedName name="_xlnm.Print_Area" localSheetId="5">'Perf. Form 1'!$A$1:$J$55</definedName>
    <definedName name="_xlnm.Print_Area" localSheetId="7">'Permit Compliance'!$A$1:$J$35</definedName>
    <definedName name="_xlnm.Print_Area" localSheetId="9">'Public Liasion'!$A$1:$I$29</definedName>
    <definedName name="_xlnm.Print_Area" localSheetId="11">'Residue Quality '!$A$1:$G$41</definedName>
    <definedName name="_xlnm.Print_Area" localSheetId="15">'SO2'!$A$1:$G$52</definedName>
    <definedName name="_xlnm.Print_Area" localSheetId="17">TOC!$A$1:$G$52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64" i="31" l="1"/>
  <c r="N64" i="31"/>
  <c r="M64" i="31"/>
  <c r="L64" i="31"/>
  <c r="O49" i="31"/>
  <c r="N49" i="31"/>
  <c r="M49" i="31"/>
  <c r="L49" i="31"/>
  <c r="J36" i="31"/>
  <c r="Q64" i="30"/>
  <c r="P64" i="30"/>
  <c r="O64" i="30"/>
  <c r="M64" i="30"/>
  <c r="Q49" i="30"/>
  <c r="P49" i="30"/>
  <c r="O49" i="30"/>
  <c r="M49" i="30"/>
  <c r="E1" i="30"/>
  <c r="A1" i="30"/>
  <c r="L79" i="28"/>
  <c r="O64" i="28"/>
  <c r="N64" i="28"/>
  <c r="M64" i="28"/>
  <c r="L64" i="28"/>
  <c r="O49" i="28"/>
  <c r="N49" i="28"/>
  <c r="M49" i="28"/>
  <c r="L49" i="28"/>
  <c r="J36" i="28"/>
  <c r="L79" i="27"/>
  <c r="O64" i="27"/>
  <c r="N64" i="27"/>
  <c r="M64" i="27"/>
  <c r="L64" i="27"/>
  <c r="O49" i="27"/>
  <c r="N49" i="27"/>
  <c r="M49" i="27"/>
  <c r="L49" i="27"/>
  <c r="N79" i="26"/>
  <c r="M79" i="26"/>
  <c r="L79" i="26"/>
  <c r="O64" i="26"/>
  <c r="N64" i="26"/>
  <c r="M64" i="26"/>
  <c r="L64" i="26"/>
  <c r="O49" i="26"/>
  <c r="N49" i="26"/>
  <c r="M49" i="26"/>
  <c r="L49" i="26"/>
  <c r="J51" i="26"/>
  <c r="L79" i="25"/>
  <c r="O64" i="25"/>
  <c r="N64" i="25"/>
  <c r="M64" i="25"/>
  <c r="L64" i="25"/>
  <c r="O49" i="25"/>
  <c r="N49" i="25"/>
  <c r="M49" i="25"/>
  <c r="L49" i="25"/>
  <c r="L79" i="13"/>
  <c r="O64" i="13"/>
  <c r="N64" i="13"/>
  <c r="M64" i="13"/>
  <c r="L64" i="13"/>
  <c r="O49" i="13"/>
  <c r="N49" i="13"/>
  <c r="M49" i="13"/>
  <c r="L49" i="13"/>
  <c r="J36" i="13"/>
  <c r="E1" i="23"/>
  <c r="A1" i="23"/>
  <c r="O79" i="13"/>
  <c r="N79" i="13"/>
  <c r="M79" i="13"/>
  <c r="O79" i="25"/>
  <c r="N79" i="25"/>
  <c r="M79" i="25"/>
  <c r="O79" i="26"/>
  <c r="O79" i="27"/>
  <c r="N79" i="27"/>
  <c r="M79" i="27"/>
  <c r="O79" i="28"/>
  <c r="N79" i="28"/>
  <c r="M79" i="28"/>
  <c r="Q79" i="30"/>
  <c r="P79" i="30"/>
  <c r="O79" i="30"/>
  <c r="M79" i="30"/>
  <c r="O79" i="31"/>
  <c r="N79" i="31"/>
  <c r="M79" i="31"/>
  <c r="L79" i="31"/>
  <c r="K51" i="30" l="1"/>
  <c r="K66" i="30"/>
  <c r="J66" i="13"/>
  <c r="J36" i="25"/>
  <c r="J36" i="26"/>
  <c r="J66" i="28"/>
  <c r="J66" i="31"/>
  <c r="J66" i="25"/>
  <c r="J66" i="26"/>
  <c r="J51" i="13"/>
  <c r="J51" i="28"/>
  <c r="J36" i="27"/>
  <c r="K36" i="30"/>
  <c r="J51" i="31"/>
  <c r="J51" i="25"/>
  <c r="J51" i="27"/>
  <c r="J66" i="27"/>
  <c r="C1" i="32" l="1"/>
  <c r="A1" i="32"/>
  <c r="E1" i="21" l="1"/>
  <c r="A1" i="21"/>
  <c r="E1" i="11"/>
  <c r="A1" i="11"/>
  <c r="E1" i="10"/>
  <c r="A1" i="10"/>
  <c r="E1" i="9"/>
  <c r="A1" i="9"/>
  <c r="E1" i="5"/>
  <c r="A1" i="5"/>
  <c r="E1" i="4"/>
  <c r="A1" i="4"/>
  <c r="E1" i="3"/>
  <c r="A1" i="3"/>
  <c r="G7" i="8" l="1"/>
  <c r="D7" i="8"/>
  <c r="B5" i="8"/>
  <c r="G3" i="8"/>
  <c r="A3" i="8"/>
  <c r="A1" i="8"/>
  <c r="B4" i="7"/>
  <c r="G3" i="7"/>
  <c r="A3" i="7"/>
  <c r="A1" i="7"/>
</calcChain>
</file>

<file path=xl/sharedStrings.xml><?xml version="1.0" encoding="utf-8"?>
<sst xmlns="http://schemas.openxmlformats.org/spreadsheetml/2006/main" count="1522" uniqueCount="445">
  <si>
    <t>Add company logo</t>
  </si>
  <si>
    <t>Version 22.3  30/11/22</t>
  </si>
  <si>
    <t>Add photo</t>
  </si>
  <si>
    <t>Notes:</t>
  </si>
  <si>
    <t>This template may require adjustments by individual operators to meet specific reporting requirements as defined in the site Permit(s)</t>
  </si>
  <si>
    <t>Annual Performance Report 2022</t>
  </si>
  <si>
    <t>Permit EPR/EP3034SN</t>
  </si>
  <si>
    <t>Eastcroft Energy from Waste Plant</t>
  </si>
  <si>
    <t>WasteNotts (Reclamation) Limited</t>
  </si>
  <si>
    <t>Year:</t>
  </si>
  <si>
    <t>Address:</t>
  </si>
  <si>
    <t>Incinerator Road, Off Cattle Market Road, Nottingham NG23JH</t>
  </si>
  <si>
    <t xml:space="preserve">Tel: </t>
  </si>
  <si>
    <t>0115 9869505</t>
  </si>
  <si>
    <t xml:space="preserve">Email: </t>
  </si>
  <si>
    <t>leigh.hornsby@fccenvironment.co.uk</t>
  </si>
  <si>
    <t>Prepared by:</t>
  </si>
  <si>
    <t>Leigh Hornsby</t>
  </si>
  <si>
    <t>Position:</t>
  </si>
  <si>
    <t>Environment Manager</t>
  </si>
  <si>
    <t>Approved by:</t>
  </si>
  <si>
    <t>Ashley Corke</t>
  </si>
  <si>
    <t>General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</si>
  <si>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</si>
  <si>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</si>
  <si>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</si>
  <si>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</si>
  <si>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</si>
  <si>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</si>
  <si>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</si>
  <si>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</si>
  <si>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</si>
  <si>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</si>
  <si>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</si>
  <si>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</si>
  <si>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</si>
  <si>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</si>
  <si>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</si>
  <si>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Liasion</t>
  </si>
  <si>
    <t>Carbon dioxide and nitrous oxide emissions</t>
  </si>
  <si>
    <t xml:space="preserve">Residue Quality </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</si>
  <si>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</si>
  <si>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</si>
  <si>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</si>
  <si>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</si>
  <si>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</si>
  <si>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</si>
  <si>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</si>
  <si>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</si>
  <si>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</si>
  <si>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</si>
  <si>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</si>
  <si>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</si>
  <si>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</si>
  <si>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</si>
  <si>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</si>
  <si>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</si>
  <si>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</si>
  <si>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</si>
  <si>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 xml:space="preserve">The EfW facility currently comprises two incineration streams each capable of burning up to 11.7 tonnes/hour of municipal and light commercial and industrial waste. The plant has a theoretical capacity of just over 200,000 tonnes per annum; however with planned maintenance the annual throughput is approximately 185,000 tonnes. The site has planning permission to add a third line to the plant which is included in the scope of the Environmental Permit (EP3034SN) but has yet to be developed. 
The facility generates around 50 tonnes of steam per hour with no electrical generation undertaken at the 
Eastcroft facility. Steam is exported to a third party (Nottingham City Council, formerly EnviroEnergy) who operate a combined heat and power facility providing electricity and feeding into Nottingham's district heating network.
</t>
  </si>
  <si>
    <t xml:space="preserve">Include summary of plant design, design capacity, no. of combustion lines, electrical and heat capacity and any other general information that descibes the facility, its location and purpose </t>
  </si>
  <si>
    <t>Summary of Operational Processes and Procedures</t>
  </si>
  <si>
    <t xml:space="preserve">Municipal waste and non-hazardous commercial/industrial/trade waste is delivered to site by lorry and tipped into one of two refuse bunkers inside the tipping hall. Deliveries are typically made from Monday to Saturday morning. Waste is transferred from the bunkers by grab crane into the feed chute of each incinerator stream. Waste is only fed to the incinerator if the temperature is above 850°C. 
Each incinerator stream has a moving grate on which the waste is burned, with preheated air being injected 
from below the grate. Combustion air is drawn from the tipping hall and boiler hall to reduce odours and dust levels in these areas and fed to the furnace via an air preheater which can raise the temperature of the air up to 160°C. Two auxiliary burners, fired on gas oil, are installed halfway up each combustion chamber to maintain temperatures above the 850°C threshold. The auxiliary burners are also used to pre-heat the incinerators before start up.
Ammonium hydroxide is injected into the furnaces to reduce emissions of nitrogen oxides (this technique is known as selective non-catalytic reduction or SNCR). Hot gases from the combustion chamber pass to a boiler in which steam is raised and sent to the London Road Heat Station (operated by Nottingham City Council, formerly EnviroEnergy) for supply of heat to the district heating system and generation of electricity. Flue gases leaving the boiler are cooled to about 130°C in the economiser to achieve the correct temperature for gas treatment. 
Incinerator bottom ash is quenched in water and collected in a residuals bunker inside the building. The silo is emptied regularly and the bottom ash is sent for metal extraction and use as a substitute aggregate. 
Fly ash entrained within the incinerator exhaust gases, together with any accumulations of dust removed from the walls of the economiser by the shot cleaning system, is treated in the air pollution control equipment.Each incinerator stream has its own dedicated air pollution control equipment. Cooled flue gases leaving the economiser are dosed with a mixture of hydrated lime, activated carbon and recirculated reagent, in order to reduce acid gases (by reaction with the lime), and other substances such as heavy metals and hydrocarbons (by adsorption onto the activated carbon). The exhaust gases and reagent particles are then filtered in a four compartment fabric filter to remove the dust burden. The fabric filters are regularly cleaned by reverse jet pulses, and the collected end product is stored in the APC residue silo. The APC residue silo is regularly emptied and the residue used to treat industrial acidic wastes before final disposal in a suitably licensed landfill site. 
The treated exhaust gases from both streams are discharged via the 91m high stack. The final emissions from the municipal waste incinerator are continuously monitored for particulate matter, sulphur dioxide, nitrogen oxides, carbon monoxide, hydrogen chloride, volatile organic compounds and ammonia prior to entry into the main stack.
</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</si>
  <si>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</si>
  <si>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</si>
  <si>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</si>
  <si>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</si>
  <si>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</si>
  <si>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</si>
  <si>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</si>
  <si>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</si>
  <si>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</si>
  <si>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</si>
  <si>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</si>
  <si>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</si>
  <si>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</si>
  <si>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</si>
  <si>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</si>
  <si>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</si>
  <si>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</si>
  <si>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</si>
  <si>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</si>
  <si>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</si>
  <si>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</si>
  <si>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</si>
  <si>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</si>
  <si>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t>
  </si>
  <si>
    <t>Clinical</t>
  </si>
  <si>
    <t xml:space="preserve">Waste wood (biomass) </t>
  </si>
  <si>
    <t>Refuse Derived Fuel * - H'hold/LA</t>
  </si>
  <si>
    <t>Refuse Derived Fuel *  - C&amp;I</t>
  </si>
  <si>
    <t>Other [Please specify]</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</si>
  <si>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</si>
  <si>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</si>
  <si>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</si>
  <si>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</si>
  <si>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</si>
  <si>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</si>
  <si>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</si>
  <si>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</si>
  <si>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</si>
  <si>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</si>
  <si>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</si>
  <si>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</si>
  <si>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</si>
  <si>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</si>
  <si>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</si>
  <si>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Waste Disposal &amp; Recovery</t>
  </si>
  <si>
    <t>% inputs</t>
  </si>
  <si>
    <t>APC Residues - produced</t>
  </si>
  <si>
    <t>IBA - produced</t>
  </si>
  <si>
    <t>Metals recycling</t>
  </si>
  <si>
    <t>Other</t>
  </si>
  <si>
    <t>Raw Material Usage</t>
  </si>
  <si>
    <t>kg or Ltr /te</t>
  </si>
  <si>
    <t>Mains Water</t>
  </si>
  <si>
    <t>ltrs</t>
  </si>
  <si>
    <t>Other Water</t>
  </si>
  <si>
    <t>N/A</t>
  </si>
  <si>
    <t>Ammonia</t>
  </si>
  <si>
    <t>kgs</t>
  </si>
  <si>
    <t>Urea</t>
  </si>
  <si>
    <t>Activated Carbon</t>
  </si>
  <si>
    <t>Lime / hydrated lime</t>
  </si>
  <si>
    <t>Fuel oil</t>
  </si>
  <si>
    <t>Gas</t>
  </si>
  <si>
    <t>cf</t>
  </si>
  <si>
    <t xml:space="preserve">Summary </t>
  </si>
  <si>
    <t>Line/Unit</t>
  </si>
  <si>
    <t xml:space="preserve">Hrs in year </t>
  </si>
  <si>
    <t>Availability of waste combustion by line, hrs</t>
  </si>
  <si>
    <t>x %</t>
  </si>
  <si>
    <t>Overall Availability, mean avg. of all lines, hrs</t>
  </si>
  <si>
    <t>Hours of turbine operations, hrs</t>
  </si>
  <si>
    <t>Hours of heat / steam export</t>
  </si>
  <si>
    <t>n/a</t>
  </si>
  <si>
    <t>Net Calorific Value of waste</t>
  </si>
  <si>
    <t>MJ/kg</t>
  </si>
  <si>
    <t>Abnormal Events</t>
  </si>
  <si>
    <t>qty.</t>
  </si>
  <si>
    <t>no</t>
  </si>
  <si>
    <t>Abnormal operation</t>
  </si>
  <si>
    <t>hours</t>
  </si>
  <si>
    <t>Permit Breaches</t>
  </si>
  <si>
    <t>yes</t>
  </si>
  <si>
    <t>Summary of Plant Operations and Maintenance during the reporting year</t>
  </si>
  <si>
    <t>During 2022 the facility ran for 15,852 hours across the 2 lines representing an availability of 90.15% with 182,148 tonnes delivered to site compared to a permit limit of 200,000 tonnes per annum. Nearly all of this waste was delivered by the local authorities of Nottingham and the surrounding area and most other wastes being categorised as municipal (Chapter 20 of the List of Wastes Regulations). 
The facility submitted 3 schedule notification during the year. In May a short spike in HCl caused an exceedance of 63.2 mg/m3 against a threshold of 60. In October a fault in the plant logic combined with a failure of the UPS caused an exceedance of the daily HCl threshold of 10mg/m3 with an average reading of 12.57 mg/m3. In December a violent exothermic event, presumed to be a large gas cylinder explosion, caused a brief exceedance of the half-hourly TOC threshold with a reading of 27.9mg/m3 against a threshold of 20. No periods of abnormal operation or substantiated complaints were received. 
The plant provided 361 GWh of energy in the form of steam and hot water to the Nottingham City Council (formerly EnviroEnergy) facility who operate a combined heat and power station, providing electricity to private customers, the national grid and providing heating to households and commercial premises through their district heating system. Eastcroft receives all electrical supply and water for the process from the Nottingham City Council facility. 
The main period of downtime related to a planned maintenance period within where both routine maintenance that cannot be undertaken whilst the plant is operational took place and some major replacements to boiler parts were also undertaken. The superheaters and ash dischargers were also replaced along with a complete replacement of the bags in the baghouse. Further modifications and optimisation to the combustion and other processes were undertaken throughout the year.</t>
  </si>
  <si>
    <t xml:space="preserve">Include summary of key operational and/or mainteanance activity undertaken in the year, such as any major component upgrades and/or replacements </t>
  </si>
  <si>
    <t>Summary of Residue Handling for the reporting year</t>
  </si>
  <si>
    <t>Incinerator Bottom Ash (IBA) is sampled 4 times per year for permit compliance purposes, in particular for Total Organic Content where the permit has a limit of 3%. Full compliance was achieved during 2022; no values were above 3% with an average value of 1.34% achieved. 
Additional testing of IBA is undertaken in order to correctly classify the IBA. 24 samples (2 per month) were taken in 2022 to assess for any hazardous content within the IBA. During 2022 all 24 sample results were returned confirming the classification of the IBA as non-hazardous. 
All metals within the IBA are sent along with the non-hazardous IBA to a third party company who operate a permitted facility dedicated to management of bottom ash. Metals are segregated and sent for recycling while the remaining incinerator bottom ash is used as a substitute aggregate material for use within the construction industry.
Air Pollution Control Residues (APCr) formed from the cleaning of the flue gases are also analysed on a quarterly basis, albeit with no limits set within the permit. The APCr is tankered to a permitted treatment site where the material is used to neutralise highly acidic wastes before the resulting residue is sent for disposal.</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</si>
  <si>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</si>
  <si>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</si>
  <si>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</si>
  <si>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</si>
  <si>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</si>
  <si>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</si>
  <si>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</si>
  <si>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</si>
  <si>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</si>
  <si>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</si>
  <si>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</si>
  <si>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</si>
  <si>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</si>
  <si>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</si>
  <si>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</si>
  <si>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</si>
  <si>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D3</t>
  </si>
  <si>
    <t>IBA</t>
  </si>
  <si>
    <t>Total Hazardous Waste</t>
  </si>
  <si>
    <t>2) Non-Hazardous Wastes</t>
  </si>
  <si>
    <t>R05</t>
  </si>
  <si>
    <t>Ferrous Metal</t>
  </si>
  <si>
    <t>Process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</si>
  <si>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</si>
  <si>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</si>
  <si>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</si>
  <si>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</si>
  <si>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</si>
  <si>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</si>
  <si>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</si>
  <si>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</si>
  <si>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</si>
  <si>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</si>
  <si>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</si>
  <si>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</si>
  <si>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</si>
  <si>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</si>
  <si>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</si>
  <si>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</si>
  <si>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</si>
  <si>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</si>
  <si>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</si>
  <si>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</si>
  <si>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</si>
  <si>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</si>
  <si>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</si>
  <si>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</si>
  <si>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</si>
  <si>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</si>
  <si>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</si>
  <si>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</si>
  <si>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</si>
  <si>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</si>
  <si>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</si>
  <si>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</si>
  <si>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</si>
  <si>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</si>
  <si>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</si>
  <si>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</si>
  <si>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</si>
  <si>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</si>
  <si>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</si>
  <si>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</si>
  <si>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</si>
  <si>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</si>
  <si>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</si>
  <si>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</si>
  <si>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</si>
  <si>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</si>
  <si>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</si>
  <si>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</si>
  <si>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</si>
  <si>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</si>
  <si>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</si>
  <si>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</si>
  <si>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 xml:space="preserve">
100.00% 95% of 10-min averages</t>
  </si>
  <si>
    <t>Total organic carbon</t>
  </si>
  <si>
    <t>Hydrogen chloride</t>
  </si>
  <si>
    <t>Hydrogen fluoride</t>
  </si>
  <si>
    <t>xx.xx %</t>
  </si>
  <si>
    <t>Summary of any notifications or non-compliances under the permit</t>
  </si>
  <si>
    <t>Summary of notification or non-compliance [including Line/Reference]</t>
  </si>
  <si>
    <t xml:space="preserve">Reason </t>
  </si>
  <si>
    <t>Measures taken to prevent reoccurrence</t>
  </si>
  <si>
    <t>24.05.22</t>
  </si>
  <si>
    <t>Short spike of HCl on line 2 detected by CEMS</t>
  </si>
  <si>
    <t>Higher Chloride feedstock than expected</t>
  </si>
  <si>
    <t>Feedstock inspected and customers informed</t>
  </si>
  <si>
    <t>31.10.22</t>
  </si>
  <si>
    <t>Failure of the UPS along with a fault in the plant logic lead to the lime dosing operating at minimum despite rising HCl levels which caused an exceedence of the daily threshold on line 2</t>
  </si>
  <si>
    <t>Failure of UPS combined with fault in the DCS logic</t>
  </si>
  <si>
    <t>UPS replaced and logic rewritten to correct fault</t>
  </si>
  <si>
    <t>17.12.2022</t>
  </si>
  <si>
    <t>Exceedance of TOC threhold on line 1</t>
  </si>
  <si>
    <t>Explosion on the grate most likely caused by a gas cylinder</t>
  </si>
  <si>
    <t>Customers contacted and audits of customer sites arranged</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</si>
  <si>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</si>
  <si>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</si>
  <si>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</si>
  <si>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</si>
  <si>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</si>
  <si>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</si>
  <si>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Ongoing replacement of lighting with LED units to reduce electricity consumption.</t>
  </si>
  <si>
    <t>Summary of any permit improvement conditions that have been completed within the year and the resulting environmental benefits.</t>
  </si>
  <si>
    <t>IC17 of the draft permit variation was removed prior to issue due to completion of the BAT Conclusions Returns spreadsheet and agreement that the plant met the requirements for gross energy efficiency.</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</si>
  <si>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</si>
  <si>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</si>
  <si>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Increased use of inconel tubes in the boiler is expected to improve tube life and reduce the need for unplanned outage and consequently use of furnace flame.</t>
  </si>
  <si>
    <t>Details of Public &amp; Stakeholder Liasion</t>
  </si>
  <si>
    <t>Summary of events held during the reporting year.</t>
  </si>
  <si>
    <t>Description</t>
  </si>
  <si>
    <t>13.03.2022</t>
  </si>
  <si>
    <t>Biannual Community Liaison Group meeting</t>
  </si>
  <si>
    <t>16.11.2022</t>
  </si>
  <si>
    <t>List of events planned for next year</t>
  </si>
  <si>
    <t>2 x biannual Community Liaison Group meetings to be arranged for 2023</t>
  </si>
  <si>
    <t xml:space="preserve">If you wish to be involved in the public liasion programme, please contact info.eastcroft@fccenvironment.co.uk 0115 9869505 or visit https://eastcroft.fccenvironment.co.uk/contact-us/ </t>
  </si>
  <si>
    <t>Carbon dioxide emissions and biogenic content of waste inputs</t>
  </si>
  <si>
    <r>
      <t xml:space="preserve">Carbon dioxide emissions </t>
    </r>
    <r>
      <rPr>
        <sz val="12"/>
        <color theme="1"/>
        <rFont val="Arial"/>
        <family val="2"/>
      </rPr>
      <t>(all types of plant)</t>
    </r>
  </si>
  <si>
    <t>Annual mass of carbon dioxide released</t>
  </si>
  <si>
    <t xml:space="preserve">x tonnes </t>
  </si>
  <si>
    <t>Annual mass of carbon dioxide released per tonne of waste burned</t>
  </si>
  <si>
    <t>Annual mass of carbon dioxide released per MWh of energy exported</t>
  </si>
  <si>
    <t>Description of how annual carbon dioxide mass emission has been calculated</t>
  </si>
  <si>
    <t>CO2 CEMS data and flow used to calculate annual emission in tonnes for each line</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</si>
  <si>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</si>
  <si>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</si>
  <si>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</si>
  <si>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Description of how annual nitrous oxide mass emission has been calculated</t>
  </si>
  <si>
    <t>N2O CEMS data and flow used to calculate annual emission in tonnes for each line</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</si>
  <si>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</si>
  <si>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</si>
  <si>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x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</si>
  <si>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</si>
  <si>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</si>
  <si>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Description of how biogenic NCV percentage has been calculated or estimated</t>
  </si>
  <si>
    <t>Data was used from 2018 waste composition analysis to determine fraction of biogenic/non-biogenic material in the waste. NCV for biogenic/non-biogenic fractions was not available for Eastcroft so the data generated for Lincon EfW was used to estimate the NCV of thje Eastcroft biogenic fraction</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</si>
  <si>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</si>
  <si>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</si>
  <si>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</si>
  <si>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As above. CO2 generration is assumed to be the same for all combustible wastes once moisture content has been factored out.</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</si>
  <si>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</si>
  <si>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</si>
  <si>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</si>
  <si>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</si>
  <si>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Monitoring of residues for permit compliance was undertaken with full compliance to the residue limit recorded. 
No specific events were recorded during 2022.</t>
  </si>
  <si>
    <t xml:space="preserve">All 24 samples taken and analysed as per the ESA protocol were returned demonstrating that the Incinerator Bottom Ash should be classified as non-hazardous. </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</si>
  <si>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</si>
  <si>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</si>
  <si>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</si>
  <si>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</si>
  <si>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</si>
  <si>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</si>
  <si>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</si>
  <si>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</si>
  <si>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</si>
  <si>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</si>
  <si>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</si>
  <si>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</si>
  <si>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</si>
  <si>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</si>
  <si>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</si>
  <si>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t>Summary of monitoring undertaken, standards used and compliance</t>
  </si>
  <si>
    <t xml:space="preserve">Template may require adjustment for any bespoke monitoring requirements of permit. </t>
  </si>
  <si>
    <t>Results of emissions to air that are periodically monitored</t>
  </si>
  <si>
    <t>Ref. Period</t>
  </si>
  <si>
    <t>Emission Limit Value</t>
  </si>
  <si>
    <t>Average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</si>
  <si>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</si>
  <si>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</si>
  <si>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</si>
  <si>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</si>
  <si>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</si>
  <si>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</si>
  <si>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</si>
  <si>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</si>
  <si>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</si>
  <si>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</si>
  <si>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</si>
  <si>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</si>
  <si>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</si>
  <si>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</si>
  <si>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</si>
  <si>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</si>
  <si>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</si>
  <si>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</si>
  <si>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</si>
  <si>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</si>
  <si>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</si>
  <si>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</si>
  <si>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</si>
  <si>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&lt;0.0014</t>
  </si>
  <si>
    <t>Benzo(b)naptho(2,1-d) thiophene</t>
  </si>
  <si>
    <t>Benzo(c)phenanthrene</t>
  </si>
  <si>
    <t>&lt;0.00145</t>
  </si>
  <si>
    <t>Benzo(ghi)perylene</t>
  </si>
  <si>
    <t>Benzo(k)fluoranthene</t>
  </si>
  <si>
    <t>Cholanthrene</t>
  </si>
  <si>
    <t>Chrysene</t>
  </si>
  <si>
    <t>Cyclopenta(cd)pyrene</t>
  </si>
  <si>
    <t>Dibenzo(ai)pyrene</t>
  </si>
  <si>
    <t>&lt;0.0015</t>
  </si>
  <si>
    <t>Dibenzo(ah)anthracene</t>
  </si>
  <si>
    <t>Fluoranthene</t>
  </si>
  <si>
    <t>Indeno(123-cd) pyrene</t>
  </si>
  <si>
    <t>Naphthalene</t>
  </si>
  <si>
    <t>Emissions to Air (continously monitored)</t>
  </si>
  <si>
    <t>Template may require adjustment for any bespoke monitoring requirements of permit</t>
  </si>
  <si>
    <t>Report to 2 decimal places, i.e. xx.xx%</t>
  </si>
  <si>
    <t>Results of emissions to air that are continuously monitored (maximum and average values for each line)</t>
  </si>
  <si>
    <t>Reference Period</t>
  </si>
  <si>
    <t>Max.</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</si>
  <si>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</si>
  <si>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</si>
  <si>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</si>
  <si>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</si>
  <si>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</si>
  <si>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</si>
  <si>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</si>
  <si>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</si>
  <si>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</si>
  <si>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</si>
  <si>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</si>
  <si>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</si>
  <si>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</si>
  <si>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</si>
  <si>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</si>
  <si>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</si>
  <si>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</si>
  <si>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</si>
  <si>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</si>
  <si>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</si>
  <si>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</si>
  <si>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</si>
  <si>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</si>
  <si>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</si>
  <si>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</si>
  <si>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</si>
  <si>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</si>
  <si>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</si>
  <si>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</si>
  <si>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</si>
  <si>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</si>
  <si>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</si>
  <si>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</si>
  <si>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</si>
  <si>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</si>
  <si>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</si>
  <si>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</si>
  <si>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</si>
  <si>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</si>
  <si>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</si>
  <si>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</si>
  <si>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</si>
  <si>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</si>
  <si>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</si>
  <si>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</si>
  <si>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</si>
  <si>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</si>
  <si>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</si>
  <si>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</si>
  <si>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</si>
  <si>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</si>
  <si>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</si>
  <si>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</si>
  <si>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</si>
  <si>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</si>
  <si>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</si>
  <si>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</si>
  <si>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</si>
  <si>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</si>
  <si>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</si>
  <si>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</si>
  <si>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</si>
  <si>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</si>
  <si>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</si>
  <si>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</si>
  <si>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</si>
  <si>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</si>
  <si>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</si>
  <si>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</si>
  <si>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</si>
  <si>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</si>
  <si>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</si>
  <si>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</si>
  <si>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</si>
  <si>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Daily CO ELV</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</si>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</sst>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409]d\-mmm\-yy;@"/>
    <numFmt numFmtId="170" formatCode="0.000"/>
  </numFmts>
  <fonts count="39">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i/>
      <sz val="11"/>
      <color rgb="FFFF0000"/>
      <name val="Arial"/>
      <family val="2"/>
    </font>
    <font>
      <sz val="10"/>
      <name val="Arial"/>
      <family val="2"/>
    </font>
    <font>
      <u/>
      <sz val="11"/>
      <color theme="10"/>
      <name val="Calibri"/>
      <family val="2"/>
      <scheme val="minor"/>
    </font>
    <font>
      <sz val="12"/>
      <color rgb="FF000000"/>
      <name val="Pg-1ff10"/>
    </font>
    <font>
      <b/>
      <sz val="12"/>
      <color rgb="FF000000"/>
      <name val="Arial"/>
      <family val="2"/>
    </font>
  </fonts>
  <fills count="10">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
      <patternFill patternType="solid">
        <fgColor theme="0" tint="-0.14999847407452621"/>
        <bgColor indexed="64"/>
      </patternFill>
    </fill>
    <fill>
      <patternFill patternType="solid">
        <fgColor theme="0" tint="-0.249977111117893"/>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8">
    <xf numFmtId="0" fontId="0" fillId="0" borderId="0"/>
    <xf numFmtId="43" fontId="3" fillId="0" borderId="0" applyFont="0" applyFill="0" applyBorder="0" applyAlignment="0" applyProtection="0"/>
    <xf numFmtId="9" fontId="3" fillId="0" borderId="0" applyFont="0" applyFill="0" applyBorder="0" applyAlignment="0" applyProtection="0"/>
    <xf numFmtId="169" fontId="3" fillId="0" borderId="0"/>
    <xf numFmtId="169" fontId="3" fillId="0" borderId="0"/>
    <xf numFmtId="0" fontId="36" fillId="0" borderId="0" applyNumberFormat="0" applyFill="0" applyBorder="0" applyAlignment="0" applyProtection="0"/>
    <xf numFmtId="43" fontId="3" fillId="0" borderId="0" applyFont="0" applyFill="0" applyBorder="0" applyAlignment="0" applyProtection="0"/>
    <xf numFmtId="0" fontId="35" fillId="0" borderId="0"/>
  </cellStyleXfs>
  <cellXfs count="391">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5" borderId="2" xfId="0" applyFont="1" applyFill="1" applyBorder="1" applyAlignment="1">
      <alignment vertical="top"/>
    </xf>
    <xf numFmtId="0" fontId="2" fillId="0" borderId="2" xfId="0" applyFont="1" applyBorder="1" applyAlignment="1">
      <alignment horizontal="center" vertical="top"/>
    </xf>
    <xf numFmtId="0" fontId="2" fillId="0" borderId="2" xfId="0" applyFont="1" applyBorder="1" applyAlignment="1">
      <alignment horizontal="center" vertical="top" wrapText="1"/>
    </xf>
    <xf numFmtId="0" fontId="1" fillId="0" borderId="11" xfId="0" applyFont="1" applyBorder="1"/>
    <xf numFmtId="164" fontId="1" fillId="2" borderId="2" xfId="1" applyNumberFormat="1" applyFont="1" applyFill="1" applyBorder="1" applyAlignment="1">
      <alignment horizontal="center"/>
    </xf>
    <xf numFmtId="164" fontId="1" fillId="0" borderId="0" xfId="1" applyNumberFormat="1" applyFont="1" applyFill="1" applyAlignment="1">
      <alignment horizontal="center"/>
    </xf>
    <xf numFmtId="164" fontId="1" fillId="2" borderId="7" xfId="1" applyNumberFormat="1" applyFont="1" applyFill="1" applyBorder="1" applyAlignment="1">
      <alignment horizontal="center"/>
    </xf>
    <xf numFmtId="164" fontId="1" fillId="0" borderId="2" xfId="1" applyNumberFormat="1" applyFont="1" applyFill="1" applyBorder="1" applyAlignment="1">
      <alignment horizontal="center"/>
    </xf>
    <xf numFmtId="165" fontId="1" fillId="0" borderId="8" xfId="2" applyNumberFormat="1" applyFont="1" applyBorder="1" applyAlignment="1">
      <alignment horizontal="center"/>
    </xf>
    <xf numFmtId="0" fontId="37" fillId="0" borderId="0" xfId="0" applyFont="1"/>
    <xf numFmtId="0" fontId="1" fillId="2" borderId="2" xfId="0" applyFont="1" applyFill="1" applyBorder="1" applyAlignment="1">
      <alignment horizontal="left"/>
    </xf>
    <xf numFmtId="0" fontId="1" fillId="0" borderId="0" xfId="0" applyFont="1"/>
    <xf numFmtId="0" fontId="1" fillId="0" borderId="2" xfId="0" applyFont="1" applyBorder="1"/>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1" fillId="0" borderId="0" xfId="0" applyFont="1" applyAlignment="1">
      <alignment horizontal="center" vertical="center" wrapText="1"/>
    </xf>
    <xf numFmtId="0" fontId="1" fillId="2" borderId="2" xfId="0" applyFont="1" applyFill="1" applyBorder="1" applyAlignment="1">
      <alignment horizontal="center" vertical="center" wrapText="1"/>
    </xf>
    <xf numFmtId="0" fontId="1" fillId="0" borderId="2" xfId="0" applyFont="1" applyBorder="1" applyAlignment="1">
      <alignment horizontal="left" vertical="center" wrapText="1"/>
    </xf>
    <xf numFmtId="17" fontId="2" fillId="0" borderId="0" xfId="0" applyNumberFormat="1" applyFont="1"/>
    <xf numFmtId="0" fontId="2" fillId="2" borderId="0" xfId="0" applyFont="1" applyFill="1"/>
    <xf numFmtId="0" fontId="2" fillId="0" borderId="0" xfId="0" applyFont="1" applyAlignment="1">
      <alignment horizontal="left"/>
    </xf>
    <xf numFmtId="0" fontId="2" fillId="0" borderId="4" xfId="0" applyFont="1" applyBorder="1"/>
    <xf numFmtId="0" fontId="2" fillId="0" borderId="5" xfId="0" applyFont="1" applyBorder="1"/>
    <xf numFmtId="0" fontId="1" fillId="2" borderId="2" xfId="0" applyFont="1" applyFill="1" applyBorder="1" applyAlignment="1">
      <alignment horizontal="center"/>
    </xf>
    <xf numFmtId="0" fontId="1" fillId="2" borderId="2" xfId="0" applyFont="1" applyFill="1" applyBorder="1" applyAlignment="1">
      <alignment horizontal="center" vertical="top"/>
    </xf>
    <xf numFmtId="0" fontId="2" fillId="0" borderId="7" xfId="0" applyFont="1" applyBorder="1"/>
    <xf numFmtId="0" fontId="2" fillId="0" borderId="8" xfId="0" applyFont="1" applyBorder="1"/>
    <xf numFmtId="0" fontId="2" fillId="0" borderId="11" xfId="0" applyFont="1" applyBorder="1"/>
    <xf numFmtId="0" fontId="2" fillId="0" borderId="12" xfId="0" applyFont="1" applyBorder="1"/>
    <xf numFmtId="0" fontId="2" fillId="0" borderId="13" xfId="0" applyFont="1" applyBorder="1"/>
    <xf numFmtId="0" fontId="1" fillId="0" borderId="0" xfId="0" applyFont="1" applyAlignment="1">
      <alignment horizontal="center"/>
    </xf>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vertical="center"/>
    </xf>
    <xf numFmtId="0" fontId="1" fillId="0" borderId="9" xfId="0" applyFont="1" applyBorder="1" applyAlignment="1">
      <alignment vertical="center"/>
    </xf>
    <xf numFmtId="165" fontId="1" fillId="0" borderId="10" xfId="2" applyNumberFormat="1" applyFont="1" applyBorder="1" applyAlignment="1">
      <alignment horizontal="center"/>
    </xf>
    <xf numFmtId="164" fontId="1" fillId="8" borderId="0" xfId="1" applyNumberFormat="1" applyFont="1" applyFill="1" applyBorder="1" applyAlignment="1">
      <alignment horizontal="center"/>
    </xf>
    <xf numFmtId="0" fontId="1" fillId="7" borderId="9" xfId="0" applyFont="1" applyFill="1" applyBorder="1" applyAlignment="1">
      <alignment vertical="center"/>
    </xf>
    <xf numFmtId="165" fontId="1" fillId="0" borderId="10" xfId="2" applyNumberFormat="1" applyFont="1" applyFill="1" applyBorder="1" applyAlignment="1">
      <alignment horizontal="center"/>
    </xf>
    <xf numFmtId="164" fontId="1" fillId="2" borderId="0" xfId="1" applyNumberFormat="1" applyFont="1" applyFill="1" applyBorder="1" applyAlignment="1">
      <alignment horizont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6" xfId="0" applyFont="1" applyBorder="1"/>
    <xf numFmtId="164" fontId="1" fillId="0" borderId="8" xfId="0" applyNumberFormat="1" applyFont="1" applyBorder="1" applyAlignment="1">
      <alignment horizontal="center"/>
    </xf>
    <xf numFmtId="0" fontId="1" fillId="0" borderId="9" xfId="0" applyFont="1" applyBorder="1"/>
    <xf numFmtId="164" fontId="1" fillId="2" borderId="0" xfId="1" applyNumberFormat="1" applyFont="1" applyFill="1" applyAlignment="1">
      <alignment horizontal="center"/>
    </xf>
    <xf numFmtId="164" fontId="1" fillId="0" borderId="10" xfId="0" applyNumberFormat="1" applyFont="1" applyBorder="1" applyAlignment="1">
      <alignment horizontal="center"/>
    </xf>
    <xf numFmtId="0" fontId="1" fillId="0" borderId="0" xfId="0" applyFont="1" applyAlignment="1">
      <alignment horizontal="center" vertical="center"/>
    </xf>
    <xf numFmtId="165" fontId="1" fillId="0" borderId="0" xfId="2" applyNumberFormat="1" applyFont="1" applyAlignment="1">
      <alignment horizontal="center" vertical="center"/>
    </xf>
    <xf numFmtId="1" fontId="2" fillId="0" borderId="0" xfId="0" applyNumberFormat="1" applyFont="1"/>
    <xf numFmtId="0" fontId="1" fillId="0" borderId="12" xfId="0" applyFont="1" applyBorder="1"/>
    <xf numFmtId="166" fontId="1" fillId="2" borderId="12" xfId="0" applyNumberFormat="1" applyFont="1" applyFill="1" applyBorder="1"/>
    <xf numFmtId="166" fontId="1" fillId="0" borderId="12" xfId="0" applyNumberFormat="1" applyFont="1" applyBorder="1"/>
    <xf numFmtId="0" fontId="1" fillId="0" borderId="6" xfId="0" applyFont="1" applyBorder="1" applyAlignment="1">
      <alignment horizontal="center" vertical="center"/>
    </xf>
    <xf numFmtId="0" fontId="1" fillId="0" borderId="2" xfId="0" applyFont="1" applyBorder="1" applyAlignment="1">
      <alignment horizontal="center"/>
    </xf>
    <xf numFmtId="0" fontId="1" fillId="0" borderId="8" xfId="0" quotePrefix="1" applyFont="1" applyBorder="1" applyAlignment="1">
      <alignment horizontal="center"/>
    </xf>
    <xf numFmtId="0" fontId="1" fillId="2" borderId="9" xfId="0" applyFont="1" applyFill="1" applyBorder="1"/>
    <xf numFmtId="0" fontId="1" fillId="2" borderId="11" xfId="0" applyFont="1" applyFill="1" applyBorder="1"/>
    <xf numFmtId="164" fontId="1" fillId="2" borderId="12" xfId="1" applyNumberFormat="1" applyFont="1" applyFill="1" applyBorder="1" applyAlignment="1">
      <alignment horizontal="center"/>
    </xf>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1" fontId="1" fillId="0" borderId="2" xfId="0" applyNumberFormat="1" applyFont="1" applyBorder="1"/>
    <xf numFmtId="43" fontId="1" fillId="5" borderId="10" xfId="0" applyNumberFormat="1" applyFont="1" applyFill="1" applyBorder="1" applyAlignment="1">
      <alignment horizontal="center" vertical="center"/>
    </xf>
    <xf numFmtId="0" fontId="1" fillId="2" borderId="12" xfId="0" applyFont="1" applyFill="1" applyBorder="1" applyAlignment="1">
      <alignment horizontal="center" vertical="center"/>
    </xf>
    <xf numFmtId="43" fontId="1" fillId="5" borderId="13" xfId="0" applyNumberFormat="1" applyFont="1" applyFill="1" applyBorder="1" applyAlignment="1">
      <alignment horizontal="center" vertical="center"/>
    </xf>
    <xf numFmtId="0" fontId="1" fillId="0" borderId="6" xfId="0" applyFont="1" applyBorder="1" applyAlignment="1">
      <alignment horizontal="center"/>
    </xf>
    <xf numFmtId="0" fontId="1" fillId="9" borderId="2" xfId="0" applyFont="1" applyFill="1" applyBorder="1" applyAlignment="1">
      <alignment horizontal="center"/>
    </xf>
    <xf numFmtId="164" fontId="1" fillId="9" borderId="2" xfId="1" applyNumberFormat="1" applyFont="1" applyFill="1" applyBorder="1" applyAlignment="1">
      <alignment horizontal="center"/>
    </xf>
    <xf numFmtId="164" fontId="1" fillId="9" borderId="2" xfId="0" applyNumberFormat="1" applyFont="1" applyFill="1" applyBorder="1" applyAlignment="1">
      <alignment horizontal="center"/>
    </xf>
    <xf numFmtId="166" fontId="1" fillId="2" borderId="0" xfId="1" applyNumberFormat="1" applyFont="1" applyFill="1" applyAlignment="1">
      <alignment horizontal="center"/>
    </xf>
    <xf numFmtId="165" fontId="1" fillId="0" borderId="10" xfId="2" quotePrefix="1" applyNumberFormat="1" applyFont="1" applyBorder="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0" fontId="1" fillId="0" borderId="0" xfId="0" applyFont="1" applyAlignment="1">
      <alignment vertical="center"/>
    </xf>
    <xf numFmtId="4" fontId="1" fillId="0" borderId="2" xfId="0" applyNumberFormat="1" applyFont="1" applyBorder="1" applyAlignment="1">
      <alignment horizontal="center" vertical="center" wrapText="1"/>
    </xf>
    <xf numFmtId="4" fontId="1" fillId="2" borderId="2" xfId="0" applyNumberFormat="1" applyFont="1" applyFill="1" applyBorder="1" applyAlignment="1">
      <alignment horizontal="center" vertical="center" wrapText="1"/>
    </xf>
    <xf numFmtId="0" fontId="1" fillId="2" borderId="2" xfId="0" applyFont="1" applyFill="1" applyBorder="1" applyAlignment="1">
      <alignment vertical="center" wrapText="1"/>
    </xf>
    <xf numFmtId="0" fontId="2" fillId="2" borderId="2" xfId="0" applyFont="1" applyFill="1" applyBorder="1"/>
    <xf numFmtId="0" fontId="1" fillId="0" borderId="2" xfId="0" applyFont="1" applyBorder="1" applyAlignment="1">
      <alignment horizontal="center" vertical="center" wrapText="1"/>
    </xf>
    <xf numFmtId="9" fontId="1" fillId="0" borderId="2" xfId="0" applyNumberFormat="1" applyFont="1" applyBorder="1" applyAlignment="1">
      <alignment horizontal="center" vertical="center" wrapText="1"/>
    </xf>
    <xf numFmtId="0" fontId="1" fillId="8" borderId="2" xfId="0" applyFont="1" applyFill="1" applyBorder="1" applyAlignment="1">
      <alignment horizontal="center" vertical="center" wrapText="1"/>
    </xf>
    <xf numFmtId="0" fontId="1" fillId="5" borderId="2" xfId="0" applyFont="1" applyFill="1" applyBorder="1" applyAlignment="1">
      <alignment horizontal="center" vertical="center" wrapText="1"/>
    </xf>
    <xf numFmtId="2" fontId="1" fillId="5" borderId="2" xfId="0" applyNumberFormat="1" applyFont="1" applyFill="1" applyBorder="1" applyAlignment="1">
      <alignment horizontal="center" vertical="center" wrapText="1"/>
    </xf>
    <xf numFmtId="0" fontId="1" fillId="0" borderId="2" xfId="0" applyFont="1" applyBorder="1" applyAlignment="1">
      <alignment vertical="center" wrapText="1"/>
    </xf>
    <xf numFmtId="170" fontId="1" fillId="5" borderId="2" xfId="0" applyNumberFormat="1" applyFont="1" applyFill="1" applyBorder="1" applyAlignment="1">
      <alignment horizontal="center" vertical="center" wrapText="1"/>
    </xf>
    <xf numFmtId="0" fontId="1" fillId="0" borderId="1" xfId="0" applyFont="1" applyBorder="1" applyAlignment="1">
      <alignment horizontal="left" vertical="center" wrapText="1"/>
    </xf>
    <xf numFmtId="0" fontId="1" fillId="0" borderId="1" xfId="0" applyFont="1" applyBorder="1" applyAlignment="1">
      <alignment horizontal="center" vertical="center" wrapText="1"/>
    </xf>
    <xf numFmtId="0" fontId="1" fillId="5" borderId="1" xfId="0" applyFont="1" applyFill="1" applyBorder="1" applyAlignment="1">
      <alignment horizontal="center" vertical="center" wrapText="1"/>
    </xf>
    <xf numFmtId="2" fontId="1" fillId="5" borderId="1" xfId="0" applyNumberFormat="1" applyFont="1" applyFill="1" applyBorder="1" applyAlignment="1">
      <alignment horizontal="center" vertical="center" wrapText="1"/>
    </xf>
    <xf numFmtId="0" fontId="1" fillId="8" borderId="1" xfId="0" applyFont="1" applyFill="1" applyBorder="1" applyAlignment="1">
      <alignment horizontal="center" vertical="center" wrapText="1"/>
    </xf>
    <xf numFmtId="0" fontId="22" fillId="0" borderId="0" xfId="0" applyFont="1" applyAlignment="1">
      <alignment horizontal="left" wrapText="1"/>
    </xf>
    <xf numFmtId="0" fontId="8" fillId="2" borderId="0" xfId="0" applyFont="1" applyFill="1" applyAlignment="1">
      <alignment horizontal="center"/>
    </xf>
    <xf numFmtId="0" fontId="2" fillId="2" borderId="0" xfId="0" applyFont="1" applyFill="1" applyAlignment="1">
      <alignment horizontal="center" vertical="center"/>
    </xf>
    <xf numFmtId="0" fontId="2" fillId="2" borderId="0" xfId="0" applyFont="1" applyFill="1" applyAlignment="1">
      <alignment horizontal="center"/>
    </xf>
    <xf numFmtId="14" fontId="2" fillId="2" borderId="0" xfId="0" applyNumberFormat="1" applyFont="1" applyFill="1" applyAlignment="1">
      <alignment horizontal="center"/>
    </xf>
    <xf numFmtId="0" fontId="36" fillId="2" borderId="0" xfId="5" applyFill="1" applyAlignment="1">
      <alignment horizontal="center"/>
    </xf>
    <xf numFmtId="0" fontId="6" fillId="3" borderId="2" xfId="0" applyFont="1" applyFill="1" applyBorder="1" applyAlignment="1">
      <alignment horizontal="left"/>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7" fillId="0" borderId="2" xfId="0" applyFont="1" applyBorder="1" applyAlignment="1">
      <alignment horizontal="left"/>
    </xf>
    <xf numFmtId="0" fontId="1" fillId="2" borderId="2" xfId="0" applyFont="1" applyFill="1" applyBorder="1" applyAlignment="1">
      <alignment horizontal="left" vertical="top"/>
    </xf>
    <xf numFmtId="0" fontId="6" fillId="2" borderId="2" xfId="0" applyFont="1" applyFill="1" applyBorder="1" applyAlignment="1">
      <alignment horizontal="left"/>
    </xf>
    <xf numFmtId="0" fontId="10" fillId="0" borderId="2" xfId="0" applyFont="1" applyBorder="1" applyAlignment="1">
      <alignment horizontal="left"/>
    </xf>
    <xf numFmtId="0" fontId="1" fillId="2" borderId="2" xfId="0" applyFont="1" applyFill="1" applyBorder="1" applyAlignment="1">
      <alignment horizontal="left"/>
    </xf>
    <xf numFmtId="0" fontId="10" fillId="0" borderId="2" xfId="0" applyFont="1" applyBorder="1" applyAlignment="1">
      <alignment horizontal="left" vertical="top"/>
    </xf>
    <xf numFmtId="0" fontId="6"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2" fillId="0" borderId="0" xfId="0" applyFont="1" applyAlignment="1">
      <alignment horizontal="left" vertical="top" wrapText="1"/>
    </xf>
    <xf numFmtId="0" fontId="1" fillId="0" borderId="6" xfId="0" applyFont="1" applyBorder="1" applyAlignment="1">
      <alignment horizontal="left" vertical="center" wrapText="1"/>
    </xf>
    <xf numFmtId="0" fontId="1" fillId="0" borderId="9" xfId="0" applyFont="1" applyBorder="1" applyAlignment="1">
      <alignment horizontal="left" vertical="center" wrapText="1"/>
    </xf>
    <xf numFmtId="0" fontId="12" fillId="0" borderId="0" xfId="0" applyFont="1" applyAlignment="1">
      <alignment horizontal="left" wrapText="1"/>
    </xf>
    <xf numFmtId="0" fontId="12" fillId="0" borderId="0" xfId="0" applyFont="1" applyAlignment="1">
      <alignment horizontal="left" vertical="top" wrapText="1"/>
    </xf>
    <xf numFmtId="0" fontId="1" fillId="0" borderId="7" xfId="0" applyFont="1" applyBorder="1" applyAlignment="1">
      <alignment horizontal="center" vertical="center" textRotation="90"/>
    </xf>
    <xf numFmtId="0" fontId="1" fillId="0" borderId="0" xfId="0" applyFont="1" applyAlignment="1">
      <alignment horizontal="center" vertical="center" textRotation="90"/>
    </xf>
    <xf numFmtId="0" fontId="1" fillId="0" borderId="12" xfId="0" applyFont="1" applyBorder="1" applyAlignment="1">
      <alignment horizontal="center" vertical="center" textRotation="90"/>
    </xf>
    <xf numFmtId="164" fontId="6" fillId="2" borderId="7" xfId="1" applyNumberFormat="1" applyFont="1" applyFill="1" applyBorder="1" applyAlignment="1"/>
    <xf numFmtId="0" fontId="1" fillId="0" borderId="0" xfId="0" applyFont="1" applyAlignment="1">
      <alignment horizontal="center" textRotation="90"/>
    </xf>
    <xf numFmtId="0" fontId="1" fillId="0" borderId="2" xfId="0" applyFont="1" applyBorder="1" applyAlignment="1">
      <alignment horizontal="left" vertical="center" wrapText="1"/>
    </xf>
    <xf numFmtId="0" fontId="1" fillId="2" borderId="2" xfId="0" applyFont="1" applyFill="1" applyBorder="1" applyAlignment="1">
      <alignment horizontal="center" vertical="center" wrapText="1"/>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1" fillId="2" borderId="2" xfId="0" applyFont="1" applyFill="1" applyBorder="1" applyAlignment="1">
      <alignment horizontal="left"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4" xfId="0" applyFont="1" applyBorder="1" applyAlignment="1">
      <alignment vertical="center" wrapText="1"/>
    </xf>
    <xf numFmtId="0" fontId="1" fillId="0" borderId="1" xfId="0" applyFont="1" applyBorder="1" applyAlignment="1">
      <alignment vertical="center" wrapText="1"/>
    </xf>
    <xf numFmtId="168" fontId="1" fillId="0" borderId="1" xfId="0" applyNumberFormat="1" applyFont="1" applyBorder="1" applyAlignment="1">
      <alignment horizontal="center" vertical="center" wrapText="1"/>
    </xf>
    <xf numFmtId="0" fontId="1" fillId="2" borderId="2" xfId="0" applyFont="1" applyFill="1" applyBorder="1" applyAlignment="1">
      <alignment vertical="center" wrapText="1"/>
    </xf>
    <xf numFmtId="0" fontId="1" fillId="0" borderId="2" xfId="0" applyFont="1" applyBorder="1" applyAlignment="1">
      <alignment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 fillId="0" borderId="5" xfId="0" applyFont="1" applyBorder="1" applyAlignment="1">
      <alignment horizontal="left" vertical="center" wrapText="1"/>
    </xf>
    <xf numFmtId="0" fontId="1" fillId="0" borderId="3" xfId="0"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165" fontId="1" fillId="0" borderId="2" xfId="2" applyNumberFormat="1" applyFont="1" applyBorder="1" applyAlignment="1">
      <alignment horizontal="center"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0" fontId="14" fillId="4" borderId="2" xfId="0" applyFont="1" applyFill="1" applyBorder="1" applyAlignment="1">
      <alignment horizontal="left" vertical="center" wrapText="1"/>
    </xf>
    <xf numFmtId="0" fontId="6" fillId="0" borderId="0" xfId="0" applyFont="1" applyAlignment="1">
      <alignment horizontal="center" vertical="top"/>
    </xf>
    <xf numFmtId="167" fontId="6" fillId="0" borderId="0" xfId="0" applyNumberFormat="1" applyFont="1" applyAlignment="1">
      <alignment horizontal="center" vertical="top"/>
    </xf>
    <xf numFmtId="3" fontId="1" fillId="0" borderId="2" xfId="0" applyNumberFormat="1" applyFont="1" applyBorder="1" applyAlignment="1">
      <alignment horizontal="center" vertical="center" wrapText="1"/>
    </xf>
    <xf numFmtId="1" fontId="1" fillId="0" borderId="2" xfId="0" applyNumberFormat="1" applyFont="1" applyBorder="1" applyAlignment="1">
      <alignment horizontal="center" vertical="center"/>
    </xf>
    <xf numFmtId="0" fontId="1" fillId="0" borderId="2" xfId="0" applyFont="1" applyBorder="1" applyAlignment="1">
      <alignment horizontal="center" vertical="center" wrapText="1"/>
    </xf>
    <xf numFmtId="0" fontId="1" fillId="5" borderId="2" xfId="0" applyFont="1" applyFill="1" applyBorder="1" applyAlignment="1">
      <alignment horizontal="center" vertical="center" wrapText="1"/>
    </xf>
    <xf numFmtId="0" fontId="1" fillId="0" borderId="2" xfId="0" applyFont="1" applyBorder="1" applyAlignment="1">
      <alignment horizontal="left"/>
    </xf>
    <xf numFmtId="0" fontId="1" fillId="2" borderId="2" xfId="0" applyFont="1" applyFill="1" applyBorder="1" applyAlignment="1">
      <alignment horizontal="left" vertical="top" wrapText="1"/>
    </xf>
    <xf numFmtId="0" fontId="10" fillId="0" borderId="7" xfId="0" applyFont="1" applyBorder="1" applyAlignment="1">
      <alignment horizontal="center" wrapText="1"/>
    </xf>
    <xf numFmtId="0" fontId="7" fillId="0" borderId="2" xfId="0" applyFont="1" applyBorder="1" applyAlignment="1">
      <alignment horizontal="left" vertical="center" wrapText="1"/>
    </xf>
    <xf numFmtId="10" fontId="1" fillId="2" borderId="2" xfId="0" applyNumberFormat="1" applyFont="1" applyFill="1" applyBorder="1" applyAlignment="1">
      <alignment horizontal="center" vertical="center"/>
    </xf>
    <xf numFmtId="0" fontId="1" fillId="2" borderId="2" xfId="0" applyFont="1" applyFill="1" applyBorder="1" applyAlignment="1">
      <alignment horizontal="center" vertical="center"/>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6" fillId="7" borderId="3" xfId="0" applyFont="1" applyFill="1" applyBorder="1" applyAlignment="1">
      <alignment horizontal="center"/>
    </xf>
    <xf numFmtId="0" fontId="6" fillId="7" borderId="5" xfId="0" applyFont="1" applyFill="1" applyBorder="1" applyAlignment="1">
      <alignment horizontal="center"/>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1" fillId="2" borderId="3" xfId="0" applyFont="1" applyFill="1" applyBorder="1" applyAlignment="1">
      <alignment horizontal="left"/>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1" fillId="2" borderId="6" xfId="0" applyFont="1" applyFill="1" applyBorder="1" applyAlignment="1">
      <alignment horizontal="left"/>
    </xf>
    <xf numFmtId="0" fontId="1" fillId="2" borderId="7" xfId="0" applyFont="1" applyFill="1" applyBorder="1" applyAlignment="1">
      <alignment horizontal="left"/>
    </xf>
    <xf numFmtId="0" fontId="1" fillId="2" borderId="8" xfId="0" applyFont="1" applyFill="1" applyBorder="1" applyAlignment="1">
      <alignment horizontal="left"/>
    </xf>
    <xf numFmtId="0" fontId="1" fillId="2" borderId="9" xfId="0" applyFont="1" applyFill="1" applyBorder="1" applyAlignment="1">
      <alignment horizontal="left"/>
    </xf>
    <xf numFmtId="0" fontId="1" fillId="2" borderId="0" xfId="0" applyFont="1" applyFill="1" applyAlignment="1">
      <alignment horizontal="left"/>
    </xf>
    <xf numFmtId="0" fontId="1" fillId="2" borderId="10" xfId="0" applyFont="1" applyFill="1" applyBorder="1" applyAlignment="1">
      <alignment horizontal="left"/>
    </xf>
    <xf numFmtId="0" fontId="1" fillId="2" borderId="11" xfId="0" applyFont="1" applyFill="1" applyBorder="1" applyAlignment="1">
      <alignment horizontal="left"/>
    </xf>
    <xf numFmtId="0" fontId="1" fillId="2" borderId="12" xfId="0" applyFont="1" applyFill="1" applyBorder="1" applyAlignment="1">
      <alignment horizontal="left"/>
    </xf>
    <xf numFmtId="0" fontId="1" fillId="2" borderId="13" xfId="0" applyFont="1" applyFill="1" applyBorder="1" applyAlignment="1">
      <alignment horizontal="left"/>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1" fillId="2" borderId="6" xfId="0" applyFont="1" applyFill="1" applyBorder="1" applyAlignment="1">
      <alignment horizontal="left" vertical="top"/>
    </xf>
    <xf numFmtId="0" fontId="0" fillId="0" borderId="0" xfId="0" applyAlignment="1">
      <alignment wrapText="1"/>
    </xf>
    <xf numFmtId="0" fontId="2" fillId="0" borderId="0" xfId="0" applyFont="1" applyAlignment="1">
      <alignment vertical="top" wrapText="1"/>
    </xf>
    <xf numFmtId="0" fontId="34" fillId="0" borderId="2" xfId="0" applyFont="1" applyBorder="1" applyAlignment="1">
      <alignment vertical="top" wrapText="1"/>
    </xf>
    <xf numFmtId="0" fontId="0" fillId="0" borderId="2" xfId="0" applyBorder="1" applyAlignment="1">
      <alignment vertical="top" wrapText="1"/>
    </xf>
    <xf numFmtId="0" fontId="4" fillId="0" borderId="2" xfId="0" applyFont="1" applyBorder="1" applyAlignment="1">
      <alignment vertical="top" wrapText="1"/>
    </xf>
    <xf numFmtId="0" fontId="0" fillId="0" borderId="2" xfId="0" applyBorder="1" applyAlignment="1">
      <alignment vertical="top"/>
    </xf>
    <xf numFmtId="0" fontId="34" fillId="0" borderId="3" xfId="0" applyFont="1" applyBorder="1" applyAlignment="1">
      <alignment vertical="top" wrapText="1"/>
    </xf>
    <xf numFmtId="0" fontId="0" fillId="0" borderId="5" xfId="0" applyBorder="1" applyAlignment="1">
      <alignment vertical="top" wrapText="1"/>
    </xf>
    <xf numFmtId="0" fontId="2" fillId="0" borderId="2" xfId="0" applyFont="1" applyBorder="1" applyAlignment="1">
      <alignment vertical="top" wrapText="1"/>
    </xf>
    <xf numFmtId="0" fontId="18" fillId="0" borderId="2" xfId="0" applyFont="1" applyBorder="1" applyAlignment="1">
      <alignment horizontal="left" vertical="center" wrapText="1"/>
    </xf>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23" fillId="0" borderId="0" xfId="0" applyFont="1" applyAlignment="1">
      <alignment horizontal="left" vertical="top" wrapText="1"/>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7" fillId="0" borderId="3" xfId="0" applyFont="1" applyBorder="1" applyAlignment="1">
      <alignment horizontal="left" vertical="top"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cellXfs>
  <cellStyles count="8">
    <cellStyle name="Comma" xfId="1" builtinId="3"/>
    <cellStyle name="Comma 2" xfId="6" xr:uid="{00000000-0005-0000-0000-000001000000}"/>
    <cellStyle name="Hyperlink" xfId="5" builtinId="8"/>
    <cellStyle name="Normal" xfId="0" builtinId="0"/>
    <cellStyle name="Normal 10" xfId="3" xr:uid="{00000000-0005-0000-0000-000004000000}"/>
    <cellStyle name="Normal 2" xfId="4" xr:uid="{00000000-0005-0000-0000-000005000000}"/>
    <cellStyle name="Normal 3" xfId="7" xr:uid="{00000000-0005-0000-0000-000006000000}"/>
    <cellStyle name="Percent" xfId="2" builtinId="5"/>
  </cellStyles>
  <dxfs count="0"/>
  <tableStyles count="0" defaultTableStyle="TableStyleMedium2" defaultPivotStyle="PivotStyleLight16"/>
  <colors>
    <mruColors>
      <color rgb="FF99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9.6</c:v>
                </c:pt>
                <c:pt idx="1">
                  <c:v>9.6999999999999993</c:v>
                </c:pt>
                <c:pt idx="2">
                  <c:v>9.1000000000000014</c:v>
                </c:pt>
                <c:pt idx="3">
                  <c:v>10.5</c:v>
                </c:pt>
                <c:pt idx="4">
                  <c:v>10.9</c:v>
                </c:pt>
                <c:pt idx="5">
                  <c:v>11.2</c:v>
                </c:pt>
                <c:pt idx="6">
                  <c:v>11.1</c:v>
                </c:pt>
                <c:pt idx="7">
                  <c:v>12.2</c:v>
                </c:pt>
                <c:pt idx="8">
                  <c:v>11.6</c:v>
                </c:pt>
                <c:pt idx="9">
                  <c:v>11.3</c:v>
                </c:pt>
                <c:pt idx="10">
                  <c:v>10.7</c:v>
                </c:pt>
                <c:pt idx="11">
                  <c:v>9.1999999999999993</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59.699999999999996</c:v>
                </c:pt>
                <c:pt idx="1">
                  <c:v>20.6</c:v>
                </c:pt>
                <c:pt idx="2">
                  <c:v>26.700000000000003</c:v>
                </c:pt>
                <c:pt idx="3">
                  <c:v>23.5</c:v>
                </c:pt>
                <c:pt idx="4">
                  <c:v>74.900000000000006</c:v>
                </c:pt>
                <c:pt idx="5">
                  <c:v>72.099999999999994</c:v>
                </c:pt>
                <c:pt idx="6">
                  <c:v>24.7</c:v>
                </c:pt>
                <c:pt idx="7">
                  <c:v>61.6</c:v>
                </c:pt>
                <c:pt idx="8">
                  <c:v>33.9</c:v>
                </c:pt>
                <c:pt idx="9">
                  <c:v>69.300000000000011</c:v>
                </c:pt>
                <c:pt idx="10">
                  <c:v>54.4</c:v>
                </c:pt>
                <c:pt idx="11">
                  <c:v>17</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9.5</c:v>
                </c:pt>
                <c:pt idx="1">
                  <c:v>9.6</c:v>
                </c:pt>
                <c:pt idx="2">
                  <c:v>9</c:v>
                </c:pt>
                <c:pt idx="3">
                  <c:v>10.5</c:v>
                </c:pt>
                <c:pt idx="4">
                  <c:v>10.8</c:v>
                </c:pt>
                <c:pt idx="5">
                  <c:v>11</c:v>
                </c:pt>
                <c:pt idx="6">
                  <c:v>11.1</c:v>
                </c:pt>
                <c:pt idx="7">
                  <c:v>12.2</c:v>
                </c:pt>
                <c:pt idx="8">
                  <c:v>11.4</c:v>
                </c:pt>
                <c:pt idx="9">
                  <c:v>11.2</c:v>
                </c:pt>
                <c:pt idx="10">
                  <c:v>10.7</c:v>
                </c:pt>
                <c:pt idx="11">
                  <c:v>9.1</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11.100000000000001</c:v>
                </c:pt>
                <c:pt idx="1">
                  <c:v>11.3</c:v>
                </c:pt>
                <c:pt idx="2">
                  <c:v>11</c:v>
                </c:pt>
                <c:pt idx="3">
                  <c:v>11.600000000000001</c:v>
                </c:pt>
                <c:pt idx="4">
                  <c:v>13</c:v>
                </c:pt>
                <c:pt idx="5">
                  <c:v>13.5</c:v>
                </c:pt>
                <c:pt idx="6">
                  <c:v>13.600000000000001</c:v>
                </c:pt>
                <c:pt idx="7">
                  <c:v>13.899999999999999</c:v>
                </c:pt>
                <c:pt idx="8">
                  <c:v>12.600000000000001</c:v>
                </c:pt>
                <c:pt idx="9">
                  <c:v>18.5</c:v>
                </c:pt>
                <c:pt idx="10">
                  <c:v>13.3</c:v>
                </c:pt>
                <c:pt idx="11">
                  <c:v>11.4</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51858768"/>
        <c:axId val="351774544"/>
      </c:lineChart>
      <c:catAx>
        <c:axId val="351858768"/>
        <c:scaling>
          <c:orientation val="minMax"/>
        </c:scaling>
        <c:delete val="0"/>
        <c:axPos val="b"/>
        <c:numFmt formatCode="General" sourceLinked="1"/>
        <c:majorTickMark val="out"/>
        <c:minorTickMark val="none"/>
        <c:tickLblPos val="nextTo"/>
        <c:crossAx val="351774544"/>
        <c:crosses val="autoZero"/>
        <c:auto val="1"/>
        <c:lblAlgn val="ctr"/>
        <c:lblOffset val="100"/>
        <c:noMultiLvlLbl val="0"/>
      </c:catAx>
      <c:valAx>
        <c:axId val="35177454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5185876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29.8</c:v>
                </c:pt>
                <c:pt idx="1">
                  <c:v>34.599999999999994</c:v>
                </c:pt>
                <c:pt idx="2">
                  <c:v>33.9</c:v>
                </c:pt>
                <c:pt idx="3">
                  <c:v>26.6</c:v>
                </c:pt>
                <c:pt idx="4">
                  <c:v>29.5</c:v>
                </c:pt>
                <c:pt idx="5">
                  <c:v>30.6</c:v>
                </c:pt>
                <c:pt idx="6">
                  <c:v>36.799999999999997</c:v>
                </c:pt>
                <c:pt idx="7">
                  <c:v>23.1</c:v>
                </c:pt>
                <c:pt idx="8">
                  <c:v>19.2</c:v>
                </c:pt>
                <c:pt idx="9">
                  <c:v>27.8</c:v>
                </c:pt>
                <c:pt idx="10">
                  <c:v>28.6</c:v>
                </c:pt>
                <c:pt idx="11">
                  <c:v>38.200000000000003</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97.4</c:v>
                </c:pt>
                <c:pt idx="1">
                  <c:v>121.8</c:v>
                </c:pt>
                <c:pt idx="2">
                  <c:v>185.7</c:v>
                </c:pt>
                <c:pt idx="3">
                  <c:v>98.2</c:v>
                </c:pt>
                <c:pt idx="4">
                  <c:v>97</c:v>
                </c:pt>
                <c:pt idx="5">
                  <c:v>143.80000000000001</c:v>
                </c:pt>
                <c:pt idx="6">
                  <c:v>151.30000000000001</c:v>
                </c:pt>
                <c:pt idx="7">
                  <c:v>146.4</c:v>
                </c:pt>
                <c:pt idx="8">
                  <c:v>75.099999999999994</c:v>
                </c:pt>
                <c:pt idx="9">
                  <c:v>154.1</c:v>
                </c:pt>
                <c:pt idx="10">
                  <c:v>106.6</c:v>
                </c:pt>
                <c:pt idx="11">
                  <c:v>108.9</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29.7</c:v>
                </c:pt>
                <c:pt idx="1">
                  <c:v>34.4</c:v>
                </c:pt>
                <c:pt idx="2">
                  <c:v>33.799999999999997</c:v>
                </c:pt>
                <c:pt idx="3">
                  <c:v>26.4</c:v>
                </c:pt>
                <c:pt idx="4">
                  <c:v>29.5</c:v>
                </c:pt>
                <c:pt idx="5">
                  <c:v>30.400000000000002</c:v>
                </c:pt>
                <c:pt idx="6">
                  <c:v>35</c:v>
                </c:pt>
                <c:pt idx="7">
                  <c:v>23.2</c:v>
                </c:pt>
                <c:pt idx="8">
                  <c:v>19.2</c:v>
                </c:pt>
                <c:pt idx="9">
                  <c:v>27.4</c:v>
                </c:pt>
                <c:pt idx="10">
                  <c:v>28.5</c:v>
                </c:pt>
                <c:pt idx="11">
                  <c:v>38.1</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40.700000000000003</c:v>
                </c:pt>
                <c:pt idx="1">
                  <c:v>43.5</c:v>
                </c:pt>
                <c:pt idx="2">
                  <c:v>49.4</c:v>
                </c:pt>
                <c:pt idx="3">
                  <c:v>34.700000000000003</c:v>
                </c:pt>
                <c:pt idx="4">
                  <c:v>37.400000000000006</c:v>
                </c:pt>
                <c:pt idx="5">
                  <c:v>40.1</c:v>
                </c:pt>
                <c:pt idx="6">
                  <c:v>68.7</c:v>
                </c:pt>
                <c:pt idx="7">
                  <c:v>37.900000000000006</c:v>
                </c:pt>
                <c:pt idx="8">
                  <c:v>27.8</c:v>
                </c:pt>
                <c:pt idx="9">
                  <c:v>60.7</c:v>
                </c:pt>
                <c:pt idx="10">
                  <c:v>40.099999999999994</c:v>
                </c:pt>
                <c:pt idx="11">
                  <c:v>54</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52574248"/>
        <c:axId val="352575312"/>
      </c:lineChart>
      <c:catAx>
        <c:axId val="352574248"/>
        <c:scaling>
          <c:orientation val="minMax"/>
        </c:scaling>
        <c:delete val="0"/>
        <c:axPos val="b"/>
        <c:numFmt formatCode="General" sourceLinked="1"/>
        <c:majorTickMark val="out"/>
        <c:minorTickMark val="none"/>
        <c:tickLblPos val="nextTo"/>
        <c:crossAx val="352575312"/>
        <c:crosses val="autoZero"/>
        <c:auto val="1"/>
        <c:lblAlgn val="ctr"/>
        <c:lblOffset val="100"/>
        <c:noMultiLvlLbl val="0"/>
      </c:catAx>
      <c:valAx>
        <c:axId val="35257531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5257424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297.3</c:v>
                </c:pt>
                <c:pt idx="1">
                  <c:v>301</c:v>
                </c:pt>
                <c:pt idx="2">
                  <c:v>293.8</c:v>
                </c:pt>
                <c:pt idx="3">
                  <c:v>327.79999999999995</c:v>
                </c:pt>
                <c:pt idx="4">
                  <c:v>355.9</c:v>
                </c:pt>
                <c:pt idx="5">
                  <c:v>354.6</c:v>
                </c:pt>
                <c:pt idx="6">
                  <c:v>333.70000000000005</c:v>
                </c:pt>
                <c:pt idx="7">
                  <c:v>308.39999999999998</c:v>
                </c:pt>
                <c:pt idx="8">
                  <c:v>336.5</c:v>
                </c:pt>
                <c:pt idx="9">
                  <c:v>344.8</c:v>
                </c:pt>
                <c:pt idx="10">
                  <c:v>350.3</c:v>
                </c:pt>
                <c:pt idx="11">
                  <c:v>336.2</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377</c:v>
                </c:pt>
                <c:pt idx="1">
                  <c:v>404.8</c:v>
                </c:pt>
                <c:pt idx="2">
                  <c:v>384.6</c:v>
                </c:pt>
                <c:pt idx="3">
                  <c:v>529.6</c:v>
                </c:pt>
                <c:pt idx="4">
                  <c:v>473.3</c:v>
                </c:pt>
                <c:pt idx="5">
                  <c:v>481.2</c:v>
                </c:pt>
                <c:pt idx="6">
                  <c:v>549</c:v>
                </c:pt>
                <c:pt idx="7">
                  <c:v>434.4</c:v>
                </c:pt>
                <c:pt idx="8">
                  <c:v>455.9</c:v>
                </c:pt>
                <c:pt idx="9">
                  <c:v>518.79999999999995</c:v>
                </c:pt>
                <c:pt idx="10">
                  <c:v>554.6</c:v>
                </c:pt>
                <c:pt idx="11">
                  <c:v>504.3</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297.3</c:v>
                </c:pt>
                <c:pt idx="1">
                  <c:v>301.10000000000002</c:v>
                </c:pt>
                <c:pt idx="2">
                  <c:v>293.8</c:v>
                </c:pt>
                <c:pt idx="3">
                  <c:v>326.3</c:v>
                </c:pt>
                <c:pt idx="4">
                  <c:v>355.79999999999995</c:v>
                </c:pt>
                <c:pt idx="5">
                  <c:v>354.6</c:v>
                </c:pt>
                <c:pt idx="6">
                  <c:v>332.1</c:v>
                </c:pt>
                <c:pt idx="7">
                  <c:v>308.5</c:v>
                </c:pt>
                <c:pt idx="8">
                  <c:v>336.5</c:v>
                </c:pt>
                <c:pt idx="9">
                  <c:v>344.8</c:v>
                </c:pt>
                <c:pt idx="10">
                  <c:v>350.3</c:v>
                </c:pt>
                <c:pt idx="11">
                  <c:v>336.1</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319.39999999999998</c:v>
                </c:pt>
                <c:pt idx="1">
                  <c:v>324.70000000000005</c:v>
                </c:pt>
                <c:pt idx="2">
                  <c:v>316.3</c:v>
                </c:pt>
                <c:pt idx="3">
                  <c:v>375</c:v>
                </c:pt>
                <c:pt idx="4">
                  <c:v>383.3</c:v>
                </c:pt>
                <c:pt idx="5">
                  <c:v>374.9</c:v>
                </c:pt>
                <c:pt idx="6">
                  <c:v>364.5</c:v>
                </c:pt>
                <c:pt idx="7">
                  <c:v>345.3</c:v>
                </c:pt>
                <c:pt idx="8">
                  <c:v>360.7</c:v>
                </c:pt>
                <c:pt idx="9">
                  <c:v>387.7</c:v>
                </c:pt>
                <c:pt idx="10">
                  <c:v>383</c:v>
                </c:pt>
                <c:pt idx="11">
                  <c:v>359.7</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52967848"/>
        <c:axId val="352881640"/>
      </c:lineChart>
      <c:catAx>
        <c:axId val="352967848"/>
        <c:scaling>
          <c:orientation val="minMax"/>
        </c:scaling>
        <c:delete val="0"/>
        <c:axPos val="b"/>
        <c:numFmt formatCode="General" sourceLinked="1"/>
        <c:majorTickMark val="out"/>
        <c:minorTickMark val="none"/>
        <c:tickLblPos val="nextTo"/>
        <c:crossAx val="352881640"/>
        <c:crosses val="autoZero"/>
        <c:auto val="1"/>
        <c:lblAlgn val="ctr"/>
        <c:lblOffset val="100"/>
        <c:noMultiLvlLbl val="0"/>
      </c:catAx>
      <c:valAx>
        <c:axId val="3528816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5296784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1</c:v>
                </c:pt>
                <c:pt idx="1">
                  <c:v>1</c:v>
                </c:pt>
                <c:pt idx="2">
                  <c:v>1</c:v>
                </c:pt>
                <c:pt idx="3">
                  <c:v>1.1000000000000001</c:v>
                </c:pt>
                <c:pt idx="4">
                  <c:v>1</c:v>
                </c:pt>
                <c:pt idx="5">
                  <c:v>1</c:v>
                </c:pt>
                <c:pt idx="6">
                  <c:v>1.5</c:v>
                </c:pt>
                <c:pt idx="7">
                  <c:v>1.1000000000000001</c:v>
                </c:pt>
                <c:pt idx="8">
                  <c:v>1.2</c:v>
                </c:pt>
                <c:pt idx="9">
                  <c:v>1.6</c:v>
                </c:pt>
                <c:pt idx="10">
                  <c:v>1.3</c:v>
                </c:pt>
                <c:pt idx="11">
                  <c:v>1.3</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13.7</c:v>
                </c:pt>
                <c:pt idx="1">
                  <c:v>14</c:v>
                </c:pt>
                <c:pt idx="2">
                  <c:v>18.600000000000001</c:v>
                </c:pt>
                <c:pt idx="3">
                  <c:v>34.700000000000003</c:v>
                </c:pt>
                <c:pt idx="4">
                  <c:v>26.200000000000003</c:v>
                </c:pt>
                <c:pt idx="5">
                  <c:v>20</c:v>
                </c:pt>
                <c:pt idx="6">
                  <c:v>23.2</c:v>
                </c:pt>
                <c:pt idx="7">
                  <c:v>23.9</c:v>
                </c:pt>
                <c:pt idx="8">
                  <c:v>24.1</c:v>
                </c:pt>
                <c:pt idx="9">
                  <c:v>33.5</c:v>
                </c:pt>
                <c:pt idx="10">
                  <c:v>25.700000000000003</c:v>
                </c:pt>
                <c:pt idx="11">
                  <c:v>40.4</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0.8</c:v>
                </c:pt>
                <c:pt idx="1">
                  <c:v>0.9</c:v>
                </c:pt>
                <c:pt idx="2">
                  <c:v>0.9</c:v>
                </c:pt>
                <c:pt idx="3">
                  <c:v>1</c:v>
                </c:pt>
                <c:pt idx="4">
                  <c:v>1</c:v>
                </c:pt>
                <c:pt idx="5">
                  <c:v>1</c:v>
                </c:pt>
                <c:pt idx="6">
                  <c:v>1.2999999999999998</c:v>
                </c:pt>
                <c:pt idx="7">
                  <c:v>1.1000000000000001</c:v>
                </c:pt>
                <c:pt idx="8">
                  <c:v>1.1000000000000001</c:v>
                </c:pt>
                <c:pt idx="9">
                  <c:v>1.5</c:v>
                </c:pt>
                <c:pt idx="10">
                  <c:v>1.2000000000000002</c:v>
                </c:pt>
                <c:pt idx="11">
                  <c:v>1.3</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1.2</c:v>
                </c:pt>
                <c:pt idx="1">
                  <c:v>1.2999999999999998</c:v>
                </c:pt>
                <c:pt idx="2">
                  <c:v>1.4</c:v>
                </c:pt>
                <c:pt idx="3">
                  <c:v>1.2999999999999998</c:v>
                </c:pt>
                <c:pt idx="4">
                  <c:v>1.4</c:v>
                </c:pt>
                <c:pt idx="5">
                  <c:v>1.4</c:v>
                </c:pt>
                <c:pt idx="6">
                  <c:v>2.7</c:v>
                </c:pt>
                <c:pt idx="7">
                  <c:v>1.7000000000000002</c:v>
                </c:pt>
                <c:pt idx="8">
                  <c:v>1.6</c:v>
                </c:pt>
                <c:pt idx="9">
                  <c:v>9.3000000000000007</c:v>
                </c:pt>
                <c:pt idx="10">
                  <c:v>1.9000000000000001</c:v>
                </c:pt>
                <c:pt idx="11">
                  <c:v>2.5</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128306480"/>
        <c:axId val="128308832"/>
      </c:lineChart>
      <c:catAx>
        <c:axId val="128306480"/>
        <c:scaling>
          <c:orientation val="minMax"/>
        </c:scaling>
        <c:delete val="0"/>
        <c:axPos val="b"/>
        <c:numFmt formatCode="General" sourceLinked="1"/>
        <c:majorTickMark val="out"/>
        <c:minorTickMark val="none"/>
        <c:tickLblPos val="nextTo"/>
        <c:crossAx val="128308832"/>
        <c:crosses val="autoZero"/>
        <c:auto val="1"/>
        <c:lblAlgn val="ctr"/>
        <c:lblOffset val="100"/>
        <c:noMultiLvlLbl val="0"/>
      </c:catAx>
      <c:valAx>
        <c:axId val="1283088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12830648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0.9</c:v>
                </c:pt>
                <c:pt idx="1">
                  <c:v>1</c:v>
                </c:pt>
                <c:pt idx="2">
                  <c:v>0.9</c:v>
                </c:pt>
                <c:pt idx="3">
                  <c:v>0.9</c:v>
                </c:pt>
                <c:pt idx="4">
                  <c:v>0.8</c:v>
                </c:pt>
                <c:pt idx="5">
                  <c:v>0.9</c:v>
                </c:pt>
                <c:pt idx="6">
                  <c:v>1.1000000000000001</c:v>
                </c:pt>
                <c:pt idx="7">
                  <c:v>0.6</c:v>
                </c:pt>
                <c:pt idx="8">
                  <c:v>0.4</c:v>
                </c:pt>
                <c:pt idx="9">
                  <c:v>0.5</c:v>
                </c:pt>
                <c:pt idx="10">
                  <c:v>0.5</c:v>
                </c:pt>
                <c:pt idx="11">
                  <c:v>0.5</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8</c:v>
                </c:pt>
                <c:pt idx="1">
                  <c:v>6.2</c:v>
                </c:pt>
                <c:pt idx="2">
                  <c:v>9.3000000000000007</c:v>
                </c:pt>
                <c:pt idx="3">
                  <c:v>5.4</c:v>
                </c:pt>
                <c:pt idx="4">
                  <c:v>1.2</c:v>
                </c:pt>
                <c:pt idx="5">
                  <c:v>9.9</c:v>
                </c:pt>
                <c:pt idx="6">
                  <c:v>17.3</c:v>
                </c:pt>
                <c:pt idx="7">
                  <c:v>3.4</c:v>
                </c:pt>
                <c:pt idx="8">
                  <c:v>5.8</c:v>
                </c:pt>
                <c:pt idx="9">
                  <c:v>17.700000000000003</c:v>
                </c:pt>
                <c:pt idx="10">
                  <c:v>1.9000000000000001</c:v>
                </c:pt>
                <c:pt idx="11">
                  <c:v>4.3</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0.9</c:v>
                </c:pt>
                <c:pt idx="1">
                  <c:v>0.9</c:v>
                </c:pt>
                <c:pt idx="2">
                  <c:v>0.9</c:v>
                </c:pt>
                <c:pt idx="3">
                  <c:v>0.9</c:v>
                </c:pt>
                <c:pt idx="4">
                  <c:v>0.8</c:v>
                </c:pt>
                <c:pt idx="5">
                  <c:v>0.9</c:v>
                </c:pt>
                <c:pt idx="6">
                  <c:v>0.89999999999999991</c:v>
                </c:pt>
                <c:pt idx="7">
                  <c:v>0.6</c:v>
                </c:pt>
                <c:pt idx="8">
                  <c:v>0.2</c:v>
                </c:pt>
                <c:pt idx="9">
                  <c:v>0.4</c:v>
                </c:pt>
                <c:pt idx="10">
                  <c:v>0.4</c:v>
                </c:pt>
                <c:pt idx="11">
                  <c:v>0.5</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1.2</c:v>
                </c:pt>
                <c:pt idx="1">
                  <c:v>1.1000000000000001</c:v>
                </c:pt>
                <c:pt idx="2">
                  <c:v>1.2</c:v>
                </c:pt>
                <c:pt idx="3">
                  <c:v>1.2</c:v>
                </c:pt>
                <c:pt idx="4">
                  <c:v>1</c:v>
                </c:pt>
                <c:pt idx="5">
                  <c:v>1.6</c:v>
                </c:pt>
                <c:pt idx="6">
                  <c:v>2.4</c:v>
                </c:pt>
                <c:pt idx="7">
                  <c:v>1.2</c:v>
                </c:pt>
                <c:pt idx="8">
                  <c:v>0.5</c:v>
                </c:pt>
                <c:pt idx="9">
                  <c:v>1.6</c:v>
                </c:pt>
                <c:pt idx="10">
                  <c:v>0.60000000000000009</c:v>
                </c:pt>
                <c:pt idx="11">
                  <c:v>0.7</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52586568"/>
        <c:axId val="352591272"/>
      </c:lineChart>
      <c:catAx>
        <c:axId val="352586568"/>
        <c:scaling>
          <c:orientation val="minMax"/>
        </c:scaling>
        <c:delete val="0"/>
        <c:axPos val="b"/>
        <c:numFmt formatCode="General" sourceLinked="1"/>
        <c:majorTickMark val="out"/>
        <c:minorTickMark val="none"/>
        <c:tickLblPos val="nextTo"/>
        <c:crossAx val="352591272"/>
        <c:crosses val="autoZero"/>
        <c:auto val="1"/>
        <c:lblAlgn val="ctr"/>
        <c:lblOffset val="100"/>
        <c:noMultiLvlLbl val="0"/>
      </c:catAx>
      <c:valAx>
        <c:axId val="35259127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5258656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300</c:v>
                </c:pt>
                <c:pt idx="1">
                  <c:v>300</c:v>
                </c:pt>
                <c:pt idx="2">
                  <c:v>300</c:v>
                </c:pt>
                <c:pt idx="3">
                  <c:v>300</c:v>
                </c:pt>
                <c:pt idx="4">
                  <c:v>300</c:v>
                </c:pt>
                <c:pt idx="5">
                  <c:v>300</c:v>
                </c:pt>
                <c:pt idx="6">
                  <c:v>300</c:v>
                </c:pt>
                <c:pt idx="7">
                  <c:v>300</c:v>
                </c:pt>
                <c:pt idx="8">
                  <c:v>300</c:v>
                </c:pt>
                <c:pt idx="9">
                  <c:v>300</c:v>
                </c:pt>
                <c:pt idx="10">
                  <c:v>300</c:v>
                </c:pt>
                <c:pt idx="11">
                  <c:v>300</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497.6</c:v>
                </c:pt>
                <c:pt idx="1">
                  <c:v>233.1</c:v>
                </c:pt>
                <c:pt idx="2">
                  <c:v>221.7</c:v>
                </c:pt>
                <c:pt idx="3">
                  <c:v>431.4</c:v>
                </c:pt>
                <c:pt idx="4">
                  <c:v>295.7</c:v>
                </c:pt>
                <c:pt idx="5">
                  <c:v>469.7</c:v>
                </c:pt>
                <c:pt idx="6">
                  <c:v>596.29999999999995</c:v>
                </c:pt>
                <c:pt idx="7">
                  <c:v>669.8</c:v>
                </c:pt>
                <c:pt idx="8">
                  <c:v>577.4</c:v>
                </c:pt>
                <c:pt idx="9">
                  <c:v>461</c:v>
                </c:pt>
                <c:pt idx="10">
                  <c:v>519.9</c:v>
                </c:pt>
                <c:pt idx="11">
                  <c:v>413.8</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min'!#REF!</c:f>
              <c:numCache>
                <c:formatCode>General</c:formatCode>
                <c:ptCount val="1"/>
                <c:pt idx="0">
                  <c:v>1</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min'!#REF!</c:f>
              <c:numCache>
                <c:formatCode>General</c:formatCode>
                <c:ptCount val="1"/>
                <c:pt idx="0">
                  <c:v>1</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52589704"/>
        <c:axId val="352586176"/>
      </c:lineChart>
      <c:catAx>
        <c:axId val="352589704"/>
        <c:scaling>
          <c:orientation val="minMax"/>
        </c:scaling>
        <c:delete val="0"/>
        <c:axPos val="b"/>
        <c:numFmt formatCode="General" sourceLinked="1"/>
        <c:majorTickMark val="out"/>
        <c:minorTickMark val="none"/>
        <c:tickLblPos val="nextTo"/>
        <c:crossAx val="352586176"/>
        <c:crosses val="autoZero"/>
        <c:auto val="1"/>
        <c:lblAlgn val="ctr"/>
        <c:lblOffset val="100"/>
        <c:noMultiLvlLbl val="0"/>
      </c:catAx>
      <c:valAx>
        <c:axId val="35258617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525897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1.1000000000000001</c:v>
                </c:pt>
                <c:pt idx="1">
                  <c:v>1.1000000000000001</c:v>
                </c:pt>
                <c:pt idx="2">
                  <c:v>0.9</c:v>
                </c:pt>
                <c:pt idx="3">
                  <c:v>1.1000000000000001</c:v>
                </c:pt>
                <c:pt idx="4">
                  <c:v>0.7</c:v>
                </c:pt>
                <c:pt idx="5">
                  <c:v>0.7</c:v>
                </c:pt>
                <c:pt idx="6">
                  <c:v>3.5</c:v>
                </c:pt>
                <c:pt idx="7">
                  <c:v>2</c:v>
                </c:pt>
                <c:pt idx="8">
                  <c:v>0.9</c:v>
                </c:pt>
                <c:pt idx="9">
                  <c:v>1.6</c:v>
                </c:pt>
                <c:pt idx="10">
                  <c:v>2</c:v>
                </c:pt>
                <c:pt idx="11">
                  <c:v>1.8</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4.3</c:v>
                </c:pt>
                <c:pt idx="1">
                  <c:v>6.2</c:v>
                </c:pt>
                <c:pt idx="2">
                  <c:v>4.8</c:v>
                </c:pt>
                <c:pt idx="3">
                  <c:v>16.399999999999999</c:v>
                </c:pt>
                <c:pt idx="4">
                  <c:v>4.5</c:v>
                </c:pt>
                <c:pt idx="5">
                  <c:v>6.9</c:v>
                </c:pt>
                <c:pt idx="6">
                  <c:v>33.799999999999997</c:v>
                </c:pt>
                <c:pt idx="7">
                  <c:v>18.100000000000001</c:v>
                </c:pt>
                <c:pt idx="8">
                  <c:v>5.6999999999999993</c:v>
                </c:pt>
                <c:pt idx="9">
                  <c:v>21.3</c:v>
                </c:pt>
                <c:pt idx="10">
                  <c:v>23.200000000000003</c:v>
                </c:pt>
                <c:pt idx="11">
                  <c:v>11.7</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1.1000000000000001</c:v>
                </c:pt>
                <c:pt idx="1">
                  <c:v>0.9</c:v>
                </c:pt>
                <c:pt idx="2">
                  <c:v>0.9</c:v>
                </c:pt>
                <c:pt idx="3">
                  <c:v>0.9</c:v>
                </c:pt>
                <c:pt idx="4">
                  <c:v>0.7</c:v>
                </c:pt>
                <c:pt idx="5">
                  <c:v>0.5</c:v>
                </c:pt>
                <c:pt idx="6">
                  <c:v>2.9</c:v>
                </c:pt>
                <c:pt idx="7">
                  <c:v>2</c:v>
                </c:pt>
                <c:pt idx="8">
                  <c:v>0.9</c:v>
                </c:pt>
                <c:pt idx="9">
                  <c:v>1.6</c:v>
                </c:pt>
                <c:pt idx="10">
                  <c:v>1.9</c:v>
                </c:pt>
                <c:pt idx="11">
                  <c:v>1.8</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2.1</c:v>
                </c:pt>
                <c:pt idx="1">
                  <c:v>1.5</c:v>
                </c:pt>
                <c:pt idx="2">
                  <c:v>1.4</c:v>
                </c:pt>
                <c:pt idx="3">
                  <c:v>2.6</c:v>
                </c:pt>
                <c:pt idx="4">
                  <c:v>1</c:v>
                </c:pt>
                <c:pt idx="5">
                  <c:v>1.1000000000000001</c:v>
                </c:pt>
                <c:pt idx="6">
                  <c:v>6.1</c:v>
                </c:pt>
                <c:pt idx="7">
                  <c:v>4</c:v>
                </c:pt>
                <c:pt idx="8">
                  <c:v>1.4</c:v>
                </c:pt>
                <c:pt idx="9">
                  <c:v>7.7</c:v>
                </c:pt>
                <c:pt idx="10">
                  <c:v>4.2</c:v>
                </c:pt>
                <c:pt idx="11">
                  <c:v>4</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52590488"/>
        <c:axId val="352588528"/>
      </c:lineChart>
      <c:catAx>
        <c:axId val="352590488"/>
        <c:scaling>
          <c:orientation val="minMax"/>
        </c:scaling>
        <c:delete val="0"/>
        <c:axPos val="b"/>
        <c:numFmt formatCode="General" sourceLinked="1"/>
        <c:majorTickMark val="out"/>
        <c:minorTickMark val="none"/>
        <c:tickLblPos val="nextTo"/>
        <c:crossAx val="352588528"/>
        <c:crosses val="autoZero"/>
        <c:auto val="1"/>
        <c:lblAlgn val="ctr"/>
        <c:lblOffset val="100"/>
        <c:noMultiLvlLbl val="0"/>
      </c:catAx>
      <c:valAx>
        <c:axId val="35258852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5259048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3</xdr:col>
      <xdr:colOff>0</xdr:colOff>
      <xdr:row>0</xdr:row>
      <xdr:rowOff>0</xdr:rowOff>
    </xdr:from>
    <xdr:to>
      <xdr:col>7</xdr:col>
      <xdr:colOff>22288</xdr:colOff>
      <xdr:row>7</xdr:row>
      <xdr:rowOff>0</xdr:rowOff>
    </xdr:to>
    <xdr:pic>
      <xdr:nvPicPr>
        <xdr:cNvPr id="4" name="Picture 3">
          <a:extLst>
            <a:ext uri="{FF2B5EF4-FFF2-40B4-BE49-F238E27FC236}">
              <a16:creationId xmlns:a16="http://schemas.microsoft.com/office/drawing/2014/main" id="{00000000-0008-0000-0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9800" y="0"/>
          <a:ext cx="2498788" cy="1333500"/>
        </a:xfrm>
        <a:prstGeom prst="rect">
          <a:avLst/>
        </a:prstGeom>
        <a:noFill/>
        <a:ln>
          <a:noFill/>
        </a:ln>
      </xdr:spPr>
    </xdr:pic>
    <xdr:clientData/>
  </xdr:twoCellAnchor>
  <xdr:twoCellAnchor editAs="oneCell">
    <xdr:from>
      <xdr:col>1</xdr:col>
      <xdr:colOff>0</xdr:colOff>
      <xdr:row>7</xdr:row>
      <xdr:rowOff>0</xdr:rowOff>
    </xdr:from>
    <xdr:to>
      <xdr:col>9</xdr:col>
      <xdr:colOff>363393</xdr:colOff>
      <xdr:row>24</xdr:row>
      <xdr:rowOff>57150</xdr:rowOff>
    </xdr:to>
    <xdr:pic>
      <xdr:nvPicPr>
        <xdr:cNvPr id="6" name="Picture 5">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619125" y="1333500"/>
          <a:ext cx="5668818" cy="330517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xdr:colOff>
          <xdr:row>1</xdr:row>
          <xdr:rowOff>38100</xdr:rowOff>
        </xdr:from>
        <xdr:to>
          <xdr:col>8</xdr:col>
          <xdr:colOff>365760</xdr:colOff>
          <xdr:row>7</xdr:row>
          <xdr:rowOff>327660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leigh.hornsby@fccenvironment.co.u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workbookViewId="0">
      <selection activeCell="C6" sqref="C6"/>
    </sheetView>
  </sheetViews>
  <sheetFormatPr defaultColWidth="9.21875" defaultRowHeight="15"/>
  <cols>
    <col min="1" max="1" width="9.21875" style="2" customWidth="1"/>
    <col min="2" max="2" width="14.5546875" style="2" bestFit="1" customWidth="1"/>
    <col min="3" max="9" width="9.21875" style="2"/>
    <col min="10" max="10" width="11.5546875" style="2" customWidth="1"/>
    <col min="11" max="14" width="9.21875" style="2"/>
    <col min="15" max="15" width="9.21875" style="2" customWidth="1"/>
    <col min="16" max="16384" width="9.21875" style="2"/>
  </cols>
  <sheetData>
    <row r="1" spans="2:16">
      <c r="B1" s="92"/>
      <c r="C1" s="92"/>
      <c r="D1" s="193" t="s">
        <v>0</v>
      </c>
      <c r="E1" s="193"/>
      <c r="F1" s="193"/>
      <c r="G1" s="193"/>
      <c r="H1" s="92"/>
      <c r="I1" s="92"/>
      <c r="J1" s="92"/>
      <c r="K1" s="92"/>
      <c r="L1" s="92"/>
      <c r="M1" s="92"/>
      <c r="N1" s="92"/>
      <c r="O1" s="92"/>
      <c r="P1" s="92"/>
    </row>
    <row r="2" spans="2:16">
      <c r="B2" s="92"/>
      <c r="C2" s="92"/>
      <c r="D2" s="193"/>
      <c r="E2" s="193"/>
      <c r="F2" s="193"/>
      <c r="G2" s="193"/>
      <c r="H2" s="92"/>
      <c r="I2" s="92"/>
      <c r="J2" s="92"/>
      <c r="K2" s="92"/>
      <c r="L2" s="92"/>
      <c r="M2" s="92"/>
      <c r="N2" s="92" t="s">
        <v>1</v>
      </c>
      <c r="O2" s="92"/>
      <c r="P2" s="115"/>
    </row>
    <row r="3" spans="2:16">
      <c r="B3" s="92"/>
      <c r="C3" s="92"/>
      <c r="D3" s="193"/>
      <c r="E3" s="193"/>
      <c r="F3" s="193"/>
      <c r="G3" s="193"/>
      <c r="H3" s="92"/>
      <c r="I3" s="92"/>
      <c r="J3" s="92"/>
      <c r="K3" s="92"/>
      <c r="L3" s="92"/>
      <c r="M3" s="92"/>
      <c r="N3" s="115"/>
      <c r="O3" s="92"/>
      <c r="P3" s="92"/>
    </row>
    <row r="4" spans="2:16">
      <c r="B4" s="92"/>
      <c r="C4" s="92"/>
      <c r="D4" s="193"/>
      <c r="E4" s="193"/>
      <c r="F4" s="193"/>
      <c r="G4" s="193"/>
      <c r="H4" s="92"/>
      <c r="I4" s="92"/>
      <c r="J4" s="92"/>
      <c r="K4" s="92"/>
      <c r="L4" s="92"/>
      <c r="M4" s="92"/>
      <c r="N4" s="92"/>
      <c r="O4" s="92"/>
      <c r="P4" s="92"/>
    </row>
    <row r="5" spans="2:16">
      <c r="B5" s="92"/>
      <c r="C5" s="92"/>
      <c r="D5" s="193"/>
      <c r="E5" s="193"/>
      <c r="F5" s="193"/>
      <c r="G5" s="193"/>
      <c r="H5" s="92"/>
      <c r="I5" s="92"/>
      <c r="J5" s="92"/>
      <c r="K5" s="92"/>
      <c r="L5" s="92"/>
      <c r="M5" s="92"/>
      <c r="N5" s="92"/>
      <c r="O5" s="92"/>
      <c r="P5" s="92"/>
    </row>
    <row r="6" spans="2:16">
      <c r="B6" s="92"/>
      <c r="C6" s="92"/>
      <c r="D6" s="193"/>
      <c r="E6" s="193"/>
      <c r="F6" s="193"/>
      <c r="G6" s="193"/>
      <c r="H6" s="92"/>
      <c r="I6" s="92"/>
      <c r="J6" s="92"/>
      <c r="K6" s="92"/>
      <c r="L6" s="92"/>
      <c r="M6" s="92"/>
      <c r="N6" s="92"/>
      <c r="O6" s="92"/>
      <c r="P6" s="92"/>
    </row>
    <row r="8" spans="2:16" ht="15.75" customHeight="1">
      <c r="B8" s="193" t="s">
        <v>2</v>
      </c>
      <c r="C8" s="193"/>
      <c r="D8" s="193"/>
      <c r="E8" s="193"/>
      <c r="F8" s="193"/>
      <c r="G8" s="193"/>
      <c r="H8" s="193"/>
      <c r="I8" s="193"/>
      <c r="J8" s="92"/>
      <c r="K8" s="92"/>
      <c r="L8" s="92"/>
      <c r="M8" s="92"/>
      <c r="N8" s="70"/>
      <c r="O8" s="92"/>
      <c r="P8" s="92"/>
    </row>
    <row r="9" spans="2:16">
      <c r="B9" s="193"/>
      <c r="C9" s="193"/>
      <c r="D9" s="193"/>
      <c r="E9" s="193"/>
      <c r="F9" s="193"/>
      <c r="G9" s="193"/>
      <c r="H9" s="193"/>
      <c r="I9" s="193"/>
      <c r="J9" s="92"/>
      <c r="K9" s="92"/>
      <c r="L9" s="92"/>
      <c r="M9" s="92"/>
      <c r="N9" s="92"/>
      <c r="O9" s="92"/>
      <c r="P9" s="92"/>
    </row>
    <row r="10" spans="2:16">
      <c r="B10" s="193"/>
      <c r="C10" s="193"/>
      <c r="D10" s="193"/>
      <c r="E10" s="193"/>
      <c r="F10" s="193"/>
      <c r="G10" s="193"/>
      <c r="H10" s="193"/>
      <c r="I10" s="193"/>
      <c r="J10" s="92"/>
      <c r="K10" s="92"/>
      <c r="L10" s="92"/>
      <c r="M10" s="92"/>
      <c r="N10" s="92"/>
      <c r="O10" s="92"/>
      <c r="P10" s="92"/>
    </row>
    <row r="11" spans="2:16">
      <c r="B11" s="193"/>
      <c r="C11" s="193"/>
      <c r="D11" s="193"/>
      <c r="E11" s="193"/>
      <c r="F11" s="193"/>
      <c r="G11" s="193"/>
      <c r="H11" s="193"/>
      <c r="I11" s="193"/>
      <c r="J11" s="92"/>
      <c r="K11" s="92"/>
      <c r="L11" s="92"/>
      <c r="M11" s="92"/>
      <c r="N11" s="92"/>
      <c r="O11" s="92"/>
      <c r="P11" s="92"/>
    </row>
    <row r="12" spans="2:16">
      <c r="B12" s="193"/>
      <c r="C12" s="193"/>
      <c r="D12" s="193"/>
      <c r="E12" s="193"/>
      <c r="F12" s="193"/>
      <c r="G12" s="193"/>
      <c r="H12" s="193"/>
      <c r="I12" s="193"/>
      <c r="J12" s="92"/>
      <c r="K12" s="92"/>
      <c r="L12" s="92"/>
      <c r="M12" s="92"/>
      <c r="N12" s="92"/>
      <c r="O12" s="92"/>
      <c r="P12" s="92"/>
    </row>
    <row r="13" spans="2:16" ht="15.6">
      <c r="B13" s="193"/>
      <c r="C13" s="193"/>
      <c r="D13" s="193"/>
      <c r="E13" s="193"/>
      <c r="F13" s="193"/>
      <c r="G13" s="193"/>
      <c r="H13" s="193"/>
      <c r="I13" s="193"/>
      <c r="J13" s="92"/>
      <c r="K13" s="92"/>
      <c r="L13" s="92"/>
      <c r="M13" s="92"/>
      <c r="N13" s="74" t="s">
        <v>3</v>
      </c>
      <c r="O13" s="72"/>
      <c r="P13" s="72"/>
    </row>
    <row r="14" spans="2:16" ht="15.6" customHeight="1">
      <c r="B14" s="193"/>
      <c r="C14" s="193"/>
      <c r="D14" s="193"/>
      <c r="E14" s="193"/>
      <c r="F14" s="193"/>
      <c r="G14" s="193"/>
      <c r="H14" s="193"/>
      <c r="I14" s="193"/>
      <c r="J14" s="92"/>
      <c r="K14" s="92"/>
      <c r="L14" s="92"/>
      <c r="M14" s="92"/>
      <c r="N14" s="191" t="s">
        <v>4</v>
      </c>
      <c r="O14" s="191"/>
      <c r="P14" s="191"/>
    </row>
    <row r="15" spans="2:16">
      <c r="B15" s="193"/>
      <c r="C15" s="193"/>
      <c r="D15" s="193"/>
      <c r="E15" s="193"/>
      <c r="F15" s="193"/>
      <c r="G15" s="193"/>
      <c r="H15" s="193"/>
      <c r="I15" s="193"/>
      <c r="J15" s="92"/>
      <c r="K15" s="92"/>
      <c r="L15" s="92"/>
      <c r="M15" s="92"/>
      <c r="N15" s="191"/>
      <c r="O15" s="191"/>
      <c r="P15" s="191"/>
    </row>
    <row r="16" spans="2:16">
      <c r="B16" s="193"/>
      <c r="C16" s="193"/>
      <c r="D16" s="193"/>
      <c r="E16" s="193"/>
      <c r="F16" s="193"/>
      <c r="G16" s="193"/>
      <c r="H16" s="193"/>
      <c r="I16" s="193"/>
      <c r="J16" s="92"/>
      <c r="K16" s="92"/>
      <c r="L16" s="92"/>
      <c r="M16" s="92"/>
      <c r="N16" s="191"/>
      <c r="O16" s="191"/>
      <c r="P16" s="191"/>
    </row>
    <row r="17" spans="2:16">
      <c r="B17" s="193"/>
      <c r="C17" s="193"/>
      <c r="D17" s="193"/>
      <c r="E17" s="193"/>
      <c r="F17" s="193"/>
      <c r="G17" s="193"/>
      <c r="H17" s="193"/>
      <c r="I17" s="193"/>
      <c r="J17" s="92"/>
      <c r="K17" s="92"/>
      <c r="L17" s="92"/>
      <c r="M17" s="92"/>
      <c r="N17" s="191"/>
      <c r="O17" s="191"/>
      <c r="P17" s="191"/>
    </row>
    <row r="18" spans="2:16">
      <c r="B18" s="193"/>
      <c r="C18" s="193"/>
      <c r="D18" s="193"/>
      <c r="E18" s="193"/>
      <c r="F18" s="193"/>
      <c r="G18" s="193"/>
      <c r="H18" s="193"/>
      <c r="I18" s="193"/>
      <c r="J18" s="92"/>
      <c r="K18" s="92"/>
      <c r="L18" s="92"/>
      <c r="M18" s="92"/>
      <c r="N18" s="191"/>
      <c r="O18" s="191"/>
      <c r="P18" s="191"/>
    </row>
    <row r="19" spans="2:16">
      <c r="B19" s="193"/>
      <c r="C19" s="193"/>
      <c r="D19" s="193"/>
      <c r="E19" s="193"/>
      <c r="F19" s="193"/>
      <c r="G19" s="193"/>
      <c r="H19" s="193"/>
      <c r="I19" s="193"/>
      <c r="J19" s="92"/>
      <c r="K19" s="92"/>
      <c r="L19" s="92"/>
      <c r="M19" s="92"/>
      <c r="N19" s="191"/>
      <c r="O19" s="191"/>
      <c r="P19" s="191"/>
    </row>
    <row r="20" spans="2:16">
      <c r="B20" s="193"/>
      <c r="C20" s="193"/>
      <c r="D20" s="193"/>
      <c r="E20" s="193"/>
      <c r="F20" s="193"/>
      <c r="G20" s="193"/>
      <c r="H20" s="193"/>
      <c r="I20" s="193"/>
      <c r="J20" s="92"/>
      <c r="K20" s="92"/>
      <c r="L20" s="92"/>
      <c r="M20" s="92"/>
      <c r="N20" s="92"/>
      <c r="O20" s="92"/>
      <c r="P20" s="92"/>
    </row>
    <row r="21" spans="2:16">
      <c r="B21" s="193"/>
      <c r="C21" s="193"/>
      <c r="D21" s="193"/>
      <c r="E21" s="193"/>
      <c r="F21" s="193"/>
      <c r="G21" s="193"/>
      <c r="H21" s="193"/>
      <c r="I21" s="193"/>
      <c r="J21" s="92"/>
      <c r="K21" s="92"/>
      <c r="L21" s="92"/>
      <c r="M21" s="92"/>
      <c r="N21" s="92"/>
      <c r="O21" s="92"/>
      <c r="P21" s="92"/>
    </row>
    <row r="22" spans="2:16">
      <c r="B22" s="193"/>
      <c r="C22" s="193"/>
      <c r="D22" s="193"/>
      <c r="E22" s="193"/>
      <c r="F22" s="193"/>
      <c r="G22" s="193"/>
      <c r="H22" s="193"/>
      <c r="I22" s="193"/>
      <c r="J22" s="92"/>
      <c r="K22" s="92"/>
      <c r="L22" s="92"/>
      <c r="M22" s="92"/>
      <c r="N22" s="92"/>
      <c r="O22" s="92"/>
      <c r="P22" s="92"/>
    </row>
    <row r="23" spans="2:16">
      <c r="B23" s="193"/>
      <c r="C23" s="193"/>
      <c r="D23" s="193"/>
      <c r="E23" s="193"/>
      <c r="F23" s="193"/>
      <c r="G23" s="193"/>
      <c r="H23" s="193"/>
      <c r="I23" s="193"/>
      <c r="J23" s="92"/>
      <c r="K23" s="92"/>
      <c r="L23" s="92"/>
      <c r="M23" s="92"/>
      <c r="N23" s="92"/>
      <c r="O23" s="92"/>
      <c r="P23" s="92"/>
    </row>
    <row r="24" spans="2:16">
      <c r="B24" s="193"/>
      <c r="C24" s="193"/>
      <c r="D24" s="193"/>
      <c r="E24" s="193"/>
      <c r="F24" s="193"/>
      <c r="G24" s="193"/>
      <c r="H24" s="193"/>
      <c r="I24" s="193"/>
      <c r="J24" s="92"/>
      <c r="K24" s="92"/>
      <c r="L24" s="92"/>
      <c r="M24" s="92"/>
      <c r="N24" s="92"/>
      <c r="O24" s="92"/>
      <c r="P24" s="92"/>
    </row>
    <row r="29" spans="2:16" ht="17.399999999999999">
      <c r="B29" s="192" t="s">
        <v>5</v>
      </c>
      <c r="C29" s="192"/>
      <c r="D29" s="192"/>
      <c r="E29" s="192"/>
      <c r="F29" s="192"/>
      <c r="G29" s="192"/>
      <c r="H29" s="192"/>
      <c r="I29" s="192"/>
      <c r="J29" s="92"/>
      <c r="K29" s="92"/>
      <c r="L29" s="92"/>
      <c r="M29" s="92"/>
      <c r="N29" s="92"/>
      <c r="O29" s="92"/>
      <c r="P29" s="92"/>
    </row>
    <row r="30" spans="2:16" ht="17.399999999999999">
      <c r="B30" s="92"/>
      <c r="C30" s="7"/>
      <c r="D30" s="8"/>
      <c r="E30" s="8"/>
      <c r="F30" s="8"/>
      <c r="G30" s="8"/>
      <c r="H30" s="8"/>
      <c r="I30" s="8"/>
      <c r="J30" s="92"/>
      <c r="K30" s="92"/>
      <c r="L30" s="92"/>
      <c r="M30" s="92"/>
      <c r="N30" s="92"/>
      <c r="O30" s="92"/>
      <c r="P30" s="92"/>
    </row>
    <row r="31" spans="2:16" ht="17.399999999999999">
      <c r="B31" s="192" t="s">
        <v>6</v>
      </c>
      <c r="C31" s="192"/>
      <c r="D31" s="192"/>
      <c r="E31" s="192"/>
      <c r="F31" s="192"/>
      <c r="G31" s="192"/>
      <c r="H31" s="192"/>
      <c r="I31" s="192"/>
      <c r="J31" s="92"/>
      <c r="K31" s="92"/>
      <c r="L31" s="92"/>
      <c r="M31" s="92"/>
      <c r="N31" s="92"/>
      <c r="O31" s="92"/>
      <c r="P31" s="92"/>
    </row>
    <row r="32" spans="2:16" ht="17.399999999999999">
      <c r="B32" s="92"/>
      <c r="C32" s="7"/>
      <c r="D32" s="8"/>
      <c r="E32" s="8"/>
      <c r="F32" s="8"/>
      <c r="G32" s="8"/>
      <c r="H32" s="8"/>
      <c r="I32" s="8"/>
      <c r="J32" s="92"/>
      <c r="K32" s="92"/>
      <c r="L32" s="92"/>
      <c r="M32" s="92"/>
      <c r="N32" s="92"/>
      <c r="O32" s="92"/>
      <c r="P32" s="92"/>
    </row>
    <row r="33" spans="2:9" ht="17.399999999999999">
      <c r="B33" s="192" t="s">
        <v>7</v>
      </c>
      <c r="C33" s="192"/>
      <c r="D33" s="192"/>
      <c r="E33" s="192"/>
      <c r="F33" s="192"/>
      <c r="G33" s="192"/>
      <c r="H33" s="192"/>
      <c r="I33" s="192"/>
    </row>
    <row r="34" spans="2:9" ht="17.399999999999999">
      <c r="B34" s="92"/>
      <c r="C34" s="7"/>
      <c r="D34" s="8"/>
      <c r="E34" s="8"/>
      <c r="F34" s="8"/>
      <c r="G34" s="8"/>
      <c r="H34" s="8"/>
      <c r="I34" s="8"/>
    </row>
    <row r="35" spans="2:9" ht="17.399999999999999">
      <c r="B35" s="192"/>
      <c r="C35" s="192"/>
      <c r="D35" s="192"/>
      <c r="E35" s="192"/>
      <c r="F35" s="192"/>
      <c r="G35" s="192"/>
      <c r="H35" s="192"/>
      <c r="I35" s="192"/>
    </row>
    <row r="37" spans="2:9" ht="17.399999999999999">
      <c r="B37" s="192" t="s">
        <v>8</v>
      </c>
      <c r="C37" s="192"/>
      <c r="D37" s="192"/>
      <c r="E37" s="192"/>
      <c r="F37" s="192"/>
      <c r="G37" s="192"/>
      <c r="H37" s="192"/>
      <c r="I37" s="192"/>
    </row>
    <row r="39" spans="2:9">
      <c r="B39" s="92" t="s">
        <v>9</v>
      </c>
      <c r="C39" s="116">
        <v>2022</v>
      </c>
      <c r="D39" s="92"/>
      <c r="E39" s="92"/>
      <c r="F39" s="92"/>
      <c r="G39" s="92"/>
      <c r="H39" s="92"/>
      <c r="I39" s="92"/>
    </row>
    <row r="40" spans="2:9" ht="14.25" customHeight="1">
      <c r="B40" s="92"/>
      <c r="C40" s="92"/>
      <c r="D40" s="92"/>
      <c r="E40" s="92"/>
      <c r="F40" s="92"/>
      <c r="G40" s="92"/>
      <c r="H40" s="92"/>
      <c r="I40" s="92"/>
    </row>
    <row r="41" spans="2:9">
      <c r="B41" s="117" t="s">
        <v>10</v>
      </c>
      <c r="C41" s="194" t="s">
        <v>11</v>
      </c>
      <c r="D41" s="194"/>
      <c r="E41" s="194"/>
      <c r="F41" s="194"/>
      <c r="G41" s="194"/>
      <c r="H41" s="194"/>
      <c r="I41" s="194"/>
    </row>
    <row r="42" spans="2:9">
      <c r="B42" s="117"/>
      <c r="C42" s="92"/>
      <c r="D42" s="92"/>
      <c r="E42" s="92"/>
      <c r="F42" s="92"/>
      <c r="G42" s="92"/>
      <c r="H42" s="92"/>
      <c r="I42" s="92"/>
    </row>
    <row r="43" spans="2:9">
      <c r="B43" s="117" t="s">
        <v>12</v>
      </c>
      <c r="C43" s="194" t="s">
        <v>13</v>
      </c>
      <c r="D43" s="194"/>
      <c r="E43" s="194"/>
      <c r="F43" s="92"/>
      <c r="G43" s="92"/>
      <c r="H43" s="92"/>
      <c r="I43" s="92"/>
    </row>
    <row r="44" spans="2:9">
      <c r="B44" s="117"/>
      <c r="C44" s="92"/>
      <c r="D44" s="92"/>
      <c r="E44" s="92"/>
      <c r="F44" s="92"/>
      <c r="G44" s="92"/>
      <c r="H44" s="92"/>
      <c r="I44" s="92"/>
    </row>
    <row r="45" spans="2:9" ht="15.6">
      <c r="B45" s="117" t="s">
        <v>14</v>
      </c>
      <c r="C45" s="196" t="s">
        <v>15</v>
      </c>
      <c r="D45" s="194"/>
      <c r="E45" s="194"/>
      <c r="F45" s="92"/>
      <c r="G45" s="92"/>
      <c r="H45" s="92"/>
      <c r="I45" s="92"/>
    </row>
    <row r="46" spans="2:9">
      <c r="B46" s="117"/>
      <c r="C46" s="92"/>
      <c r="D46" s="92"/>
      <c r="E46" s="92"/>
      <c r="F46" s="92"/>
      <c r="G46" s="92"/>
      <c r="H46" s="92"/>
      <c r="I46" s="92"/>
    </row>
    <row r="47" spans="2:9">
      <c r="B47" s="117" t="s">
        <v>16</v>
      </c>
      <c r="C47" s="194" t="s">
        <v>17</v>
      </c>
      <c r="D47" s="194"/>
      <c r="E47" s="92"/>
      <c r="F47" s="92" t="s">
        <v>18</v>
      </c>
      <c r="G47" s="194" t="s">
        <v>19</v>
      </c>
      <c r="H47" s="194"/>
      <c r="I47" s="194"/>
    </row>
    <row r="48" spans="2:9">
      <c r="B48" s="117"/>
      <c r="C48" s="92"/>
      <c r="D48" s="92"/>
      <c r="E48" s="92"/>
      <c r="F48" s="92"/>
      <c r="G48" s="92"/>
      <c r="H48" s="92"/>
      <c r="I48" s="92"/>
    </row>
    <row r="49" spans="2:9">
      <c r="B49" s="117" t="s">
        <v>20</v>
      </c>
      <c r="C49" s="194" t="s">
        <v>21</v>
      </c>
      <c r="D49" s="194"/>
      <c r="E49" s="92"/>
      <c r="F49" s="92" t="s">
        <v>18</v>
      </c>
      <c r="G49" s="194" t="s">
        <v>22</v>
      </c>
      <c r="H49" s="194"/>
      <c r="I49" s="194"/>
    </row>
    <row r="50" spans="2:9">
      <c r="B50" s="117"/>
      <c r="C50" s="92"/>
      <c r="D50" s="92"/>
      <c r="E50" s="92"/>
      <c r="F50" s="92"/>
      <c r="G50" s="92"/>
      <c r="H50" s="92"/>
      <c r="I50" s="92"/>
    </row>
    <row r="51" spans="2:9">
      <c r="B51" s="117" t="s">
        <v>23</v>
      </c>
      <c r="C51" s="116">
        <v>1</v>
      </c>
      <c r="D51" s="92"/>
      <c r="E51" s="92"/>
      <c r="F51" s="92"/>
      <c r="G51" s="92"/>
      <c r="H51" s="92"/>
      <c r="I51" s="92"/>
    </row>
    <row r="52" spans="2:9">
      <c r="B52" s="117"/>
      <c r="C52" s="92"/>
      <c r="D52" s="92"/>
      <c r="E52" s="92"/>
      <c r="F52" s="92"/>
      <c r="G52" s="92"/>
      <c r="H52" s="92"/>
      <c r="I52" s="92"/>
    </row>
    <row r="53" spans="2:9">
      <c r="B53" s="117" t="s">
        <v>24</v>
      </c>
      <c r="C53" s="195">
        <v>44957</v>
      </c>
      <c r="D53" s="194"/>
      <c r="E53" s="92"/>
      <c r="F53" s="92"/>
      <c r="G53" s="92"/>
      <c r="H53" s="92"/>
      <c r="I53" s="92"/>
    </row>
  </sheetData>
  <mergeCells count="16">
    <mergeCell ref="C49:D49"/>
    <mergeCell ref="G49:I49"/>
    <mergeCell ref="C53:D53"/>
    <mergeCell ref="B37:I37"/>
    <mergeCell ref="C41:I41"/>
    <mergeCell ref="C43:E43"/>
    <mergeCell ref="C45:E45"/>
    <mergeCell ref="C47:D47"/>
    <mergeCell ref="G47:I47"/>
    <mergeCell ref="N14:P19"/>
    <mergeCell ref="B35:I35"/>
    <mergeCell ref="D1:G6"/>
    <mergeCell ref="B8:I24"/>
    <mergeCell ref="B29:I29"/>
    <mergeCell ref="B31:I31"/>
    <mergeCell ref="B33:I33"/>
  </mergeCells>
  <hyperlinks>
    <hyperlink ref="C45" r:id="rId1" xr:uid="{00000000-0004-0000-0000-000000000000}"/>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workbookViewId="0">
      <selection activeCell="B19" sqref="B19:G19"/>
    </sheetView>
  </sheetViews>
  <sheetFormatPr defaultColWidth="9.21875" defaultRowHeight="15"/>
  <cols>
    <col min="1" max="1" width="9.21875" style="2" customWidth="1"/>
    <col min="2" max="2" width="14.5546875" style="2" bestFit="1" customWidth="1"/>
    <col min="3" max="9" width="9.21875" style="2"/>
    <col min="10" max="10" width="11.5546875" style="2" customWidth="1"/>
    <col min="11" max="16384" width="9.21875" style="2"/>
  </cols>
  <sheetData>
    <row r="1" spans="1:15">
      <c r="A1" s="92" t="str">
        <f>+'Cover Page'!$B$29</f>
        <v>Annual Performance Report 2022</v>
      </c>
      <c r="B1" s="92"/>
      <c r="C1" s="92"/>
      <c r="D1" s="92"/>
      <c r="E1" s="92" t="str">
        <f>+'Cover Page'!$B$33</f>
        <v>Eastcroft Energy from Waste Plant</v>
      </c>
      <c r="F1" s="92"/>
      <c r="G1" s="92"/>
      <c r="H1" s="92"/>
      <c r="I1" s="92"/>
      <c r="J1" s="92"/>
      <c r="K1" s="92"/>
      <c r="L1" s="92"/>
      <c r="M1" s="92"/>
      <c r="N1" s="92"/>
      <c r="O1" s="92"/>
    </row>
    <row r="3" spans="1:15" ht="15.6">
      <c r="A3" s="53" t="s">
        <v>25</v>
      </c>
      <c r="B3" s="118"/>
      <c r="C3" s="118"/>
      <c r="D3" s="118"/>
      <c r="E3" s="118"/>
      <c r="F3" s="118"/>
      <c r="G3" s="118"/>
      <c r="H3" s="119"/>
      <c r="I3" s="92"/>
      <c r="J3" s="92"/>
      <c r="K3" s="74" t="s">
        <v>3</v>
      </c>
      <c r="L3" s="92"/>
      <c r="M3" s="92"/>
      <c r="N3" s="92"/>
      <c r="O3" s="92"/>
    </row>
    <row r="4" spans="1:15" ht="15.6">
      <c r="A4" s="5" t="s">
        <v>26</v>
      </c>
      <c r="B4" s="201" t="s">
        <v>27</v>
      </c>
      <c r="C4" s="201"/>
      <c r="D4" s="201"/>
      <c r="E4" s="201"/>
      <c r="F4" s="201"/>
      <c r="G4" s="201"/>
      <c r="H4" s="6" t="s">
        <v>28</v>
      </c>
      <c r="I4" s="92"/>
      <c r="J4" s="92"/>
      <c r="K4" s="72" t="s">
        <v>29</v>
      </c>
      <c r="L4" s="92"/>
      <c r="M4" s="92"/>
      <c r="N4" s="92"/>
      <c r="O4" s="92"/>
    </row>
    <row r="5" spans="1:15" ht="15.6" customHeight="1">
      <c r="A5" s="4"/>
      <c r="B5" s="197" t="s">
        <v>30</v>
      </c>
      <c r="C5" s="197"/>
      <c r="D5" s="197"/>
      <c r="E5" s="197"/>
      <c r="F5" s="197"/>
      <c r="G5" s="197"/>
      <c r="H5" s="4">
        <v>3</v>
      </c>
      <c r="I5" s="92"/>
      <c r="J5" s="92"/>
      <c r="K5" s="191" t="s">
        <v>31</v>
      </c>
      <c r="L5" s="191"/>
      <c r="M5" s="191"/>
      <c r="N5" s="191"/>
      <c r="O5" s="191"/>
    </row>
    <row r="6" spans="1:15">
      <c r="A6" s="4"/>
      <c r="B6" s="197" t="s">
        <v>32</v>
      </c>
      <c r="C6" s="197"/>
      <c r="D6" s="197"/>
      <c r="E6" s="197"/>
      <c r="F6" s="197"/>
      <c r="G6" s="197"/>
      <c r="H6" s="4">
        <v>4</v>
      </c>
      <c r="I6" s="92"/>
      <c r="J6" s="92"/>
      <c r="K6" s="191"/>
      <c r="L6" s="191"/>
      <c r="M6" s="191"/>
      <c r="N6" s="191"/>
      <c r="O6" s="191"/>
    </row>
    <row r="7" spans="1:15" ht="15.75" customHeight="1">
      <c r="A7" s="4"/>
      <c r="B7" s="197" t="s">
        <v>33</v>
      </c>
      <c r="C7" s="197"/>
      <c r="D7" s="197"/>
      <c r="E7" s="197"/>
      <c r="F7" s="197"/>
      <c r="G7" s="197"/>
      <c r="H7" s="4">
        <v>5</v>
      </c>
      <c r="I7" s="92"/>
      <c r="J7" s="92"/>
      <c r="K7" s="191"/>
      <c r="L7" s="191"/>
      <c r="M7" s="191"/>
      <c r="N7" s="191"/>
      <c r="O7" s="191"/>
    </row>
    <row r="8" spans="1:15">
      <c r="A8" s="4"/>
      <c r="B8" s="197" t="s">
        <v>34</v>
      </c>
      <c r="C8" s="197"/>
      <c r="D8" s="197"/>
      <c r="E8" s="197"/>
      <c r="F8" s="197"/>
      <c r="G8" s="197"/>
      <c r="H8" s="4">
        <v>6</v>
      </c>
      <c r="I8" s="92"/>
      <c r="J8" s="92"/>
      <c r="K8" s="191"/>
      <c r="L8" s="191"/>
      <c r="M8" s="191"/>
      <c r="N8" s="191"/>
      <c r="O8" s="191"/>
    </row>
    <row r="9" spans="1:15">
      <c r="A9" s="4"/>
      <c r="B9" s="197" t="s">
        <v>35</v>
      </c>
      <c r="C9" s="197"/>
      <c r="D9" s="197"/>
      <c r="E9" s="197"/>
      <c r="F9" s="197"/>
      <c r="G9" s="197"/>
      <c r="H9" s="4">
        <v>7</v>
      </c>
      <c r="I9" s="92"/>
      <c r="J9" s="92"/>
      <c r="K9" s="92"/>
      <c r="L9" s="92"/>
      <c r="M9" s="92"/>
      <c r="N9" s="92"/>
      <c r="O9" s="92"/>
    </row>
    <row r="10" spans="1:15">
      <c r="A10" s="4"/>
      <c r="B10" s="197" t="s">
        <v>36</v>
      </c>
      <c r="C10" s="197"/>
      <c r="D10" s="197"/>
      <c r="E10" s="197"/>
      <c r="F10" s="197"/>
      <c r="G10" s="197"/>
      <c r="H10" s="4">
        <v>8</v>
      </c>
      <c r="I10" s="92"/>
      <c r="J10" s="92"/>
      <c r="K10" s="92"/>
      <c r="L10" s="92"/>
      <c r="M10" s="92"/>
      <c r="N10" s="92"/>
      <c r="O10" s="92"/>
    </row>
    <row r="11" spans="1:15">
      <c r="A11" s="4"/>
      <c r="B11" s="197" t="s">
        <v>37</v>
      </c>
      <c r="C11" s="197"/>
      <c r="D11" s="197"/>
      <c r="E11" s="197"/>
      <c r="F11" s="197"/>
      <c r="G11" s="197"/>
      <c r="H11" s="4">
        <v>9</v>
      </c>
      <c r="I11" s="92"/>
      <c r="J11" s="92"/>
      <c r="K11" s="92"/>
      <c r="L11" s="92"/>
      <c r="M11" s="92"/>
      <c r="N11" s="92"/>
      <c r="O11" s="92"/>
    </row>
    <row r="12" spans="1:15">
      <c r="A12" s="4"/>
      <c r="B12" s="197" t="s">
        <v>38</v>
      </c>
      <c r="C12" s="197"/>
      <c r="D12" s="197"/>
      <c r="E12" s="197"/>
      <c r="F12" s="197"/>
      <c r="G12" s="197"/>
      <c r="H12" s="4">
        <v>10</v>
      </c>
      <c r="I12" s="92"/>
      <c r="J12" s="92"/>
      <c r="K12" s="92"/>
      <c r="L12" s="92"/>
      <c r="M12" s="92"/>
      <c r="N12" s="92"/>
      <c r="O12" s="92"/>
    </row>
    <row r="13" spans="1:15" ht="15.6">
      <c r="A13" s="4"/>
      <c r="B13" s="207" t="s">
        <v>39</v>
      </c>
      <c r="C13" s="208"/>
      <c r="D13" s="208"/>
      <c r="E13" s="208"/>
      <c r="F13" s="208"/>
      <c r="G13" s="209"/>
      <c r="H13" s="4">
        <v>11</v>
      </c>
      <c r="I13" s="92"/>
      <c r="J13" s="92"/>
      <c r="K13" s="92"/>
      <c r="L13" s="92"/>
      <c r="M13" s="92"/>
      <c r="N13" s="92"/>
      <c r="O13" s="92"/>
    </row>
    <row r="14" spans="1:15">
      <c r="A14" s="4"/>
      <c r="B14" s="197" t="s">
        <v>40</v>
      </c>
      <c r="C14" s="197"/>
      <c r="D14" s="197"/>
      <c r="E14" s="197"/>
      <c r="F14" s="197"/>
      <c r="G14" s="197"/>
      <c r="H14" s="4">
        <v>12</v>
      </c>
      <c r="I14" s="92"/>
      <c r="J14" s="92"/>
      <c r="K14" s="92"/>
      <c r="L14" s="92"/>
      <c r="M14" s="92"/>
      <c r="N14" s="92"/>
      <c r="O14" s="92"/>
    </row>
    <row r="15" spans="1:15">
      <c r="A15" s="4"/>
      <c r="B15" s="198" t="s">
        <v>41</v>
      </c>
      <c r="C15" s="199"/>
      <c r="D15" s="199"/>
      <c r="E15" s="199"/>
      <c r="F15" s="199"/>
      <c r="G15" s="200"/>
      <c r="H15" s="4">
        <v>13</v>
      </c>
      <c r="I15" s="92"/>
      <c r="J15" s="92"/>
      <c r="K15" s="92"/>
      <c r="L15" s="92"/>
      <c r="M15" s="92"/>
      <c r="N15" s="92"/>
      <c r="O15" s="92"/>
    </row>
    <row r="16" spans="1:15">
      <c r="A16" s="4"/>
      <c r="B16" s="198" t="s">
        <v>42</v>
      </c>
      <c r="C16" s="199"/>
      <c r="D16" s="199"/>
      <c r="E16" s="199"/>
      <c r="F16" s="199"/>
      <c r="G16" s="200"/>
      <c r="H16" s="4">
        <v>14</v>
      </c>
      <c r="I16" s="92"/>
      <c r="J16" s="92"/>
      <c r="K16" s="92"/>
      <c r="L16" s="92"/>
      <c r="M16" s="92"/>
      <c r="N16" s="92"/>
      <c r="O16" s="92"/>
    </row>
    <row r="17" spans="1:8">
      <c r="A17" s="4"/>
      <c r="B17" s="198" t="s">
        <v>43</v>
      </c>
      <c r="C17" s="199"/>
      <c r="D17" s="199"/>
      <c r="E17" s="199"/>
      <c r="F17" s="199"/>
      <c r="G17" s="200"/>
      <c r="H17" s="4">
        <v>15</v>
      </c>
    </row>
    <row r="18" spans="1:8">
      <c r="A18" s="4"/>
      <c r="B18" s="198" t="s">
        <v>44</v>
      </c>
      <c r="C18" s="199"/>
      <c r="D18" s="199"/>
      <c r="E18" s="199"/>
      <c r="F18" s="199"/>
      <c r="G18" s="200"/>
      <c r="H18" s="4">
        <v>16</v>
      </c>
    </row>
    <row r="19" spans="1:8">
      <c r="A19" s="4"/>
      <c r="B19" s="198" t="s">
        <v>45</v>
      </c>
      <c r="C19" s="199"/>
      <c r="D19" s="199"/>
      <c r="E19" s="199"/>
      <c r="F19" s="199"/>
      <c r="G19" s="200"/>
      <c r="H19" s="4">
        <v>17</v>
      </c>
    </row>
    <row r="20" spans="1:8">
      <c r="A20" s="4"/>
      <c r="B20" s="198" t="s">
        <v>46</v>
      </c>
      <c r="C20" s="199"/>
      <c r="D20" s="199"/>
      <c r="E20" s="199"/>
      <c r="F20" s="199"/>
      <c r="G20" s="200"/>
      <c r="H20" s="4">
        <v>18</v>
      </c>
    </row>
    <row r="21" spans="1:8">
      <c r="A21" s="4"/>
      <c r="B21" s="198" t="s">
        <v>47</v>
      </c>
      <c r="C21" s="199"/>
      <c r="D21" s="199"/>
      <c r="E21" s="199"/>
      <c r="F21" s="199"/>
      <c r="G21" s="200"/>
      <c r="H21" s="4">
        <v>19</v>
      </c>
    </row>
    <row r="22" spans="1:8">
      <c r="A22" s="4"/>
      <c r="B22" s="109" t="s">
        <v>48</v>
      </c>
      <c r="C22" s="110"/>
      <c r="D22" s="110"/>
      <c r="E22" s="110"/>
      <c r="F22" s="110"/>
      <c r="G22" s="111"/>
      <c r="H22" s="4">
        <v>20</v>
      </c>
    </row>
    <row r="23" spans="1:8">
      <c r="A23" s="4"/>
      <c r="B23" s="198" t="s">
        <v>49</v>
      </c>
      <c r="C23" s="199"/>
      <c r="D23" s="199"/>
      <c r="E23" s="199"/>
      <c r="F23" s="199"/>
      <c r="G23" s="200"/>
      <c r="H23" s="4">
        <v>21</v>
      </c>
    </row>
    <row r="24" spans="1:8">
      <c r="A24" s="4"/>
      <c r="B24" s="198"/>
      <c r="C24" s="199"/>
      <c r="D24" s="199"/>
      <c r="E24" s="199"/>
      <c r="F24" s="199"/>
      <c r="G24" s="200"/>
      <c r="H24" s="4"/>
    </row>
    <row r="25" spans="1:8">
      <c r="A25" s="4"/>
      <c r="B25" s="203"/>
      <c r="C25" s="203"/>
      <c r="D25" s="203"/>
      <c r="E25" s="203"/>
      <c r="F25" s="203"/>
      <c r="G25" s="203"/>
      <c r="H25" s="4"/>
    </row>
    <row r="27" spans="1:8">
      <c r="A27" s="52" t="s">
        <v>50</v>
      </c>
      <c r="B27" s="118"/>
      <c r="C27" s="118"/>
      <c r="D27" s="118"/>
      <c r="E27" s="118"/>
      <c r="F27" s="118"/>
      <c r="G27" s="118"/>
      <c r="H27" s="119"/>
    </row>
    <row r="28" spans="1:8">
      <c r="A28" s="10" t="s">
        <v>26</v>
      </c>
      <c r="B28" s="204" t="s">
        <v>51</v>
      </c>
      <c r="C28" s="204"/>
      <c r="D28" s="204"/>
      <c r="E28" s="204"/>
      <c r="F28" s="204"/>
      <c r="G28" s="204"/>
      <c r="H28" s="11" t="s">
        <v>52</v>
      </c>
    </row>
    <row r="29" spans="1:8">
      <c r="A29" s="120"/>
      <c r="B29" s="205"/>
      <c r="C29" s="205"/>
      <c r="D29" s="205"/>
      <c r="E29" s="205"/>
      <c r="F29" s="205"/>
      <c r="G29" s="205"/>
      <c r="H29" s="120"/>
    </row>
    <row r="30" spans="1:8">
      <c r="A30" s="120"/>
      <c r="B30" s="205"/>
      <c r="C30" s="205"/>
      <c r="D30" s="205"/>
      <c r="E30" s="205"/>
      <c r="F30" s="205"/>
      <c r="G30" s="205"/>
      <c r="H30" s="120"/>
    </row>
    <row r="31" spans="1:8">
      <c r="A31" s="120"/>
      <c r="B31" s="205"/>
      <c r="C31" s="205"/>
      <c r="D31" s="205"/>
      <c r="E31" s="205"/>
      <c r="F31" s="205"/>
      <c r="G31" s="205"/>
      <c r="H31" s="120"/>
    </row>
    <row r="32" spans="1:8">
      <c r="A32" s="120"/>
      <c r="B32" s="205"/>
      <c r="C32" s="205"/>
      <c r="D32" s="205"/>
      <c r="E32" s="205"/>
      <c r="F32" s="205"/>
      <c r="G32" s="205"/>
      <c r="H32" s="120"/>
    </row>
    <row r="33" spans="1:10">
      <c r="A33" s="120"/>
      <c r="B33" s="205"/>
      <c r="C33" s="205"/>
      <c r="D33" s="205"/>
      <c r="E33" s="205"/>
      <c r="F33" s="205"/>
      <c r="G33" s="205"/>
      <c r="H33" s="120"/>
      <c r="I33" s="92"/>
      <c r="J33" s="92"/>
    </row>
    <row r="35" spans="1:10" ht="14.25" customHeight="1">
      <c r="A35" s="52" t="s">
        <v>53</v>
      </c>
      <c r="B35" s="118"/>
      <c r="C35" s="118"/>
      <c r="D35" s="118"/>
      <c r="E35" s="118"/>
      <c r="F35" s="118"/>
      <c r="G35" s="118"/>
      <c r="H35" s="119"/>
      <c r="I35" s="92"/>
      <c r="J35" s="92"/>
    </row>
    <row r="36" spans="1:10">
      <c r="A36" s="13" t="s">
        <v>54</v>
      </c>
      <c r="B36" s="206" t="s">
        <v>55</v>
      </c>
      <c r="C36" s="206"/>
      <c r="D36" s="206"/>
      <c r="E36" s="206"/>
      <c r="F36" s="206"/>
      <c r="G36" s="206"/>
      <c r="H36" s="14" t="s">
        <v>56</v>
      </c>
      <c r="I36" s="92"/>
      <c r="J36" s="92"/>
    </row>
    <row r="37" spans="1:10">
      <c r="A37" s="121"/>
      <c r="B37" s="202"/>
      <c r="C37" s="202"/>
      <c r="D37" s="202"/>
      <c r="E37" s="202"/>
      <c r="F37" s="202"/>
      <c r="G37" s="202"/>
      <c r="H37" s="121"/>
      <c r="I37" s="92"/>
      <c r="J37" s="92"/>
    </row>
    <row r="38" spans="1:10">
      <c r="A38" s="121"/>
      <c r="B38" s="202"/>
      <c r="C38" s="202"/>
      <c r="D38" s="202"/>
      <c r="E38" s="202"/>
      <c r="F38" s="202"/>
      <c r="G38" s="202"/>
      <c r="H38" s="121"/>
      <c r="I38" s="92"/>
      <c r="J38" s="92"/>
    </row>
    <row r="39" spans="1:10">
      <c r="A39" s="121"/>
      <c r="B39" s="202"/>
      <c r="C39" s="202"/>
      <c r="D39" s="202"/>
      <c r="E39" s="202"/>
      <c r="F39" s="202"/>
      <c r="G39" s="202"/>
      <c r="H39" s="121"/>
      <c r="I39" s="92"/>
      <c r="J39" s="92"/>
    </row>
    <row r="40" spans="1:10">
      <c r="A40" s="121"/>
      <c r="B40" s="202"/>
      <c r="C40" s="202"/>
      <c r="D40" s="202"/>
      <c r="E40" s="202"/>
      <c r="F40" s="202"/>
      <c r="G40" s="202"/>
      <c r="H40" s="121"/>
      <c r="I40" s="92"/>
      <c r="J40" s="92"/>
    </row>
    <row r="41" spans="1:10">
      <c r="A41" s="121"/>
      <c r="B41" s="202"/>
      <c r="C41" s="202"/>
      <c r="D41" s="202"/>
      <c r="E41" s="202"/>
      <c r="F41" s="202"/>
      <c r="G41" s="202"/>
      <c r="H41" s="121"/>
      <c r="I41" s="92"/>
      <c r="J41" s="92"/>
    </row>
    <row r="42" spans="1:10">
      <c r="A42" s="121"/>
      <c r="B42" s="202"/>
      <c r="C42" s="202"/>
      <c r="D42" s="202"/>
      <c r="E42" s="202"/>
      <c r="F42" s="202"/>
      <c r="G42" s="202"/>
      <c r="H42" s="121"/>
      <c r="I42" s="92"/>
      <c r="J42" s="92"/>
    </row>
    <row r="43" spans="1:10">
      <c r="A43" s="121"/>
      <c r="B43" s="202"/>
      <c r="C43" s="202"/>
      <c r="D43" s="202"/>
      <c r="E43" s="202"/>
      <c r="F43" s="202"/>
      <c r="G43" s="202"/>
      <c r="H43" s="121"/>
      <c r="I43" s="92"/>
      <c r="J43" s="92"/>
    </row>
    <row r="45" spans="1:10">
      <c r="A45" s="210" t="s">
        <v>57</v>
      </c>
      <c r="B45" s="211"/>
      <c r="C45" s="211"/>
      <c r="D45" s="211"/>
      <c r="E45" s="211"/>
      <c r="F45" s="211"/>
      <c r="G45" s="211"/>
      <c r="H45" s="211"/>
      <c r="I45" s="211"/>
      <c r="J45" s="212"/>
    </row>
    <row r="46" spans="1:10">
      <c r="A46" s="213"/>
      <c r="B46" s="214"/>
      <c r="C46" s="214"/>
      <c r="D46" s="214"/>
      <c r="E46" s="214"/>
      <c r="F46" s="214"/>
      <c r="G46" s="214"/>
      <c r="H46" s="214"/>
      <c r="I46" s="214"/>
      <c r="J46" s="215"/>
    </row>
    <row r="47" spans="1:10">
      <c r="A47" s="213"/>
      <c r="B47" s="214"/>
      <c r="C47" s="214"/>
      <c r="D47" s="214"/>
      <c r="E47" s="214"/>
      <c r="F47" s="214"/>
      <c r="G47" s="214"/>
      <c r="H47" s="214"/>
      <c r="I47" s="214"/>
      <c r="J47" s="215"/>
    </row>
    <row r="48" spans="1:10">
      <c r="A48" s="216"/>
      <c r="B48" s="217"/>
      <c r="C48" s="217"/>
      <c r="D48" s="217"/>
      <c r="E48" s="217"/>
      <c r="F48" s="217"/>
      <c r="G48" s="217"/>
      <c r="H48" s="217"/>
      <c r="I48" s="217"/>
      <c r="J48" s="218"/>
    </row>
    <row r="66" spans="6:6">
      <c r="F66" s="3"/>
    </row>
  </sheetData>
  <mergeCells count="37">
    <mergeCell ref="B21:G21"/>
    <mergeCell ref="B13:G13"/>
    <mergeCell ref="A45:J48"/>
    <mergeCell ref="B38:G38"/>
    <mergeCell ref="B39:G39"/>
    <mergeCell ref="B40:G40"/>
    <mergeCell ref="B41:G41"/>
    <mergeCell ref="B42:G42"/>
    <mergeCell ref="B43:G43"/>
    <mergeCell ref="B37:G37"/>
    <mergeCell ref="B23:G23"/>
    <mergeCell ref="B24:G24"/>
    <mergeCell ref="B25:G25"/>
    <mergeCell ref="B28:G28"/>
    <mergeCell ref="B29:G29"/>
    <mergeCell ref="B30:G30"/>
    <mergeCell ref="B31:G31"/>
    <mergeCell ref="B32:G32"/>
    <mergeCell ref="B33:G33"/>
    <mergeCell ref="B36:G36"/>
    <mergeCell ref="B19:G19"/>
    <mergeCell ref="B20:G20"/>
    <mergeCell ref="K5:O8"/>
    <mergeCell ref="B9:G9"/>
    <mergeCell ref="B4:G4"/>
    <mergeCell ref="B5:G5"/>
    <mergeCell ref="B6:G6"/>
    <mergeCell ref="B7:G7"/>
    <mergeCell ref="B8:G8"/>
    <mergeCell ref="B12:G12"/>
    <mergeCell ref="B14:G14"/>
    <mergeCell ref="B15:G15"/>
    <mergeCell ref="B10:G10"/>
    <mergeCell ref="B11:G11"/>
    <mergeCell ref="B16:G16"/>
    <mergeCell ref="B17:G17"/>
    <mergeCell ref="B18:G18"/>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workbookViewId="0">
      <selection activeCell="A22" sqref="A22:I54"/>
    </sheetView>
  </sheetViews>
  <sheetFormatPr defaultColWidth="9.21875" defaultRowHeight="15"/>
  <cols>
    <col min="1" max="1" width="9.21875" style="2" customWidth="1"/>
    <col min="2" max="2" width="14.5546875" style="2" bestFit="1" customWidth="1"/>
    <col min="3" max="9" width="9.21875" style="2"/>
    <col min="10" max="10" width="11.5546875" style="2" customWidth="1"/>
    <col min="11" max="16384" width="9.21875" style="2"/>
  </cols>
  <sheetData>
    <row r="1" spans="1:14">
      <c r="A1" s="92" t="str">
        <f>+'Cover Page'!$B$29</f>
        <v>Annual Performance Report 2022</v>
      </c>
      <c r="B1" s="92"/>
      <c r="C1" s="92"/>
      <c r="D1" s="92"/>
      <c r="E1" s="92" t="str">
        <f>+'Cover Page'!$B$33</f>
        <v>Eastcroft Energy from Waste Plant</v>
      </c>
      <c r="F1" s="92"/>
      <c r="G1" s="92"/>
      <c r="H1" s="92"/>
      <c r="I1" s="92"/>
      <c r="J1" s="92"/>
      <c r="K1" s="92"/>
      <c r="L1" s="92"/>
      <c r="M1" s="92"/>
      <c r="N1" s="92"/>
    </row>
    <row r="3" spans="1:14" ht="15.6">
      <c r="A3" s="51" t="s">
        <v>58</v>
      </c>
      <c r="B3" s="122"/>
      <c r="C3" s="122"/>
      <c r="D3" s="122"/>
      <c r="E3" s="122"/>
      <c r="F3" s="122"/>
      <c r="G3" s="122"/>
      <c r="H3" s="122"/>
      <c r="I3" s="123"/>
      <c r="J3" s="92"/>
      <c r="K3" s="80" t="s">
        <v>3</v>
      </c>
      <c r="L3" s="92"/>
      <c r="M3" s="92"/>
      <c r="N3" s="92"/>
    </row>
    <row r="4" spans="1:14">
      <c r="A4" s="124"/>
      <c r="B4" s="125"/>
      <c r="C4" s="125"/>
      <c r="D4" s="125"/>
      <c r="E4" s="125"/>
      <c r="F4" s="125"/>
      <c r="G4" s="125"/>
      <c r="H4" s="125"/>
      <c r="I4" s="126"/>
      <c r="J4" s="92"/>
      <c r="K4" s="92"/>
      <c r="L4" s="92"/>
      <c r="M4" s="92"/>
      <c r="N4" s="92"/>
    </row>
    <row r="5" spans="1:14" ht="15.75" customHeight="1">
      <c r="A5" s="219" t="s">
        <v>59</v>
      </c>
      <c r="B5" s="220"/>
      <c r="C5" s="220"/>
      <c r="D5" s="220"/>
      <c r="E5" s="220"/>
      <c r="F5" s="220"/>
      <c r="G5" s="220"/>
      <c r="H5" s="220"/>
      <c r="I5" s="221"/>
      <c r="J5" s="92"/>
      <c r="K5" s="236" t="s">
        <v>60</v>
      </c>
      <c r="L5" s="236"/>
      <c r="M5" s="236"/>
      <c r="N5" s="236"/>
    </row>
    <row r="6" spans="1:14">
      <c r="A6" s="222"/>
      <c r="B6" s="223"/>
      <c r="C6" s="223"/>
      <c r="D6" s="223"/>
      <c r="E6" s="223"/>
      <c r="F6" s="223"/>
      <c r="G6" s="223"/>
      <c r="H6" s="223"/>
      <c r="I6" s="224"/>
      <c r="J6" s="92"/>
      <c r="K6" s="236"/>
      <c r="L6" s="236"/>
      <c r="M6" s="236"/>
      <c r="N6" s="236"/>
    </row>
    <row r="7" spans="1:14">
      <c r="A7" s="222"/>
      <c r="B7" s="223"/>
      <c r="C7" s="223"/>
      <c r="D7" s="223"/>
      <c r="E7" s="223"/>
      <c r="F7" s="223"/>
      <c r="G7" s="223"/>
      <c r="H7" s="223"/>
      <c r="I7" s="224"/>
      <c r="J7" s="92"/>
      <c r="K7" s="236"/>
      <c r="L7" s="236"/>
      <c r="M7" s="236"/>
      <c r="N7" s="236"/>
    </row>
    <row r="8" spans="1:14" ht="15.75" customHeight="1">
      <c r="A8" s="222"/>
      <c r="B8" s="223"/>
      <c r="C8" s="223"/>
      <c r="D8" s="223"/>
      <c r="E8" s="223"/>
      <c r="F8" s="223"/>
      <c r="G8" s="223"/>
      <c r="H8" s="223"/>
      <c r="I8" s="224"/>
      <c r="J8" s="92"/>
      <c r="K8" s="236"/>
      <c r="L8" s="236"/>
      <c r="M8" s="236"/>
      <c r="N8" s="236"/>
    </row>
    <row r="9" spans="1:14">
      <c r="A9" s="222"/>
      <c r="B9" s="223"/>
      <c r="C9" s="223"/>
      <c r="D9" s="223"/>
      <c r="E9" s="223"/>
      <c r="F9" s="223"/>
      <c r="G9" s="223"/>
      <c r="H9" s="223"/>
      <c r="I9" s="224"/>
      <c r="J9" s="92"/>
      <c r="K9" s="236"/>
      <c r="L9" s="236"/>
      <c r="M9" s="236"/>
      <c r="N9" s="236"/>
    </row>
    <row r="10" spans="1:14">
      <c r="A10" s="222"/>
      <c r="B10" s="223"/>
      <c r="C10" s="223"/>
      <c r="D10" s="223"/>
      <c r="E10" s="223"/>
      <c r="F10" s="223"/>
      <c r="G10" s="223"/>
      <c r="H10" s="223"/>
      <c r="I10" s="224"/>
      <c r="J10" s="92"/>
      <c r="K10" s="236"/>
      <c r="L10" s="236"/>
      <c r="M10" s="236"/>
      <c r="N10" s="236"/>
    </row>
    <row r="11" spans="1:14">
      <c r="A11" s="222"/>
      <c r="B11" s="223"/>
      <c r="C11" s="223"/>
      <c r="D11" s="223"/>
      <c r="E11" s="223"/>
      <c r="F11" s="223"/>
      <c r="G11" s="223"/>
      <c r="H11" s="223"/>
      <c r="I11" s="224"/>
      <c r="J11" s="92"/>
      <c r="K11" s="236"/>
      <c r="L11" s="236"/>
      <c r="M11" s="236"/>
      <c r="N11" s="236"/>
    </row>
    <row r="12" spans="1:14">
      <c r="A12" s="222"/>
      <c r="B12" s="223"/>
      <c r="C12" s="223"/>
      <c r="D12" s="223"/>
      <c r="E12" s="223"/>
      <c r="F12" s="223"/>
      <c r="G12" s="223"/>
      <c r="H12" s="223"/>
      <c r="I12" s="224"/>
      <c r="J12" s="92"/>
      <c r="K12" s="236"/>
      <c r="L12" s="236"/>
      <c r="M12" s="236"/>
      <c r="N12" s="236"/>
    </row>
    <row r="13" spans="1:14">
      <c r="A13" s="222"/>
      <c r="B13" s="223"/>
      <c r="C13" s="223"/>
      <c r="D13" s="223"/>
      <c r="E13" s="223"/>
      <c r="F13" s="223"/>
      <c r="G13" s="223"/>
      <c r="H13" s="223"/>
      <c r="I13" s="224"/>
      <c r="J13" s="92"/>
      <c r="K13" s="236"/>
      <c r="L13" s="236"/>
      <c r="M13" s="236"/>
      <c r="N13" s="236"/>
    </row>
    <row r="14" spans="1:14">
      <c r="A14" s="222"/>
      <c r="B14" s="223"/>
      <c r="C14" s="223"/>
      <c r="D14" s="223"/>
      <c r="E14" s="223"/>
      <c r="F14" s="223"/>
      <c r="G14" s="223"/>
      <c r="H14" s="223"/>
      <c r="I14" s="224"/>
      <c r="J14" s="92"/>
      <c r="K14" s="236"/>
      <c r="L14" s="236"/>
      <c r="M14" s="236"/>
      <c r="N14" s="236"/>
    </row>
    <row r="15" spans="1:14">
      <c r="A15" s="222"/>
      <c r="B15" s="223"/>
      <c r="C15" s="223"/>
      <c r="D15" s="223"/>
      <c r="E15" s="223"/>
      <c r="F15" s="223"/>
      <c r="G15" s="223"/>
      <c r="H15" s="223"/>
      <c r="I15" s="224"/>
      <c r="J15" s="92"/>
      <c r="K15" s="92"/>
      <c r="L15" s="92"/>
      <c r="M15" s="92"/>
      <c r="N15" s="92"/>
    </row>
    <row r="16" spans="1:14">
      <c r="A16" s="222"/>
      <c r="B16" s="223"/>
      <c r="C16" s="223"/>
      <c r="D16" s="223"/>
      <c r="E16" s="223"/>
      <c r="F16" s="223"/>
      <c r="G16" s="223"/>
      <c r="H16" s="223"/>
      <c r="I16" s="224"/>
      <c r="J16" s="92"/>
      <c r="K16" s="92"/>
      <c r="L16" s="92"/>
      <c r="M16" s="92"/>
      <c r="N16" s="92"/>
    </row>
    <row r="17" spans="1:14">
      <c r="A17" s="222"/>
      <c r="B17" s="223"/>
      <c r="C17" s="223"/>
      <c r="D17" s="223"/>
      <c r="E17" s="223"/>
      <c r="F17" s="223"/>
      <c r="G17" s="223"/>
      <c r="H17" s="223"/>
      <c r="I17" s="224"/>
      <c r="J17" s="92"/>
      <c r="K17" s="92"/>
      <c r="L17" s="92"/>
      <c r="M17" s="92"/>
      <c r="N17" s="92"/>
    </row>
    <row r="18" spans="1:14">
      <c r="A18" s="225"/>
      <c r="B18" s="226"/>
      <c r="C18" s="226"/>
      <c r="D18" s="226"/>
      <c r="E18" s="226"/>
      <c r="F18" s="226"/>
      <c r="G18" s="226"/>
      <c r="H18" s="226"/>
      <c r="I18" s="227"/>
      <c r="J18" s="92"/>
      <c r="K18" s="92"/>
      <c r="L18" s="92"/>
      <c r="M18" s="92"/>
      <c r="N18" s="92"/>
    </row>
    <row r="20" spans="1:14">
      <c r="A20" s="51" t="s">
        <v>61</v>
      </c>
      <c r="B20" s="122"/>
      <c r="C20" s="122"/>
      <c r="D20" s="122"/>
      <c r="E20" s="122"/>
      <c r="F20" s="122"/>
      <c r="G20" s="122"/>
      <c r="H20" s="122"/>
      <c r="I20" s="123"/>
      <c r="J20" s="92"/>
      <c r="K20" s="92"/>
      <c r="L20" s="92"/>
      <c r="M20" s="92"/>
      <c r="N20" s="92"/>
    </row>
    <row r="21" spans="1:14">
      <c r="A21" s="124"/>
      <c r="B21" s="125"/>
      <c r="C21" s="125"/>
      <c r="D21" s="125"/>
      <c r="E21" s="125"/>
      <c r="F21" s="125"/>
      <c r="G21" s="125"/>
      <c r="H21" s="125"/>
      <c r="I21" s="126"/>
      <c r="J21" s="92"/>
      <c r="K21" s="92"/>
      <c r="L21" s="92"/>
      <c r="M21" s="92"/>
      <c r="N21" s="92"/>
    </row>
    <row r="22" spans="1:14">
      <c r="A22" s="219" t="s">
        <v>62</v>
      </c>
      <c r="B22" s="228"/>
      <c r="C22" s="228"/>
      <c r="D22" s="228"/>
      <c r="E22" s="228"/>
      <c r="F22" s="228"/>
      <c r="G22" s="228"/>
      <c r="H22" s="228"/>
      <c r="I22" s="229"/>
      <c r="J22" s="92"/>
      <c r="K22" s="236" t="s">
        <v>63</v>
      </c>
      <c r="L22" s="236"/>
      <c r="M22" s="236"/>
      <c r="N22" s="236"/>
    </row>
    <row r="23" spans="1:14">
      <c r="A23" s="230"/>
      <c r="B23" s="231"/>
      <c r="C23" s="231"/>
      <c r="D23" s="231"/>
      <c r="E23" s="231"/>
      <c r="F23" s="231"/>
      <c r="G23" s="231"/>
      <c r="H23" s="231"/>
      <c r="I23" s="232"/>
      <c r="J23" s="92"/>
      <c r="K23" s="236"/>
      <c r="L23" s="236"/>
      <c r="M23" s="236"/>
      <c r="N23" s="236"/>
    </row>
    <row r="24" spans="1:14">
      <c r="A24" s="230"/>
      <c r="B24" s="231"/>
      <c r="C24" s="231"/>
      <c r="D24" s="231"/>
      <c r="E24" s="231"/>
      <c r="F24" s="231"/>
      <c r="G24" s="231"/>
      <c r="H24" s="231"/>
      <c r="I24" s="232"/>
      <c r="J24" s="92"/>
      <c r="K24" s="236"/>
      <c r="L24" s="236"/>
      <c r="M24" s="236"/>
      <c r="N24" s="236"/>
    </row>
    <row r="25" spans="1:14">
      <c r="A25" s="230"/>
      <c r="B25" s="231"/>
      <c r="C25" s="231"/>
      <c r="D25" s="231"/>
      <c r="E25" s="231"/>
      <c r="F25" s="231"/>
      <c r="G25" s="231"/>
      <c r="H25" s="231"/>
      <c r="I25" s="232"/>
      <c r="J25" s="92"/>
      <c r="K25" s="236"/>
      <c r="L25" s="236"/>
      <c r="M25" s="236"/>
      <c r="N25" s="236"/>
    </row>
    <row r="26" spans="1:14">
      <c r="A26" s="230"/>
      <c r="B26" s="231"/>
      <c r="C26" s="231"/>
      <c r="D26" s="231"/>
      <c r="E26" s="231"/>
      <c r="F26" s="231"/>
      <c r="G26" s="231"/>
      <c r="H26" s="231"/>
      <c r="I26" s="232"/>
      <c r="J26" s="92"/>
      <c r="K26" s="236"/>
      <c r="L26" s="236"/>
      <c r="M26" s="236"/>
      <c r="N26" s="236"/>
    </row>
    <row r="27" spans="1:14">
      <c r="A27" s="230"/>
      <c r="B27" s="231"/>
      <c r="C27" s="231"/>
      <c r="D27" s="231"/>
      <c r="E27" s="231"/>
      <c r="F27" s="231"/>
      <c r="G27" s="231"/>
      <c r="H27" s="231"/>
      <c r="I27" s="232"/>
      <c r="J27" s="92"/>
      <c r="K27" s="236"/>
      <c r="L27" s="236"/>
      <c r="M27" s="236"/>
      <c r="N27" s="236"/>
    </row>
    <row r="28" spans="1:14">
      <c r="A28" s="230"/>
      <c r="B28" s="231"/>
      <c r="C28" s="231"/>
      <c r="D28" s="231"/>
      <c r="E28" s="231"/>
      <c r="F28" s="231"/>
      <c r="G28" s="231"/>
      <c r="H28" s="231"/>
      <c r="I28" s="232"/>
      <c r="J28" s="92"/>
      <c r="K28" s="236"/>
      <c r="L28" s="236"/>
      <c r="M28" s="236"/>
      <c r="N28" s="236"/>
    </row>
    <row r="29" spans="1:14">
      <c r="A29" s="230"/>
      <c r="B29" s="231"/>
      <c r="C29" s="231"/>
      <c r="D29" s="231"/>
      <c r="E29" s="231"/>
      <c r="F29" s="231"/>
      <c r="G29" s="231"/>
      <c r="H29" s="231"/>
      <c r="I29" s="232"/>
      <c r="J29" s="92"/>
      <c r="K29" s="236"/>
      <c r="L29" s="236"/>
      <c r="M29" s="236"/>
      <c r="N29" s="236"/>
    </row>
    <row r="30" spans="1:14">
      <c r="A30" s="230"/>
      <c r="B30" s="231"/>
      <c r="C30" s="231"/>
      <c r="D30" s="231"/>
      <c r="E30" s="231"/>
      <c r="F30" s="231"/>
      <c r="G30" s="231"/>
      <c r="H30" s="231"/>
      <c r="I30" s="232"/>
      <c r="J30" s="92"/>
      <c r="K30" s="236"/>
      <c r="L30" s="236"/>
      <c r="M30" s="236"/>
      <c r="N30" s="236"/>
    </row>
    <row r="31" spans="1:14">
      <c r="A31" s="230"/>
      <c r="B31" s="231"/>
      <c r="C31" s="231"/>
      <c r="D31" s="231"/>
      <c r="E31" s="231"/>
      <c r="F31" s="231"/>
      <c r="G31" s="231"/>
      <c r="H31" s="231"/>
      <c r="I31" s="232"/>
      <c r="J31" s="92"/>
      <c r="K31" s="236"/>
      <c r="L31" s="236"/>
      <c r="M31" s="236"/>
      <c r="N31" s="236"/>
    </row>
    <row r="32" spans="1:14">
      <c r="A32" s="230"/>
      <c r="B32" s="231"/>
      <c r="C32" s="231"/>
      <c r="D32" s="231"/>
      <c r="E32" s="231"/>
      <c r="F32" s="231"/>
      <c r="G32" s="231"/>
      <c r="H32" s="231"/>
      <c r="I32" s="232"/>
      <c r="J32" s="92"/>
      <c r="K32" s="92"/>
      <c r="L32" s="92"/>
      <c r="M32" s="92"/>
      <c r="N32" s="92"/>
    </row>
    <row r="33" spans="1:9">
      <c r="A33" s="230"/>
      <c r="B33" s="231"/>
      <c r="C33" s="231"/>
      <c r="D33" s="231"/>
      <c r="E33" s="231"/>
      <c r="F33" s="231"/>
      <c r="G33" s="231"/>
      <c r="H33" s="231"/>
      <c r="I33" s="232"/>
    </row>
    <row r="34" spans="1:9">
      <c r="A34" s="230"/>
      <c r="B34" s="231"/>
      <c r="C34" s="231"/>
      <c r="D34" s="231"/>
      <c r="E34" s="231"/>
      <c r="F34" s="231"/>
      <c r="G34" s="231"/>
      <c r="H34" s="231"/>
      <c r="I34" s="232"/>
    </row>
    <row r="35" spans="1:9">
      <c r="A35" s="230"/>
      <c r="B35" s="231"/>
      <c r="C35" s="231"/>
      <c r="D35" s="231"/>
      <c r="E35" s="231"/>
      <c r="F35" s="231"/>
      <c r="G35" s="231"/>
      <c r="H35" s="231"/>
      <c r="I35" s="232"/>
    </row>
    <row r="36" spans="1:9">
      <c r="A36" s="230"/>
      <c r="B36" s="231"/>
      <c r="C36" s="231"/>
      <c r="D36" s="231"/>
      <c r="E36" s="231"/>
      <c r="F36" s="231"/>
      <c r="G36" s="231"/>
      <c r="H36" s="231"/>
      <c r="I36" s="232"/>
    </row>
    <row r="37" spans="1:9">
      <c r="A37" s="230"/>
      <c r="B37" s="231"/>
      <c r="C37" s="231"/>
      <c r="D37" s="231"/>
      <c r="E37" s="231"/>
      <c r="F37" s="231"/>
      <c r="G37" s="231"/>
      <c r="H37" s="231"/>
      <c r="I37" s="232"/>
    </row>
    <row r="38" spans="1:9">
      <c r="A38" s="230"/>
      <c r="B38" s="231"/>
      <c r="C38" s="231"/>
      <c r="D38" s="231"/>
      <c r="E38" s="231"/>
      <c r="F38" s="231"/>
      <c r="G38" s="231"/>
      <c r="H38" s="231"/>
      <c r="I38" s="232"/>
    </row>
    <row r="39" spans="1:9">
      <c r="A39" s="230"/>
      <c r="B39" s="231"/>
      <c r="C39" s="231"/>
      <c r="D39" s="231"/>
      <c r="E39" s="231"/>
      <c r="F39" s="231"/>
      <c r="G39" s="231"/>
      <c r="H39" s="231"/>
      <c r="I39" s="232"/>
    </row>
    <row r="40" spans="1:9" ht="14.25" customHeight="1">
      <c r="A40" s="230"/>
      <c r="B40" s="231"/>
      <c r="C40" s="231"/>
      <c r="D40" s="231"/>
      <c r="E40" s="231"/>
      <c r="F40" s="231"/>
      <c r="G40" s="231"/>
      <c r="H40" s="231"/>
      <c r="I40" s="232"/>
    </row>
    <row r="41" spans="1:9">
      <c r="A41" s="230"/>
      <c r="B41" s="231"/>
      <c r="C41" s="231"/>
      <c r="D41" s="231"/>
      <c r="E41" s="231"/>
      <c r="F41" s="231"/>
      <c r="G41" s="231"/>
      <c r="H41" s="231"/>
      <c r="I41" s="232"/>
    </row>
    <row r="42" spans="1:9">
      <c r="A42" s="230"/>
      <c r="B42" s="231"/>
      <c r="C42" s="231"/>
      <c r="D42" s="231"/>
      <c r="E42" s="231"/>
      <c r="F42" s="231"/>
      <c r="G42" s="231"/>
      <c r="H42" s="231"/>
      <c r="I42" s="232"/>
    </row>
    <row r="43" spans="1:9">
      <c r="A43" s="230"/>
      <c r="B43" s="231"/>
      <c r="C43" s="231"/>
      <c r="D43" s="231"/>
      <c r="E43" s="231"/>
      <c r="F43" s="231"/>
      <c r="G43" s="231"/>
      <c r="H43" s="231"/>
      <c r="I43" s="232"/>
    </row>
    <row r="44" spans="1:9">
      <c r="A44" s="230"/>
      <c r="B44" s="231"/>
      <c r="C44" s="231"/>
      <c r="D44" s="231"/>
      <c r="E44" s="231"/>
      <c r="F44" s="231"/>
      <c r="G44" s="231"/>
      <c r="H44" s="231"/>
      <c r="I44" s="232"/>
    </row>
    <row r="45" spans="1:9">
      <c r="A45" s="230"/>
      <c r="B45" s="231"/>
      <c r="C45" s="231"/>
      <c r="D45" s="231"/>
      <c r="E45" s="231"/>
      <c r="F45" s="231"/>
      <c r="G45" s="231"/>
      <c r="H45" s="231"/>
      <c r="I45" s="232"/>
    </row>
    <row r="46" spans="1:9">
      <c r="A46" s="230"/>
      <c r="B46" s="231"/>
      <c r="C46" s="231"/>
      <c r="D46" s="231"/>
      <c r="E46" s="231"/>
      <c r="F46" s="231"/>
      <c r="G46" s="231"/>
      <c r="H46" s="231"/>
      <c r="I46" s="232"/>
    </row>
    <row r="47" spans="1:9">
      <c r="A47" s="230"/>
      <c r="B47" s="231"/>
      <c r="C47" s="231"/>
      <c r="D47" s="231"/>
      <c r="E47" s="231"/>
      <c r="F47" s="231"/>
      <c r="G47" s="231"/>
      <c r="H47" s="231"/>
      <c r="I47" s="232"/>
    </row>
    <row r="48" spans="1:9">
      <c r="A48" s="230"/>
      <c r="B48" s="231"/>
      <c r="C48" s="231"/>
      <c r="D48" s="231"/>
      <c r="E48" s="231"/>
      <c r="F48" s="231"/>
      <c r="G48" s="231"/>
      <c r="H48" s="231"/>
      <c r="I48" s="232"/>
    </row>
    <row r="49" spans="1:9">
      <c r="A49" s="230"/>
      <c r="B49" s="231"/>
      <c r="C49" s="231"/>
      <c r="D49" s="231"/>
      <c r="E49" s="231"/>
      <c r="F49" s="231"/>
      <c r="G49" s="231"/>
      <c r="H49" s="231"/>
      <c r="I49" s="232"/>
    </row>
    <row r="50" spans="1:9">
      <c r="A50" s="230"/>
      <c r="B50" s="231"/>
      <c r="C50" s="231"/>
      <c r="D50" s="231"/>
      <c r="E50" s="231"/>
      <c r="F50" s="231"/>
      <c r="G50" s="231"/>
      <c r="H50" s="231"/>
      <c r="I50" s="232"/>
    </row>
    <row r="51" spans="1:9">
      <c r="A51" s="230"/>
      <c r="B51" s="231"/>
      <c r="C51" s="231"/>
      <c r="D51" s="231"/>
      <c r="E51" s="231"/>
      <c r="F51" s="231"/>
      <c r="G51" s="231"/>
      <c r="H51" s="231"/>
      <c r="I51" s="232"/>
    </row>
    <row r="52" spans="1:9">
      <c r="A52" s="230"/>
      <c r="B52" s="231"/>
      <c r="C52" s="231"/>
      <c r="D52" s="231"/>
      <c r="E52" s="231"/>
      <c r="F52" s="231"/>
      <c r="G52" s="231"/>
      <c r="H52" s="231"/>
      <c r="I52" s="232"/>
    </row>
    <row r="53" spans="1:9">
      <c r="A53" s="230"/>
      <c r="B53" s="231"/>
      <c r="C53" s="231"/>
      <c r="D53" s="231"/>
      <c r="E53" s="231"/>
      <c r="F53" s="231"/>
      <c r="G53" s="231"/>
      <c r="H53" s="231"/>
      <c r="I53" s="232"/>
    </row>
    <row r="54" spans="1:9">
      <c r="A54" s="233"/>
      <c r="B54" s="234"/>
      <c r="C54" s="234"/>
      <c r="D54" s="234"/>
      <c r="E54" s="234"/>
      <c r="F54" s="234"/>
      <c r="G54" s="234"/>
      <c r="H54" s="234"/>
      <c r="I54" s="235"/>
    </row>
    <row r="66" spans="6:6">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8"/>
  <sheetViews>
    <sheetView topLeftCell="A28" workbookViewId="0">
      <selection activeCell="D54" sqref="D54"/>
    </sheetView>
  </sheetViews>
  <sheetFormatPr defaultColWidth="9.21875" defaultRowHeight="15"/>
  <cols>
    <col min="1" max="1" width="39" style="2" bestFit="1" customWidth="1"/>
    <col min="2" max="2" width="8.21875" style="12" customWidth="1"/>
    <col min="3" max="3" width="10.5546875" style="12" bestFit="1" customWidth="1"/>
    <col min="4" max="4" width="16" style="12" bestFit="1" customWidth="1"/>
    <col min="5" max="5" width="9.77734375" style="12" customWidth="1"/>
    <col min="6" max="6" width="10.5546875" style="12" customWidth="1"/>
    <col min="7" max="7" width="11.21875" style="15" customWidth="1"/>
    <col min="8" max="8" width="11.5546875" style="16" customWidth="1"/>
    <col min="9" max="10" width="9.21875" style="2"/>
    <col min="11" max="11" width="38.44140625" style="2" customWidth="1"/>
    <col min="12" max="16384" width="9.21875" style="2"/>
  </cols>
  <sheetData>
    <row r="1" spans="1:11">
      <c r="A1" s="92" t="s">
        <v>5</v>
      </c>
      <c r="B1" s="92"/>
      <c r="C1" s="92"/>
      <c r="D1" s="92"/>
      <c r="E1" s="92" t="s">
        <v>7</v>
      </c>
      <c r="F1" s="92"/>
      <c r="G1" s="92"/>
      <c r="H1" s="92"/>
      <c r="I1" s="92"/>
      <c r="J1" s="92"/>
      <c r="K1" s="92"/>
    </row>
    <row r="3" spans="1:11" ht="15.6">
      <c r="A3" s="1" t="s">
        <v>32</v>
      </c>
      <c r="B3" s="107"/>
      <c r="C3" s="107"/>
      <c r="D3" s="107"/>
      <c r="E3" s="107"/>
      <c r="F3" s="107"/>
      <c r="H3" s="127"/>
      <c r="I3" s="92"/>
      <c r="J3" s="92"/>
      <c r="K3" s="80" t="s">
        <v>3</v>
      </c>
    </row>
    <row r="4" spans="1:11">
      <c r="A4" s="18" t="s">
        <v>64</v>
      </c>
      <c r="B4" s="244"/>
      <c r="C4" s="244"/>
      <c r="D4" s="20" t="s">
        <v>65</v>
      </c>
      <c r="E4" s="19"/>
      <c r="F4" s="20" t="s">
        <v>66</v>
      </c>
      <c r="G4" s="19"/>
      <c r="H4" s="69" t="s">
        <v>67</v>
      </c>
      <c r="I4" s="92"/>
      <c r="J4" s="92"/>
      <c r="K4" s="17" t="s">
        <v>68</v>
      </c>
    </row>
    <row r="5" spans="1:11">
      <c r="A5" s="21" t="s">
        <v>69</v>
      </c>
      <c r="B5" s="22">
        <v>1</v>
      </c>
      <c r="C5" s="23"/>
      <c r="D5" s="23" t="s">
        <v>70</v>
      </c>
      <c r="E5" s="23"/>
      <c r="F5" s="24">
        <v>1</v>
      </c>
      <c r="G5" s="25"/>
      <c r="H5" s="26"/>
      <c r="I5" s="92"/>
      <c r="J5" s="92"/>
      <c r="K5" s="17" t="s">
        <v>71</v>
      </c>
    </row>
    <row r="6" spans="1:11">
      <c r="A6" s="3"/>
      <c r="B6" s="107"/>
      <c r="C6" s="107"/>
      <c r="D6" s="107"/>
      <c r="E6" s="107"/>
      <c r="F6" s="107"/>
      <c r="H6" s="127"/>
      <c r="I6" s="92"/>
      <c r="J6" s="92"/>
      <c r="K6" s="239" t="s">
        <v>72</v>
      </c>
    </row>
    <row r="7" spans="1:11">
      <c r="A7" s="9" t="s">
        <v>73</v>
      </c>
      <c r="B7" s="128" t="s">
        <v>74</v>
      </c>
      <c r="C7" s="129" t="s">
        <v>75</v>
      </c>
      <c r="D7" s="129" t="s">
        <v>76</v>
      </c>
      <c r="E7" s="129" t="s">
        <v>77</v>
      </c>
      <c r="F7" s="129" t="s">
        <v>78</v>
      </c>
      <c r="G7" s="27" t="s">
        <v>79</v>
      </c>
      <c r="H7" s="130" t="s">
        <v>80</v>
      </c>
      <c r="I7" s="92"/>
      <c r="J7" s="92"/>
      <c r="K7" s="239"/>
    </row>
    <row r="8" spans="1:11" ht="15.75" customHeight="1">
      <c r="A8" s="131" t="s">
        <v>81</v>
      </c>
      <c r="B8" s="241" t="s">
        <v>82</v>
      </c>
      <c r="C8" s="102">
        <v>45999.642000000007</v>
      </c>
      <c r="D8" s="102">
        <v>38408.570000000007</v>
      </c>
      <c r="E8" s="102">
        <v>33683.130000000005</v>
      </c>
      <c r="F8" s="102">
        <v>43541.650000000009</v>
      </c>
      <c r="G8" s="28">
        <v>161632.99200000003</v>
      </c>
      <c r="H8" s="104">
        <v>0.88736951289767141</v>
      </c>
      <c r="I8" s="92"/>
      <c r="J8" s="92"/>
      <c r="K8" s="240" t="s">
        <v>83</v>
      </c>
    </row>
    <row r="9" spans="1:11">
      <c r="A9" s="132" t="s">
        <v>84</v>
      </c>
      <c r="B9" s="242"/>
      <c r="C9" s="102">
        <v>5676.4599999999991</v>
      </c>
      <c r="D9" s="102">
        <v>4735.6399999999994</v>
      </c>
      <c r="E9" s="102">
        <v>3322.5499999999993</v>
      </c>
      <c r="F9" s="102">
        <v>6780.82</v>
      </c>
      <c r="G9" s="88">
        <v>20515.469999999998</v>
      </c>
      <c r="H9" s="133">
        <v>0.11263048710232862</v>
      </c>
      <c r="I9" s="92"/>
      <c r="J9" s="92"/>
      <c r="K9" s="240"/>
    </row>
    <row r="10" spans="1:11">
      <c r="A10" s="132" t="s">
        <v>85</v>
      </c>
      <c r="B10" s="242"/>
      <c r="C10" s="134"/>
      <c r="D10" s="134"/>
      <c r="E10" s="134"/>
      <c r="F10" s="134"/>
      <c r="G10" s="88">
        <v>0</v>
      </c>
      <c r="H10" s="133" t="s">
        <v>86</v>
      </c>
      <c r="I10" s="92"/>
      <c r="J10" s="92"/>
      <c r="K10" s="240"/>
    </row>
    <row r="11" spans="1:11">
      <c r="A11" s="132" t="s">
        <v>87</v>
      </c>
      <c r="B11" s="242"/>
      <c r="C11" s="134"/>
      <c r="D11" s="134"/>
      <c r="E11" s="134"/>
      <c r="F11" s="134"/>
      <c r="G11" s="88">
        <v>0</v>
      </c>
      <c r="H11" s="133" t="s">
        <v>86</v>
      </c>
      <c r="I11" s="92"/>
      <c r="J11" s="92"/>
      <c r="K11" s="240"/>
    </row>
    <row r="12" spans="1:11">
      <c r="A12" s="132" t="s">
        <v>88</v>
      </c>
      <c r="B12" s="242"/>
      <c r="C12" s="134"/>
      <c r="D12" s="134"/>
      <c r="E12" s="134"/>
      <c r="F12" s="134"/>
      <c r="G12" s="88">
        <v>0</v>
      </c>
      <c r="H12" s="133" t="s">
        <v>86</v>
      </c>
      <c r="I12" s="92"/>
      <c r="J12" s="92"/>
      <c r="K12" s="240"/>
    </row>
    <row r="13" spans="1:11">
      <c r="A13" s="132" t="s">
        <v>89</v>
      </c>
      <c r="B13" s="242"/>
      <c r="C13" s="134"/>
      <c r="D13" s="134"/>
      <c r="E13" s="134"/>
      <c r="F13" s="134"/>
      <c r="G13" s="88">
        <v>0</v>
      </c>
      <c r="H13" s="133" t="s">
        <v>86</v>
      </c>
      <c r="I13" s="92"/>
      <c r="J13" s="92"/>
      <c r="K13" s="240"/>
    </row>
    <row r="14" spans="1:11">
      <c r="A14" s="132" t="s">
        <v>90</v>
      </c>
      <c r="B14" s="242"/>
      <c r="C14" s="134"/>
      <c r="D14" s="134"/>
      <c r="E14" s="134"/>
      <c r="F14" s="134"/>
      <c r="G14" s="88">
        <v>0</v>
      </c>
      <c r="H14" s="133" t="s">
        <v>86</v>
      </c>
      <c r="I14" s="92"/>
      <c r="J14" s="92"/>
      <c r="K14" s="240"/>
    </row>
    <row r="15" spans="1:11">
      <c r="A15" s="135" t="s">
        <v>91</v>
      </c>
      <c r="B15" s="242"/>
      <c r="C15" s="134"/>
      <c r="D15" s="134"/>
      <c r="E15" s="134"/>
      <c r="F15" s="134"/>
      <c r="G15" s="88">
        <v>0</v>
      </c>
      <c r="H15" s="133" t="s">
        <v>86</v>
      </c>
      <c r="I15" s="92"/>
      <c r="J15" s="92"/>
      <c r="K15" s="240"/>
    </row>
    <row r="16" spans="1:11">
      <c r="A16" s="135" t="s">
        <v>91</v>
      </c>
      <c r="B16" s="242"/>
      <c r="C16" s="134"/>
      <c r="D16" s="134"/>
      <c r="E16" s="134"/>
      <c r="F16" s="134"/>
      <c r="G16" s="88"/>
      <c r="H16" s="133"/>
      <c r="I16" s="92"/>
      <c r="J16" s="92"/>
      <c r="K16" s="240"/>
    </row>
    <row r="17" spans="1:12">
      <c r="A17" s="135" t="s">
        <v>91</v>
      </c>
      <c r="B17" s="242"/>
      <c r="C17" s="134"/>
      <c r="D17" s="134"/>
      <c r="E17" s="134"/>
      <c r="F17" s="134"/>
      <c r="G17" s="88"/>
      <c r="H17" s="133"/>
      <c r="I17" s="92"/>
      <c r="J17" s="92"/>
      <c r="K17" s="240"/>
      <c r="L17" s="92"/>
    </row>
    <row r="18" spans="1:12">
      <c r="A18" s="90" t="s">
        <v>92</v>
      </c>
      <c r="B18" s="242"/>
      <c r="C18" s="88">
        <v>51676.102000000006</v>
      </c>
      <c r="D18" s="88">
        <v>43144.210000000006</v>
      </c>
      <c r="E18" s="88">
        <v>37005.680000000008</v>
      </c>
      <c r="F18" s="88">
        <v>50322.470000000008</v>
      </c>
      <c r="G18" s="88">
        <v>182148.46200000003</v>
      </c>
      <c r="H18" s="136">
        <v>1</v>
      </c>
      <c r="I18" s="92"/>
      <c r="J18" s="92"/>
      <c r="K18" s="240"/>
      <c r="L18" s="92"/>
    </row>
    <row r="19" spans="1:12">
      <c r="A19" s="132" t="s">
        <v>93</v>
      </c>
      <c r="B19" s="242"/>
      <c r="C19" s="137"/>
      <c r="D19" s="137"/>
      <c r="E19" s="137"/>
      <c r="F19" s="137"/>
      <c r="G19" s="88">
        <v>0</v>
      </c>
      <c r="H19" s="133" t="s">
        <v>86</v>
      </c>
      <c r="I19" s="92"/>
      <c r="J19" s="92"/>
      <c r="K19" s="240"/>
      <c r="L19" s="92"/>
    </row>
    <row r="20" spans="1:12">
      <c r="A20" s="132" t="s">
        <v>94</v>
      </c>
      <c r="B20" s="242"/>
      <c r="C20" s="137"/>
      <c r="D20" s="137"/>
      <c r="E20" s="137"/>
      <c r="F20" s="137"/>
      <c r="G20" s="88">
        <v>0</v>
      </c>
      <c r="H20" s="133" t="s">
        <v>86</v>
      </c>
      <c r="I20" s="92"/>
      <c r="J20" s="92"/>
      <c r="K20" s="92"/>
      <c r="L20" s="92"/>
    </row>
    <row r="21" spans="1:12">
      <c r="A21" s="91" t="s">
        <v>95</v>
      </c>
      <c r="B21" s="138"/>
      <c r="C21" s="89">
        <v>51676.102000000006</v>
      </c>
      <c r="D21" s="89">
        <v>43144.210000000006</v>
      </c>
      <c r="E21" s="89">
        <v>37005.680000000008</v>
      </c>
      <c r="F21" s="89">
        <v>50322.470000000008</v>
      </c>
      <c r="G21" s="30">
        <v>182148.46200000003</v>
      </c>
      <c r="H21" s="139">
        <v>1</v>
      </c>
      <c r="I21" s="92"/>
      <c r="J21" s="92"/>
      <c r="K21" s="92"/>
      <c r="L21" s="92"/>
    </row>
    <row r="22" spans="1:12">
      <c r="A22" s="3"/>
      <c r="B22" s="107"/>
      <c r="C22" s="127"/>
      <c r="D22" s="127"/>
      <c r="E22" s="127"/>
      <c r="F22" s="127"/>
      <c r="G22" s="31"/>
      <c r="H22" s="127"/>
      <c r="I22" s="92"/>
      <c r="J22" s="92"/>
      <c r="K22" s="92"/>
      <c r="L22" s="92"/>
    </row>
    <row r="23" spans="1:12">
      <c r="A23" s="9" t="s">
        <v>96</v>
      </c>
      <c r="B23" s="128" t="s">
        <v>74</v>
      </c>
      <c r="C23" s="140" t="s">
        <v>75</v>
      </c>
      <c r="D23" s="140" t="s">
        <v>76</v>
      </c>
      <c r="E23" s="140" t="s">
        <v>77</v>
      </c>
      <c r="F23" s="140" t="s">
        <v>78</v>
      </c>
      <c r="G23" s="32" t="s">
        <v>79</v>
      </c>
      <c r="H23" s="141" t="s">
        <v>97</v>
      </c>
      <c r="I23" s="92"/>
      <c r="J23" s="92"/>
      <c r="K23" s="92"/>
      <c r="L23" s="92"/>
    </row>
    <row r="24" spans="1:12" ht="15" customHeight="1">
      <c r="A24" s="142" t="s">
        <v>98</v>
      </c>
      <c r="B24" s="241" t="s">
        <v>99</v>
      </c>
      <c r="C24" s="102"/>
      <c r="D24" s="102"/>
      <c r="E24" s="102"/>
      <c r="F24" s="102"/>
      <c r="G24" s="28">
        <v>0</v>
      </c>
      <c r="H24" s="143" t="s">
        <v>86</v>
      </c>
      <c r="I24" s="92"/>
      <c r="J24" s="92"/>
      <c r="K24" s="92"/>
      <c r="L24" s="92"/>
    </row>
    <row r="25" spans="1:12">
      <c r="A25" s="144" t="s">
        <v>100</v>
      </c>
      <c r="B25" s="242"/>
      <c r="C25" s="145"/>
      <c r="D25" s="145"/>
      <c r="E25" s="145"/>
      <c r="F25" s="145"/>
      <c r="G25" s="29">
        <v>0</v>
      </c>
      <c r="H25" s="146" t="s">
        <v>86</v>
      </c>
      <c r="I25" s="92"/>
      <c r="J25" s="92"/>
      <c r="K25" s="92"/>
      <c r="L25" s="92"/>
    </row>
    <row r="26" spans="1:12">
      <c r="A26" s="144" t="s">
        <v>101</v>
      </c>
      <c r="B26" s="242"/>
      <c r="C26" s="101">
        <v>2672.7839999999992</v>
      </c>
      <c r="D26" s="101">
        <v>2193.8179999999998</v>
      </c>
      <c r="E26" s="101">
        <v>2033.6660000000004</v>
      </c>
      <c r="F26" s="101">
        <v>2493.2240000000002</v>
      </c>
      <c r="G26" s="29">
        <v>9393.4919999999984</v>
      </c>
      <c r="H26" s="146">
        <v>51.570526025083851</v>
      </c>
      <c r="I26" s="92"/>
      <c r="J26" s="92"/>
      <c r="K26" s="92"/>
      <c r="L26" s="92"/>
    </row>
    <row r="27" spans="1:12">
      <c r="A27" s="144" t="s">
        <v>102</v>
      </c>
      <c r="B27" s="242"/>
      <c r="C27" s="101">
        <v>2672.7839999999992</v>
      </c>
      <c r="D27" s="101">
        <v>2193.8179999999998</v>
      </c>
      <c r="E27" s="101">
        <v>2033.6660000000004</v>
      </c>
      <c r="F27" s="101">
        <v>2493.2240000000002</v>
      </c>
      <c r="G27" s="29">
        <v>9393.4919999999984</v>
      </c>
      <c r="H27" s="146">
        <v>51.570526025083851</v>
      </c>
      <c r="I27" s="92"/>
      <c r="J27" s="92"/>
      <c r="K27" s="92"/>
      <c r="L27" s="92"/>
    </row>
    <row r="28" spans="1:12">
      <c r="A28" s="144" t="s">
        <v>103</v>
      </c>
      <c r="B28" s="147" t="s">
        <v>80</v>
      </c>
      <c r="C28" s="137"/>
      <c r="D28" s="137"/>
      <c r="E28" s="137"/>
      <c r="F28" s="137"/>
      <c r="G28" s="148" t="s">
        <v>86</v>
      </c>
      <c r="H28" s="146"/>
      <c r="I28" s="92"/>
      <c r="J28" s="92"/>
      <c r="K28" s="149"/>
      <c r="L28" s="92"/>
    </row>
    <row r="29" spans="1:12">
      <c r="A29" s="144" t="s">
        <v>104</v>
      </c>
      <c r="B29" s="245" t="s">
        <v>99</v>
      </c>
      <c r="C29" s="101">
        <v>101203</v>
      </c>
      <c r="D29" s="101">
        <v>82293</v>
      </c>
      <c r="E29" s="101">
        <v>79472</v>
      </c>
      <c r="F29" s="101">
        <v>98190</v>
      </c>
      <c r="G29" s="29">
        <v>361158</v>
      </c>
      <c r="H29" s="146">
        <v>1982.7672220476938</v>
      </c>
      <c r="I29" s="92"/>
      <c r="J29" s="92"/>
      <c r="K29" s="149"/>
      <c r="L29" s="92"/>
    </row>
    <row r="30" spans="1:12">
      <c r="A30" s="144" t="s">
        <v>105</v>
      </c>
      <c r="B30" s="245"/>
      <c r="C30" s="101">
        <v>101203</v>
      </c>
      <c r="D30" s="101">
        <v>82293</v>
      </c>
      <c r="E30" s="101">
        <v>79472</v>
      </c>
      <c r="F30" s="101">
        <v>98190</v>
      </c>
      <c r="G30" s="29">
        <v>361158</v>
      </c>
      <c r="H30" s="146">
        <v>1982.7672220476938</v>
      </c>
      <c r="I30" s="92"/>
      <c r="J30" s="92"/>
      <c r="K30" s="17"/>
      <c r="L30" s="17"/>
    </row>
    <row r="31" spans="1:12">
      <c r="A31" s="99" t="s">
        <v>106</v>
      </c>
      <c r="B31" s="150"/>
      <c r="C31" s="151"/>
      <c r="D31" s="151"/>
      <c r="E31" s="151"/>
      <c r="F31" s="151"/>
      <c r="G31" s="152"/>
      <c r="H31" s="151"/>
      <c r="I31" s="92"/>
      <c r="J31" s="92"/>
      <c r="K31" s="92"/>
      <c r="L31" s="17"/>
    </row>
    <row r="32" spans="1:12">
      <c r="A32" s="3"/>
      <c r="B32" s="107"/>
      <c r="C32" s="127"/>
      <c r="D32" s="127"/>
      <c r="E32" s="127"/>
      <c r="F32" s="127"/>
      <c r="G32" s="31"/>
      <c r="H32" s="127"/>
      <c r="I32" s="92"/>
      <c r="J32" s="92"/>
      <c r="K32" s="92"/>
      <c r="L32" s="17"/>
    </row>
    <row r="33" spans="1:12">
      <c r="A33" s="9" t="s">
        <v>107</v>
      </c>
      <c r="B33" s="153" t="s">
        <v>74</v>
      </c>
      <c r="C33" s="154" t="s">
        <v>75</v>
      </c>
      <c r="D33" s="154" t="s">
        <v>76</v>
      </c>
      <c r="E33" s="154" t="s">
        <v>77</v>
      </c>
      <c r="F33" s="154" t="s">
        <v>78</v>
      </c>
      <c r="G33" s="32" t="s">
        <v>79</v>
      </c>
      <c r="H33" s="155" t="s">
        <v>108</v>
      </c>
      <c r="I33" s="92"/>
      <c r="J33" s="92"/>
      <c r="K33" s="92"/>
      <c r="L33" s="17"/>
    </row>
    <row r="34" spans="1:12" ht="15" customHeight="1">
      <c r="A34" s="142" t="s">
        <v>109</v>
      </c>
      <c r="B34" s="241" t="s">
        <v>82</v>
      </c>
      <c r="C34" s="101">
        <v>1103.3800000000001</v>
      </c>
      <c r="D34" s="101">
        <v>857.7</v>
      </c>
      <c r="E34" s="101">
        <v>828.07999999999993</v>
      </c>
      <c r="F34" s="101">
        <v>1136.5800000000002</v>
      </c>
      <c r="G34" s="28">
        <v>3925.74</v>
      </c>
      <c r="H34" s="104">
        <v>2.1552419146970338E-2</v>
      </c>
      <c r="I34" s="92"/>
      <c r="J34" s="92"/>
      <c r="K34" s="17"/>
      <c r="L34" s="17"/>
    </row>
    <row r="35" spans="1:12" ht="15" customHeight="1">
      <c r="A35" s="144" t="s">
        <v>110</v>
      </c>
      <c r="B35" s="242"/>
      <c r="C35" s="101">
        <v>9413.5</v>
      </c>
      <c r="D35" s="101">
        <v>7987.82</v>
      </c>
      <c r="E35" s="101">
        <v>7704.67</v>
      </c>
      <c r="F35" s="101">
        <v>9152.76</v>
      </c>
      <c r="G35" s="29">
        <v>34258.75</v>
      </c>
      <c r="H35" s="133">
        <v>0.18808146730330336</v>
      </c>
      <c r="I35" s="92"/>
      <c r="J35" s="92"/>
      <c r="K35" s="17"/>
      <c r="L35" s="17"/>
    </row>
    <row r="36" spans="1:12" ht="15" customHeight="1">
      <c r="A36" s="144" t="s">
        <v>111</v>
      </c>
      <c r="B36" s="242"/>
      <c r="C36" s="101"/>
      <c r="D36" s="101"/>
      <c r="E36" s="101"/>
      <c r="F36" s="101"/>
      <c r="G36" s="29"/>
      <c r="H36" s="133"/>
      <c r="I36" s="92"/>
      <c r="J36" s="92"/>
      <c r="K36" s="92"/>
      <c r="L36" s="92"/>
    </row>
    <row r="37" spans="1:12">
      <c r="A37" s="156" t="s">
        <v>112</v>
      </c>
      <c r="B37" s="242"/>
      <c r="C37" s="145">
        <v>0</v>
      </c>
      <c r="D37" s="145">
        <v>0</v>
      </c>
      <c r="E37" s="145">
        <v>0</v>
      </c>
      <c r="F37" s="145">
        <v>0</v>
      </c>
      <c r="G37" s="29">
        <v>0</v>
      </c>
      <c r="H37" s="133" t="s">
        <v>86</v>
      </c>
      <c r="I37" s="92"/>
      <c r="J37" s="92"/>
      <c r="K37" s="92"/>
      <c r="L37" s="92"/>
    </row>
    <row r="38" spans="1:12">
      <c r="A38" s="156" t="s">
        <v>112</v>
      </c>
      <c r="B38" s="242"/>
      <c r="C38" s="145">
        <v>0</v>
      </c>
      <c r="D38" s="145">
        <v>0</v>
      </c>
      <c r="E38" s="145">
        <v>0</v>
      </c>
      <c r="F38" s="145">
        <v>0</v>
      </c>
      <c r="G38" s="29">
        <v>0</v>
      </c>
      <c r="H38" s="133" t="s">
        <v>86</v>
      </c>
      <c r="I38" s="92"/>
      <c r="J38" s="92"/>
      <c r="K38" s="92"/>
      <c r="L38" s="92"/>
    </row>
    <row r="39" spans="1:12">
      <c r="A39" s="157" t="s">
        <v>112</v>
      </c>
      <c r="B39" s="243"/>
      <c r="C39" s="158">
        <v>0</v>
      </c>
      <c r="D39" s="158">
        <v>0</v>
      </c>
      <c r="E39" s="158">
        <v>0</v>
      </c>
      <c r="F39" s="158">
        <v>0</v>
      </c>
      <c r="G39" s="30">
        <v>0</v>
      </c>
      <c r="H39" s="139" t="s">
        <v>86</v>
      </c>
      <c r="I39" s="92"/>
      <c r="J39" s="92"/>
      <c r="K39" s="92"/>
      <c r="L39" s="92"/>
    </row>
    <row r="40" spans="1:12">
      <c r="A40" s="107"/>
      <c r="B40" s="107"/>
      <c r="C40" s="127"/>
      <c r="D40" s="127"/>
      <c r="E40" s="127"/>
      <c r="F40" s="127"/>
      <c r="G40" s="31"/>
      <c r="H40" s="127"/>
      <c r="I40" s="92"/>
      <c r="J40" s="92"/>
      <c r="K40" s="92"/>
      <c r="L40" s="92"/>
    </row>
    <row r="41" spans="1:12">
      <c r="A41" s="9" t="s">
        <v>113</v>
      </c>
      <c r="B41" s="159" t="s">
        <v>74</v>
      </c>
      <c r="C41" s="129" t="s">
        <v>75</v>
      </c>
      <c r="D41" s="129" t="s">
        <v>76</v>
      </c>
      <c r="E41" s="129" t="s">
        <v>77</v>
      </c>
      <c r="F41" s="129" t="s">
        <v>78</v>
      </c>
      <c r="G41" s="27" t="s">
        <v>79</v>
      </c>
      <c r="H41" s="130" t="s">
        <v>114</v>
      </c>
      <c r="I41" s="92"/>
      <c r="J41" s="92"/>
      <c r="K41" s="92"/>
      <c r="L41" s="92"/>
    </row>
    <row r="42" spans="1:12" ht="15.6" customHeight="1">
      <c r="A42" s="142" t="s">
        <v>115</v>
      </c>
      <c r="B42" s="147" t="s">
        <v>116</v>
      </c>
      <c r="C42" s="103">
        <v>799</v>
      </c>
      <c r="D42" s="103">
        <v>696</v>
      </c>
      <c r="E42" s="103">
        <v>2981</v>
      </c>
      <c r="F42" s="103">
        <v>2272</v>
      </c>
      <c r="G42" s="28">
        <v>6748</v>
      </c>
      <c r="H42" s="160">
        <v>3.7046703144822592E-2</v>
      </c>
      <c r="I42" s="92"/>
      <c r="J42" s="92"/>
      <c r="K42" s="92"/>
      <c r="L42" s="92"/>
    </row>
    <row r="43" spans="1:12">
      <c r="A43" s="144" t="s">
        <v>117</v>
      </c>
      <c r="B43" s="147" t="s">
        <v>116</v>
      </c>
      <c r="C43" s="100" t="s">
        <v>118</v>
      </c>
      <c r="D43" s="100" t="s">
        <v>118</v>
      </c>
      <c r="E43" s="100" t="s">
        <v>118</v>
      </c>
      <c r="F43" s="100" t="s">
        <v>118</v>
      </c>
      <c r="G43" s="29">
        <v>0</v>
      </c>
      <c r="H43" s="160" t="s">
        <v>86</v>
      </c>
      <c r="I43" s="92"/>
      <c r="J43" s="92"/>
      <c r="K43" s="92"/>
      <c r="L43" s="92"/>
    </row>
    <row r="44" spans="1:12" ht="15.6" customHeight="1">
      <c r="A44" s="144" t="s">
        <v>119</v>
      </c>
      <c r="B44" s="147" t="s">
        <v>120</v>
      </c>
      <c r="C44" s="161">
        <v>146499.72577859246</v>
      </c>
      <c r="D44" s="161">
        <v>107669.51307282201</v>
      </c>
      <c r="E44" s="161">
        <v>97387.761612252405</v>
      </c>
      <c r="F44" s="161">
        <v>129023.0565328884</v>
      </c>
      <c r="G44" s="29">
        <v>480580.05699655524</v>
      </c>
      <c r="H44" s="160">
        <v>2.6383975561460145</v>
      </c>
      <c r="I44" s="92"/>
      <c r="J44" s="92"/>
      <c r="K44" s="92"/>
      <c r="L44" s="92"/>
    </row>
    <row r="45" spans="1:12" ht="15.6" customHeight="1">
      <c r="A45" s="144" t="s">
        <v>121</v>
      </c>
      <c r="B45" s="147" t="s">
        <v>120</v>
      </c>
      <c r="C45" s="100" t="s">
        <v>118</v>
      </c>
      <c r="D45" s="100" t="s">
        <v>118</v>
      </c>
      <c r="E45" s="100" t="s">
        <v>118</v>
      </c>
      <c r="F45" s="100" t="s">
        <v>118</v>
      </c>
      <c r="G45" s="29">
        <v>0</v>
      </c>
      <c r="H45" s="160" t="s">
        <v>86</v>
      </c>
      <c r="I45" s="92"/>
      <c r="J45" s="92"/>
      <c r="K45" s="92"/>
      <c r="L45" s="92"/>
    </row>
    <row r="46" spans="1:12">
      <c r="A46" s="144" t="s">
        <v>122</v>
      </c>
      <c r="B46" s="147" t="s">
        <v>120</v>
      </c>
      <c r="C46" s="103">
        <v>159070</v>
      </c>
      <c r="D46" s="103">
        <v>129393</v>
      </c>
      <c r="E46" s="103">
        <v>136350</v>
      </c>
      <c r="F46" s="103">
        <v>152474</v>
      </c>
      <c r="G46" s="29">
        <v>577287</v>
      </c>
      <c r="H46" s="160">
        <v>3.1693212979201544</v>
      </c>
      <c r="I46" s="92"/>
      <c r="J46" s="92"/>
      <c r="K46" s="92"/>
      <c r="L46" s="92"/>
    </row>
    <row r="47" spans="1:12">
      <c r="A47" s="144" t="s">
        <v>123</v>
      </c>
      <c r="B47" s="147" t="s">
        <v>120</v>
      </c>
      <c r="C47" s="103">
        <v>25884</v>
      </c>
      <c r="D47" s="103">
        <v>21600</v>
      </c>
      <c r="E47" s="103">
        <v>22242</v>
      </c>
      <c r="F47" s="103">
        <v>25284</v>
      </c>
      <c r="G47" s="29">
        <v>95010</v>
      </c>
      <c r="H47" s="160">
        <v>0.52160747862916346</v>
      </c>
      <c r="I47" s="92"/>
      <c r="J47" s="92"/>
      <c r="K47" s="92"/>
      <c r="L47" s="92"/>
    </row>
    <row r="48" spans="1:12">
      <c r="A48" s="144" t="s">
        <v>124</v>
      </c>
      <c r="B48" s="147" t="s">
        <v>116</v>
      </c>
      <c r="C48" s="103">
        <v>7666</v>
      </c>
      <c r="D48" s="103">
        <v>5897</v>
      </c>
      <c r="E48" s="103">
        <v>65370</v>
      </c>
      <c r="F48" s="103">
        <v>35518</v>
      </c>
      <c r="G48" s="29">
        <v>114451</v>
      </c>
      <c r="H48" s="160">
        <v>0.62833909626972295</v>
      </c>
      <c r="I48" s="92"/>
      <c r="J48" s="92"/>
      <c r="K48" s="92"/>
      <c r="L48" s="92"/>
    </row>
    <row r="49" spans="1:10">
      <c r="A49" s="144" t="s">
        <v>125</v>
      </c>
      <c r="B49" s="147" t="s">
        <v>126</v>
      </c>
      <c r="C49" s="100" t="s">
        <v>118</v>
      </c>
      <c r="D49" s="100" t="s">
        <v>118</v>
      </c>
      <c r="E49" s="100" t="s">
        <v>118</v>
      </c>
      <c r="F49" s="100" t="s">
        <v>118</v>
      </c>
      <c r="G49" s="29">
        <v>0</v>
      </c>
      <c r="H49" s="162"/>
      <c r="I49" s="92"/>
      <c r="J49" s="92"/>
    </row>
    <row r="50" spans="1:10">
      <c r="A50" s="99" t="s">
        <v>112</v>
      </c>
      <c r="B50" s="163"/>
      <c r="C50" s="100" t="s">
        <v>118</v>
      </c>
      <c r="D50" s="100" t="s">
        <v>118</v>
      </c>
      <c r="E50" s="100" t="s">
        <v>118</v>
      </c>
      <c r="F50" s="100" t="s">
        <v>118</v>
      </c>
      <c r="G50" s="30">
        <v>0</v>
      </c>
      <c r="H50" s="164"/>
      <c r="I50" s="92"/>
      <c r="J50" s="92"/>
    </row>
    <row r="51" spans="1:10">
      <c r="A51" s="107"/>
      <c r="B51" s="107"/>
      <c r="C51" s="127"/>
      <c r="D51" s="127"/>
      <c r="E51" s="127"/>
      <c r="F51" s="127"/>
      <c r="G51" s="31"/>
      <c r="H51" s="127"/>
      <c r="I51" s="92"/>
      <c r="J51" s="92"/>
    </row>
    <row r="52" spans="1:10">
      <c r="A52" s="9" t="s">
        <v>127</v>
      </c>
      <c r="B52" s="165" t="s">
        <v>128</v>
      </c>
      <c r="C52" s="140" t="s">
        <v>75</v>
      </c>
      <c r="D52" s="140" t="s">
        <v>76</v>
      </c>
      <c r="E52" s="140" t="s">
        <v>77</v>
      </c>
      <c r="F52" s="140" t="s">
        <v>78</v>
      </c>
      <c r="G52" s="32" t="s">
        <v>79</v>
      </c>
      <c r="H52" s="141"/>
      <c r="I52" s="92"/>
      <c r="J52" s="85" t="s">
        <v>129</v>
      </c>
    </row>
    <row r="53" spans="1:10" ht="14.25" customHeight="1">
      <c r="A53" s="237" t="s">
        <v>130</v>
      </c>
      <c r="B53" s="154">
        <v>1</v>
      </c>
      <c r="C53" s="103">
        <v>2159</v>
      </c>
      <c r="D53" s="103">
        <v>1792</v>
      </c>
      <c r="E53" s="103">
        <v>1841.5</v>
      </c>
      <c r="F53" s="103">
        <v>2009</v>
      </c>
      <c r="G53" s="28">
        <v>7801.5</v>
      </c>
      <c r="H53" s="104">
        <v>0.89</v>
      </c>
      <c r="I53" s="92"/>
      <c r="J53" s="87">
        <v>8760</v>
      </c>
    </row>
    <row r="54" spans="1:10" ht="14.25" customHeight="1">
      <c r="A54" s="238"/>
      <c r="B54" s="154">
        <v>2</v>
      </c>
      <c r="C54" s="103">
        <v>2153</v>
      </c>
      <c r="D54" s="103">
        <v>1806</v>
      </c>
      <c r="E54" s="103">
        <v>1893</v>
      </c>
      <c r="F54" s="103">
        <v>2198.5</v>
      </c>
      <c r="G54" s="29">
        <v>8050.5</v>
      </c>
      <c r="H54" s="133">
        <v>0.91900000000000004</v>
      </c>
      <c r="I54" s="92"/>
      <c r="J54" s="92"/>
    </row>
    <row r="55" spans="1:10" ht="14.25" customHeight="1">
      <c r="A55" s="238"/>
      <c r="B55" s="166">
        <v>3</v>
      </c>
      <c r="C55" s="167"/>
      <c r="D55" s="167"/>
      <c r="E55" s="167"/>
      <c r="F55" s="167"/>
      <c r="G55" s="29">
        <v>0</v>
      </c>
      <c r="H55" s="133" t="s">
        <v>131</v>
      </c>
      <c r="I55" s="92"/>
      <c r="J55" s="92"/>
    </row>
    <row r="56" spans="1:10" ht="14.25" customHeight="1">
      <c r="A56" s="238"/>
      <c r="B56" s="166">
        <v>4</v>
      </c>
      <c r="C56" s="167"/>
      <c r="D56" s="167"/>
      <c r="E56" s="167"/>
      <c r="F56" s="167"/>
      <c r="G56" s="29">
        <v>0</v>
      </c>
      <c r="H56" s="133" t="s">
        <v>131</v>
      </c>
      <c r="I56" s="92"/>
      <c r="J56" s="92"/>
    </row>
    <row r="57" spans="1:10" ht="14.25" customHeight="1">
      <c r="A57" s="238"/>
      <c r="B57" s="166">
        <v>5</v>
      </c>
      <c r="C57" s="167"/>
      <c r="D57" s="167"/>
      <c r="E57" s="167"/>
      <c r="F57" s="167"/>
      <c r="G57" s="29">
        <v>0</v>
      </c>
      <c r="H57" s="133" t="s">
        <v>131</v>
      </c>
      <c r="I57" s="92"/>
      <c r="J57" s="92"/>
    </row>
    <row r="58" spans="1:10" ht="14.25" customHeight="1">
      <c r="A58" s="144" t="s">
        <v>132</v>
      </c>
      <c r="B58" s="154"/>
      <c r="C58" s="100">
        <v>4312</v>
      </c>
      <c r="D58" s="100">
        <v>3598</v>
      </c>
      <c r="E58" s="100">
        <v>3734.5</v>
      </c>
      <c r="F58" s="100">
        <v>4207.5</v>
      </c>
      <c r="G58" s="29">
        <v>7926</v>
      </c>
      <c r="H58" s="86">
        <v>0.90449999999999997</v>
      </c>
      <c r="I58" s="92"/>
      <c r="J58" s="92"/>
    </row>
    <row r="59" spans="1:10" ht="14.25" customHeight="1">
      <c r="A59" s="144" t="s">
        <v>133</v>
      </c>
      <c r="B59" s="166">
        <v>1</v>
      </c>
      <c r="C59" s="166"/>
      <c r="D59" s="166"/>
      <c r="E59" s="166"/>
      <c r="F59" s="166"/>
      <c r="G59" s="29">
        <v>0</v>
      </c>
      <c r="H59" s="133" t="s">
        <v>131</v>
      </c>
      <c r="I59" s="92"/>
      <c r="J59" s="92"/>
    </row>
    <row r="60" spans="1:10">
      <c r="A60" s="144" t="s">
        <v>133</v>
      </c>
      <c r="B60" s="166">
        <v>2</v>
      </c>
      <c r="C60" s="167"/>
      <c r="D60" s="167"/>
      <c r="E60" s="167"/>
      <c r="F60" s="167"/>
      <c r="G60" s="29">
        <v>0</v>
      </c>
      <c r="H60" s="133" t="s">
        <v>131</v>
      </c>
      <c r="I60" s="92"/>
      <c r="J60" s="92"/>
    </row>
    <row r="61" spans="1:10">
      <c r="A61" s="144" t="s">
        <v>134</v>
      </c>
      <c r="B61" s="166"/>
      <c r="C61" s="168">
        <v>4312</v>
      </c>
      <c r="D61" s="168">
        <v>3598</v>
      </c>
      <c r="E61" s="168">
        <v>3734.5</v>
      </c>
      <c r="F61" s="168">
        <v>4207.5</v>
      </c>
      <c r="G61" s="29">
        <v>15852</v>
      </c>
      <c r="H61" s="133" t="s">
        <v>135</v>
      </c>
      <c r="I61" s="92"/>
      <c r="J61" s="92"/>
    </row>
    <row r="62" spans="1:10">
      <c r="A62" s="144" t="s">
        <v>136</v>
      </c>
      <c r="B62" s="127" t="s">
        <v>137</v>
      </c>
      <c r="C62" s="169">
        <v>9.4</v>
      </c>
      <c r="D62" s="169">
        <v>8.9</v>
      </c>
      <c r="E62" s="169">
        <v>8</v>
      </c>
      <c r="F62" s="169">
        <v>8.9</v>
      </c>
      <c r="G62" s="29"/>
      <c r="H62" s="170" t="s">
        <v>86</v>
      </c>
      <c r="I62" s="92"/>
      <c r="J62" s="92"/>
    </row>
    <row r="63" spans="1:10">
      <c r="A63" s="144" t="s">
        <v>138</v>
      </c>
      <c r="B63" s="127" t="s">
        <v>139</v>
      </c>
      <c r="C63" s="145"/>
      <c r="D63" s="145"/>
      <c r="E63" s="145"/>
      <c r="F63" s="145"/>
      <c r="G63" s="29">
        <v>0</v>
      </c>
      <c r="H63" s="146" t="s">
        <v>140</v>
      </c>
      <c r="I63" s="92"/>
      <c r="J63" s="92"/>
    </row>
    <row r="64" spans="1:10">
      <c r="A64" s="144" t="s">
        <v>141</v>
      </c>
      <c r="B64" s="127" t="s">
        <v>142</v>
      </c>
      <c r="C64" s="145"/>
      <c r="D64" s="145"/>
      <c r="E64" s="145"/>
      <c r="F64" s="145"/>
      <c r="G64" s="29">
        <v>0</v>
      </c>
      <c r="H64" s="171">
        <v>0</v>
      </c>
      <c r="I64" s="92"/>
      <c r="J64" s="92"/>
    </row>
    <row r="65" spans="1:8">
      <c r="A65" s="99" t="s">
        <v>143</v>
      </c>
      <c r="B65" s="172" t="s">
        <v>139</v>
      </c>
      <c r="C65" s="158">
        <v>0</v>
      </c>
      <c r="D65" s="158">
        <v>1</v>
      </c>
      <c r="E65" s="158">
        <v>0</v>
      </c>
      <c r="F65" s="158">
        <v>2</v>
      </c>
      <c r="G65" s="30">
        <v>3</v>
      </c>
      <c r="H65" s="173" t="s">
        <v>144</v>
      </c>
    </row>
    <row r="78" spans="1:8">
      <c r="A78" s="92"/>
      <c r="B78" s="107"/>
      <c r="C78" s="107"/>
      <c r="D78" s="107"/>
      <c r="E78" s="107"/>
      <c r="F78" s="3"/>
      <c r="H78" s="127"/>
    </row>
  </sheetData>
  <mergeCells count="8">
    <mergeCell ref="A53:A57"/>
    <mergeCell ref="K6:K7"/>
    <mergeCell ref="K8:K19"/>
    <mergeCell ref="B34:B39"/>
    <mergeCell ref="B4:C4"/>
    <mergeCell ref="B8:B20"/>
    <mergeCell ref="B24:B27"/>
    <mergeCell ref="B29:B30"/>
  </mergeCells>
  <phoneticPr fontId="25" type="noConversion"/>
  <pageMargins left="0.7" right="0.7" top="0.75" bottom="0.75" header="0.3" footer="0.3"/>
  <pageSetup paperSize="9" scale="87" orientation="portrait" r:id="rId1"/>
  <headerFooter scaleWithDoc="0">
    <oddFooter>&amp;C&amp;"Arial,Regular"Page &amp;P</oddFooter>
  </headerFooter>
  <rowBreaks count="1" manualBreakCount="1">
    <brk id="50"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workbookViewId="0">
      <selection activeCell="A5" sqref="A5:I27"/>
    </sheetView>
  </sheetViews>
  <sheetFormatPr defaultColWidth="9.21875" defaultRowHeight="15"/>
  <cols>
    <col min="1" max="1" width="9.21875" style="2" customWidth="1"/>
    <col min="2" max="2" width="14.5546875" style="2" bestFit="1" customWidth="1"/>
    <col min="3" max="9" width="9.21875" style="2"/>
    <col min="10" max="10" width="11.5546875" style="2" customWidth="1"/>
    <col min="11" max="16384" width="9.21875" style="2"/>
  </cols>
  <sheetData>
    <row r="1" spans="1:14">
      <c r="A1" s="92" t="str">
        <f>+'Cover Page'!$B$29</f>
        <v>Annual Performance Report 2022</v>
      </c>
      <c r="B1" s="92"/>
      <c r="C1" s="92"/>
      <c r="D1" s="92"/>
      <c r="E1" s="92" t="str">
        <f>+'Cover Page'!$B$33</f>
        <v>Eastcroft Energy from Waste Plant</v>
      </c>
      <c r="F1" s="92"/>
      <c r="G1" s="92"/>
      <c r="H1" s="92"/>
      <c r="I1" s="92"/>
      <c r="J1" s="92"/>
      <c r="K1" s="92"/>
      <c r="L1" s="92"/>
      <c r="M1" s="92"/>
      <c r="N1" s="92"/>
    </row>
    <row r="3" spans="1:14" ht="15.6">
      <c r="A3" s="51" t="s">
        <v>145</v>
      </c>
      <c r="B3" s="122"/>
      <c r="C3" s="122"/>
      <c r="D3" s="122"/>
      <c r="E3" s="122"/>
      <c r="F3" s="122"/>
      <c r="G3" s="122"/>
      <c r="H3" s="122"/>
      <c r="I3" s="123"/>
      <c r="J3" s="92"/>
      <c r="K3" s="80" t="s">
        <v>3</v>
      </c>
      <c r="L3" s="92"/>
      <c r="M3" s="92"/>
      <c r="N3" s="92"/>
    </row>
    <row r="4" spans="1:14">
      <c r="A4" s="124"/>
      <c r="B4" s="125"/>
      <c r="C4" s="125"/>
      <c r="D4" s="125"/>
      <c r="E4" s="125"/>
      <c r="F4" s="125"/>
      <c r="G4" s="125"/>
      <c r="H4" s="125"/>
      <c r="I4" s="126"/>
      <c r="J4" s="92"/>
      <c r="K4" s="92"/>
      <c r="L4" s="92"/>
      <c r="M4" s="92"/>
      <c r="N4" s="92"/>
    </row>
    <row r="5" spans="1:14" ht="15.75" customHeight="1">
      <c r="A5" s="219" t="s">
        <v>146</v>
      </c>
      <c r="B5" s="220"/>
      <c r="C5" s="220"/>
      <c r="D5" s="220"/>
      <c r="E5" s="220"/>
      <c r="F5" s="220"/>
      <c r="G5" s="220"/>
      <c r="H5" s="220"/>
      <c r="I5" s="221"/>
      <c r="J5" s="92"/>
      <c r="K5" s="236" t="s">
        <v>147</v>
      </c>
      <c r="L5" s="236"/>
      <c r="M5" s="236"/>
      <c r="N5" s="236"/>
    </row>
    <row r="6" spans="1:14">
      <c r="A6" s="222"/>
      <c r="B6" s="223"/>
      <c r="C6" s="223"/>
      <c r="D6" s="223"/>
      <c r="E6" s="223"/>
      <c r="F6" s="223"/>
      <c r="G6" s="223"/>
      <c r="H6" s="223"/>
      <c r="I6" s="224"/>
      <c r="J6" s="92"/>
      <c r="K6" s="236"/>
      <c r="L6" s="236"/>
      <c r="M6" s="236"/>
      <c r="N6" s="236"/>
    </row>
    <row r="7" spans="1:14">
      <c r="A7" s="222"/>
      <c r="B7" s="223"/>
      <c r="C7" s="223"/>
      <c r="D7" s="223"/>
      <c r="E7" s="223"/>
      <c r="F7" s="223"/>
      <c r="G7" s="223"/>
      <c r="H7" s="223"/>
      <c r="I7" s="224"/>
      <c r="J7" s="92"/>
      <c r="K7" s="236"/>
      <c r="L7" s="236"/>
      <c r="M7" s="236"/>
      <c r="N7" s="236"/>
    </row>
    <row r="8" spans="1:14" ht="15.75" customHeight="1">
      <c r="A8" s="222"/>
      <c r="B8" s="223"/>
      <c r="C8" s="223"/>
      <c r="D8" s="223"/>
      <c r="E8" s="223"/>
      <c r="F8" s="223"/>
      <c r="G8" s="223"/>
      <c r="H8" s="223"/>
      <c r="I8" s="224"/>
      <c r="J8" s="92"/>
      <c r="K8" s="236"/>
      <c r="L8" s="236"/>
      <c r="M8" s="236"/>
      <c r="N8" s="236"/>
    </row>
    <row r="9" spans="1:14" ht="15.75" customHeight="1">
      <c r="A9" s="222"/>
      <c r="B9" s="223"/>
      <c r="C9" s="223"/>
      <c r="D9" s="223"/>
      <c r="E9" s="223"/>
      <c r="F9" s="223"/>
      <c r="G9" s="223"/>
      <c r="H9" s="223"/>
      <c r="I9" s="224"/>
      <c r="J9" s="92"/>
      <c r="K9" s="236"/>
      <c r="L9" s="236"/>
      <c r="M9" s="236"/>
      <c r="N9" s="236"/>
    </row>
    <row r="10" spans="1:14" ht="15.75" customHeight="1">
      <c r="A10" s="222"/>
      <c r="B10" s="223"/>
      <c r="C10" s="223"/>
      <c r="D10" s="223"/>
      <c r="E10" s="223"/>
      <c r="F10" s="223"/>
      <c r="G10" s="223"/>
      <c r="H10" s="223"/>
      <c r="I10" s="224"/>
      <c r="J10" s="92"/>
      <c r="K10" s="236"/>
      <c r="L10" s="236"/>
      <c r="M10" s="236"/>
      <c r="N10" s="236"/>
    </row>
    <row r="11" spans="1:14" ht="15.75" customHeight="1">
      <c r="A11" s="222"/>
      <c r="B11" s="223"/>
      <c r="C11" s="223"/>
      <c r="D11" s="223"/>
      <c r="E11" s="223"/>
      <c r="F11" s="223"/>
      <c r="G11" s="223"/>
      <c r="H11" s="223"/>
      <c r="I11" s="224"/>
      <c r="J11" s="92"/>
      <c r="K11" s="236"/>
      <c r="L11" s="236"/>
      <c r="M11" s="236"/>
      <c r="N11" s="236"/>
    </row>
    <row r="12" spans="1:14" ht="15.75" customHeight="1">
      <c r="A12" s="222"/>
      <c r="B12" s="223"/>
      <c r="C12" s="223"/>
      <c r="D12" s="223"/>
      <c r="E12" s="223"/>
      <c r="F12" s="223"/>
      <c r="G12" s="223"/>
      <c r="H12" s="223"/>
      <c r="I12" s="224"/>
      <c r="J12" s="92"/>
      <c r="K12" s="236"/>
      <c r="L12" s="236"/>
      <c r="M12" s="236"/>
      <c r="N12" s="236"/>
    </row>
    <row r="13" spans="1:14" ht="15.75" customHeight="1">
      <c r="A13" s="222"/>
      <c r="B13" s="223"/>
      <c r="C13" s="223"/>
      <c r="D13" s="223"/>
      <c r="E13" s="223"/>
      <c r="F13" s="223"/>
      <c r="G13" s="223"/>
      <c r="H13" s="223"/>
      <c r="I13" s="224"/>
      <c r="J13" s="92"/>
      <c r="K13" s="236"/>
      <c r="L13" s="236"/>
      <c r="M13" s="236"/>
      <c r="N13" s="236"/>
    </row>
    <row r="14" spans="1:14" ht="15.75" customHeight="1">
      <c r="A14" s="222"/>
      <c r="B14" s="223"/>
      <c r="C14" s="223"/>
      <c r="D14" s="223"/>
      <c r="E14" s="223"/>
      <c r="F14" s="223"/>
      <c r="G14" s="223"/>
      <c r="H14" s="223"/>
      <c r="I14" s="224"/>
      <c r="J14" s="92"/>
      <c r="K14" s="236"/>
      <c r="L14" s="236"/>
      <c r="M14" s="236"/>
      <c r="N14" s="236"/>
    </row>
    <row r="15" spans="1:14" ht="15.75" customHeight="1">
      <c r="A15" s="222"/>
      <c r="B15" s="223"/>
      <c r="C15" s="223"/>
      <c r="D15" s="223"/>
      <c r="E15" s="223"/>
      <c r="F15" s="223"/>
      <c r="G15" s="223"/>
      <c r="H15" s="223"/>
      <c r="I15" s="224"/>
      <c r="J15" s="92"/>
      <c r="K15" s="92"/>
      <c r="L15" s="92"/>
      <c r="M15" s="92"/>
      <c r="N15" s="92"/>
    </row>
    <row r="16" spans="1:14" ht="15.75" customHeight="1">
      <c r="A16" s="222"/>
      <c r="B16" s="223"/>
      <c r="C16" s="223"/>
      <c r="D16" s="223"/>
      <c r="E16" s="223"/>
      <c r="F16" s="223"/>
      <c r="G16" s="223"/>
      <c r="H16" s="223"/>
      <c r="I16" s="224"/>
      <c r="J16" s="92"/>
      <c r="K16" s="92"/>
      <c r="L16" s="92"/>
      <c r="M16" s="92"/>
      <c r="N16" s="92"/>
    </row>
    <row r="17" spans="1:14" ht="15.75" customHeight="1">
      <c r="A17" s="222"/>
      <c r="B17" s="223"/>
      <c r="C17" s="223"/>
      <c r="D17" s="223"/>
      <c r="E17" s="223"/>
      <c r="F17" s="223"/>
      <c r="G17" s="223"/>
      <c r="H17" s="223"/>
      <c r="I17" s="224"/>
      <c r="J17" s="92"/>
      <c r="K17" s="92"/>
      <c r="L17" s="92"/>
      <c r="M17" s="92"/>
      <c r="N17" s="92"/>
    </row>
    <row r="18" spans="1:14">
      <c r="A18" s="222"/>
      <c r="B18" s="223"/>
      <c r="C18" s="223"/>
      <c r="D18" s="223"/>
      <c r="E18" s="223"/>
      <c r="F18" s="223"/>
      <c r="G18" s="223"/>
      <c r="H18" s="223"/>
      <c r="I18" s="224"/>
      <c r="J18" s="92"/>
      <c r="K18" s="92"/>
      <c r="L18" s="92"/>
      <c r="M18" s="92"/>
      <c r="N18" s="92"/>
    </row>
    <row r="19" spans="1:14">
      <c r="A19" s="222"/>
      <c r="B19" s="223"/>
      <c r="C19" s="223"/>
      <c r="D19" s="223"/>
      <c r="E19" s="223"/>
      <c r="F19" s="223"/>
      <c r="G19" s="223"/>
      <c r="H19" s="223"/>
      <c r="I19" s="224"/>
      <c r="J19" s="92"/>
      <c r="K19" s="92"/>
      <c r="L19" s="92"/>
      <c r="M19" s="92"/>
      <c r="N19" s="92"/>
    </row>
    <row r="20" spans="1:14">
      <c r="A20" s="222"/>
      <c r="B20" s="223"/>
      <c r="C20" s="223"/>
      <c r="D20" s="223"/>
      <c r="E20" s="223"/>
      <c r="F20" s="223"/>
      <c r="G20" s="223"/>
      <c r="H20" s="223"/>
      <c r="I20" s="224"/>
      <c r="J20" s="92"/>
      <c r="K20" s="92"/>
      <c r="L20" s="92"/>
      <c r="M20" s="92"/>
      <c r="N20" s="92"/>
    </row>
    <row r="21" spans="1:14">
      <c r="A21" s="222"/>
      <c r="B21" s="223"/>
      <c r="C21" s="223"/>
      <c r="D21" s="223"/>
      <c r="E21" s="223"/>
      <c r="F21" s="223"/>
      <c r="G21" s="223"/>
      <c r="H21" s="223"/>
      <c r="I21" s="224"/>
      <c r="J21" s="92"/>
      <c r="K21" s="92"/>
      <c r="L21" s="92"/>
      <c r="M21" s="92"/>
      <c r="N21" s="92"/>
    </row>
    <row r="22" spans="1:14" ht="15.45" customHeight="1">
      <c r="A22" s="222"/>
      <c r="B22" s="223"/>
      <c r="C22" s="223"/>
      <c r="D22" s="223"/>
      <c r="E22" s="223"/>
      <c r="F22" s="223"/>
      <c r="G22" s="223"/>
      <c r="H22" s="223"/>
      <c r="I22" s="224"/>
      <c r="J22" s="92"/>
      <c r="K22" s="94"/>
      <c r="L22" s="94"/>
      <c r="M22" s="94"/>
      <c r="N22" s="94"/>
    </row>
    <row r="23" spans="1:14">
      <c r="A23" s="222"/>
      <c r="B23" s="223"/>
      <c r="C23" s="223"/>
      <c r="D23" s="223"/>
      <c r="E23" s="223"/>
      <c r="F23" s="223"/>
      <c r="G23" s="223"/>
      <c r="H23" s="223"/>
      <c r="I23" s="224"/>
      <c r="J23" s="92"/>
      <c r="K23" s="94"/>
      <c r="L23" s="94"/>
      <c r="M23" s="94"/>
      <c r="N23" s="94"/>
    </row>
    <row r="24" spans="1:14">
      <c r="A24" s="222"/>
      <c r="B24" s="223"/>
      <c r="C24" s="223"/>
      <c r="D24" s="223"/>
      <c r="E24" s="223"/>
      <c r="F24" s="223"/>
      <c r="G24" s="223"/>
      <c r="H24" s="223"/>
      <c r="I24" s="224"/>
      <c r="J24" s="92"/>
      <c r="K24" s="94"/>
      <c r="L24" s="94"/>
      <c r="M24" s="94"/>
      <c r="N24" s="94"/>
    </row>
    <row r="25" spans="1:14">
      <c r="A25" s="222"/>
      <c r="B25" s="223"/>
      <c r="C25" s="223"/>
      <c r="D25" s="223"/>
      <c r="E25" s="223"/>
      <c r="F25" s="223"/>
      <c r="G25" s="223"/>
      <c r="H25" s="223"/>
      <c r="I25" s="224"/>
      <c r="J25" s="92"/>
      <c r="K25" s="94"/>
      <c r="L25" s="94"/>
      <c r="M25" s="94"/>
      <c r="N25" s="94"/>
    </row>
    <row r="26" spans="1:14">
      <c r="A26" s="222"/>
      <c r="B26" s="223"/>
      <c r="C26" s="223"/>
      <c r="D26" s="223"/>
      <c r="E26" s="223"/>
      <c r="F26" s="223"/>
      <c r="G26" s="223"/>
      <c r="H26" s="223"/>
      <c r="I26" s="224"/>
      <c r="J26" s="92"/>
      <c r="K26" s="94"/>
      <c r="L26" s="94"/>
      <c r="M26" s="94"/>
      <c r="N26" s="94"/>
    </row>
    <row r="27" spans="1:14">
      <c r="A27" s="225"/>
      <c r="B27" s="226"/>
      <c r="C27" s="226"/>
      <c r="D27" s="226"/>
      <c r="E27" s="226"/>
      <c r="F27" s="226"/>
      <c r="G27" s="226"/>
      <c r="H27" s="226"/>
      <c r="I27" s="227"/>
      <c r="J27" s="92"/>
      <c r="K27" s="94"/>
      <c r="L27" s="94"/>
      <c r="M27" s="94"/>
      <c r="N27" s="94"/>
    </row>
    <row r="28" spans="1:14">
      <c r="A28" s="92"/>
      <c r="B28" s="92"/>
      <c r="C28" s="92"/>
      <c r="D28" s="92"/>
      <c r="E28" s="92"/>
      <c r="F28" s="92"/>
      <c r="G28" s="92"/>
      <c r="H28" s="92"/>
      <c r="I28" s="92"/>
      <c r="J28" s="92"/>
      <c r="K28" s="94"/>
      <c r="L28" s="94"/>
      <c r="M28" s="94"/>
      <c r="N28" s="94"/>
    </row>
    <row r="29" spans="1:14">
      <c r="A29" s="51" t="s">
        <v>148</v>
      </c>
      <c r="B29" s="122"/>
      <c r="C29" s="122"/>
      <c r="D29" s="122"/>
      <c r="E29" s="122"/>
      <c r="F29" s="122"/>
      <c r="G29" s="122"/>
      <c r="H29" s="122"/>
      <c r="I29" s="123"/>
      <c r="J29" s="92"/>
      <c r="K29" s="94"/>
      <c r="L29" s="94"/>
      <c r="M29" s="94"/>
      <c r="N29" s="94"/>
    </row>
    <row r="30" spans="1:14">
      <c r="A30" s="124"/>
      <c r="B30" s="125"/>
      <c r="C30" s="125"/>
      <c r="D30" s="125"/>
      <c r="E30" s="125"/>
      <c r="F30" s="125"/>
      <c r="G30" s="125"/>
      <c r="H30" s="125"/>
      <c r="I30" s="126"/>
      <c r="J30" s="92"/>
      <c r="K30" s="94"/>
      <c r="L30" s="94"/>
      <c r="M30" s="94"/>
      <c r="N30" s="94"/>
    </row>
    <row r="31" spans="1:14">
      <c r="A31" s="219" t="s">
        <v>149</v>
      </c>
      <c r="B31" s="228"/>
      <c r="C31" s="228"/>
      <c r="D31" s="228"/>
      <c r="E31" s="228"/>
      <c r="F31" s="228"/>
      <c r="G31" s="228"/>
      <c r="H31" s="228"/>
      <c r="I31" s="229"/>
      <c r="J31" s="92"/>
      <c r="K31" s="236" t="s">
        <v>150</v>
      </c>
      <c r="L31" s="236"/>
      <c r="M31" s="236"/>
      <c r="N31" s="236"/>
    </row>
    <row r="32" spans="1:14">
      <c r="A32" s="230"/>
      <c r="B32" s="231"/>
      <c r="C32" s="231"/>
      <c r="D32" s="231"/>
      <c r="E32" s="231"/>
      <c r="F32" s="231"/>
      <c r="G32" s="231"/>
      <c r="H32" s="231"/>
      <c r="I32" s="232"/>
      <c r="J32" s="92"/>
      <c r="K32" s="236"/>
      <c r="L32" s="236"/>
      <c r="M32" s="236"/>
      <c r="N32" s="236"/>
    </row>
    <row r="33" spans="1:14">
      <c r="A33" s="230"/>
      <c r="B33" s="231"/>
      <c r="C33" s="231"/>
      <c r="D33" s="231"/>
      <c r="E33" s="231"/>
      <c r="F33" s="231"/>
      <c r="G33" s="231"/>
      <c r="H33" s="231"/>
      <c r="I33" s="232"/>
      <c r="J33" s="92"/>
      <c r="K33" s="236"/>
      <c r="L33" s="236"/>
      <c r="M33" s="236"/>
      <c r="N33" s="236"/>
    </row>
    <row r="34" spans="1:14">
      <c r="A34" s="230"/>
      <c r="B34" s="231"/>
      <c r="C34" s="231"/>
      <c r="D34" s="231"/>
      <c r="E34" s="231"/>
      <c r="F34" s="231"/>
      <c r="G34" s="231"/>
      <c r="H34" s="231"/>
      <c r="I34" s="232"/>
      <c r="J34" s="92"/>
      <c r="K34" s="236"/>
      <c r="L34" s="236"/>
      <c r="M34" s="236"/>
      <c r="N34" s="236"/>
    </row>
    <row r="35" spans="1:14">
      <c r="A35" s="230"/>
      <c r="B35" s="231"/>
      <c r="C35" s="231"/>
      <c r="D35" s="231"/>
      <c r="E35" s="231"/>
      <c r="F35" s="231"/>
      <c r="G35" s="231"/>
      <c r="H35" s="231"/>
      <c r="I35" s="232"/>
      <c r="J35" s="92"/>
      <c r="K35" s="236"/>
      <c r="L35" s="236"/>
      <c r="M35" s="236"/>
      <c r="N35" s="236"/>
    </row>
    <row r="36" spans="1:14">
      <c r="A36" s="230"/>
      <c r="B36" s="231"/>
      <c r="C36" s="231"/>
      <c r="D36" s="231"/>
      <c r="E36" s="231"/>
      <c r="F36" s="231"/>
      <c r="G36" s="231"/>
      <c r="H36" s="231"/>
      <c r="I36" s="232"/>
      <c r="J36" s="92"/>
      <c r="K36" s="236"/>
      <c r="L36" s="236"/>
      <c r="M36" s="236"/>
      <c r="N36" s="236"/>
    </row>
    <row r="37" spans="1:14">
      <c r="A37" s="230"/>
      <c r="B37" s="231"/>
      <c r="C37" s="231"/>
      <c r="D37" s="231"/>
      <c r="E37" s="231"/>
      <c r="F37" s="231"/>
      <c r="G37" s="231"/>
      <c r="H37" s="231"/>
      <c r="I37" s="232"/>
      <c r="J37" s="92"/>
      <c r="K37" s="236"/>
      <c r="L37" s="236"/>
      <c r="M37" s="236"/>
      <c r="N37" s="236"/>
    </row>
    <row r="38" spans="1:14" ht="14.25" customHeight="1">
      <c r="A38" s="230"/>
      <c r="B38" s="231"/>
      <c r="C38" s="231"/>
      <c r="D38" s="231"/>
      <c r="E38" s="231"/>
      <c r="F38" s="231"/>
      <c r="G38" s="231"/>
      <c r="H38" s="231"/>
      <c r="I38" s="232"/>
      <c r="J38" s="92"/>
      <c r="K38" s="236"/>
      <c r="L38" s="236"/>
      <c r="M38" s="236"/>
      <c r="N38" s="236"/>
    </row>
    <row r="39" spans="1:14">
      <c r="A39" s="230"/>
      <c r="B39" s="231"/>
      <c r="C39" s="231"/>
      <c r="D39" s="231"/>
      <c r="E39" s="231"/>
      <c r="F39" s="231"/>
      <c r="G39" s="231"/>
      <c r="H39" s="231"/>
      <c r="I39" s="232"/>
      <c r="J39" s="92"/>
      <c r="K39" s="236"/>
      <c r="L39" s="236"/>
      <c r="M39" s="236"/>
      <c r="N39" s="236"/>
    </row>
    <row r="40" spans="1:14">
      <c r="A40" s="230"/>
      <c r="B40" s="231"/>
      <c r="C40" s="231"/>
      <c r="D40" s="231"/>
      <c r="E40" s="231"/>
      <c r="F40" s="231"/>
      <c r="G40" s="231"/>
      <c r="H40" s="231"/>
      <c r="I40" s="232"/>
      <c r="J40" s="92"/>
      <c r="K40" s="236"/>
      <c r="L40" s="236"/>
      <c r="M40" s="236"/>
      <c r="N40" s="236"/>
    </row>
    <row r="41" spans="1:14">
      <c r="A41" s="230"/>
      <c r="B41" s="231"/>
      <c r="C41" s="231"/>
      <c r="D41" s="231"/>
      <c r="E41" s="231"/>
      <c r="F41" s="231"/>
      <c r="G41" s="231"/>
      <c r="H41" s="231"/>
      <c r="I41" s="232"/>
      <c r="J41" s="92"/>
      <c r="K41" s="92"/>
      <c r="L41" s="92"/>
      <c r="M41" s="92"/>
      <c r="N41" s="92"/>
    </row>
    <row r="42" spans="1:14">
      <c r="A42" s="230"/>
      <c r="B42" s="231"/>
      <c r="C42" s="231"/>
      <c r="D42" s="231"/>
      <c r="E42" s="231"/>
      <c r="F42" s="231"/>
      <c r="G42" s="231"/>
      <c r="H42" s="231"/>
      <c r="I42" s="232"/>
      <c r="J42" s="92"/>
      <c r="K42" s="92"/>
      <c r="L42" s="92"/>
      <c r="M42" s="92"/>
      <c r="N42" s="92"/>
    </row>
    <row r="43" spans="1:14">
      <c r="A43" s="230"/>
      <c r="B43" s="231"/>
      <c r="C43" s="231"/>
      <c r="D43" s="231"/>
      <c r="E43" s="231"/>
      <c r="F43" s="231"/>
      <c r="G43" s="231"/>
      <c r="H43" s="231"/>
      <c r="I43" s="232"/>
      <c r="J43" s="92"/>
      <c r="K43" s="92"/>
      <c r="L43" s="92"/>
      <c r="M43" s="92"/>
      <c r="N43" s="92"/>
    </row>
    <row r="44" spans="1:14">
      <c r="A44" s="230"/>
      <c r="B44" s="231"/>
      <c r="C44" s="231"/>
      <c r="D44" s="231"/>
      <c r="E44" s="231"/>
      <c r="F44" s="231"/>
      <c r="G44" s="231"/>
      <c r="H44" s="231"/>
      <c r="I44" s="232"/>
      <c r="J44" s="92"/>
      <c r="K44" s="92"/>
      <c r="L44" s="92"/>
      <c r="M44" s="92"/>
      <c r="N44" s="92"/>
    </row>
    <row r="45" spans="1:14">
      <c r="A45" s="230"/>
      <c r="B45" s="231"/>
      <c r="C45" s="231"/>
      <c r="D45" s="231"/>
      <c r="E45" s="231"/>
      <c r="F45" s="231"/>
      <c r="G45" s="231"/>
      <c r="H45" s="231"/>
      <c r="I45" s="232"/>
      <c r="J45" s="92"/>
      <c r="K45" s="92"/>
      <c r="L45" s="92"/>
      <c r="M45" s="92"/>
      <c r="N45" s="92"/>
    </row>
    <row r="46" spans="1:14">
      <c r="A46" s="230"/>
      <c r="B46" s="231"/>
      <c r="C46" s="231"/>
      <c r="D46" s="231"/>
      <c r="E46" s="231"/>
      <c r="F46" s="231"/>
      <c r="G46" s="231"/>
      <c r="H46" s="231"/>
      <c r="I46" s="232"/>
      <c r="J46" s="92"/>
      <c r="K46" s="92"/>
      <c r="L46" s="92"/>
      <c r="M46" s="92"/>
      <c r="N46" s="92"/>
    </row>
    <row r="47" spans="1:14">
      <c r="A47" s="230"/>
      <c r="B47" s="231"/>
      <c r="C47" s="231"/>
      <c r="D47" s="231"/>
      <c r="E47" s="231"/>
      <c r="F47" s="231"/>
      <c r="G47" s="231"/>
      <c r="H47" s="231"/>
      <c r="I47" s="232"/>
      <c r="J47" s="92"/>
      <c r="K47" s="92"/>
      <c r="L47" s="92"/>
      <c r="M47" s="92"/>
      <c r="N47" s="92"/>
    </row>
    <row r="48" spans="1:14">
      <c r="A48" s="230"/>
      <c r="B48" s="231"/>
      <c r="C48" s="231"/>
      <c r="D48" s="231"/>
      <c r="E48" s="231"/>
      <c r="F48" s="231"/>
      <c r="G48" s="231"/>
      <c r="H48" s="231"/>
      <c r="I48" s="232"/>
      <c r="J48" s="92"/>
      <c r="K48" s="92"/>
      <c r="L48" s="92"/>
      <c r="M48" s="92"/>
      <c r="N48" s="92"/>
    </row>
    <row r="49" spans="1:9">
      <c r="A49" s="230"/>
      <c r="B49" s="231"/>
      <c r="C49" s="231"/>
      <c r="D49" s="231"/>
      <c r="E49" s="231"/>
      <c r="F49" s="231"/>
      <c r="G49" s="231"/>
      <c r="H49" s="231"/>
      <c r="I49" s="232"/>
    </row>
    <row r="50" spans="1:9">
      <c r="A50" s="230"/>
      <c r="B50" s="231"/>
      <c r="C50" s="231"/>
      <c r="D50" s="231"/>
      <c r="E50" s="231"/>
      <c r="F50" s="231"/>
      <c r="G50" s="231"/>
      <c r="H50" s="231"/>
      <c r="I50" s="232"/>
    </row>
    <row r="51" spans="1:9">
      <c r="A51" s="230"/>
      <c r="B51" s="231"/>
      <c r="C51" s="231"/>
      <c r="D51" s="231"/>
      <c r="E51" s="231"/>
      <c r="F51" s="231"/>
      <c r="G51" s="231"/>
      <c r="H51" s="231"/>
      <c r="I51" s="232"/>
    </row>
    <row r="52" spans="1:9">
      <c r="A52" s="233"/>
      <c r="B52" s="234"/>
      <c r="C52" s="234"/>
      <c r="D52" s="234"/>
      <c r="E52" s="234"/>
      <c r="F52" s="234"/>
      <c r="G52" s="234"/>
      <c r="H52" s="234"/>
      <c r="I52" s="235"/>
    </row>
    <row r="66" spans="6:6">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topLeftCell="A5" workbookViewId="0">
      <selection activeCell="G24" sqref="G24:H24"/>
    </sheetView>
  </sheetViews>
  <sheetFormatPr defaultColWidth="9.21875" defaultRowHeight="15"/>
  <cols>
    <col min="1" max="16384" width="9.21875" style="2"/>
  </cols>
  <sheetData>
    <row r="1" spans="1:10" ht="15.6">
      <c r="A1" s="33">
        <f>+'Cover Page'!C39</f>
        <v>2022</v>
      </c>
      <c r="B1" s="34" t="s">
        <v>151</v>
      </c>
      <c r="C1" s="34"/>
      <c r="D1" s="34"/>
      <c r="E1" s="34"/>
      <c r="F1" s="34"/>
      <c r="G1" s="34"/>
      <c r="H1" s="34"/>
      <c r="I1" s="34"/>
      <c r="J1" s="34"/>
    </row>
    <row r="2" spans="1:10" ht="8.25" customHeight="1">
      <c r="A2" s="92"/>
      <c r="B2" s="92"/>
      <c r="C2" s="92"/>
      <c r="D2" s="92"/>
      <c r="E2" s="92"/>
      <c r="F2" s="92"/>
      <c r="G2" s="92"/>
      <c r="H2" s="92"/>
      <c r="I2" s="92"/>
      <c r="J2" s="92"/>
    </row>
    <row r="3" spans="1:10" s="3" customFormat="1" ht="13.8">
      <c r="A3" s="250" t="str">
        <f>+'Cover Page'!B31</f>
        <v>Permit EPR/EP3034SN</v>
      </c>
      <c r="B3" s="250"/>
      <c r="C3" s="250"/>
      <c r="D3" s="250"/>
      <c r="E3" s="250"/>
      <c r="F3" s="3" t="s">
        <v>152</v>
      </c>
      <c r="G3" s="251">
        <f>+'Cover Page'!B37:I37</f>
        <v>0</v>
      </c>
      <c r="H3" s="251"/>
      <c r="I3" s="251"/>
    </row>
    <row r="4" spans="1:10" s="3" customFormat="1" ht="13.8">
      <c r="A4" s="3" t="s">
        <v>153</v>
      </c>
      <c r="B4" s="250" t="str">
        <f>+'Cover Page'!B33:I33</f>
        <v>Eastcroft Energy from Waste Plant</v>
      </c>
      <c r="C4" s="250"/>
      <c r="D4" s="250"/>
      <c r="E4" s="250"/>
      <c r="F4" s="3" t="s">
        <v>154</v>
      </c>
      <c r="G4" s="3" t="s">
        <v>155</v>
      </c>
    </row>
    <row r="5" spans="1:10" s="3" customFormat="1" ht="6.75" customHeight="1"/>
    <row r="6" spans="1:10" s="3" customFormat="1" ht="15.75" customHeight="1">
      <c r="A6" s="3" t="s">
        <v>156</v>
      </c>
      <c r="D6" s="252">
        <v>44562</v>
      </c>
      <c r="E6" s="252"/>
      <c r="F6" s="35" t="s">
        <v>157</v>
      </c>
      <c r="G6" s="252">
        <v>44926</v>
      </c>
      <c r="H6" s="252"/>
    </row>
    <row r="7" spans="1:10" s="3" customFormat="1" ht="7.5" customHeight="1"/>
    <row r="8" spans="1:10" s="3" customFormat="1" ht="15.6">
      <c r="A8" s="9">
        <v>2022</v>
      </c>
      <c r="B8" s="34" t="s">
        <v>158</v>
      </c>
      <c r="C8"/>
      <c r="D8"/>
      <c r="E8"/>
      <c r="F8"/>
      <c r="G8"/>
    </row>
    <row r="9" spans="1:10" s="3" customFormat="1" ht="28.5" customHeight="1">
      <c r="A9" s="253" t="s">
        <v>159</v>
      </c>
      <c r="B9" s="253"/>
      <c r="C9" s="253" t="s">
        <v>160</v>
      </c>
      <c r="D9" s="253"/>
      <c r="E9" s="253" t="s">
        <v>161</v>
      </c>
      <c r="F9" s="253"/>
      <c r="G9" s="253" t="s">
        <v>162</v>
      </c>
      <c r="H9" s="253"/>
      <c r="I9" s="253" t="s">
        <v>163</v>
      </c>
      <c r="J9" s="253"/>
    </row>
    <row r="10" spans="1:10" s="3" customFormat="1" ht="14.25" customHeight="1">
      <c r="A10" s="246" t="s">
        <v>164</v>
      </c>
      <c r="B10" s="246"/>
      <c r="C10" s="246"/>
      <c r="D10" s="246"/>
      <c r="E10" s="246"/>
      <c r="F10" s="246"/>
      <c r="G10" s="246"/>
      <c r="H10" s="246"/>
      <c r="I10" s="246"/>
      <c r="J10" s="246"/>
    </row>
    <row r="11" spans="1:10" s="3" customFormat="1" ht="14.25" customHeight="1">
      <c r="A11" s="246" t="s">
        <v>165</v>
      </c>
      <c r="B11" s="246"/>
      <c r="C11" s="247" t="s">
        <v>166</v>
      </c>
      <c r="D11" s="247"/>
      <c r="E11" s="248">
        <v>3925.74</v>
      </c>
      <c r="F11" s="248"/>
      <c r="G11" s="248"/>
      <c r="H11" s="248"/>
      <c r="I11" s="249">
        <v>2.1552419146970338E-2</v>
      </c>
      <c r="J11" s="249"/>
    </row>
    <row r="12" spans="1:10" s="3" customFormat="1" ht="14.25" customHeight="1">
      <c r="A12" s="246" t="s">
        <v>167</v>
      </c>
      <c r="B12" s="246"/>
      <c r="C12" s="247"/>
      <c r="D12" s="247"/>
      <c r="E12" s="248"/>
      <c r="F12" s="248"/>
      <c r="G12" s="248"/>
      <c r="H12" s="248"/>
      <c r="I12" s="249" t="s">
        <v>86</v>
      </c>
      <c r="J12" s="249"/>
    </row>
    <row r="13" spans="1:10" s="3" customFormat="1" ht="14.25" customHeight="1">
      <c r="A13" s="254"/>
      <c r="B13" s="254"/>
      <c r="C13" s="247"/>
      <c r="D13" s="247"/>
      <c r="E13" s="248"/>
      <c r="F13" s="248"/>
      <c r="G13" s="248"/>
      <c r="H13" s="248"/>
      <c r="I13" s="249" t="s">
        <v>86</v>
      </c>
      <c r="J13" s="249"/>
    </row>
    <row r="14" spans="1:10" s="3" customFormat="1" ht="14.25" customHeight="1">
      <c r="A14" s="254"/>
      <c r="B14" s="254"/>
      <c r="C14" s="247"/>
      <c r="D14" s="247"/>
      <c r="E14" s="248"/>
      <c r="F14" s="248"/>
      <c r="G14" s="248"/>
      <c r="H14" s="248"/>
      <c r="I14" s="249" t="s">
        <v>86</v>
      </c>
      <c r="J14" s="249"/>
    </row>
    <row r="15" spans="1:10" s="3" customFormat="1" ht="14.25" customHeight="1">
      <c r="A15" s="261" t="s">
        <v>168</v>
      </c>
      <c r="B15" s="261"/>
      <c r="C15" s="261"/>
      <c r="D15" s="261"/>
      <c r="E15" s="262">
        <v>3925.74</v>
      </c>
      <c r="F15" s="262"/>
      <c r="G15" s="262">
        <v>0</v>
      </c>
      <c r="H15" s="262"/>
      <c r="I15" s="249">
        <v>2.1552419146970338E-2</v>
      </c>
      <c r="J15" s="249"/>
    </row>
    <row r="16" spans="1:10" s="3" customFormat="1" ht="14.25" customHeight="1">
      <c r="A16" s="255"/>
      <c r="B16" s="256"/>
      <c r="C16" s="256"/>
      <c r="D16" s="256"/>
      <c r="E16" s="257"/>
      <c r="F16" s="257"/>
      <c r="G16" s="257"/>
      <c r="H16" s="257"/>
      <c r="I16" s="258"/>
      <c r="J16" s="259"/>
    </row>
    <row r="17" spans="1:10" s="3" customFormat="1" ht="14.25" customHeight="1">
      <c r="A17" s="260" t="s">
        <v>169</v>
      </c>
      <c r="B17" s="260"/>
      <c r="C17" s="260"/>
      <c r="D17" s="260"/>
      <c r="E17" s="260"/>
      <c r="F17" s="260"/>
      <c r="G17" s="260"/>
      <c r="H17" s="260"/>
      <c r="I17" s="260"/>
      <c r="J17" s="260"/>
    </row>
    <row r="18" spans="1:10" ht="14.25" customHeight="1">
      <c r="A18" s="246" t="s">
        <v>167</v>
      </c>
      <c r="B18" s="246"/>
      <c r="C18" s="247" t="s">
        <v>170</v>
      </c>
      <c r="D18" s="247"/>
      <c r="E18" s="248"/>
      <c r="F18" s="248"/>
      <c r="G18" s="248">
        <v>34258.75</v>
      </c>
      <c r="H18" s="248"/>
      <c r="I18" s="249">
        <v>0.18808146730330336</v>
      </c>
      <c r="J18" s="249"/>
    </row>
    <row r="19" spans="1:10" s="3" customFormat="1" ht="14.25" customHeight="1">
      <c r="A19" s="246" t="s">
        <v>171</v>
      </c>
      <c r="B19" s="246"/>
      <c r="C19" s="247"/>
      <c r="D19" s="247"/>
      <c r="E19" s="248"/>
      <c r="F19" s="248"/>
      <c r="G19" s="248"/>
      <c r="H19" s="248"/>
      <c r="I19" s="249" t="s">
        <v>86</v>
      </c>
      <c r="J19" s="249"/>
    </row>
    <row r="20" spans="1:10" s="3" customFormat="1" ht="14.25" customHeight="1">
      <c r="A20" s="246" t="s">
        <v>172</v>
      </c>
      <c r="B20" s="246"/>
      <c r="C20" s="247"/>
      <c r="D20" s="247"/>
      <c r="E20" s="248"/>
      <c r="F20" s="248"/>
      <c r="G20" s="248"/>
      <c r="H20" s="248"/>
      <c r="I20" s="249" t="s">
        <v>86</v>
      </c>
      <c r="J20" s="249"/>
    </row>
    <row r="21" spans="1:10" s="3" customFormat="1" ht="14.25" customHeight="1">
      <c r="A21" s="263"/>
      <c r="B21" s="263"/>
      <c r="C21" s="247"/>
      <c r="D21" s="247"/>
      <c r="E21" s="248"/>
      <c r="F21" s="248"/>
      <c r="G21" s="248"/>
      <c r="H21" s="248"/>
      <c r="I21" s="249" t="s">
        <v>86</v>
      </c>
      <c r="J21" s="249"/>
    </row>
    <row r="22" spans="1:10" s="3" customFormat="1" ht="14.25" customHeight="1">
      <c r="A22" s="263"/>
      <c r="B22" s="263"/>
      <c r="C22" s="247"/>
      <c r="D22" s="247"/>
      <c r="E22" s="248"/>
      <c r="F22" s="248"/>
      <c r="G22" s="248"/>
      <c r="H22" s="248"/>
      <c r="I22" s="249" t="s">
        <v>86</v>
      </c>
      <c r="J22" s="249"/>
    </row>
    <row r="23" spans="1:10" s="3" customFormat="1" ht="14.25" customHeight="1">
      <c r="A23" s="264" t="s">
        <v>173</v>
      </c>
      <c r="B23" s="264"/>
      <c r="C23" s="264"/>
      <c r="D23" s="264"/>
      <c r="E23" s="262">
        <v>0</v>
      </c>
      <c r="F23" s="262"/>
      <c r="G23" s="262">
        <v>34258.75</v>
      </c>
      <c r="H23" s="262"/>
      <c r="I23" s="249">
        <v>0.18808146730330336</v>
      </c>
      <c r="J23" s="249"/>
    </row>
    <row r="24" spans="1:10" s="3" customFormat="1" ht="14.25" customHeight="1">
      <c r="A24" s="274" t="s">
        <v>174</v>
      </c>
      <c r="B24" s="274"/>
      <c r="C24" s="274"/>
      <c r="D24" s="274"/>
      <c r="E24" s="275">
        <v>3925.74</v>
      </c>
      <c r="F24" s="275"/>
      <c r="G24" s="275">
        <v>34258.75</v>
      </c>
      <c r="H24" s="275"/>
      <c r="I24" s="276">
        <v>0.2096338864502737</v>
      </c>
      <c r="J24" s="276"/>
    </row>
    <row r="25" spans="1:10" s="3" customFormat="1" ht="8.25" customHeight="1">
      <c r="A25" s="174"/>
      <c r="B25"/>
      <c r="C25"/>
      <c r="D25"/>
      <c r="E25"/>
      <c r="F25"/>
      <c r="G25"/>
    </row>
    <row r="26" spans="1:10" s="3" customFormat="1" ht="14.25" customHeight="1">
      <c r="A26" s="277" t="s">
        <v>175</v>
      </c>
      <c r="B26" s="277"/>
      <c r="C26" s="277"/>
      <c r="D26" s="277"/>
      <c r="E26" s="277"/>
      <c r="F26" s="277"/>
      <c r="G26" s="277"/>
      <c r="H26" s="277"/>
      <c r="I26" s="277"/>
      <c r="J26" s="277"/>
    </row>
    <row r="27" spans="1:10" s="3" customFormat="1" ht="14.25" customHeight="1">
      <c r="A27" s="278"/>
      <c r="B27" s="278"/>
      <c r="C27" s="278"/>
      <c r="D27" s="278"/>
      <c r="E27" s="278"/>
      <c r="F27" s="278"/>
      <c r="G27" s="278"/>
      <c r="H27" s="278"/>
      <c r="I27" s="278"/>
      <c r="J27" s="278"/>
    </row>
    <row r="28" spans="1:10" s="3" customFormat="1" ht="14.25" customHeight="1">
      <c r="A28" s="278"/>
      <c r="B28" s="278"/>
      <c r="C28" s="278"/>
      <c r="D28" s="278"/>
      <c r="E28" s="278"/>
      <c r="F28" s="278"/>
      <c r="G28" s="278"/>
      <c r="H28" s="278"/>
      <c r="I28" s="278"/>
      <c r="J28" s="278"/>
    </row>
    <row r="29" spans="1:10" s="3" customFormat="1" ht="14.25" customHeight="1">
      <c r="A29" s="278"/>
      <c r="B29" s="278"/>
      <c r="C29" s="278"/>
      <c r="D29" s="278"/>
      <c r="E29" s="278"/>
      <c r="F29" s="278"/>
      <c r="G29" s="278"/>
      <c r="H29" s="278"/>
      <c r="I29" s="278"/>
      <c r="J29" s="278"/>
    </row>
    <row r="30" spans="1:10" s="3" customFormat="1" ht="14.25" customHeight="1">
      <c r="A30" s="174"/>
      <c r="B30"/>
      <c r="C30"/>
      <c r="D30"/>
      <c r="E30"/>
      <c r="F30"/>
      <c r="G30"/>
    </row>
    <row r="31" spans="1:10" s="3" customFormat="1" ht="14.25" customHeight="1">
      <c r="A31" s="1">
        <v>2022</v>
      </c>
      <c r="B31" s="34" t="s">
        <v>176</v>
      </c>
      <c r="C31" s="34"/>
      <c r="D31" s="34"/>
      <c r="E31" s="34"/>
      <c r="F31" s="34"/>
    </row>
    <row r="32" spans="1:10" s="3" customFormat="1" ht="24.75" customHeight="1">
      <c r="A32" s="265" t="s">
        <v>177</v>
      </c>
      <c r="B32" s="266"/>
      <c r="C32" s="266"/>
      <c r="D32" s="267"/>
      <c r="E32" s="38" t="s">
        <v>178</v>
      </c>
      <c r="F32" s="39"/>
      <c r="G32" s="40" t="s">
        <v>74</v>
      </c>
      <c r="H32" s="268" t="s">
        <v>179</v>
      </c>
      <c r="I32" s="269"/>
      <c r="J32" s="41" t="s">
        <v>74</v>
      </c>
    </row>
    <row r="33" spans="1:10" s="3" customFormat="1" ht="14.25" customHeight="1">
      <c r="A33" s="255" t="s">
        <v>115</v>
      </c>
      <c r="B33" s="256"/>
      <c r="C33" s="256"/>
      <c r="D33" s="270"/>
      <c r="E33" s="271">
        <v>6748</v>
      </c>
      <c r="F33" s="259"/>
      <c r="G33" s="175" t="s">
        <v>180</v>
      </c>
      <c r="H33" s="272">
        <v>3.7046703144822592E-2</v>
      </c>
      <c r="I33" s="273"/>
      <c r="J33" s="175" t="s">
        <v>181</v>
      </c>
    </row>
    <row r="34" spans="1:10" s="3" customFormat="1" ht="14.25" customHeight="1">
      <c r="A34" s="255" t="s">
        <v>182</v>
      </c>
      <c r="B34" s="256"/>
      <c r="C34" s="256"/>
      <c r="D34" s="270"/>
      <c r="E34" s="271">
        <v>6748</v>
      </c>
      <c r="F34" s="259"/>
      <c r="G34" s="175" t="s">
        <v>180</v>
      </c>
      <c r="H34" s="272">
        <v>3.7046703144822592E-2</v>
      </c>
      <c r="I34" s="273"/>
      <c r="J34" s="175" t="s">
        <v>181</v>
      </c>
    </row>
    <row r="35" spans="1:10" s="3" customFormat="1" ht="14.25" customHeight="1">
      <c r="A35" s="255" t="s">
        <v>183</v>
      </c>
      <c r="B35" s="256"/>
      <c r="C35" s="256"/>
      <c r="D35" s="270"/>
      <c r="E35" s="271">
        <v>480580.05699655524</v>
      </c>
      <c r="F35" s="259"/>
      <c r="G35" s="175" t="s">
        <v>184</v>
      </c>
      <c r="H35" s="272">
        <v>2.6383975561460145</v>
      </c>
      <c r="I35" s="273"/>
      <c r="J35" s="175" t="s">
        <v>185</v>
      </c>
    </row>
    <row r="36" spans="1:10" s="3" customFormat="1" ht="14.25" customHeight="1">
      <c r="A36" s="255" t="s">
        <v>122</v>
      </c>
      <c r="B36" s="256"/>
      <c r="C36" s="256"/>
      <c r="D36" s="270"/>
      <c r="E36" s="271">
        <v>577287</v>
      </c>
      <c r="F36" s="259"/>
      <c r="G36" s="175" t="s">
        <v>184</v>
      </c>
      <c r="H36" s="272">
        <v>3.1693212979201544</v>
      </c>
      <c r="I36" s="273"/>
      <c r="J36" s="175" t="s">
        <v>185</v>
      </c>
    </row>
    <row r="37" spans="1:10" s="3" customFormat="1" ht="14.25" customHeight="1">
      <c r="A37" s="255" t="s">
        <v>186</v>
      </c>
      <c r="B37" s="256"/>
      <c r="C37" s="256"/>
      <c r="D37" s="270"/>
      <c r="E37" s="271">
        <v>95010</v>
      </c>
      <c r="F37" s="259"/>
      <c r="G37" s="175" t="s">
        <v>184</v>
      </c>
      <c r="H37" s="272">
        <v>0.52160747862916346</v>
      </c>
      <c r="I37" s="273"/>
      <c r="J37" s="175" t="s">
        <v>185</v>
      </c>
    </row>
    <row r="38" spans="1:10" s="3" customFormat="1" ht="14.25" customHeight="1">
      <c r="A38" s="279"/>
      <c r="B38" s="280"/>
      <c r="C38" s="280"/>
      <c r="D38" s="281"/>
      <c r="E38" s="282"/>
      <c r="F38" s="283"/>
      <c r="G38" s="176"/>
      <c r="H38" s="284"/>
      <c r="I38" s="285"/>
      <c r="J38" s="176"/>
    </row>
    <row r="39" spans="1:10" s="3" customFormat="1" ht="14.25" customHeight="1">
      <c r="A39" s="277" t="s">
        <v>175</v>
      </c>
      <c r="B39" s="277"/>
      <c r="C39" s="277"/>
      <c r="D39" s="277"/>
      <c r="E39" s="277"/>
      <c r="F39" s="277"/>
      <c r="G39" s="277"/>
      <c r="H39" s="277"/>
      <c r="I39" s="277"/>
      <c r="J39" s="277"/>
    </row>
    <row r="40" spans="1:10" s="3" customFormat="1" ht="14.25" customHeight="1">
      <c r="A40" s="278"/>
      <c r="B40" s="278"/>
      <c r="C40" s="278"/>
      <c r="D40" s="278"/>
      <c r="E40" s="278"/>
      <c r="F40" s="278"/>
      <c r="G40" s="278"/>
      <c r="H40" s="278"/>
      <c r="I40" s="278"/>
      <c r="J40" s="278"/>
    </row>
    <row r="41" spans="1:10" s="3" customFormat="1" ht="14.25" customHeight="1">
      <c r="A41" s="278"/>
      <c r="B41" s="278"/>
      <c r="C41" s="278"/>
      <c r="D41" s="278"/>
      <c r="E41" s="278"/>
      <c r="F41" s="278"/>
      <c r="G41" s="278"/>
      <c r="H41" s="278"/>
      <c r="I41" s="278"/>
      <c r="J41" s="278"/>
    </row>
    <row r="42" spans="1:10" s="3" customFormat="1" ht="14.25" customHeight="1">
      <c r="A42" s="42"/>
      <c r="B42" s="42"/>
      <c r="C42" s="42"/>
      <c r="D42" s="42"/>
      <c r="E42" s="42"/>
      <c r="F42" s="42"/>
      <c r="G42" s="42"/>
      <c r="H42" s="42"/>
      <c r="I42" s="42"/>
      <c r="J42" s="42"/>
    </row>
    <row r="43" spans="1:10" s="3" customFormat="1" ht="14.25" customHeight="1">
      <c r="A43" s="34">
        <v>2022</v>
      </c>
      <c r="B43" s="34" t="s">
        <v>187</v>
      </c>
      <c r="C43" s="34"/>
      <c r="D43" s="34"/>
      <c r="E43" s="34"/>
      <c r="F43" s="34"/>
      <c r="G43" s="92"/>
    </row>
    <row r="44" spans="1:10" ht="14.25" customHeight="1">
      <c r="A44" s="286" t="s">
        <v>188</v>
      </c>
      <c r="B44" s="286"/>
      <c r="C44" s="286" t="s">
        <v>189</v>
      </c>
      <c r="D44" s="286"/>
      <c r="E44" s="286"/>
      <c r="F44" s="286"/>
      <c r="G44" s="286"/>
      <c r="H44" s="286"/>
      <c r="I44" s="286"/>
      <c r="J44" s="286"/>
    </row>
    <row r="45" spans="1:10" ht="14.25" customHeight="1">
      <c r="A45" s="43"/>
      <c r="B45" s="43"/>
      <c r="C45" s="36" t="s">
        <v>190</v>
      </c>
      <c r="D45" s="36" t="s">
        <v>191</v>
      </c>
      <c r="E45" s="36" t="s">
        <v>192</v>
      </c>
      <c r="F45" s="36" t="s">
        <v>193</v>
      </c>
      <c r="G45" s="36" t="s">
        <v>194</v>
      </c>
      <c r="H45" s="36"/>
      <c r="I45" s="36" t="s">
        <v>195</v>
      </c>
      <c r="J45" s="36" t="s">
        <v>196</v>
      </c>
    </row>
    <row r="46" spans="1:10" ht="31.5" customHeight="1">
      <c r="A46" s="246" t="s">
        <v>197</v>
      </c>
      <c r="B46" s="246"/>
      <c r="C46" s="28">
        <v>7801.5</v>
      </c>
      <c r="D46" s="177">
        <v>8050.5</v>
      </c>
      <c r="E46" s="177"/>
      <c r="F46" s="178"/>
      <c r="G46" s="178"/>
      <c r="H46" s="178"/>
      <c r="I46" s="178"/>
      <c r="J46" s="178"/>
    </row>
    <row r="47" spans="1:10" ht="43.5" customHeight="1">
      <c r="A47" s="246" t="s">
        <v>198</v>
      </c>
      <c r="B47" s="246"/>
      <c r="C47" s="177">
        <v>0</v>
      </c>
      <c r="D47" s="177">
        <v>0</v>
      </c>
      <c r="E47" s="177"/>
      <c r="F47" s="178"/>
      <c r="G47" s="178"/>
      <c r="H47" s="178"/>
      <c r="I47" s="178"/>
      <c r="J47" s="178"/>
    </row>
    <row r="48" spans="1:10" ht="42.75" customHeight="1">
      <c r="A48" s="246" t="s">
        <v>199</v>
      </c>
      <c r="B48" s="246"/>
      <c r="C48" s="177"/>
      <c r="D48" s="177"/>
      <c r="E48" s="177"/>
      <c r="F48" s="178"/>
      <c r="G48" s="178"/>
      <c r="H48" s="178"/>
      <c r="I48" s="178"/>
      <c r="J48" s="178"/>
    </row>
    <row r="49" spans="1:10" ht="8.25" customHeight="1">
      <c r="A49" s="92"/>
      <c r="B49" s="92"/>
      <c r="C49" s="92"/>
      <c r="D49" s="92"/>
      <c r="E49" s="92"/>
      <c r="F49" s="92"/>
      <c r="G49" s="92"/>
      <c r="H49" s="92"/>
      <c r="I49" s="92"/>
      <c r="J49" s="92"/>
    </row>
    <row r="50" spans="1:10">
      <c r="A50" s="277" t="s">
        <v>175</v>
      </c>
      <c r="B50" s="277"/>
      <c r="C50" s="277"/>
      <c r="D50" s="277"/>
      <c r="E50" s="277"/>
      <c r="F50" s="277"/>
      <c r="G50" s="277"/>
      <c r="H50" s="277"/>
      <c r="I50" s="277"/>
      <c r="J50" s="277"/>
    </row>
    <row r="51" spans="1:10">
      <c r="A51" s="278"/>
      <c r="B51" s="278"/>
      <c r="C51" s="278"/>
      <c r="D51" s="278"/>
      <c r="E51" s="278"/>
      <c r="F51" s="278"/>
      <c r="G51" s="278"/>
      <c r="H51" s="278"/>
      <c r="I51" s="278"/>
      <c r="J51" s="278"/>
    </row>
    <row r="52" spans="1:10">
      <c r="A52" s="278"/>
      <c r="B52" s="278"/>
      <c r="C52" s="278"/>
      <c r="D52" s="278"/>
      <c r="E52" s="278"/>
      <c r="F52" s="278"/>
      <c r="G52" s="278"/>
      <c r="H52" s="278"/>
      <c r="I52" s="278"/>
      <c r="J52" s="278"/>
    </row>
    <row r="54" spans="1:10">
      <c r="A54" s="3" t="s">
        <v>200</v>
      </c>
      <c r="B54" s="44"/>
      <c r="C54" s="44"/>
      <c r="D54" s="44"/>
      <c r="E54" s="44"/>
      <c r="F54" s="3"/>
      <c r="G54" s="3" t="s">
        <v>201</v>
      </c>
      <c r="H54" s="44"/>
      <c r="I54" s="44"/>
      <c r="J54" s="92"/>
    </row>
    <row r="62" spans="1:10">
      <c r="A62" s="92"/>
      <c r="B62" s="92"/>
      <c r="C62" s="92"/>
      <c r="D62" s="92"/>
      <c r="E62" s="92"/>
      <c r="F62" s="3"/>
      <c r="G62" s="92"/>
      <c r="H62" s="92"/>
      <c r="I62" s="92"/>
      <c r="J62" s="92"/>
    </row>
  </sheetData>
  <mergeCells count="105">
    <mergeCell ref="A48:B48"/>
    <mergeCell ref="A50:J50"/>
    <mergeCell ref="A51:J52"/>
    <mergeCell ref="A39:J39"/>
    <mergeCell ref="A40:J41"/>
    <mergeCell ref="A44:B44"/>
    <mergeCell ref="C44:J44"/>
    <mergeCell ref="A46:B46"/>
    <mergeCell ref="A47:B47"/>
    <mergeCell ref="A37:D37"/>
    <mergeCell ref="E37:F37"/>
    <mergeCell ref="H37:I37"/>
    <mergeCell ref="A38:D38"/>
    <mergeCell ref="E38:F38"/>
    <mergeCell ref="H38:I38"/>
    <mergeCell ref="A35:D35"/>
    <mergeCell ref="E35:F35"/>
    <mergeCell ref="H35:I35"/>
    <mergeCell ref="A36:D36"/>
    <mergeCell ref="E36:F36"/>
    <mergeCell ref="H36:I36"/>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22:B22"/>
    <mergeCell ref="C22:D22"/>
    <mergeCell ref="E22:F22"/>
    <mergeCell ref="G22:H22"/>
    <mergeCell ref="I22:J22"/>
    <mergeCell ref="A23:D23"/>
    <mergeCell ref="E23:F23"/>
    <mergeCell ref="G23:H23"/>
    <mergeCell ref="I23:J23"/>
    <mergeCell ref="A20:B20"/>
    <mergeCell ref="C20:D20"/>
    <mergeCell ref="E20:F20"/>
    <mergeCell ref="G20:H20"/>
    <mergeCell ref="I20:J20"/>
    <mergeCell ref="A21:B21"/>
    <mergeCell ref="C21:D21"/>
    <mergeCell ref="E21:F21"/>
    <mergeCell ref="G21:H21"/>
    <mergeCell ref="I21:J21"/>
    <mergeCell ref="A18:B18"/>
    <mergeCell ref="C18:D18"/>
    <mergeCell ref="E18:F18"/>
    <mergeCell ref="G18:H18"/>
    <mergeCell ref="I18:J18"/>
    <mergeCell ref="A19:B19"/>
    <mergeCell ref="C19:D19"/>
    <mergeCell ref="E19:F19"/>
    <mergeCell ref="G19:H19"/>
    <mergeCell ref="I19:J19"/>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2:B12"/>
    <mergeCell ref="C12:D12"/>
    <mergeCell ref="E12:F12"/>
    <mergeCell ref="G12:H12"/>
    <mergeCell ref="I12:J12"/>
    <mergeCell ref="A13:B13"/>
    <mergeCell ref="C13:D13"/>
    <mergeCell ref="E13:F13"/>
    <mergeCell ref="G13:H13"/>
    <mergeCell ref="I13:J13"/>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s>
  <pageMargins left="0.25" right="0.25"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workbookViewId="0">
      <selection activeCell="G11" sqref="G11:I11"/>
    </sheetView>
  </sheetViews>
  <sheetFormatPr defaultColWidth="9.21875" defaultRowHeight="15"/>
  <cols>
    <col min="1" max="1" width="9.44140625" style="2" bestFit="1" customWidth="1"/>
    <col min="2" max="16384" width="9.21875" style="2"/>
  </cols>
  <sheetData>
    <row r="1" spans="1:10" ht="15.6">
      <c r="A1" s="33">
        <f>+'Cover Page'!C39</f>
        <v>2022</v>
      </c>
      <c r="B1" s="34" t="s">
        <v>202</v>
      </c>
      <c r="C1" s="34"/>
      <c r="D1" s="34"/>
      <c r="E1" s="34"/>
      <c r="F1" s="34"/>
      <c r="G1" s="34"/>
      <c r="H1" s="34"/>
      <c r="I1" s="34"/>
      <c r="J1" s="34"/>
    </row>
    <row r="3" spans="1:10" s="3" customFormat="1" ht="15" customHeight="1">
      <c r="A3" s="3" t="str">
        <f>+'Cover Page'!B31</f>
        <v>Permit EPR/EP3034SN</v>
      </c>
      <c r="F3" s="3" t="s">
        <v>152</v>
      </c>
      <c r="G3" s="287">
        <f>+'Cover Page'!B37:I37</f>
        <v>0</v>
      </c>
      <c r="H3" s="287"/>
      <c r="I3" s="287"/>
    </row>
    <row r="4" spans="1:10" s="3" customFormat="1" ht="13.8"/>
    <row r="5" spans="1:10" s="3" customFormat="1" ht="13.8">
      <c r="A5" s="3" t="s">
        <v>153</v>
      </c>
      <c r="B5" s="250" t="str">
        <f>+'Cover Page'!B33:I33</f>
        <v>Eastcroft Energy from Waste Plant</v>
      </c>
      <c r="C5" s="250"/>
      <c r="D5" s="250"/>
      <c r="E5" s="250"/>
      <c r="F5" s="3" t="s">
        <v>154</v>
      </c>
      <c r="G5" s="3" t="s">
        <v>203</v>
      </c>
    </row>
    <row r="6" spans="1:10" s="3" customFormat="1" ht="13.8"/>
    <row r="7" spans="1:10" s="3" customFormat="1" ht="15.75" customHeight="1">
      <c r="A7" s="3" t="s">
        <v>156</v>
      </c>
      <c r="D7" s="288">
        <f>+'Perf. Form 1'!D6:E6</f>
        <v>44562</v>
      </c>
      <c r="E7" s="288"/>
      <c r="F7" s="35" t="s">
        <v>157</v>
      </c>
      <c r="G7" s="288">
        <f>+'Perf. Form 1'!G6:H6</f>
        <v>44926</v>
      </c>
      <c r="H7" s="288"/>
    </row>
    <row r="8" spans="1:10" s="3" customFormat="1" ht="14.4">
      <c r="B8"/>
      <c r="C8"/>
      <c r="D8"/>
    </row>
    <row r="9" spans="1:10" s="3" customFormat="1" ht="37.5" customHeight="1">
      <c r="A9" s="286" t="s">
        <v>204</v>
      </c>
      <c r="B9" s="286"/>
      <c r="C9" s="286"/>
      <c r="D9" s="253" t="s">
        <v>205</v>
      </c>
      <c r="E9" s="253"/>
      <c r="F9" s="36" t="s">
        <v>74</v>
      </c>
      <c r="G9" s="286" t="s">
        <v>206</v>
      </c>
      <c r="H9" s="286"/>
      <c r="I9" s="286"/>
    </row>
    <row r="10" spans="1:10" s="3" customFormat="1" ht="24.75" customHeight="1">
      <c r="A10" s="246" t="s">
        <v>207</v>
      </c>
      <c r="B10" s="246"/>
      <c r="C10" s="246"/>
      <c r="D10" s="289">
        <v>0</v>
      </c>
      <c r="E10" s="289"/>
      <c r="F10" s="179" t="s">
        <v>99</v>
      </c>
      <c r="G10" s="290" t="s">
        <v>86</v>
      </c>
      <c r="H10" s="290"/>
      <c r="I10" s="290"/>
    </row>
    <row r="11" spans="1:10" s="3" customFormat="1" ht="24.75" customHeight="1">
      <c r="A11" s="246" t="s">
        <v>208</v>
      </c>
      <c r="B11" s="246"/>
      <c r="C11" s="246"/>
      <c r="D11" s="291">
        <v>9393.4919999999984</v>
      </c>
      <c r="E11" s="291"/>
      <c r="F11" s="179" t="s">
        <v>99</v>
      </c>
      <c r="G11" s="290">
        <v>51.570526025083851</v>
      </c>
      <c r="H11" s="290"/>
      <c r="I11" s="290"/>
    </row>
    <row r="12" spans="1:10" s="3" customFormat="1" ht="24.75" customHeight="1">
      <c r="A12" s="246" t="s">
        <v>209</v>
      </c>
      <c r="B12" s="246"/>
      <c r="C12" s="246"/>
      <c r="D12" s="289">
        <v>0</v>
      </c>
      <c r="E12" s="289"/>
      <c r="F12" s="179" t="s">
        <v>99</v>
      </c>
      <c r="G12" s="290" t="s">
        <v>86</v>
      </c>
      <c r="H12" s="290"/>
      <c r="I12" s="290"/>
    </row>
    <row r="13" spans="1:10" s="3" customFormat="1" ht="24.75" customHeight="1">
      <c r="A13" s="246" t="s">
        <v>210</v>
      </c>
      <c r="B13" s="246"/>
      <c r="C13" s="246"/>
      <c r="D13" s="292">
        <v>93.85</v>
      </c>
      <c r="E13" s="292"/>
      <c r="F13" s="179" t="s">
        <v>82</v>
      </c>
      <c r="G13" s="293"/>
      <c r="H13" s="293"/>
      <c r="I13" s="293"/>
    </row>
    <row r="14" spans="1:10" s="3" customFormat="1" ht="24.75" customHeight="1">
      <c r="A14" s="246" t="s">
        <v>211</v>
      </c>
      <c r="B14" s="246"/>
      <c r="C14" s="246"/>
      <c r="D14" s="289">
        <v>361158</v>
      </c>
      <c r="E14" s="289"/>
      <c r="F14" s="179" t="s">
        <v>212</v>
      </c>
      <c r="G14" s="290">
        <v>1982.7672220476938</v>
      </c>
      <c r="H14" s="290"/>
      <c r="I14" s="290"/>
    </row>
    <row r="15" spans="1:10" s="3" customFormat="1" ht="24.75" customHeight="1">
      <c r="A15" s="254"/>
      <c r="B15" s="254"/>
      <c r="C15" s="254"/>
      <c r="D15" s="254"/>
      <c r="E15" s="254"/>
      <c r="F15" s="113"/>
      <c r="G15" s="205"/>
      <c r="H15" s="205"/>
      <c r="I15" s="205"/>
    </row>
    <row r="16" spans="1:10" s="3" customFormat="1" ht="24.75" customHeight="1">
      <c r="A16" s="254"/>
      <c r="B16" s="254"/>
      <c r="C16" s="254"/>
      <c r="D16" s="254"/>
      <c r="E16" s="254"/>
      <c r="F16" s="113"/>
      <c r="G16" s="205"/>
      <c r="H16" s="205"/>
      <c r="I16" s="205"/>
    </row>
    <row r="17" spans="1:9" s="3" customFormat="1" ht="14.4">
      <c r="A17" s="45"/>
      <c r="B17"/>
      <c r="C17"/>
      <c r="D17"/>
    </row>
    <row r="18" spans="1:9" s="3" customFormat="1" ht="24" customHeight="1">
      <c r="A18" s="277" t="s">
        <v>175</v>
      </c>
      <c r="B18" s="277"/>
      <c r="C18" s="277"/>
      <c r="D18" s="277"/>
      <c r="E18" s="277"/>
      <c r="F18" s="277"/>
      <c r="G18" s="277"/>
      <c r="H18" s="277"/>
      <c r="I18" s="277"/>
    </row>
    <row r="19" spans="1:9" s="3" customFormat="1" ht="13.8">
      <c r="A19" s="294"/>
      <c r="B19" s="294"/>
      <c r="C19" s="294"/>
      <c r="D19" s="294"/>
      <c r="E19" s="294"/>
      <c r="F19" s="294"/>
      <c r="G19" s="294"/>
      <c r="H19" s="294"/>
      <c r="I19" s="294"/>
    </row>
    <row r="20" spans="1:9" s="3" customFormat="1" ht="13.8">
      <c r="A20" s="294"/>
      <c r="B20" s="294"/>
      <c r="C20" s="294"/>
      <c r="D20" s="294"/>
      <c r="E20" s="294"/>
      <c r="F20" s="294"/>
      <c r="G20" s="294"/>
      <c r="H20" s="294"/>
      <c r="I20" s="294"/>
    </row>
    <row r="21" spans="1:9" s="3" customFormat="1" ht="13.8">
      <c r="A21" s="294"/>
      <c r="B21" s="294"/>
      <c r="C21" s="294"/>
      <c r="D21" s="294"/>
      <c r="E21" s="294"/>
      <c r="F21" s="294"/>
      <c r="G21" s="294"/>
      <c r="H21" s="294"/>
      <c r="I21" s="294"/>
    </row>
    <row r="22" spans="1:9" s="3" customFormat="1" ht="13.8">
      <c r="A22" s="294"/>
      <c r="B22" s="294"/>
      <c r="C22" s="294"/>
      <c r="D22" s="294"/>
      <c r="E22" s="294"/>
      <c r="F22" s="294"/>
      <c r="G22" s="294"/>
      <c r="H22" s="294"/>
      <c r="I22" s="294"/>
    </row>
    <row r="23" spans="1:9" s="3" customFormat="1" ht="13.8">
      <c r="A23" s="294"/>
      <c r="B23" s="294"/>
      <c r="C23" s="294"/>
      <c r="D23" s="294"/>
      <c r="E23" s="294"/>
      <c r="F23" s="294"/>
      <c r="G23" s="294"/>
      <c r="H23" s="294"/>
      <c r="I23" s="294"/>
    </row>
    <row r="24" spans="1:9" s="3" customFormat="1" ht="13.8">
      <c r="A24" s="294"/>
      <c r="B24" s="294"/>
      <c r="C24" s="294"/>
      <c r="D24" s="294"/>
      <c r="E24" s="294"/>
      <c r="F24" s="294"/>
      <c r="G24" s="294"/>
      <c r="H24" s="294"/>
      <c r="I24" s="294"/>
    </row>
    <row r="25" spans="1:9" s="3" customFormat="1" ht="13.8">
      <c r="A25" s="294"/>
      <c r="B25" s="294"/>
      <c r="C25" s="294"/>
      <c r="D25" s="294"/>
      <c r="E25" s="294"/>
      <c r="F25" s="294"/>
      <c r="G25" s="294"/>
      <c r="H25" s="294"/>
      <c r="I25" s="294"/>
    </row>
    <row r="26" spans="1:9" s="3" customFormat="1" ht="13.8">
      <c r="A26" s="42"/>
      <c r="B26" s="42"/>
      <c r="C26" s="42"/>
      <c r="D26" s="42"/>
      <c r="E26" s="42"/>
      <c r="F26" s="42"/>
      <c r="G26" s="42"/>
      <c r="H26" s="42"/>
      <c r="I26" s="42"/>
    </row>
    <row r="27" spans="1:9" s="3" customFormat="1" ht="13.8"/>
    <row r="28" spans="1:9" s="3" customFormat="1" ht="13.8"/>
    <row r="29" spans="1:9" s="3" customFormat="1" ht="13.8">
      <c r="A29" s="3" t="s">
        <v>200</v>
      </c>
      <c r="B29" s="44"/>
      <c r="C29" s="44"/>
      <c r="D29" s="44"/>
      <c r="E29" s="44"/>
      <c r="G29" s="3" t="s">
        <v>201</v>
      </c>
      <c r="H29" s="44"/>
      <c r="I29" s="44"/>
    </row>
    <row r="30" spans="1:9" s="3" customFormat="1" ht="13.8"/>
    <row r="31" spans="1:9" ht="14.25" customHeight="1">
      <c r="A31" s="3"/>
      <c r="B31" s="3"/>
      <c r="C31" s="3"/>
      <c r="D31" s="3"/>
      <c r="E31" s="3"/>
      <c r="F31" s="3"/>
      <c r="G31" s="3"/>
      <c r="H31" s="3"/>
      <c r="I31" s="3"/>
    </row>
    <row r="32" spans="1:9" s="3" customFormat="1" ht="13.8"/>
    <row r="33" spans="1:9" s="3" customFormat="1" ht="13.8"/>
    <row r="34" spans="1:9" s="3" customFormat="1">
      <c r="A34" s="92"/>
      <c r="B34" s="92"/>
      <c r="C34" s="92"/>
      <c r="D34" s="92"/>
      <c r="E34" s="92"/>
      <c r="F34" s="92"/>
      <c r="G34" s="92"/>
      <c r="H34" s="92"/>
      <c r="I34" s="92"/>
    </row>
    <row r="35" spans="1:9" s="3" customFormat="1" ht="13.8"/>
    <row r="36" spans="1:9" s="3" customFormat="1" ht="13.8"/>
    <row r="37" spans="1:9" s="3" customFormat="1" ht="13.8"/>
    <row r="38" spans="1:9" s="3" customFormat="1" ht="13.8"/>
    <row r="39" spans="1:9" s="3" customFormat="1" ht="13.8"/>
    <row r="40" spans="1:9" s="3" customFormat="1" ht="13.8"/>
    <row r="41" spans="1:9" s="3" customFormat="1" ht="13.8"/>
    <row r="42" spans="1:9" s="3" customFormat="1" ht="13.8"/>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30">
    <mergeCell ref="A16:C16"/>
    <mergeCell ref="D16:E16"/>
    <mergeCell ref="G16:I16"/>
    <mergeCell ref="A18:I18"/>
    <mergeCell ref="A19:I25"/>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G3:I3"/>
    <mergeCell ref="B5:E5"/>
    <mergeCell ref="D7:E7"/>
    <mergeCell ref="G7:H7"/>
    <mergeCell ref="A9:C9"/>
    <mergeCell ref="D9:E9"/>
    <mergeCell ref="G9:I9"/>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7"/>
  <sheetViews>
    <sheetView workbookViewId="0">
      <selection activeCell="F17" sqref="F17:I17"/>
    </sheetView>
  </sheetViews>
  <sheetFormatPr defaultColWidth="9.21875" defaultRowHeight="15"/>
  <cols>
    <col min="1" max="1" width="12.21875" style="2" customWidth="1"/>
    <col min="2" max="2" width="11.77734375" style="2" customWidth="1"/>
    <col min="3" max="3" width="18.21875" style="2" bestFit="1" customWidth="1"/>
    <col min="4" max="4" width="12.5546875" style="2" bestFit="1" customWidth="1"/>
    <col min="5" max="5" width="3.21875" style="2" customWidth="1"/>
    <col min="6" max="8" width="9.21875" style="2"/>
    <col min="9" max="9" width="8.77734375" style="2" customWidth="1"/>
    <col min="10" max="10" width="9.21875" style="2" hidden="1" customWidth="1"/>
    <col min="11" max="11" width="10.77734375" style="2" bestFit="1" customWidth="1"/>
    <col min="12" max="12" width="31.77734375" style="2" customWidth="1"/>
    <col min="13" max="16384" width="9.21875" style="2"/>
  </cols>
  <sheetData>
    <row r="1" spans="1:15">
      <c r="A1" s="92" t="str">
        <f>+'Cover Page'!$B$29</f>
        <v>Annual Performance Report 2022</v>
      </c>
      <c r="B1" s="92"/>
      <c r="C1" s="92"/>
      <c r="D1" s="92"/>
      <c r="E1" s="92" t="str">
        <f>+'Cover Page'!$B$33</f>
        <v>Eastcroft Energy from Waste Plant</v>
      </c>
      <c r="F1" s="92"/>
      <c r="G1" s="92"/>
      <c r="H1" s="92"/>
      <c r="I1" s="92"/>
      <c r="J1" s="92"/>
      <c r="K1" s="92"/>
      <c r="L1" s="92"/>
      <c r="M1" s="92"/>
      <c r="N1" s="92"/>
      <c r="O1" s="92"/>
    </row>
    <row r="3" spans="1:15" ht="15.6">
      <c r="A3" s="1" t="s">
        <v>213</v>
      </c>
      <c r="B3" s="92"/>
      <c r="C3" s="92"/>
      <c r="D3" s="92"/>
      <c r="E3" s="92"/>
      <c r="F3" s="92"/>
      <c r="G3" s="92"/>
      <c r="H3" s="92"/>
      <c r="I3" s="92"/>
      <c r="J3" s="92"/>
      <c r="K3" s="92"/>
      <c r="L3" s="92"/>
      <c r="M3" s="92"/>
      <c r="N3" s="92"/>
      <c r="O3" s="92"/>
    </row>
    <row r="4" spans="1:15" ht="15.6">
      <c r="A4" s="1"/>
      <c r="B4" s="92"/>
      <c r="C4" s="92"/>
      <c r="D4" s="92"/>
      <c r="E4" s="92"/>
      <c r="F4" s="92"/>
      <c r="G4" s="92"/>
      <c r="H4" s="92"/>
      <c r="I4" s="92"/>
      <c r="J4" s="92"/>
      <c r="K4" s="92"/>
      <c r="L4" s="92"/>
      <c r="M4" s="92"/>
      <c r="N4" s="92"/>
      <c r="O4" s="92"/>
    </row>
    <row r="5" spans="1:15">
      <c r="A5" s="9" t="s">
        <v>214</v>
      </c>
      <c r="B5" s="92"/>
      <c r="C5" s="92"/>
      <c r="D5" s="92"/>
      <c r="E5" s="92"/>
      <c r="F5" s="92"/>
      <c r="G5" s="92"/>
      <c r="H5" s="92"/>
      <c r="I5" s="92"/>
      <c r="J5" s="92"/>
      <c r="K5" s="92"/>
      <c r="L5" s="92"/>
      <c r="M5" s="92"/>
      <c r="N5" s="92"/>
      <c r="O5" s="92"/>
    </row>
    <row r="6" spans="1:15">
      <c r="A6" s="9"/>
      <c r="B6" s="92"/>
      <c r="C6" s="92"/>
      <c r="D6" s="92"/>
      <c r="E6" s="92"/>
      <c r="F6" s="92"/>
      <c r="G6" s="92"/>
      <c r="H6" s="92"/>
      <c r="I6" s="92"/>
      <c r="J6" s="92"/>
      <c r="K6" s="92"/>
      <c r="L6" s="92"/>
      <c r="M6" s="92"/>
      <c r="N6" s="92"/>
      <c r="O6" s="92"/>
    </row>
    <row r="7" spans="1:15">
      <c r="A7" s="107" t="s">
        <v>215</v>
      </c>
      <c r="B7" s="92"/>
      <c r="C7" s="92"/>
      <c r="D7" s="92"/>
      <c r="E7" s="92"/>
      <c r="F7" s="92"/>
      <c r="G7" s="92"/>
      <c r="H7" s="92"/>
      <c r="I7" s="92"/>
      <c r="J7" s="92"/>
      <c r="K7" s="92"/>
      <c r="L7" s="92"/>
      <c r="M7" s="92"/>
      <c r="N7" s="92"/>
      <c r="O7" s="92"/>
    </row>
    <row r="8" spans="1:15" s="3" customFormat="1" ht="25.5" customHeight="1">
      <c r="A8" s="299" t="s">
        <v>216</v>
      </c>
      <c r="B8" s="300"/>
      <c r="C8" s="299" t="s">
        <v>217</v>
      </c>
      <c r="D8" s="301"/>
      <c r="E8" s="301"/>
      <c r="F8" s="301"/>
      <c r="G8" s="301"/>
      <c r="H8" s="301"/>
      <c r="I8" s="300"/>
      <c r="L8" s="80" t="s">
        <v>3</v>
      </c>
    </row>
    <row r="9" spans="1:15" s="3" customFormat="1" ht="22.5" customHeight="1">
      <c r="A9" s="302"/>
      <c r="B9" s="303"/>
      <c r="C9" s="304" t="s">
        <v>218</v>
      </c>
      <c r="D9" s="304"/>
      <c r="E9" s="304"/>
      <c r="F9" s="304" t="s">
        <v>219</v>
      </c>
      <c r="G9" s="304"/>
      <c r="H9" s="304"/>
      <c r="I9" s="304"/>
      <c r="L9" s="236" t="s">
        <v>220</v>
      </c>
      <c r="M9" s="236"/>
      <c r="N9" s="236"/>
      <c r="O9" s="236"/>
    </row>
    <row r="10" spans="1:15" s="3" customFormat="1" ht="22.5" customHeight="1">
      <c r="A10" s="296" t="s">
        <v>221</v>
      </c>
      <c r="B10" s="296"/>
      <c r="C10" s="297">
        <v>1</v>
      </c>
      <c r="D10" s="298"/>
      <c r="E10" s="298"/>
      <c r="F10" s="297">
        <v>1</v>
      </c>
      <c r="G10" s="298"/>
      <c r="H10" s="298"/>
      <c r="I10" s="298"/>
      <c r="L10" s="236"/>
      <c r="M10" s="236"/>
      <c r="N10" s="236"/>
      <c r="O10" s="236"/>
    </row>
    <row r="11" spans="1:15" s="3" customFormat="1" ht="22.5" customHeight="1">
      <c r="A11" s="296" t="s">
        <v>222</v>
      </c>
      <c r="B11" s="296"/>
      <c r="C11" s="297">
        <v>1</v>
      </c>
      <c r="D11" s="298"/>
      <c r="E11" s="298"/>
      <c r="F11" s="297">
        <v>1</v>
      </c>
      <c r="G11" s="298"/>
      <c r="H11" s="298"/>
      <c r="I11" s="298"/>
      <c r="L11" s="236"/>
      <c r="M11" s="236"/>
      <c r="N11" s="236"/>
      <c r="O11" s="236"/>
    </row>
    <row r="12" spans="1:15" s="3" customFormat="1" ht="22.5" customHeight="1">
      <c r="A12" s="296" t="s">
        <v>223</v>
      </c>
      <c r="B12" s="296"/>
      <c r="C12" s="297">
        <v>1</v>
      </c>
      <c r="D12" s="298"/>
      <c r="E12" s="298"/>
      <c r="F12" s="297">
        <v>1</v>
      </c>
      <c r="G12" s="298"/>
      <c r="H12" s="298"/>
      <c r="I12" s="298"/>
      <c r="L12" s="236"/>
      <c r="M12" s="236"/>
      <c r="N12" s="236"/>
      <c r="O12" s="236"/>
    </row>
    <row r="13" spans="1:15" s="3" customFormat="1" ht="22.5" customHeight="1">
      <c r="A13" s="296" t="s">
        <v>224</v>
      </c>
      <c r="B13" s="296"/>
      <c r="C13" s="247" t="s">
        <v>225</v>
      </c>
      <c r="D13" s="298"/>
      <c r="E13" s="298"/>
      <c r="F13" s="297">
        <v>1</v>
      </c>
      <c r="G13" s="298"/>
      <c r="H13" s="298"/>
      <c r="I13" s="298"/>
      <c r="L13" s="236"/>
      <c r="M13" s="236"/>
      <c r="N13" s="236"/>
      <c r="O13" s="236"/>
    </row>
    <row r="14" spans="1:15" s="3" customFormat="1" ht="22.5" customHeight="1">
      <c r="A14" s="296" t="s">
        <v>226</v>
      </c>
      <c r="B14" s="296"/>
      <c r="C14" s="297">
        <v>0.99990000000000001</v>
      </c>
      <c r="D14" s="298"/>
      <c r="E14" s="298"/>
      <c r="F14" s="297">
        <v>1</v>
      </c>
      <c r="G14" s="298"/>
      <c r="H14" s="298"/>
      <c r="I14" s="298"/>
      <c r="L14" s="236"/>
      <c r="M14" s="236"/>
      <c r="N14" s="236"/>
      <c r="O14" s="236"/>
    </row>
    <row r="15" spans="1:15" s="3" customFormat="1" ht="22.5" customHeight="1">
      <c r="A15" s="296" t="s">
        <v>227</v>
      </c>
      <c r="B15" s="296"/>
      <c r="C15" s="297">
        <v>0.99990000000000001</v>
      </c>
      <c r="D15" s="298"/>
      <c r="E15" s="298"/>
      <c r="F15" s="297">
        <v>0.99660000000000004</v>
      </c>
      <c r="G15" s="298"/>
      <c r="H15" s="298"/>
      <c r="I15" s="298"/>
      <c r="L15" s="236"/>
      <c r="M15" s="236"/>
      <c r="N15" s="236"/>
      <c r="O15" s="236"/>
    </row>
    <row r="16" spans="1:15" s="3" customFormat="1" ht="22.5" customHeight="1">
      <c r="A16" s="296" t="s">
        <v>228</v>
      </c>
      <c r="B16" s="296"/>
      <c r="C16" s="297">
        <v>1</v>
      </c>
      <c r="D16" s="298"/>
      <c r="E16" s="298"/>
      <c r="F16" s="297">
        <v>1</v>
      </c>
      <c r="G16" s="298"/>
      <c r="H16" s="298"/>
      <c r="I16" s="298"/>
      <c r="L16" s="236"/>
      <c r="M16" s="236"/>
      <c r="N16" s="236"/>
      <c r="O16" s="236"/>
    </row>
    <row r="17" spans="1:15" s="3" customFormat="1" ht="22.5" customHeight="1">
      <c r="A17" s="305"/>
      <c r="B17" s="306"/>
      <c r="C17" s="298" t="s">
        <v>229</v>
      </c>
      <c r="D17" s="298"/>
      <c r="E17" s="298"/>
      <c r="F17" s="298" t="s">
        <v>229</v>
      </c>
      <c r="G17" s="298"/>
      <c r="H17" s="298"/>
      <c r="I17" s="298"/>
      <c r="L17" s="236"/>
      <c r="M17" s="236"/>
      <c r="N17" s="236"/>
      <c r="O17" s="236"/>
    </row>
    <row r="18" spans="1:15" s="3" customFormat="1" ht="13.8">
      <c r="L18" s="236"/>
      <c r="M18" s="236"/>
      <c r="N18" s="236"/>
      <c r="O18" s="236"/>
    </row>
    <row r="19" spans="1:15" s="45" customFormat="1" ht="21.75" customHeight="1">
      <c r="A19" s="310" t="s">
        <v>230</v>
      </c>
      <c r="B19" s="311"/>
      <c r="C19" s="311"/>
      <c r="D19" s="311"/>
      <c r="E19" s="311"/>
      <c r="F19" s="311"/>
      <c r="G19" s="311"/>
      <c r="H19" s="311"/>
      <c r="I19" s="311"/>
      <c r="J19" s="311"/>
      <c r="K19" s="312"/>
    </row>
    <row r="20" spans="1:15" s="3" customFormat="1" ht="38.25" customHeight="1">
      <c r="A20" s="46" t="s">
        <v>52</v>
      </c>
      <c r="B20" s="307" t="s">
        <v>231</v>
      </c>
      <c r="C20" s="307"/>
      <c r="D20" s="307"/>
      <c r="E20" s="307" t="s">
        <v>232</v>
      </c>
      <c r="F20" s="307"/>
      <c r="G20" s="307"/>
      <c r="H20" s="307" t="s">
        <v>233</v>
      </c>
      <c r="I20" s="307"/>
      <c r="J20" s="308"/>
      <c r="K20" s="71"/>
    </row>
    <row r="21" spans="1:15" s="3" customFormat="1">
      <c r="A21" s="105" t="s">
        <v>234</v>
      </c>
      <c r="B21" s="205" t="s">
        <v>235</v>
      </c>
      <c r="C21" s="205"/>
      <c r="D21" s="205"/>
      <c r="E21" s="205" t="s">
        <v>236</v>
      </c>
      <c r="F21" s="205"/>
      <c r="G21" s="205"/>
      <c r="H21" s="205" t="s">
        <v>237</v>
      </c>
      <c r="I21" s="205"/>
      <c r="J21" s="309"/>
      <c r="K21" s="71"/>
    </row>
    <row r="22" spans="1:15" s="3" customFormat="1" ht="13.8">
      <c r="A22" s="106" t="s">
        <v>238</v>
      </c>
      <c r="B22" s="205" t="s">
        <v>239</v>
      </c>
      <c r="C22" s="205"/>
      <c r="D22" s="205"/>
      <c r="E22" s="205" t="s">
        <v>240</v>
      </c>
      <c r="F22" s="205"/>
      <c r="G22" s="205"/>
      <c r="H22" s="205" t="s">
        <v>241</v>
      </c>
      <c r="I22" s="205"/>
      <c r="J22" s="309"/>
      <c r="K22" s="71"/>
    </row>
    <row r="23" spans="1:15" s="3" customFormat="1" ht="13.8">
      <c r="A23" s="106" t="s">
        <v>242</v>
      </c>
      <c r="B23" s="205" t="s">
        <v>243</v>
      </c>
      <c r="C23" s="205"/>
      <c r="D23" s="205"/>
      <c r="E23" s="205" t="s">
        <v>244</v>
      </c>
      <c r="F23" s="205"/>
      <c r="G23" s="205"/>
      <c r="H23" s="205" t="s">
        <v>245</v>
      </c>
      <c r="I23" s="205"/>
      <c r="J23" s="309"/>
      <c r="K23" s="71"/>
    </row>
    <row r="24" spans="1:15" s="3" customFormat="1" ht="13.8">
      <c r="A24" s="106"/>
      <c r="B24" s="205"/>
      <c r="C24" s="205"/>
      <c r="D24" s="205"/>
      <c r="E24" s="205"/>
      <c r="F24" s="205"/>
      <c r="G24" s="205"/>
      <c r="H24" s="205"/>
      <c r="I24" s="205"/>
      <c r="J24" s="309"/>
      <c r="K24" s="71"/>
    </row>
    <row r="25" spans="1:15" s="3" customFormat="1" ht="13.8">
      <c r="A25" s="106"/>
      <c r="B25" s="205"/>
      <c r="C25" s="205"/>
      <c r="D25" s="205"/>
      <c r="E25" s="205"/>
      <c r="F25" s="205"/>
      <c r="G25" s="205"/>
      <c r="H25" s="205"/>
      <c r="I25" s="205"/>
      <c r="J25" s="309"/>
      <c r="K25" s="71"/>
    </row>
    <row r="26" spans="1:15" s="3" customFormat="1" ht="13.8"/>
    <row r="27" spans="1:15" s="45" customFormat="1" ht="22.5" customHeight="1">
      <c r="A27" s="310" t="s">
        <v>246</v>
      </c>
      <c r="B27" s="311"/>
      <c r="C27" s="311"/>
      <c r="D27" s="311"/>
      <c r="E27" s="311"/>
      <c r="F27" s="311"/>
      <c r="G27" s="311"/>
      <c r="H27" s="311"/>
      <c r="I27" s="311"/>
      <c r="J27" s="311"/>
      <c r="K27" s="312"/>
    </row>
    <row r="28" spans="1:15" s="3" customFormat="1" ht="39" customHeight="1">
      <c r="A28" s="46" t="s">
        <v>52</v>
      </c>
      <c r="B28" s="307" t="s">
        <v>247</v>
      </c>
      <c r="C28" s="307"/>
      <c r="D28" s="307"/>
      <c r="E28" s="307" t="s">
        <v>248</v>
      </c>
      <c r="F28" s="307"/>
      <c r="G28" s="307"/>
      <c r="H28" s="307" t="s">
        <v>233</v>
      </c>
      <c r="I28" s="307"/>
      <c r="J28" s="308"/>
      <c r="K28" s="71"/>
    </row>
    <row r="29" spans="1:15" s="3" customFormat="1" ht="13.8">
      <c r="A29" s="106"/>
      <c r="B29" s="205"/>
      <c r="C29" s="205"/>
      <c r="D29" s="205"/>
      <c r="E29" s="205"/>
      <c r="F29" s="205"/>
      <c r="G29" s="205"/>
      <c r="H29" s="205"/>
      <c r="I29" s="205"/>
      <c r="J29" s="309"/>
      <c r="K29" s="71"/>
    </row>
    <row r="30" spans="1:15" s="3" customFormat="1" ht="13.8">
      <c r="A30" s="106"/>
      <c r="B30" s="205"/>
      <c r="C30" s="205"/>
      <c r="D30" s="205"/>
      <c r="E30" s="205"/>
      <c r="F30" s="205"/>
      <c r="G30" s="205"/>
      <c r="H30" s="205"/>
      <c r="I30" s="205"/>
      <c r="J30" s="309"/>
      <c r="K30" s="71"/>
    </row>
    <row r="31" spans="1:15" ht="14.25" customHeight="1">
      <c r="A31" s="106"/>
      <c r="B31" s="205"/>
      <c r="C31" s="205"/>
      <c r="D31" s="205"/>
      <c r="E31" s="205"/>
      <c r="F31" s="205"/>
      <c r="G31" s="205"/>
      <c r="H31" s="205"/>
      <c r="I31" s="205"/>
      <c r="J31" s="309"/>
      <c r="K31" s="71"/>
      <c r="L31" s="92"/>
      <c r="M31" s="92"/>
      <c r="N31" s="92"/>
      <c r="O31" s="92"/>
    </row>
    <row r="32" spans="1:15" s="3" customFormat="1" ht="13.8">
      <c r="A32" s="106"/>
      <c r="B32" s="205"/>
      <c r="C32" s="205"/>
      <c r="D32" s="205"/>
      <c r="E32" s="205"/>
      <c r="F32" s="205"/>
      <c r="G32" s="205"/>
      <c r="H32" s="205"/>
      <c r="I32" s="205"/>
      <c r="J32" s="309"/>
      <c r="K32" s="71"/>
    </row>
    <row r="33" spans="1:11" s="3" customFormat="1" ht="13.8">
      <c r="A33" s="106"/>
      <c r="B33" s="205"/>
      <c r="C33" s="205"/>
      <c r="D33" s="205"/>
      <c r="E33" s="205"/>
      <c r="F33" s="205"/>
      <c r="G33" s="205"/>
      <c r="H33" s="205"/>
      <c r="I33" s="205"/>
      <c r="J33" s="309"/>
      <c r="K33" s="71"/>
    </row>
    <row r="34" spans="1:11" s="3" customFormat="1" ht="29.25" customHeight="1">
      <c r="A34" s="107"/>
      <c r="E34" s="295" t="s">
        <v>249</v>
      </c>
      <c r="F34" s="295"/>
      <c r="G34" s="295"/>
      <c r="H34" s="295"/>
      <c r="I34" s="295"/>
      <c r="J34" s="107"/>
    </row>
    <row r="67" spans="6:6">
      <c r="F67" s="3"/>
    </row>
  </sheetData>
  <mergeCells count="69">
    <mergeCell ref="A27:K27"/>
    <mergeCell ref="A19:K19"/>
    <mergeCell ref="B32:D32"/>
    <mergeCell ref="E32:G32"/>
    <mergeCell ref="H32:J32"/>
    <mergeCell ref="B28:D28"/>
    <mergeCell ref="E28:G28"/>
    <mergeCell ref="H28:J28"/>
    <mergeCell ref="B29:D29"/>
    <mergeCell ref="E29:G29"/>
    <mergeCell ref="H29:J29"/>
    <mergeCell ref="B24:D24"/>
    <mergeCell ref="E24:G24"/>
    <mergeCell ref="H24:J24"/>
    <mergeCell ref="B25:D25"/>
    <mergeCell ref="E25:G25"/>
    <mergeCell ref="B33:D33"/>
    <mergeCell ref="E33:G33"/>
    <mergeCell ref="H33:J33"/>
    <mergeCell ref="B30:D30"/>
    <mergeCell ref="E30:G30"/>
    <mergeCell ref="H30:J30"/>
    <mergeCell ref="B31:D31"/>
    <mergeCell ref="E31:G31"/>
    <mergeCell ref="H31:J31"/>
    <mergeCell ref="H25:J25"/>
    <mergeCell ref="B22:D22"/>
    <mergeCell ref="E22:G22"/>
    <mergeCell ref="H22:J22"/>
    <mergeCell ref="B23:D23"/>
    <mergeCell ref="E23:G23"/>
    <mergeCell ref="H23:J23"/>
    <mergeCell ref="B20:D20"/>
    <mergeCell ref="E20:G20"/>
    <mergeCell ref="H20:J20"/>
    <mergeCell ref="B21:D21"/>
    <mergeCell ref="E21:G21"/>
    <mergeCell ref="H21:J21"/>
    <mergeCell ref="C17:E17"/>
    <mergeCell ref="F17:I17"/>
    <mergeCell ref="C16:E16"/>
    <mergeCell ref="F16:I16"/>
    <mergeCell ref="A17:B17"/>
    <mergeCell ref="F14:I14"/>
    <mergeCell ref="A15:B15"/>
    <mergeCell ref="C15:E15"/>
    <mergeCell ref="F15:I15"/>
    <mergeCell ref="A16:B16"/>
    <mergeCell ref="A8:B8"/>
    <mergeCell ref="C8:I8"/>
    <mergeCell ref="A9:B9"/>
    <mergeCell ref="C9:E9"/>
    <mergeCell ref="F9:I9"/>
    <mergeCell ref="L9:O18"/>
    <mergeCell ref="E34:I34"/>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6"/>
  <sheetViews>
    <sheetView workbookViewId="0">
      <selection activeCell="M34" sqref="M34"/>
    </sheetView>
  </sheetViews>
  <sheetFormatPr defaultColWidth="9.21875" defaultRowHeight="15"/>
  <cols>
    <col min="1" max="1" width="9.21875" style="2" customWidth="1"/>
    <col min="2" max="2" width="14.5546875" style="2" bestFit="1" customWidth="1"/>
    <col min="3" max="8" width="9.21875" style="2"/>
    <col min="9" max="9" width="11.5546875" style="2" customWidth="1"/>
    <col min="10" max="16384" width="9.21875" style="2"/>
  </cols>
  <sheetData>
    <row r="1" spans="1:9">
      <c r="A1" s="92" t="str">
        <f>+'Cover Page'!$B$29</f>
        <v>Annual Performance Report 2022</v>
      </c>
      <c r="B1" s="92"/>
      <c r="C1" s="92"/>
      <c r="D1" s="92"/>
      <c r="E1" s="92" t="str">
        <f>+'Cover Page'!$B$33</f>
        <v>Eastcroft Energy from Waste Plant</v>
      </c>
      <c r="F1" s="92"/>
      <c r="G1" s="92"/>
      <c r="H1" s="92"/>
      <c r="I1" s="92"/>
    </row>
    <row r="3" spans="1:9" ht="15.6">
      <c r="A3" s="1" t="s">
        <v>250</v>
      </c>
      <c r="B3" s="92"/>
      <c r="C3" s="92"/>
      <c r="D3" s="92"/>
      <c r="E3" s="92"/>
      <c r="F3" s="92"/>
      <c r="G3" s="92"/>
      <c r="H3" s="92"/>
      <c r="I3" s="92"/>
    </row>
    <row r="4" spans="1:9" ht="15.6">
      <c r="A4" s="1"/>
      <c r="B4" s="92"/>
      <c r="C4" s="92"/>
      <c r="D4" s="92"/>
      <c r="E4" s="92"/>
      <c r="F4" s="92"/>
      <c r="G4" s="92"/>
      <c r="H4" s="92"/>
      <c r="I4" s="92"/>
    </row>
    <row r="5" spans="1:9" s="3" customFormat="1" ht="13.8">
      <c r="A5" s="325" t="s">
        <v>251</v>
      </c>
      <c r="B5" s="326"/>
      <c r="C5" s="326"/>
      <c r="D5" s="326"/>
      <c r="E5" s="326"/>
      <c r="F5" s="326"/>
      <c r="G5" s="326"/>
      <c r="H5" s="326"/>
      <c r="I5" s="327"/>
    </row>
    <row r="6" spans="1:9" s="3" customFormat="1" ht="15.75" customHeight="1">
      <c r="A6" s="328" t="s">
        <v>252</v>
      </c>
      <c r="B6" s="228"/>
      <c r="C6" s="228"/>
      <c r="D6" s="228"/>
      <c r="E6" s="228"/>
      <c r="F6" s="228"/>
      <c r="G6" s="228"/>
      <c r="H6" s="228"/>
      <c r="I6" s="229"/>
    </row>
    <row r="7" spans="1:9" s="3" customFormat="1" ht="15.75" customHeight="1">
      <c r="A7" s="230"/>
      <c r="B7" s="231"/>
      <c r="C7" s="231"/>
      <c r="D7" s="231"/>
      <c r="E7" s="231"/>
      <c r="F7" s="231"/>
      <c r="G7" s="231"/>
      <c r="H7" s="231"/>
      <c r="I7" s="232"/>
    </row>
    <row r="8" spans="1:9" s="3" customFormat="1" ht="15.75" customHeight="1">
      <c r="A8" s="230"/>
      <c r="B8" s="231"/>
      <c r="C8" s="231"/>
      <c r="D8" s="231"/>
      <c r="E8" s="231"/>
      <c r="F8" s="231"/>
      <c r="G8" s="231"/>
      <c r="H8" s="231"/>
      <c r="I8" s="232"/>
    </row>
    <row r="9" spans="1:9" s="3" customFormat="1" ht="15.75" customHeight="1">
      <c r="A9" s="230"/>
      <c r="B9" s="231"/>
      <c r="C9" s="231"/>
      <c r="D9" s="231"/>
      <c r="E9" s="231"/>
      <c r="F9" s="231"/>
      <c r="G9" s="231"/>
      <c r="H9" s="231"/>
      <c r="I9" s="232"/>
    </row>
    <row r="10" spans="1:9" s="3" customFormat="1" ht="15.75" customHeight="1">
      <c r="A10" s="230"/>
      <c r="B10" s="231"/>
      <c r="C10" s="231"/>
      <c r="D10" s="231"/>
      <c r="E10" s="231"/>
      <c r="F10" s="231"/>
      <c r="G10" s="231"/>
      <c r="H10" s="231"/>
      <c r="I10" s="232"/>
    </row>
    <row r="11" spans="1:9" s="3" customFormat="1" ht="15.75" customHeight="1">
      <c r="A11" s="230"/>
      <c r="B11" s="231"/>
      <c r="C11" s="231"/>
      <c r="D11" s="231"/>
      <c r="E11" s="231"/>
      <c r="F11" s="231"/>
      <c r="G11" s="231"/>
      <c r="H11" s="231"/>
      <c r="I11" s="232"/>
    </row>
    <row r="12" spans="1:9" s="3" customFormat="1" ht="15.75" customHeight="1">
      <c r="A12" s="230"/>
      <c r="B12" s="231"/>
      <c r="C12" s="231"/>
      <c r="D12" s="231"/>
      <c r="E12" s="231"/>
      <c r="F12" s="231"/>
      <c r="G12" s="231"/>
      <c r="H12" s="231"/>
      <c r="I12" s="232"/>
    </row>
    <row r="13" spans="1:9" s="3" customFormat="1" ht="15.75" customHeight="1">
      <c r="A13" s="230"/>
      <c r="B13" s="231"/>
      <c r="C13" s="231"/>
      <c r="D13" s="231"/>
      <c r="E13" s="231"/>
      <c r="F13" s="231"/>
      <c r="G13" s="231"/>
      <c r="H13" s="231"/>
      <c r="I13" s="232"/>
    </row>
    <row r="14" spans="1:9" s="3" customFormat="1" ht="15.75" customHeight="1">
      <c r="A14" s="233"/>
      <c r="B14" s="234"/>
      <c r="C14" s="234"/>
      <c r="D14" s="234"/>
      <c r="E14" s="234"/>
      <c r="F14" s="234"/>
      <c r="G14" s="234"/>
      <c r="H14" s="234"/>
      <c r="I14" s="235"/>
    </row>
    <row r="15" spans="1:9" s="3" customFormat="1" ht="13.8"/>
    <row r="16" spans="1:9" s="47" customFormat="1" ht="33.75" customHeight="1">
      <c r="A16" s="313" t="s">
        <v>253</v>
      </c>
      <c r="B16" s="314"/>
      <c r="C16" s="314"/>
      <c r="D16" s="314"/>
      <c r="E16" s="314"/>
      <c r="F16" s="314"/>
      <c r="G16" s="314"/>
      <c r="H16" s="314"/>
      <c r="I16" s="315"/>
    </row>
    <row r="17" spans="1:9" ht="15.75" customHeight="1">
      <c r="A17" s="219" t="s">
        <v>254</v>
      </c>
      <c r="B17" s="220"/>
      <c r="C17" s="220"/>
      <c r="D17" s="220"/>
      <c r="E17" s="220"/>
      <c r="F17" s="220"/>
      <c r="G17" s="220"/>
      <c r="H17" s="220"/>
      <c r="I17" s="221"/>
    </row>
    <row r="18" spans="1:9" ht="15.75" customHeight="1">
      <c r="A18" s="222"/>
      <c r="B18" s="223"/>
      <c r="C18" s="223"/>
      <c r="D18" s="223"/>
      <c r="E18" s="223"/>
      <c r="F18" s="223"/>
      <c r="G18" s="223"/>
      <c r="H18" s="223"/>
      <c r="I18" s="224"/>
    </row>
    <row r="19" spans="1:9" ht="15.75" customHeight="1">
      <c r="A19" s="222"/>
      <c r="B19" s="223"/>
      <c r="C19" s="223"/>
      <c r="D19" s="223"/>
      <c r="E19" s="223"/>
      <c r="F19" s="223"/>
      <c r="G19" s="223"/>
      <c r="H19" s="223"/>
      <c r="I19" s="224"/>
    </row>
    <row r="20" spans="1:9" ht="15.75" customHeight="1">
      <c r="A20" s="222"/>
      <c r="B20" s="223"/>
      <c r="C20" s="223"/>
      <c r="D20" s="223"/>
      <c r="E20" s="223"/>
      <c r="F20" s="223"/>
      <c r="G20" s="223"/>
      <c r="H20" s="223"/>
      <c r="I20" s="224"/>
    </row>
    <row r="21" spans="1:9" ht="15.75" customHeight="1">
      <c r="A21" s="222"/>
      <c r="B21" s="223"/>
      <c r="C21" s="223"/>
      <c r="D21" s="223"/>
      <c r="E21" s="223"/>
      <c r="F21" s="223"/>
      <c r="G21" s="223"/>
      <c r="H21" s="223"/>
      <c r="I21" s="224"/>
    </row>
    <row r="22" spans="1:9" ht="15.75" customHeight="1">
      <c r="A22" s="222"/>
      <c r="B22" s="223"/>
      <c r="C22" s="223"/>
      <c r="D22" s="223"/>
      <c r="E22" s="223"/>
      <c r="F22" s="223"/>
      <c r="G22" s="223"/>
      <c r="H22" s="223"/>
      <c r="I22" s="224"/>
    </row>
    <row r="23" spans="1:9" ht="15.75" customHeight="1">
      <c r="A23" s="222"/>
      <c r="B23" s="223"/>
      <c r="C23" s="223"/>
      <c r="D23" s="223"/>
      <c r="E23" s="223"/>
      <c r="F23" s="223"/>
      <c r="G23" s="223"/>
      <c r="H23" s="223"/>
      <c r="I23" s="224"/>
    </row>
    <row r="24" spans="1:9" ht="15.75" customHeight="1">
      <c r="A24" s="222"/>
      <c r="B24" s="223"/>
      <c r="C24" s="223"/>
      <c r="D24" s="223"/>
      <c r="E24" s="223"/>
      <c r="F24" s="223"/>
      <c r="G24" s="223"/>
      <c r="H24" s="223"/>
      <c r="I24" s="224"/>
    </row>
    <row r="25" spans="1:9" ht="15.75" customHeight="1">
      <c r="A25" s="225"/>
      <c r="B25" s="226"/>
      <c r="C25" s="226"/>
      <c r="D25" s="226"/>
      <c r="E25" s="226"/>
      <c r="F25" s="226"/>
      <c r="G25" s="226"/>
      <c r="H25" s="226"/>
      <c r="I25" s="227"/>
    </row>
    <row r="26" spans="1:9" ht="15.6">
      <c r="A26" s="1"/>
      <c r="B26" s="92"/>
      <c r="C26" s="92"/>
      <c r="D26" s="92"/>
      <c r="E26" s="92"/>
      <c r="F26" s="92"/>
      <c r="G26" s="92"/>
      <c r="H26" s="92"/>
      <c r="I26" s="92"/>
    </row>
    <row r="27" spans="1:9" ht="36.75" customHeight="1">
      <c r="A27" s="313" t="s">
        <v>255</v>
      </c>
      <c r="B27" s="314"/>
      <c r="C27" s="314"/>
      <c r="D27" s="314"/>
      <c r="E27" s="314"/>
      <c r="F27" s="314"/>
      <c r="G27" s="314"/>
      <c r="H27" s="314"/>
      <c r="I27" s="315"/>
    </row>
    <row r="28" spans="1:9" ht="15.75" customHeight="1">
      <c r="A28" s="328"/>
      <c r="B28" s="228"/>
      <c r="C28" s="228"/>
      <c r="D28" s="228"/>
      <c r="E28" s="228"/>
      <c r="F28" s="228"/>
      <c r="G28" s="228"/>
      <c r="H28" s="228"/>
      <c r="I28" s="229"/>
    </row>
    <row r="29" spans="1:9" ht="15.75" customHeight="1">
      <c r="A29" s="230"/>
      <c r="B29" s="231"/>
      <c r="C29" s="231"/>
      <c r="D29" s="231"/>
      <c r="E29" s="231"/>
      <c r="F29" s="231"/>
      <c r="G29" s="231"/>
      <c r="H29" s="231"/>
      <c r="I29" s="232"/>
    </row>
    <row r="30" spans="1:9" ht="15.75" customHeight="1">
      <c r="A30" s="230"/>
      <c r="B30" s="231"/>
      <c r="C30" s="231"/>
      <c r="D30" s="231"/>
      <c r="E30" s="231"/>
      <c r="F30" s="231"/>
      <c r="G30" s="231"/>
      <c r="H30" s="231"/>
      <c r="I30" s="232"/>
    </row>
    <row r="31" spans="1:9" ht="15.75" customHeight="1">
      <c r="A31" s="230"/>
      <c r="B31" s="231"/>
      <c r="C31" s="231"/>
      <c r="D31" s="231"/>
      <c r="E31" s="231"/>
      <c r="F31" s="231"/>
      <c r="G31" s="231"/>
      <c r="H31" s="231"/>
      <c r="I31" s="232"/>
    </row>
    <row r="32" spans="1:9" ht="15.75" customHeight="1">
      <c r="A32" s="230"/>
      <c r="B32" s="231"/>
      <c r="C32" s="231"/>
      <c r="D32" s="231"/>
      <c r="E32" s="231"/>
      <c r="F32" s="231"/>
      <c r="G32" s="231"/>
      <c r="H32" s="231"/>
      <c r="I32" s="232"/>
    </row>
    <row r="33" spans="1:9" ht="15.75" customHeight="1">
      <c r="A33" s="230"/>
      <c r="B33" s="231"/>
      <c r="C33" s="231"/>
      <c r="D33" s="231"/>
      <c r="E33" s="231"/>
      <c r="F33" s="231"/>
      <c r="G33" s="231"/>
      <c r="H33" s="231"/>
      <c r="I33" s="232"/>
    </row>
    <row r="34" spans="1:9" ht="15.75" customHeight="1">
      <c r="A34" s="230"/>
      <c r="B34" s="231"/>
      <c r="C34" s="231"/>
      <c r="D34" s="231"/>
      <c r="E34" s="231"/>
      <c r="F34" s="231"/>
      <c r="G34" s="231"/>
      <c r="H34" s="231"/>
      <c r="I34" s="232"/>
    </row>
    <row r="35" spans="1:9" ht="15.75" customHeight="1">
      <c r="A35" s="230"/>
      <c r="B35" s="231"/>
      <c r="C35" s="231"/>
      <c r="D35" s="231"/>
      <c r="E35" s="231"/>
      <c r="F35" s="231"/>
      <c r="G35" s="231"/>
      <c r="H35" s="231"/>
      <c r="I35" s="232"/>
    </row>
    <row r="36" spans="1:9" ht="15.75" customHeight="1">
      <c r="A36" s="233"/>
      <c r="B36" s="234"/>
      <c r="C36" s="234"/>
      <c r="D36" s="234"/>
      <c r="E36" s="234"/>
      <c r="F36" s="234"/>
      <c r="G36" s="234"/>
      <c r="H36" s="234"/>
      <c r="I36" s="235"/>
    </row>
    <row r="38" spans="1:9" ht="33" customHeight="1">
      <c r="A38" s="313" t="s">
        <v>256</v>
      </c>
      <c r="B38" s="314"/>
      <c r="C38" s="314"/>
      <c r="D38" s="314"/>
      <c r="E38" s="314"/>
      <c r="F38" s="314"/>
      <c r="G38" s="314"/>
      <c r="H38" s="314"/>
      <c r="I38" s="315"/>
    </row>
    <row r="39" spans="1:9" ht="15.75" customHeight="1">
      <c r="A39" s="316" t="s">
        <v>257</v>
      </c>
      <c r="B39" s="317"/>
      <c r="C39" s="317"/>
      <c r="D39" s="317"/>
      <c r="E39" s="317"/>
      <c r="F39" s="317"/>
      <c r="G39" s="317"/>
      <c r="H39" s="317"/>
      <c r="I39" s="318"/>
    </row>
    <row r="40" spans="1:9" ht="15.75" customHeight="1">
      <c r="A40" s="319"/>
      <c r="B40" s="320"/>
      <c r="C40" s="320"/>
      <c r="D40" s="320"/>
      <c r="E40" s="320"/>
      <c r="F40" s="320"/>
      <c r="G40" s="320"/>
      <c r="H40" s="320"/>
      <c r="I40" s="321"/>
    </row>
    <row r="41" spans="1:9" ht="15.75" customHeight="1">
      <c r="A41" s="319"/>
      <c r="B41" s="320"/>
      <c r="C41" s="320"/>
      <c r="D41" s="320"/>
      <c r="E41" s="320"/>
      <c r="F41" s="320"/>
      <c r="G41" s="320"/>
      <c r="H41" s="320"/>
      <c r="I41" s="321"/>
    </row>
    <row r="42" spans="1:9" ht="15.75" customHeight="1">
      <c r="A42" s="319"/>
      <c r="B42" s="320"/>
      <c r="C42" s="320"/>
      <c r="D42" s="320"/>
      <c r="E42" s="320"/>
      <c r="F42" s="320"/>
      <c r="G42" s="320"/>
      <c r="H42" s="320"/>
      <c r="I42" s="321"/>
    </row>
    <row r="43" spans="1:9" ht="15.75" customHeight="1">
      <c r="A43" s="319"/>
      <c r="B43" s="320"/>
      <c r="C43" s="320"/>
      <c r="D43" s="320"/>
      <c r="E43" s="320"/>
      <c r="F43" s="320"/>
      <c r="G43" s="320"/>
      <c r="H43" s="320"/>
      <c r="I43" s="321"/>
    </row>
    <row r="44" spans="1:9" ht="15.75" customHeight="1">
      <c r="A44" s="319"/>
      <c r="B44" s="320"/>
      <c r="C44" s="320"/>
      <c r="D44" s="320"/>
      <c r="E44" s="320"/>
      <c r="F44" s="320"/>
      <c r="G44" s="320"/>
      <c r="H44" s="320"/>
      <c r="I44" s="321"/>
    </row>
    <row r="45" spans="1:9" ht="15.75" customHeight="1">
      <c r="A45" s="319"/>
      <c r="B45" s="320"/>
      <c r="C45" s="320"/>
      <c r="D45" s="320"/>
      <c r="E45" s="320"/>
      <c r="F45" s="320"/>
      <c r="G45" s="320"/>
      <c r="H45" s="320"/>
      <c r="I45" s="321"/>
    </row>
    <row r="46" spans="1:9" ht="15.75" customHeight="1">
      <c r="A46" s="319"/>
      <c r="B46" s="320"/>
      <c r="C46" s="320"/>
      <c r="D46" s="320"/>
      <c r="E46" s="320"/>
      <c r="F46" s="320"/>
      <c r="G46" s="320"/>
      <c r="H46" s="320"/>
      <c r="I46" s="321"/>
    </row>
    <row r="47" spans="1:9" ht="15.75" customHeight="1">
      <c r="A47" s="319"/>
      <c r="B47" s="320"/>
      <c r="C47" s="320"/>
      <c r="D47" s="320"/>
      <c r="E47" s="320"/>
      <c r="F47" s="320"/>
      <c r="G47" s="320"/>
      <c r="H47" s="320"/>
      <c r="I47" s="321"/>
    </row>
    <row r="48" spans="1:9" ht="15.75" customHeight="1">
      <c r="A48" s="322"/>
      <c r="B48" s="323"/>
      <c r="C48" s="323"/>
      <c r="D48" s="323"/>
      <c r="E48" s="323"/>
      <c r="F48" s="323"/>
      <c r="G48" s="323"/>
      <c r="H48" s="323"/>
      <c r="I48" s="324"/>
    </row>
    <row r="66" spans="6:6">
      <c r="F66" s="3"/>
    </row>
  </sheetData>
  <mergeCells count="8">
    <mergeCell ref="A38:I38"/>
    <mergeCell ref="A39:I48"/>
    <mergeCell ref="A5:I5"/>
    <mergeCell ref="A16:I16"/>
    <mergeCell ref="A27:I27"/>
    <mergeCell ref="A28:I36"/>
    <mergeCell ref="A6:I14"/>
    <mergeCell ref="A17:I25"/>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6"/>
  <sheetViews>
    <sheetView workbookViewId="0">
      <selection activeCell="H33" sqref="H33"/>
    </sheetView>
  </sheetViews>
  <sheetFormatPr defaultColWidth="9.21875" defaultRowHeight="15"/>
  <cols>
    <col min="1" max="1" width="9.21875" style="2" customWidth="1"/>
    <col min="2" max="2" width="14.5546875" style="2" bestFit="1" customWidth="1"/>
    <col min="3" max="8" width="9.21875" style="2"/>
    <col min="9" max="9" width="11.5546875" style="2" customWidth="1"/>
    <col min="10" max="16384" width="9.21875" style="2"/>
  </cols>
  <sheetData>
    <row r="1" spans="1:9">
      <c r="A1" s="92" t="str">
        <f>+'Cover Page'!$B$29</f>
        <v>Annual Performance Report 2022</v>
      </c>
      <c r="B1" s="92"/>
      <c r="C1" s="92"/>
      <c r="D1" s="92"/>
      <c r="E1" s="92" t="str">
        <f>+'Cover Page'!$B$33</f>
        <v>Eastcroft Energy from Waste Plant</v>
      </c>
      <c r="F1" s="92"/>
      <c r="G1" s="92"/>
      <c r="H1" s="92"/>
      <c r="I1" s="92"/>
    </row>
    <row r="3" spans="1:9" ht="15.6">
      <c r="A3" s="1" t="s">
        <v>258</v>
      </c>
      <c r="B3" s="92"/>
      <c r="C3" s="92"/>
      <c r="D3" s="92"/>
      <c r="E3" s="92"/>
      <c r="F3" s="92"/>
      <c r="G3" s="92"/>
      <c r="H3" s="92"/>
      <c r="I3" s="92"/>
    </row>
    <row r="4" spans="1:9" ht="15.6">
      <c r="A4" s="1"/>
      <c r="B4" s="92"/>
      <c r="C4" s="92"/>
      <c r="D4" s="92"/>
      <c r="E4" s="92"/>
      <c r="F4" s="92"/>
      <c r="G4" s="92"/>
      <c r="H4" s="92"/>
      <c r="I4" s="92"/>
    </row>
    <row r="5" spans="1:9" s="3" customFormat="1" ht="28.5" customHeight="1">
      <c r="A5" s="48" t="s">
        <v>259</v>
      </c>
      <c r="B5" s="49"/>
      <c r="C5" s="49"/>
      <c r="D5" s="49"/>
      <c r="E5" s="49"/>
      <c r="F5" s="49"/>
      <c r="G5" s="49"/>
      <c r="H5" s="49"/>
      <c r="I5" s="50"/>
    </row>
    <row r="6" spans="1:9" s="3" customFormat="1" ht="15.75" customHeight="1">
      <c r="A6" s="325" t="s">
        <v>52</v>
      </c>
      <c r="B6" s="327"/>
      <c r="C6" s="325" t="s">
        <v>260</v>
      </c>
      <c r="D6" s="326"/>
      <c r="E6" s="326"/>
      <c r="F6" s="326"/>
      <c r="G6" s="326"/>
      <c r="H6" s="326"/>
      <c r="I6" s="327"/>
    </row>
    <row r="7" spans="1:9" s="3" customFormat="1" ht="15.75" customHeight="1">
      <c r="A7" s="328" t="s">
        <v>261</v>
      </c>
      <c r="B7" s="229"/>
      <c r="C7" s="328" t="s">
        <v>262</v>
      </c>
      <c r="D7" s="228"/>
      <c r="E7" s="228"/>
      <c r="F7" s="228"/>
      <c r="G7" s="228"/>
      <c r="H7" s="228"/>
      <c r="I7" s="229"/>
    </row>
    <row r="8" spans="1:9" s="3" customFormat="1" ht="15.75" customHeight="1">
      <c r="A8" s="233"/>
      <c r="B8" s="235"/>
      <c r="C8" s="233"/>
      <c r="D8" s="234"/>
      <c r="E8" s="234"/>
      <c r="F8" s="234"/>
      <c r="G8" s="234"/>
      <c r="H8" s="234"/>
      <c r="I8" s="235"/>
    </row>
    <row r="9" spans="1:9" s="3" customFormat="1" ht="15.75" customHeight="1">
      <c r="A9" s="328" t="s">
        <v>263</v>
      </c>
      <c r="B9" s="229"/>
      <c r="C9" s="328" t="s">
        <v>262</v>
      </c>
      <c r="D9" s="228"/>
      <c r="E9" s="228"/>
      <c r="F9" s="228"/>
      <c r="G9" s="228"/>
      <c r="H9" s="228"/>
      <c r="I9" s="229"/>
    </row>
    <row r="10" spans="1:9" s="3" customFormat="1" ht="15.75" customHeight="1">
      <c r="A10" s="233"/>
      <c r="B10" s="235"/>
      <c r="C10" s="233"/>
      <c r="D10" s="234"/>
      <c r="E10" s="234"/>
      <c r="F10" s="234"/>
      <c r="G10" s="234"/>
      <c r="H10" s="234"/>
      <c r="I10" s="235"/>
    </row>
    <row r="11" spans="1:9" s="3" customFormat="1" ht="15.75" customHeight="1">
      <c r="A11" s="328"/>
      <c r="B11" s="229"/>
      <c r="C11" s="328"/>
      <c r="D11" s="228"/>
      <c r="E11" s="228"/>
      <c r="F11" s="228"/>
      <c r="G11" s="228"/>
      <c r="H11" s="228"/>
      <c r="I11" s="229"/>
    </row>
    <row r="12" spans="1:9" s="3" customFormat="1" ht="15.75" customHeight="1">
      <c r="A12" s="233"/>
      <c r="B12" s="235"/>
      <c r="C12" s="233"/>
      <c r="D12" s="234"/>
      <c r="E12" s="234"/>
      <c r="F12" s="234"/>
      <c r="G12" s="234"/>
      <c r="H12" s="234"/>
      <c r="I12" s="235"/>
    </row>
    <row r="13" spans="1:9" s="3" customFormat="1" ht="15.75" customHeight="1">
      <c r="A13" s="328"/>
      <c r="B13" s="229"/>
      <c r="C13" s="328"/>
      <c r="D13" s="228"/>
      <c r="E13" s="228"/>
      <c r="F13" s="228"/>
      <c r="G13" s="228"/>
      <c r="H13" s="228"/>
      <c r="I13" s="229"/>
    </row>
    <row r="14" spans="1:9" s="3" customFormat="1" ht="15.75" customHeight="1">
      <c r="A14" s="233"/>
      <c r="B14" s="235"/>
      <c r="C14" s="233"/>
      <c r="D14" s="234"/>
      <c r="E14" s="234"/>
      <c r="F14" s="234"/>
      <c r="G14" s="234"/>
      <c r="H14" s="234"/>
      <c r="I14" s="235"/>
    </row>
    <row r="15" spans="1:9" s="3" customFormat="1" ht="13.8"/>
    <row r="16" spans="1:9" s="47" customFormat="1" ht="33.75" customHeight="1">
      <c r="A16" s="313" t="s">
        <v>264</v>
      </c>
      <c r="B16" s="314"/>
      <c r="C16" s="314"/>
      <c r="D16" s="314"/>
      <c r="E16" s="314"/>
      <c r="F16" s="314"/>
      <c r="G16" s="314"/>
      <c r="H16" s="314"/>
      <c r="I16" s="315"/>
    </row>
    <row r="17" spans="1:9" ht="15.75" customHeight="1">
      <c r="A17" s="325" t="s">
        <v>52</v>
      </c>
      <c r="B17" s="327"/>
      <c r="C17" s="325" t="s">
        <v>260</v>
      </c>
      <c r="D17" s="326"/>
      <c r="E17" s="326"/>
      <c r="F17" s="326"/>
      <c r="G17" s="326"/>
      <c r="H17" s="326"/>
      <c r="I17" s="326"/>
    </row>
    <row r="18" spans="1:9" ht="15.75" customHeight="1">
      <c r="A18" s="328"/>
      <c r="B18" s="229"/>
      <c r="C18" s="328" t="s">
        <v>265</v>
      </c>
      <c r="D18" s="228"/>
      <c r="E18" s="228"/>
      <c r="F18" s="228"/>
      <c r="G18" s="228"/>
      <c r="H18" s="228"/>
      <c r="I18" s="229"/>
    </row>
    <row r="19" spans="1:9" ht="15.75" customHeight="1">
      <c r="A19" s="233"/>
      <c r="B19" s="235"/>
      <c r="C19" s="233"/>
      <c r="D19" s="234"/>
      <c r="E19" s="234"/>
      <c r="F19" s="234"/>
      <c r="G19" s="234"/>
      <c r="H19" s="234"/>
      <c r="I19" s="235"/>
    </row>
    <row r="20" spans="1:9" ht="15.75" customHeight="1">
      <c r="A20" s="328"/>
      <c r="B20" s="229"/>
      <c r="C20" s="328"/>
      <c r="D20" s="228"/>
      <c r="E20" s="228"/>
      <c r="F20" s="228"/>
      <c r="G20" s="228"/>
      <c r="H20" s="228"/>
      <c r="I20" s="229"/>
    </row>
    <row r="21" spans="1:9" ht="15.75" customHeight="1">
      <c r="A21" s="233"/>
      <c r="B21" s="235"/>
      <c r="C21" s="233"/>
      <c r="D21" s="234"/>
      <c r="E21" s="234"/>
      <c r="F21" s="234"/>
      <c r="G21" s="234"/>
      <c r="H21" s="234"/>
      <c r="I21" s="235"/>
    </row>
    <row r="22" spans="1:9" ht="15.75" customHeight="1">
      <c r="A22" s="328"/>
      <c r="B22" s="229"/>
      <c r="C22" s="328"/>
      <c r="D22" s="228"/>
      <c r="E22" s="228"/>
      <c r="F22" s="228"/>
      <c r="G22" s="228"/>
      <c r="H22" s="228"/>
      <c r="I22" s="229"/>
    </row>
    <row r="23" spans="1:9" ht="15.75" customHeight="1">
      <c r="A23" s="233"/>
      <c r="B23" s="235"/>
      <c r="C23" s="233"/>
      <c r="D23" s="234"/>
      <c r="E23" s="234"/>
      <c r="F23" s="234"/>
      <c r="G23" s="234"/>
      <c r="H23" s="234"/>
      <c r="I23" s="235"/>
    </row>
    <row r="24" spans="1:9" ht="15.75" customHeight="1">
      <c r="A24" s="328"/>
      <c r="B24" s="229"/>
      <c r="C24" s="328"/>
      <c r="D24" s="228"/>
      <c r="E24" s="228"/>
      <c r="F24" s="228"/>
      <c r="G24" s="228"/>
      <c r="H24" s="228"/>
      <c r="I24" s="229"/>
    </row>
    <row r="25" spans="1:9" ht="15.75" customHeight="1">
      <c r="A25" s="233"/>
      <c r="B25" s="235"/>
      <c r="C25" s="233"/>
      <c r="D25" s="234"/>
      <c r="E25" s="234"/>
      <c r="F25" s="234"/>
      <c r="G25" s="234"/>
      <c r="H25" s="234"/>
      <c r="I25" s="235"/>
    </row>
    <row r="26" spans="1:9" ht="15.75" customHeight="1">
      <c r="A26" s="328"/>
      <c r="B26" s="229"/>
      <c r="C26" s="328"/>
      <c r="D26" s="228"/>
      <c r="E26" s="228"/>
      <c r="F26" s="228"/>
      <c r="G26" s="228"/>
      <c r="H26" s="228"/>
      <c r="I26" s="229"/>
    </row>
    <row r="27" spans="1:9" ht="15.75" customHeight="1">
      <c r="A27" s="233"/>
      <c r="B27" s="235"/>
      <c r="C27" s="233"/>
      <c r="D27" s="234"/>
      <c r="E27" s="234"/>
      <c r="F27" s="234"/>
      <c r="G27" s="234"/>
      <c r="H27" s="234"/>
      <c r="I27" s="235"/>
    </row>
    <row r="28" spans="1:9" ht="15.6">
      <c r="A28" s="1"/>
      <c r="B28" s="92"/>
      <c r="C28" s="92"/>
      <c r="D28" s="92"/>
      <c r="E28" s="92"/>
      <c r="F28" s="92"/>
      <c r="G28" s="92"/>
      <c r="H28" s="92"/>
      <c r="I28" s="92"/>
    </row>
    <row r="29" spans="1:9" ht="36.75" customHeight="1">
      <c r="A29" s="313" t="s">
        <v>266</v>
      </c>
      <c r="B29" s="314"/>
      <c r="C29" s="314"/>
      <c r="D29" s="314"/>
      <c r="E29" s="314"/>
      <c r="F29" s="314"/>
      <c r="G29" s="314"/>
      <c r="H29" s="314"/>
      <c r="I29" s="315"/>
    </row>
    <row r="66" spans="6:6">
      <c r="F66" s="3"/>
    </row>
  </sheetData>
  <mergeCells count="24">
    <mergeCell ref="A24:B25"/>
    <mergeCell ref="C24:I25"/>
    <mergeCell ref="A26:B27"/>
    <mergeCell ref="C26:I27"/>
    <mergeCell ref="A29:I29"/>
    <mergeCell ref="A18:B19"/>
    <mergeCell ref="C18:I19"/>
    <mergeCell ref="A20:B21"/>
    <mergeCell ref="C20:I21"/>
    <mergeCell ref="A22:B23"/>
    <mergeCell ref="C22:I23"/>
    <mergeCell ref="A17:B17"/>
    <mergeCell ref="C17:I17"/>
    <mergeCell ref="A6:B6"/>
    <mergeCell ref="C6:I6"/>
    <mergeCell ref="A7:B8"/>
    <mergeCell ref="C7:I8"/>
    <mergeCell ref="A9:B10"/>
    <mergeCell ref="C9:I10"/>
    <mergeCell ref="A11:B12"/>
    <mergeCell ref="C11:I12"/>
    <mergeCell ref="A13:B14"/>
    <mergeCell ref="C13:I14"/>
    <mergeCell ref="A16:I16"/>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00B050"/>
  </sheetPr>
  <dimension ref="A1:O24"/>
  <sheetViews>
    <sheetView workbookViewId="0">
      <selection activeCell="B20" sqref="B20:C20"/>
    </sheetView>
  </sheetViews>
  <sheetFormatPr defaultColWidth="8.77734375" defaultRowHeight="15"/>
  <cols>
    <col min="1" max="1" width="36.77734375" style="92" customWidth="1"/>
    <col min="2" max="2" width="17.77734375" style="92" customWidth="1"/>
    <col min="3" max="3" width="37.21875" style="92" customWidth="1"/>
    <col min="4" max="14" width="8.77734375" style="92"/>
    <col min="15" max="15" width="9" style="92" customWidth="1"/>
    <col min="16" max="16384" width="8.77734375" style="92"/>
  </cols>
  <sheetData>
    <row r="1" spans="1:15">
      <c r="A1" s="92" t="str">
        <f>+'Cover Page'!$B$29</f>
        <v>Annual Performance Report 2022</v>
      </c>
      <c r="C1" s="92" t="str">
        <f>+'Cover Page'!$B$33</f>
        <v>Eastcroft Energy from Waste Plant</v>
      </c>
    </row>
    <row r="2" spans="1:15" ht="10.199999999999999" customHeight="1"/>
    <row r="3" spans="1:15" ht="15.6">
      <c r="A3" s="1" t="s">
        <v>267</v>
      </c>
      <c r="E3" s="80" t="s">
        <v>3</v>
      </c>
    </row>
    <row r="4" spans="1:15" ht="9.4499999999999993" customHeight="1"/>
    <row r="5" spans="1:15">
      <c r="A5" s="333" t="s">
        <v>268</v>
      </c>
      <c r="B5" s="334"/>
      <c r="C5" s="334"/>
    </row>
    <row r="6" spans="1:15" ht="30">
      <c r="A6" s="93" t="s">
        <v>269</v>
      </c>
      <c r="B6" s="97" t="s">
        <v>270</v>
      </c>
      <c r="C6">
        <v>205443</v>
      </c>
    </row>
    <row r="7" spans="1:15" ht="30">
      <c r="A7" s="93" t="s">
        <v>271</v>
      </c>
      <c r="B7" s="97" t="s">
        <v>270</v>
      </c>
      <c r="C7" s="96">
        <v>1.1299999999999999</v>
      </c>
    </row>
    <row r="8" spans="1:15" ht="45">
      <c r="A8" s="93" t="s">
        <v>272</v>
      </c>
      <c r="B8" s="97" t="s">
        <v>270</v>
      </c>
      <c r="C8" s="96">
        <v>0.56999999999999995</v>
      </c>
    </row>
    <row r="9" spans="1:15" ht="89.7" customHeight="1">
      <c r="A9" s="93" t="s">
        <v>273</v>
      </c>
      <c r="B9" s="335" t="s">
        <v>274</v>
      </c>
      <c r="C9" s="336"/>
      <c r="E9" s="330" t="s">
        <v>275</v>
      </c>
      <c r="F9" s="329"/>
      <c r="G9" s="329"/>
      <c r="H9" s="329"/>
      <c r="I9" s="329"/>
      <c r="J9" s="329"/>
      <c r="K9" s="329"/>
      <c r="L9" s="329"/>
      <c r="M9" s="329"/>
      <c r="N9" s="329"/>
      <c r="O9" s="329"/>
    </row>
    <row r="10" spans="1:15" ht="8.6999999999999993" customHeight="1">
      <c r="A10" s="94"/>
      <c r="B10" s="95"/>
      <c r="C10" s="95"/>
    </row>
    <row r="11" spans="1:15">
      <c r="A11" s="337" t="s">
        <v>276</v>
      </c>
      <c r="B11" s="334"/>
      <c r="C11" s="334"/>
    </row>
    <row r="12" spans="1:15" ht="33.450000000000003" customHeight="1">
      <c r="A12" s="93" t="s">
        <v>277</v>
      </c>
      <c r="B12" s="97" t="s">
        <v>270</v>
      </c>
      <c r="C12" s="96">
        <v>0.95</v>
      </c>
    </row>
    <row r="13" spans="1:15" ht="101.7" customHeight="1">
      <c r="A13" s="93" t="s">
        <v>278</v>
      </c>
      <c r="B13" s="331" t="s">
        <v>279</v>
      </c>
      <c r="C13" s="332"/>
      <c r="E13" s="236" t="s">
        <v>280</v>
      </c>
      <c r="F13" s="329"/>
      <c r="G13" s="329"/>
      <c r="H13" s="329"/>
      <c r="I13" s="329"/>
      <c r="J13" s="329"/>
      <c r="K13" s="329"/>
      <c r="L13" s="329"/>
      <c r="M13" s="329"/>
      <c r="N13" s="329"/>
      <c r="O13" s="329"/>
    </row>
    <row r="14" spans="1:15" ht="58.95" customHeight="1">
      <c r="A14" s="93" t="s">
        <v>281</v>
      </c>
      <c r="B14" s="98" t="s">
        <v>282</v>
      </c>
      <c r="C14" s="96">
        <v>205613</v>
      </c>
    </row>
    <row r="15" spans="1:15" ht="6.45" customHeight="1">
      <c r="A15" s="94"/>
      <c r="B15" s="95"/>
      <c r="C15" s="95"/>
    </row>
    <row r="16" spans="1:15" ht="39" customHeight="1">
      <c r="A16" s="333" t="s">
        <v>283</v>
      </c>
      <c r="B16" s="334"/>
      <c r="C16" s="334"/>
    </row>
    <row r="17" spans="1:15" ht="49.2" customHeight="1">
      <c r="A17" s="93" t="s">
        <v>284</v>
      </c>
      <c r="B17" s="97" t="s">
        <v>131</v>
      </c>
      <c r="C17" s="96">
        <v>66.52</v>
      </c>
    </row>
    <row r="18" spans="1:15" ht="103.2" customHeight="1">
      <c r="A18" s="93" t="s">
        <v>285</v>
      </c>
      <c r="B18" s="331" t="s">
        <v>286</v>
      </c>
      <c r="C18" s="332"/>
      <c r="E18" s="236" t="s">
        <v>287</v>
      </c>
      <c r="F18" s="329"/>
      <c r="G18" s="329"/>
      <c r="H18" s="329"/>
      <c r="I18" s="329"/>
      <c r="J18" s="329"/>
      <c r="K18" s="329"/>
      <c r="L18" s="329"/>
      <c r="M18" s="329"/>
      <c r="N18" s="329"/>
      <c r="O18" s="329"/>
    </row>
    <row r="19" spans="1:15" ht="34.200000000000003" customHeight="1">
      <c r="A19" s="93" t="s">
        <v>288</v>
      </c>
      <c r="B19" s="97" t="s">
        <v>131</v>
      </c>
      <c r="C19" s="96"/>
    </row>
    <row r="20" spans="1:15" ht="92.7" customHeight="1">
      <c r="A20" s="93" t="s">
        <v>289</v>
      </c>
      <c r="B20" s="331" t="s">
        <v>290</v>
      </c>
      <c r="C20" s="332"/>
      <c r="E20" s="236" t="s">
        <v>291</v>
      </c>
      <c r="F20" s="329"/>
      <c r="G20" s="329"/>
      <c r="H20" s="329"/>
      <c r="I20" s="329"/>
      <c r="J20" s="329"/>
      <c r="K20" s="329"/>
      <c r="L20" s="329"/>
      <c r="M20" s="329"/>
      <c r="N20" s="329"/>
      <c r="O20" s="329"/>
    </row>
    <row r="21" spans="1:15" ht="10.199999999999999" customHeight="1"/>
    <row r="22" spans="1:15">
      <c r="A22" s="92" t="s">
        <v>292</v>
      </c>
    </row>
    <row r="23" spans="1:15">
      <c r="A23" s="294"/>
      <c r="B23" s="294"/>
      <c r="C23" s="294"/>
    </row>
    <row r="24" spans="1:15" ht="64.95" customHeight="1">
      <c r="A24" s="294"/>
      <c r="B24" s="294"/>
      <c r="C24" s="294"/>
    </row>
  </sheetData>
  <mergeCells count="12">
    <mergeCell ref="A23:C24"/>
    <mergeCell ref="A5:C5"/>
    <mergeCell ref="B9:C9"/>
    <mergeCell ref="A11:C11"/>
    <mergeCell ref="B13:C13"/>
    <mergeCell ref="A16:C16"/>
    <mergeCell ref="B18:C18"/>
    <mergeCell ref="E20:O20"/>
    <mergeCell ref="E18:O18"/>
    <mergeCell ref="E13:O13"/>
    <mergeCell ref="E9:O9"/>
    <mergeCell ref="B20:C20"/>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60960</xdr:colOff>
                <xdr:row>1</xdr:row>
                <xdr:rowOff>38100</xdr:rowOff>
              </from>
              <to>
                <xdr:col>8</xdr:col>
                <xdr:colOff>365760</xdr:colOff>
                <xdr:row>7</xdr:row>
                <xdr:rowOff>327660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B050"/>
  </sheetPr>
  <dimension ref="A1:K56"/>
  <sheetViews>
    <sheetView workbookViewId="0">
      <selection activeCell="F32" sqref="F32:G32"/>
    </sheetView>
  </sheetViews>
  <sheetFormatPr defaultColWidth="9.21875" defaultRowHeight="15"/>
  <cols>
    <col min="1" max="1" width="9.21875" style="2" customWidth="1"/>
    <col min="2" max="2" width="14.5546875" style="2" bestFit="1" customWidth="1"/>
    <col min="3" max="3" width="9.21875" style="2"/>
    <col min="4" max="4" width="17.5546875" style="2" customWidth="1"/>
    <col min="5" max="5" width="9.21875" style="2" customWidth="1"/>
    <col min="6" max="6" width="21.5546875" style="2" customWidth="1"/>
    <col min="7" max="7" width="10.44140625" style="2" customWidth="1"/>
    <col min="8" max="16384" width="9.21875" style="2"/>
  </cols>
  <sheetData>
    <row r="1" spans="1:7">
      <c r="A1" s="92" t="str">
        <f>+'Cover Page'!$B$29</f>
        <v>Annual Performance Report 2022</v>
      </c>
      <c r="B1" s="92"/>
      <c r="C1" s="92"/>
      <c r="D1" s="92"/>
      <c r="E1" s="92" t="str">
        <f>+'Cover Page'!$B$33</f>
        <v>Eastcroft Energy from Waste Plant</v>
      </c>
      <c r="F1" s="92"/>
      <c r="G1" s="92"/>
    </row>
    <row r="3" spans="1:7" ht="15.6">
      <c r="A3" s="1" t="s">
        <v>293</v>
      </c>
      <c r="B3" s="92"/>
      <c r="C3" s="92"/>
      <c r="D3" s="92"/>
      <c r="E3" s="92"/>
      <c r="F3" s="92"/>
      <c r="G3" s="92"/>
    </row>
    <row r="4" spans="1:7" ht="15.6">
      <c r="A4" s="1"/>
      <c r="B4" s="92"/>
      <c r="C4" s="92"/>
      <c r="D4" s="92"/>
      <c r="E4" s="92"/>
      <c r="F4" s="92"/>
      <c r="G4" s="92"/>
    </row>
    <row r="5" spans="1:7" s="3" customFormat="1" ht="21.75" customHeight="1">
      <c r="A5" s="48" t="s">
        <v>294</v>
      </c>
      <c r="B5" s="49"/>
      <c r="C5" s="49"/>
      <c r="D5" s="49"/>
      <c r="E5" s="49"/>
      <c r="F5" s="49"/>
      <c r="G5" s="50"/>
    </row>
    <row r="6" spans="1:7" s="3" customFormat="1" ht="15.75" customHeight="1">
      <c r="A6" s="219" t="s">
        <v>295</v>
      </c>
      <c r="B6" s="228"/>
      <c r="C6" s="228"/>
      <c r="D6" s="228"/>
      <c r="E6" s="228"/>
      <c r="F6" s="228"/>
      <c r="G6" s="229"/>
    </row>
    <row r="7" spans="1:7" s="3" customFormat="1" ht="15.75" customHeight="1">
      <c r="A7" s="233"/>
      <c r="B7" s="234"/>
      <c r="C7" s="234"/>
      <c r="D7" s="234"/>
      <c r="E7" s="234"/>
      <c r="F7" s="234"/>
      <c r="G7" s="235"/>
    </row>
    <row r="8" spans="1:7" s="3" customFormat="1" ht="15.75" customHeight="1">
      <c r="A8" s="219" t="s">
        <v>296</v>
      </c>
      <c r="B8" s="220"/>
      <c r="C8" s="220"/>
      <c r="D8" s="220"/>
      <c r="E8" s="220"/>
      <c r="F8" s="220"/>
      <c r="G8" s="221"/>
    </row>
    <row r="9" spans="1:7" s="3" customFormat="1" ht="15.75" customHeight="1">
      <c r="A9" s="225"/>
      <c r="B9" s="226"/>
      <c r="C9" s="226"/>
      <c r="D9" s="226"/>
      <c r="E9" s="226"/>
      <c r="F9" s="226"/>
      <c r="G9" s="227"/>
    </row>
    <row r="10" spans="1:7" s="3" customFormat="1" ht="15.75" customHeight="1">
      <c r="A10" s="219"/>
      <c r="B10" s="220"/>
      <c r="C10" s="220"/>
      <c r="D10" s="220"/>
      <c r="E10" s="220"/>
      <c r="F10" s="220"/>
      <c r="G10" s="221"/>
    </row>
    <row r="11" spans="1:7" s="3" customFormat="1" ht="15.75" customHeight="1">
      <c r="A11" s="225"/>
      <c r="B11" s="226"/>
      <c r="C11" s="226"/>
      <c r="D11" s="226"/>
      <c r="E11" s="226"/>
      <c r="F11" s="226"/>
      <c r="G11" s="227"/>
    </row>
    <row r="12" spans="1:7" s="3" customFormat="1" ht="13.8"/>
    <row r="13" spans="1:7" s="47" customFormat="1" ht="33.75" customHeight="1">
      <c r="A13" s="313" t="s">
        <v>297</v>
      </c>
      <c r="B13" s="314"/>
      <c r="C13" s="314"/>
      <c r="D13" s="314"/>
      <c r="E13" s="314"/>
      <c r="F13" s="314"/>
      <c r="G13" s="315"/>
    </row>
    <row r="14" spans="1:7" ht="15.75" customHeight="1">
      <c r="A14" s="325" t="s">
        <v>298</v>
      </c>
      <c r="B14" s="327"/>
      <c r="C14" s="325" t="s">
        <v>260</v>
      </c>
      <c r="D14" s="326"/>
      <c r="E14" s="326"/>
      <c r="F14" s="326"/>
      <c r="G14" s="326"/>
    </row>
    <row r="15" spans="1:7" ht="15.75" customHeight="1">
      <c r="A15" s="219"/>
      <c r="B15" s="221"/>
      <c r="C15" s="328"/>
      <c r="D15" s="228"/>
      <c r="E15" s="228"/>
      <c r="F15" s="228"/>
      <c r="G15" s="229"/>
    </row>
    <row r="16" spans="1:7" ht="15.75" customHeight="1">
      <c r="A16" s="225"/>
      <c r="B16" s="227"/>
      <c r="C16" s="233"/>
      <c r="D16" s="234"/>
      <c r="E16" s="234"/>
      <c r="F16" s="234"/>
      <c r="G16" s="235"/>
    </row>
    <row r="17" spans="1:11" ht="15.75" customHeight="1">
      <c r="A17" s="328"/>
      <c r="B17" s="229"/>
      <c r="C17" s="328"/>
      <c r="D17" s="228"/>
      <c r="E17" s="228"/>
      <c r="F17" s="228"/>
      <c r="G17" s="229"/>
      <c r="H17" s="92"/>
      <c r="I17" s="92"/>
      <c r="J17" s="92"/>
      <c r="K17" s="92"/>
    </row>
    <row r="18" spans="1:11" ht="15.75" customHeight="1">
      <c r="A18" s="233"/>
      <c r="B18" s="235"/>
      <c r="C18" s="233"/>
      <c r="D18" s="234"/>
      <c r="E18" s="234"/>
      <c r="F18" s="234"/>
      <c r="G18" s="235"/>
      <c r="H18" s="92"/>
      <c r="I18" s="92"/>
      <c r="J18" s="92"/>
      <c r="K18" s="92"/>
    </row>
    <row r="19" spans="1:11" ht="15.75" customHeight="1">
      <c r="A19" s="328"/>
      <c r="B19" s="229"/>
      <c r="C19" s="328"/>
      <c r="D19" s="228"/>
      <c r="E19" s="228"/>
      <c r="F19" s="228"/>
      <c r="G19" s="229"/>
      <c r="H19" s="92"/>
      <c r="I19" s="92"/>
      <c r="J19" s="92"/>
      <c r="K19" s="92"/>
    </row>
    <row r="20" spans="1:11" ht="15.75" customHeight="1">
      <c r="A20" s="233"/>
      <c r="B20" s="235"/>
      <c r="C20" s="233"/>
      <c r="D20" s="234"/>
      <c r="E20" s="234"/>
      <c r="F20" s="234"/>
      <c r="G20" s="235"/>
      <c r="H20" s="92"/>
      <c r="I20" s="92"/>
      <c r="J20" s="92"/>
      <c r="K20" s="92"/>
    </row>
    <row r="21" spans="1:11" ht="15.75" customHeight="1">
      <c r="A21" s="328"/>
      <c r="B21" s="229"/>
      <c r="C21" s="328"/>
      <c r="D21" s="228"/>
      <c r="E21" s="228"/>
      <c r="F21" s="228"/>
      <c r="G21" s="229"/>
      <c r="H21" s="92"/>
      <c r="I21" s="92"/>
      <c r="J21" s="92"/>
      <c r="K21" s="92"/>
    </row>
    <row r="22" spans="1:11" ht="15.75" customHeight="1">
      <c r="A22" s="233"/>
      <c r="B22" s="235"/>
      <c r="C22" s="233"/>
      <c r="D22" s="234"/>
      <c r="E22" s="234"/>
      <c r="F22" s="234"/>
      <c r="G22" s="235"/>
      <c r="H22" s="92"/>
      <c r="I22" s="92"/>
      <c r="J22" s="92"/>
      <c r="K22" s="92"/>
    </row>
    <row r="23" spans="1:11" ht="15.75" customHeight="1">
      <c r="A23" s="328"/>
      <c r="B23" s="229"/>
      <c r="C23" s="328"/>
      <c r="D23" s="228"/>
      <c r="E23" s="228"/>
      <c r="F23" s="228"/>
      <c r="G23" s="229"/>
      <c r="H23" s="92"/>
      <c r="I23" s="92"/>
      <c r="J23" s="92"/>
      <c r="K23" s="92"/>
    </row>
    <row r="24" spans="1:11" ht="15.75" customHeight="1">
      <c r="A24" s="233"/>
      <c r="B24" s="235"/>
      <c r="C24" s="233"/>
      <c r="D24" s="234"/>
      <c r="E24" s="234"/>
      <c r="F24" s="234"/>
      <c r="G24" s="235"/>
      <c r="H24" s="92"/>
      <c r="I24" s="92"/>
      <c r="J24" s="92"/>
      <c r="K24" s="92"/>
    </row>
    <row r="26" spans="1:11">
      <c r="A26" s="107"/>
      <c r="B26" s="107"/>
      <c r="C26" s="107"/>
      <c r="D26" s="107"/>
      <c r="E26" s="107"/>
      <c r="F26" s="107"/>
      <c r="G26" s="107"/>
      <c r="H26" s="92"/>
      <c r="I26" s="92"/>
      <c r="J26" s="92"/>
      <c r="K26" s="92"/>
    </row>
    <row r="27" spans="1:11" s="55" customFormat="1" ht="16.5" customHeight="1">
      <c r="A27" s="338" t="s">
        <v>299</v>
      </c>
      <c r="B27" s="338"/>
      <c r="C27" s="338"/>
      <c r="D27" s="338"/>
      <c r="E27" s="338"/>
      <c r="F27" s="338"/>
      <c r="G27" s="338"/>
    </row>
    <row r="28" spans="1:11" s="12" customFormat="1" ht="17.25" customHeight="1">
      <c r="A28" s="340" t="s">
        <v>300</v>
      </c>
      <c r="B28" s="340"/>
      <c r="C28" s="307" t="s">
        <v>301</v>
      </c>
      <c r="D28" s="307" t="s">
        <v>302</v>
      </c>
      <c r="E28" s="307"/>
      <c r="F28" s="307"/>
      <c r="G28" s="307"/>
      <c r="H28" s="107"/>
      <c r="I28" s="107"/>
      <c r="J28" s="107"/>
      <c r="K28" s="107"/>
    </row>
    <row r="29" spans="1:11" s="12" customFormat="1" ht="17.25" customHeight="1">
      <c r="A29" s="340"/>
      <c r="B29" s="340"/>
      <c r="C29" s="307"/>
      <c r="D29" s="307" t="s">
        <v>303</v>
      </c>
      <c r="E29" s="307"/>
      <c r="F29" s="307" t="s">
        <v>165</v>
      </c>
      <c r="G29" s="307"/>
      <c r="H29" s="107"/>
      <c r="I29" s="107"/>
      <c r="J29" s="107"/>
      <c r="K29" s="107"/>
    </row>
    <row r="30" spans="1:11" s="37" customFormat="1" ht="38.1" customHeight="1">
      <c r="A30" s="246" t="s">
        <v>304</v>
      </c>
      <c r="B30" s="246"/>
      <c r="C30" s="180" t="s">
        <v>305</v>
      </c>
      <c r="D30" s="341"/>
      <c r="E30" s="342"/>
      <c r="F30" s="341"/>
      <c r="G30" s="342"/>
      <c r="H30" s="174"/>
      <c r="I30" s="174"/>
      <c r="J30" s="107"/>
      <c r="K30" s="107"/>
    </row>
    <row r="31" spans="1:11" s="37" customFormat="1" ht="38.1" customHeight="1">
      <c r="A31" s="246" t="s">
        <v>306</v>
      </c>
      <c r="B31" s="246"/>
      <c r="C31" s="179" t="s">
        <v>307</v>
      </c>
      <c r="D31" s="292">
        <v>1.34</v>
      </c>
      <c r="E31" s="292"/>
      <c r="F31" s="341"/>
      <c r="G31" s="342"/>
      <c r="H31" s="174"/>
      <c r="I31" s="174"/>
      <c r="J31" s="107"/>
      <c r="K31" s="107"/>
    </row>
    <row r="32" spans="1:11" s="37" customFormat="1" ht="38.1" customHeight="1">
      <c r="A32" s="246" t="s">
        <v>308</v>
      </c>
      <c r="B32" s="246"/>
      <c r="C32" s="179" t="s">
        <v>309</v>
      </c>
      <c r="D32" s="292">
        <v>24</v>
      </c>
      <c r="E32" s="292"/>
      <c r="F32" s="343">
        <v>4</v>
      </c>
      <c r="G32" s="344"/>
      <c r="H32" s="174"/>
      <c r="I32" s="174"/>
      <c r="J32" s="107"/>
      <c r="K32" s="107"/>
    </row>
    <row r="33" spans="1:7" s="37" customFormat="1" ht="38.1" customHeight="1">
      <c r="A33" s="246" t="s">
        <v>310</v>
      </c>
      <c r="B33" s="246"/>
      <c r="C33" s="179" t="s">
        <v>309</v>
      </c>
      <c r="D33" s="292">
        <v>0</v>
      </c>
      <c r="E33" s="292"/>
      <c r="F33" s="341"/>
      <c r="G33" s="342"/>
    </row>
    <row r="35" spans="1:7">
      <c r="A35" s="277" t="s">
        <v>311</v>
      </c>
      <c r="B35" s="277"/>
      <c r="C35" s="277"/>
      <c r="D35" s="277"/>
      <c r="E35" s="277"/>
      <c r="F35" s="277"/>
      <c r="G35" s="277"/>
    </row>
    <row r="36" spans="1:7">
      <c r="A36" s="339"/>
      <c r="B36" s="339"/>
      <c r="C36" s="339"/>
      <c r="D36" s="339"/>
      <c r="E36" s="339"/>
      <c r="F36" s="339"/>
      <c r="G36" s="339"/>
    </row>
    <row r="37" spans="1:7">
      <c r="A37" s="339"/>
      <c r="B37" s="339"/>
      <c r="C37" s="339"/>
      <c r="D37" s="339"/>
      <c r="E37" s="339"/>
      <c r="F37" s="339"/>
      <c r="G37" s="339"/>
    </row>
    <row r="38" spans="1:7">
      <c r="A38" s="339"/>
      <c r="B38" s="339"/>
      <c r="C38" s="339"/>
      <c r="D38" s="339"/>
      <c r="E38" s="339"/>
      <c r="F38" s="339"/>
      <c r="G38" s="339"/>
    </row>
    <row r="39" spans="1:7">
      <c r="A39" s="339"/>
      <c r="B39" s="339"/>
      <c r="C39" s="339"/>
      <c r="D39" s="339"/>
      <c r="E39" s="339"/>
      <c r="F39" s="339"/>
      <c r="G39" s="339"/>
    </row>
    <row r="40" spans="1:7">
      <c r="A40" s="339"/>
      <c r="B40" s="339"/>
      <c r="C40" s="339"/>
      <c r="D40" s="339"/>
      <c r="E40" s="339"/>
      <c r="F40" s="339"/>
      <c r="G40" s="339"/>
    </row>
    <row r="41" spans="1:7">
      <c r="A41" s="339"/>
      <c r="B41" s="339"/>
      <c r="C41" s="339"/>
      <c r="D41" s="339"/>
      <c r="E41" s="339"/>
      <c r="F41" s="339"/>
      <c r="G41" s="339"/>
    </row>
    <row r="56" spans="6:6">
      <c r="F56" s="3"/>
    </row>
  </sheetData>
  <mergeCells count="36">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 ref="A21:B22"/>
    <mergeCell ref="C21:G22"/>
    <mergeCell ref="A23:B24"/>
    <mergeCell ref="C23:G24"/>
    <mergeCell ref="D32:E32"/>
    <mergeCell ref="C28:C29"/>
    <mergeCell ref="D29:E29"/>
    <mergeCell ref="F29:G29"/>
    <mergeCell ref="D28:G28"/>
    <mergeCell ref="A27:G27"/>
    <mergeCell ref="A10:G11"/>
    <mergeCell ref="A15:B16"/>
    <mergeCell ref="C15:G16"/>
    <mergeCell ref="A6:G7"/>
    <mergeCell ref="A8:G9"/>
    <mergeCell ref="A17:B18"/>
    <mergeCell ref="C17:G18"/>
    <mergeCell ref="A19:B20"/>
    <mergeCell ref="C19:G20"/>
    <mergeCell ref="A13:G13"/>
    <mergeCell ref="A14:B14"/>
    <mergeCell ref="C14:G14"/>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R64"/>
  <sheetViews>
    <sheetView topLeftCell="A4" workbookViewId="0">
      <selection activeCell="G26" sqref="G26"/>
    </sheetView>
  </sheetViews>
  <sheetFormatPr defaultColWidth="9.21875" defaultRowHeight="15"/>
  <cols>
    <col min="1" max="1" width="9.21875" style="2" customWidth="1"/>
    <col min="2" max="2" width="14.5546875" style="2" bestFit="1" customWidth="1"/>
    <col min="3" max="9" width="9.21875" style="2"/>
    <col min="10" max="10" width="10.44140625" style="2" customWidth="1"/>
    <col min="11" max="11" width="9.77734375" style="2" bestFit="1" customWidth="1"/>
    <col min="12" max="16384" width="9.21875" style="2"/>
  </cols>
  <sheetData>
    <row r="1" spans="1:16">
      <c r="A1" s="92" t="str">
        <f>+'Cover Page'!$B$29</f>
        <v>Annual Performance Report 2022</v>
      </c>
      <c r="B1" s="92"/>
      <c r="C1" s="92"/>
      <c r="D1" s="92"/>
      <c r="E1" s="92" t="str">
        <f>+'Cover Page'!$B$33</f>
        <v>Eastcroft Energy from Waste Plant</v>
      </c>
      <c r="F1" s="92"/>
      <c r="G1" s="92"/>
      <c r="H1" s="92"/>
      <c r="I1" s="92"/>
      <c r="J1" s="92"/>
      <c r="K1" s="92"/>
      <c r="L1" s="92"/>
      <c r="M1" s="92"/>
      <c r="N1" s="92"/>
      <c r="O1" s="92"/>
      <c r="P1" s="92"/>
    </row>
    <row r="2" spans="1:16" ht="7.5" customHeight="1">
      <c r="A2" s="92"/>
      <c r="B2" s="92"/>
      <c r="C2" s="92"/>
      <c r="D2" s="92"/>
      <c r="E2" s="92"/>
      <c r="F2" s="92"/>
      <c r="G2" s="92"/>
      <c r="H2" s="92"/>
      <c r="I2" s="92"/>
      <c r="J2" s="92"/>
      <c r="K2" s="92"/>
      <c r="L2" s="92"/>
      <c r="M2" s="92"/>
      <c r="N2" s="92"/>
      <c r="O2" s="92"/>
      <c r="P2" s="92"/>
    </row>
    <row r="3" spans="1:16" ht="15.6">
      <c r="A3" s="1" t="s">
        <v>41</v>
      </c>
      <c r="B3" s="92"/>
      <c r="C3" s="92"/>
      <c r="D3" s="92"/>
      <c r="E3" s="92"/>
      <c r="F3" s="92"/>
      <c r="G3" s="92"/>
      <c r="H3" s="92"/>
      <c r="I3" s="92"/>
      <c r="J3" s="92"/>
      <c r="K3" s="92"/>
      <c r="L3" s="92"/>
      <c r="M3" s="92"/>
      <c r="N3" s="92"/>
      <c r="O3" s="92"/>
      <c r="P3" s="92"/>
    </row>
    <row r="4" spans="1:16" ht="9.75" customHeight="1">
      <c r="A4" s="1"/>
      <c r="B4" s="92"/>
      <c r="C4" s="92"/>
      <c r="D4" s="92"/>
      <c r="E4" s="92"/>
      <c r="F4" s="92"/>
      <c r="G4" s="92"/>
      <c r="H4" s="92"/>
      <c r="I4" s="92"/>
      <c r="J4" s="92"/>
      <c r="K4" s="92"/>
      <c r="L4" s="92"/>
      <c r="M4" s="92"/>
      <c r="N4" s="92"/>
      <c r="O4" s="92"/>
      <c r="P4" s="92"/>
    </row>
    <row r="5" spans="1:16" s="3" customFormat="1" ht="21.75" customHeight="1">
      <c r="A5" s="48" t="s">
        <v>312</v>
      </c>
      <c r="B5" s="49"/>
      <c r="C5" s="49"/>
      <c r="D5" s="49"/>
      <c r="E5" s="49"/>
      <c r="F5" s="49"/>
      <c r="G5" s="49"/>
      <c r="H5" s="49"/>
      <c r="I5" s="49"/>
      <c r="J5" s="50"/>
      <c r="M5" s="81" t="s">
        <v>3</v>
      </c>
    </row>
    <row r="6" spans="1:16" s="3" customFormat="1" ht="15.75" customHeight="1">
      <c r="A6" s="328"/>
      <c r="B6" s="228"/>
      <c r="C6" s="228"/>
      <c r="D6" s="228"/>
      <c r="E6" s="228"/>
      <c r="F6" s="228"/>
      <c r="G6" s="228"/>
      <c r="H6" s="228"/>
      <c r="I6" s="228"/>
      <c r="J6" s="229"/>
      <c r="M6" s="345" t="s">
        <v>313</v>
      </c>
      <c r="N6" s="345"/>
      <c r="O6" s="345"/>
      <c r="P6" s="345"/>
    </row>
    <row r="7" spans="1:16" s="3" customFormat="1" ht="15.75" customHeight="1">
      <c r="A7" s="233"/>
      <c r="B7" s="234"/>
      <c r="C7" s="234"/>
      <c r="D7" s="234"/>
      <c r="E7" s="234"/>
      <c r="F7" s="234"/>
      <c r="G7" s="234"/>
      <c r="H7" s="234"/>
      <c r="I7" s="234"/>
      <c r="J7" s="235"/>
      <c r="M7" s="345"/>
      <c r="N7" s="345"/>
      <c r="O7" s="345"/>
      <c r="P7" s="345"/>
    </row>
    <row r="8" spans="1:16" s="3" customFormat="1" ht="13.8">
      <c r="M8" s="345"/>
      <c r="N8" s="345"/>
      <c r="O8" s="345"/>
      <c r="P8" s="345"/>
    </row>
    <row r="9" spans="1:16" s="55" customFormat="1" ht="16.5" customHeight="1">
      <c r="A9" s="338" t="s">
        <v>314</v>
      </c>
      <c r="B9" s="338"/>
      <c r="C9" s="338"/>
      <c r="D9" s="338"/>
      <c r="E9" s="338"/>
      <c r="F9" s="338"/>
      <c r="G9" s="338"/>
      <c r="H9" s="338"/>
      <c r="I9" s="338"/>
      <c r="J9" s="338"/>
      <c r="M9" s="345"/>
      <c r="N9" s="345"/>
      <c r="O9" s="345"/>
      <c r="P9" s="345"/>
    </row>
    <row r="10" spans="1:16" s="55" customFormat="1" ht="16.5" customHeight="1">
      <c r="A10" s="346" t="s">
        <v>216</v>
      </c>
      <c r="B10" s="347"/>
      <c r="C10" s="357" t="s">
        <v>315</v>
      </c>
      <c r="D10" s="353" t="s">
        <v>316</v>
      </c>
      <c r="E10" s="354"/>
      <c r="F10" s="350" t="s">
        <v>317</v>
      </c>
      <c r="G10" s="351"/>
      <c r="H10" s="351"/>
      <c r="I10" s="351"/>
      <c r="J10" s="352"/>
      <c r="M10" s="345" t="s">
        <v>318</v>
      </c>
      <c r="N10" s="345"/>
      <c r="O10" s="345"/>
      <c r="P10" s="345"/>
    </row>
    <row r="11" spans="1:16" s="12" customFormat="1" ht="17.25" customHeight="1">
      <c r="A11" s="348"/>
      <c r="B11" s="349"/>
      <c r="C11" s="358"/>
      <c r="D11" s="355"/>
      <c r="E11" s="356"/>
      <c r="F11" s="46" t="s">
        <v>190</v>
      </c>
      <c r="G11" s="46" t="s">
        <v>191</v>
      </c>
      <c r="H11" s="46" t="s">
        <v>192</v>
      </c>
      <c r="I11" s="46" t="s">
        <v>193</v>
      </c>
      <c r="J11" s="46" t="s">
        <v>194</v>
      </c>
      <c r="K11" s="107"/>
      <c r="L11" s="107"/>
      <c r="M11" s="345"/>
      <c r="N11" s="345"/>
      <c r="O11" s="345"/>
      <c r="P11" s="345"/>
    </row>
    <row r="12" spans="1:16" s="12" customFormat="1" ht="23.25" customHeight="1">
      <c r="A12" s="246" t="s">
        <v>228</v>
      </c>
      <c r="B12" s="246"/>
      <c r="C12" s="154" t="s">
        <v>319</v>
      </c>
      <c r="D12" s="291" t="s">
        <v>320</v>
      </c>
      <c r="E12" s="291"/>
      <c r="F12" s="108">
        <v>0.51500000000000001</v>
      </c>
      <c r="G12" s="108">
        <v>0.32500000000000001</v>
      </c>
      <c r="H12" s="181"/>
      <c r="I12" s="181"/>
      <c r="J12" s="181"/>
      <c r="K12" s="107"/>
      <c r="L12" s="107"/>
      <c r="M12" s="345"/>
      <c r="N12" s="345"/>
      <c r="O12" s="345"/>
      <c r="P12" s="345"/>
    </row>
    <row r="13" spans="1:16" s="12" customFormat="1" ht="23.25" customHeight="1">
      <c r="A13" s="246" t="s">
        <v>321</v>
      </c>
      <c r="B13" s="246"/>
      <c r="C13" s="154" t="s">
        <v>322</v>
      </c>
      <c r="D13" s="291" t="s">
        <v>323</v>
      </c>
      <c r="E13" s="291"/>
      <c r="F13" s="108">
        <v>2E-3</v>
      </c>
      <c r="G13" s="108">
        <v>9.5E-4</v>
      </c>
      <c r="H13" s="181"/>
      <c r="I13" s="181"/>
      <c r="J13" s="181"/>
      <c r="K13" s="107"/>
      <c r="L13" s="107"/>
      <c r="M13" s="107"/>
      <c r="N13" s="107"/>
      <c r="O13" s="107"/>
      <c r="P13" s="107"/>
    </row>
    <row r="14" spans="1:16" s="12" customFormat="1" ht="23.25" customHeight="1">
      <c r="A14" s="246" t="s">
        <v>324</v>
      </c>
      <c r="B14" s="246"/>
      <c r="C14" s="154" t="s">
        <v>322</v>
      </c>
      <c r="D14" s="291" t="s">
        <v>323</v>
      </c>
      <c r="E14" s="291"/>
      <c r="F14" s="108">
        <v>6.0999999999999997E-4</v>
      </c>
      <c r="G14" s="108">
        <v>6.0000000000000006E-4</v>
      </c>
      <c r="H14" s="181"/>
      <c r="I14" s="181"/>
      <c r="J14" s="181"/>
      <c r="K14" s="107"/>
      <c r="L14" s="107"/>
      <c r="M14" s="107"/>
      <c r="N14" s="107"/>
      <c r="O14" s="107"/>
      <c r="P14" s="107"/>
    </row>
    <row r="15" spans="1:16" s="12" customFormat="1" ht="23.25" customHeight="1">
      <c r="A15" s="246" t="s">
        <v>325</v>
      </c>
      <c r="B15" s="246"/>
      <c r="C15" s="154" t="s">
        <v>322</v>
      </c>
      <c r="D15" s="291" t="s">
        <v>326</v>
      </c>
      <c r="E15" s="291"/>
      <c r="F15" s="108">
        <v>9.5000000000000001E-2</v>
      </c>
      <c r="G15" s="108">
        <v>8.3500000000000005E-2</v>
      </c>
      <c r="H15" s="181"/>
      <c r="I15" s="181"/>
      <c r="J15" s="181"/>
      <c r="K15" s="107"/>
      <c r="L15" s="107"/>
      <c r="M15" s="107"/>
      <c r="N15" s="107"/>
      <c r="O15" s="107"/>
      <c r="P15" s="107"/>
    </row>
    <row r="16" spans="1:16" s="12" customFormat="1" ht="23.25" customHeight="1">
      <c r="A16" s="246" t="s">
        <v>327</v>
      </c>
      <c r="B16" s="246"/>
      <c r="C16" s="154" t="s">
        <v>322</v>
      </c>
      <c r="D16" s="291" t="s">
        <v>328</v>
      </c>
      <c r="E16" s="291"/>
      <c r="F16" s="108">
        <v>9.5E-4</v>
      </c>
      <c r="G16" s="108">
        <v>5.5000000000000003E-4</v>
      </c>
      <c r="H16" s="181"/>
      <c r="I16" s="181"/>
      <c r="J16" s="181"/>
      <c r="K16" s="107"/>
      <c r="L16" s="107"/>
      <c r="M16" s="107"/>
      <c r="N16" s="107"/>
      <c r="O16" s="107"/>
      <c r="P16" s="107"/>
    </row>
    <row r="17" spans="1:13" s="12" customFormat="1" ht="23.25" customHeight="1">
      <c r="A17" s="246" t="s">
        <v>329</v>
      </c>
      <c r="B17" s="246"/>
      <c r="C17" s="154" t="s">
        <v>322</v>
      </c>
      <c r="D17" s="291" t="s">
        <v>330</v>
      </c>
      <c r="E17" s="291"/>
      <c r="F17" s="108">
        <v>7.7999999999999999E-5</v>
      </c>
      <c r="G17" s="108">
        <v>5.5000000000000002E-5</v>
      </c>
      <c r="H17" s="181"/>
      <c r="I17" s="181"/>
      <c r="J17" s="181"/>
      <c r="K17" s="107"/>
      <c r="L17" s="107"/>
      <c r="M17" s="107"/>
    </row>
    <row r="18" spans="1:13" s="12" customFormat="1" ht="23.25" customHeight="1">
      <c r="A18" s="246" t="s">
        <v>331</v>
      </c>
      <c r="B18" s="246"/>
      <c r="C18" s="154" t="s">
        <v>322</v>
      </c>
      <c r="D18" s="291" t="s">
        <v>330</v>
      </c>
      <c r="E18" s="291"/>
      <c r="F18" s="108">
        <v>7.7500000000000003E-6</v>
      </c>
      <c r="G18" s="108">
        <v>1.0000000000000001E-5</v>
      </c>
      <c r="H18" s="181"/>
      <c r="I18" s="181"/>
      <c r="J18" s="181"/>
      <c r="K18" s="107"/>
      <c r="L18" s="107"/>
      <c r="M18" s="107"/>
    </row>
    <row r="19" spans="1:13" s="12" customFormat="1" ht="23.25" customHeight="1">
      <c r="A19" s="246" t="s">
        <v>332</v>
      </c>
      <c r="B19" s="246"/>
      <c r="C19" s="154" t="s">
        <v>322</v>
      </c>
      <c r="D19" s="291" t="s">
        <v>330</v>
      </c>
      <c r="E19" s="291"/>
      <c r="F19" s="108">
        <v>3.3500000000000001E-4</v>
      </c>
      <c r="G19" s="108">
        <v>7.5000000000000002E-4</v>
      </c>
      <c r="H19" s="181"/>
      <c r="I19" s="181"/>
      <c r="J19" s="181"/>
      <c r="K19" s="107"/>
      <c r="L19" s="107"/>
      <c r="M19" s="107"/>
    </row>
    <row r="20" spans="1:13" s="12" customFormat="1" ht="23.25" customHeight="1">
      <c r="A20" s="246" t="s">
        <v>333</v>
      </c>
      <c r="B20" s="246"/>
      <c r="C20" s="154" t="s">
        <v>322</v>
      </c>
      <c r="D20" s="291" t="s">
        <v>330</v>
      </c>
      <c r="E20" s="291"/>
      <c r="F20" s="108">
        <v>4.0000000000000002E-4</v>
      </c>
      <c r="G20" s="108">
        <v>1E-4</v>
      </c>
      <c r="H20" s="181"/>
      <c r="I20" s="181"/>
      <c r="J20" s="181"/>
      <c r="K20" s="107"/>
      <c r="L20" s="107"/>
      <c r="M20" s="107"/>
    </row>
    <row r="21" spans="1:13" s="12" customFormat="1" ht="23.25" customHeight="1">
      <c r="A21" s="246" t="s">
        <v>334</v>
      </c>
      <c r="B21" s="246"/>
      <c r="C21" s="154" t="s">
        <v>322</v>
      </c>
      <c r="D21" s="291" t="s">
        <v>330</v>
      </c>
      <c r="E21" s="291"/>
      <c r="F21" s="108">
        <v>9.5E-4</v>
      </c>
      <c r="G21" s="108">
        <v>6.0000000000000006E-4</v>
      </c>
      <c r="H21" s="181"/>
      <c r="I21" s="181"/>
      <c r="J21" s="181"/>
      <c r="K21" s="107"/>
      <c r="L21" s="107"/>
      <c r="M21" s="107"/>
    </row>
    <row r="22" spans="1:13" s="12" customFormat="1" ht="23.25" customHeight="1">
      <c r="A22" s="246" t="s">
        <v>335</v>
      </c>
      <c r="B22" s="246"/>
      <c r="C22" s="154" t="s">
        <v>322</v>
      </c>
      <c r="D22" s="291" t="s">
        <v>330</v>
      </c>
      <c r="E22" s="291"/>
      <c r="F22" s="108">
        <v>2.7499999999999998E-3</v>
      </c>
      <c r="G22" s="108">
        <v>1.65E-3</v>
      </c>
      <c r="H22" s="181"/>
      <c r="I22" s="181"/>
      <c r="J22" s="181"/>
      <c r="K22" s="107"/>
      <c r="L22" s="107"/>
      <c r="M22" s="107"/>
    </row>
    <row r="23" spans="1:13" s="12" customFormat="1" ht="23.25" customHeight="1">
      <c r="A23" s="246" t="s">
        <v>336</v>
      </c>
      <c r="B23" s="246"/>
      <c r="C23" s="154" t="s">
        <v>322</v>
      </c>
      <c r="D23" s="291" t="s">
        <v>337</v>
      </c>
      <c r="E23" s="291"/>
      <c r="F23" s="108">
        <v>1.5E-3</v>
      </c>
      <c r="G23" s="108">
        <v>1.4499999999999999E-3</v>
      </c>
      <c r="H23" s="181"/>
      <c r="I23" s="181"/>
      <c r="J23" s="181"/>
      <c r="K23" s="112"/>
      <c r="L23" s="112"/>
      <c r="M23" s="107"/>
    </row>
    <row r="24" spans="1:13" s="12" customFormat="1" ht="23.25" customHeight="1">
      <c r="A24" s="246" t="s">
        <v>338</v>
      </c>
      <c r="B24" s="246"/>
      <c r="C24" s="154" t="s">
        <v>322</v>
      </c>
      <c r="D24" s="291" t="s">
        <v>337</v>
      </c>
      <c r="E24" s="291"/>
      <c r="F24" s="108">
        <v>0.02</v>
      </c>
      <c r="G24" s="108">
        <v>1E-3</v>
      </c>
      <c r="H24" s="181"/>
      <c r="I24" s="181"/>
      <c r="J24" s="181"/>
      <c r="K24" s="112"/>
      <c r="L24" s="112"/>
      <c r="M24" s="107"/>
    </row>
    <row r="25" spans="1:13" s="12" customFormat="1" ht="23.25" customHeight="1">
      <c r="A25" s="246" t="s">
        <v>339</v>
      </c>
      <c r="B25" s="246"/>
      <c r="C25" s="154" t="s">
        <v>322</v>
      </c>
      <c r="D25" s="291" t="s">
        <v>337</v>
      </c>
      <c r="E25" s="291"/>
      <c r="F25" s="108">
        <v>6.0000000000000001E-3</v>
      </c>
      <c r="G25" s="108">
        <v>6.0000000000000001E-3</v>
      </c>
      <c r="H25" s="181"/>
      <c r="I25" s="181"/>
      <c r="J25" s="181"/>
      <c r="K25" s="112"/>
      <c r="L25" s="112"/>
      <c r="M25" s="107"/>
    </row>
    <row r="26" spans="1:13" s="12" customFormat="1" ht="23.25" customHeight="1">
      <c r="A26" s="246" t="s">
        <v>340</v>
      </c>
      <c r="B26" s="246"/>
      <c r="C26" s="154" t="s">
        <v>322</v>
      </c>
      <c r="D26" s="291" t="s">
        <v>337</v>
      </c>
      <c r="E26" s="291"/>
      <c r="F26" s="108" t="s">
        <v>341</v>
      </c>
      <c r="G26" s="108" t="s">
        <v>341</v>
      </c>
      <c r="H26" s="181"/>
      <c r="I26" s="181"/>
      <c r="J26" s="181"/>
      <c r="K26" s="112"/>
      <c r="L26" s="112"/>
      <c r="M26" s="107"/>
    </row>
    <row r="27" spans="1:13" s="12" customFormat="1" ht="23.25" customHeight="1">
      <c r="A27" s="246" t="s">
        <v>342</v>
      </c>
      <c r="B27" s="246"/>
      <c r="C27" s="154" t="s">
        <v>322</v>
      </c>
      <c r="D27" s="291" t="s">
        <v>337</v>
      </c>
      <c r="E27" s="291"/>
      <c r="F27" s="108">
        <v>5.6000000000000001E-2</v>
      </c>
      <c r="G27" s="108">
        <v>1.4499999999999999E-3</v>
      </c>
      <c r="H27" s="181"/>
      <c r="I27" s="181"/>
      <c r="J27" s="181"/>
      <c r="K27" s="112"/>
      <c r="L27" s="112"/>
      <c r="M27" s="107"/>
    </row>
    <row r="28" spans="1:13" s="12" customFormat="1" ht="23.25" customHeight="1">
      <c r="A28" s="246" t="s">
        <v>343</v>
      </c>
      <c r="B28" s="246"/>
      <c r="C28" s="154" t="s">
        <v>322</v>
      </c>
      <c r="D28" s="291" t="s">
        <v>337</v>
      </c>
      <c r="E28" s="291"/>
      <c r="F28" s="108">
        <v>6.0000000000000001E-3</v>
      </c>
      <c r="G28" s="108" t="s">
        <v>344</v>
      </c>
      <c r="H28" s="181"/>
      <c r="I28" s="181"/>
      <c r="J28" s="181"/>
      <c r="K28" s="112"/>
      <c r="L28" s="112"/>
      <c r="M28" s="107"/>
    </row>
    <row r="29" spans="1:13" s="12" customFormat="1" ht="23.25" customHeight="1">
      <c r="A29" s="246" t="s">
        <v>345</v>
      </c>
      <c r="B29" s="246"/>
      <c r="C29" s="154" t="s">
        <v>322</v>
      </c>
      <c r="D29" s="291" t="s">
        <v>337</v>
      </c>
      <c r="E29" s="291"/>
      <c r="F29" s="108">
        <v>4.4999999999999997E-3</v>
      </c>
      <c r="G29" s="108">
        <v>6.4999999999999997E-3</v>
      </c>
      <c r="H29" s="181"/>
      <c r="I29" s="181"/>
      <c r="J29" s="181"/>
      <c r="K29" s="112"/>
      <c r="L29" s="112"/>
      <c r="M29" s="107"/>
    </row>
    <row r="30" spans="1:13" s="12" customFormat="1" ht="23.25" customHeight="1">
      <c r="A30" s="246" t="s">
        <v>346</v>
      </c>
      <c r="B30" s="246"/>
      <c r="C30" s="154" t="s">
        <v>322</v>
      </c>
      <c r="D30" s="291" t="s">
        <v>337</v>
      </c>
      <c r="E30" s="291"/>
      <c r="F30" s="108">
        <v>3.2000000000000002E-3</v>
      </c>
      <c r="G30" s="108">
        <v>2.2000000000000001E-3</v>
      </c>
      <c r="H30" s="181"/>
      <c r="I30" s="181"/>
      <c r="J30" s="181"/>
      <c r="K30" s="112"/>
      <c r="L30" s="112"/>
      <c r="M30" s="107"/>
    </row>
    <row r="31" spans="1:13" s="12" customFormat="1" ht="23.25" customHeight="1">
      <c r="A31" s="246" t="s">
        <v>347</v>
      </c>
      <c r="B31" s="246"/>
      <c r="C31" s="154" t="s">
        <v>322</v>
      </c>
      <c r="D31" s="291" t="s">
        <v>337</v>
      </c>
      <c r="E31" s="291"/>
      <c r="F31" s="108">
        <v>1.5E-3</v>
      </c>
      <c r="G31" s="108">
        <v>1.4499999999999999E-3</v>
      </c>
      <c r="H31" s="181"/>
      <c r="I31" s="181"/>
      <c r="J31" s="181"/>
      <c r="K31" s="112"/>
      <c r="L31" s="112"/>
      <c r="M31" s="107"/>
    </row>
    <row r="32" spans="1:13" s="12" customFormat="1" ht="23.25" customHeight="1">
      <c r="A32" s="246" t="s">
        <v>348</v>
      </c>
      <c r="B32" s="246"/>
      <c r="C32" s="154" t="s">
        <v>322</v>
      </c>
      <c r="D32" s="291" t="s">
        <v>337</v>
      </c>
      <c r="E32" s="291"/>
      <c r="F32" s="108">
        <v>0.03</v>
      </c>
      <c r="G32" s="108">
        <v>6.5000000000000006E-3</v>
      </c>
      <c r="H32" s="181"/>
      <c r="I32" s="181"/>
      <c r="J32" s="181"/>
      <c r="K32" s="112"/>
      <c r="L32" s="112"/>
      <c r="M32" s="107"/>
    </row>
    <row r="33" spans="1:18" s="12" customFormat="1" ht="23.25" customHeight="1">
      <c r="A33" s="246" t="s">
        <v>349</v>
      </c>
      <c r="B33" s="246"/>
      <c r="C33" s="154" t="s">
        <v>322</v>
      </c>
      <c r="D33" s="291" t="s">
        <v>337</v>
      </c>
      <c r="E33" s="291"/>
      <c r="F33" s="108">
        <v>0.01</v>
      </c>
      <c r="G33" s="108" t="s">
        <v>344</v>
      </c>
      <c r="H33" s="181"/>
      <c r="I33" s="181"/>
      <c r="J33" s="181"/>
      <c r="K33" s="112"/>
      <c r="L33" s="112"/>
      <c r="M33" s="107"/>
      <c r="N33" s="107"/>
      <c r="O33" s="107"/>
      <c r="P33" s="107"/>
      <c r="Q33" s="107"/>
      <c r="R33" s="107"/>
    </row>
    <row r="34" spans="1:18" s="12" customFormat="1" ht="23.25" customHeight="1">
      <c r="A34" s="246" t="s">
        <v>350</v>
      </c>
      <c r="B34" s="246"/>
      <c r="C34" s="154" t="s">
        <v>322</v>
      </c>
      <c r="D34" s="291" t="s">
        <v>337</v>
      </c>
      <c r="E34" s="291"/>
      <c r="F34" s="108" t="s">
        <v>351</v>
      </c>
      <c r="G34" s="108">
        <v>6.9999999999999999E-4</v>
      </c>
      <c r="H34" s="181"/>
      <c r="I34" s="181"/>
      <c r="J34" s="181"/>
      <c r="K34" s="112"/>
      <c r="L34" s="112"/>
      <c r="M34" s="107"/>
      <c r="N34" s="107"/>
      <c r="O34" s="107"/>
      <c r="P34" s="107"/>
      <c r="Q34" s="107"/>
      <c r="R34" s="107"/>
    </row>
    <row r="35" spans="1:18" s="12" customFormat="1" ht="23.25" customHeight="1">
      <c r="A35" s="246" t="s">
        <v>352</v>
      </c>
      <c r="B35" s="246"/>
      <c r="C35" s="154" t="s">
        <v>322</v>
      </c>
      <c r="D35" s="291" t="s">
        <v>337</v>
      </c>
      <c r="E35" s="291"/>
      <c r="F35" s="108">
        <v>1.5E-3</v>
      </c>
      <c r="G35" s="108">
        <v>1.4499999999999999E-3</v>
      </c>
      <c r="H35" s="181"/>
      <c r="I35" s="181"/>
      <c r="J35" s="181"/>
      <c r="K35" s="112"/>
      <c r="L35" s="112"/>
      <c r="M35" s="107"/>
      <c r="N35" s="107"/>
      <c r="O35" s="107"/>
      <c r="P35" s="107"/>
      <c r="Q35" s="107"/>
      <c r="R35" s="107"/>
    </row>
    <row r="36" spans="1:18" s="12" customFormat="1" ht="23.25" customHeight="1">
      <c r="A36" s="246" t="s">
        <v>353</v>
      </c>
      <c r="B36" s="246"/>
      <c r="C36" s="154" t="s">
        <v>322</v>
      </c>
      <c r="D36" s="291" t="s">
        <v>337</v>
      </c>
      <c r="E36" s="291"/>
      <c r="F36" s="108">
        <v>0.16500000000000001</v>
      </c>
      <c r="G36" s="108">
        <v>3.5000000000000003E-2</v>
      </c>
      <c r="H36" s="181"/>
      <c r="I36" s="181"/>
      <c r="J36" s="181"/>
      <c r="K36" s="112"/>
      <c r="L36" s="112"/>
      <c r="M36" s="107"/>
      <c r="N36" s="107"/>
      <c r="O36" s="107"/>
      <c r="P36" s="107"/>
      <c r="Q36" s="107"/>
      <c r="R36" s="107"/>
    </row>
    <row r="37" spans="1:18" s="12" customFormat="1" ht="23.25" customHeight="1">
      <c r="A37" s="246" t="s">
        <v>354</v>
      </c>
      <c r="B37" s="246"/>
      <c r="C37" s="154" t="s">
        <v>322</v>
      </c>
      <c r="D37" s="291" t="s">
        <v>337</v>
      </c>
      <c r="E37" s="291"/>
      <c r="F37" s="108">
        <v>2.7000000000000001E-3</v>
      </c>
      <c r="G37" s="108">
        <v>6.5000000000000006E-3</v>
      </c>
      <c r="H37" s="181"/>
      <c r="I37" s="181"/>
      <c r="J37" s="181"/>
      <c r="K37" s="112"/>
      <c r="L37" s="112"/>
      <c r="M37" s="107"/>
      <c r="N37" s="107"/>
      <c r="O37" s="107"/>
      <c r="P37" s="107"/>
      <c r="Q37" s="107"/>
      <c r="R37" s="107"/>
    </row>
    <row r="38" spans="1:18" s="12" customFormat="1" ht="23.25" customHeight="1">
      <c r="A38" s="246" t="s">
        <v>355</v>
      </c>
      <c r="B38" s="246"/>
      <c r="C38" s="154" t="s">
        <v>322</v>
      </c>
      <c r="D38" s="291" t="s">
        <v>337</v>
      </c>
      <c r="E38" s="291"/>
      <c r="F38" s="108">
        <v>7.0000000000000007E-2</v>
      </c>
      <c r="G38" s="108">
        <v>0.09</v>
      </c>
      <c r="H38" s="181"/>
      <c r="I38" s="181"/>
      <c r="J38" s="181"/>
      <c r="K38" s="112"/>
      <c r="L38" s="112"/>
      <c r="M38" s="107"/>
      <c r="N38" s="107"/>
      <c r="O38" s="107"/>
      <c r="P38" s="107"/>
      <c r="Q38" s="107"/>
      <c r="R38" s="107"/>
    </row>
    <row r="39" spans="1:18">
      <c r="A39" s="277" t="s">
        <v>311</v>
      </c>
      <c r="B39" s="277"/>
      <c r="C39" s="277"/>
      <c r="D39" s="277"/>
      <c r="E39" s="277"/>
      <c r="F39" s="277"/>
      <c r="G39" s="277"/>
      <c r="H39" s="277"/>
      <c r="I39" s="277"/>
      <c r="J39" s="359"/>
      <c r="K39" s="112"/>
      <c r="L39" s="112"/>
      <c r="M39" s="92"/>
      <c r="N39" s="92"/>
      <c r="O39" s="92"/>
      <c r="P39" s="92"/>
      <c r="Q39" s="107"/>
      <c r="R39" s="107"/>
    </row>
    <row r="40" spans="1:18">
      <c r="A40" s="339"/>
      <c r="B40" s="339"/>
      <c r="C40" s="339"/>
      <c r="D40" s="339"/>
      <c r="E40" s="339"/>
      <c r="F40" s="339"/>
      <c r="G40" s="339"/>
      <c r="H40" s="339"/>
      <c r="I40" s="339"/>
      <c r="J40" s="339"/>
      <c r="K40" s="92"/>
      <c r="L40" s="92"/>
      <c r="M40" s="92"/>
      <c r="N40" s="92"/>
      <c r="O40" s="92"/>
      <c r="P40" s="92"/>
      <c r="Q40" s="92"/>
      <c r="R40" s="92"/>
    </row>
    <row r="41" spans="1:18">
      <c r="A41" s="339"/>
      <c r="B41" s="339"/>
      <c r="C41" s="339"/>
      <c r="D41" s="339"/>
      <c r="E41" s="339"/>
      <c r="F41" s="339"/>
      <c r="G41" s="339"/>
      <c r="H41" s="339"/>
      <c r="I41" s="339"/>
      <c r="J41" s="339"/>
      <c r="K41" s="92"/>
      <c r="L41" s="92"/>
      <c r="M41" s="92"/>
      <c r="N41" s="92"/>
      <c r="O41" s="92"/>
      <c r="P41" s="92"/>
      <c r="Q41" s="92"/>
      <c r="R41" s="92"/>
    </row>
    <row r="64" spans="6:6">
      <c r="F64" s="3"/>
    </row>
  </sheetData>
  <mergeCells count="64">
    <mergeCell ref="D19:E19"/>
    <mergeCell ref="D28:E28"/>
    <mergeCell ref="D34:E34"/>
    <mergeCell ref="D20:E20"/>
    <mergeCell ref="D21:E21"/>
    <mergeCell ref="D22:E22"/>
    <mergeCell ref="D23:E23"/>
    <mergeCell ref="D24:E24"/>
    <mergeCell ref="D25:E25"/>
    <mergeCell ref="D32:E32"/>
    <mergeCell ref="D26:E26"/>
    <mergeCell ref="D27:E27"/>
    <mergeCell ref="D29:E29"/>
    <mergeCell ref="D14:E14"/>
    <mergeCell ref="D15:E15"/>
    <mergeCell ref="D16:E16"/>
    <mergeCell ref="D17:E17"/>
    <mergeCell ref="D18:E18"/>
    <mergeCell ref="A39:J39"/>
    <mergeCell ref="A20:B20"/>
    <mergeCell ref="A21:B21"/>
    <mergeCell ref="A22:B22"/>
    <mergeCell ref="D35:E35"/>
    <mergeCell ref="D36:E36"/>
    <mergeCell ref="A34:B34"/>
    <mergeCell ref="A35:B35"/>
    <mergeCell ref="A36:B36"/>
    <mergeCell ref="A37:B37"/>
    <mergeCell ref="A25:B25"/>
    <mergeCell ref="D33:E33"/>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17:B17"/>
    <mergeCell ref="A18:B18"/>
    <mergeCell ref="A19:B19"/>
    <mergeCell ref="A14:B14"/>
    <mergeCell ref="A15:B15"/>
    <mergeCell ref="A16:B16"/>
    <mergeCell ref="A13:B13"/>
    <mergeCell ref="D12:E12"/>
    <mergeCell ref="D13:E13"/>
    <mergeCell ref="A10:B11"/>
    <mergeCell ref="F10:J10"/>
    <mergeCell ref="D10:E11"/>
    <mergeCell ref="C10:C11"/>
    <mergeCell ref="M6:P9"/>
    <mergeCell ref="M10:P12"/>
    <mergeCell ref="A9:J9"/>
    <mergeCell ref="A6:J7"/>
    <mergeCell ref="A12:B12"/>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workbookViewId="0">
      <selection activeCell="D16" sqref="D16"/>
    </sheetView>
  </sheetViews>
  <sheetFormatPr defaultColWidth="9.21875" defaultRowHeight="15"/>
  <cols>
    <col min="1" max="1" width="21.21875" style="2" customWidth="1"/>
    <col min="2" max="2" width="13.77734375" style="2" customWidth="1"/>
    <col min="3" max="3" width="16.21875" style="2" customWidth="1"/>
    <col min="4" max="4" width="9.21875" style="2"/>
    <col min="5" max="5" width="11.5546875" style="2" bestFit="1" customWidth="1"/>
    <col min="6" max="12" width="9.21875" style="2"/>
    <col min="13" max="13" width="10.44140625" style="2" customWidth="1"/>
    <col min="14" max="16384" width="9.21875" style="2"/>
  </cols>
  <sheetData>
    <row r="1" spans="1:16">
      <c r="A1" s="92" t="s">
        <v>5</v>
      </c>
      <c r="B1" s="92"/>
      <c r="C1" s="92"/>
      <c r="D1" s="92"/>
      <c r="E1" s="92"/>
      <c r="F1" s="92"/>
      <c r="G1" s="92"/>
      <c r="H1" s="92"/>
      <c r="I1" s="92" t="s">
        <v>7</v>
      </c>
      <c r="J1" s="92"/>
      <c r="K1" s="92"/>
      <c r="L1" s="92"/>
      <c r="M1" s="92"/>
      <c r="N1" s="92"/>
      <c r="O1" s="92"/>
      <c r="P1" s="92"/>
    </row>
    <row r="3" spans="1:16" ht="15.6">
      <c r="A3" s="1" t="s">
        <v>356</v>
      </c>
      <c r="B3" s="92"/>
      <c r="C3" s="92"/>
      <c r="D3" s="92"/>
      <c r="E3" s="92"/>
      <c r="F3" s="92"/>
      <c r="G3" s="92"/>
      <c r="H3" s="92"/>
      <c r="I3" s="92"/>
      <c r="J3" s="92"/>
      <c r="K3" s="92"/>
      <c r="L3" s="92"/>
      <c r="M3" s="92"/>
      <c r="N3" s="92"/>
      <c r="O3" s="92"/>
      <c r="P3" s="92"/>
    </row>
    <row r="4" spans="1:16" ht="15.6">
      <c r="A4" s="1"/>
      <c r="B4" s="92"/>
      <c r="C4" s="92"/>
      <c r="D4" s="92"/>
      <c r="E4" s="92"/>
      <c r="F4" s="92"/>
      <c r="G4" s="92"/>
      <c r="H4" s="92"/>
      <c r="I4" s="92"/>
      <c r="J4" s="92"/>
      <c r="K4" s="92"/>
      <c r="L4" s="92"/>
      <c r="M4" s="92"/>
      <c r="N4" s="92"/>
      <c r="O4" s="92"/>
      <c r="P4" s="72" t="s">
        <v>3</v>
      </c>
    </row>
    <row r="5" spans="1:16" s="3" customFormat="1" ht="21.75" customHeight="1">
      <c r="A5" s="48" t="s">
        <v>312</v>
      </c>
      <c r="B5" s="49"/>
      <c r="C5" s="49"/>
      <c r="D5" s="49"/>
      <c r="E5" s="49"/>
      <c r="F5" s="49"/>
      <c r="G5" s="49"/>
      <c r="H5" s="49"/>
      <c r="I5" s="49"/>
      <c r="J5" s="49"/>
      <c r="K5" s="49"/>
      <c r="L5" s="49"/>
      <c r="M5" s="50"/>
      <c r="P5" s="73" t="s">
        <v>357</v>
      </c>
    </row>
    <row r="6" spans="1:16" s="3" customFormat="1" ht="15.75" customHeight="1">
      <c r="A6" s="328"/>
      <c r="B6" s="228"/>
      <c r="C6" s="228"/>
      <c r="D6" s="228"/>
      <c r="E6" s="228"/>
      <c r="F6" s="228"/>
      <c r="G6" s="228"/>
      <c r="H6" s="228"/>
      <c r="I6" s="228"/>
      <c r="J6" s="228"/>
      <c r="K6" s="228"/>
      <c r="L6" s="228"/>
      <c r="M6" s="229"/>
      <c r="P6" s="3" t="s">
        <v>358</v>
      </c>
    </row>
    <row r="7" spans="1:16" s="3" customFormat="1" ht="15.75" customHeight="1">
      <c r="A7" s="233"/>
      <c r="B7" s="234"/>
      <c r="C7" s="234"/>
      <c r="D7" s="234"/>
      <c r="E7" s="234"/>
      <c r="F7" s="234"/>
      <c r="G7" s="234"/>
      <c r="H7" s="234"/>
      <c r="I7" s="234"/>
      <c r="J7" s="234"/>
      <c r="K7" s="234"/>
      <c r="L7" s="234"/>
      <c r="M7" s="235"/>
    </row>
    <row r="8" spans="1:16" s="3" customFormat="1" ht="15.75" customHeight="1">
      <c r="A8" s="219"/>
      <c r="B8" s="220"/>
      <c r="C8" s="220"/>
      <c r="D8" s="220"/>
      <c r="E8" s="220"/>
      <c r="F8" s="220"/>
      <c r="G8" s="220"/>
      <c r="H8" s="220"/>
      <c r="I8" s="220"/>
      <c r="J8" s="220"/>
      <c r="K8" s="220"/>
      <c r="L8" s="220"/>
      <c r="M8" s="221"/>
    </row>
    <row r="9" spans="1:16" s="3" customFormat="1" ht="15.75" customHeight="1">
      <c r="A9" s="225"/>
      <c r="B9" s="226"/>
      <c r="C9" s="226"/>
      <c r="D9" s="226"/>
      <c r="E9" s="226"/>
      <c r="F9" s="226"/>
      <c r="G9" s="226"/>
      <c r="H9" s="226"/>
      <c r="I9" s="226"/>
      <c r="J9" s="226"/>
      <c r="K9" s="226"/>
      <c r="L9" s="226"/>
      <c r="M9" s="227"/>
    </row>
    <row r="10" spans="1:16" s="3" customFormat="1" ht="13.8"/>
    <row r="11" spans="1:16" s="55" customFormat="1" ht="16.5" customHeight="1">
      <c r="A11" s="338" t="s">
        <v>359</v>
      </c>
      <c r="B11" s="338"/>
      <c r="C11" s="338"/>
      <c r="D11" s="338"/>
      <c r="E11" s="338"/>
      <c r="F11" s="338"/>
      <c r="G11" s="338"/>
      <c r="H11" s="338"/>
      <c r="I11" s="338"/>
      <c r="J11" s="338"/>
      <c r="K11" s="338"/>
      <c r="L11" s="338"/>
      <c r="M11" s="338"/>
    </row>
    <row r="12" spans="1:16" s="55" customFormat="1" ht="16.5" customHeight="1">
      <c r="A12" s="364" t="s">
        <v>216</v>
      </c>
      <c r="B12" s="357" t="s">
        <v>360</v>
      </c>
      <c r="C12" s="307" t="s">
        <v>316</v>
      </c>
      <c r="D12" s="308" t="s">
        <v>190</v>
      </c>
      <c r="E12" s="366"/>
      <c r="F12" s="308" t="s">
        <v>191</v>
      </c>
      <c r="G12" s="366"/>
      <c r="H12" s="308" t="s">
        <v>192</v>
      </c>
      <c r="I12" s="366"/>
      <c r="J12" s="308" t="s">
        <v>193</v>
      </c>
      <c r="K12" s="366"/>
      <c r="L12" s="308" t="s">
        <v>194</v>
      </c>
      <c r="M12" s="366"/>
    </row>
    <row r="13" spans="1:16" s="12" customFormat="1" ht="17.25" customHeight="1">
      <c r="A13" s="364"/>
      <c r="B13" s="365"/>
      <c r="C13" s="307"/>
      <c r="D13" s="46" t="s">
        <v>361</v>
      </c>
      <c r="E13" s="56" t="s">
        <v>362</v>
      </c>
      <c r="F13" s="46" t="s">
        <v>361</v>
      </c>
      <c r="G13" s="56" t="s">
        <v>362</v>
      </c>
      <c r="H13" s="46" t="s">
        <v>361</v>
      </c>
      <c r="I13" s="56" t="s">
        <v>362</v>
      </c>
      <c r="J13" s="46" t="s">
        <v>361</v>
      </c>
      <c r="K13" s="56" t="s">
        <v>362</v>
      </c>
      <c r="L13" s="46" t="s">
        <v>361</v>
      </c>
      <c r="M13" s="56" t="s">
        <v>362</v>
      </c>
      <c r="N13" s="107"/>
      <c r="O13" s="107"/>
      <c r="P13" s="107"/>
    </row>
    <row r="14" spans="1:16" s="12" customFormat="1" ht="23.25" customHeight="1">
      <c r="A14" s="246" t="s">
        <v>222</v>
      </c>
      <c r="B14" s="179" t="s">
        <v>363</v>
      </c>
      <c r="C14" s="179" t="s">
        <v>364</v>
      </c>
      <c r="D14" s="182">
        <v>199.5</v>
      </c>
      <c r="E14" s="183">
        <v>164.75833333333335</v>
      </c>
      <c r="F14" s="182">
        <v>191.8</v>
      </c>
      <c r="G14" s="183">
        <v>163.34166666666667</v>
      </c>
      <c r="H14" s="181"/>
      <c r="I14" s="181"/>
      <c r="J14" s="181"/>
      <c r="K14" s="181"/>
      <c r="L14" s="181"/>
      <c r="M14" s="181"/>
      <c r="N14" s="107"/>
      <c r="O14" s="107"/>
      <c r="P14" s="107"/>
    </row>
    <row r="15" spans="1:16" s="12" customFormat="1" ht="23.25" customHeight="1">
      <c r="A15" s="246"/>
      <c r="B15" s="179" t="s">
        <v>365</v>
      </c>
      <c r="C15" s="179" t="s">
        <v>366</v>
      </c>
      <c r="D15" s="182">
        <v>316.3</v>
      </c>
      <c r="E15" s="183">
        <v>164.91666666666666</v>
      </c>
      <c r="F15" s="182">
        <v>277.39999999999998</v>
      </c>
      <c r="G15" s="183">
        <v>163.44166666666663</v>
      </c>
      <c r="H15" s="181"/>
      <c r="I15" s="181"/>
      <c r="J15" s="181"/>
      <c r="K15" s="181"/>
      <c r="L15" s="181"/>
      <c r="M15" s="181"/>
      <c r="N15" s="107"/>
      <c r="O15" s="107"/>
      <c r="P15" s="107"/>
    </row>
    <row r="16" spans="1:16" s="12" customFormat="1" ht="23.25" customHeight="1">
      <c r="A16" s="114" t="s">
        <v>221</v>
      </c>
      <c r="B16" s="184" t="s">
        <v>363</v>
      </c>
      <c r="C16" s="179" t="s">
        <v>367</v>
      </c>
      <c r="D16" s="182">
        <v>1.5</v>
      </c>
      <c r="E16" s="183">
        <v>0.33333333333333331</v>
      </c>
      <c r="F16" s="182">
        <v>1.2</v>
      </c>
      <c r="G16" s="183">
        <v>0.35833333333333334</v>
      </c>
      <c r="H16" s="181"/>
      <c r="I16" s="181"/>
      <c r="J16" s="181"/>
      <c r="K16" s="181"/>
      <c r="L16" s="181"/>
      <c r="M16" s="181"/>
      <c r="N16" s="107"/>
      <c r="O16" s="107"/>
      <c r="P16" s="107"/>
    </row>
    <row r="17" spans="1:13" s="12" customFormat="1" ht="23.25" customHeight="1">
      <c r="A17" s="114"/>
      <c r="B17" s="179" t="s">
        <v>365</v>
      </c>
      <c r="C17" s="179" t="s">
        <v>368</v>
      </c>
      <c r="D17" s="182">
        <v>10</v>
      </c>
      <c r="E17" s="183">
        <v>0.375</v>
      </c>
      <c r="F17" s="182">
        <v>17.100000000000001</v>
      </c>
      <c r="G17" s="183">
        <v>0.37500000000000006</v>
      </c>
      <c r="H17" s="181"/>
      <c r="I17" s="181"/>
      <c r="J17" s="181"/>
      <c r="K17" s="181"/>
      <c r="L17" s="181"/>
      <c r="M17" s="181"/>
    </row>
    <row r="18" spans="1:13" s="12" customFormat="1" ht="23.25" customHeight="1">
      <c r="A18" s="114" t="s">
        <v>369</v>
      </c>
      <c r="B18" s="179" t="s">
        <v>363</v>
      </c>
      <c r="C18" s="179" t="s">
        <v>370</v>
      </c>
      <c r="D18" s="182">
        <v>1.4</v>
      </c>
      <c r="E18" s="183">
        <v>0.48333333333333339</v>
      </c>
      <c r="F18" s="182">
        <v>8</v>
      </c>
      <c r="G18" s="183">
        <v>0.60833333333333328</v>
      </c>
      <c r="H18" s="181"/>
      <c r="I18" s="181"/>
      <c r="J18" s="181"/>
      <c r="K18" s="181"/>
      <c r="L18" s="181"/>
      <c r="M18" s="181"/>
    </row>
    <row r="19" spans="1:13" s="12" customFormat="1" ht="23.25" customHeight="1">
      <c r="A19" s="114"/>
      <c r="B19" s="179" t="s">
        <v>365</v>
      </c>
      <c r="C19" s="179" t="s">
        <v>371</v>
      </c>
      <c r="D19" s="182">
        <v>27.9</v>
      </c>
      <c r="E19" s="183">
        <v>0.52500000000000002</v>
      </c>
      <c r="F19" s="182">
        <v>19.5</v>
      </c>
      <c r="G19" s="182">
        <v>0.64999999999999991</v>
      </c>
      <c r="H19" s="181"/>
      <c r="I19" s="181"/>
      <c r="J19" s="181"/>
      <c r="K19" s="181"/>
      <c r="L19" s="181"/>
      <c r="M19" s="181"/>
    </row>
    <row r="20" spans="1:13" s="12" customFormat="1" ht="23.25" customHeight="1">
      <c r="A20" s="114" t="s">
        <v>372</v>
      </c>
      <c r="B20" s="179" t="s">
        <v>363</v>
      </c>
      <c r="C20" s="179" t="s">
        <v>370</v>
      </c>
      <c r="D20" s="182">
        <v>7.1</v>
      </c>
      <c r="E20" s="183">
        <v>4.8583333333333334</v>
      </c>
      <c r="F20" s="182">
        <v>12.6</v>
      </c>
      <c r="G20" s="182">
        <v>5.6499999999999995</v>
      </c>
      <c r="H20" s="181"/>
      <c r="I20" s="181"/>
      <c r="J20" s="181"/>
      <c r="K20" s="181"/>
      <c r="L20" s="181"/>
      <c r="M20" s="181"/>
    </row>
    <row r="21" spans="1:13" s="12" customFormat="1" ht="23.25" customHeight="1">
      <c r="A21" s="114"/>
      <c r="B21" s="179" t="s">
        <v>365</v>
      </c>
      <c r="C21" s="179" t="s">
        <v>373</v>
      </c>
      <c r="D21" s="182">
        <v>49.2</v>
      </c>
      <c r="E21" s="182">
        <v>4.9000000000000004</v>
      </c>
      <c r="F21" s="182">
        <v>63.2</v>
      </c>
      <c r="G21" s="183">
        <v>5.6916666666666664</v>
      </c>
      <c r="H21" s="181"/>
      <c r="I21" s="181"/>
      <c r="J21" s="181"/>
      <c r="K21" s="181"/>
      <c r="L21" s="181"/>
      <c r="M21" s="181"/>
    </row>
    <row r="22" spans="1:13" s="12" customFormat="1" ht="23.25" customHeight="1">
      <c r="A22" s="114" t="s">
        <v>223</v>
      </c>
      <c r="B22" s="179" t="s">
        <v>363</v>
      </c>
      <c r="C22" s="179" t="s">
        <v>374</v>
      </c>
      <c r="D22" s="182">
        <v>22.3</v>
      </c>
      <c r="E22" s="182">
        <v>14.550000000000002</v>
      </c>
      <c r="F22" s="182">
        <v>30.5</v>
      </c>
      <c r="G22" s="183">
        <v>15.083333333333334</v>
      </c>
      <c r="H22" s="181"/>
      <c r="I22" s="181"/>
      <c r="J22" s="181"/>
      <c r="K22" s="181"/>
      <c r="L22" s="181"/>
      <c r="M22" s="181"/>
    </row>
    <row r="23" spans="1:13" s="12" customFormat="1" ht="23.25" customHeight="1">
      <c r="A23" s="114"/>
      <c r="B23" s="179" t="s">
        <v>365</v>
      </c>
      <c r="C23" s="179" t="s">
        <v>364</v>
      </c>
      <c r="D23" s="182">
        <v>108.1</v>
      </c>
      <c r="E23" s="182">
        <v>14.75</v>
      </c>
      <c r="F23" s="182">
        <v>99.6</v>
      </c>
      <c r="G23" s="183">
        <v>15.141666666666666</v>
      </c>
      <c r="H23" s="181"/>
      <c r="I23" s="181"/>
      <c r="J23" s="181"/>
      <c r="K23" s="181"/>
      <c r="L23" s="181"/>
      <c r="M23" s="181"/>
    </row>
    <row r="24" spans="1:13" s="12" customFormat="1" ht="23.25" customHeight="1">
      <c r="A24" s="114" t="s">
        <v>375</v>
      </c>
      <c r="B24" s="179" t="s">
        <v>363</v>
      </c>
      <c r="C24" s="179" t="s">
        <v>374</v>
      </c>
      <c r="D24" s="182">
        <v>12.5</v>
      </c>
      <c r="E24" s="185">
        <v>4.4833333333333334</v>
      </c>
      <c r="F24" s="182">
        <v>18.3</v>
      </c>
      <c r="G24" s="182">
        <v>5.3500000000000005</v>
      </c>
      <c r="H24" s="181"/>
      <c r="I24" s="181"/>
      <c r="J24" s="181"/>
      <c r="K24" s="181"/>
      <c r="L24" s="181"/>
      <c r="M24" s="181"/>
    </row>
    <row r="25" spans="1:13" s="12" customFormat="1" ht="23.25" customHeight="1">
      <c r="A25" s="114"/>
      <c r="B25" s="181" t="s">
        <v>376</v>
      </c>
      <c r="C25" s="181" t="s">
        <v>377</v>
      </c>
      <c r="D25" s="181"/>
      <c r="E25" s="181"/>
      <c r="F25" s="181"/>
      <c r="G25" s="181"/>
      <c r="H25" s="181"/>
      <c r="I25" s="181"/>
      <c r="J25" s="181"/>
      <c r="K25" s="181"/>
      <c r="L25" s="181"/>
      <c r="M25" s="181"/>
    </row>
    <row r="26" spans="1:13" s="12" customFormat="1" ht="23.25" customHeight="1">
      <c r="A26" s="114"/>
      <c r="B26" s="179" t="s">
        <v>378</v>
      </c>
      <c r="C26" s="179" t="s">
        <v>379</v>
      </c>
      <c r="D26" s="182">
        <v>470</v>
      </c>
      <c r="E26" s="182">
        <v>150</v>
      </c>
      <c r="F26" s="182">
        <v>372.5</v>
      </c>
      <c r="G26" s="182">
        <v>150</v>
      </c>
      <c r="H26" s="181"/>
      <c r="I26" s="181"/>
      <c r="J26" s="181"/>
      <c r="K26" s="181"/>
      <c r="L26" s="181"/>
      <c r="M26" s="181"/>
    </row>
    <row r="27" spans="1:13" s="12" customFormat="1" ht="23.25" customHeight="1">
      <c r="A27" s="186" t="s">
        <v>380</v>
      </c>
      <c r="B27" s="187" t="s">
        <v>363</v>
      </c>
      <c r="C27" s="187" t="s">
        <v>381</v>
      </c>
      <c r="D27" s="188">
        <v>5.5</v>
      </c>
      <c r="E27" s="189">
        <v>0.65833333333333333</v>
      </c>
      <c r="F27" s="188">
        <v>2.2999999999999998</v>
      </c>
      <c r="G27" s="189">
        <v>0.68333333333333324</v>
      </c>
      <c r="H27" s="190"/>
      <c r="I27" s="190"/>
      <c r="J27" s="190"/>
      <c r="K27" s="190"/>
      <c r="L27" s="190"/>
      <c r="M27" s="190"/>
    </row>
    <row r="28" spans="1:13">
      <c r="A28" s="360" t="s">
        <v>382</v>
      </c>
      <c r="B28" s="361"/>
      <c r="C28" s="361"/>
      <c r="D28" s="361"/>
      <c r="E28" s="361"/>
      <c r="F28" s="361"/>
      <c r="G28" s="361"/>
      <c r="H28" s="361"/>
      <c r="I28" s="361"/>
      <c r="J28" s="361"/>
      <c r="K28" s="361"/>
      <c r="L28" s="361"/>
      <c r="M28" s="362"/>
    </row>
    <row r="29" spans="1:13">
      <c r="A29" s="82" t="s">
        <v>311</v>
      </c>
      <c r="B29" s="83"/>
      <c r="C29" s="83"/>
      <c r="D29" s="83"/>
      <c r="E29" s="83"/>
      <c r="F29" s="83"/>
      <c r="G29" s="83"/>
      <c r="H29" s="83"/>
      <c r="I29" s="83"/>
      <c r="J29" s="83"/>
      <c r="K29" s="83"/>
      <c r="L29" s="83"/>
      <c r="M29" s="84"/>
    </row>
    <row r="30" spans="1:13">
      <c r="A30" s="363"/>
      <c r="B30" s="363"/>
      <c r="C30" s="363"/>
      <c r="D30" s="363"/>
      <c r="E30" s="363"/>
      <c r="F30" s="363"/>
      <c r="G30" s="363"/>
      <c r="H30" s="363"/>
      <c r="I30" s="363"/>
      <c r="J30" s="363"/>
      <c r="K30" s="363"/>
      <c r="L30" s="363"/>
      <c r="M30" s="363"/>
    </row>
    <row r="31" spans="1:13">
      <c r="A31" s="339"/>
      <c r="B31" s="339"/>
      <c r="C31" s="339"/>
      <c r="D31" s="339"/>
      <c r="E31" s="339"/>
      <c r="F31" s="339"/>
      <c r="G31" s="339"/>
      <c r="H31" s="339"/>
      <c r="I31" s="339"/>
      <c r="J31" s="339"/>
      <c r="K31" s="339"/>
      <c r="L31" s="339"/>
      <c r="M31" s="339"/>
    </row>
    <row r="68" spans="6:6">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workbookViewId="0">
      <selection activeCell="N31" sqref="N31"/>
    </sheetView>
  </sheetViews>
  <sheetFormatPr defaultRowHeight="13.8"/>
  <cols>
    <col min="1" max="1" width="14" style="3" customWidth="1"/>
    <col min="2" max="7" width="17" style="35" customWidth="1"/>
    <col min="8" max="11" width="9.21875" style="3"/>
    <col min="12" max="12" width="15.44140625" style="3" customWidth="1"/>
    <col min="13" max="13" width="17.44140625" style="3" bestFit="1" customWidth="1"/>
    <col min="14" max="14" width="13.77734375" style="3" customWidth="1"/>
    <col min="15" max="15" width="15" style="3" customWidth="1"/>
    <col min="16" max="18" width="9.21875" style="3"/>
    <col min="19" max="19" width="21.77734375" style="3" customWidth="1"/>
    <col min="20" max="256" width="9.21875" style="3"/>
    <col min="257" max="257" width="14" style="3" customWidth="1"/>
    <col min="258" max="263" width="10.21875" style="3" customWidth="1"/>
    <col min="264" max="512" width="9.21875" style="3"/>
    <col min="513" max="513" width="14" style="3" customWidth="1"/>
    <col min="514" max="519" width="10.21875" style="3" customWidth="1"/>
    <col min="520" max="768" width="9.21875" style="3"/>
    <col min="769" max="769" width="14" style="3" customWidth="1"/>
    <col min="770" max="775" width="10.21875" style="3" customWidth="1"/>
    <col min="776" max="1024" width="9.21875" style="3"/>
    <col min="1025" max="1025" width="14" style="3" customWidth="1"/>
    <col min="1026" max="1031" width="10.21875" style="3" customWidth="1"/>
    <col min="1032" max="1280" width="9.21875" style="3"/>
    <col min="1281" max="1281" width="14" style="3" customWidth="1"/>
    <col min="1282" max="1287" width="10.21875" style="3" customWidth="1"/>
    <col min="1288" max="1536" width="9.21875" style="3"/>
    <col min="1537" max="1537" width="14" style="3" customWidth="1"/>
    <col min="1538" max="1543" width="10.21875" style="3" customWidth="1"/>
    <col min="1544" max="1792" width="9.21875" style="3"/>
    <col min="1793" max="1793" width="14" style="3" customWidth="1"/>
    <col min="1794" max="1799" width="10.21875" style="3" customWidth="1"/>
    <col min="1800" max="2048" width="9.21875" style="3"/>
    <col min="2049" max="2049" width="14" style="3" customWidth="1"/>
    <col min="2050" max="2055" width="10.21875" style="3" customWidth="1"/>
    <col min="2056" max="2304" width="9.21875" style="3"/>
    <col min="2305" max="2305" width="14" style="3" customWidth="1"/>
    <col min="2306" max="2311" width="10.21875" style="3" customWidth="1"/>
    <col min="2312" max="2560" width="9.21875" style="3"/>
    <col min="2561" max="2561" width="14" style="3" customWidth="1"/>
    <col min="2562" max="2567" width="10.21875" style="3" customWidth="1"/>
    <col min="2568" max="2816" width="9.21875" style="3"/>
    <col min="2817" max="2817" width="14" style="3" customWidth="1"/>
    <col min="2818" max="2823" width="10.21875" style="3" customWidth="1"/>
    <col min="2824" max="3072" width="9.21875" style="3"/>
    <col min="3073" max="3073" width="14" style="3" customWidth="1"/>
    <col min="3074" max="3079" width="10.21875" style="3" customWidth="1"/>
    <col min="3080" max="3328" width="9.21875" style="3"/>
    <col min="3329" max="3329" width="14" style="3" customWidth="1"/>
    <col min="3330" max="3335" width="10.21875" style="3" customWidth="1"/>
    <col min="3336" max="3584" width="9.21875" style="3"/>
    <col min="3585" max="3585" width="14" style="3" customWidth="1"/>
    <col min="3586" max="3591" width="10.21875" style="3" customWidth="1"/>
    <col min="3592" max="3840" width="9.21875" style="3"/>
    <col min="3841" max="3841" width="14" style="3" customWidth="1"/>
    <col min="3842" max="3847" width="10.21875" style="3" customWidth="1"/>
    <col min="3848" max="4096" width="9.21875" style="3"/>
    <col min="4097" max="4097" width="14" style="3" customWidth="1"/>
    <col min="4098" max="4103" width="10.21875" style="3" customWidth="1"/>
    <col min="4104" max="4352" width="9.21875" style="3"/>
    <col min="4353" max="4353" width="14" style="3" customWidth="1"/>
    <col min="4354" max="4359" width="10.21875" style="3" customWidth="1"/>
    <col min="4360" max="4608" width="9.21875" style="3"/>
    <col min="4609" max="4609" width="14" style="3" customWidth="1"/>
    <col min="4610" max="4615" width="10.21875" style="3" customWidth="1"/>
    <col min="4616" max="4864" width="9.21875" style="3"/>
    <col min="4865" max="4865" width="14" style="3" customWidth="1"/>
    <col min="4866" max="4871" width="10.21875" style="3" customWidth="1"/>
    <col min="4872" max="5120" width="9.21875" style="3"/>
    <col min="5121" max="5121" width="14" style="3" customWidth="1"/>
    <col min="5122" max="5127" width="10.21875" style="3" customWidth="1"/>
    <col min="5128" max="5376" width="9.21875" style="3"/>
    <col min="5377" max="5377" width="14" style="3" customWidth="1"/>
    <col min="5378" max="5383" width="10.21875" style="3" customWidth="1"/>
    <col min="5384" max="5632" width="9.21875" style="3"/>
    <col min="5633" max="5633" width="14" style="3" customWidth="1"/>
    <col min="5634" max="5639" width="10.21875" style="3" customWidth="1"/>
    <col min="5640" max="5888" width="9.21875" style="3"/>
    <col min="5889" max="5889" width="14" style="3" customWidth="1"/>
    <col min="5890" max="5895" width="10.21875" style="3" customWidth="1"/>
    <col min="5896" max="6144" width="9.21875" style="3"/>
    <col min="6145" max="6145" width="14" style="3" customWidth="1"/>
    <col min="6146" max="6151" width="10.21875" style="3" customWidth="1"/>
    <col min="6152" max="6400" width="9.21875" style="3"/>
    <col min="6401" max="6401" width="14" style="3" customWidth="1"/>
    <col min="6402" max="6407" width="10.21875" style="3" customWidth="1"/>
    <col min="6408" max="6656" width="9.21875" style="3"/>
    <col min="6657" max="6657" width="14" style="3" customWidth="1"/>
    <col min="6658" max="6663" width="10.21875" style="3" customWidth="1"/>
    <col min="6664" max="6912" width="9.21875" style="3"/>
    <col min="6913" max="6913" width="14" style="3" customWidth="1"/>
    <col min="6914" max="6919" width="10.21875" style="3" customWidth="1"/>
    <col min="6920" max="7168" width="9.21875" style="3"/>
    <col min="7169" max="7169" width="14" style="3" customWidth="1"/>
    <col min="7170" max="7175" width="10.21875" style="3" customWidth="1"/>
    <col min="7176" max="7424" width="9.21875" style="3"/>
    <col min="7425" max="7425" width="14" style="3" customWidth="1"/>
    <col min="7426" max="7431" width="10.21875" style="3" customWidth="1"/>
    <col min="7432" max="7680" width="9.21875" style="3"/>
    <col min="7681" max="7681" width="14" style="3" customWidth="1"/>
    <col min="7682" max="7687" width="10.21875" style="3" customWidth="1"/>
    <col min="7688" max="7936" width="9.21875" style="3"/>
    <col min="7937" max="7937" width="14" style="3" customWidth="1"/>
    <col min="7938" max="7943" width="10.21875" style="3" customWidth="1"/>
    <col min="7944" max="8192" width="9.21875" style="3"/>
    <col min="8193" max="8193" width="14" style="3" customWidth="1"/>
    <col min="8194" max="8199" width="10.21875" style="3" customWidth="1"/>
    <col min="8200" max="8448" width="9.21875" style="3"/>
    <col min="8449" max="8449" width="14" style="3" customWidth="1"/>
    <col min="8450" max="8455" width="10.21875" style="3" customWidth="1"/>
    <col min="8456" max="8704" width="9.21875" style="3"/>
    <col min="8705" max="8705" width="14" style="3" customWidth="1"/>
    <col min="8706" max="8711" width="10.21875" style="3" customWidth="1"/>
    <col min="8712" max="8960" width="9.21875" style="3"/>
    <col min="8961" max="8961" width="14" style="3" customWidth="1"/>
    <col min="8962" max="8967" width="10.21875" style="3" customWidth="1"/>
    <col min="8968" max="9216" width="9.21875" style="3"/>
    <col min="9217" max="9217" width="14" style="3" customWidth="1"/>
    <col min="9218" max="9223" width="10.21875" style="3" customWidth="1"/>
    <col min="9224" max="9472" width="9.21875" style="3"/>
    <col min="9473" max="9473" width="14" style="3" customWidth="1"/>
    <col min="9474" max="9479" width="10.21875" style="3" customWidth="1"/>
    <col min="9480" max="9728" width="9.21875" style="3"/>
    <col min="9729" max="9729" width="14" style="3" customWidth="1"/>
    <col min="9730" max="9735" width="10.21875" style="3" customWidth="1"/>
    <col min="9736" max="9984" width="9.21875" style="3"/>
    <col min="9985" max="9985" width="14" style="3" customWidth="1"/>
    <col min="9986" max="9991" width="10.21875" style="3" customWidth="1"/>
    <col min="9992" max="10240" width="9.21875" style="3"/>
    <col min="10241" max="10241" width="14" style="3" customWidth="1"/>
    <col min="10242" max="10247" width="10.21875" style="3" customWidth="1"/>
    <col min="10248" max="10496" width="9.21875" style="3"/>
    <col min="10497" max="10497" width="14" style="3" customWidth="1"/>
    <col min="10498" max="10503" width="10.21875" style="3" customWidth="1"/>
    <col min="10504" max="10752" width="9.21875" style="3"/>
    <col min="10753" max="10753" width="14" style="3" customWidth="1"/>
    <col min="10754" max="10759" width="10.21875" style="3" customWidth="1"/>
    <col min="10760" max="11008" width="9.21875" style="3"/>
    <col min="11009" max="11009" width="14" style="3" customWidth="1"/>
    <col min="11010" max="11015" width="10.21875" style="3" customWidth="1"/>
    <col min="11016" max="11264" width="9.21875" style="3"/>
    <col min="11265" max="11265" width="14" style="3" customWidth="1"/>
    <col min="11266" max="11271" width="10.21875" style="3" customWidth="1"/>
    <col min="11272" max="11520" width="9.21875" style="3"/>
    <col min="11521" max="11521" width="14" style="3" customWidth="1"/>
    <col min="11522" max="11527" width="10.21875" style="3" customWidth="1"/>
    <col min="11528" max="11776" width="9.21875" style="3"/>
    <col min="11777" max="11777" width="14" style="3" customWidth="1"/>
    <col min="11778" max="11783" width="10.21875" style="3" customWidth="1"/>
    <col min="11784" max="12032" width="9.21875" style="3"/>
    <col min="12033" max="12033" width="14" style="3" customWidth="1"/>
    <col min="12034" max="12039" width="10.21875" style="3" customWidth="1"/>
    <col min="12040" max="12288" width="9.21875" style="3"/>
    <col min="12289" max="12289" width="14" style="3" customWidth="1"/>
    <col min="12290" max="12295" width="10.21875" style="3" customWidth="1"/>
    <col min="12296" max="12544" width="9.21875" style="3"/>
    <col min="12545" max="12545" width="14" style="3" customWidth="1"/>
    <col min="12546" max="12551" width="10.21875" style="3" customWidth="1"/>
    <col min="12552" max="12800" width="9.21875" style="3"/>
    <col min="12801" max="12801" width="14" style="3" customWidth="1"/>
    <col min="12802" max="12807" width="10.21875" style="3" customWidth="1"/>
    <col min="12808" max="13056" width="9.21875" style="3"/>
    <col min="13057" max="13057" width="14" style="3" customWidth="1"/>
    <col min="13058" max="13063" width="10.21875" style="3" customWidth="1"/>
    <col min="13064" max="13312" width="9.21875" style="3"/>
    <col min="13313" max="13313" width="14" style="3" customWidth="1"/>
    <col min="13314" max="13319" width="10.21875" style="3" customWidth="1"/>
    <col min="13320" max="13568" width="9.21875" style="3"/>
    <col min="13569" max="13569" width="14" style="3" customWidth="1"/>
    <col min="13570" max="13575" width="10.21875" style="3" customWidth="1"/>
    <col min="13576" max="13824" width="9.21875" style="3"/>
    <col min="13825" max="13825" width="14" style="3" customWidth="1"/>
    <col min="13826" max="13831" width="10.21875" style="3" customWidth="1"/>
    <col min="13832" max="14080" width="9.21875" style="3"/>
    <col min="14081" max="14081" width="14" style="3" customWidth="1"/>
    <col min="14082" max="14087" width="10.21875" style="3" customWidth="1"/>
    <col min="14088" max="14336" width="9.21875" style="3"/>
    <col min="14337" max="14337" width="14" style="3" customWidth="1"/>
    <col min="14338" max="14343" width="10.21875" style="3" customWidth="1"/>
    <col min="14344" max="14592" width="9.21875" style="3"/>
    <col min="14593" max="14593" width="14" style="3" customWidth="1"/>
    <col min="14594" max="14599" width="10.21875" style="3" customWidth="1"/>
    <col min="14600" max="14848" width="9.21875" style="3"/>
    <col min="14849" max="14849" width="14" style="3" customWidth="1"/>
    <col min="14850" max="14855" width="10.21875" style="3" customWidth="1"/>
    <col min="14856" max="15104" width="9.21875" style="3"/>
    <col min="15105" max="15105" width="14" style="3" customWidth="1"/>
    <col min="15106" max="15111" width="10.21875" style="3" customWidth="1"/>
    <col min="15112" max="15360" width="9.21875" style="3"/>
    <col min="15361" max="15361" width="14" style="3" customWidth="1"/>
    <col min="15362" max="15367" width="10.21875" style="3" customWidth="1"/>
    <col min="15368" max="15616" width="9.21875" style="3"/>
    <col min="15617" max="15617" width="14" style="3" customWidth="1"/>
    <col min="15618" max="15623" width="10.21875" style="3" customWidth="1"/>
    <col min="15624" max="15872" width="9.21875" style="3"/>
    <col min="15873" max="15873" width="14" style="3" customWidth="1"/>
    <col min="15874" max="15879" width="10.21875" style="3" customWidth="1"/>
    <col min="15880" max="16128" width="9.21875" style="3"/>
    <col min="16129" max="16129" width="14" style="3" customWidth="1"/>
    <col min="16130" max="16135" width="10.21875" style="3" customWidth="1"/>
    <col min="16136" max="16384" width="9.21875" style="3"/>
  </cols>
  <sheetData>
    <row r="1" spans="1:19" ht="15">
      <c r="A1" s="92" t="s">
        <v>5</v>
      </c>
      <c r="B1" s="92"/>
      <c r="C1" s="92"/>
      <c r="D1" s="92"/>
      <c r="E1" s="92" t="s">
        <v>7</v>
      </c>
      <c r="F1" s="92"/>
      <c r="G1" s="92"/>
    </row>
    <row r="3" spans="1:19" ht="14.4">
      <c r="A3" s="59" t="s">
        <v>383</v>
      </c>
      <c r="D3" s="75" t="s">
        <v>384</v>
      </c>
      <c r="G3" s="79" t="s">
        <v>385</v>
      </c>
      <c r="J3" s="9" t="s">
        <v>383</v>
      </c>
      <c r="L3" s="9"/>
      <c r="N3" s="9" t="s">
        <v>386</v>
      </c>
      <c r="Q3" s="78" t="s">
        <v>3</v>
      </c>
      <c r="R3" s="73"/>
      <c r="S3" s="73"/>
    </row>
    <row r="4" spans="1:19" ht="13.95" customHeight="1">
      <c r="Q4" s="345" t="s">
        <v>387</v>
      </c>
      <c r="R4" s="345"/>
      <c r="S4" s="345"/>
    </row>
    <row r="5" spans="1:19" ht="16.2">
      <c r="A5" s="67" t="s">
        <v>388</v>
      </c>
      <c r="B5" s="370" t="s">
        <v>389</v>
      </c>
      <c r="C5" s="370"/>
      <c r="D5" s="370"/>
      <c r="E5" s="370" t="s">
        <v>390</v>
      </c>
      <c r="F5" s="370"/>
      <c r="G5" s="370"/>
      <c r="J5" s="369"/>
      <c r="K5" s="369"/>
      <c r="L5" s="369"/>
      <c r="M5" s="369"/>
      <c r="N5" s="369"/>
      <c r="O5" s="369"/>
      <c r="Q5" s="345"/>
      <c r="R5" s="345"/>
      <c r="S5" s="345"/>
    </row>
    <row r="6" spans="1:19" s="57" customFormat="1" ht="37.5" customHeight="1">
      <c r="A6" s="64">
        <v>2022</v>
      </c>
      <c r="B6" s="54" t="s">
        <v>391</v>
      </c>
      <c r="C6" s="54" t="s">
        <v>392</v>
      </c>
      <c r="D6" s="54" t="s">
        <v>393</v>
      </c>
      <c r="E6" s="54" t="s">
        <v>394</v>
      </c>
      <c r="F6" s="54" t="s">
        <v>395</v>
      </c>
      <c r="G6" s="54" t="s">
        <v>396</v>
      </c>
      <c r="H6" s="58"/>
      <c r="J6" s="60">
        <v>2022</v>
      </c>
      <c r="K6" s="60" t="s">
        <v>397</v>
      </c>
      <c r="L6" s="66" t="s">
        <v>392</v>
      </c>
      <c r="M6" s="66" t="s">
        <v>398</v>
      </c>
      <c r="N6" s="66" t="s">
        <v>395</v>
      </c>
      <c r="O6" s="66" t="s">
        <v>399</v>
      </c>
      <c r="Q6" s="345"/>
      <c r="R6" s="345"/>
      <c r="S6" s="345"/>
    </row>
    <row r="7" spans="1:19" ht="13.95" customHeight="1">
      <c r="A7" s="65" t="s">
        <v>400</v>
      </c>
      <c r="B7" s="62">
        <v>60</v>
      </c>
      <c r="C7" s="63">
        <v>9.6</v>
      </c>
      <c r="D7" s="63">
        <v>59.699999999999996</v>
      </c>
      <c r="E7" s="62">
        <v>10</v>
      </c>
      <c r="F7" s="63">
        <v>9.5</v>
      </c>
      <c r="G7" s="63">
        <v>11.100000000000001</v>
      </c>
      <c r="J7" s="368" t="s">
        <v>190</v>
      </c>
      <c r="K7" s="65" t="s">
        <v>400</v>
      </c>
      <c r="L7" s="61">
        <v>4.5999999999999996</v>
      </c>
      <c r="M7" s="61">
        <v>48.8</v>
      </c>
      <c r="N7" s="61">
        <v>4.5</v>
      </c>
      <c r="O7" s="61">
        <v>5.2</v>
      </c>
      <c r="Q7" s="345"/>
      <c r="R7" s="345"/>
      <c r="S7" s="345"/>
    </row>
    <row r="8" spans="1:19">
      <c r="A8" s="65" t="s">
        <v>401</v>
      </c>
      <c r="B8" s="62">
        <v>60</v>
      </c>
      <c r="C8" s="63">
        <v>9.6999999999999993</v>
      </c>
      <c r="D8" s="63">
        <v>20.6</v>
      </c>
      <c r="E8" s="62">
        <v>10</v>
      </c>
      <c r="F8" s="63">
        <v>9.6</v>
      </c>
      <c r="G8" s="63">
        <v>11.3</v>
      </c>
      <c r="J8" s="368"/>
      <c r="K8" s="65" t="s">
        <v>401</v>
      </c>
      <c r="L8" s="61">
        <v>4.7</v>
      </c>
      <c r="M8" s="61">
        <v>8.4</v>
      </c>
      <c r="N8" s="61">
        <v>4.5999999999999996</v>
      </c>
      <c r="O8" s="61">
        <v>5.5</v>
      </c>
      <c r="Q8" s="345"/>
      <c r="R8" s="345"/>
      <c r="S8" s="345"/>
    </row>
    <row r="9" spans="1:19">
      <c r="A9" s="65" t="s">
        <v>402</v>
      </c>
      <c r="B9" s="62">
        <v>60</v>
      </c>
      <c r="C9" s="63">
        <v>9.1000000000000014</v>
      </c>
      <c r="D9" s="63">
        <v>26.700000000000003</v>
      </c>
      <c r="E9" s="62">
        <v>10</v>
      </c>
      <c r="F9" s="63">
        <v>9</v>
      </c>
      <c r="G9" s="63">
        <v>11</v>
      </c>
      <c r="J9" s="368"/>
      <c r="K9" s="65" t="s">
        <v>402</v>
      </c>
      <c r="L9" s="61">
        <v>4.4000000000000004</v>
      </c>
      <c r="M9" s="61">
        <v>13.3</v>
      </c>
      <c r="N9" s="61">
        <v>4.3</v>
      </c>
      <c r="O9" s="61">
        <v>5.0999999999999996</v>
      </c>
      <c r="Q9" s="77" t="s">
        <v>403</v>
      </c>
    </row>
    <row r="10" spans="1:19" ht="13.95" customHeight="1">
      <c r="A10" s="65" t="s">
        <v>404</v>
      </c>
      <c r="B10" s="62">
        <v>60</v>
      </c>
      <c r="C10" s="63">
        <v>10.5</v>
      </c>
      <c r="D10" s="63">
        <v>23.5</v>
      </c>
      <c r="E10" s="62">
        <v>10</v>
      </c>
      <c r="F10" s="63">
        <v>10.5</v>
      </c>
      <c r="G10" s="63">
        <v>11.600000000000001</v>
      </c>
      <c r="J10" s="368"/>
      <c r="K10" s="65" t="s">
        <v>404</v>
      </c>
      <c r="L10" s="61">
        <v>4.9000000000000004</v>
      </c>
      <c r="M10" s="61">
        <v>14.3</v>
      </c>
      <c r="N10" s="61">
        <v>4.9000000000000004</v>
      </c>
      <c r="O10" s="61">
        <v>5.4</v>
      </c>
      <c r="Q10" s="367" t="s">
        <v>405</v>
      </c>
      <c r="R10" s="367"/>
      <c r="S10" s="367"/>
    </row>
    <row r="11" spans="1:19">
      <c r="A11" s="65" t="s">
        <v>406</v>
      </c>
      <c r="B11" s="62">
        <v>60</v>
      </c>
      <c r="C11" s="63">
        <v>10.9</v>
      </c>
      <c r="D11" s="63">
        <v>74.900000000000006</v>
      </c>
      <c r="E11" s="62">
        <v>10</v>
      </c>
      <c r="F11" s="63">
        <v>10.8</v>
      </c>
      <c r="G11" s="63">
        <v>13</v>
      </c>
      <c r="J11" s="368"/>
      <c r="K11" s="65" t="s">
        <v>406</v>
      </c>
      <c r="L11" s="61">
        <v>5</v>
      </c>
      <c r="M11" s="61">
        <v>11.7</v>
      </c>
      <c r="N11" s="61">
        <v>5</v>
      </c>
      <c r="O11" s="61">
        <v>5.5</v>
      </c>
      <c r="Q11" s="367"/>
      <c r="R11" s="367"/>
      <c r="S11" s="367"/>
    </row>
    <row r="12" spans="1:19">
      <c r="A12" s="65" t="s">
        <v>407</v>
      </c>
      <c r="B12" s="62">
        <v>60</v>
      </c>
      <c r="C12" s="63">
        <v>11.2</v>
      </c>
      <c r="D12" s="63">
        <v>72.099999999999994</v>
      </c>
      <c r="E12" s="62">
        <v>10</v>
      </c>
      <c r="F12" s="63">
        <v>11</v>
      </c>
      <c r="G12" s="63">
        <v>13.5</v>
      </c>
      <c r="J12" s="368"/>
      <c r="K12" s="65" t="s">
        <v>407</v>
      </c>
      <c r="L12" s="61">
        <v>5.3</v>
      </c>
      <c r="M12" s="61">
        <v>46</v>
      </c>
      <c r="N12" s="61">
        <v>5.2</v>
      </c>
      <c r="O12" s="61">
        <v>7.1</v>
      </c>
      <c r="Q12" s="367"/>
      <c r="R12" s="367"/>
      <c r="S12" s="367"/>
    </row>
    <row r="13" spans="1:19" ht="13.95" customHeight="1">
      <c r="A13" s="65" t="s">
        <v>408</v>
      </c>
      <c r="B13" s="62">
        <v>60</v>
      </c>
      <c r="C13" s="63">
        <v>11.1</v>
      </c>
      <c r="D13" s="63">
        <v>24.7</v>
      </c>
      <c r="E13" s="62">
        <v>10</v>
      </c>
      <c r="F13" s="63">
        <v>11.1</v>
      </c>
      <c r="G13" s="63">
        <v>13.600000000000001</v>
      </c>
      <c r="J13" s="368"/>
      <c r="K13" s="65" t="s">
        <v>408</v>
      </c>
      <c r="L13" s="61">
        <v>4.8</v>
      </c>
      <c r="M13" s="61">
        <v>11</v>
      </c>
      <c r="N13" s="61">
        <v>4.8</v>
      </c>
      <c r="O13" s="61">
        <v>5.9</v>
      </c>
      <c r="Q13" s="367" t="s">
        <v>409</v>
      </c>
      <c r="R13" s="367"/>
      <c r="S13" s="367"/>
    </row>
    <row r="14" spans="1:19">
      <c r="A14" s="65" t="s">
        <v>410</v>
      </c>
      <c r="B14" s="62">
        <v>60</v>
      </c>
      <c r="C14" s="63">
        <v>12.2</v>
      </c>
      <c r="D14" s="63">
        <v>61.6</v>
      </c>
      <c r="E14" s="62">
        <v>10</v>
      </c>
      <c r="F14" s="63">
        <v>12.2</v>
      </c>
      <c r="G14" s="63">
        <v>13.899999999999999</v>
      </c>
      <c r="J14" s="368"/>
      <c r="K14" s="65" t="s">
        <v>410</v>
      </c>
      <c r="L14" s="61">
        <v>5.6</v>
      </c>
      <c r="M14" s="61">
        <v>49.2</v>
      </c>
      <c r="N14" s="61">
        <v>5.6</v>
      </c>
      <c r="O14" s="61">
        <v>6.6</v>
      </c>
      <c r="Q14" s="367"/>
      <c r="R14" s="367"/>
      <c r="S14" s="367"/>
    </row>
    <row r="15" spans="1:19">
      <c r="A15" s="65" t="s">
        <v>411</v>
      </c>
      <c r="B15" s="62">
        <v>60</v>
      </c>
      <c r="C15" s="63">
        <v>11.6</v>
      </c>
      <c r="D15" s="63">
        <v>33.9</v>
      </c>
      <c r="E15" s="62">
        <v>10</v>
      </c>
      <c r="F15" s="63">
        <v>11.4</v>
      </c>
      <c r="G15" s="63">
        <v>12.600000000000001</v>
      </c>
      <c r="J15" s="368"/>
      <c r="K15" s="65" t="s">
        <v>411</v>
      </c>
      <c r="L15" s="61">
        <v>5.5</v>
      </c>
      <c r="M15" s="61">
        <v>17.899999999999999</v>
      </c>
      <c r="N15" s="61">
        <v>5.4</v>
      </c>
      <c r="O15" s="61">
        <v>5.9</v>
      </c>
      <c r="Q15" s="367"/>
      <c r="R15" s="367"/>
      <c r="S15" s="367"/>
    </row>
    <row r="16" spans="1:19">
      <c r="A16" s="65" t="s">
        <v>412</v>
      </c>
      <c r="B16" s="62">
        <v>60</v>
      </c>
      <c r="C16" s="63">
        <v>11.3</v>
      </c>
      <c r="D16" s="63">
        <v>69.300000000000011</v>
      </c>
      <c r="E16" s="62">
        <v>10</v>
      </c>
      <c r="F16" s="63">
        <v>11.2</v>
      </c>
      <c r="G16" s="63">
        <v>18.5</v>
      </c>
      <c r="J16" s="368"/>
      <c r="K16" s="65" t="s">
        <v>412</v>
      </c>
      <c r="L16" s="61">
        <v>4.9000000000000004</v>
      </c>
      <c r="M16" s="61">
        <v>17.600000000000001</v>
      </c>
      <c r="N16" s="61">
        <v>4.9000000000000004</v>
      </c>
      <c r="O16" s="61">
        <v>5.9</v>
      </c>
      <c r="Q16" s="367"/>
      <c r="R16" s="367"/>
      <c r="S16" s="367"/>
    </row>
    <row r="17" spans="1:15">
      <c r="A17" s="65" t="s">
        <v>413</v>
      </c>
      <c r="B17" s="62">
        <v>60</v>
      </c>
      <c r="C17" s="63">
        <v>10.7</v>
      </c>
      <c r="D17" s="63">
        <v>54.4</v>
      </c>
      <c r="E17" s="62">
        <v>10</v>
      </c>
      <c r="F17" s="63">
        <v>10.7</v>
      </c>
      <c r="G17" s="63">
        <v>13.3</v>
      </c>
      <c r="J17" s="368"/>
      <c r="K17" s="65" t="s">
        <v>413</v>
      </c>
      <c r="L17" s="61">
        <v>5</v>
      </c>
      <c r="M17" s="61">
        <v>26.7</v>
      </c>
      <c r="N17" s="61">
        <v>5</v>
      </c>
      <c r="O17" s="61">
        <v>6.6</v>
      </c>
    </row>
    <row r="18" spans="1:15">
      <c r="A18" s="65" t="s">
        <v>414</v>
      </c>
      <c r="B18" s="62">
        <v>60</v>
      </c>
      <c r="C18" s="63">
        <v>9.1999999999999993</v>
      </c>
      <c r="D18" s="63">
        <v>17</v>
      </c>
      <c r="E18" s="62">
        <v>10</v>
      </c>
      <c r="F18" s="63">
        <v>9.1</v>
      </c>
      <c r="G18" s="63">
        <v>11.4</v>
      </c>
      <c r="J18" s="368"/>
      <c r="K18" s="65" t="s">
        <v>414</v>
      </c>
      <c r="L18" s="61">
        <v>4.0999999999999996</v>
      </c>
      <c r="M18" s="61">
        <v>8.9</v>
      </c>
      <c r="N18" s="61">
        <v>4.0999999999999996</v>
      </c>
      <c r="O18" s="61">
        <v>5.5</v>
      </c>
    </row>
    <row r="19" spans="1:15">
      <c r="J19" s="368"/>
      <c r="K19" s="61" t="s">
        <v>415</v>
      </c>
      <c r="L19" s="61">
        <v>4.9000000000000004</v>
      </c>
      <c r="M19" s="61">
        <v>49.2</v>
      </c>
      <c r="N19" s="61">
        <v>4.8583333333333334</v>
      </c>
      <c r="O19" s="61">
        <v>7.1</v>
      </c>
    </row>
    <row r="21" spans="1:15" ht="41.4">
      <c r="J21" s="60">
        <v>2022</v>
      </c>
      <c r="K21" s="60" t="s">
        <v>397</v>
      </c>
      <c r="L21" s="66" t="s">
        <v>392</v>
      </c>
      <c r="M21" s="66" t="s">
        <v>398</v>
      </c>
      <c r="N21" s="66" t="s">
        <v>395</v>
      </c>
      <c r="O21" s="66" t="s">
        <v>399</v>
      </c>
    </row>
    <row r="22" spans="1:15">
      <c r="J22" s="368" t="s">
        <v>191</v>
      </c>
      <c r="K22" s="65" t="s">
        <v>400</v>
      </c>
      <c r="L22" s="61">
        <v>5</v>
      </c>
      <c r="M22" s="61">
        <v>10.9</v>
      </c>
      <c r="N22" s="61">
        <v>5</v>
      </c>
      <c r="O22" s="61">
        <v>5.9</v>
      </c>
    </row>
    <row r="23" spans="1:15">
      <c r="J23" s="368"/>
      <c r="K23" s="65" t="s">
        <v>401</v>
      </c>
      <c r="L23" s="61">
        <v>5</v>
      </c>
      <c r="M23" s="61">
        <v>12.2</v>
      </c>
      <c r="N23" s="61">
        <v>5</v>
      </c>
      <c r="O23" s="61">
        <v>5.8</v>
      </c>
    </row>
    <row r="24" spans="1:15">
      <c r="J24" s="368"/>
      <c r="K24" s="65" t="s">
        <v>402</v>
      </c>
      <c r="L24" s="61">
        <v>4.7</v>
      </c>
      <c r="M24" s="61">
        <v>13.4</v>
      </c>
      <c r="N24" s="61">
        <v>4.7</v>
      </c>
      <c r="O24" s="61">
        <v>5.9</v>
      </c>
    </row>
    <row r="25" spans="1:15">
      <c r="J25" s="368"/>
      <c r="K25" s="65" t="s">
        <v>404</v>
      </c>
      <c r="L25" s="61">
        <v>5.6</v>
      </c>
      <c r="M25" s="61">
        <v>9.1999999999999993</v>
      </c>
      <c r="N25" s="61">
        <v>5.6</v>
      </c>
      <c r="O25" s="61">
        <v>6.2</v>
      </c>
    </row>
    <row r="26" spans="1:15">
      <c r="J26" s="368"/>
      <c r="K26" s="65" t="s">
        <v>406</v>
      </c>
      <c r="L26" s="61">
        <v>5.9</v>
      </c>
      <c r="M26" s="61">
        <v>63.2</v>
      </c>
      <c r="N26" s="61">
        <v>5.8</v>
      </c>
      <c r="O26" s="61">
        <v>7.5</v>
      </c>
    </row>
    <row r="27" spans="1:15">
      <c r="J27" s="368"/>
      <c r="K27" s="65" t="s">
        <v>407</v>
      </c>
      <c r="L27" s="61">
        <v>5.9</v>
      </c>
      <c r="M27" s="61">
        <v>26.1</v>
      </c>
      <c r="N27" s="61">
        <v>5.8</v>
      </c>
      <c r="O27" s="61">
        <v>6.4</v>
      </c>
    </row>
    <row r="28" spans="1:15">
      <c r="J28" s="368"/>
      <c r="K28" s="65" t="s">
        <v>408</v>
      </c>
      <c r="L28" s="61">
        <v>6.3</v>
      </c>
      <c r="M28" s="61">
        <v>13.7</v>
      </c>
      <c r="N28" s="61">
        <v>6.3</v>
      </c>
      <c r="O28" s="61">
        <v>7.7</v>
      </c>
    </row>
    <row r="29" spans="1:15">
      <c r="J29" s="368"/>
      <c r="K29" s="65" t="s">
        <v>410</v>
      </c>
      <c r="L29" s="61">
        <v>6.6</v>
      </c>
      <c r="M29" s="61">
        <v>12.4</v>
      </c>
      <c r="N29" s="61">
        <v>6.6</v>
      </c>
      <c r="O29" s="61">
        <v>7.3</v>
      </c>
    </row>
    <row r="30" spans="1:15">
      <c r="J30" s="368"/>
      <c r="K30" s="65" t="s">
        <v>411</v>
      </c>
      <c r="L30" s="61">
        <v>6.1</v>
      </c>
      <c r="M30" s="61">
        <v>16</v>
      </c>
      <c r="N30" s="61">
        <v>6</v>
      </c>
      <c r="O30" s="61">
        <v>6.7</v>
      </c>
    </row>
    <row r="31" spans="1:15">
      <c r="J31" s="368"/>
      <c r="K31" s="65" t="s">
        <v>412</v>
      </c>
      <c r="L31" s="61">
        <v>6.4</v>
      </c>
      <c r="M31" s="61">
        <v>51.7</v>
      </c>
      <c r="N31" s="61">
        <v>6.3</v>
      </c>
      <c r="O31" s="61">
        <v>12.6</v>
      </c>
    </row>
    <row r="32" spans="1:15">
      <c r="J32" s="368"/>
      <c r="K32" s="65" t="s">
        <v>413</v>
      </c>
      <c r="L32" s="61">
        <v>5.7</v>
      </c>
      <c r="M32" s="61">
        <v>27.7</v>
      </c>
      <c r="N32" s="61">
        <v>5.7</v>
      </c>
      <c r="O32" s="61">
        <v>6.7</v>
      </c>
    </row>
    <row r="33" spans="1:15">
      <c r="J33" s="368"/>
      <c r="K33" s="65" t="s">
        <v>414</v>
      </c>
      <c r="L33" s="61">
        <v>5.0999999999999996</v>
      </c>
      <c r="M33" s="61">
        <v>8.1</v>
      </c>
      <c r="N33" s="61">
        <v>5</v>
      </c>
      <c r="O33" s="61">
        <v>5.9</v>
      </c>
    </row>
    <row r="34" spans="1:15">
      <c r="J34" s="368"/>
      <c r="K34" s="61" t="s">
        <v>415</v>
      </c>
      <c r="L34" s="61">
        <v>5.6916666666666664</v>
      </c>
      <c r="M34" s="61">
        <v>63.2</v>
      </c>
      <c r="N34" s="61">
        <v>5.6499999999999995</v>
      </c>
      <c r="O34" s="61">
        <v>12.6</v>
      </c>
    </row>
    <row r="36" spans="1:15" ht="41.4">
      <c r="J36" s="60">
        <f>+A6</f>
        <v>2022</v>
      </c>
      <c r="K36" s="60" t="s">
        <v>397</v>
      </c>
      <c r="L36" s="66" t="s">
        <v>392</v>
      </c>
      <c r="M36" s="66" t="s">
        <v>398</v>
      </c>
      <c r="N36" s="66" t="s">
        <v>395</v>
      </c>
      <c r="O36" s="66" t="s">
        <v>399</v>
      </c>
    </row>
    <row r="37" spans="1:15">
      <c r="J37" s="368" t="s">
        <v>192</v>
      </c>
      <c r="K37" s="65" t="s">
        <v>400</v>
      </c>
      <c r="L37" s="63"/>
      <c r="M37" s="63"/>
      <c r="N37" s="63"/>
      <c r="O37" s="63"/>
    </row>
    <row r="38" spans="1:15">
      <c r="J38" s="368"/>
      <c r="K38" s="65" t="s">
        <v>401</v>
      </c>
      <c r="L38" s="63"/>
      <c r="M38" s="63"/>
      <c r="N38" s="63"/>
      <c r="O38" s="63"/>
    </row>
    <row r="39" spans="1:15">
      <c r="J39" s="368"/>
      <c r="K39" s="65" t="s">
        <v>402</v>
      </c>
      <c r="L39" s="63"/>
      <c r="M39" s="63"/>
      <c r="N39" s="63"/>
      <c r="O39" s="63"/>
    </row>
    <row r="40" spans="1:15">
      <c r="J40" s="368"/>
      <c r="K40" s="65" t="s">
        <v>404</v>
      </c>
      <c r="L40" s="63"/>
      <c r="M40" s="63"/>
      <c r="N40" s="63"/>
      <c r="O40" s="63"/>
    </row>
    <row r="41" spans="1:15">
      <c r="J41" s="368"/>
      <c r="K41" s="65" t="s">
        <v>406</v>
      </c>
      <c r="L41" s="63"/>
      <c r="M41" s="63"/>
      <c r="N41" s="63"/>
      <c r="O41" s="63"/>
    </row>
    <row r="42" spans="1:15">
      <c r="J42" s="368"/>
      <c r="K42" s="65" t="s">
        <v>407</v>
      </c>
      <c r="L42" s="63"/>
      <c r="M42" s="63"/>
      <c r="N42" s="63"/>
      <c r="O42" s="63"/>
    </row>
    <row r="43" spans="1:15">
      <c r="J43" s="368"/>
      <c r="K43" s="65" t="s">
        <v>408</v>
      </c>
      <c r="L43" s="63"/>
      <c r="M43" s="63"/>
      <c r="N43" s="63"/>
      <c r="O43" s="63"/>
    </row>
    <row r="44" spans="1:15">
      <c r="J44" s="368"/>
      <c r="K44" s="65" t="s">
        <v>410</v>
      </c>
      <c r="L44" s="63"/>
      <c r="M44" s="63"/>
      <c r="N44" s="63"/>
      <c r="O44" s="63"/>
    </row>
    <row r="45" spans="1:15">
      <c r="J45" s="368"/>
      <c r="K45" s="65" t="s">
        <v>411</v>
      </c>
      <c r="L45" s="63"/>
      <c r="M45" s="63"/>
      <c r="N45" s="63"/>
      <c r="O45" s="63"/>
    </row>
    <row r="46" spans="1:15">
      <c r="J46" s="368"/>
      <c r="K46" s="65" t="s">
        <v>412</v>
      </c>
      <c r="L46" s="63"/>
      <c r="M46" s="63"/>
      <c r="N46" s="63"/>
      <c r="O46" s="63"/>
    </row>
    <row r="47" spans="1:15">
      <c r="J47" s="368"/>
      <c r="K47" s="65" t="s">
        <v>413</v>
      </c>
      <c r="L47" s="63"/>
      <c r="M47" s="63"/>
      <c r="N47" s="63"/>
      <c r="O47" s="63"/>
    </row>
    <row r="48" spans="1:15">
      <c r="A48" s="359" t="s">
        <v>311</v>
      </c>
      <c r="B48" s="380"/>
      <c r="C48" s="380"/>
      <c r="D48" s="380"/>
      <c r="E48" s="380"/>
      <c r="F48" s="380"/>
      <c r="G48" s="381"/>
      <c r="J48" s="368"/>
      <c r="K48" s="65" t="s">
        <v>414</v>
      </c>
      <c r="L48" s="63"/>
      <c r="M48" s="63"/>
      <c r="N48" s="63"/>
      <c r="O48" s="63"/>
    </row>
    <row r="49" spans="1:15">
      <c r="A49" s="371"/>
      <c r="B49" s="372"/>
      <c r="C49" s="372"/>
      <c r="D49" s="372"/>
      <c r="E49" s="372"/>
      <c r="F49" s="372"/>
      <c r="G49" s="373"/>
      <c r="J49" s="368"/>
      <c r="K49" s="61" t="s">
        <v>415</v>
      </c>
      <c r="L49" s="61" t="e">
        <f>AVERAGE(L37:L48)</f>
        <v>#DIV/0!</v>
      </c>
      <c r="M49" s="61">
        <f>MAX(M37:M48)</f>
        <v>0</v>
      </c>
      <c r="N49" s="61" t="e">
        <f>AVERAGE(N37:N48)</f>
        <v>#DIV/0!</v>
      </c>
      <c r="O49" s="61">
        <f>MAX(O37:O48)</f>
        <v>0</v>
      </c>
    </row>
    <row r="50" spans="1:15">
      <c r="A50" s="374"/>
      <c r="B50" s="375"/>
      <c r="C50" s="375"/>
      <c r="D50" s="375"/>
      <c r="E50" s="375"/>
      <c r="F50" s="375"/>
      <c r="G50" s="376"/>
    </row>
    <row r="51" spans="1:15" ht="41.4">
      <c r="A51" s="374"/>
      <c r="B51" s="375"/>
      <c r="C51" s="375"/>
      <c r="D51" s="375"/>
      <c r="E51" s="375"/>
      <c r="F51" s="375"/>
      <c r="G51" s="376"/>
      <c r="J51" s="60">
        <f>+A6</f>
        <v>2022</v>
      </c>
      <c r="K51" s="60" t="s">
        <v>397</v>
      </c>
      <c r="L51" s="66" t="s">
        <v>392</v>
      </c>
      <c r="M51" s="66" t="s">
        <v>398</v>
      </c>
      <c r="N51" s="66" t="s">
        <v>395</v>
      </c>
      <c r="O51" s="66" t="s">
        <v>399</v>
      </c>
    </row>
    <row r="52" spans="1:15">
      <c r="A52" s="377"/>
      <c r="B52" s="378"/>
      <c r="C52" s="378"/>
      <c r="D52" s="378"/>
      <c r="E52" s="378"/>
      <c r="F52" s="378"/>
      <c r="G52" s="379"/>
      <c r="J52" s="368" t="s">
        <v>193</v>
      </c>
      <c r="K52" s="65" t="s">
        <v>400</v>
      </c>
      <c r="L52" s="63"/>
      <c r="M52" s="63"/>
      <c r="N52" s="63"/>
      <c r="O52" s="63"/>
    </row>
    <row r="53" spans="1:15">
      <c r="J53" s="368"/>
      <c r="K53" s="65" t="s">
        <v>401</v>
      </c>
      <c r="L53" s="63"/>
      <c r="M53" s="63"/>
      <c r="N53" s="63"/>
      <c r="O53" s="63"/>
    </row>
    <row r="54" spans="1:15">
      <c r="J54" s="368"/>
      <c r="K54" s="65" t="s">
        <v>402</v>
      </c>
      <c r="L54" s="63"/>
      <c r="M54" s="63"/>
      <c r="N54" s="63"/>
      <c r="O54" s="63"/>
    </row>
    <row r="55" spans="1:15">
      <c r="J55" s="368"/>
      <c r="K55" s="65" t="s">
        <v>404</v>
      </c>
      <c r="L55" s="63"/>
      <c r="M55" s="63"/>
      <c r="N55" s="63"/>
      <c r="O55" s="63"/>
    </row>
    <row r="56" spans="1:15">
      <c r="J56" s="368"/>
      <c r="K56" s="65" t="s">
        <v>406</v>
      </c>
      <c r="L56" s="63"/>
      <c r="M56" s="63"/>
      <c r="N56" s="63"/>
      <c r="O56" s="63"/>
    </row>
    <row r="57" spans="1:15">
      <c r="J57" s="368"/>
      <c r="K57" s="65" t="s">
        <v>407</v>
      </c>
      <c r="L57" s="63"/>
      <c r="M57" s="63"/>
      <c r="N57" s="63"/>
      <c r="O57" s="63"/>
    </row>
    <row r="58" spans="1:15">
      <c r="J58" s="368"/>
      <c r="K58" s="65" t="s">
        <v>408</v>
      </c>
      <c r="L58" s="63"/>
      <c r="M58" s="63"/>
      <c r="N58" s="63"/>
      <c r="O58" s="63"/>
    </row>
    <row r="59" spans="1:15">
      <c r="J59" s="368"/>
      <c r="K59" s="65" t="s">
        <v>410</v>
      </c>
      <c r="L59" s="63"/>
      <c r="M59" s="63"/>
      <c r="N59" s="63"/>
      <c r="O59" s="63"/>
    </row>
    <row r="60" spans="1:15">
      <c r="J60" s="368"/>
      <c r="K60" s="65" t="s">
        <v>411</v>
      </c>
      <c r="L60" s="63"/>
      <c r="M60" s="63"/>
      <c r="N60" s="63"/>
      <c r="O60" s="63"/>
    </row>
    <row r="61" spans="1:15">
      <c r="J61" s="368"/>
      <c r="K61" s="65" t="s">
        <v>412</v>
      </c>
      <c r="L61" s="63"/>
      <c r="M61" s="63"/>
      <c r="N61" s="63"/>
      <c r="O61" s="63"/>
    </row>
    <row r="62" spans="1:15">
      <c r="J62" s="368"/>
      <c r="K62" s="65" t="s">
        <v>413</v>
      </c>
      <c r="L62" s="63"/>
      <c r="M62" s="63"/>
      <c r="N62" s="63"/>
      <c r="O62" s="63"/>
    </row>
    <row r="63" spans="1:15">
      <c r="J63" s="368"/>
      <c r="K63" s="65" t="s">
        <v>414</v>
      </c>
      <c r="L63" s="63"/>
      <c r="M63" s="63"/>
      <c r="N63" s="63"/>
      <c r="O63" s="63"/>
    </row>
    <row r="64" spans="1:15">
      <c r="J64" s="368"/>
      <c r="K64" s="61" t="s">
        <v>415</v>
      </c>
      <c r="L64" s="61" t="e">
        <f>AVERAGE(L52:L63)</f>
        <v>#DIV/0!</v>
      </c>
      <c r="M64" s="61">
        <f>MAX(M52:M63)</f>
        <v>0</v>
      </c>
      <c r="N64" s="61" t="e">
        <f>AVERAGE(N52:N63)</f>
        <v>#DIV/0!</v>
      </c>
      <c r="O64" s="61">
        <f>MAX(O52:O63)</f>
        <v>0</v>
      </c>
    </row>
    <row r="66" spans="10:15" ht="41.4">
      <c r="J66" s="60">
        <f>+A6</f>
        <v>2022</v>
      </c>
      <c r="K66" s="60" t="s">
        <v>397</v>
      </c>
      <c r="L66" s="66" t="s">
        <v>392</v>
      </c>
      <c r="M66" s="66" t="s">
        <v>398</v>
      </c>
      <c r="N66" s="66" t="s">
        <v>395</v>
      </c>
      <c r="O66" s="66" t="s">
        <v>399</v>
      </c>
    </row>
    <row r="67" spans="10:15">
      <c r="J67" s="368" t="s">
        <v>194</v>
      </c>
      <c r="K67" s="65" t="s">
        <v>400</v>
      </c>
      <c r="L67" s="63"/>
      <c r="M67" s="63"/>
      <c r="N67" s="63"/>
      <c r="O67" s="63"/>
    </row>
    <row r="68" spans="10:15">
      <c r="J68" s="368"/>
      <c r="K68" s="65" t="s">
        <v>401</v>
      </c>
      <c r="L68" s="63"/>
      <c r="M68" s="63"/>
      <c r="N68" s="63"/>
      <c r="O68" s="63"/>
    </row>
    <row r="69" spans="10:15">
      <c r="J69" s="368"/>
      <c r="K69" s="65" t="s">
        <v>402</v>
      </c>
      <c r="L69" s="63"/>
      <c r="M69" s="63"/>
      <c r="N69" s="63"/>
      <c r="O69" s="63"/>
    </row>
    <row r="70" spans="10:15">
      <c r="J70" s="368"/>
      <c r="K70" s="65" t="s">
        <v>404</v>
      </c>
      <c r="L70" s="63"/>
      <c r="M70" s="63"/>
      <c r="N70" s="63"/>
      <c r="O70" s="63"/>
    </row>
    <row r="71" spans="10:15">
      <c r="J71" s="368"/>
      <c r="K71" s="65" t="s">
        <v>406</v>
      </c>
      <c r="L71" s="63"/>
      <c r="M71" s="63"/>
      <c r="N71" s="63"/>
      <c r="O71" s="63"/>
    </row>
    <row r="72" spans="10:15">
      <c r="J72" s="368"/>
      <c r="K72" s="65" t="s">
        <v>407</v>
      </c>
      <c r="L72" s="63"/>
      <c r="M72" s="63"/>
      <c r="N72" s="63"/>
      <c r="O72" s="63"/>
    </row>
    <row r="73" spans="10:15">
      <c r="J73" s="368"/>
      <c r="K73" s="65" t="s">
        <v>408</v>
      </c>
      <c r="L73" s="63"/>
      <c r="M73" s="63"/>
      <c r="N73" s="63"/>
      <c r="O73" s="63"/>
    </row>
    <row r="74" spans="10:15">
      <c r="J74" s="368"/>
      <c r="K74" s="65" t="s">
        <v>410</v>
      </c>
      <c r="L74" s="63"/>
      <c r="M74" s="63"/>
      <c r="N74" s="63"/>
      <c r="O74" s="63"/>
    </row>
    <row r="75" spans="10:15">
      <c r="J75" s="368"/>
      <c r="K75" s="65" t="s">
        <v>411</v>
      </c>
      <c r="L75" s="63"/>
      <c r="M75" s="63"/>
      <c r="N75" s="63"/>
      <c r="O75" s="63"/>
    </row>
    <row r="76" spans="10:15">
      <c r="J76" s="368"/>
      <c r="K76" s="65" t="s">
        <v>412</v>
      </c>
      <c r="L76" s="63"/>
      <c r="M76" s="63"/>
      <c r="N76" s="63"/>
      <c r="O76" s="63"/>
    </row>
    <row r="77" spans="10:15">
      <c r="J77" s="368"/>
      <c r="K77" s="65" t="s">
        <v>413</v>
      </c>
      <c r="L77" s="63"/>
      <c r="M77" s="63"/>
      <c r="N77" s="63"/>
      <c r="O77" s="63"/>
    </row>
    <row r="78" spans="10:15">
      <c r="J78" s="368"/>
      <c r="K78" s="65" t="s">
        <v>414</v>
      </c>
      <c r="L78" s="63"/>
      <c r="M78" s="63"/>
      <c r="N78" s="63"/>
      <c r="O78" s="63"/>
    </row>
    <row r="79" spans="10:15">
      <c r="J79" s="368"/>
      <c r="K79" s="61" t="s">
        <v>415</v>
      </c>
      <c r="L79" s="61" t="e">
        <f>AVERAGE(L67:L78)</f>
        <v>#DIV/0!</v>
      </c>
      <c r="M79" s="61">
        <f>MAX(M67:M78)</f>
        <v>0</v>
      </c>
      <c r="N79" s="61" t="e">
        <f>AVERAGE(N67:N78)</f>
        <v>#DIV/0!</v>
      </c>
      <c r="O79" s="61">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honeticPr fontId="25" type="noConversion"/>
  <pageMargins left="0.7" right="0.7" top="0.75" bottom="0.75" header="0.3" footer="0.3"/>
  <pageSetup paperSize="9" scale="75" fitToHeight="0" orientation="portrait" r:id="rId1"/>
  <headerFooter scaleWithDoc="0">
    <oddFooter>&amp;C&amp;"Arial,Regular"Page &amp;P</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workbookViewId="0">
      <selection activeCell="F11" sqref="F11"/>
    </sheetView>
  </sheetViews>
  <sheetFormatPr defaultRowHeight="13.8"/>
  <cols>
    <col min="1" max="1" width="14" style="3" customWidth="1"/>
    <col min="2" max="4" width="17" style="35" customWidth="1"/>
    <col min="5" max="5" width="14.77734375" style="35" customWidth="1"/>
    <col min="6" max="7" width="17" style="35" customWidth="1"/>
    <col min="8" max="11" width="9.21875" style="3"/>
    <col min="12" max="12" width="15.44140625" style="3" customWidth="1"/>
    <col min="13" max="13" width="17.44140625" style="3" bestFit="1" customWidth="1"/>
    <col min="14" max="14" width="13.77734375" style="3" customWidth="1"/>
    <col min="15" max="15" width="15" style="3" customWidth="1"/>
    <col min="16" max="18" width="9.21875" style="3"/>
    <col min="19" max="19" width="22" style="3" customWidth="1"/>
    <col min="20" max="256" width="9.21875" style="3"/>
    <col min="257" max="257" width="14" style="3" customWidth="1"/>
    <col min="258" max="263" width="10.21875" style="3" customWidth="1"/>
    <col min="264" max="512" width="9.21875" style="3"/>
    <col min="513" max="513" width="14" style="3" customWidth="1"/>
    <col min="514" max="519" width="10.21875" style="3" customWidth="1"/>
    <col min="520" max="768" width="9.21875" style="3"/>
    <col min="769" max="769" width="14" style="3" customWidth="1"/>
    <col min="770" max="775" width="10.21875" style="3" customWidth="1"/>
    <col min="776" max="1024" width="9.21875" style="3"/>
    <col min="1025" max="1025" width="14" style="3" customWidth="1"/>
    <col min="1026" max="1031" width="10.21875" style="3" customWidth="1"/>
    <col min="1032" max="1280" width="9.21875" style="3"/>
    <col min="1281" max="1281" width="14" style="3" customWidth="1"/>
    <col min="1282" max="1287" width="10.21875" style="3" customWidth="1"/>
    <col min="1288" max="1536" width="9.21875" style="3"/>
    <col min="1537" max="1537" width="14" style="3" customWidth="1"/>
    <col min="1538" max="1543" width="10.21875" style="3" customWidth="1"/>
    <col min="1544" max="1792" width="9.21875" style="3"/>
    <col min="1793" max="1793" width="14" style="3" customWidth="1"/>
    <col min="1794" max="1799" width="10.21875" style="3" customWidth="1"/>
    <col min="1800" max="2048" width="9.21875" style="3"/>
    <col min="2049" max="2049" width="14" style="3" customWidth="1"/>
    <col min="2050" max="2055" width="10.21875" style="3" customWidth="1"/>
    <col min="2056" max="2304" width="9.21875" style="3"/>
    <col min="2305" max="2305" width="14" style="3" customWidth="1"/>
    <col min="2306" max="2311" width="10.21875" style="3" customWidth="1"/>
    <col min="2312" max="2560" width="9.21875" style="3"/>
    <col min="2561" max="2561" width="14" style="3" customWidth="1"/>
    <col min="2562" max="2567" width="10.21875" style="3" customWidth="1"/>
    <col min="2568" max="2816" width="9.21875" style="3"/>
    <col min="2817" max="2817" width="14" style="3" customWidth="1"/>
    <col min="2818" max="2823" width="10.21875" style="3" customWidth="1"/>
    <col min="2824" max="3072" width="9.21875" style="3"/>
    <col min="3073" max="3073" width="14" style="3" customWidth="1"/>
    <col min="3074" max="3079" width="10.21875" style="3" customWidth="1"/>
    <col min="3080" max="3328" width="9.21875" style="3"/>
    <col min="3329" max="3329" width="14" style="3" customWidth="1"/>
    <col min="3330" max="3335" width="10.21875" style="3" customWidth="1"/>
    <col min="3336" max="3584" width="9.21875" style="3"/>
    <col min="3585" max="3585" width="14" style="3" customWidth="1"/>
    <col min="3586" max="3591" width="10.21875" style="3" customWidth="1"/>
    <col min="3592" max="3840" width="9.21875" style="3"/>
    <col min="3841" max="3841" width="14" style="3" customWidth="1"/>
    <col min="3842" max="3847" width="10.21875" style="3" customWidth="1"/>
    <col min="3848" max="4096" width="9.21875" style="3"/>
    <col min="4097" max="4097" width="14" style="3" customWidth="1"/>
    <col min="4098" max="4103" width="10.21875" style="3" customWidth="1"/>
    <col min="4104" max="4352" width="9.21875" style="3"/>
    <col min="4353" max="4353" width="14" style="3" customWidth="1"/>
    <col min="4354" max="4359" width="10.21875" style="3" customWidth="1"/>
    <col min="4360" max="4608" width="9.21875" style="3"/>
    <col min="4609" max="4609" width="14" style="3" customWidth="1"/>
    <col min="4610" max="4615" width="10.21875" style="3" customWidth="1"/>
    <col min="4616" max="4864" width="9.21875" style="3"/>
    <col min="4865" max="4865" width="14" style="3" customWidth="1"/>
    <col min="4866" max="4871" width="10.21875" style="3" customWidth="1"/>
    <col min="4872" max="5120" width="9.21875" style="3"/>
    <col min="5121" max="5121" width="14" style="3" customWidth="1"/>
    <col min="5122" max="5127" width="10.21875" style="3" customWidth="1"/>
    <col min="5128" max="5376" width="9.21875" style="3"/>
    <col min="5377" max="5377" width="14" style="3" customWidth="1"/>
    <col min="5378" max="5383" width="10.21875" style="3" customWidth="1"/>
    <col min="5384" max="5632" width="9.21875" style="3"/>
    <col min="5633" max="5633" width="14" style="3" customWidth="1"/>
    <col min="5634" max="5639" width="10.21875" style="3" customWidth="1"/>
    <col min="5640" max="5888" width="9.21875" style="3"/>
    <col min="5889" max="5889" width="14" style="3" customWidth="1"/>
    <col min="5890" max="5895" width="10.21875" style="3" customWidth="1"/>
    <col min="5896" max="6144" width="9.21875" style="3"/>
    <col min="6145" max="6145" width="14" style="3" customWidth="1"/>
    <col min="6146" max="6151" width="10.21875" style="3" customWidth="1"/>
    <col min="6152" max="6400" width="9.21875" style="3"/>
    <col min="6401" max="6401" width="14" style="3" customWidth="1"/>
    <col min="6402" max="6407" width="10.21875" style="3" customWidth="1"/>
    <col min="6408" max="6656" width="9.21875" style="3"/>
    <col min="6657" max="6657" width="14" style="3" customWidth="1"/>
    <col min="6658" max="6663" width="10.21875" style="3" customWidth="1"/>
    <col min="6664" max="6912" width="9.21875" style="3"/>
    <col min="6913" max="6913" width="14" style="3" customWidth="1"/>
    <col min="6914" max="6919" width="10.21875" style="3" customWidth="1"/>
    <col min="6920" max="7168" width="9.21875" style="3"/>
    <col min="7169" max="7169" width="14" style="3" customWidth="1"/>
    <col min="7170" max="7175" width="10.21875" style="3" customWidth="1"/>
    <col min="7176" max="7424" width="9.21875" style="3"/>
    <col min="7425" max="7425" width="14" style="3" customWidth="1"/>
    <col min="7426" max="7431" width="10.21875" style="3" customWidth="1"/>
    <col min="7432" max="7680" width="9.21875" style="3"/>
    <col min="7681" max="7681" width="14" style="3" customWidth="1"/>
    <col min="7682" max="7687" width="10.21875" style="3" customWidth="1"/>
    <col min="7688" max="7936" width="9.21875" style="3"/>
    <col min="7937" max="7937" width="14" style="3" customWidth="1"/>
    <col min="7938" max="7943" width="10.21875" style="3" customWidth="1"/>
    <col min="7944" max="8192" width="9.21875" style="3"/>
    <col min="8193" max="8193" width="14" style="3" customWidth="1"/>
    <col min="8194" max="8199" width="10.21875" style="3" customWidth="1"/>
    <col min="8200" max="8448" width="9.21875" style="3"/>
    <col min="8449" max="8449" width="14" style="3" customWidth="1"/>
    <col min="8450" max="8455" width="10.21875" style="3" customWidth="1"/>
    <col min="8456" max="8704" width="9.21875" style="3"/>
    <col min="8705" max="8705" width="14" style="3" customWidth="1"/>
    <col min="8706" max="8711" width="10.21875" style="3" customWidth="1"/>
    <col min="8712" max="8960" width="9.21875" style="3"/>
    <col min="8961" max="8961" width="14" style="3" customWidth="1"/>
    <col min="8962" max="8967" width="10.21875" style="3" customWidth="1"/>
    <col min="8968" max="9216" width="9.21875" style="3"/>
    <col min="9217" max="9217" width="14" style="3" customWidth="1"/>
    <col min="9218" max="9223" width="10.21875" style="3" customWidth="1"/>
    <col min="9224" max="9472" width="9.21875" style="3"/>
    <col min="9473" max="9473" width="14" style="3" customWidth="1"/>
    <col min="9474" max="9479" width="10.21875" style="3" customWidth="1"/>
    <col min="9480" max="9728" width="9.21875" style="3"/>
    <col min="9729" max="9729" width="14" style="3" customWidth="1"/>
    <col min="9730" max="9735" width="10.21875" style="3" customWidth="1"/>
    <col min="9736" max="9984" width="9.21875" style="3"/>
    <col min="9985" max="9985" width="14" style="3" customWidth="1"/>
    <col min="9986" max="9991" width="10.21875" style="3" customWidth="1"/>
    <col min="9992" max="10240" width="9.21875" style="3"/>
    <col min="10241" max="10241" width="14" style="3" customWidth="1"/>
    <col min="10242" max="10247" width="10.21875" style="3" customWidth="1"/>
    <col min="10248" max="10496" width="9.21875" style="3"/>
    <col min="10497" max="10497" width="14" style="3" customWidth="1"/>
    <col min="10498" max="10503" width="10.21875" style="3" customWidth="1"/>
    <col min="10504" max="10752" width="9.21875" style="3"/>
    <col min="10753" max="10753" width="14" style="3" customWidth="1"/>
    <col min="10754" max="10759" width="10.21875" style="3" customWidth="1"/>
    <col min="10760" max="11008" width="9.21875" style="3"/>
    <col min="11009" max="11009" width="14" style="3" customWidth="1"/>
    <col min="11010" max="11015" width="10.21875" style="3" customWidth="1"/>
    <col min="11016" max="11264" width="9.21875" style="3"/>
    <col min="11265" max="11265" width="14" style="3" customWidth="1"/>
    <col min="11266" max="11271" width="10.21875" style="3" customWidth="1"/>
    <col min="11272" max="11520" width="9.21875" style="3"/>
    <col min="11521" max="11521" width="14" style="3" customWidth="1"/>
    <col min="11522" max="11527" width="10.21875" style="3" customWidth="1"/>
    <col min="11528" max="11776" width="9.21875" style="3"/>
    <col min="11777" max="11777" width="14" style="3" customWidth="1"/>
    <col min="11778" max="11783" width="10.21875" style="3" customWidth="1"/>
    <col min="11784" max="12032" width="9.21875" style="3"/>
    <col min="12033" max="12033" width="14" style="3" customWidth="1"/>
    <col min="12034" max="12039" width="10.21875" style="3" customWidth="1"/>
    <col min="12040" max="12288" width="9.21875" style="3"/>
    <col min="12289" max="12289" width="14" style="3" customWidth="1"/>
    <col min="12290" max="12295" width="10.21875" style="3" customWidth="1"/>
    <col min="12296" max="12544" width="9.21875" style="3"/>
    <col min="12545" max="12545" width="14" style="3" customWidth="1"/>
    <col min="12546" max="12551" width="10.21875" style="3" customWidth="1"/>
    <col min="12552" max="12800" width="9.21875" style="3"/>
    <col min="12801" max="12801" width="14" style="3" customWidth="1"/>
    <col min="12802" max="12807" width="10.21875" style="3" customWidth="1"/>
    <col min="12808" max="13056" width="9.21875" style="3"/>
    <col min="13057" max="13057" width="14" style="3" customWidth="1"/>
    <col min="13058" max="13063" width="10.21875" style="3" customWidth="1"/>
    <col min="13064" max="13312" width="9.21875" style="3"/>
    <col min="13313" max="13313" width="14" style="3" customWidth="1"/>
    <col min="13314" max="13319" width="10.21875" style="3" customWidth="1"/>
    <col min="13320" max="13568" width="9.21875" style="3"/>
    <col min="13569" max="13569" width="14" style="3" customWidth="1"/>
    <col min="13570" max="13575" width="10.21875" style="3" customWidth="1"/>
    <col min="13576" max="13824" width="9.21875" style="3"/>
    <col min="13825" max="13825" width="14" style="3" customWidth="1"/>
    <col min="13826" max="13831" width="10.21875" style="3" customWidth="1"/>
    <col min="13832" max="14080" width="9.21875" style="3"/>
    <col min="14081" max="14081" width="14" style="3" customWidth="1"/>
    <col min="14082" max="14087" width="10.21875" style="3" customWidth="1"/>
    <col min="14088" max="14336" width="9.21875" style="3"/>
    <col min="14337" max="14337" width="14" style="3" customWidth="1"/>
    <col min="14338" max="14343" width="10.21875" style="3" customWidth="1"/>
    <col min="14344" max="14592" width="9.21875" style="3"/>
    <col min="14593" max="14593" width="14" style="3" customWidth="1"/>
    <col min="14594" max="14599" width="10.21875" style="3" customWidth="1"/>
    <col min="14600" max="14848" width="9.21875" style="3"/>
    <col min="14849" max="14849" width="14" style="3" customWidth="1"/>
    <col min="14850" max="14855" width="10.21875" style="3" customWidth="1"/>
    <col min="14856" max="15104" width="9.21875" style="3"/>
    <col min="15105" max="15105" width="14" style="3" customWidth="1"/>
    <col min="15106" max="15111" width="10.21875" style="3" customWidth="1"/>
    <col min="15112" max="15360" width="9.21875" style="3"/>
    <col min="15361" max="15361" width="14" style="3" customWidth="1"/>
    <col min="15362" max="15367" width="10.21875" style="3" customWidth="1"/>
    <col min="15368" max="15616" width="9.21875" style="3"/>
    <col min="15617" max="15617" width="14" style="3" customWidth="1"/>
    <col min="15618" max="15623" width="10.21875" style="3" customWidth="1"/>
    <col min="15624" max="15872" width="9.21875" style="3"/>
    <col min="15873" max="15873" width="14" style="3" customWidth="1"/>
    <col min="15874" max="15879" width="10.21875" style="3" customWidth="1"/>
    <col min="15880" max="16128" width="9.21875" style="3"/>
    <col min="16129" max="16129" width="14" style="3" customWidth="1"/>
    <col min="16130" max="16135" width="10.21875" style="3" customWidth="1"/>
    <col min="16136" max="16384" width="9.21875" style="3"/>
  </cols>
  <sheetData>
    <row r="1" spans="1:19" ht="15">
      <c r="A1" s="92" t="s">
        <v>5</v>
      </c>
      <c r="B1" s="92"/>
      <c r="C1" s="92"/>
      <c r="D1" s="92"/>
      <c r="E1" s="92" t="s">
        <v>7</v>
      </c>
      <c r="F1" s="92"/>
      <c r="G1" s="92"/>
    </row>
    <row r="3" spans="1:19" ht="14.4">
      <c r="A3" s="59" t="s">
        <v>416</v>
      </c>
      <c r="D3" s="75" t="s">
        <v>384</v>
      </c>
      <c r="G3" s="79" t="s">
        <v>385</v>
      </c>
      <c r="J3" s="9" t="s">
        <v>416</v>
      </c>
      <c r="L3" s="9"/>
      <c r="N3" s="9" t="s">
        <v>386</v>
      </c>
      <c r="Q3" s="78" t="s">
        <v>3</v>
      </c>
      <c r="R3" s="73"/>
      <c r="S3" s="73"/>
    </row>
    <row r="4" spans="1:19" ht="13.95" customHeight="1">
      <c r="Q4" s="345" t="s">
        <v>387</v>
      </c>
      <c r="R4" s="345"/>
      <c r="S4" s="345"/>
    </row>
    <row r="5" spans="1:19" ht="16.2">
      <c r="A5" s="67" t="s">
        <v>388</v>
      </c>
      <c r="B5" s="370" t="s">
        <v>389</v>
      </c>
      <c r="C5" s="370"/>
      <c r="D5" s="370"/>
      <c r="E5" s="370" t="s">
        <v>390</v>
      </c>
      <c r="F5" s="370"/>
      <c r="G5" s="370"/>
      <c r="J5" s="369"/>
      <c r="K5" s="369"/>
      <c r="L5" s="369"/>
      <c r="M5" s="369"/>
      <c r="N5" s="369"/>
      <c r="O5" s="369"/>
      <c r="Q5" s="345"/>
      <c r="R5" s="345"/>
      <c r="S5" s="345"/>
    </row>
    <row r="6" spans="1:19" s="57" customFormat="1" ht="37.5" customHeight="1">
      <c r="A6" s="64">
        <v>2022</v>
      </c>
      <c r="B6" s="54" t="s">
        <v>417</v>
      </c>
      <c r="C6" s="54" t="s">
        <v>392</v>
      </c>
      <c r="D6" s="54" t="s">
        <v>393</v>
      </c>
      <c r="E6" s="54" t="s">
        <v>418</v>
      </c>
      <c r="F6" s="54" t="s">
        <v>395</v>
      </c>
      <c r="G6" s="54" t="s">
        <v>396</v>
      </c>
      <c r="H6" s="58"/>
      <c r="J6" s="60">
        <v>2022</v>
      </c>
      <c r="K6" s="60" t="s">
        <v>397</v>
      </c>
      <c r="L6" s="66" t="s">
        <v>392</v>
      </c>
      <c r="M6" s="66" t="s">
        <v>398</v>
      </c>
      <c r="N6" s="66" t="s">
        <v>395</v>
      </c>
      <c r="O6" s="66" t="s">
        <v>399</v>
      </c>
      <c r="Q6" s="345"/>
      <c r="R6" s="345"/>
      <c r="S6" s="345"/>
    </row>
    <row r="7" spans="1:19">
      <c r="A7" s="65" t="s">
        <v>400</v>
      </c>
      <c r="B7" s="62">
        <v>200</v>
      </c>
      <c r="C7" s="63">
        <v>29.8</v>
      </c>
      <c r="D7" s="63">
        <v>97.4</v>
      </c>
      <c r="E7" s="62">
        <v>50</v>
      </c>
      <c r="F7" s="63">
        <v>29.7</v>
      </c>
      <c r="G7" s="63">
        <v>40.700000000000003</v>
      </c>
      <c r="J7" s="368" t="s">
        <v>190</v>
      </c>
      <c r="K7" s="65" t="s">
        <v>400</v>
      </c>
      <c r="L7" s="63">
        <v>13.3</v>
      </c>
      <c r="M7" s="63">
        <v>45.8</v>
      </c>
      <c r="N7" s="63">
        <v>13.2</v>
      </c>
      <c r="O7" s="63">
        <v>20.2</v>
      </c>
      <c r="Q7" s="345"/>
      <c r="R7" s="345"/>
      <c r="S7" s="345"/>
    </row>
    <row r="8" spans="1:19">
      <c r="A8" s="65" t="s">
        <v>401</v>
      </c>
      <c r="B8" s="62">
        <v>200</v>
      </c>
      <c r="C8" s="63">
        <v>34.599999999999994</v>
      </c>
      <c r="D8" s="63">
        <v>121.8</v>
      </c>
      <c r="E8" s="62">
        <v>50</v>
      </c>
      <c r="F8" s="63">
        <v>34.4</v>
      </c>
      <c r="G8" s="63">
        <v>43.5</v>
      </c>
      <c r="J8" s="368"/>
      <c r="K8" s="65" t="s">
        <v>401</v>
      </c>
      <c r="L8" s="63">
        <v>14.7</v>
      </c>
      <c r="M8" s="63">
        <v>74</v>
      </c>
      <c r="N8" s="63">
        <v>14.6</v>
      </c>
      <c r="O8" s="63">
        <v>20</v>
      </c>
      <c r="Q8" s="345"/>
      <c r="R8" s="345"/>
      <c r="S8" s="345"/>
    </row>
    <row r="9" spans="1:19">
      <c r="A9" s="65" t="s">
        <v>402</v>
      </c>
      <c r="B9" s="62">
        <v>200</v>
      </c>
      <c r="C9" s="63">
        <v>33.9</v>
      </c>
      <c r="D9" s="63">
        <v>185.7</v>
      </c>
      <c r="E9" s="62">
        <v>50</v>
      </c>
      <c r="F9" s="63">
        <v>33.799999999999997</v>
      </c>
      <c r="G9" s="63">
        <v>49.4</v>
      </c>
      <c r="J9" s="368"/>
      <c r="K9" s="65" t="s">
        <v>402</v>
      </c>
      <c r="L9" s="63">
        <v>14.7</v>
      </c>
      <c r="M9" s="63">
        <v>108.1</v>
      </c>
      <c r="N9" s="63">
        <v>14.7</v>
      </c>
      <c r="O9" s="63">
        <v>21.7</v>
      </c>
      <c r="Q9" s="77" t="s">
        <v>403</v>
      </c>
    </row>
    <row r="10" spans="1:19" ht="14.25" customHeight="1">
      <c r="A10" s="65" t="s">
        <v>404</v>
      </c>
      <c r="B10" s="62">
        <v>200</v>
      </c>
      <c r="C10" s="63">
        <v>26.6</v>
      </c>
      <c r="D10" s="63">
        <v>98.2</v>
      </c>
      <c r="E10" s="62">
        <v>50</v>
      </c>
      <c r="F10" s="63">
        <v>26.4</v>
      </c>
      <c r="G10" s="63">
        <v>34.700000000000003</v>
      </c>
      <c r="J10" s="368"/>
      <c r="K10" s="65" t="s">
        <v>404</v>
      </c>
      <c r="L10" s="63">
        <v>12.9</v>
      </c>
      <c r="M10" s="63">
        <v>38.5</v>
      </c>
      <c r="N10" s="63">
        <v>12.8</v>
      </c>
      <c r="O10" s="63">
        <v>14.6</v>
      </c>
      <c r="Q10" s="367" t="s">
        <v>405</v>
      </c>
      <c r="R10" s="367"/>
      <c r="S10" s="367"/>
    </row>
    <row r="11" spans="1:19">
      <c r="A11" s="65" t="s">
        <v>406</v>
      </c>
      <c r="B11" s="62">
        <v>200</v>
      </c>
      <c r="C11" s="63">
        <v>29.5</v>
      </c>
      <c r="D11" s="63">
        <v>97</v>
      </c>
      <c r="E11" s="62">
        <v>50</v>
      </c>
      <c r="F11" s="63">
        <v>29.5</v>
      </c>
      <c r="G11" s="63">
        <v>37.400000000000006</v>
      </c>
      <c r="J11" s="368"/>
      <c r="K11" s="65" t="s">
        <v>406</v>
      </c>
      <c r="L11" s="63">
        <v>14.7</v>
      </c>
      <c r="M11" s="63">
        <v>46.5</v>
      </c>
      <c r="N11" s="63">
        <v>14.7</v>
      </c>
      <c r="O11" s="63">
        <v>19.100000000000001</v>
      </c>
      <c r="Q11" s="367"/>
      <c r="R11" s="367"/>
      <c r="S11" s="367"/>
    </row>
    <row r="12" spans="1:19">
      <c r="A12" s="65" t="s">
        <v>407</v>
      </c>
      <c r="B12" s="62">
        <v>200</v>
      </c>
      <c r="C12" s="63">
        <v>30.6</v>
      </c>
      <c r="D12" s="63">
        <v>143.80000000000001</v>
      </c>
      <c r="E12" s="62">
        <v>50</v>
      </c>
      <c r="F12" s="63">
        <v>30.400000000000002</v>
      </c>
      <c r="G12" s="63">
        <v>40.1</v>
      </c>
      <c r="J12" s="368"/>
      <c r="K12" s="65" t="s">
        <v>407</v>
      </c>
      <c r="L12" s="63">
        <v>14.4</v>
      </c>
      <c r="M12" s="63">
        <v>77</v>
      </c>
      <c r="N12" s="63">
        <v>14.3</v>
      </c>
      <c r="O12" s="63">
        <v>17.8</v>
      </c>
      <c r="Q12" s="367"/>
      <c r="R12" s="367"/>
      <c r="S12" s="367"/>
    </row>
    <row r="13" spans="1:19" ht="14.25" customHeight="1">
      <c r="A13" s="65" t="s">
        <v>408</v>
      </c>
      <c r="B13" s="62">
        <v>200</v>
      </c>
      <c r="C13" s="63">
        <v>36.799999999999997</v>
      </c>
      <c r="D13" s="63">
        <v>151.30000000000001</v>
      </c>
      <c r="E13" s="62">
        <v>50</v>
      </c>
      <c r="F13" s="63">
        <v>35</v>
      </c>
      <c r="G13" s="63">
        <v>68.7</v>
      </c>
      <c r="J13" s="368"/>
      <c r="K13" s="65" t="s">
        <v>408</v>
      </c>
      <c r="L13" s="63">
        <v>17.899999999999999</v>
      </c>
      <c r="M13" s="63">
        <v>104.5</v>
      </c>
      <c r="N13" s="63">
        <v>16.100000000000001</v>
      </c>
      <c r="O13" s="63">
        <v>38.200000000000003</v>
      </c>
      <c r="Q13" s="367" t="s">
        <v>409</v>
      </c>
      <c r="R13" s="367"/>
      <c r="S13" s="367"/>
    </row>
    <row r="14" spans="1:19">
      <c r="A14" s="65" t="s">
        <v>410</v>
      </c>
      <c r="B14" s="62">
        <v>200</v>
      </c>
      <c r="C14" s="63">
        <v>23.1</v>
      </c>
      <c r="D14" s="63">
        <v>146.4</v>
      </c>
      <c r="E14" s="62">
        <v>50</v>
      </c>
      <c r="F14" s="63">
        <v>23.2</v>
      </c>
      <c r="G14" s="63">
        <v>37.900000000000006</v>
      </c>
      <c r="J14" s="368"/>
      <c r="K14" s="65" t="s">
        <v>410</v>
      </c>
      <c r="L14" s="63">
        <v>10.5</v>
      </c>
      <c r="M14" s="63">
        <v>102.8</v>
      </c>
      <c r="N14" s="63">
        <v>10.6</v>
      </c>
      <c r="O14" s="63">
        <v>16.600000000000001</v>
      </c>
      <c r="Q14" s="367"/>
      <c r="R14" s="367"/>
      <c r="S14" s="367"/>
    </row>
    <row r="15" spans="1:19">
      <c r="A15" s="65" t="s">
        <v>411</v>
      </c>
      <c r="B15" s="62">
        <v>200</v>
      </c>
      <c r="C15" s="63">
        <v>19.2</v>
      </c>
      <c r="D15" s="63">
        <v>75.099999999999994</v>
      </c>
      <c r="E15" s="62">
        <v>50</v>
      </c>
      <c r="F15" s="63">
        <v>19.2</v>
      </c>
      <c r="G15" s="63">
        <v>27.8</v>
      </c>
      <c r="J15" s="368"/>
      <c r="K15" s="65" t="s">
        <v>411</v>
      </c>
      <c r="L15" s="63">
        <v>10.5</v>
      </c>
      <c r="M15" s="63">
        <v>52.6</v>
      </c>
      <c r="N15" s="63">
        <v>10.5</v>
      </c>
      <c r="O15" s="63">
        <v>16.100000000000001</v>
      </c>
      <c r="Q15" s="367"/>
      <c r="R15" s="367"/>
      <c r="S15" s="367"/>
    </row>
    <row r="16" spans="1:19">
      <c r="A16" s="65" t="s">
        <v>412</v>
      </c>
      <c r="B16" s="62">
        <v>200</v>
      </c>
      <c r="C16" s="63">
        <v>27.8</v>
      </c>
      <c r="D16" s="63">
        <v>154.1</v>
      </c>
      <c r="E16" s="62">
        <v>50</v>
      </c>
      <c r="F16" s="63">
        <v>27.4</v>
      </c>
      <c r="G16" s="63">
        <v>60.7</v>
      </c>
      <c r="J16" s="368"/>
      <c r="K16" s="65" t="s">
        <v>412</v>
      </c>
      <c r="L16" s="63">
        <v>15.5</v>
      </c>
      <c r="M16" s="63">
        <v>54.5</v>
      </c>
      <c r="N16" s="63">
        <v>15.4</v>
      </c>
      <c r="O16" s="63">
        <v>31</v>
      </c>
      <c r="Q16" s="367"/>
      <c r="R16" s="367"/>
      <c r="S16" s="367"/>
    </row>
    <row r="17" spans="1:15">
      <c r="A17" s="65" t="s">
        <v>413</v>
      </c>
      <c r="B17" s="62">
        <v>200</v>
      </c>
      <c r="C17" s="63">
        <v>28.6</v>
      </c>
      <c r="D17" s="63">
        <v>106.6</v>
      </c>
      <c r="E17" s="62">
        <v>50</v>
      </c>
      <c r="F17" s="63">
        <v>28.5</v>
      </c>
      <c r="G17" s="63">
        <v>40.099999999999994</v>
      </c>
      <c r="J17" s="368"/>
      <c r="K17" s="65" t="s">
        <v>413</v>
      </c>
      <c r="L17" s="63">
        <v>15.5</v>
      </c>
      <c r="M17" s="63">
        <v>46.8</v>
      </c>
      <c r="N17" s="63">
        <v>15.4</v>
      </c>
      <c r="O17" s="63">
        <v>22.4</v>
      </c>
    </row>
    <row r="18" spans="1:15">
      <c r="A18" s="65" t="s">
        <v>414</v>
      </c>
      <c r="B18" s="62">
        <v>200</v>
      </c>
      <c r="C18" s="63">
        <v>38.200000000000003</v>
      </c>
      <c r="D18" s="63">
        <v>108.9</v>
      </c>
      <c r="E18" s="62">
        <v>50</v>
      </c>
      <c r="F18" s="63">
        <v>38.1</v>
      </c>
      <c r="G18" s="63">
        <v>54</v>
      </c>
      <c r="J18" s="368"/>
      <c r="K18" s="65" t="s">
        <v>414</v>
      </c>
      <c r="L18" s="63">
        <v>22.4</v>
      </c>
      <c r="M18" s="63">
        <v>63.1</v>
      </c>
      <c r="N18" s="63">
        <v>22.3</v>
      </c>
      <c r="O18" s="63">
        <v>29.5</v>
      </c>
    </row>
    <row r="19" spans="1:15">
      <c r="J19" s="368"/>
      <c r="K19" s="61" t="s">
        <v>415</v>
      </c>
      <c r="L19" s="61">
        <v>14.75</v>
      </c>
      <c r="M19" s="61">
        <v>108.1</v>
      </c>
      <c r="N19" s="61">
        <v>14.550000000000002</v>
      </c>
      <c r="O19" s="61">
        <v>22.3</v>
      </c>
    </row>
    <row r="21" spans="1:15" ht="41.4">
      <c r="J21" s="60">
        <v>2022</v>
      </c>
      <c r="K21" s="60" t="s">
        <v>397</v>
      </c>
      <c r="L21" s="66" t="s">
        <v>392</v>
      </c>
      <c r="M21" s="66" t="s">
        <v>398</v>
      </c>
      <c r="N21" s="66" t="s">
        <v>395</v>
      </c>
      <c r="O21" s="66" t="s">
        <v>399</v>
      </c>
    </row>
    <row r="22" spans="1:15">
      <c r="J22" s="368" t="s">
        <v>191</v>
      </c>
      <c r="K22" s="65" t="s">
        <v>400</v>
      </c>
      <c r="L22" s="61">
        <v>16.5</v>
      </c>
      <c r="M22" s="61">
        <v>51.6</v>
      </c>
      <c r="N22" s="61">
        <v>16.5</v>
      </c>
      <c r="O22" s="61">
        <v>20.5</v>
      </c>
    </row>
    <row r="23" spans="1:15">
      <c r="J23" s="368"/>
      <c r="K23" s="65" t="s">
        <v>401</v>
      </c>
      <c r="L23" s="61">
        <v>19.899999999999999</v>
      </c>
      <c r="M23" s="61">
        <v>47.8</v>
      </c>
      <c r="N23" s="61">
        <v>19.8</v>
      </c>
      <c r="O23" s="61">
        <v>23.5</v>
      </c>
    </row>
    <row r="24" spans="1:15">
      <c r="J24" s="368"/>
      <c r="K24" s="65" t="s">
        <v>402</v>
      </c>
      <c r="L24" s="61">
        <v>19.2</v>
      </c>
      <c r="M24" s="61">
        <v>77.599999999999994</v>
      </c>
      <c r="N24" s="61">
        <v>19.100000000000001</v>
      </c>
      <c r="O24" s="61">
        <v>27.7</v>
      </c>
    </row>
    <row r="25" spans="1:15">
      <c r="J25" s="368"/>
      <c r="K25" s="65" t="s">
        <v>404</v>
      </c>
      <c r="L25" s="61">
        <v>13.7</v>
      </c>
      <c r="M25" s="61">
        <v>59.7</v>
      </c>
      <c r="N25" s="61">
        <v>13.6</v>
      </c>
      <c r="O25" s="61">
        <v>20.100000000000001</v>
      </c>
    </row>
    <row r="26" spans="1:15">
      <c r="J26" s="368"/>
      <c r="K26" s="65" t="s">
        <v>406</v>
      </c>
      <c r="L26" s="61">
        <v>14.8</v>
      </c>
      <c r="M26" s="61">
        <v>50.5</v>
      </c>
      <c r="N26" s="61">
        <v>14.8</v>
      </c>
      <c r="O26" s="61">
        <v>18.3</v>
      </c>
    </row>
    <row r="27" spans="1:15">
      <c r="J27" s="368"/>
      <c r="K27" s="65" t="s">
        <v>407</v>
      </c>
      <c r="L27" s="61">
        <v>16.2</v>
      </c>
      <c r="M27" s="61">
        <v>66.8</v>
      </c>
      <c r="N27" s="61">
        <v>16.100000000000001</v>
      </c>
      <c r="O27" s="61">
        <v>22.3</v>
      </c>
    </row>
    <row r="28" spans="1:15">
      <c r="J28" s="368"/>
      <c r="K28" s="65" t="s">
        <v>408</v>
      </c>
      <c r="L28" s="61">
        <v>18.899999999999999</v>
      </c>
      <c r="M28" s="61">
        <v>46.8</v>
      </c>
      <c r="N28" s="61">
        <v>18.899999999999999</v>
      </c>
      <c r="O28" s="61">
        <v>30.5</v>
      </c>
    </row>
    <row r="29" spans="1:15">
      <c r="J29" s="368"/>
      <c r="K29" s="65" t="s">
        <v>410</v>
      </c>
      <c r="L29" s="61">
        <v>12.6</v>
      </c>
      <c r="M29" s="61">
        <v>43.6</v>
      </c>
      <c r="N29" s="61">
        <v>12.6</v>
      </c>
      <c r="O29" s="61">
        <v>21.3</v>
      </c>
    </row>
    <row r="30" spans="1:15">
      <c r="J30" s="368"/>
      <c r="K30" s="65" t="s">
        <v>411</v>
      </c>
      <c r="L30" s="61">
        <v>8.6999999999999993</v>
      </c>
      <c r="M30" s="61">
        <v>22.5</v>
      </c>
      <c r="N30" s="61">
        <v>8.6999999999999993</v>
      </c>
      <c r="O30" s="61">
        <v>11.7</v>
      </c>
    </row>
    <row r="31" spans="1:15">
      <c r="J31" s="368"/>
      <c r="K31" s="65" t="s">
        <v>412</v>
      </c>
      <c r="L31" s="61">
        <v>12.3</v>
      </c>
      <c r="M31" s="61">
        <v>99.6</v>
      </c>
      <c r="N31" s="61">
        <v>12</v>
      </c>
      <c r="O31" s="61">
        <v>29.7</v>
      </c>
    </row>
    <row r="32" spans="1:15">
      <c r="J32" s="368"/>
      <c r="K32" s="65" t="s">
        <v>413</v>
      </c>
      <c r="L32" s="61">
        <v>13.1</v>
      </c>
      <c r="M32" s="61">
        <v>59.8</v>
      </c>
      <c r="N32" s="61">
        <v>13.1</v>
      </c>
      <c r="O32" s="61">
        <v>17.7</v>
      </c>
    </row>
    <row r="33" spans="1:15">
      <c r="J33" s="368"/>
      <c r="K33" s="65" t="s">
        <v>414</v>
      </c>
      <c r="L33" s="61">
        <v>15.8</v>
      </c>
      <c r="M33" s="61">
        <v>45.8</v>
      </c>
      <c r="N33" s="61">
        <v>15.8</v>
      </c>
      <c r="O33" s="61">
        <v>24.5</v>
      </c>
    </row>
    <row r="34" spans="1:15">
      <c r="J34" s="368"/>
      <c r="K34" s="61" t="s">
        <v>415</v>
      </c>
      <c r="L34" s="61">
        <v>15.141666666666666</v>
      </c>
      <c r="M34" s="61">
        <v>99.6</v>
      </c>
      <c r="N34" s="61">
        <v>15.083333333333334</v>
      </c>
      <c r="O34" s="61">
        <v>30.5</v>
      </c>
    </row>
    <row r="36" spans="1:15" ht="41.4">
      <c r="J36" s="60">
        <f>+A6</f>
        <v>2022</v>
      </c>
      <c r="K36" s="60" t="s">
        <v>397</v>
      </c>
      <c r="L36" s="66" t="s">
        <v>392</v>
      </c>
      <c r="M36" s="66" t="s">
        <v>398</v>
      </c>
      <c r="N36" s="66" t="s">
        <v>395</v>
      </c>
      <c r="O36" s="66" t="s">
        <v>399</v>
      </c>
    </row>
    <row r="37" spans="1:15">
      <c r="J37" s="368" t="s">
        <v>192</v>
      </c>
      <c r="K37" s="65" t="s">
        <v>400</v>
      </c>
      <c r="L37" s="63"/>
      <c r="M37" s="63"/>
      <c r="N37" s="63"/>
      <c r="O37" s="63"/>
    </row>
    <row r="38" spans="1:15">
      <c r="J38" s="368"/>
      <c r="K38" s="65" t="s">
        <v>401</v>
      </c>
      <c r="L38" s="63"/>
      <c r="M38" s="63"/>
      <c r="N38" s="63"/>
      <c r="O38" s="63"/>
    </row>
    <row r="39" spans="1:15">
      <c r="J39" s="368"/>
      <c r="K39" s="65" t="s">
        <v>402</v>
      </c>
      <c r="L39" s="63"/>
      <c r="M39" s="63"/>
      <c r="N39" s="63"/>
      <c r="O39" s="63"/>
    </row>
    <row r="40" spans="1:15">
      <c r="J40" s="368"/>
      <c r="K40" s="65" t="s">
        <v>404</v>
      </c>
      <c r="L40" s="63"/>
      <c r="M40" s="63"/>
      <c r="N40" s="63"/>
      <c r="O40" s="63"/>
    </row>
    <row r="41" spans="1:15">
      <c r="J41" s="368"/>
      <c r="K41" s="65" t="s">
        <v>406</v>
      </c>
      <c r="L41" s="63"/>
      <c r="M41" s="63"/>
      <c r="N41" s="63"/>
      <c r="O41" s="63"/>
    </row>
    <row r="42" spans="1:15">
      <c r="J42" s="368"/>
      <c r="K42" s="65" t="s">
        <v>407</v>
      </c>
      <c r="L42" s="63"/>
      <c r="M42" s="63"/>
      <c r="N42" s="63"/>
      <c r="O42" s="63"/>
    </row>
    <row r="43" spans="1:15">
      <c r="J43" s="368"/>
      <c r="K43" s="65" t="s">
        <v>408</v>
      </c>
      <c r="L43" s="63"/>
      <c r="M43" s="63"/>
      <c r="N43" s="63"/>
      <c r="O43" s="63"/>
    </row>
    <row r="44" spans="1:15">
      <c r="J44" s="368"/>
      <c r="K44" s="65" t="s">
        <v>410</v>
      </c>
      <c r="L44" s="63"/>
      <c r="M44" s="63"/>
      <c r="N44" s="63"/>
      <c r="O44" s="63"/>
    </row>
    <row r="45" spans="1:15">
      <c r="J45" s="368"/>
      <c r="K45" s="65" t="s">
        <v>411</v>
      </c>
      <c r="L45" s="63"/>
      <c r="M45" s="63"/>
      <c r="N45" s="63"/>
      <c r="O45" s="63"/>
    </row>
    <row r="46" spans="1:15">
      <c r="J46" s="368"/>
      <c r="K46" s="65" t="s">
        <v>412</v>
      </c>
      <c r="L46" s="63"/>
      <c r="M46" s="63"/>
      <c r="N46" s="63"/>
      <c r="O46" s="63"/>
    </row>
    <row r="47" spans="1:15">
      <c r="J47" s="368"/>
      <c r="K47" s="65" t="s">
        <v>413</v>
      </c>
      <c r="L47" s="63"/>
      <c r="M47" s="63"/>
      <c r="N47" s="63"/>
      <c r="O47" s="63"/>
    </row>
    <row r="48" spans="1:15">
      <c r="A48" s="359" t="s">
        <v>311</v>
      </c>
      <c r="B48" s="380"/>
      <c r="C48" s="380"/>
      <c r="D48" s="380"/>
      <c r="E48" s="380"/>
      <c r="F48" s="380"/>
      <c r="G48" s="381"/>
      <c r="J48" s="368"/>
      <c r="K48" s="65" t="s">
        <v>414</v>
      </c>
      <c r="L48" s="63"/>
      <c r="M48" s="63"/>
      <c r="N48" s="63"/>
      <c r="O48" s="63"/>
    </row>
    <row r="49" spans="1:15">
      <c r="A49" s="371"/>
      <c r="B49" s="372"/>
      <c r="C49" s="372"/>
      <c r="D49" s="372"/>
      <c r="E49" s="372"/>
      <c r="F49" s="372"/>
      <c r="G49" s="373"/>
      <c r="J49" s="368"/>
      <c r="K49" s="61" t="s">
        <v>415</v>
      </c>
      <c r="L49" s="61" t="e">
        <f>AVERAGE(L37:L48)</f>
        <v>#DIV/0!</v>
      </c>
      <c r="M49" s="61">
        <f>MAX(M37:M48)</f>
        <v>0</v>
      </c>
      <c r="N49" s="61" t="e">
        <f>AVERAGE(N37:N48)</f>
        <v>#DIV/0!</v>
      </c>
      <c r="O49" s="61">
        <f>MAX(O37:O48)</f>
        <v>0</v>
      </c>
    </row>
    <row r="50" spans="1:15">
      <c r="A50" s="374"/>
      <c r="B50" s="375"/>
      <c r="C50" s="375"/>
      <c r="D50" s="375"/>
      <c r="E50" s="375"/>
      <c r="F50" s="375"/>
      <c r="G50" s="376"/>
    </row>
    <row r="51" spans="1:15" ht="41.4">
      <c r="A51" s="374"/>
      <c r="B51" s="375"/>
      <c r="C51" s="375"/>
      <c r="D51" s="375"/>
      <c r="E51" s="375"/>
      <c r="F51" s="375"/>
      <c r="G51" s="376"/>
      <c r="J51" s="60">
        <f>+A6</f>
        <v>2022</v>
      </c>
      <c r="K51" s="60" t="s">
        <v>397</v>
      </c>
      <c r="L51" s="66" t="s">
        <v>392</v>
      </c>
      <c r="M51" s="66" t="s">
        <v>398</v>
      </c>
      <c r="N51" s="66" t="s">
        <v>395</v>
      </c>
      <c r="O51" s="66" t="s">
        <v>399</v>
      </c>
    </row>
    <row r="52" spans="1:15">
      <c r="A52" s="377"/>
      <c r="B52" s="378"/>
      <c r="C52" s="378"/>
      <c r="D52" s="378"/>
      <c r="E52" s="378"/>
      <c r="F52" s="378"/>
      <c r="G52" s="379"/>
      <c r="J52" s="368" t="s">
        <v>193</v>
      </c>
      <c r="K52" s="65" t="s">
        <v>400</v>
      </c>
      <c r="L52" s="63"/>
      <c r="M52" s="63"/>
      <c r="N52" s="63"/>
      <c r="O52" s="63"/>
    </row>
    <row r="53" spans="1:15">
      <c r="J53" s="368"/>
      <c r="K53" s="65" t="s">
        <v>401</v>
      </c>
      <c r="L53" s="63"/>
      <c r="M53" s="63"/>
      <c r="N53" s="63"/>
      <c r="O53" s="63"/>
    </row>
    <row r="54" spans="1:15">
      <c r="J54" s="368"/>
      <c r="K54" s="65" t="s">
        <v>402</v>
      </c>
      <c r="L54" s="63"/>
      <c r="M54" s="63"/>
      <c r="N54" s="63"/>
      <c r="O54" s="63"/>
    </row>
    <row r="55" spans="1:15">
      <c r="J55" s="368"/>
      <c r="K55" s="65" t="s">
        <v>404</v>
      </c>
      <c r="L55" s="63"/>
      <c r="M55" s="63"/>
      <c r="N55" s="63"/>
      <c r="O55" s="63"/>
    </row>
    <row r="56" spans="1:15">
      <c r="J56" s="368"/>
      <c r="K56" s="65" t="s">
        <v>406</v>
      </c>
      <c r="L56" s="63"/>
      <c r="M56" s="63"/>
      <c r="N56" s="63"/>
      <c r="O56" s="63"/>
    </row>
    <row r="57" spans="1:15">
      <c r="J57" s="368"/>
      <c r="K57" s="65" t="s">
        <v>407</v>
      </c>
      <c r="L57" s="63"/>
      <c r="M57" s="63"/>
      <c r="N57" s="63"/>
      <c r="O57" s="63"/>
    </row>
    <row r="58" spans="1:15">
      <c r="J58" s="368"/>
      <c r="K58" s="65" t="s">
        <v>408</v>
      </c>
      <c r="L58" s="63"/>
      <c r="M58" s="63"/>
      <c r="N58" s="63"/>
      <c r="O58" s="63"/>
    </row>
    <row r="59" spans="1:15">
      <c r="J59" s="368"/>
      <c r="K59" s="65" t="s">
        <v>410</v>
      </c>
      <c r="L59" s="63"/>
      <c r="M59" s="63"/>
      <c r="N59" s="63"/>
      <c r="O59" s="63"/>
    </row>
    <row r="60" spans="1:15">
      <c r="J60" s="368"/>
      <c r="K60" s="65" t="s">
        <v>411</v>
      </c>
      <c r="L60" s="63"/>
      <c r="M60" s="63"/>
      <c r="N60" s="63"/>
      <c r="O60" s="63"/>
    </row>
    <row r="61" spans="1:15">
      <c r="J61" s="368"/>
      <c r="K61" s="65" t="s">
        <v>412</v>
      </c>
      <c r="L61" s="63"/>
      <c r="M61" s="63"/>
      <c r="N61" s="63"/>
      <c r="O61" s="63"/>
    </row>
    <row r="62" spans="1:15">
      <c r="J62" s="368"/>
      <c r="K62" s="65" t="s">
        <v>413</v>
      </c>
      <c r="L62" s="63"/>
      <c r="M62" s="63"/>
      <c r="N62" s="63"/>
      <c r="O62" s="63"/>
    </row>
    <row r="63" spans="1:15">
      <c r="J63" s="368"/>
      <c r="K63" s="65" t="s">
        <v>414</v>
      </c>
      <c r="L63" s="63"/>
      <c r="M63" s="63"/>
      <c r="N63" s="63"/>
      <c r="O63" s="63"/>
    </row>
    <row r="64" spans="1:15">
      <c r="J64" s="368"/>
      <c r="K64" s="61" t="s">
        <v>415</v>
      </c>
      <c r="L64" s="61" t="e">
        <f>AVERAGE(L52:L63)</f>
        <v>#DIV/0!</v>
      </c>
      <c r="M64" s="61">
        <f>MAX(M52:M63)</f>
        <v>0</v>
      </c>
      <c r="N64" s="61" t="e">
        <f>AVERAGE(N52:N63)</f>
        <v>#DIV/0!</v>
      </c>
      <c r="O64" s="61">
        <f>MAX(O52:O63)</f>
        <v>0</v>
      </c>
    </row>
    <row r="66" spans="10:15" ht="41.4">
      <c r="J66" s="60">
        <f>+A6</f>
        <v>2022</v>
      </c>
      <c r="K66" s="60" t="s">
        <v>397</v>
      </c>
      <c r="L66" s="66" t="s">
        <v>392</v>
      </c>
      <c r="M66" s="66" t="s">
        <v>398</v>
      </c>
      <c r="N66" s="66" t="s">
        <v>395</v>
      </c>
      <c r="O66" s="66" t="s">
        <v>399</v>
      </c>
    </row>
    <row r="67" spans="10:15">
      <c r="J67" s="368" t="s">
        <v>194</v>
      </c>
      <c r="K67" s="65" t="s">
        <v>400</v>
      </c>
      <c r="L67" s="63"/>
      <c r="M67" s="63"/>
      <c r="N67" s="63"/>
      <c r="O67" s="63"/>
    </row>
    <row r="68" spans="10:15">
      <c r="J68" s="368"/>
      <c r="K68" s="65" t="s">
        <v>401</v>
      </c>
      <c r="L68" s="63"/>
      <c r="M68" s="63"/>
      <c r="N68" s="63"/>
      <c r="O68" s="63"/>
    </row>
    <row r="69" spans="10:15">
      <c r="J69" s="368"/>
      <c r="K69" s="65" t="s">
        <v>402</v>
      </c>
      <c r="L69" s="63"/>
      <c r="M69" s="63"/>
      <c r="N69" s="63"/>
      <c r="O69" s="63"/>
    </row>
    <row r="70" spans="10:15">
      <c r="J70" s="368"/>
      <c r="K70" s="65" t="s">
        <v>404</v>
      </c>
      <c r="L70" s="63"/>
      <c r="M70" s="63"/>
      <c r="N70" s="63"/>
      <c r="O70" s="63"/>
    </row>
    <row r="71" spans="10:15">
      <c r="J71" s="368"/>
      <c r="K71" s="65" t="s">
        <v>406</v>
      </c>
      <c r="L71" s="63"/>
      <c r="M71" s="63"/>
      <c r="N71" s="63"/>
      <c r="O71" s="63"/>
    </row>
    <row r="72" spans="10:15">
      <c r="J72" s="368"/>
      <c r="K72" s="65" t="s">
        <v>407</v>
      </c>
      <c r="L72" s="63"/>
      <c r="M72" s="63"/>
      <c r="N72" s="63"/>
      <c r="O72" s="63"/>
    </row>
    <row r="73" spans="10:15">
      <c r="J73" s="368"/>
      <c r="K73" s="65" t="s">
        <v>408</v>
      </c>
      <c r="L73" s="63"/>
      <c r="M73" s="63"/>
      <c r="N73" s="63"/>
      <c r="O73" s="63"/>
    </row>
    <row r="74" spans="10:15">
      <c r="J74" s="368"/>
      <c r="K74" s="65" t="s">
        <v>410</v>
      </c>
      <c r="L74" s="63"/>
      <c r="M74" s="63"/>
      <c r="N74" s="63"/>
      <c r="O74" s="63"/>
    </row>
    <row r="75" spans="10:15">
      <c r="J75" s="368"/>
      <c r="K75" s="65" t="s">
        <v>411</v>
      </c>
      <c r="L75" s="63"/>
      <c r="M75" s="63"/>
      <c r="N75" s="63"/>
      <c r="O75" s="63"/>
    </row>
    <row r="76" spans="10:15">
      <c r="J76" s="368"/>
      <c r="K76" s="65" t="s">
        <v>412</v>
      </c>
      <c r="L76" s="63"/>
      <c r="M76" s="63"/>
      <c r="N76" s="63"/>
      <c r="O76" s="63"/>
    </row>
    <row r="77" spans="10:15">
      <c r="J77" s="368"/>
      <c r="K77" s="65" t="s">
        <v>413</v>
      </c>
      <c r="L77" s="63"/>
      <c r="M77" s="63"/>
      <c r="N77" s="63"/>
      <c r="O77" s="63"/>
    </row>
    <row r="78" spans="10:15">
      <c r="J78" s="368"/>
      <c r="K78" s="65" t="s">
        <v>414</v>
      </c>
      <c r="L78" s="63"/>
      <c r="M78" s="63"/>
      <c r="N78" s="63"/>
      <c r="O78" s="63"/>
    </row>
    <row r="79" spans="10:15">
      <c r="J79" s="368"/>
      <c r="K79" s="61" t="s">
        <v>415</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honeticPr fontId="25" type="noConversion"/>
  <pageMargins left="0.7" right="0.7" top="0.75" bottom="0.75" header="0.3" footer="0.3"/>
  <pageSetup paperSize="9" scale="77"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workbookViewId="0">
      <selection activeCell="M31" sqref="M31"/>
    </sheetView>
  </sheetViews>
  <sheetFormatPr defaultRowHeight="13.8"/>
  <cols>
    <col min="1" max="1" width="14" style="3" customWidth="1"/>
    <col min="2" max="4" width="17" style="35" customWidth="1"/>
    <col min="5" max="5" width="14.77734375" style="35" customWidth="1"/>
    <col min="6" max="7" width="17" style="35" customWidth="1"/>
    <col min="8" max="11" width="9.21875" style="3"/>
    <col min="12" max="12" width="15.44140625" style="3" customWidth="1"/>
    <col min="13" max="13" width="17.44140625" style="3" bestFit="1" customWidth="1"/>
    <col min="14" max="14" width="13.77734375" style="3" customWidth="1"/>
    <col min="15" max="15" width="15" style="3" customWidth="1"/>
    <col min="16" max="18" width="9.21875" style="3"/>
    <col min="19" max="19" width="21.5546875" style="3" customWidth="1"/>
    <col min="20" max="256" width="9.21875" style="3"/>
    <col min="257" max="257" width="14" style="3" customWidth="1"/>
    <col min="258" max="263" width="10.21875" style="3" customWidth="1"/>
    <col min="264" max="512" width="9.21875" style="3"/>
    <col min="513" max="513" width="14" style="3" customWidth="1"/>
    <col min="514" max="519" width="10.21875" style="3" customWidth="1"/>
    <col min="520" max="768" width="9.21875" style="3"/>
    <col min="769" max="769" width="14" style="3" customWidth="1"/>
    <col min="770" max="775" width="10.21875" style="3" customWidth="1"/>
    <col min="776" max="1024" width="9.21875" style="3"/>
    <col min="1025" max="1025" width="14" style="3" customWidth="1"/>
    <col min="1026" max="1031" width="10.21875" style="3" customWidth="1"/>
    <col min="1032" max="1280" width="9.21875" style="3"/>
    <col min="1281" max="1281" width="14" style="3" customWidth="1"/>
    <col min="1282" max="1287" width="10.21875" style="3" customWidth="1"/>
    <col min="1288" max="1536" width="9.21875" style="3"/>
    <col min="1537" max="1537" width="14" style="3" customWidth="1"/>
    <col min="1538" max="1543" width="10.21875" style="3" customWidth="1"/>
    <col min="1544" max="1792" width="9.21875" style="3"/>
    <col min="1793" max="1793" width="14" style="3" customWidth="1"/>
    <col min="1794" max="1799" width="10.21875" style="3" customWidth="1"/>
    <col min="1800" max="2048" width="9.21875" style="3"/>
    <col min="2049" max="2049" width="14" style="3" customWidth="1"/>
    <col min="2050" max="2055" width="10.21875" style="3" customWidth="1"/>
    <col min="2056" max="2304" width="9.21875" style="3"/>
    <col min="2305" max="2305" width="14" style="3" customWidth="1"/>
    <col min="2306" max="2311" width="10.21875" style="3" customWidth="1"/>
    <col min="2312" max="2560" width="9.21875" style="3"/>
    <col min="2561" max="2561" width="14" style="3" customWidth="1"/>
    <col min="2562" max="2567" width="10.21875" style="3" customWidth="1"/>
    <col min="2568" max="2816" width="9.21875" style="3"/>
    <col min="2817" max="2817" width="14" style="3" customWidth="1"/>
    <col min="2818" max="2823" width="10.21875" style="3" customWidth="1"/>
    <col min="2824" max="3072" width="9.21875" style="3"/>
    <col min="3073" max="3073" width="14" style="3" customWidth="1"/>
    <col min="3074" max="3079" width="10.21875" style="3" customWidth="1"/>
    <col min="3080" max="3328" width="9.21875" style="3"/>
    <col min="3329" max="3329" width="14" style="3" customWidth="1"/>
    <col min="3330" max="3335" width="10.21875" style="3" customWidth="1"/>
    <col min="3336" max="3584" width="9.21875" style="3"/>
    <col min="3585" max="3585" width="14" style="3" customWidth="1"/>
    <col min="3586" max="3591" width="10.21875" style="3" customWidth="1"/>
    <col min="3592" max="3840" width="9.21875" style="3"/>
    <col min="3841" max="3841" width="14" style="3" customWidth="1"/>
    <col min="3842" max="3847" width="10.21875" style="3" customWidth="1"/>
    <col min="3848" max="4096" width="9.21875" style="3"/>
    <col min="4097" max="4097" width="14" style="3" customWidth="1"/>
    <col min="4098" max="4103" width="10.21875" style="3" customWidth="1"/>
    <col min="4104" max="4352" width="9.21875" style="3"/>
    <col min="4353" max="4353" width="14" style="3" customWidth="1"/>
    <col min="4354" max="4359" width="10.21875" style="3" customWidth="1"/>
    <col min="4360" max="4608" width="9.21875" style="3"/>
    <col min="4609" max="4609" width="14" style="3" customWidth="1"/>
    <col min="4610" max="4615" width="10.21875" style="3" customWidth="1"/>
    <col min="4616" max="4864" width="9.21875" style="3"/>
    <col min="4865" max="4865" width="14" style="3" customWidth="1"/>
    <col min="4866" max="4871" width="10.21875" style="3" customWidth="1"/>
    <col min="4872" max="5120" width="9.21875" style="3"/>
    <col min="5121" max="5121" width="14" style="3" customWidth="1"/>
    <col min="5122" max="5127" width="10.21875" style="3" customWidth="1"/>
    <col min="5128" max="5376" width="9.21875" style="3"/>
    <col min="5377" max="5377" width="14" style="3" customWidth="1"/>
    <col min="5378" max="5383" width="10.21875" style="3" customWidth="1"/>
    <col min="5384" max="5632" width="9.21875" style="3"/>
    <col min="5633" max="5633" width="14" style="3" customWidth="1"/>
    <col min="5634" max="5639" width="10.21875" style="3" customWidth="1"/>
    <col min="5640" max="5888" width="9.21875" style="3"/>
    <col min="5889" max="5889" width="14" style="3" customWidth="1"/>
    <col min="5890" max="5895" width="10.21875" style="3" customWidth="1"/>
    <col min="5896" max="6144" width="9.21875" style="3"/>
    <col min="6145" max="6145" width="14" style="3" customWidth="1"/>
    <col min="6146" max="6151" width="10.21875" style="3" customWidth="1"/>
    <col min="6152" max="6400" width="9.21875" style="3"/>
    <col min="6401" max="6401" width="14" style="3" customWidth="1"/>
    <col min="6402" max="6407" width="10.21875" style="3" customWidth="1"/>
    <col min="6408" max="6656" width="9.21875" style="3"/>
    <col min="6657" max="6657" width="14" style="3" customWidth="1"/>
    <col min="6658" max="6663" width="10.21875" style="3" customWidth="1"/>
    <col min="6664" max="6912" width="9.21875" style="3"/>
    <col min="6913" max="6913" width="14" style="3" customWidth="1"/>
    <col min="6914" max="6919" width="10.21875" style="3" customWidth="1"/>
    <col min="6920" max="7168" width="9.21875" style="3"/>
    <col min="7169" max="7169" width="14" style="3" customWidth="1"/>
    <col min="7170" max="7175" width="10.21875" style="3" customWidth="1"/>
    <col min="7176" max="7424" width="9.21875" style="3"/>
    <col min="7425" max="7425" width="14" style="3" customWidth="1"/>
    <col min="7426" max="7431" width="10.21875" style="3" customWidth="1"/>
    <col min="7432" max="7680" width="9.21875" style="3"/>
    <col min="7681" max="7681" width="14" style="3" customWidth="1"/>
    <col min="7682" max="7687" width="10.21875" style="3" customWidth="1"/>
    <col min="7688" max="7936" width="9.21875" style="3"/>
    <col min="7937" max="7937" width="14" style="3" customWidth="1"/>
    <col min="7938" max="7943" width="10.21875" style="3" customWidth="1"/>
    <col min="7944" max="8192" width="9.21875" style="3"/>
    <col min="8193" max="8193" width="14" style="3" customWidth="1"/>
    <col min="8194" max="8199" width="10.21875" style="3" customWidth="1"/>
    <col min="8200" max="8448" width="9.21875" style="3"/>
    <col min="8449" max="8449" width="14" style="3" customWidth="1"/>
    <col min="8450" max="8455" width="10.21875" style="3" customWidth="1"/>
    <col min="8456" max="8704" width="9.21875" style="3"/>
    <col min="8705" max="8705" width="14" style="3" customWidth="1"/>
    <col min="8706" max="8711" width="10.21875" style="3" customWidth="1"/>
    <col min="8712" max="8960" width="9.21875" style="3"/>
    <col min="8961" max="8961" width="14" style="3" customWidth="1"/>
    <col min="8962" max="8967" width="10.21875" style="3" customWidth="1"/>
    <col min="8968" max="9216" width="9.21875" style="3"/>
    <col min="9217" max="9217" width="14" style="3" customWidth="1"/>
    <col min="9218" max="9223" width="10.21875" style="3" customWidth="1"/>
    <col min="9224" max="9472" width="9.21875" style="3"/>
    <col min="9473" max="9473" width="14" style="3" customWidth="1"/>
    <col min="9474" max="9479" width="10.21875" style="3" customWidth="1"/>
    <col min="9480" max="9728" width="9.21875" style="3"/>
    <col min="9729" max="9729" width="14" style="3" customWidth="1"/>
    <col min="9730" max="9735" width="10.21875" style="3" customWidth="1"/>
    <col min="9736" max="9984" width="9.21875" style="3"/>
    <col min="9985" max="9985" width="14" style="3" customWidth="1"/>
    <col min="9986" max="9991" width="10.21875" style="3" customWidth="1"/>
    <col min="9992" max="10240" width="9.21875" style="3"/>
    <col min="10241" max="10241" width="14" style="3" customWidth="1"/>
    <col min="10242" max="10247" width="10.21875" style="3" customWidth="1"/>
    <col min="10248" max="10496" width="9.21875" style="3"/>
    <col min="10497" max="10497" width="14" style="3" customWidth="1"/>
    <col min="10498" max="10503" width="10.21875" style="3" customWidth="1"/>
    <col min="10504" max="10752" width="9.21875" style="3"/>
    <col min="10753" max="10753" width="14" style="3" customWidth="1"/>
    <col min="10754" max="10759" width="10.21875" style="3" customWidth="1"/>
    <col min="10760" max="11008" width="9.21875" style="3"/>
    <col min="11009" max="11009" width="14" style="3" customWidth="1"/>
    <col min="11010" max="11015" width="10.21875" style="3" customWidth="1"/>
    <col min="11016" max="11264" width="9.21875" style="3"/>
    <col min="11265" max="11265" width="14" style="3" customWidth="1"/>
    <col min="11266" max="11271" width="10.21875" style="3" customWidth="1"/>
    <col min="11272" max="11520" width="9.21875" style="3"/>
    <col min="11521" max="11521" width="14" style="3" customWidth="1"/>
    <col min="11522" max="11527" width="10.21875" style="3" customWidth="1"/>
    <col min="11528" max="11776" width="9.21875" style="3"/>
    <col min="11777" max="11777" width="14" style="3" customWidth="1"/>
    <col min="11778" max="11783" width="10.21875" style="3" customWidth="1"/>
    <col min="11784" max="12032" width="9.21875" style="3"/>
    <col min="12033" max="12033" width="14" style="3" customWidth="1"/>
    <col min="12034" max="12039" width="10.21875" style="3" customWidth="1"/>
    <col min="12040" max="12288" width="9.21875" style="3"/>
    <col min="12289" max="12289" width="14" style="3" customWidth="1"/>
    <col min="12290" max="12295" width="10.21875" style="3" customWidth="1"/>
    <col min="12296" max="12544" width="9.21875" style="3"/>
    <col min="12545" max="12545" width="14" style="3" customWidth="1"/>
    <col min="12546" max="12551" width="10.21875" style="3" customWidth="1"/>
    <col min="12552" max="12800" width="9.21875" style="3"/>
    <col min="12801" max="12801" width="14" style="3" customWidth="1"/>
    <col min="12802" max="12807" width="10.21875" style="3" customWidth="1"/>
    <col min="12808" max="13056" width="9.21875" style="3"/>
    <col min="13057" max="13057" width="14" style="3" customWidth="1"/>
    <col min="13058" max="13063" width="10.21875" style="3" customWidth="1"/>
    <col min="13064" max="13312" width="9.21875" style="3"/>
    <col min="13313" max="13313" width="14" style="3" customWidth="1"/>
    <col min="13314" max="13319" width="10.21875" style="3" customWidth="1"/>
    <col min="13320" max="13568" width="9.21875" style="3"/>
    <col min="13569" max="13569" width="14" style="3" customWidth="1"/>
    <col min="13570" max="13575" width="10.21875" style="3" customWidth="1"/>
    <col min="13576" max="13824" width="9.21875" style="3"/>
    <col min="13825" max="13825" width="14" style="3" customWidth="1"/>
    <col min="13826" max="13831" width="10.21875" style="3" customWidth="1"/>
    <col min="13832" max="14080" width="9.21875" style="3"/>
    <col min="14081" max="14081" width="14" style="3" customWidth="1"/>
    <col min="14082" max="14087" width="10.21875" style="3" customWidth="1"/>
    <col min="14088" max="14336" width="9.21875" style="3"/>
    <col min="14337" max="14337" width="14" style="3" customWidth="1"/>
    <col min="14338" max="14343" width="10.21875" style="3" customWidth="1"/>
    <col min="14344" max="14592" width="9.21875" style="3"/>
    <col min="14593" max="14593" width="14" style="3" customWidth="1"/>
    <col min="14594" max="14599" width="10.21875" style="3" customWidth="1"/>
    <col min="14600" max="14848" width="9.21875" style="3"/>
    <col min="14849" max="14849" width="14" style="3" customWidth="1"/>
    <col min="14850" max="14855" width="10.21875" style="3" customWidth="1"/>
    <col min="14856" max="15104" width="9.21875" style="3"/>
    <col min="15105" max="15105" width="14" style="3" customWidth="1"/>
    <col min="15106" max="15111" width="10.21875" style="3" customWidth="1"/>
    <col min="15112" max="15360" width="9.21875" style="3"/>
    <col min="15361" max="15361" width="14" style="3" customWidth="1"/>
    <col min="15362" max="15367" width="10.21875" style="3" customWidth="1"/>
    <col min="15368" max="15616" width="9.21875" style="3"/>
    <col min="15617" max="15617" width="14" style="3" customWidth="1"/>
    <col min="15618" max="15623" width="10.21875" style="3" customWidth="1"/>
    <col min="15624" max="15872" width="9.21875" style="3"/>
    <col min="15873" max="15873" width="14" style="3" customWidth="1"/>
    <col min="15874" max="15879" width="10.21875" style="3" customWidth="1"/>
    <col min="15880" max="16128" width="9.21875" style="3"/>
    <col min="16129" max="16129" width="14" style="3" customWidth="1"/>
    <col min="16130" max="16135" width="10.21875" style="3" customWidth="1"/>
    <col min="16136" max="16384" width="9.21875" style="3"/>
  </cols>
  <sheetData>
    <row r="1" spans="1:19" ht="15">
      <c r="A1" s="92" t="s">
        <v>5</v>
      </c>
      <c r="B1" s="92"/>
      <c r="C1" s="92"/>
      <c r="D1" s="92"/>
      <c r="E1" s="92" t="s">
        <v>7</v>
      </c>
      <c r="F1" s="92"/>
    </row>
    <row r="3" spans="1:19" ht="14.4">
      <c r="A3" s="59" t="s">
        <v>419</v>
      </c>
      <c r="D3" s="75" t="s">
        <v>384</v>
      </c>
      <c r="G3" s="79" t="s">
        <v>385</v>
      </c>
      <c r="J3" s="9" t="s">
        <v>419</v>
      </c>
      <c r="L3" s="9"/>
      <c r="N3" s="9" t="s">
        <v>386</v>
      </c>
      <c r="Q3" s="78" t="s">
        <v>3</v>
      </c>
      <c r="R3" s="73"/>
      <c r="S3" s="73"/>
    </row>
    <row r="4" spans="1:19" ht="13.95" customHeight="1">
      <c r="Q4" s="345" t="s">
        <v>387</v>
      </c>
      <c r="R4" s="345"/>
      <c r="S4" s="345"/>
    </row>
    <row r="5" spans="1:19" ht="16.2">
      <c r="A5" s="67" t="s">
        <v>388</v>
      </c>
      <c r="B5" s="370" t="s">
        <v>389</v>
      </c>
      <c r="C5" s="370"/>
      <c r="D5" s="370"/>
      <c r="E5" s="370" t="s">
        <v>390</v>
      </c>
      <c r="F5" s="370"/>
      <c r="G5" s="370"/>
      <c r="J5" s="369"/>
      <c r="K5" s="369"/>
      <c r="L5" s="369"/>
      <c r="M5" s="369"/>
      <c r="N5" s="369"/>
      <c r="O5" s="369"/>
      <c r="Q5" s="345"/>
      <c r="R5" s="345"/>
      <c r="S5" s="345"/>
    </row>
    <row r="6" spans="1:19" s="57" customFormat="1" ht="37.5" customHeight="1">
      <c r="A6" s="64">
        <v>2022</v>
      </c>
      <c r="B6" s="54" t="s">
        <v>420</v>
      </c>
      <c r="C6" s="54" t="s">
        <v>392</v>
      </c>
      <c r="D6" s="54" t="s">
        <v>393</v>
      </c>
      <c r="E6" s="54" t="s">
        <v>421</v>
      </c>
      <c r="F6" s="54" t="s">
        <v>395</v>
      </c>
      <c r="G6" s="54" t="s">
        <v>396</v>
      </c>
      <c r="H6" s="58"/>
      <c r="J6" s="60">
        <v>2022</v>
      </c>
      <c r="K6" s="60" t="s">
        <v>397</v>
      </c>
      <c r="L6" s="66" t="s">
        <v>392</v>
      </c>
      <c r="M6" s="66" t="s">
        <v>398</v>
      </c>
      <c r="N6" s="66" t="s">
        <v>395</v>
      </c>
      <c r="O6" s="66" t="s">
        <v>399</v>
      </c>
      <c r="Q6" s="345"/>
      <c r="R6" s="345"/>
      <c r="S6" s="345"/>
    </row>
    <row r="7" spans="1:19">
      <c r="A7" s="65" t="s">
        <v>400</v>
      </c>
      <c r="B7" s="62">
        <v>400</v>
      </c>
      <c r="C7" s="63">
        <v>297.3</v>
      </c>
      <c r="D7" s="63">
        <v>377</v>
      </c>
      <c r="E7" s="62">
        <v>200</v>
      </c>
      <c r="F7" s="63">
        <v>297.3</v>
      </c>
      <c r="G7" s="63">
        <v>319.39999999999998</v>
      </c>
      <c r="J7" s="368" t="s">
        <v>190</v>
      </c>
      <c r="K7" s="65" t="s">
        <v>400</v>
      </c>
      <c r="L7" s="63">
        <v>152.9</v>
      </c>
      <c r="M7" s="63">
        <v>193.7</v>
      </c>
      <c r="N7" s="63">
        <v>152.9</v>
      </c>
      <c r="O7" s="63">
        <v>166.9</v>
      </c>
      <c r="Q7" s="345"/>
      <c r="R7" s="345"/>
      <c r="S7" s="345"/>
    </row>
    <row r="8" spans="1:19">
      <c r="A8" s="65" t="s">
        <v>401</v>
      </c>
      <c r="B8" s="62">
        <v>400</v>
      </c>
      <c r="C8" s="63">
        <v>301</v>
      </c>
      <c r="D8" s="63">
        <v>404.8</v>
      </c>
      <c r="E8" s="62">
        <v>200</v>
      </c>
      <c r="F8" s="63">
        <v>301.10000000000002</v>
      </c>
      <c r="G8" s="63">
        <v>324.70000000000005</v>
      </c>
      <c r="J8" s="368"/>
      <c r="K8" s="65" t="s">
        <v>401</v>
      </c>
      <c r="L8" s="63">
        <v>153.4</v>
      </c>
      <c r="M8" s="63">
        <v>218.3</v>
      </c>
      <c r="N8" s="63">
        <v>153.4</v>
      </c>
      <c r="O8" s="63">
        <v>163.9</v>
      </c>
      <c r="Q8" s="345"/>
      <c r="R8" s="345"/>
      <c r="S8" s="345"/>
    </row>
    <row r="9" spans="1:19">
      <c r="A9" s="65" t="s">
        <v>402</v>
      </c>
      <c r="B9" s="62">
        <v>400</v>
      </c>
      <c r="C9" s="63">
        <v>293.8</v>
      </c>
      <c r="D9" s="63">
        <v>384.6</v>
      </c>
      <c r="E9" s="62">
        <v>200</v>
      </c>
      <c r="F9" s="63">
        <v>293.8</v>
      </c>
      <c r="G9" s="63">
        <v>316.3</v>
      </c>
      <c r="J9" s="368"/>
      <c r="K9" s="65" t="s">
        <v>402</v>
      </c>
      <c r="L9" s="63">
        <v>150</v>
      </c>
      <c r="M9" s="63">
        <v>201.6</v>
      </c>
      <c r="N9" s="63">
        <v>150</v>
      </c>
      <c r="O9" s="63">
        <v>164</v>
      </c>
      <c r="Q9" s="77" t="s">
        <v>403</v>
      </c>
    </row>
    <row r="10" spans="1:19" ht="14.25" customHeight="1">
      <c r="A10" s="65" t="s">
        <v>404</v>
      </c>
      <c r="B10" s="62">
        <v>400</v>
      </c>
      <c r="C10" s="63">
        <v>327.79999999999995</v>
      </c>
      <c r="D10" s="63">
        <v>529.6</v>
      </c>
      <c r="E10" s="62">
        <v>200</v>
      </c>
      <c r="F10" s="63">
        <v>326.3</v>
      </c>
      <c r="G10" s="63">
        <v>375</v>
      </c>
      <c r="J10" s="368"/>
      <c r="K10" s="65" t="s">
        <v>404</v>
      </c>
      <c r="L10" s="63">
        <v>163.1</v>
      </c>
      <c r="M10" s="63">
        <v>280.3</v>
      </c>
      <c r="N10" s="63">
        <v>162.4</v>
      </c>
      <c r="O10" s="63">
        <v>183.2</v>
      </c>
      <c r="Q10" s="367" t="s">
        <v>405</v>
      </c>
      <c r="R10" s="367"/>
      <c r="S10" s="367"/>
    </row>
    <row r="11" spans="1:19">
      <c r="A11" s="65" t="s">
        <v>406</v>
      </c>
      <c r="B11" s="62">
        <v>400</v>
      </c>
      <c r="C11" s="63">
        <v>355.9</v>
      </c>
      <c r="D11" s="63">
        <v>473.3</v>
      </c>
      <c r="E11" s="62">
        <v>200</v>
      </c>
      <c r="F11" s="63">
        <v>355.79999999999995</v>
      </c>
      <c r="G11" s="63">
        <v>383.3</v>
      </c>
      <c r="J11" s="368"/>
      <c r="K11" s="65" t="s">
        <v>406</v>
      </c>
      <c r="L11" s="63">
        <v>178.6</v>
      </c>
      <c r="M11" s="63">
        <v>239</v>
      </c>
      <c r="N11" s="63">
        <v>178.6</v>
      </c>
      <c r="O11" s="63">
        <v>195.4</v>
      </c>
      <c r="Q11" s="367"/>
      <c r="R11" s="367"/>
      <c r="S11" s="367"/>
    </row>
    <row r="12" spans="1:19">
      <c r="A12" s="65" t="s">
        <v>407</v>
      </c>
      <c r="B12" s="62">
        <v>400</v>
      </c>
      <c r="C12" s="63">
        <v>354.6</v>
      </c>
      <c r="D12" s="63">
        <v>481.2</v>
      </c>
      <c r="E12" s="62">
        <v>200</v>
      </c>
      <c r="F12" s="63">
        <v>354.6</v>
      </c>
      <c r="G12" s="63">
        <v>374.9</v>
      </c>
      <c r="J12" s="368"/>
      <c r="K12" s="65" t="s">
        <v>407</v>
      </c>
      <c r="L12" s="63">
        <v>172.8</v>
      </c>
      <c r="M12" s="63">
        <v>236.6</v>
      </c>
      <c r="N12" s="63">
        <v>172.7</v>
      </c>
      <c r="O12" s="63">
        <v>183.6</v>
      </c>
      <c r="Q12" s="367"/>
      <c r="R12" s="367"/>
      <c r="S12" s="367"/>
    </row>
    <row r="13" spans="1:19" ht="14.25" customHeight="1">
      <c r="A13" s="65" t="s">
        <v>408</v>
      </c>
      <c r="B13" s="62">
        <v>400</v>
      </c>
      <c r="C13" s="63">
        <v>333.70000000000005</v>
      </c>
      <c r="D13" s="63">
        <v>549</v>
      </c>
      <c r="E13" s="62">
        <v>200</v>
      </c>
      <c r="F13" s="63">
        <v>332.1</v>
      </c>
      <c r="G13" s="63">
        <v>364.5</v>
      </c>
      <c r="J13" s="368"/>
      <c r="K13" s="65" t="s">
        <v>408</v>
      </c>
      <c r="L13" s="63">
        <v>165.3</v>
      </c>
      <c r="M13" s="63">
        <v>271.60000000000002</v>
      </c>
      <c r="N13" s="63">
        <v>164.3</v>
      </c>
      <c r="O13" s="63">
        <v>178.6</v>
      </c>
      <c r="Q13" s="367" t="s">
        <v>409</v>
      </c>
      <c r="R13" s="367"/>
      <c r="S13" s="367"/>
    </row>
    <row r="14" spans="1:19">
      <c r="A14" s="65" t="s">
        <v>410</v>
      </c>
      <c r="B14" s="62">
        <v>400</v>
      </c>
      <c r="C14" s="63">
        <v>308.39999999999998</v>
      </c>
      <c r="D14" s="63">
        <v>434.4</v>
      </c>
      <c r="E14" s="62">
        <v>200</v>
      </c>
      <c r="F14" s="63">
        <v>308.5</v>
      </c>
      <c r="G14" s="63">
        <v>345.3</v>
      </c>
      <c r="J14" s="368"/>
      <c r="K14" s="65" t="s">
        <v>410</v>
      </c>
      <c r="L14" s="63">
        <v>150.80000000000001</v>
      </c>
      <c r="M14" s="63">
        <v>217.9</v>
      </c>
      <c r="N14" s="63">
        <v>150.9</v>
      </c>
      <c r="O14" s="63">
        <v>170.9</v>
      </c>
      <c r="Q14" s="367"/>
      <c r="R14" s="367"/>
      <c r="S14" s="367"/>
    </row>
    <row r="15" spans="1:19">
      <c r="A15" s="65" t="s">
        <v>411</v>
      </c>
      <c r="B15" s="62">
        <v>400</v>
      </c>
      <c r="C15" s="63">
        <v>336.5</v>
      </c>
      <c r="D15" s="63">
        <v>455.9</v>
      </c>
      <c r="E15" s="62">
        <v>200</v>
      </c>
      <c r="F15" s="63">
        <v>336.5</v>
      </c>
      <c r="G15" s="63">
        <v>360.7</v>
      </c>
      <c r="J15" s="368"/>
      <c r="K15" s="65" t="s">
        <v>411</v>
      </c>
      <c r="L15" s="63">
        <v>170.5</v>
      </c>
      <c r="M15" s="63">
        <v>236.3</v>
      </c>
      <c r="N15" s="63">
        <v>170.5</v>
      </c>
      <c r="O15" s="63">
        <v>186.5</v>
      </c>
      <c r="Q15" s="367"/>
      <c r="R15" s="367"/>
      <c r="S15" s="367"/>
    </row>
    <row r="16" spans="1:19">
      <c r="A16" s="65" t="s">
        <v>412</v>
      </c>
      <c r="B16" s="62">
        <v>400</v>
      </c>
      <c r="C16" s="63">
        <v>344.8</v>
      </c>
      <c r="D16" s="63">
        <v>518.79999999999995</v>
      </c>
      <c r="E16" s="62">
        <v>200</v>
      </c>
      <c r="F16" s="63">
        <v>344.8</v>
      </c>
      <c r="G16" s="63">
        <v>387.7</v>
      </c>
      <c r="J16" s="368"/>
      <c r="K16" s="65" t="s">
        <v>412</v>
      </c>
      <c r="L16" s="63">
        <v>171</v>
      </c>
      <c r="M16" s="63">
        <v>278.2</v>
      </c>
      <c r="N16" s="63">
        <v>170.9</v>
      </c>
      <c r="O16" s="63">
        <v>199.5</v>
      </c>
      <c r="Q16" s="367"/>
      <c r="R16" s="367"/>
      <c r="S16" s="367"/>
    </row>
    <row r="17" spans="1:15">
      <c r="A17" s="65" t="s">
        <v>413</v>
      </c>
      <c r="B17" s="62">
        <v>400</v>
      </c>
      <c r="C17" s="63">
        <v>350.3</v>
      </c>
      <c r="D17" s="63">
        <v>554.6</v>
      </c>
      <c r="E17" s="62">
        <v>200</v>
      </c>
      <c r="F17" s="63">
        <v>350.3</v>
      </c>
      <c r="G17" s="63">
        <v>383</v>
      </c>
      <c r="J17" s="368"/>
      <c r="K17" s="65" t="s">
        <v>413</v>
      </c>
      <c r="L17" s="63">
        <v>183</v>
      </c>
      <c r="M17" s="63">
        <v>316.3</v>
      </c>
      <c r="N17" s="63">
        <v>183</v>
      </c>
      <c r="O17" s="63">
        <v>194.5</v>
      </c>
    </row>
    <row r="18" spans="1:15">
      <c r="A18" s="65" t="s">
        <v>414</v>
      </c>
      <c r="B18" s="62">
        <v>400</v>
      </c>
      <c r="C18" s="63">
        <v>336.2</v>
      </c>
      <c r="D18" s="63">
        <v>504.3</v>
      </c>
      <c r="E18" s="62">
        <v>200</v>
      </c>
      <c r="F18" s="63">
        <v>336.1</v>
      </c>
      <c r="G18" s="63">
        <v>359.7</v>
      </c>
      <c r="J18" s="368"/>
      <c r="K18" s="65" t="s">
        <v>414</v>
      </c>
      <c r="L18" s="63">
        <v>167.6</v>
      </c>
      <c r="M18" s="63">
        <v>252.4</v>
      </c>
      <c r="N18" s="63">
        <v>167.5</v>
      </c>
      <c r="O18" s="63">
        <v>183.1</v>
      </c>
    </row>
    <row r="19" spans="1:15">
      <c r="J19" s="368"/>
      <c r="K19" s="61" t="s">
        <v>415</v>
      </c>
      <c r="L19" s="61">
        <v>164.91666666666666</v>
      </c>
      <c r="M19" s="61">
        <v>316.3</v>
      </c>
      <c r="N19" s="61">
        <v>164.75833333333335</v>
      </c>
      <c r="O19" s="61">
        <v>199.5</v>
      </c>
    </row>
    <row r="21" spans="1:15" ht="41.4">
      <c r="J21" s="60">
        <v>2022</v>
      </c>
      <c r="K21" s="60" t="s">
        <v>397</v>
      </c>
      <c r="L21" s="66" t="s">
        <v>392</v>
      </c>
      <c r="M21" s="66" t="s">
        <v>398</v>
      </c>
      <c r="N21" s="66" t="s">
        <v>395</v>
      </c>
      <c r="O21" s="66" t="s">
        <v>399</v>
      </c>
    </row>
    <row r="22" spans="1:15">
      <c r="J22" s="368" t="s">
        <v>191</v>
      </c>
      <c r="K22" s="65" t="s">
        <v>400</v>
      </c>
      <c r="L22" s="63">
        <v>144.4</v>
      </c>
      <c r="M22" s="63">
        <v>183.3</v>
      </c>
      <c r="N22" s="63">
        <v>144.4</v>
      </c>
      <c r="O22" s="63">
        <v>152.5</v>
      </c>
    </row>
    <row r="23" spans="1:15">
      <c r="J23" s="368"/>
      <c r="K23" s="65" t="s">
        <v>401</v>
      </c>
      <c r="L23" s="63">
        <v>147.6</v>
      </c>
      <c r="M23" s="63">
        <v>186.5</v>
      </c>
      <c r="N23" s="63">
        <v>147.69999999999999</v>
      </c>
      <c r="O23" s="63">
        <v>160.80000000000001</v>
      </c>
    </row>
    <row r="24" spans="1:15">
      <c r="J24" s="368"/>
      <c r="K24" s="65" t="s">
        <v>402</v>
      </c>
      <c r="L24" s="63">
        <v>143.80000000000001</v>
      </c>
      <c r="M24" s="63">
        <v>183</v>
      </c>
      <c r="N24" s="63">
        <v>143.80000000000001</v>
      </c>
      <c r="O24" s="63">
        <v>152.30000000000001</v>
      </c>
    </row>
    <row r="25" spans="1:15">
      <c r="J25" s="368"/>
      <c r="K25" s="65" t="s">
        <v>404</v>
      </c>
      <c r="L25" s="63">
        <v>164.7</v>
      </c>
      <c r="M25" s="63">
        <v>249.3</v>
      </c>
      <c r="N25" s="63">
        <v>163.9</v>
      </c>
      <c r="O25" s="63">
        <v>191.8</v>
      </c>
    </row>
    <row r="26" spans="1:15">
      <c r="J26" s="368"/>
      <c r="K26" s="65" t="s">
        <v>406</v>
      </c>
      <c r="L26" s="63">
        <v>177.3</v>
      </c>
      <c r="M26" s="63">
        <v>234.3</v>
      </c>
      <c r="N26" s="63">
        <v>177.2</v>
      </c>
      <c r="O26" s="63">
        <v>187.9</v>
      </c>
    </row>
    <row r="27" spans="1:15">
      <c r="J27" s="368"/>
      <c r="K27" s="65" t="s">
        <v>407</v>
      </c>
      <c r="L27" s="63">
        <v>181.8</v>
      </c>
      <c r="M27" s="63">
        <v>244.6</v>
      </c>
      <c r="N27" s="63">
        <v>181.9</v>
      </c>
      <c r="O27" s="63">
        <v>191.3</v>
      </c>
    </row>
    <row r="28" spans="1:15">
      <c r="J28" s="368"/>
      <c r="K28" s="65" t="s">
        <v>408</v>
      </c>
      <c r="L28" s="63">
        <v>168.4</v>
      </c>
      <c r="M28" s="63">
        <v>277.39999999999998</v>
      </c>
      <c r="N28" s="63">
        <v>167.8</v>
      </c>
      <c r="O28" s="63">
        <v>185.9</v>
      </c>
    </row>
    <row r="29" spans="1:15">
      <c r="J29" s="368"/>
      <c r="K29" s="65" t="s">
        <v>410</v>
      </c>
      <c r="L29" s="63">
        <v>157.6</v>
      </c>
      <c r="M29" s="63">
        <v>216.5</v>
      </c>
      <c r="N29" s="63">
        <v>157.6</v>
      </c>
      <c r="O29" s="63">
        <v>174.4</v>
      </c>
    </row>
    <row r="30" spans="1:15">
      <c r="J30" s="368"/>
      <c r="K30" s="65" t="s">
        <v>411</v>
      </c>
      <c r="L30" s="63">
        <v>166</v>
      </c>
      <c r="M30" s="63">
        <v>219.6</v>
      </c>
      <c r="N30" s="63">
        <v>166</v>
      </c>
      <c r="O30" s="63">
        <v>174.2</v>
      </c>
    </row>
    <row r="31" spans="1:15">
      <c r="J31" s="368"/>
      <c r="K31" s="65" t="s">
        <v>412</v>
      </c>
      <c r="L31" s="63">
        <v>173.8</v>
      </c>
      <c r="M31" s="63">
        <v>240.6</v>
      </c>
      <c r="N31" s="63">
        <v>173.9</v>
      </c>
      <c r="O31" s="63">
        <v>188.2</v>
      </c>
    </row>
    <row r="32" spans="1:15">
      <c r="J32" s="368"/>
      <c r="K32" s="65" t="s">
        <v>413</v>
      </c>
      <c r="L32" s="63">
        <v>167.3</v>
      </c>
      <c r="M32" s="63">
        <v>238.3</v>
      </c>
      <c r="N32" s="63">
        <v>167.3</v>
      </c>
      <c r="O32" s="63">
        <v>188.5</v>
      </c>
    </row>
    <row r="33" spans="1:15">
      <c r="J33" s="368"/>
      <c r="K33" s="65" t="s">
        <v>414</v>
      </c>
      <c r="L33" s="63">
        <v>168.6</v>
      </c>
      <c r="M33" s="63">
        <v>251.9</v>
      </c>
      <c r="N33" s="63">
        <v>168.6</v>
      </c>
      <c r="O33" s="63">
        <v>176.6</v>
      </c>
    </row>
    <row r="34" spans="1:15">
      <c r="J34" s="368"/>
      <c r="K34" s="61" t="s">
        <v>415</v>
      </c>
      <c r="L34" s="61">
        <v>163.44166666666663</v>
      </c>
      <c r="M34" s="61">
        <v>277.39999999999998</v>
      </c>
      <c r="N34" s="61">
        <v>163.34166666666667</v>
      </c>
      <c r="O34" s="61">
        <v>191.8</v>
      </c>
    </row>
    <row r="36" spans="1:15" ht="41.4">
      <c r="J36" s="60">
        <f>+A6</f>
        <v>2022</v>
      </c>
      <c r="K36" s="60" t="s">
        <v>397</v>
      </c>
      <c r="L36" s="66" t="s">
        <v>392</v>
      </c>
      <c r="M36" s="66" t="s">
        <v>398</v>
      </c>
      <c r="N36" s="66" t="s">
        <v>395</v>
      </c>
      <c r="O36" s="66" t="s">
        <v>399</v>
      </c>
    </row>
    <row r="37" spans="1:15">
      <c r="J37" s="368" t="s">
        <v>192</v>
      </c>
      <c r="K37" s="65" t="s">
        <v>400</v>
      </c>
      <c r="L37" s="63"/>
      <c r="M37" s="63"/>
      <c r="N37" s="63"/>
      <c r="O37" s="63"/>
    </row>
    <row r="38" spans="1:15">
      <c r="J38" s="368"/>
      <c r="K38" s="65" t="s">
        <v>401</v>
      </c>
      <c r="L38" s="63"/>
      <c r="M38" s="63"/>
      <c r="N38" s="63"/>
      <c r="O38" s="63"/>
    </row>
    <row r="39" spans="1:15">
      <c r="J39" s="368"/>
      <c r="K39" s="65" t="s">
        <v>402</v>
      </c>
      <c r="L39" s="63"/>
      <c r="M39" s="63"/>
      <c r="N39" s="63"/>
      <c r="O39" s="63"/>
    </row>
    <row r="40" spans="1:15">
      <c r="J40" s="368"/>
      <c r="K40" s="65" t="s">
        <v>404</v>
      </c>
      <c r="L40" s="63"/>
      <c r="M40" s="63"/>
      <c r="N40" s="63"/>
      <c r="O40" s="63"/>
    </row>
    <row r="41" spans="1:15">
      <c r="J41" s="368"/>
      <c r="K41" s="65" t="s">
        <v>406</v>
      </c>
      <c r="L41" s="63"/>
      <c r="M41" s="63"/>
      <c r="N41" s="63"/>
      <c r="O41" s="63"/>
    </row>
    <row r="42" spans="1:15">
      <c r="J42" s="368"/>
      <c r="K42" s="65" t="s">
        <v>407</v>
      </c>
      <c r="L42" s="63"/>
      <c r="M42" s="63"/>
      <c r="N42" s="63"/>
      <c r="O42" s="63"/>
    </row>
    <row r="43" spans="1:15">
      <c r="J43" s="368"/>
      <c r="K43" s="65" t="s">
        <v>408</v>
      </c>
      <c r="L43" s="63"/>
      <c r="M43" s="63"/>
      <c r="N43" s="63"/>
      <c r="O43" s="63"/>
    </row>
    <row r="44" spans="1:15">
      <c r="J44" s="368"/>
      <c r="K44" s="65" t="s">
        <v>410</v>
      </c>
      <c r="L44" s="63"/>
      <c r="M44" s="63"/>
      <c r="N44" s="63"/>
      <c r="O44" s="63"/>
    </row>
    <row r="45" spans="1:15">
      <c r="J45" s="368"/>
      <c r="K45" s="65" t="s">
        <v>411</v>
      </c>
      <c r="L45" s="63"/>
      <c r="M45" s="63"/>
      <c r="N45" s="63"/>
      <c r="O45" s="63"/>
    </row>
    <row r="46" spans="1:15">
      <c r="J46" s="368"/>
      <c r="K46" s="65" t="s">
        <v>412</v>
      </c>
      <c r="L46" s="63"/>
      <c r="M46" s="63"/>
      <c r="N46" s="63"/>
      <c r="O46" s="63"/>
    </row>
    <row r="47" spans="1:15">
      <c r="J47" s="368"/>
      <c r="K47" s="65" t="s">
        <v>413</v>
      </c>
      <c r="L47" s="63"/>
      <c r="M47" s="63"/>
      <c r="N47" s="63"/>
      <c r="O47" s="63"/>
    </row>
    <row r="48" spans="1:15">
      <c r="A48" s="359" t="s">
        <v>311</v>
      </c>
      <c r="B48" s="380"/>
      <c r="C48" s="380"/>
      <c r="D48" s="380"/>
      <c r="E48" s="380"/>
      <c r="F48" s="380"/>
      <c r="G48" s="381"/>
      <c r="J48" s="368"/>
      <c r="K48" s="65" t="s">
        <v>414</v>
      </c>
      <c r="L48" s="63"/>
      <c r="M48" s="63"/>
      <c r="N48" s="63"/>
      <c r="O48" s="63"/>
    </row>
    <row r="49" spans="1:15">
      <c r="A49" s="371"/>
      <c r="B49" s="372"/>
      <c r="C49" s="372"/>
      <c r="D49" s="372"/>
      <c r="E49" s="372"/>
      <c r="F49" s="372"/>
      <c r="G49" s="373"/>
      <c r="J49" s="368"/>
      <c r="K49" s="61" t="s">
        <v>415</v>
      </c>
      <c r="L49" s="61" t="e">
        <f>AVERAGE(L37:L48)</f>
        <v>#DIV/0!</v>
      </c>
      <c r="M49" s="61">
        <f>MAX(M37:M48)</f>
        <v>0</v>
      </c>
      <c r="N49" s="61" t="e">
        <f>AVERAGE(N37:N48)</f>
        <v>#DIV/0!</v>
      </c>
      <c r="O49" s="61">
        <f>MAX(O37:O48)</f>
        <v>0</v>
      </c>
    </row>
    <row r="50" spans="1:15">
      <c r="A50" s="374"/>
      <c r="B50" s="375"/>
      <c r="C50" s="375"/>
      <c r="D50" s="375"/>
      <c r="E50" s="375"/>
      <c r="F50" s="375"/>
      <c r="G50" s="376"/>
    </row>
    <row r="51" spans="1:15" ht="41.4">
      <c r="A51" s="374"/>
      <c r="B51" s="375"/>
      <c r="C51" s="375"/>
      <c r="D51" s="375"/>
      <c r="E51" s="375"/>
      <c r="F51" s="375"/>
      <c r="G51" s="376"/>
      <c r="J51" s="60">
        <f>+A6</f>
        <v>2022</v>
      </c>
      <c r="K51" s="60" t="s">
        <v>397</v>
      </c>
      <c r="L51" s="66" t="s">
        <v>392</v>
      </c>
      <c r="M51" s="66" t="s">
        <v>398</v>
      </c>
      <c r="N51" s="66" t="s">
        <v>395</v>
      </c>
      <c r="O51" s="66" t="s">
        <v>399</v>
      </c>
    </row>
    <row r="52" spans="1:15">
      <c r="A52" s="377"/>
      <c r="B52" s="378"/>
      <c r="C52" s="378"/>
      <c r="D52" s="378"/>
      <c r="E52" s="378"/>
      <c r="F52" s="378"/>
      <c r="G52" s="379"/>
      <c r="J52" s="368" t="s">
        <v>193</v>
      </c>
      <c r="K52" s="65" t="s">
        <v>400</v>
      </c>
      <c r="L52" s="63"/>
      <c r="M52" s="63"/>
      <c r="N52" s="63"/>
      <c r="O52" s="63"/>
    </row>
    <row r="53" spans="1:15">
      <c r="J53" s="368"/>
      <c r="K53" s="65" t="s">
        <v>401</v>
      </c>
      <c r="L53" s="63"/>
      <c r="M53" s="63"/>
      <c r="N53" s="63"/>
      <c r="O53" s="63"/>
    </row>
    <row r="54" spans="1:15">
      <c r="J54" s="368"/>
      <c r="K54" s="65" t="s">
        <v>402</v>
      </c>
      <c r="L54" s="63"/>
      <c r="M54" s="63"/>
      <c r="N54" s="63"/>
      <c r="O54" s="63"/>
    </row>
    <row r="55" spans="1:15">
      <c r="J55" s="368"/>
      <c r="K55" s="65" t="s">
        <v>404</v>
      </c>
      <c r="L55" s="63"/>
      <c r="M55" s="63"/>
      <c r="N55" s="63"/>
      <c r="O55" s="63"/>
    </row>
    <row r="56" spans="1:15">
      <c r="J56" s="368"/>
      <c r="K56" s="65" t="s">
        <v>406</v>
      </c>
      <c r="L56" s="63"/>
      <c r="M56" s="63"/>
      <c r="N56" s="63"/>
      <c r="O56" s="63"/>
    </row>
    <row r="57" spans="1:15">
      <c r="J57" s="368"/>
      <c r="K57" s="65" t="s">
        <v>407</v>
      </c>
      <c r="L57" s="63"/>
      <c r="M57" s="63"/>
      <c r="N57" s="63"/>
      <c r="O57" s="63"/>
    </row>
    <row r="58" spans="1:15">
      <c r="J58" s="368"/>
      <c r="K58" s="65" t="s">
        <v>408</v>
      </c>
      <c r="L58" s="63"/>
      <c r="M58" s="63"/>
      <c r="N58" s="63"/>
      <c r="O58" s="63"/>
    </row>
    <row r="59" spans="1:15">
      <c r="J59" s="368"/>
      <c r="K59" s="65" t="s">
        <v>410</v>
      </c>
      <c r="L59" s="63"/>
      <c r="M59" s="63"/>
      <c r="N59" s="63"/>
      <c r="O59" s="63"/>
    </row>
    <row r="60" spans="1:15">
      <c r="J60" s="368"/>
      <c r="K60" s="65" t="s">
        <v>411</v>
      </c>
      <c r="L60" s="63"/>
      <c r="M60" s="63"/>
      <c r="N60" s="63"/>
      <c r="O60" s="63"/>
    </row>
    <row r="61" spans="1:15">
      <c r="J61" s="368"/>
      <c r="K61" s="65" t="s">
        <v>412</v>
      </c>
      <c r="L61" s="63"/>
      <c r="M61" s="63"/>
      <c r="N61" s="63"/>
      <c r="O61" s="63"/>
    </row>
    <row r="62" spans="1:15">
      <c r="J62" s="368"/>
      <c r="K62" s="65" t="s">
        <v>413</v>
      </c>
      <c r="L62" s="63"/>
      <c r="M62" s="63"/>
      <c r="N62" s="63"/>
      <c r="O62" s="63"/>
    </row>
    <row r="63" spans="1:15">
      <c r="J63" s="368"/>
      <c r="K63" s="65" t="s">
        <v>414</v>
      </c>
      <c r="L63" s="63"/>
      <c r="M63" s="63"/>
      <c r="N63" s="63"/>
      <c r="O63" s="63"/>
    </row>
    <row r="64" spans="1:15">
      <c r="J64" s="368"/>
      <c r="K64" s="61" t="s">
        <v>415</v>
      </c>
      <c r="L64" s="61" t="e">
        <f>AVERAGE(L52:L63)</f>
        <v>#DIV/0!</v>
      </c>
      <c r="M64" s="61">
        <f>MAX(M52:M63)</f>
        <v>0</v>
      </c>
      <c r="N64" s="61" t="e">
        <f>AVERAGE(N52:N63)</f>
        <v>#DIV/0!</v>
      </c>
      <c r="O64" s="61">
        <f>MAX(O52:O63)</f>
        <v>0</v>
      </c>
    </row>
    <row r="66" spans="10:15" ht="41.4">
      <c r="J66" s="60">
        <f>+A6</f>
        <v>2022</v>
      </c>
      <c r="K66" s="60" t="s">
        <v>397</v>
      </c>
      <c r="L66" s="66" t="s">
        <v>392</v>
      </c>
      <c r="M66" s="66" t="s">
        <v>398</v>
      </c>
      <c r="N66" s="66" t="s">
        <v>395</v>
      </c>
      <c r="O66" s="66" t="s">
        <v>399</v>
      </c>
    </row>
    <row r="67" spans="10:15">
      <c r="J67" s="368" t="s">
        <v>194</v>
      </c>
      <c r="K67" s="65" t="s">
        <v>400</v>
      </c>
      <c r="L67" s="63"/>
      <c r="M67" s="63"/>
      <c r="N67" s="63"/>
      <c r="O67" s="63"/>
    </row>
    <row r="68" spans="10:15">
      <c r="J68" s="368"/>
      <c r="K68" s="65" t="s">
        <v>401</v>
      </c>
      <c r="L68" s="63"/>
      <c r="M68" s="63"/>
      <c r="N68" s="63"/>
      <c r="O68" s="63"/>
    </row>
    <row r="69" spans="10:15">
      <c r="J69" s="368"/>
      <c r="K69" s="65" t="s">
        <v>402</v>
      </c>
      <c r="L69" s="63"/>
      <c r="M69" s="63"/>
      <c r="N69" s="63"/>
      <c r="O69" s="63"/>
    </row>
    <row r="70" spans="10:15">
      <c r="J70" s="368"/>
      <c r="K70" s="65" t="s">
        <v>404</v>
      </c>
      <c r="L70" s="63"/>
      <c r="M70" s="63"/>
      <c r="N70" s="63"/>
      <c r="O70" s="63"/>
    </row>
    <row r="71" spans="10:15">
      <c r="J71" s="368"/>
      <c r="K71" s="65" t="s">
        <v>406</v>
      </c>
      <c r="L71" s="63"/>
      <c r="M71" s="63"/>
      <c r="N71" s="63"/>
      <c r="O71" s="63"/>
    </row>
    <row r="72" spans="10:15">
      <c r="J72" s="368"/>
      <c r="K72" s="65" t="s">
        <v>407</v>
      </c>
      <c r="L72" s="63"/>
      <c r="M72" s="63"/>
      <c r="N72" s="63"/>
      <c r="O72" s="63"/>
    </row>
    <row r="73" spans="10:15">
      <c r="J73" s="368"/>
      <c r="K73" s="65" t="s">
        <v>408</v>
      </c>
      <c r="L73" s="63"/>
      <c r="M73" s="63"/>
      <c r="N73" s="63"/>
      <c r="O73" s="63"/>
    </row>
    <row r="74" spans="10:15">
      <c r="J74" s="368"/>
      <c r="K74" s="65" t="s">
        <v>410</v>
      </c>
      <c r="L74" s="63"/>
      <c r="M74" s="63"/>
      <c r="N74" s="63"/>
      <c r="O74" s="63"/>
    </row>
    <row r="75" spans="10:15">
      <c r="J75" s="368"/>
      <c r="K75" s="65" t="s">
        <v>411</v>
      </c>
      <c r="L75" s="63"/>
      <c r="M75" s="63"/>
      <c r="N75" s="63"/>
      <c r="O75" s="63"/>
    </row>
    <row r="76" spans="10:15">
      <c r="J76" s="368"/>
      <c r="K76" s="65" t="s">
        <v>412</v>
      </c>
      <c r="L76" s="63"/>
      <c r="M76" s="63"/>
      <c r="N76" s="63"/>
      <c r="O76" s="63"/>
    </row>
    <row r="77" spans="10:15">
      <c r="J77" s="368"/>
      <c r="K77" s="65" t="s">
        <v>413</v>
      </c>
      <c r="L77" s="63"/>
      <c r="M77" s="63"/>
      <c r="N77" s="63"/>
      <c r="O77" s="63"/>
    </row>
    <row r="78" spans="10:15">
      <c r="J78" s="368"/>
      <c r="K78" s="65" t="s">
        <v>414</v>
      </c>
      <c r="L78" s="63"/>
      <c r="M78" s="63"/>
      <c r="N78" s="63"/>
      <c r="O78" s="63"/>
    </row>
    <row r="79" spans="10:15">
      <c r="J79" s="368"/>
      <c r="K79" s="61" t="s">
        <v>415</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workbookViewId="0">
      <selection activeCell="F11" sqref="F11"/>
    </sheetView>
  </sheetViews>
  <sheetFormatPr defaultRowHeight="13.8"/>
  <cols>
    <col min="1" max="1" width="14" style="3" customWidth="1"/>
    <col min="2" max="4" width="17" style="35" customWidth="1"/>
    <col min="5" max="5" width="14.77734375" style="35" customWidth="1"/>
    <col min="6" max="7" width="17" style="35" customWidth="1"/>
    <col min="8" max="11" width="9.21875" style="3"/>
    <col min="12" max="12" width="15.44140625" style="3" customWidth="1"/>
    <col min="13" max="13" width="17.44140625" style="3" bestFit="1" customWidth="1"/>
    <col min="14" max="14" width="13.77734375" style="3" customWidth="1"/>
    <col min="15" max="15" width="15" style="3" customWidth="1"/>
    <col min="16" max="18" width="9.21875" style="3"/>
    <col min="19" max="19" width="21.77734375" style="3" customWidth="1"/>
    <col min="20" max="256" width="9.21875" style="3"/>
    <col min="257" max="257" width="14" style="3" customWidth="1"/>
    <col min="258" max="263" width="10.21875" style="3" customWidth="1"/>
    <col min="264" max="512" width="9.21875" style="3"/>
    <col min="513" max="513" width="14" style="3" customWidth="1"/>
    <col min="514" max="519" width="10.21875" style="3" customWidth="1"/>
    <col min="520" max="768" width="9.21875" style="3"/>
    <col min="769" max="769" width="14" style="3" customWidth="1"/>
    <col min="770" max="775" width="10.21875" style="3" customWidth="1"/>
    <col min="776" max="1024" width="9.21875" style="3"/>
    <col min="1025" max="1025" width="14" style="3" customWidth="1"/>
    <col min="1026" max="1031" width="10.21875" style="3" customWidth="1"/>
    <col min="1032" max="1280" width="9.21875" style="3"/>
    <col min="1281" max="1281" width="14" style="3" customWidth="1"/>
    <col min="1282" max="1287" width="10.21875" style="3" customWidth="1"/>
    <col min="1288" max="1536" width="9.21875" style="3"/>
    <col min="1537" max="1537" width="14" style="3" customWidth="1"/>
    <col min="1538" max="1543" width="10.21875" style="3" customWidth="1"/>
    <col min="1544" max="1792" width="9.21875" style="3"/>
    <col min="1793" max="1793" width="14" style="3" customWidth="1"/>
    <col min="1794" max="1799" width="10.21875" style="3" customWidth="1"/>
    <col min="1800" max="2048" width="9.21875" style="3"/>
    <col min="2049" max="2049" width="14" style="3" customWidth="1"/>
    <col min="2050" max="2055" width="10.21875" style="3" customWidth="1"/>
    <col min="2056" max="2304" width="9.21875" style="3"/>
    <col min="2305" max="2305" width="14" style="3" customWidth="1"/>
    <col min="2306" max="2311" width="10.21875" style="3" customWidth="1"/>
    <col min="2312" max="2560" width="9.21875" style="3"/>
    <col min="2561" max="2561" width="14" style="3" customWidth="1"/>
    <col min="2562" max="2567" width="10.21875" style="3" customWidth="1"/>
    <col min="2568" max="2816" width="9.21875" style="3"/>
    <col min="2817" max="2817" width="14" style="3" customWidth="1"/>
    <col min="2818" max="2823" width="10.21875" style="3" customWidth="1"/>
    <col min="2824" max="3072" width="9.21875" style="3"/>
    <col min="3073" max="3073" width="14" style="3" customWidth="1"/>
    <col min="3074" max="3079" width="10.21875" style="3" customWidth="1"/>
    <col min="3080" max="3328" width="9.21875" style="3"/>
    <col min="3329" max="3329" width="14" style="3" customWidth="1"/>
    <col min="3330" max="3335" width="10.21875" style="3" customWidth="1"/>
    <col min="3336" max="3584" width="9.21875" style="3"/>
    <col min="3585" max="3585" width="14" style="3" customWidth="1"/>
    <col min="3586" max="3591" width="10.21875" style="3" customWidth="1"/>
    <col min="3592" max="3840" width="9.21875" style="3"/>
    <col min="3841" max="3841" width="14" style="3" customWidth="1"/>
    <col min="3842" max="3847" width="10.21875" style="3" customWidth="1"/>
    <col min="3848" max="4096" width="9.21875" style="3"/>
    <col min="4097" max="4097" width="14" style="3" customWidth="1"/>
    <col min="4098" max="4103" width="10.21875" style="3" customWidth="1"/>
    <col min="4104" max="4352" width="9.21875" style="3"/>
    <col min="4353" max="4353" width="14" style="3" customWidth="1"/>
    <col min="4354" max="4359" width="10.21875" style="3" customWidth="1"/>
    <col min="4360" max="4608" width="9.21875" style="3"/>
    <col min="4609" max="4609" width="14" style="3" customWidth="1"/>
    <col min="4610" max="4615" width="10.21875" style="3" customWidth="1"/>
    <col min="4616" max="4864" width="9.21875" style="3"/>
    <col min="4865" max="4865" width="14" style="3" customWidth="1"/>
    <col min="4866" max="4871" width="10.21875" style="3" customWidth="1"/>
    <col min="4872" max="5120" width="9.21875" style="3"/>
    <col min="5121" max="5121" width="14" style="3" customWidth="1"/>
    <col min="5122" max="5127" width="10.21875" style="3" customWidth="1"/>
    <col min="5128" max="5376" width="9.21875" style="3"/>
    <col min="5377" max="5377" width="14" style="3" customWidth="1"/>
    <col min="5378" max="5383" width="10.21875" style="3" customWidth="1"/>
    <col min="5384" max="5632" width="9.21875" style="3"/>
    <col min="5633" max="5633" width="14" style="3" customWidth="1"/>
    <col min="5634" max="5639" width="10.21875" style="3" customWidth="1"/>
    <col min="5640" max="5888" width="9.21875" style="3"/>
    <col min="5889" max="5889" width="14" style="3" customWidth="1"/>
    <col min="5890" max="5895" width="10.21875" style="3" customWidth="1"/>
    <col min="5896" max="6144" width="9.21875" style="3"/>
    <col min="6145" max="6145" width="14" style="3" customWidth="1"/>
    <col min="6146" max="6151" width="10.21875" style="3" customWidth="1"/>
    <col min="6152" max="6400" width="9.21875" style="3"/>
    <col min="6401" max="6401" width="14" style="3" customWidth="1"/>
    <col min="6402" max="6407" width="10.21875" style="3" customWidth="1"/>
    <col min="6408" max="6656" width="9.21875" style="3"/>
    <col min="6657" max="6657" width="14" style="3" customWidth="1"/>
    <col min="6658" max="6663" width="10.21875" style="3" customWidth="1"/>
    <col min="6664" max="6912" width="9.21875" style="3"/>
    <col min="6913" max="6913" width="14" style="3" customWidth="1"/>
    <col min="6914" max="6919" width="10.21875" style="3" customWidth="1"/>
    <col min="6920" max="7168" width="9.21875" style="3"/>
    <col min="7169" max="7169" width="14" style="3" customWidth="1"/>
    <col min="7170" max="7175" width="10.21875" style="3" customWidth="1"/>
    <col min="7176" max="7424" width="9.21875" style="3"/>
    <col min="7425" max="7425" width="14" style="3" customWidth="1"/>
    <col min="7426" max="7431" width="10.21875" style="3" customWidth="1"/>
    <col min="7432" max="7680" width="9.21875" style="3"/>
    <col min="7681" max="7681" width="14" style="3" customWidth="1"/>
    <col min="7682" max="7687" width="10.21875" style="3" customWidth="1"/>
    <col min="7688" max="7936" width="9.21875" style="3"/>
    <col min="7937" max="7937" width="14" style="3" customWidth="1"/>
    <col min="7938" max="7943" width="10.21875" style="3" customWidth="1"/>
    <col min="7944" max="8192" width="9.21875" style="3"/>
    <col min="8193" max="8193" width="14" style="3" customWidth="1"/>
    <col min="8194" max="8199" width="10.21875" style="3" customWidth="1"/>
    <col min="8200" max="8448" width="9.21875" style="3"/>
    <col min="8449" max="8449" width="14" style="3" customWidth="1"/>
    <col min="8450" max="8455" width="10.21875" style="3" customWidth="1"/>
    <col min="8456" max="8704" width="9.21875" style="3"/>
    <col min="8705" max="8705" width="14" style="3" customWidth="1"/>
    <col min="8706" max="8711" width="10.21875" style="3" customWidth="1"/>
    <col min="8712" max="8960" width="9.21875" style="3"/>
    <col min="8961" max="8961" width="14" style="3" customWidth="1"/>
    <col min="8962" max="8967" width="10.21875" style="3" customWidth="1"/>
    <col min="8968" max="9216" width="9.21875" style="3"/>
    <col min="9217" max="9217" width="14" style="3" customWidth="1"/>
    <col min="9218" max="9223" width="10.21875" style="3" customWidth="1"/>
    <col min="9224" max="9472" width="9.21875" style="3"/>
    <col min="9473" max="9473" width="14" style="3" customWidth="1"/>
    <col min="9474" max="9479" width="10.21875" style="3" customWidth="1"/>
    <col min="9480" max="9728" width="9.21875" style="3"/>
    <col min="9729" max="9729" width="14" style="3" customWidth="1"/>
    <col min="9730" max="9735" width="10.21875" style="3" customWidth="1"/>
    <col min="9736" max="9984" width="9.21875" style="3"/>
    <col min="9985" max="9985" width="14" style="3" customWidth="1"/>
    <col min="9986" max="9991" width="10.21875" style="3" customWidth="1"/>
    <col min="9992" max="10240" width="9.21875" style="3"/>
    <col min="10241" max="10241" width="14" style="3" customWidth="1"/>
    <col min="10242" max="10247" width="10.21875" style="3" customWidth="1"/>
    <col min="10248" max="10496" width="9.21875" style="3"/>
    <col min="10497" max="10497" width="14" style="3" customWidth="1"/>
    <col min="10498" max="10503" width="10.21875" style="3" customWidth="1"/>
    <col min="10504" max="10752" width="9.21875" style="3"/>
    <col min="10753" max="10753" width="14" style="3" customWidth="1"/>
    <col min="10754" max="10759" width="10.21875" style="3" customWidth="1"/>
    <col min="10760" max="11008" width="9.21875" style="3"/>
    <col min="11009" max="11009" width="14" style="3" customWidth="1"/>
    <col min="11010" max="11015" width="10.21875" style="3" customWidth="1"/>
    <col min="11016" max="11264" width="9.21875" style="3"/>
    <col min="11265" max="11265" width="14" style="3" customWidth="1"/>
    <col min="11266" max="11271" width="10.21875" style="3" customWidth="1"/>
    <col min="11272" max="11520" width="9.21875" style="3"/>
    <col min="11521" max="11521" width="14" style="3" customWidth="1"/>
    <col min="11522" max="11527" width="10.21875" style="3" customWidth="1"/>
    <col min="11528" max="11776" width="9.21875" style="3"/>
    <col min="11777" max="11777" width="14" style="3" customWidth="1"/>
    <col min="11778" max="11783" width="10.21875" style="3" customWidth="1"/>
    <col min="11784" max="12032" width="9.21875" style="3"/>
    <col min="12033" max="12033" width="14" style="3" customWidth="1"/>
    <col min="12034" max="12039" width="10.21875" style="3" customWidth="1"/>
    <col min="12040" max="12288" width="9.21875" style="3"/>
    <col min="12289" max="12289" width="14" style="3" customWidth="1"/>
    <col min="12290" max="12295" width="10.21875" style="3" customWidth="1"/>
    <col min="12296" max="12544" width="9.21875" style="3"/>
    <col min="12545" max="12545" width="14" style="3" customWidth="1"/>
    <col min="12546" max="12551" width="10.21875" style="3" customWidth="1"/>
    <col min="12552" max="12800" width="9.21875" style="3"/>
    <col min="12801" max="12801" width="14" style="3" customWidth="1"/>
    <col min="12802" max="12807" width="10.21875" style="3" customWidth="1"/>
    <col min="12808" max="13056" width="9.21875" style="3"/>
    <col min="13057" max="13057" width="14" style="3" customWidth="1"/>
    <col min="13058" max="13063" width="10.21875" style="3" customWidth="1"/>
    <col min="13064" max="13312" width="9.21875" style="3"/>
    <col min="13313" max="13313" width="14" style="3" customWidth="1"/>
    <col min="13314" max="13319" width="10.21875" style="3" customWidth="1"/>
    <col min="13320" max="13568" width="9.21875" style="3"/>
    <col min="13569" max="13569" width="14" style="3" customWidth="1"/>
    <col min="13570" max="13575" width="10.21875" style="3" customWidth="1"/>
    <col min="13576" max="13824" width="9.21875" style="3"/>
    <col min="13825" max="13825" width="14" style="3" customWidth="1"/>
    <col min="13826" max="13831" width="10.21875" style="3" customWidth="1"/>
    <col min="13832" max="14080" width="9.21875" style="3"/>
    <col min="14081" max="14081" width="14" style="3" customWidth="1"/>
    <col min="14082" max="14087" width="10.21875" style="3" customWidth="1"/>
    <col min="14088" max="14336" width="9.21875" style="3"/>
    <col min="14337" max="14337" width="14" style="3" customWidth="1"/>
    <col min="14338" max="14343" width="10.21875" style="3" customWidth="1"/>
    <col min="14344" max="14592" width="9.21875" style="3"/>
    <col min="14593" max="14593" width="14" style="3" customWidth="1"/>
    <col min="14594" max="14599" width="10.21875" style="3" customWidth="1"/>
    <col min="14600" max="14848" width="9.21875" style="3"/>
    <col min="14849" max="14849" width="14" style="3" customWidth="1"/>
    <col min="14850" max="14855" width="10.21875" style="3" customWidth="1"/>
    <col min="14856" max="15104" width="9.21875" style="3"/>
    <col min="15105" max="15105" width="14" style="3" customWidth="1"/>
    <col min="15106" max="15111" width="10.21875" style="3" customWidth="1"/>
    <col min="15112" max="15360" width="9.21875" style="3"/>
    <col min="15361" max="15361" width="14" style="3" customWidth="1"/>
    <col min="15362" max="15367" width="10.21875" style="3" customWidth="1"/>
    <col min="15368" max="15616" width="9.21875" style="3"/>
    <col min="15617" max="15617" width="14" style="3" customWidth="1"/>
    <col min="15618" max="15623" width="10.21875" style="3" customWidth="1"/>
    <col min="15624" max="15872" width="9.21875" style="3"/>
    <col min="15873" max="15873" width="14" style="3" customWidth="1"/>
    <col min="15874" max="15879" width="10.21875" style="3" customWidth="1"/>
    <col min="15880" max="16128" width="9.21875" style="3"/>
    <col min="16129" max="16129" width="14" style="3" customWidth="1"/>
    <col min="16130" max="16135" width="10.21875" style="3" customWidth="1"/>
    <col min="16136" max="16384" width="9.21875" style="3"/>
  </cols>
  <sheetData>
    <row r="1" spans="1:19" ht="15">
      <c r="A1" s="92" t="s">
        <v>5</v>
      </c>
      <c r="B1" s="92"/>
      <c r="C1" s="92"/>
      <c r="D1" s="92"/>
      <c r="E1" s="92" t="s">
        <v>7</v>
      </c>
    </row>
    <row r="3" spans="1:19" ht="14.4">
      <c r="A3" s="59" t="s">
        <v>422</v>
      </c>
      <c r="D3" s="75" t="s">
        <v>384</v>
      </c>
      <c r="G3" s="79" t="s">
        <v>385</v>
      </c>
      <c r="J3" s="9" t="s">
        <v>422</v>
      </c>
      <c r="L3" s="9"/>
      <c r="N3" s="9" t="s">
        <v>386</v>
      </c>
      <c r="Q3" s="78" t="s">
        <v>3</v>
      </c>
      <c r="R3" s="73"/>
      <c r="S3" s="73"/>
    </row>
    <row r="4" spans="1:19" ht="13.95" customHeight="1">
      <c r="Q4" s="345" t="s">
        <v>387</v>
      </c>
      <c r="R4" s="345"/>
      <c r="S4" s="345"/>
    </row>
    <row r="5" spans="1:19" ht="16.2">
      <c r="A5" s="67" t="s">
        <v>388</v>
      </c>
      <c r="B5" s="370" t="s">
        <v>389</v>
      </c>
      <c r="C5" s="370"/>
      <c r="D5" s="370"/>
      <c r="E5" s="370" t="s">
        <v>390</v>
      </c>
      <c r="F5" s="370"/>
      <c r="G5" s="370"/>
      <c r="J5" s="369"/>
      <c r="K5" s="369"/>
      <c r="L5" s="369"/>
      <c r="M5" s="369"/>
      <c r="N5" s="369"/>
      <c r="O5" s="369"/>
      <c r="Q5" s="345"/>
      <c r="R5" s="345"/>
      <c r="S5" s="345"/>
    </row>
    <row r="6" spans="1:19" s="57" customFormat="1" ht="37.5" customHeight="1">
      <c r="A6" s="64">
        <v>2022</v>
      </c>
      <c r="B6" s="54" t="s">
        <v>423</v>
      </c>
      <c r="C6" s="54" t="s">
        <v>392</v>
      </c>
      <c r="D6" s="54" t="s">
        <v>393</v>
      </c>
      <c r="E6" s="54" t="s">
        <v>424</v>
      </c>
      <c r="F6" s="54" t="s">
        <v>395</v>
      </c>
      <c r="G6" s="54" t="s">
        <v>396</v>
      </c>
      <c r="H6" s="58"/>
      <c r="J6" s="60">
        <v>2022</v>
      </c>
      <c r="K6" s="60" t="s">
        <v>397</v>
      </c>
      <c r="L6" s="66" t="s">
        <v>392</v>
      </c>
      <c r="M6" s="66" t="s">
        <v>398</v>
      </c>
      <c r="N6" s="66" t="s">
        <v>395</v>
      </c>
      <c r="O6" s="66" t="s">
        <v>399</v>
      </c>
      <c r="Q6" s="345"/>
      <c r="R6" s="345"/>
      <c r="S6" s="345"/>
    </row>
    <row r="7" spans="1:19">
      <c r="A7" s="65" t="s">
        <v>400</v>
      </c>
      <c r="B7" s="62">
        <v>20</v>
      </c>
      <c r="C7" s="63">
        <v>1</v>
      </c>
      <c r="D7" s="63">
        <v>13.7</v>
      </c>
      <c r="E7" s="62">
        <v>10</v>
      </c>
      <c r="F7" s="63">
        <v>0.8</v>
      </c>
      <c r="G7" s="63">
        <v>1.2</v>
      </c>
      <c r="J7" s="368" t="s">
        <v>190</v>
      </c>
      <c r="K7" s="65" t="s">
        <v>400</v>
      </c>
      <c r="L7" s="63">
        <v>0.5</v>
      </c>
      <c r="M7" s="63">
        <v>4</v>
      </c>
      <c r="N7" s="63">
        <v>0.4</v>
      </c>
      <c r="O7" s="63">
        <v>0.5</v>
      </c>
      <c r="Q7" s="345"/>
      <c r="R7" s="345"/>
      <c r="S7" s="345"/>
    </row>
    <row r="8" spans="1:19">
      <c r="A8" s="65" t="s">
        <v>401</v>
      </c>
      <c r="B8" s="62">
        <v>20</v>
      </c>
      <c r="C8" s="63">
        <v>1</v>
      </c>
      <c r="D8" s="63">
        <v>14</v>
      </c>
      <c r="E8" s="62">
        <v>10</v>
      </c>
      <c r="F8" s="63">
        <v>0.9</v>
      </c>
      <c r="G8" s="63">
        <v>1.2999999999999998</v>
      </c>
      <c r="J8" s="368"/>
      <c r="K8" s="65" t="s">
        <v>401</v>
      </c>
      <c r="L8" s="63">
        <v>0.5</v>
      </c>
      <c r="M8" s="63">
        <v>2.8</v>
      </c>
      <c r="N8" s="63">
        <v>0.5</v>
      </c>
      <c r="O8" s="63">
        <v>0.6</v>
      </c>
      <c r="Q8" s="345"/>
      <c r="R8" s="345"/>
      <c r="S8" s="345"/>
    </row>
    <row r="9" spans="1:19">
      <c r="A9" s="65" t="s">
        <v>402</v>
      </c>
      <c r="B9" s="62">
        <v>20</v>
      </c>
      <c r="C9" s="63">
        <v>1</v>
      </c>
      <c r="D9" s="63">
        <v>18.600000000000001</v>
      </c>
      <c r="E9" s="62">
        <v>10</v>
      </c>
      <c r="F9" s="63">
        <v>0.9</v>
      </c>
      <c r="G9" s="63">
        <v>1.4</v>
      </c>
      <c r="J9" s="368"/>
      <c r="K9" s="65" t="s">
        <v>402</v>
      </c>
      <c r="L9" s="63">
        <v>0.5</v>
      </c>
      <c r="M9" s="63">
        <v>6.3</v>
      </c>
      <c r="N9" s="63">
        <v>0.5</v>
      </c>
      <c r="O9" s="63">
        <v>0.7</v>
      </c>
      <c r="Q9" s="77" t="s">
        <v>403</v>
      </c>
    </row>
    <row r="10" spans="1:19" ht="14.25" customHeight="1">
      <c r="A10" s="65" t="s">
        <v>404</v>
      </c>
      <c r="B10" s="62">
        <v>20</v>
      </c>
      <c r="C10" s="63">
        <v>1.1000000000000001</v>
      </c>
      <c r="D10" s="63">
        <v>34.700000000000003</v>
      </c>
      <c r="E10" s="62">
        <v>10</v>
      </c>
      <c r="F10" s="63">
        <v>1</v>
      </c>
      <c r="G10" s="63">
        <v>1.2999999999999998</v>
      </c>
      <c r="J10" s="368"/>
      <c r="K10" s="65" t="s">
        <v>404</v>
      </c>
      <c r="L10" s="63">
        <v>0.5</v>
      </c>
      <c r="M10" s="63">
        <v>16.600000000000001</v>
      </c>
      <c r="N10" s="63">
        <v>0.5</v>
      </c>
      <c r="O10" s="63">
        <v>0.7</v>
      </c>
      <c r="Q10" s="367" t="s">
        <v>405</v>
      </c>
      <c r="R10" s="367"/>
      <c r="S10" s="367"/>
    </row>
    <row r="11" spans="1:19">
      <c r="A11" s="65" t="s">
        <v>406</v>
      </c>
      <c r="B11" s="62">
        <v>20</v>
      </c>
      <c r="C11" s="63">
        <v>1</v>
      </c>
      <c r="D11" s="63">
        <v>26.200000000000003</v>
      </c>
      <c r="E11" s="62">
        <v>10</v>
      </c>
      <c r="F11" s="63">
        <v>1</v>
      </c>
      <c r="G11" s="63">
        <v>1.4</v>
      </c>
      <c r="J11" s="368"/>
      <c r="K11" s="65" t="s">
        <v>406</v>
      </c>
      <c r="L11" s="63">
        <v>0.5</v>
      </c>
      <c r="M11" s="63">
        <v>11.9</v>
      </c>
      <c r="N11" s="63">
        <v>0.5</v>
      </c>
      <c r="O11" s="63">
        <v>0.7</v>
      </c>
      <c r="Q11" s="367"/>
      <c r="R11" s="367"/>
      <c r="S11" s="367"/>
    </row>
    <row r="12" spans="1:19">
      <c r="A12" s="65" t="s">
        <v>407</v>
      </c>
      <c r="B12" s="62">
        <v>20</v>
      </c>
      <c r="C12" s="63">
        <v>1</v>
      </c>
      <c r="D12" s="63">
        <v>20</v>
      </c>
      <c r="E12" s="62">
        <v>10</v>
      </c>
      <c r="F12" s="63">
        <v>1</v>
      </c>
      <c r="G12" s="63">
        <v>1.4</v>
      </c>
      <c r="J12" s="368"/>
      <c r="K12" s="65" t="s">
        <v>407</v>
      </c>
      <c r="L12" s="63">
        <v>0.5</v>
      </c>
      <c r="M12" s="63">
        <v>12.4</v>
      </c>
      <c r="N12" s="63">
        <v>0.5</v>
      </c>
      <c r="O12" s="63">
        <v>0.8</v>
      </c>
      <c r="Q12" s="367"/>
      <c r="R12" s="367"/>
      <c r="S12" s="367"/>
    </row>
    <row r="13" spans="1:19" ht="14.25" customHeight="1">
      <c r="A13" s="65" t="s">
        <v>408</v>
      </c>
      <c r="B13" s="62">
        <v>20</v>
      </c>
      <c r="C13" s="63">
        <v>1.5</v>
      </c>
      <c r="D13" s="63">
        <v>23.2</v>
      </c>
      <c r="E13" s="62">
        <v>10</v>
      </c>
      <c r="F13" s="63">
        <v>1.2999999999999998</v>
      </c>
      <c r="G13" s="63">
        <v>2.7</v>
      </c>
      <c r="J13" s="368"/>
      <c r="K13" s="65" t="s">
        <v>408</v>
      </c>
      <c r="L13" s="63">
        <v>0.7</v>
      </c>
      <c r="M13" s="63">
        <v>14.6</v>
      </c>
      <c r="N13" s="63">
        <v>0.6</v>
      </c>
      <c r="O13" s="63">
        <v>1.4</v>
      </c>
      <c r="Q13" s="367" t="s">
        <v>409</v>
      </c>
      <c r="R13" s="367"/>
      <c r="S13" s="367"/>
    </row>
    <row r="14" spans="1:19">
      <c r="A14" s="65" t="s">
        <v>410</v>
      </c>
      <c r="B14" s="62">
        <v>20</v>
      </c>
      <c r="C14" s="63">
        <v>1.1000000000000001</v>
      </c>
      <c r="D14" s="63">
        <v>23.9</v>
      </c>
      <c r="E14" s="62">
        <v>10</v>
      </c>
      <c r="F14" s="63">
        <v>1.1000000000000001</v>
      </c>
      <c r="G14" s="63">
        <v>1.7000000000000002</v>
      </c>
      <c r="J14" s="368"/>
      <c r="K14" s="65" t="s">
        <v>410</v>
      </c>
      <c r="L14" s="63">
        <v>0.5</v>
      </c>
      <c r="M14" s="63">
        <v>9.6999999999999993</v>
      </c>
      <c r="N14" s="63">
        <v>0.5</v>
      </c>
      <c r="O14" s="63">
        <v>0.8</v>
      </c>
      <c r="Q14" s="367"/>
      <c r="R14" s="367"/>
      <c r="S14" s="367"/>
    </row>
    <row r="15" spans="1:19">
      <c r="A15" s="65" t="s">
        <v>411</v>
      </c>
      <c r="B15" s="62">
        <v>20</v>
      </c>
      <c r="C15" s="63">
        <v>1.2</v>
      </c>
      <c r="D15" s="63">
        <v>24.1</v>
      </c>
      <c r="E15" s="62">
        <v>10</v>
      </c>
      <c r="F15" s="63">
        <v>1.1000000000000001</v>
      </c>
      <c r="G15" s="63">
        <v>1.6</v>
      </c>
      <c r="J15" s="368"/>
      <c r="K15" s="65" t="s">
        <v>411</v>
      </c>
      <c r="L15" s="63">
        <v>0.6</v>
      </c>
      <c r="M15" s="63">
        <v>14.2</v>
      </c>
      <c r="N15" s="63">
        <v>0.5</v>
      </c>
      <c r="O15" s="63">
        <v>0.8</v>
      </c>
      <c r="Q15" s="367"/>
      <c r="R15" s="367"/>
      <c r="S15" s="367"/>
    </row>
    <row r="16" spans="1:19">
      <c r="A16" s="65" t="s">
        <v>412</v>
      </c>
      <c r="B16" s="62">
        <v>20</v>
      </c>
      <c r="C16" s="63">
        <v>1.6</v>
      </c>
      <c r="D16" s="63">
        <v>33.5</v>
      </c>
      <c r="E16" s="62">
        <v>10</v>
      </c>
      <c r="F16" s="63">
        <v>1.5</v>
      </c>
      <c r="G16" s="63">
        <v>9.3000000000000007</v>
      </c>
      <c r="J16" s="368"/>
      <c r="K16" s="65" t="s">
        <v>412</v>
      </c>
      <c r="L16" s="63">
        <v>0.5</v>
      </c>
      <c r="M16" s="63">
        <v>14</v>
      </c>
      <c r="N16" s="63">
        <v>0.4</v>
      </c>
      <c r="O16" s="63">
        <v>1.3</v>
      </c>
      <c r="Q16" s="367"/>
      <c r="R16" s="367"/>
      <c r="S16" s="367"/>
    </row>
    <row r="17" spans="1:15">
      <c r="A17" s="65" t="s">
        <v>413</v>
      </c>
      <c r="B17" s="62">
        <v>20</v>
      </c>
      <c r="C17" s="63">
        <v>1.3</v>
      </c>
      <c r="D17" s="63">
        <v>25.700000000000003</v>
      </c>
      <c r="E17" s="62">
        <v>10</v>
      </c>
      <c r="F17" s="63">
        <v>1.2000000000000002</v>
      </c>
      <c r="G17" s="63">
        <v>1.9000000000000001</v>
      </c>
      <c r="J17" s="368"/>
      <c r="K17" s="65" t="s">
        <v>413</v>
      </c>
      <c r="L17" s="63">
        <v>0.5</v>
      </c>
      <c r="M17" s="63">
        <v>9.1</v>
      </c>
      <c r="N17" s="63">
        <v>0.4</v>
      </c>
      <c r="O17" s="63">
        <v>0.8</v>
      </c>
    </row>
    <row r="18" spans="1:15">
      <c r="A18" s="65" t="s">
        <v>414</v>
      </c>
      <c r="B18" s="62">
        <v>20</v>
      </c>
      <c r="C18" s="63">
        <v>1.3</v>
      </c>
      <c r="D18" s="63">
        <v>40.4</v>
      </c>
      <c r="E18" s="62">
        <v>10</v>
      </c>
      <c r="F18" s="63">
        <v>1.3</v>
      </c>
      <c r="G18" s="63">
        <v>2.5</v>
      </c>
      <c r="J18" s="368"/>
      <c r="K18" s="65" t="s">
        <v>414</v>
      </c>
      <c r="L18" s="63">
        <v>0.5</v>
      </c>
      <c r="M18" s="63">
        <v>27.9</v>
      </c>
      <c r="N18" s="63">
        <v>0.5</v>
      </c>
      <c r="O18" s="63">
        <v>1.2</v>
      </c>
    </row>
    <row r="19" spans="1:15">
      <c r="J19" s="368"/>
      <c r="K19" s="61" t="s">
        <v>415</v>
      </c>
      <c r="L19" s="61">
        <v>0.52500000000000002</v>
      </c>
      <c r="M19" s="61">
        <v>27.9</v>
      </c>
      <c r="N19" s="61">
        <v>0.48333333333333339</v>
      </c>
      <c r="O19" s="61">
        <v>1.4</v>
      </c>
    </row>
    <row r="21" spans="1:15" ht="41.4">
      <c r="J21" s="60">
        <v>2022</v>
      </c>
      <c r="K21" s="60" t="s">
        <v>397</v>
      </c>
      <c r="L21" s="66" t="s">
        <v>392</v>
      </c>
      <c r="M21" s="66" t="s">
        <v>398</v>
      </c>
      <c r="N21" s="66" t="s">
        <v>395</v>
      </c>
      <c r="O21" s="66" t="s">
        <v>399</v>
      </c>
    </row>
    <row r="22" spans="1:15">
      <c r="J22" s="368" t="s">
        <v>191</v>
      </c>
      <c r="K22" s="65" t="s">
        <v>400</v>
      </c>
      <c r="L22" s="61">
        <v>0.5</v>
      </c>
      <c r="M22" s="61">
        <v>9.6999999999999993</v>
      </c>
      <c r="N22" s="61">
        <v>0.4</v>
      </c>
      <c r="O22" s="61">
        <v>0.7</v>
      </c>
    </row>
    <row r="23" spans="1:15">
      <c r="J23" s="368"/>
      <c r="K23" s="65" t="s">
        <v>401</v>
      </c>
      <c r="L23" s="61">
        <v>0.5</v>
      </c>
      <c r="M23" s="61">
        <v>11.2</v>
      </c>
      <c r="N23" s="61">
        <v>0.4</v>
      </c>
      <c r="O23" s="61">
        <v>0.7</v>
      </c>
    </row>
    <row r="24" spans="1:15">
      <c r="J24" s="368"/>
      <c r="K24" s="65" t="s">
        <v>402</v>
      </c>
      <c r="L24" s="61">
        <v>0.5</v>
      </c>
      <c r="M24" s="61">
        <v>12.3</v>
      </c>
      <c r="N24" s="61">
        <v>0.4</v>
      </c>
      <c r="O24" s="61">
        <v>0.7</v>
      </c>
    </row>
    <row r="25" spans="1:15">
      <c r="J25" s="368"/>
      <c r="K25" s="65" t="s">
        <v>404</v>
      </c>
      <c r="L25" s="61">
        <v>0.6</v>
      </c>
      <c r="M25" s="61">
        <v>18.100000000000001</v>
      </c>
      <c r="N25" s="61">
        <v>0.5</v>
      </c>
      <c r="O25" s="61">
        <v>0.6</v>
      </c>
    </row>
    <row r="26" spans="1:15">
      <c r="J26" s="368"/>
      <c r="K26" s="65" t="s">
        <v>406</v>
      </c>
      <c r="L26" s="61">
        <v>0.5</v>
      </c>
      <c r="M26" s="61">
        <v>14.3</v>
      </c>
      <c r="N26" s="61">
        <v>0.5</v>
      </c>
      <c r="O26" s="61">
        <v>0.7</v>
      </c>
    </row>
    <row r="27" spans="1:15">
      <c r="J27" s="368"/>
      <c r="K27" s="65" t="s">
        <v>407</v>
      </c>
      <c r="L27" s="61">
        <v>0.5</v>
      </c>
      <c r="M27" s="61">
        <v>7.6</v>
      </c>
      <c r="N27" s="61">
        <v>0.5</v>
      </c>
      <c r="O27" s="61">
        <v>0.6</v>
      </c>
    </row>
    <row r="28" spans="1:15">
      <c r="J28" s="368"/>
      <c r="K28" s="65" t="s">
        <v>408</v>
      </c>
      <c r="L28" s="61">
        <v>0.8</v>
      </c>
      <c r="M28" s="61">
        <v>8.6</v>
      </c>
      <c r="N28" s="61">
        <v>0.7</v>
      </c>
      <c r="O28" s="61">
        <v>1.3</v>
      </c>
    </row>
    <row r="29" spans="1:15">
      <c r="J29" s="368"/>
      <c r="K29" s="65" t="s">
        <v>410</v>
      </c>
      <c r="L29" s="61">
        <v>0.6</v>
      </c>
      <c r="M29" s="61">
        <v>14.2</v>
      </c>
      <c r="N29" s="61">
        <v>0.6</v>
      </c>
      <c r="O29" s="61">
        <v>0.9</v>
      </c>
    </row>
    <row r="30" spans="1:15">
      <c r="J30" s="368"/>
      <c r="K30" s="65" t="s">
        <v>411</v>
      </c>
      <c r="L30" s="61">
        <v>0.6</v>
      </c>
      <c r="M30" s="61">
        <v>9.9</v>
      </c>
      <c r="N30" s="61">
        <v>0.6</v>
      </c>
      <c r="O30" s="61">
        <v>0.8</v>
      </c>
    </row>
    <row r="31" spans="1:15">
      <c r="J31" s="368"/>
      <c r="K31" s="65" t="s">
        <v>412</v>
      </c>
      <c r="L31" s="61">
        <v>1.1000000000000001</v>
      </c>
      <c r="M31" s="61">
        <v>19.5</v>
      </c>
      <c r="N31" s="61">
        <v>1.1000000000000001</v>
      </c>
      <c r="O31" s="61">
        <v>8</v>
      </c>
    </row>
    <row r="32" spans="1:15">
      <c r="J32" s="368"/>
      <c r="K32" s="65" t="s">
        <v>413</v>
      </c>
      <c r="L32" s="61">
        <v>0.8</v>
      </c>
      <c r="M32" s="61">
        <v>16.600000000000001</v>
      </c>
      <c r="N32" s="61">
        <v>0.8</v>
      </c>
      <c r="O32" s="61">
        <v>1.1000000000000001</v>
      </c>
    </row>
    <row r="33" spans="1:15">
      <c r="J33" s="368"/>
      <c r="K33" s="65" t="s">
        <v>414</v>
      </c>
      <c r="L33" s="61">
        <v>0.8</v>
      </c>
      <c r="M33" s="61">
        <v>12.5</v>
      </c>
      <c r="N33" s="61">
        <v>0.8</v>
      </c>
      <c r="O33" s="61">
        <v>1.3</v>
      </c>
    </row>
    <row r="34" spans="1:15">
      <c r="J34" s="368"/>
      <c r="K34" s="61" t="s">
        <v>415</v>
      </c>
      <c r="L34" s="61">
        <v>0.64999999999999991</v>
      </c>
      <c r="M34" s="61">
        <v>19.5</v>
      </c>
      <c r="N34" s="61">
        <v>0.60833333333333328</v>
      </c>
      <c r="O34" s="61">
        <v>8</v>
      </c>
    </row>
    <row r="36" spans="1:15" ht="41.4">
      <c r="J36" s="60">
        <f>+A6</f>
        <v>2022</v>
      </c>
      <c r="K36" s="60" t="s">
        <v>397</v>
      </c>
      <c r="L36" s="66" t="s">
        <v>392</v>
      </c>
      <c r="M36" s="66" t="s">
        <v>398</v>
      </c>
      <c r="N36" s="66" t="s">
        <v>395</v>
      </c>
      <c r="O36" s="66" t="s">
        <v>399</v>
      </c>
    </row>
    <row r="37" spans="1:15">
      <c r="J37" s="368" t="s">
        <v>192</v>
      </c>
      <c r="K37" s="65" t="s">
        <v>400</v>
      </c>
      <c r="L37" s="63"/>
      <c r="M37" s="63"/>
      <c r="N37" s="63"/>
      <c r="O37" s="63"/>
    </row>
    <row r="38" spans="1:15">
      <c r="J38" s="368"/>
      <c r="K38" s="65" t="s">
        <v>401</v>
      </c>
      <c r="L38" s="63"/>
      <c r="M38" s="63"/>
      <c r="N38" s="63"/>
      <c r="O38" s="63"/>
    </row>
    <row r="39" spans="1:15">
      <c r="J39" s="368"/>
      <c r="K39" s="65" t="s">
        <v>402</v>
      </c>
      <c r="L39" s="63"/>
      <c r="M39" s="63"/>
      <c r="N39" s="63"/>
      <c r="O39" s="63"/>
    </row>
    <row r="40" spans="1:15">
      <c r="J40" s="368"/>
      <c r="K40" s="65" t="s">
        <v>404</v>
      </c>
      <c r="L40" s="63"/>
      <c r="M40" s="63"/>
      <c r="N40" s="63"/>
      <c r="O40" s="63"/>
    </row>
    <row r="41" spans="1:15">
      <c r="J41" s="368"/>
      <c r="K41" s="65" t="s">
        <v>406</v>
      </c>
      <c r="L41" s="63"/>
      <c r="M41" s="63"/>
      <c r="N41" s="63"/>
      <c r="O41" s="63"/>
    </row>
    <row r="42" spans="1:15">
      <c r="J42" s="368"/>
      <c r="K42" s="65" t="s">
        <v>407</v>
      </c>
      <c r="L42" s="63"/>
      <c r="M42" s="63"/>
      <c r="N42" s="63"/>
      <c r="O42" s="63"/>
    </row>
    <row r="43" spans="1:15">
      <c r="J43" s="368"/>
      <c r="K43" s="65" t="s">
        <v>408</v>
      </c>
      <c r="L43" s="63"/>
      <c r="M43" s="63"/>
      <c r="N43" s="63"/>
      <c r="O43" s="63"/>
    </row>
    <row r="44" spans="1:15">
      <c r="J44" s="368"/>
      <c r="K44" s="65" t="s">
        <v>410</v>
      </c>
      <c r="L44" s="63"/>
      <c r="M44" s="63"/>
      <c r="N44" s="63"/>
      <c r="O44" s="63"/>
    </row>
    <row r="45" spans="1:15">
      <c r="J45" s="368"/>
      <c r="K45" s="65" t="s">
        <v>411</v>
      </c>
      <c r="L45" s="63"/>
      <c r="M45" s="63"/>
      <c r="N45" s="63"/>
      <c r="O45" s="63"/>
    </row>
    <row r="46" spans="1:15">
      <c r="J46" s="368"/>
      <c r="K46" s="65" t="s">
        <v>412</v>
      </c>
      <c r="L46" s="63"/>
      <c r="M46" s="63"/>
      <c r="N46" s="63"/>
      <c r="O46" s="63"/>
    </row>
    <row r="47" spans="1:15">
      <c r="J47" s="368"/>
      <c r="K47" s="65" t="s">
        <v>413</v>
      </c>
      <c r="L47" s="63"/>
      <c r="M47" s="63"/>
      <c r="N47" s="63"/>
      <c r="O47" s="63"/>
    </row>
    <row r="48" spans="1:15">
      <c r="A48" s="359" t="s">
        <v>311</v>
      </c>
      <c r="B48" s="380"/>
      <c r="C48" s="380"/>
      <c r="D48" s="380"/>
      <c r="E48" s="380"/>
      <c r="F48" s="380"/>
      <c r="G48" s="381"/>
      <c r="J48" s="368"/>
      <c r="K48" s="65" t="s">
        <v>414</v>
      </c>
      <c r="L48" s="63"/>
      <c r="M48" s="63"/>
      <c r="N48" s="63"/>
      <c r="O48" s="63"/>
    </row>
    <row r="49" spans="1:15">
      <c r="A49" s="371"/>
      <c r="B49" s="372"/>
      <c r="C49" s="372"/>
      <c r="D49" s="372"/>
      <c r="E49" s="372"/>
      <c r="F49" s="372"/>
      <c r="G49" s="373"/>
      <c r="J49" s="368"/>
      <c r="K49" s="61" t="s">
        <v>415</v>
      </c>
      <c r="L49" s="61" t="e">
        <f>AVERAGE(L37:L48)</f>
        <v>#DIV/0!</v>
      </c>
      <c r="M49" s="61">
        <f>MAX(M37:M48)</f>
        <v>0</v>
      </c>
      <c r="N49" s="61" t="e">
        <f>AVERAGE(N37:N48)</f>
        <v>#DIV/0!</v>
      </c>
      <c r="O49" s="61">
        <f>MAX(O37:O48)</f>
        <v>0</v>
      </c>
    </row>
    <row r="50" spans="1:15">
      <c r="A50" s="374"/>
      <c r="B50" s="375"/>
      <c r="C50" s="375"/>
      <c r="D50" s="375"/>
      <c r="E50" s="375"/>
      <c r="F50" s="375"/>
      <c r="G50" s="376"/>
    </row>
    <row r="51" spans="1:15" ht="41.4">
      <c r="A51" s="374"/>
      <c r="B51" s="375"/>
      <c r="C51" s="375"/>
      <c r="D51" s="375"/>
      <c r="E51" s="375"/>
      <c r="F51" s="375"/>
      <c r="G51" s="376"/>
      <c r="J51" s="60">
        <f>+A6</f>
        <v>2022</v>
      </c>
      <c r="K51" s="60" t="s">
        <v>397</v>
      </c>
      <c r="L51" s="66" t="s">
        <v>392</v>
      </c>
      <c r="M51" s="66" t="s">
        <v>398</v>
      </c>
      <c r="N51" s="66" t="s">
        <v>395</v>
      </c>
      <c r="O51" s="66" t="s">
        <v>399</v>
      </c>
    </row>
    <row r="52" spans="1:15">
      <c r="A52" s="377"/>
      <c r="B52" s="378"/>
      <c r="C52" s="378"/>
      <c r="D52" s="378"/>
      <c r="E52" s="378"/>
      <c r="F52" s="378"/>
      <c r="G52" s="379"/>
      <c r="J52" s="368" t="s">
        <v>193</v>
      </c>
      <c r="K52" s="65" t="s">
        <v>400</v>
      </c>
      <c r="L52" s="63"/>
      <c r="M52" s="63"/>
      <c r="N52" s="63"/>
      <c r="O52" s="63"/>
    </row>
    <row r="53" spans="1:15">
      <c r="J53" s="368"/>
      <c r="K53" s="65" t="s">
        <v>401</v>
      </c>
      <c r="L53" s="63"/>
      <c r="M53" s="63"/>
      <c r="N53" s="63"/>
      <c r="O53" s="63"/>
    </row>
    <row r="54" spans="1:15">
      <c r="J54" s="368"/>
      <c r="K54" s="65" t="s">
        <v>402</v>
      </c>
      <c r="L54" s="63"/>
      <c r="M54" s="63"/>
      <c r="N54" s="63"/>
      <c r="O54" s="63"/>
    </row>
    <row r="55" spans="1:15">
      <c r="J55" s="368"/>
      <c r="K55" s="65" t="s">
        <v>404</v>
      </c>
      <c r="L55" s="63"/>
      <c r="M55" s="63"/>
      <c r="N55" s="63"/>
      <c r="O55" s="63"/>
    </row>
    <row r="56" spans="1:15">
      <c r="J56" s="368"/>
      <c r="K56" s="65" t="s">
        <v>406</v>
      </c>
      <c r="L56" s="63"/>
      <c r="M56" s="63"/>
      <c r="N56" s="63"/>
      <c r="O56" s="63"/>
    </row>
    <row r="57" spans="1:15">
      <c r="J57" s="368"/>
      <c r="K57" s="65" t="s">
        <v>407</v>
      </c>
      <c r="L57" s="63"/>
      <c r="M57" s="63"/>
      <c r="N57" s="63"/>
      <c r="O57" s="63"/>
    </row>
    <row r="58" spans="1:15">
      <c r="J58" s="368"/>
      <c r="K58" s="65" t="s">
        <v>408</v>
      </c>
      <c r="L58" s="63"/>
      <c r="M58" s="63"/>
      <c r="N58" s="63"/>
      <c r="O58" s="63"/>
    </row>
    <row r="59" spans="1:15">
      <c r="J59" s="368"/>
      <c r="K59" s="65" t="s">
        <v>410</v>
      </c>
      <c r="L59" s="63"/>
      <c r="M59" s="63"/>
      <c r="N59" s="63"/>
      <c r="O59" s="63"/>
    </row>
    <row r="60" spans="1:15">
      <c r="J60" s="368"/>
      <c r="K60" s="65" t="s">
        <v>411</v>
      </c>
      <c r="L60" s="63"/>
      <c r="M60" s="63"/>
      <c r="N60" s="63"/>
      <c r="O60" s="63"/>
    </row>
    <row r="61" spans="1:15">
      <c r="J61" s="368"/>
      <c r="K61" s="65" t="s">
        <v>412</v>
      </c>
      <c r="L61" s="63"/>
      <c r="M61" s="63"/>
      <c r="N61" s="63"/>
      <c r="O61" s="63"/>
    </row>
    <row r="62" spans="1:15">
      <c r="J62" s="368"/>
      <c r="K62" s="65" t="s">
        <v>413</v>
      </c>
      <c r="L62" s="63"/>
      <c r="M62" s="63"/>
      <c r="N62" s="63"/>
      <c r="O62" s="63"/>
    </row>
    <row r="63" spans="1:15">
      <c r="J63" s="368"/>
      <c r="K63" s="65" t="s">
        <v>414</v>
      </c>
      <c r="L63" s="63"/>
      <c r="M63" s="63"/>
      <c r="N63" s="63"/>
      <c r="O63" s="63"/>
    </row>
    <row r="64" spans="1:15">
      <c r="J64" s="368"/>
      <c r="K64" s="61" t="s">
        <v>415</v>
      </c>
      <c r="L64" s="61" t="e">
        <f>AVERAGE(L52:L63)</f>
        <v>#DIV/0!</v>
      </c>
      <c r="M64" s="61">
        <f>MAX(M52:M63)</f>
        <v>0</v>
      </c>
      <c r="N64" s="61" t="e">
        <f>AVERAGE(N52:N63)</f>
        <v>#DIV/0!</v>
      </c>
      <c r="O64" s="61">
        <f>MAX(O52:O63)</f>
        <v>0</v>
      </c>
    </row>
    <row r="66" spans="10:15" ht="41.4">
      <c r="J66" s="60">
        <f>+A6</f>
        <v>2022</v>
      </c>
      <c r="K66" s="60" t="s">
        <v>397</v>
      </c>
      <c r="L66" s="66" t="s">
        <v>392</v>
      </c>
      <c r="M66" s="66" t="s">
        <v>398</v>
      </c>
      <c r="N66" s="66" t="s">
        <v>395</v>
      </c>
      <c r="O66" s="66" t="s">
        <v>399</v>
      </c>
    </row>
    <row r="67" spans="10:15">
      <c r="J67" s="368" t="s">
        <v>194</v>
      </c>
      <c r="K67" s="65" t="s">
        <v>400</v>
      </c>
      <c r="L67" s="63"/>
      <c r="M67" s="63"/>
      <c r="N67" s="63"/>
      <c r="O67" s="63"/>
    </row>
    <row r="68" spans="10:15">
      <c r="J68" s="368"/>
      <c r="K68" s="65" t="s">
        <v>401</v>
      </c>
      <c r="L68" s="63"/>
      <c r="M68" s="63"/>
      <c r="N68" s="63"/>
      <c r="O68" s="63"/>
    </row>
    <row r="69" spans="10:15">
      <c r="J69" s="368"/>
      <c r="K69" s="65" t="s">
        <v>402</v>
      </c>
      <c r="L69" s="63"/>
      <c r="M69" s="63"/>
      <c r="N69" s="63"/>
      <c r="O69" s="63"/>
    </row>
    <row r="70" spans="10:15">
      <c r="J70" s="368"/>
      <c r="K70" s="65" t="s">
        <v>404</v>
      </c>
      <c r="L70" s="63"/>
      <c r="M70" s="63"/>
      <c r="N70" s="63"/>
      <c r="O70" s="63"/>
    </row>
    <row r="71" spans="10:15">
      <c r="J71" s="368"/>
      <c r="K71" s="65" t="s">
        <v>406</v>
      </c>
      <c r="L71" s="63"/>
      <c r="M71" s="63"/>
      <c r="N71" s="63"/>
      <c r="O71" s="63"/>
    </row>
    <row r="72" spans="10:15">
      <c r="J72" s="368"/>
      <c r="K72" s="65" t="s">
        <v>407</v>
      </c>
      <c r="L72" s="63"/>
      <c r="M72" s="63"/>
      <c r="N72" s="63"/>
      <c r="O72" s="63"/>
    </row>
    <row r="73" spans="10:15">
      <c r="J73" s="368"/>
      <c r="K73" s="65" t="s">
        <v>408</v>
      </c>
      <c r="L73" s="63"/>
      <c r="M73" s="63"/>
      <c r="N73" s="63"/>
      <c r="O73" s="63"/>
    </row>
    <row r="74" spans="10:15">
      <c r="J74" s="368"/>
      <c r="K74" s="65" t="s">
        <v>410</v>
      </c>
      <c r="L74" s="63"/>
      <c r="M74" s="63"/>
      <c r="N74" s="63"/>
      <c r="O74" s="63"/>
    </row>
    <row r="75" spans="10:15">
      <c r="J75" s="368"/>
      <c r="K75" s="65" t="s">
        <v>411</v>
      </c>
      <c r="L75" s="63"/>
      <c r="M75" s="63"/>
      <c r="N75" s="63"/>
      <c r="O75" s="63"/>
    </row>
    <row r="76" spans="10:15">
      <c r="J76" s="368"/>
      <c r="K76" s="65" t="s">
        <v>412</v>
      </c>
      <c r="L76" s="63"/>
      <c r="M76" s="63"/>
      <c r="N76" s="63"/>
      <c r="O76" s="63"/>
    </row>
    <row r="77" spans="10:15">
      <c r="J77" s="368"/>
      <c r="K77" s="65" t="s">
        <v>413</v>
      </c>
      <c r="L77" s="63"/>
      <c r="M77" s="63"/>
      <c r="N77" s="63"/>
      <c r="O77" s="63"/>
    </row>
    <row r="78" spans="10:15">
      <c r="J78" s="368"/>
      <c r="K78" s="65" t="s">
        <v>414</v>
      </c>
      <c r="L78" s="63"/>
      <c r="M78" s="63"/>
      <c r="N78" s="63"/>
      <c r="O78" s="63"/>
    </row>
    <row r="79" spans="10:15">
      <c r="J79" s="368"/>
      <c r="K79" s="61" t="s">
        <v>415</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honeticPr fontId="25" type="noConversion"/>
  <pageMargins left="0.7" right="0.7" top="0.75" bottom="0.75" header="0.3" footer="0.3"/>
  <pageSetup paperSize="9" scale="77"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workbookViewId="0">
      <selection activeCell="F12" sqref="F12"/>
    </sheetView>
  </sheetViews>
  <sheetFormatPr defaultRowHeight="13.8"/>
  <cols>
    <col min="1" max="1" width="14" style="3" customWidth="1"/>
    <col min="2" max="4" width="17" style="35" customWidth="1"/>
    <col min="5" max="5" width="14.77734375" style="35" customWidth="1"/>
    <col min="6" max="7" width="17" style="35" customWidth="1"/>
    <col min="8" max="11" width="9.21875" style="3"/>
    <col min="12" max="12" width="15.44140625" style="3" customWidth="1"/>
    <col min="13" max="13" width="17.44140625" style="3" bestFit="1" customWidth="1"/>
    <col min="14" max="14" width="13.77734375" style="3" customWidth="1"/>
    <col min="15" max="15" width="15" style="3" customWidth="1"/>
    <col min="16" max="18" width="9.21875" style="3"/>
    <col min="19" max="19" width="22.21875" style="3" customWidth="1"/>
    <col min="20" max="256" width="9.21875" style="3"/>
    <col min="257" max="257" width="14" style="3" customWidth="1"/>
    <col min="258" max="263" width="10.21875" style="3" customWidth="1"/>
    <col min="264" max="512" width="9.21875" style="3"/>
    <col min="513" max="513" width="14" style="3" customWidth="1"/>
    <col min="514" max="519" width="10.21875" style="3" customWidth="1"/>
    <col min="520" max="768" width="9.21875" style="3"/>
    <col min="769" max="769" width="14" style="3" customWidth="1"/>
    <col min="770" max="775" width="10.21875" style="3" customWidth="1"/>
    <col min="776" max="1024" width="9.21875" style="3"/>
    <col min="1025" max="1025" width="14" style="3" customWidth="1"/>
    <col min="1026" max="1031" width="10.21875" style="3" customWidth="1"/>
    <col min="1032" max="1280" width="9.21875" style="3"/>
    <col min="1281" max="1281" width="14" style="3" customWidth="1"/>
    <col min="1282" max="1287" width="10.21875" style="3" customWidth="1"/>
    <col min="1288" max="1536" width="9.21875" style="3"/>
    <col min="1537" max="1537" width="14" style="3" customWidth="1"/>
    <col min="1538" max="1543" width="10.21875" style="3" customWidth="1"/>
    <col min="1544" max="1792" width="9.21875" style="3"/>
    <col min="1793" max="1793" width="14" style="3" customWidth="1"/>
    <col min="1794" max="1799" width="10.21875" style="3" customWidth="1"/>
    <col min="1800" max="2048" width="9.21875" style="3"/>
    <col min="2049" max="2049" width="14" style="3" customWidth="1"/>
    <col min="2050" max="2055" width="10.21875" style="3" customWidth="1"/>
    <col min="2056" max="2304" width="9.21875" style="3"/>
    <col min="2305" max="2305" width="14" style="3" customWidth="1"/>
    <col min="2306" max="2311" width="10.21875" style="3" customWidth="1"/>
    <col min="2312" max="2560" width="9.21875" style="3"/>
    <col min="2561" max="2561" width="14" style="3" customWidth="1"/>
    <col min="2562" max="2567" width="10.21875" style="3" customWidth="1"/>
    <col min="2568" max="2816" width="9.21875" style="3"/>
    <col min="2817" max="2817" width="14" style="3" customWidth="1"/>
    <col min="2818" max="2823" width="10.21875" style="3" customWidth="1"/>
    <col min="2824" max="3072" width="9.21875" style="3"/>
    <col min="3073" max="3073" width="14" style="3" customWidth="1"/>
    <col min="3074" max="3079" width="10.21875" style="3" customWidth="1"/>
    <col min="3080" max="3328" width="9.21875" style="3"/>
    <col min="3329" max="3329" width="14" style="3" customWidth="1"/>
    <col min="3330" max="3335" width="10.21875" style="3" customWidth="1"/>
    <col min="3336" max="3584" width="9.21875" style="3"/>
    <col min="3585" max="3585" width="14" style="3" customWidth="1"/>
    <col min="3586" max="3591" width="10.21875" style="3" customWidth="1"/>
    <col min="3592" max="3840" width="9.21875" style="3"/>
    <col min="3841" max="3841" width="14" style="3" customWidth="1"/>
    <col min="3842" max="3847" width="10.21875" style="3" customWidth="1"/>
    <col min="3848" max="4096" width="9.21875" style="3"/>
    <col min="4097" max="4097" width="14" style="3" customWidth="1"/>
    <col min="4098" max="4103" width="10.21875" style="3" customWidth="1"/>
    <col min="4104" max="4352" width="9.21875" style="3"/>
    <col min="4353" max="4353" width="14" style="3" customWidth="1"/>
    <col min="4354" max="4359" width="10.21875" style="3" customWidth="1"/>
    <col min="4360" max="4608" width="9.21875" style="3"/>
    <col min="4609" max="4609" width="14" style="3" customWidth="1"/>
    <col min="4610" max="4615" width="10.21875" style="3" customWidth="1"/>
    <col min="4616" max="4864" width="9.21875" style="3"/>
    <col min="4865" max="4865" width="14" style="3" customWidth="1"/>
    <col min="4866" max="4871" width="10.21875" style="3" customWidth="1"/>
    <col min="4872" max="5120" width="9.21875" style="3"/>
    <col min="5121" max="5121" width="14" style="3" customWidth="1"/>
    <col min="5122" max="5127" width="10.21875" style="3" customWidth="1"/>
    <col min="5128" max="5376" width="9.21875" style="3"/>
    <col min="5377" max="5377" width="14" style="3" customWidth="1"/>
    <col min="5378" max="5383" width="10.21875" style="3" customWidth="1"/>
    <col min="5384" max="5632" width="9.21875" style="3"/>
    <col min="5633" max="5633" width="14" style="3" customWidth="1"/>
    <col min="5634" max="5639" width="10.21875" style="3" customWidth="1"/>
    <col min="5640" max="5888" width="9.21875" style="3"/>
    <col min="5889" max="5889" width="14" style="3" customWidth="1"/>
    <col min="5890" max="5895" width="10.21875" style="3" customWidth="1"/>
    <col min="5896" max="6144" width="9.21875" style="3"/>
    <col min="6145" max="6145" width="14" style="3" customWidth="1"/>
    <col min="6146" max="6151" width="10.21875" style="3" customWidth="1"/>
    <col min="6152" max="6400" width="9.21875" style="3"/>
    <col min="6401" max="6401" width="14" style="3" customWidth="1"/>
    <col min="6402" max="6407" width="10.21875" style="3" customWidth="1"/>
    <col min="6408" max="6656" width="9.21875" style="3"/>
    <col min="6657" max="6657" width="14" style="3" customWidth="1"/>
    <col min="6658" max="6663" width="10.21875" style="3" customWidth="1"/>
    <col min="6664" max="6912" width="9.21875" style="3"/>
    <col min="6913" max="6913" width="14" style="3" customWidth="1"/>
    <col min="6914" max="6919" width="10.21875" style="3" customWidth="1"/>
    <col min="6920" max="7168" width="9.21875" style="3"/>
    <col min="7169" max="7169" width="14" style="3" customWidth="1"/>
    <col min="7170" max="7175" width="10.21875" style="3" customWidth="1"/>
    <col min="7176" max="7424" width="9.21875" style="3"/>
    <col min="7425" max="7425" width="14" style="3" customWidth="1"/>
    <col min="7426" max="7431" width="10.21875" style="3" customWidth="1"/>
    <col min="7432" max="7680" width="9.21875" style="3"/>
    <col min="7681" max="7681" width="14" style="3" customWidth="1"/>
    <col min="7682" max="7687" width="10.21875" style="3" customWidth="1"/>
    <col min="7688" max="7936" width="9.21875" style="3"/>
    <col min="7937" max="7937" width="14" style="3" customWidth="1"/>
    <col min="7938" max="7943" width="10.21875" style="3" customWidth="1"/>
    <col min="7944" max="8192" width="9.21875" style="3"/>
    <col min="8193" max="8193" width="14" style="3" customWidth="1"/>
    <col min="8194" max="8199" width="10.21875" style="3" customWidth="1"/>
    <col min="8200" max="8448" width="9.21875" style="3"/>
    <col min="8449" max="8449" width="14" style="3" customWidth="1"/>
    <col min="8450" max="8455" width="10.21875" style="3" customWidth="1"/>
    <col min="8456" max="8704" width="9.21875" style="3"/>
    <col min="8705" max="8705" width="14" style="3" customWidth="1"/>
    <col min="8706" max="8711" width="10.21875" style="3" customWidth="1"/>
    <col min="8712" max="8960" width="9.21875" style="3"/>
    <col min="8961" max="8961" width="14" style="3" customWidth="1"/>
    <col min="8962" max="8967" width="10.21875" style="3" customWidth="1"/>
    <col min="8968" max="9216" width="9.21875" style="3"/>
    <col min="9217" max="9217" width="14" style="3" customWidth="1"/>
    <col min="9218" max="9223" width="10.21875" style="3" customWidth="1"/>
    <col min="9224" max="9472" width="9.21875" style="3"/>
    <col min="9473" max="9473" width="14" style="3" customWidth="1"/>
    <col min="9474" max="9479" width="10.21875" style="3" customWidth="1"/>
    <col min="9480" max="9728" width="9.21875" style="3"/>
    <col min="9729" max="9729" width="14" style="3" customWidth="1"/>
    <col min="9730" max="9735" width="10.21875" style="3" customWidth="1"/>
    <col min="9736" max="9984" width="9.21875" style="3"/>
    <col min="9985" max="9985" width="14" style="3" customWidth="1"/>
    <col min="9986" max="9991" width="10.21875" style="3" customWidth="1"/>
    <col min="9992" max="10240" width="9.21875" style="3"/>
    <col min="10241" max="10241" width="14" style="3" customWidth="1"/>
    <col min="10242" max="10247" width="10.21875" style="3" customWidth="1"/>
    <col min="10248" max="10496" width="9.21875" style="3"/>
    <col min="10497" max="10497" width="14" style="3" customWidth="1"/>
    <col min="10498" max="10503" width="10.21875" style="3" customWidth="1"/>
    <col min="10504" max="10752" width="9.21875" style="3"/>
    <col min="10753" max="10753" width="14" style="3" customWidth="1"/>
    <col min="10754" max="10759" width="10.21875" style="3" customWidth="1"/>
    <col min="10760" max="11008" width="9.21875" style="3"/>
    <col min="11009" max="11009" width="14" style="3" customWidth="1"/>
    <col min="11010" max="11015" width="10.21875" style="3" customWidth="1"/>
    <col min="11016" max="11264" width="9.21875" style="3"/>
    <col min="11265" max="11265" width="14" style="3" customWidth="1"/>
    <col min="11266" max="11271" width="10.21875" style="3" customWidth="1"/>
    <col min="11272" max="11520" width="9.21875" style="3"/>
    <col min="11521" max="11521" width="14" style="3" customWidth="1"/>
    <col min="11522" max="11527" width="10.21875" style="3" customWidth="1"/>
    <col min="11528" max="11776" width="9.21875" style="3"/>
    <col min="11777" max="11777" width="14" style="3" customWidth="1"/>
    <col min="11778" max="11783" width="10.21875" style="3" customWidth="1"/>
    <col min="11784" max="12032" width="9.21875" style="3"/>
    <col min="12033" max="12033" width="14" style="3" customWidth="1"/>
    <col min="12034" max="12039" width="10.21875" style="3" customWidth="1"/>
    <col min="12040" max="12288" width="9.21875" style="3"/>
    <col min="12289" max="12289" width="14" style="3" customWidth="1"/>
    <col min="12290" max="12295" width="10.21875" style="3" customWidth="1"/>
    <col min="12296" max="12544" width="9.21875" style="3"/>
    <col min="12545" max="12545" width="14" style="3" customWidth="1"/>
    <col min="12546" max="12551" width="10.21875" style="3" customWidth="1"/>
    <col min="12552" max="12800" width="9.21875" style="3"/>
    <col min="12801" max="12801" width="14" style="3" customWidth="1"/>
    <col min="12802" max="12807" width="10.21875" style="3" customWidth="1"/>
    <col min="12808" max="13056" width="9.21875" style="3"/>
    <col min="13057" max="13057" width="14" style="3" customWidth="1"/>
    <col min="13058" max="13063" width="10.21875" style="3" customWidth="1"/>
    <col min="13064" max="13312" width="9.21875" style="3"/>
    <col min="13313" max="13313" width="14" style="3" customWidth="1"/>
    <col min="13314" max="13319" width="10.21875" style="3" customWidth="1"/>
    <col min="13320" max="13568" width="9.21875" style="3"/>
    <col min="13569" max="13569" width="14" style="3" customWidth="1"/>
    <col min="13570" max="13575" width="10.21875" style="3" customWidth="1"/>
    <col min="13576" max="13824" width="9.21875" style="3"/>
    <col min="13825" max="13825" width="14" style="3" customWidth="1"/>
    <col min="13826" max="13831" width="10.21875" style="3" customWidth="1"/>
    <col min="13832" max="14080" width="9.21875" style="3"/>
    <col min="14081" max="14081" width="14" style="3" customWidth="1"/>
    <col min="14082" max="14087" width="10.21875" style="3" customWidth="1"/>
    <col min="14088" max="14336" width="9.21875" style="3"/>
    <col min="14337" max="14337" width="14" style="3" customWidth="1"/>
    <col min="14338" max="14343" width="10.21875" style="3" customWidth="1"/>
    <col min="14344" max="14592" width="9.21875" style="3"/>
    <col min="14593" max="14593" width="14" style="3" customWidth="1"/>
    <col min="14594" max="14599" width="10.21875" style="3" customWidth="1"/>
    <col min="14600" max="14848" width="9.21875" style="3"/>
    <col min="14849" max="14849" width="14" style="3" customWidth="1"/>
    <col min="14850" max="14855" width="10.21875" style="3" customWidth="1"/>
    <col min="14856" max="15104" width="9.21875" style="3"/>
    <col min="15105" max="15105" width="14" style="3" customWidth="1"/>
    <col min="15106" max="15111" width="10.21875" style="3" customWidth="1"/>
    <col min="15112" max="15360" width="9.21875" style="3"/>
    <col min="15361" max="15361" width="14" style="3" customWidth="1"/>
    <col min="15362" max="15367" width="10.21875" style="3" customWidth="1"/>
    <col min="15368" max="15616" width="9.21875" style="3"/>
    <col min="15617" max="15617" width="14" style="3" customWidth="1"/>
    <col min="15618" max="15623" width="10.21875" style="3" customWidth="1"/>
    <col min="15624" max="15872" width="9.21875" style="3"/>
    <col min="15873" max="15873" width="14" style="3" customWidth="1"/>
    <col min="15874" max="15879" width="10.21875" style="3" customWidth="1"/>
    <col min="15880" max="16128" width="9.21875" style="3"/>
    <col min="16129" max="16129" width="14" style="3" customWidth="1"/>
    <col min="16130" max="16135" width="10.21875" style="3" customWidth="1"/>
    <col min="16136" max="16384" width="9.21875" style="3"/>
  </cols>
  <sheetData>
    <row r="1" spans="1:19" ht="15">
      <c r="A1" s="92" t="s">
        <v>5</v>
      </c>
      <c r="B1" s="92"/>
      <c r="C1" s="92"/>
      <c r="D1" s="92"/>
      <c r="E1" s="92" t="s">
        <v>7</v>
      </c>
    </row>
    <row r="3" spans="1:19" ht="14.4">
      <c r="A3" s="59" t="s">
        <v>425</v>
      </c>
      <c r="D3" s="75" t="s">
        <v>384</v>
      </c>
      <c r="G3" s="79" t="s">
        <v>385</v>
      </c>
      <c r="J3" s="9" t="s">
        <v>425</v>
      </c>
      <c r="L3" s="9"/>
      <c r="N3" s="9" t="s">
        <v>386</v>
      </c>
      <c r="Q3" s="78" t="s">
        <v>3</v>
      </c>
      <c r="R3" s="73"/>
      <c r="S3" s="73"/>
    </row>
    <row r="4" spans="1:19" ht="13.95" customHeight="1">
      <c r="Q4" s="345" t="s">
        <v>387</v>
      </c>
      <c r="R4" s="345"/>
      <c r="S4" s="345"/>
    </row>
    <row r="5" spans="1:19" ht="16.2">
      <c r="A5" s="67" t="s">
        <v>388</v>
      </c>
      <c r="B5" s="370" t="s">
        <v>389</v>
      </c>
      <c r="C5" s="370"/>
      <c r="D5" s="370"/>
      <c r="E5" s="370" t="s">
        <v>390</v>
      </c>
      <c r="F5" s="370"/>
      <c r="G5" s="370"/>
      <c r="J5" s="369"/>
      <c r="K5" s="369"/>
      <c r="L5" s="369"/>
      <c r="M5" s="369"/>
      <c r="N5" s="369"/>
      <c r="O5" s="369"/>
      <c r="Q5" s="345"/>
      <c r="R5" s="345"/>
      <c r="S5" s="345"/>
    </row>
    <row r="6" spans="1:19" s="57" customFormat="1" ht="37.5" customHeight="1">
      <c r="A6" s="64">
        <v>2022</v>
      </c>
      <c r="B6" s="54" t="s">
        <v>426</v>
      </c>
      <c r="C6" s="54" t="s">
        <v>392</v>
      </c>
      <c r="D6" s="54" t="s">
        <v>393</v>
      </c>
      <c r="E6" s="54" t="s">
        <v>427</v>
      </c>
      <c r="F6" s="54" t="s">
        <v>395</v>
      </c>
      <c r="G6" s="54" t="s">
        <v>396</v>
      </c>
      <c r="H6" s="58"/>
      <c r="J6" s="60">
        <v>2022</v>
      </c>
      <c r="K6" s="60" t="s">
        <v>397</v>
      </c>
      <c r="L6" s="66" t="s">
        <v>392</v>
      </c>
      <c r="M6" s="66" t="s">
        <v>398</v>
      </c>
      <c r="N6" s="66" t="s">
        <v>395</v>
      </c>
      <c r="O6" s="66" t="s">
        <v>399</v>
      </c>
      <c r="Q6" s="345"/>
      <c r="R6" s="345"/>
      <c r="S6" s="345"/>
    </row>
    <row r="7" spans="1:19">
      <c r="A7" s="65" t="s">
        <v>400</v>
      </c>
      <c r="B7" s="62">
        <v>30</v>
      </c>
      <c r="C7" s="63">
        <v>0.9</v>
      </c>
      <c r="D7" s="63">
        <v>8</v>
      </c>
      <c r="E7" s="62">
        <v>10</v>
      </c>
      <c r="F7" s="63">
        <v>0.9</v>
      </c>
      <c r="G7" s="63">
        <v>1.2</v>
      </c>
      <c r="J7" s="368" t="s">
        <v>190</v>
      </c>
      <c r="K7" s="65" t="s">
        <v>400</v>
      </c>
      <c r="L7" s="63">
        <v>0.5</v>
      </c>
      <c r="M7" s="63">
        <v>4.4000000000000004</v>
      </c>
      <c r="N7" s="63">
        <v>0.5</v>
      </c>
      <c r="O7" s="63">
        <v>0.7</v>
      </c>
      <c r="Q7" s="345"/>
      <c r="R7" s="345"/>
      <c r="S7" s="345"/>
    </row>
    <row r="8" spans="1:19">
      <c r="A8" s="65" t="s">
        <v>401</v>
      </c>
      <c r="B8" s="62">
        <v>30</v>
      </c>
      <c r="C8" s="63">
        <v>1</v>
      </c>
      <c r="D8" s="63">
        <v>6.2</v>
      </c>
      <c r="E8" s="62">
        <v>10</v>
      </c>
      <c r="F8" s="63">
        <v>0.9</v>
      </c>
      <c r="G8" s="63">
        <v>1.1000000000000001</v>
      </c>
      <c r="J8" s="368"/>
      <c r="K8" s="65" t="s">
        <v>401</v>
      </c>
      <c r="L8" s="63">
        <v>0.6</v>
      </c>
      <c r="M8" s="63">
        <v>1.3</v>
      </c>
      <c r="N8" s="63">
        <v>0.5</v>
      </c>
      <c r="O8" s="63">
        <v>0.6</v>
      </c>
      <c r="Q8" s="345"/>
      <c r="R8" s="345"/>
      <c r="S8" s="345"/>
    </row>
    <row r="9" spans="1:19">
      <c r="A9" s="65" t="s">
        <v>402</v>
      </c>
      <c r="B9" s="62">
        <v>30</v>
      </c>
      <c r="C9" s="63">
        <v>0.9</v>
      </c>
      <c r="D9" s="63">
        <v>9.3000000000000007</v>
      </c>
      <c r="E9" s="62">
        <v>10</v>
      </c>
      <c r="F9" s="63">
        <v>0.9</v>
      </c>
      <c r="G9" s="63">
        <v>1.2</v>
      </c>
      <c r="J9" s="368"/>
      <c r="K9" s="65" t="s">
        <v>402</v>
      </c>
      <c r="L9" s="63">
        <v>0.5</v>
      </c>
      <c r="M9" s="63">
        <v>4.3</v>
      </c>
      <c r="N9" s="63">
        <v>0.5</v>
      </c>
      <c r="O9" s="63">
        <v>0.6</v>
      </c>
      <c r="Q9" s="77" t="s">
        <v>403</v>
      </c>
    </row>
    <row r="10" spans="1:19" ht="14.25" customHeight="1">
      <c r="A10" s="65" t="s">
        <v>404</v>
      </c>
      <c r="B10" s="62">
        <v>30</v>
      </c>
      <c r="C10" s="63">
        <v>0.9</v>
      </c>
      <c r="D10" s="63">
        <v>5.4</v>
      </c>
      <c r="E10" s="62">
        <v>10</v>
      </c>
      <c r="F10" s="63">
        <v>0.9</v>
      </c>
      <c r="G10" s="63">
        <v>1.2</v>
      </c>
      <c r="J10" s="368"/>
      <c r="K10" s="65" t="s">
        <v>404</v>
      </c>
      <c r="L10" s="63">
        <v>0.5</v>
      </c>
      <c r="M10" s="63">
        <v>1.8</v>
      </c>
      <c r="N10" s="63">
        <v>0.5</v>
      </c>
      <c r="O10" s="63">
        <v>0.7</v>
      </c>
      <c r="Q10" s="367" t="s">
        <v>405</v>
      </c>
      <c r="R10" s="367"/>
      <c r="S10" s="367"/>
    </row>
    <row r="11" spans="1:19">
      <c r="A11" s="65" t="s">
        <v>406</v>
      </c>
      <c r="B11" s="62">
        <v>30</v>
      </c>
      <c r="C11" s="63">
        <v>0.8</v>
      </c>
      <c r="D11" s="63">
        <v>1.2</v>
      </c>
      <c r="E11" s="62">
        <v>10</v>
      </c>
      <c r="F11" s="63">
        <v>0.8</v>
      </c>
      <c r="G11" s="63">
        <v>1</v>
      </c>
      <c r="J11" s="368"/>
      <c r="K11" s="65" t="s">
        <v>406</v>
      </c>
      <c r="L11" s="63">
        <v>0.4</v>
      </c>
      <c r="M11" s="63">
        <v>0.7</v>
      </c>
      <c r="N11" s="63">
        <v>0.4</v>
      </c>
      <c r="O11" s="63">
        <v>0.5</v>
      </c>
      <c r="Q11" s="367"/>
      <c r="R11" s="367"/>
      <c r="S11" s="367"/>
    </row>
    <row r="12" spans="1:19">
      <c r="A12" s="65" t="s">
        <v>407</v>
      </c>
      <c r="B12" s="62">
        <v>30</v>
      </c>
      <c r="C12" s="63">
        <v>0.9</v>
      </c>
      <c r="D12" s="63">
        <v>9.9</v>
      </c>
      <c r="E12" s="62">
        <v>10</v>
      </c>
      <c r="F12" s="63">
        <v>0.9</v>
      </c>
      <c r="G12" s="63">
        <v>1.6</v>
      </c>
      <c r="J12" s="368"/>
      <c r="K12" s="65" t="s">
        <v>407</v>
      </c>
      <c r="L12" s="63">
        <v>0.4</v>
      </c>
      <c r="M12" s="63">
        <v>3.9</v>
      </c>
      <c r="N12" s="63">
        <v>0.4</v>
      </c>
      <c r="O12" s="63">
        <v>0.8</v>
      </c>
      <c r="Q12" s="367"/>
      <c r="R12" s="367"/>
      <c r="S12" s="367"/>
    </row>
    <row r="13" spans="1:19" ht="14.25" customHeight="1">
      <c r="A13" s="65" t="s">
        <v>408</v>
      </c>
      <c r="B13" s="62">
        <v>30</v>
      </c>
      <c r="C13" s="63">
        <v>1.1000000000000001</v>
      </c>
      <c r="D13" s="63">
        <v>17.3</v>
      </c>
      <c r="E13" s="62">
        <v>10</v>
      </c>
      <c r="F13" s="63">
        <v>0.89999999999999991</v>
      </c>
      <c r="G13" s="63">
        <v>2.4</v>
      </c>
      <c r="J13" s="368"/>
      <c r="K13" s="65" t="s">
        <v>408</v>
      </c>
      <c r="L13" s="63">
        <v>0.4</v>
      </c>
      <c r="M13" s="63">
        <v>10</v>
      </c>
      <c r="N13" s="63">
        <v>0.2</v>
      </c>
      <c r="O13" s="63">
        <v>1.5</v>
      </c>
      <c r="Q13" s="367" t="s">
        <v>409</v>
      </c>
      <c r="R13" s="367"/>
      <c r="S13" s="367"/>
    </row>
    <row r="14" spans="1:19">
      <c r="A14" s="65" t="s">
        <v>410</v>
      </c>
      <c r="B14" s="62">
        <v>30</v>
      </c>
      <c r="C14" s="63">
        <v>0.6</v>
      </c>
      <c r="D14" s="63">
        <v>3.4</v>
      </c>
      <c r="E14" s="62">
        <v>10</v>
      </c>
      <c r="F14" s="63">
        <v>0.6</v>
      </c>
      <c r="G14" s="63">
        <v>1.2</v>
      </c>
      <c r="J14" s="368"/>
      <c r="K14" s="65" t="s">
        <v>410</v>
      </c>
      <c r="L14" s="63">
        <v>0.1</v>
      </c>
      <c r="M14" s="63">
        <v>1.5</v>
      </c>
      <c r="N14" s="63">
        <v>0.1</v>
      </c>
      <c r="O14" s="63">
        <v>0.2</v>
      </c>
      <c r="Q14" s="367"/>
      <c r="R14" s="367"/>
      <c r="S14" s="367"/>
    </row>
    <row r="15" spans="1:19">
      <c r="A15" s="65" t="s">
        <v>411</v>
      </c>
      <c r="B15" s="62">
        <v>30</v>
      </c>
      <c r="C15" s="63">
        <v>0.4</v>
      </c>
      <c r="D15" s="63">
        <v>5.8</v>
      </c>
      <c r="E15" s="62">
        <v>10</v>
      </c>
      <c r="F15" s="63">
        <v>0.2</v>
      </c>
      <c r="G15" s="63">
        <v>0.5</v>
      </c>
      <c r="J15" s="368"/>
      <c r="K15" s="65" t="s">
        <v>411</v>
      </c>
      <c r="L15" s="63">
        <v>0.2</v>
      </c>
      <c r="M15" s="63">
        <v>1.3</v>
      </c>
      <c r="N15" s="63">
        <v>0.1</v>
      </c>
      <c r="O15" s="63">
        <v>0.2</v>
      </c>
      <c r="Q15" s="367"/>
      <c r="R15" s="367"/>
      <c r="S15" s="367"/>
    </row>
    <row r="16" spans="1:19">
      <c r="A16" s="65" t="s">
        <v>412</v>
      </c>
      <c r="B16" s="62">
        <v>30</v>
      </c>
      <c r="C16" s="63">
        <v>0.5</v>
      </c>
      <c r="D16" s="63">
        <v>17.700000000000003</v>
      </c>
      <c r="E16" s="62">
        <v>10</v>
      </c>
      <c r="F16" s="63">
        <v>0.4</v>
      </c>
      <c r="G16" s="63">
        <v>1.6</v>
      </c>
      <c r="J16" s="368"/>
      <c r="K16" s="65" t="s">
        <v>412</v>
      </c>
      <c r="L16" s="63">
        <v>0.3</v>
      </c>
      <c r="M16" s="63">
        <v>0.6</v>
      </c>
      <c r="N16" s="63">
        <v>0.2</v>
      </c>
      <c r="O16" s="63">
        <v>0.4</v>
      </c>
      <c r="Q16" s="367"/>
      <c r="R16" s="367"/>
      <c r="S16" s="367"/>
    </row>
    <row r="17" spans="1:15">
      <c r="A17" s="65" t="s">
        <v>413</v>
      </c>
      <c r="B17" s="62">
        <v>30</v>
      </c>
      <c r="C17" s="63">
        <v>0.5</v>
      </c>
      <c r="D17" s="63">
        <v>1.9000000000000001</v>
      </c>
      <c r="E17" s="62">
        <v>10</v>
      </c>
      <c r="F17" s="63">
        <v>0.4</v>
      </c>
      <c r="G17" s="63">
        <v>0.60000000000000009</v>
      </c>
      <c r="J17" s="368"/>
      <c r="K17" s="65" t="s">
        <v>413</v>
      </c>
      <c r="L17" s="63">
        <v>0.3</v>
      </c>
      <c r="M17" s="63">
        <v>1.6</v>
      </c>
      <c r="N17" s="63">
        <v>0.3</v>
      </c>
      <c r="O17" s="63">
        <v>0.4</v>
      </c>
    </row>
    <row r="18" spans="1:15">
      <c r="A18" s="65" t="s">
        <v>414</v>
      </c>
      <c r="B18" s="62">
        <v>30</v>
      </c>
      <c r="C18" s="63">
        <v>0.5</v>
      </c>
      <c r="D18" s="63">
        <v>4.3</v>
      </c>
      <c r="E18" s="62">
        <v>10</v>
      </c>
      <c r="F18" s="63">
        <v>0.5</v>
      </c>
      <c r="G18" s="63">
        <v>0.7</v>
      </c>
      <c r="J18" s="368"/>
      <c r="K18" s="65" t="s">
        <v>414</v>
      </c>
      <c r="L18" s="63">
        <v>0.3</v>
      </c>
      <c r="M18" s="63">
        <v>0.5</v>
      </c>
      <c r="N18" s="63">
        <v>0.3</v>
      </c>
      <c r="O18" s="63">
        <v>0.4</v>
      </c>
    </row>
    <row r="19" spans="1:15">
      <c r="J19" s="368"/>
      <c r="K19" s="61" t="s">
        <v>415</v>
      </c>
      <c r="L19" s="61">
        <v>0.375</v>
      </c>
      <c r="M19" s="61">
        <v>10</v>
      </c>
      <c r="N19" s="61">
        <v>0.33333333333333331</v>
      </c>
      <c r="O19" s="61">
        <v>1.5</v>
      </c>
    </row>
    <row r="21" spans="1:15" ht="41.4">
      <c r="J21" s="60">
        <v>2022</v>
      </c>
      <c r="K21" s="60" t="s">
        <v>397</v>
      </c>
      <c r="L21" s="66" t="s">
        <v>392</v>
      </c>
      <c r="M21" s="66" t="s">
        <v>398</v>
      </c>
      <c r="N21" s="66" t="s">
        <v>395</v>
      </c>
      <c r="O21" s="66" t="s">
        <v>399</v>
      </c>
    </row>
    <row r="22" spans="1:15">
      <c r="J22" s="368" t="s">
        <v>191</v>
      </c>
      <c r="K22" s="65" t="s">
        <v>400</v>
      </c>
      <c r="L22" s="61">
        <v>0.4</v>
      </c>
      <c r="M22" s="61">
        <v>3.6</v>
      </c>
      <c r="N22" s="61">
        <v>0.4</v>
      </c>
      <c r="O22" s="61">
        <v>0.5</v>
      </c>
    </row>
    <row r="23" spans="1:15">
      <c r="J23" s="368"/>
      <c r="K23" s="65" t="s">
        <v>401</v>
      </c>
      <c r="L23" s="61">
        <v>0.4</v>
      </c>
      <c r="M23" s="61">
        <v>4.9000000000000004</v>
      </c>
      <c r="N23" s="61">
        <v>0.4</v>
      </c>
      <c r="O23" s="61">
        <v>0.5</v>
      </c>
    </row>
    <row r="24" spans="1:15">
      <c r="J24" s="368"/>
      <c r="K24" s="65" t="s">
        <v>402</v>
      </c>
      <c r="L24" s="61">
        <v>0.4</v>
      </c>
      <c r="M24" s="61">
        <v>5</v>
      </c>
      <c r="N24" s="61">
        <v>0.4</v>
      </c>
      <c r="O24" s="61">
        <v>0.6</v>
      </c>
    </row>
    <row r="25" spans="1:15">
      <c r="J25" s="368"/>
      <c r="K25" s="65" t="s">
        <v>404</v>
      </c>
      <c r="L25" s="61">
        <v>0.4</v>
      </c>
      <c r="M25" s="61">
        <v>3.6</v>
      </c>
      <c r="N25" s="61">
        <v>0.4</v>
      </c>
      <c r="O25" s="61">
        <v>0.5</v>
      </c>
    </row>
    <row r="26" spans="1:15">
      <c r="J26" s="368"/>
      <c r="K26" s="65" t="s">
        <v>406</v>
      </c>
      <c r="L26" s="61">
        <v>0.4</v>
      </c>
      <c r="M26" s="61">
        <v>0.5</v>
      </c>
      <c r="N26" s="61">
        <v>0.4</v>
      </c>
      <c r="O26" s="61">
        <v>0.5</v>
      </c>
    </row>
    <row r="27" spans="1:15">
      <c r="J27" s="368"/>
      <c r="K27" s="65" t="s">
        <v>407</v>
      </c>
      <c r="L27" s="61">
        <v>0.5</v>
      </c>
      <c r="M27" s="61">
        <v>6</v>
      </c>
      <c r="N27" s="61">
        <v>0.5</v>
      </c>
      <c r="O27" s="61">
        <v>0.8</v>
      </c>
    </row>
    <row r="28" spans="1:15">
      <c r="J28" s="368"/>
      <c r="K28" s="65" t="s">
        <v>408</v>
      </c>
      <c r="L28" s="61">
        <v>0.7</v>
      </c>
      <c r="M28" s="61">
        <v>7.3</v>
      </c>
      <c r="N28" s="61">
        <v>0.7</v>
      </c>
      <c r="O28" s="61">
        <v>0.9</v>
      </c>
    </row>
    <row r="29" spans="1:15">
      <c r="J29" s="368"/>
      <c r="K29" s="65" t="s">
        <v>410</v>
      </c>
      <c r="L29" s="61">
        <v>0.5</v>
      </c>
      <c r="M29" s="61">
        <v>1.9</v>
      </c>
      <c r="N29" s="61">
        <v>0.5</v>
      </c>
      <c r="O29" s="61">
        <v>1</v>
      </c>
    </row>
    <row r="30" spans="1:15">
      <c r="J30" s="368"/>
      <c r="K30" s="65" t="s">
        <v>411</v>
      </c>
      <c r="L30" s="61">
        <v>0.2</v>
      </c>
      <c r="M30" s="61">
        <v>4.5</v>
      </c>
      <c r="N30" s="61">
        <v>0.1</v>
      </c>
      <c r="O30" s="61">
        <v>0.3</v>
      </c>
    </row>
    <row r="31" spans="1:15">
      <c r="J31" s="368"/>
      <c r="K31" s="65" t="s">
        <v>412</v>
      </c>
      <c r="L31" s="61">
        <v>0.2</v>
      </c>
      <c r="M31" s="61">
        <v>17.100000000000001</v>
      </c>
      <c r="N31" s="61">
        <v>0.2</v>
      </c>
      <c r="O31" s="61">
        <v>1.2</v>
      </c>
    </row>
    <row r="32" spans="1:15">
      <c r="J32" s="368"/>
      <c r="K32" s="65" t="s">
        <v>413</v>
      </c>
      <c r="L32" s="61">
        <v>0.2</v>
      </c>
      <c r="M32" s="61">
        <v>0.3</v>
      </c>
      <c r="N32" s="61">
        <v>0.1</v>
      </c>
      <c r="O32" s="61">
        <v>0.2</v>
      </c>
    </row>
    <row r="33" spans="1:15">
      <c r="J33" s="368"/>
      <c r="K33" s="65" t="s">
        <v>414</v>
      </c>
      <c r="L33" s="61">
        <v>0.2</v>
      </c>
      <c r="M33" s="61">
        <v>3.8</v>
      </c>
      <c r="N33" s="61">
        <v>0.2</v>
      </c>
      <c r="O33" s="61">
        <v>0.3</v>
      </c>
    </row>
    <row r="34" spans="1:15">
      <c r="J34" s="368"/>
      <c r="K34" s="61" t="s">
        <v>415</v>
      </c>
      <c r="L34" s="61">
        <v>0.37500000000000006</v>
      </c>
      <c r="M34" s="61">
        <v>17.100000000000001</v>
      </c>
      <c r="N34" s="61">
        <v>0.35833333333333334</v>
      </c>
      <c r="O34" s="61">
        <v>1.2</v>
      </c>
    </row>
    <row r="36" spans="1:15" ht="41.4">
      <c r="J36" s="60">
        <f>+A6</f>
        <v>2022</v>
      </c>
      <c r="K36" s="60" t="s">
        <v>397</v>
      </c>
      <c r="L36" s="66" t="s">
        <v>392</v>
      </c>
      <c r="M36" s="66" t="s">
        <v>398</v>
      </c>
      <c r="N36" s="66" t="s">
        <v>395</v>
      </c>
      <c r="O36" s="66" t="s">
        <v>399</v>
      </c>
    </row>
    <row r="37" spans="1:15">
      <c r="J37" s="368" t="s">
        <v>192</v>
      </c>
      <c r="K37" s="65" t="s">
        <v>400</v>
      </c>
      <c r="L37" s="63"/>
      <c r="M37" s="63"/>
      <c r="N37" s="63"/>
      <c r="O37" s="63"/>
    </row>
    <row r="38" spans="1:15">
      <c r="J38" s="368"/>
      <c r="K38" s="65" t="s">
        <v>401</v>
      </c>
      <c r="L38" s="63"/>
      <c r="M38" s="63"/>
      <c r="N38" s="63"/>
      <c r="O38" s="63"/>
    </row>
    <row r="39" spans="1:15">
      <c r="J39" s="368"/>
      <c r="K39" s="65" t="s">
        <v>402</v>
      </c>
      <c r="L39" s="63"/>
      <c r="M39" s="63"/>
      <c r="N39" s="63"/>
      <c r="O39" s="63"/>
    </row>
    <row r="40" spans="1:15">
      <c r="J40" s="368"/>
      <c r="K40" s="65" t="s">
        <v>404</v>
      </c>
      <c r="L40" s="63"/>
      <c r="M40" s="63"/>
      <c r="N40" s="63"/>
      <c r="O40" s="63"/>
    </row>
    <row r="41" spans="1:15">
      <c r="J41" s="368"/>
      <c r="K41" s="65" t="s">
        <v>406</v>
      </c>
      <c r="L41" s="63"/>
      <c r="M41" s="63"/>
      <c r="N41" s="63"/>
      <c r="O41" s="63"/>
    </row>
    <row r="42" spans="1:15">
      <c r="J42" s="368"/>
      <c r="K42" s="65" t="s">
        <v>407</v>
      </c>
      <c r="L42" s="63"/>
      <c r="M42" s="63"/>
      <c r="N42" s="63"/>
      <c r="O42" s="63"/>
    </row>
    <row r="43" spans="1:15">
      <c r="J43" s="368"/>
      <c r="K43" s="65" t="s">
        <v>408</v>
      </c>
      <c r="L43" s="63"/>
      <c r="M43" s="63"/>
      <c r="N43" s="63"/>
      <c r="O43" s="63"/>
    </row>
    <row r="44" spans="1:15">
      <c r="J44" s="368"/>
      <c r="K44" s="65" t="s">
        <v>410</v>
      </c>
      <c r="L44" s="63"/>
      <c r="M44" s="63"/>
      <c r="N44" s="63"/>
      <c r="O44" s="63"/>
    </row>
    <row r="45" spans="1:15">
      <c r="J45" s="368"/>
      <c r="K45" s="65" t="s">
        <v>411</v>
      </c>
      <c r="L45" s="63"/>
      <c r="M45" s="63"/>
      <c r="N45" s="63"/>
      <c r="O45" s="63"/>
    </row>
    <row r="46" spans="1:15">
      <c r="J46" s="368"/>
      <c r="K46" s="65" t="s">
        <v>412</v>
      </c>
      <c r="L46" s="63"/>
      <c r="M46" s="63"/>
      <c r="N46" s="63"/>
      <c r="O46" s="63"/>
    </row>
    <row r="47" spans="1:15">
      <c r="J47" s="368"/>
      <c r="K47" s="65" t="s">
        <v>413</v>
      </c>
      <c r="L47" s="63"/>
      <c r="M47" s="63"/>
      <c r="N47" s="63"/>
      <c r="O47" s="63"/>
    </row>
    <row r="48" spans="1:15">
      <c r="A48" s="359" t="s">
        <v>311</v>
      </c>
      <c r="B48" s="380"/>
      <c r="C48" s="380"/>
      <c r="D48" s="380"/>
      <c r="E48" s="380"/>
      <c r="F48" s="380"/>
      <c r="G48" s="381"/>
      <c r="J48" s="368"/>
      <c r="K48" s="65" t="s">
        <v>414</v>
      </c>
      <c r="L48" s="63"/>
      <c r="M48" s="63"/>
      <c r="N48" s="63"/>
      <c r="O48" s="63"/>
    </row>
    <row r="49" spans="1:15">
      <c r="A49" s="371"/>
      <c r="B49" s="372"/>
      <c r="C49" s="372"/>
      <c r="D49" s="372"/>
      <c r="E49" s="372"/>
      <c r="F49" s="372"/>
      <c r="G49" s="373"/>
      <c r="J49" s="368"/>
      <c r="K49" s="61" t="s">
        <v>415</v>
      </c>
      <c r="L49" s="61" t="e">
        <f>AVERAGE(L37:L48)</f>
        <v>#DIV/0!</v>
      </c>
      <c r="M49" s="61">
        <f>MAX(M37:M48)</f>
        <v>0</v>
      </c>
      <c r="N49" s="61" t="e">
        <f>AVERAGE(N37:N48)</f>
        <v>#DIV/0!</v>
      </c>
      <c r="O49" s="61">
        <f>MAX(O37:O48)</f>
        <v>0</v>
      </c>
    </row>
    <row r="50" spans="1:15">
      <c r="A50" s="374"/>
      <c r="B50" s="375"/>
      <c r="C50" s="375"/>
      <c r="D50" s="375"/>
      <c r="E50" s="375"/>
      <c r="F50" s="375"/>
      <c r="G50" s="376"/>
    </row>
    <row r="51" spans="1:15" ht="41.4">
      <c r="A51" s="374"/>
      <c r="B51" s="375"/>
      <c r="C51" s="375"/>
      <c r="D51" s="375"/>
      <c r="E51" s="375"/>
      <c r="F51" s="375"/>
      <c r="G51" s="376"/>
      <c r="J51" s="60">
        <f>+A6</f>
        <v>2022</v>
      </c>
      <c r="K51" s="60" t="s">
        <v>397</v>
      </c>
      <c r="L51" s="66" t="s">
        <v>392</v>
      </c>
      <c r="M51" s="66" t="s">
        <v>398</v>
      </c>
      <c r="N51" s="66" t="s">
        <v>395</v>
      </c>
      <c r="O51" s="66" t="s">
        <v>399</v>
      </c>
    </row>
    <row r="52" spans="1:15">
      <c r="A52" s="377"/>
      <c r="B52" s="378"/>
      <c r="C52" s="378"/>
      <c r="D52" s="378"/>
      <c r="E52" s="378"/>
      <c r="F52" s="378"/>
      <c r="G52" s="379"/>
      <c r="J52" s="368" t="s">
        <v>193</v>
      </c>
      <c r="K52" s="65" t="s">
        <v>400</v>
      </c>
      <c r="L52" s="63"/>
      <c r="M52" s="63"/>
      <c r="N52" s="63"/>
      <c r="O52" s="63"/>
    </row>
    <row r="53" spans="1:15">
      <c r="J53" s="368"/>
      <c r="K53" s="65" t="s">
        <v>401</v>
      </c>
      <c r="L53" s="63"/>
      <c r="M53" s="63"/>
      <c r="N53" s="63"/>
      <c r="O53" s="63"/>
    </row>
    <row r="54" spans="1:15">
      <c r="J54" s="368"/>
      <c r="K54" s="65" t="s">
        <v>402</v>
      </c>
      <c r="L54" s="63"/>
      <c r="M54" s="63"/>
      <c r="N54" s="63"/>
      <c r="O54" s="63"/>
    </row>
    <row r="55" spans="1:15">
      <c r="J55" s="368"/>
      <c r="K55" s="65" t="s">
        <v>404</v>
      </c>
      <c r="L55" s="63"/>
      <c r="M55" s="63"/>
      <c r="N55" s="63"/>
      <c r="O55" s="63"/>
    </row>
    <row r="56" spans="1:15">
      <c r="J56" s="368"/>
      <c r="K56" s="65" t="s">
        <v>406</v>
      </c>
      <c r="L56" s="63"/>
      <c r="M56" s="63"/>
      <c r="N56" s="63"/>
      <c r="O56" s="63"/>
    </row>
    <row r="57" spans="1:15">
      <c r="J57" s="368"/>
      <c r="K57" s="65" t="s">
        <v>407</v>
      </c>
      <c r="L57" s="63"/>
      <c r="M57" s="63"/>
      <c r="N57" s="63"/>
      <c r="O57" s="63"/>
    </row>
    <row r="58" spans="1:15">
      <c r="J58" s="368"/>
      <c r="K58" s="65" t="s">
        <v>408</v>
      </c>
      <c r="L58" s="63"/>
      <c r="M58" s="63"/>
      <c r="N58" s="63"/>
      <c r="O58" s="63"/>
    </row>
    <row r="59" spans="1:15">
      <c r="J59" s="368"/>
      <c r="K59" s="65" t="s">
        <v>410</v>
      </c>
      <c r="L59" s="63"/>
      <c r="M59" s="63"/>
      <c r="N59" s="63"/>
      <c r="O59" s="63"/>
    </row>
    <row r="60" spans="1:15">
      <c r="J60" s="368"/>
      <c r="K60" s="65" t="s">
        <v>411</v>
      </c>
      <c r="L60" s="63"/>
      <c r="M60" s="63"/>
      <c r="N60" s="63"/>
      <c r="O60" s="63"/>
    </row>
    <row r="61" spans="1:15">
      <c r="J61" s="368"/>
      <c r="K61" s="65" t="s">
        <v>412</v>
      </c>
      <c r="L61" s="63"/>
      <c r="M61" s="63"/>
      <c r="N61" s="63"/>
      <c r="O61" s="63"/>
    </row>
    <row r="62" spans="1:15">
      <c r="J62" s="368"/>
      <c r="K62" s="65" t="s">
        <v>413</v>
      </c>
      <c r="L62" s="63"/>
      <c r="M62" s="63"/>
      <c r="N62" s="63"/>
      <c r="O62" s="63"/>
    </row>
    <row r="63" spans="1:15">
      <c r="J63" s="368"/>
      <c r="K63" s="65" t="s">
        <v>414</v>
      </c>
      <c r="L63" s="63"/>
      <c r="M63" s="63"/>
      <c r="N63" s="63"/>
      <c r="O63" s="63"/>
    </row>
    <row r="64" spans="1:15">
      <c r="J64" s="368"/>
      <c r="K64" s="61" t="s">
        <v>415</v>
      </c>
      <c r="L64" s="61" t="e">
        <f>AVERAGE(L52:L63)</f>
        <v>#DIV/0!</v>
      </c>
      <c r="M64" s="61">
        <f>MAX(M52:M63)</f>
        <v>0</v>
      </c>
      <c r="N64" s="61" t="e">
        <f>AVERAGE(N52:N63)</f>
        <v>#DIV/0!</v>
      </c>
      <c r="O64" s="61">
        <f>MAX(O52:O63)</f>
        <v>0</v>
      </c>
    </row>
    <row r="66" spans="10:15" ht="41.4">
      <c r="J66" s="60">
        <f>+A6</f>
        <v>2022</v>
      </c>
      <c r="K66" s="60" t="s">
        <v>397</v>
      </c>
      <c r="L66" s="66" t="s">
        <v>392</v>
      </c>
      <c r="M66" s="66" t="s">
        <v>398</v>
      </c>
      <c r="N66" s="66" t="s">
        <v>395</v>
      </c>
      <c r="O66" s="66" t="s">
        <v>399</v>
      </c>
    </row>
    <row r="67" spans="10:15">
      <c r="J67" s="368" t="s">
        <v>194</v>
      </c>
      <c r="K67" s="65" t="s">
        <v>400</v>
      </c>
      <c r="L67" s="63"/>
      <c r="M67" s="63"/>
      <c r="N67" s="63"/>
      <c r="O67" s="63"/>
    </row>
    <row r="68" spans="10:15">
      <c r="J68" s="368"/>
      <c r="K68" s="65" t="s">
        <v>401</v>
      </c>
      <c r="L68" s="63"/>
      <c r="M68" s="63"/>
      <c r="N68" s="63"/>
      <c r="O68" s="63"/>
    </row>
    <row r="69" spans="10:15">
      <c r="J69" s="368"/>
      <c r="K69" s="65" t="s">
        <v>402</v>
      </c>
      <c r="L69" s="63"/>
      <c r="M69" s="63"/>
      <c r="N69" s="63"/>
      <c r="O69" s="63"/>
    </row>
    <row r="70" spans="10:15">
      <c r="J70" s="368"/>
      <c r="K70" s="65" t="s">
        <v>404</v>
      </c>
      <c r="L70" s="63"/>
      <c r="M70" s="63"/>
      <c r="N70" s="63"/>
      <c r="O70" s="63"/>
    </row>
    <row r="71" spans="10:15">
      <c r="J71" s="368"/>
      <c r="K71" s="65" t="s">
        <v>406</v>
      </c>
      <c r="L71" s="63"/>
      <c r="M71" s="63"/>
      <c r="N71" s="63"/>
      <c r="O71" s="63"/>
    </row>
    <row r="72" spans="10:15">
      <c r="J72" s="368"/>
      <c r="K72" s="65" t="s">
        <v>407</v>
      </c>
      <c r="L72" s="63"/>
      <c r="M72" s="63"/>
      <c r="N72" s="63"/>
      <c r="O72" s="63"/>
    </row>
    <row r="73" spans="10:15">
      <c r="J73" s="368"/>
      <c r="K73" s="65" t="s">
        <v>408</v>
      </c>
      <c r="L73" s="63"/>
      <c r="M73" s="63"/>
      <c r="N73" s="63"/>
      <c r="O73" s="63"/>
    </row>
    <row r="74" spans="10:15">
      <c r="J74" s="368"/>
      <c r="K74" s="65" t="s">
        <v>410</v>
      </c>
      <c r="L74" s="63"/>
      <c r="M74" s="63"/>
      <c r="N74" s="63"/>
      <c r="O74" s="63"/>
    </row>
    <row r="75" spans="10:15">
      <c r="J75" s="368"/>
      <c r="K75" s="65" t="s">
        <v>411</v>
      </c>
      <c r="L75" s="63"/>
      <c r="M75" s="63"/>
      <c r="N75" s="63"/>
      <c r="O75" s="63"/>
    </row>
    <row r="76" spans="10:15">
      <c r="J76" s="368"/>
      <c r="K76" s="65" t="s">
        <v>412</v>
      </c>
      <c r="L76" s="63"/>
      <c r="M76" s="63"/>
      <c r="N76" s="63"/>
      <c r="O76" s="63"/>
    </row>
    <row r="77" spans="10:15">
      <c r="J77" s="368"/>
      <c r="K77" s="65" t="s">
        <v>413</v>
      </c>
      <c r="L77" s="63"/>
      <c r="M77" s="63"/>
      <c r="N77" s="63"/>
      <c r="O77" s="63"/>
    </row>
    <row r="78" spans="10:15">
      <c r="J78" s="368"/>
      <c r="K78" s="65" t="s">
        <v>414</v>
      </c>
      <c r="L78" s="63"/>
      <c r="M78" s="63"/>
      <c r="N78" s="63"/>
      <c r="O78" s="63"/>
    </row>
    <row r="79" spans="10:15">
      <c r="J79" s="368"/>
      <c r="K79" s="61" t="s">
        <v>415</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honeticPr fontId="25" type="noConversion"/>
  <pageMargins left="0.7" right="0.7" top="0.75" bottom="0.75" header="0.3" footer="0.3"/>
  <pageSetup paperSize="9" scale="77"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92D050"/>
    <pageSetUpPr fitToPage="1"/>
  </sheetPr>
  <dimension ref="A1:U79"/>
  <sheetViews>
    <sheetView topLeftCell="A3" workbookViewId="0">
      <selection activeCell="Q32" sqref="Q32"/>
    </sheetView>
  </sheetViews>
  <sheetFormatPr defaultRowHeight="13.8"/>
  <cols>
    <col min="1" max="1" width="14" style="3" customWidth="1"/>
    <col min="2" max="2" width="12.77734375" style="35" customWidth="1"/>
    <col min="3" max="3" width="15.21875" style="35" customWidth="1"/>
    <col min="4" max="4" width="17.77734375" style="35" customWidth="1"/>
    <col min="5" max="5" width="14.77734375" style="35" customWidth="1"/>
    <col min="6" max="6" width="11.5546875" style="35" customWidth="1"/>
    <col min="7" max="7" width="15" style="35" customWidth="1"/>
    <col min="8" max="8" width="14.77734375" style="35" customWidth="1"/>
    <col min="9" max="12" width="9.21875" style="3"/>
    <col min="13" max="13" width="15.44140625" style="3" customWidth="1"/>
    <col min="14" max="14" width="17.77734375" style="3" customWidth="1"/>
    <col min="15" max="15" width="17.44140625" style="3" bestFit="1" customWidth="1"/>
    <col min="16" max="16" width="13.77734375" style="3" customWidth="1"/>
    <col min="17" max="17" width="15" style="3" customWidth="1"/>
    <col min="18" max="20" width="9.21875" style="3"/>
    <col min="21" max="21" width="22.44140625" style="3" customWidth="1"/>
    <col min="22" max="258" width="9.21875" style="3"/>
    <col min="259" max="259" width="14" style="3" customWidth="1"/>
    <col min="260" max="265" width="10.21875" style="3" customWidth="1"/>
    <col min="266" max="514" width="9.21875" style="3"/>
    <col min="515" max="515" width="14" style="3" customWidth="1"/>
    <col min="516" max="521" width="10.21875" style="3" customWidth="1"/>
    <col min="522" max="770" width="9.21875" style="3"/>
    <col min="771" max="771" width="14" style="3" customWidth="1"/>
    <col min="772" max="777" width="10.21875" style="3" customWidth="1"/>
    <col min="778" max="1026" width="9.21875" style="3"/>
    <col min="1027" max="1027" width="14" style="3" customWidth="1"/>
    <col min="1028" max="1033" width="10.21875" style="3" customWidth="1"/>
    <col min="1034" max="1282" width="9.21875" style="3"/>
    <col min="1283" max="1283" width="14" style="3" customWidth="1"/>
    <col min="1284" max="1289" width="10.21875" style="3" customWidth="1"/>
    <col min="1290" max="1538" width="9.21875" style="3"/>
    <col min="1539" max="1539" width="14" style="3" customWidth="1"/>
    <col min="1540" max="1545" width="10.21875" style="3" customWidth="1"/>
    <col min="1546" max="1794" width="9.21875" style="3"/>
    <col min="1795" max="1795" width="14" style="3" customWidth="1"/>
    <col min="1796" max="1801" width="10.21875" style="3" customWidth="1"/>
    <col min="1802" max="2050" width="9.21875" style="3"/>
    <col min="2051" max="2051" width="14" style="3" customWidth="1"/>
    <col min="2052" max="2057" width="10.21875" style="3" customWidth="1"/>
    <col min="2058" max="2306" width="9.21875" style="3"/>
    <col min="2307" max="2307" width="14" style="3" customWidth="1"/>
    <col min="2308" max="2313" width="10.21875" style="3" customWidth="1"/>
    <col min="2314" max="2562" width="9.21875" style="3"/>
    <col min="2563" max="2563" width="14" style="3" customWidth="1"/>
    <col min="2564" max="2569" width="10.21875" style="3" customWidth="1"/>
    <col min="2570" max="2818" width="9.21875" style="3"/>
    <col min="2819" max="2819" width="14" style="3" customWidth="1"/>
    <col min="2820" max="2825" width="10.21875" style="3" customWidth="1"/>
    <col min="2826" max="3074" width="9.21875" style="3"/>
    <col min="3075" max="3075" width="14" style="3" customWidth="1"/>
    <col min="3076" max="3081" width="10.21875" style="3" customWidth="1"/>
    <col min="3082" max="3330" width="9.21875" style="3"/>
    <col min="3331" max="3331" width="14" style="3" customWidth="1"/>
    <col min="3332" max="3337" width="10.21875" style="3" customWidth="1"/>
    <col min="3338" max="3586" width="9.21875" style="3"/>
    <col min="3587" max="3587" width="14" style="3" customWidth="1"/>
    <col min="3588" max="3593" width="10.21875" style="3" customWidth="1"/>
    <col min="3594" max="3842" width="9.21875" style="3"/>
    <col min="3843" max="3843" width="14" style="3" customWidth="1"/>
    <col min="3844" max="3849" width="10.21875" style="3" customWidth="1"/>
    <col min="3850" max="4098" width="9.21875" style="3"/>
    <col min="4099" max="4099" width="14" style="3" customWidth="1"/>
    <col min="4100" max="4105" width="10.21875" style="3" customWidth="1"/>
    <col min="4106" max="4354" width="9.21875" style="3"/>
    <col min="4355" max="4355" width="14" style="3" customWidth="1"/>
    <col min="4356" max="4361" width="10.21875" style="3" customWidth="1"/>
    <col min="4362" max="4610" width="9.21875" style="3"/>
    <col min="4611" max="4611" width="14" style="3" customWidth="1"/>
    <col min="4612" max="4617" width="10.21875" style="3" customWidth="1"/>
    <col min="4618" max="4866" width="9.21875" style="3"/>
    <col min="4867" max="4867" width="14" style="3" customWidth="1"/>
    <col min="4868" max="4873" width="10.21875" style="3" customWidth="1"/>
    <col min="4874" max="5122" width="9.21875" style="3"/>
    <col min="5123" max="5123" width="14" style="3" customWidth="1"/>
    <col min="5124" max="5129" width="10.21875" style="3" customWidth="1"/>
    <col min="5130" max="5378" width="9.21875" style="3"/>
    <col min="5379" max="5379" width="14" style="3" customWidth="1"/>
    <col min="5380" max="5385" width="10.21875" style="3" customWidth="1"/>
    <col min="5386" max="5634" width="9.21875" style="3"/>
    <col min="5635" max="5635" width="14" style="3" customWidth="1"/>
    <col min="5636" max="5641" width="10.21875" style="3" customWidth="1"/>
    <col min="5642" max="5890" width="9.21875" style="3"/>
    <col min="5891" max="5891" width="14" style="3" customWidth="1"/>
    <col min="5892" max="5897" width="10.21875" style="3" customWidth="1"/>
    <col min="5898" max="6146" width="9.21875" style="3"/>
    <col min="6147" max="6147" width="14" style="3" customWidth="1"/>
    <col min="6148" max="6153" width="10.21875" style="3" customWidth="1"/>
    <col min="6154" max="6402" width="9.21875" style="3"/>
    <col min="6403" max="6403" width="14" style="3" customWidth="1"/>
    <col min="6404" max="6409" width="10.21875" style="3" customWidth="1"/>
    <col min="6410" max="6658" width="9.21875" style="3"/>
    <col min="6659" max="6659" width="14" style="3" customWidth="1"/>
    <col min="6660" max="6665" width="10.21875" style="3" customWidth="1"/>
    <col min="6666" max="6914" width="9.21875" style="3"/>
    <col min="6915" max="6915" width="14" style="3" customWidth="1"/>
    <col min="6916" max="6921" width="10.21875" style="3" customWidth="1"/>
    <col min="6922" max="7170" width="9.21875" style="3"/>
    <col min="7171" max="7171" width="14" style="3" customWidth="1"/>
    <col min="7172" max="7177" width="10.21875" style="3" customWidth="1"/>
    <col min="7178" max="7426" width="9.21875" style="3"/>
    <col min="7427" max="7427" width="14" style="3" customWidth="1"/>
    <col min="7428" max="7433" width="10.21875" style="3" customWidth="1"/>
    <col min="7434" max="7682" width="9.21875" style="3"/>
    <col min="7683" max="7683" width="14" style="3" customWidth="1"/>
    <col min="7684" max="7689" width="10.21875" style="3" customWidth="1"/>
    <col min="7690" max="7938" width="9.21875" style="3"/>
    <col min="7939" max="7939" width="14" style="3" customWidth="1"/>
    <col min="7940" max="7945" width="10.21875" style="3" customWidth="1"/>
    <col min="7946" max="8194" width="9.21875" style="3"/>
    <col min="8195" max="8195" width="14" style="3" customWidth="1"/>
    <col min="8196" max="8201" width="10.21875" style="3" customWidth="1"/>
    <col min="8202" max="8450" width="9.21875" style="3"/>
    <col min="8451" max="8451" width="14" style="3" customWidth="1"/>
    <col min="8452" max="8457" width="10.21875" style="3" customWidth="1"/>
    <col min="8458" max="8706" width="9.21875" style="3"/>
    <col min="8707" max="8707" width="14" style="3" customWidth="1"/>
    <col min="8708" max="8713" width="10.21875" style="3" customWidth="1"/>
    <col min="8714" max="8962" width="9.21875" style="3"/>
    <col min="8963" max="8963" width="14" style="3" customWidth="1"/>
    <col min="8964" max="8969" width="10.21875" style="3" customWidth="1"/>
    <col min="8970" max="9218" width="9.21875" style="3"/>
    <col min="9219" max="9219" width="14" style="3" customWidth="1"/>
    <col min="9220" max="9225" width="10.21875" style="3" customWidth="1"/>
    <col min="9226" max="9474" width="9.21875" style="3"/>
    <col min="9475" max="9475" width="14" style="3" customWidth="1"/>
    <col min="9476" max="9481" width="10.21875" style="3" customWidth="1"/>
    <col min="9482" max="9730" width="9.21875" style="3"/>
    <col min="9731" max="9731" width="14" style="3" customWidth="1"/>
    <col min="9732" max="9737" width="10.21875" style="3" customWidth="1"/>
    <col min="9738" max="9986" width="9.21875" style="3"/>
    <col min="9987" max="9987" width="14" style="3" customWidth="1"/>
    <col min="9988" max="9993" width="10.21875" style="3" customWidth="1"/>
    <col min="9994" max="10242" width="9.21875" style="3"/>
    <col min="10243" max="10243" width="14" style="3" customWidth="1"/>
    <col min="10244" max="10249" width="10.21875" style="3" customWidth="1"/>
    <col min="10250" max="10498" width="9.21875" style="3"/>
    <col min="10499" max="10499" width="14" style="3" customWidth="1"/>
    <col min="10500" max="10505" width="10.21875" style="3" customWidth="1"/>
    <col min="10506" max="10754" width="9.21875" style="3"/>
    <col min="10755" max="10755" width="14" style="3" customWidth="1"/>
    <col min="10756" max="10761" width="10.21875" style="3" customWidth="1"/>
    <col min="10762" max="11010" width="9.21875" style="3"/>
    <col min="11011" max="11011" width="14" style="3" customWidth="1"/>
    <col min="11012" max="11017" width="10.21875" style="3" customWidth="1"/>
    <col min="11018" max="11266" width="9.21875" style="3"/>
    <col min="11267" max="11267" width="14" style="3" customWidth="1"/>
    <col min="11268" max="11273" width="10.21875" style="3" customWidth="1"/>
    <col min="11274" max="11522" width="9.21875" style="3"/>
    <col min="11523" max="11523" width="14" style="3" customWidth="1"/>
    <col min="11524" max="11529" width="10.21875" style="3" customWidth="1"/>
    <col min="11530" max="11778" width="9.21875" style="3"/>
    <col min="11779" max="11779" width="14" style="3" customWidth="1"/>
    <col min="11780" max="11785" width="10.21875" style="3" customWidth="1"/>
    <col min="11786" max="12034" width="9.21875" style="3"/>
    <col min="12035" max="12035" width="14" style="3" customWidth="1"/>
    <col min="12036" max="12041" width="10.21875" style="3" customWidth="1"/>
    <col min="12042" max="12290" width="9.21875" style="3"/>
    <col min="12291" max="12291" width="14" style="3" customWidth="1"/>
    <col min="12292" max="12297" width="10.21875" style="3" customWidth="1"/>
    <col min="12298" max="12546" width="9.21875" style="3"/>
    <col min="12547" max="12547" width="14" style="3" customWidth="1"/>
    <col min="12548" max="12553" width="10.21875" style="3" customWidth="1"/>
    <col min="12554" max="12802" width="9.21875" style="3"/>
    <col min="12803" max="12803" width="14" style="3" customWidth="1"/>
    <col min="12804" max="12809" width="10.21875" style="3" customWidth="1"/>
    <col min="12810" max="13058" width="9.21875" style="3"/>
    <col min="13059" max="13059" width="14" style="3" customWidth="1"/>
    <col min="13060" max="13065" width="10.21875" style="3" customWidth="1"/>
    <col min="13066" max="13314" width="9.21875" style="3"/>
    <col min="13315" max="13315" width="14" style="3" customWidth="1"/>
    <col min="13316" max="13321" width="10.21875" style="3" customWidth="1"/>
    <col min="13322" max="13570" width="9.21875" style="3"/>
    <col min="13571" max="13571" width="14" style="3" customWidth="1"/>
    <col min="13572" max="13577" width="10.21875" style="3" customWidth="1"/>
    <col min="13578" max="13826" width="9.21875" style="3"/>
    <col min="13827" max="13827" width="14" style="3" customWidth="1"/>
    <col min="13828" max="13833" width="10.21875" style="3" customWidth="1"/>
    <col min="13834" max="14082" width="9.21875" style="3"/>
    <col min="14083" max="14083" width="14" style="3" customWidth="1"/>
    <col min="14084" max="14089" width="10.21875" style="3" customWidth="1"/>
    <col min="14090" max="14338" width="9.21875" style="3"/>
    <col min="14339" max="14339" width="14" style="3" customWidth="1"/>
    <col min="14340" max="14345" width="10.21875" style="3" customWidth="1"/>
    <col min="14346" max="14594" width="9.21875" style="3"/>
    <col min="14595" max="14595" width="14" style="3" customWidth="1"/>
    <col min="14596" max="14601" width="10.21875" style="3" customWidth="1"/>
    <col min="14602" max="14850" width="9.21875" style="3"/>
    <col min="14851" max="14851" width="14" style="3" customWidth="1"/>
    <col min="14852" max="14857" width="10.21875" style="3" customWidth="1"/>
    <col min="14858" max="15106" width="9.21875" style="3"/>
    <col min="15107" max="15107" width="14" style="3" customWidth="1"/>
    <col min="15108" max="15113" width="10.21875" style="3" customWidth="1"/>
    <col min="15114" max="15362" width="9.21875" style="3"/>
    <col min="15363" max="15363" width="14" style="3" customWidth="1"/>
    <col min="15364" max="15369" width="10.21875" style="3" customWidth="1"/>
    <col min="15370" max="15618" width="9.21875" style="3"/>
    <col min="15619" max="15619" width="14" style="3" customWidth="1"/>
    <col min="15620" max="15625" width="10.21875" style="3" customWidth="1"/>
    <col min="15626" max="15874" width="9.21875" style="3"/>
    <col min="15875" max="15875" width="14" style="3" customWidth="1"/>
    <col min="15876" max="15881" width="10.21875" style="3" customWidth="1"/>
    <col min="15882" max="16130" width="9.21875" style="3"/>
    <col min="16131" max="16131" width="14" style="3" customWidth="1"/>
    <col min="16132" max="16137" width="10.21875" style="3" customWidth="1"/>
    <col min="16138" max="16384" width="9.21875" style="3"/>
  </cols>
  <sheetData>
    <row r="1" spans="1:21" ht="15">
      <c r="A1" s="92" t="str">
        <f>+'Cover Page'!$B$29</f>
        <v>Annual Performance Report 2022</v>
      </c>
      <c r="B1" s="92"/>
      <c r="C1" s="92"/>
      <c r="D1" s="92"/>
      <c r="E1" s="92" t="str">
        <f>+'Cover Page'!$B$33</f>
        <v>Eastcroft Energy from Waste Plant</v>
      </c>
    </row>
    <row r="3" spans="1:21" ht="14.4">
      <c r="A3" s="59" t="s">
        <v>428</v>
      </c>
      <c r="E3" s="75" t="s">
        <v>384</v>
      </c>
      <c r="H3" s="79" t="s">
        <v>429</v>
      </c>
      <c r="J3" s="9" t="s">
        <v>428</v>
      </c>
      <c r="L3" s="9"/>
      <c r="O3" s="9" t="s">
        <v>386</v>
      </c>
      <c r="Q3" s="76" t="s">
        <v>3</v>
      </c>
      <c r="S3" s="78" t="s">
        <v>3</v>
      </c>
      <c r="T3" s="73"/>
      <c r="U3" s="73"/>
    </row>
    <row r="4" spans="1:21" ht="13.95" customHeight="1">
      <c r="S4" s="345" t="s">
        <v>430</v>
      </c>
      <c r="T4" s="345"/>
      <c r="U4" s="345"/>
    </row>
    <row r="5" spans="1:21" ht="16.2">
      <c r="A5" s="67" t="s">
        <v>388</v>
      </c>
      <c r="B5" s="370" t="s">
        <v>431</v>
      </c>
      <c r="C5" s="370"/>
      <c r="D5" s="370"/>
      <c r="E5" s="370"/>
      <c r="F5" s="370" t="s">
        <v>390</v>
      </c>
      <c r="G5" s="370"/>
      <c r="H5" s="370"/>
      <c r="K5" s="369"/>
      <c r="L5" s="369"/>
      <c r="M5" s="369"/>
      <c r="N5" s="369"/>
      <c r="O5" s="369"/>
      <c r="P5" s="369"/>
      <c r="Q5" s="369"/>
      <c r="S5" s="345"/>
      <c r="T5" s="345"/>
      <c r="U5" s="345"/>
    </row>
    <row r="6" spans="1:21" s="57" customFormat="1" ht="37.5" customHeight="1">
      <c r="A6" s="64">
        <v>2022</v>
      </c>
      <c r="B6" s="54" t="s">
        <v>432</v>
      </c>
      <c r="C6" s="54" t="s">
        <v>433</v>
      </c>
      <c r="D6" s="54" t="s">
        <v>434</v>
      </c>
      <c r="E6" s="54" t="s">
        <v>435</v>
      </c>
      <c r="F6" s="54" t="s">
        <v>436</v>
      </c>
      <c r="G6" s="54" t="s">
        <v>395</v>
      </c>
      <c r="H6" s="54" t="s">
        <v>396</v>
      </c>
      <c r="I6" s="58"/>
      <c r="K6" s="60">
        <v>2022</v>
      </c>
      <c r="L6" s="60" t="s">
        <v>397</v>
      </c>
      <c r="M6" s="54" t="s">
        <v>433</v>
      </c>
      <c r="N6" s="54" t="s">
        <v>434</v>
      </c>
      <c r="O6" s="54" t="s">
        <v>435</v>
      </c>
      <c r="P6" s="66" t="s">
        <v>395</v>
      </c>
      <c r="Q6" s="66" t="s">
        <v>399</v>
      </c>
      <c r="S6" s="345"/>
      <c r="T6" s="345"/>
      <c r="U6" s="345"/>
    </row>
    <row r="7" spans="1:21">
      <c r="A7" s="65" t="s">
        <v>400</v>
      </c>
      <c r="B7" s="68">
        <v>150</v>
      </c>
      <c r="C7" s="63">
        <v>300</v>
      </c>
      <c r="D7" s="63">
        <v>9</v>
      </c>
      <c r="E7" s="63">
        <v>497.6</v>
      </c>
      <c r="F7" s="68">
        <v>50</v>
      </c>
      <c r="G7" s="63">
        <v>9</v>
      </c>
      <c r="H7" s="63">
        <v>497.6</v>
      </c>
      <c r="K7" s="368" t="s">
        <v>190</v>
      </c>
      <c r="L7" s="65" t="s">
        <v>400</v>
      </c>
      <c r="M7" s="63">
        <v>150</v>
      </c>
      <c r="N7" s="63">
        <v>4.0999999999999996</v>
      </c>
      <c r="O7" s="63">
        <v>350.1</v>
      </c>
      <c r="P7" s="63">
        <v>4.0999999999999996</v>
      </c>
      <c r="Q7" s="63">
        <v>6.2</v>
      </c>
      <c r="S7" s="345"/>
      <c r="T7" s="345"/>
      <c r="U7" s="345"/>
    </row>
    <row r="8" spans="1:21">
      <c r="A8" s="65" t="s">
        <v>401</v>
      </c>
      <c r="B8" s="62">
        <v>150</v>
      </c>
      <c r="C8" s="63">
        <v>300</v>
      </c>
      <c r="D8" s="63">
        <v>10</v>
      </c>
      <c r="E8" s="63">
        <v>233.1</v>
      </c>
      <c r="F8" s="62">
        <v>50</v>
      </c>
      <c r="G8" s="63">
        <v>10</v>
      </c>
      <c r="H8" s="63">
        <v>233.1</v>
      </c>
      <c r="K8" s="368"/>
      <c r="L8" s="65" t="s">
        <v>401</v>
      </c>
      <c r="M8" s="63">
        <v>150</v>
      </c>
      <c r="N8" s="63">
        <v>5</v>
      </c>
      <c r="O8" s="63">
        <v>126.8</v>
      </c>
      <c r="P8" s="63">
        <v>5</v>
      </c>
      <c r="Q8" s="63">
        <v>7</v>
      </c>
      <c r="S8" s="345"/>
      <c r="T8" s="345"/>
      <c r="U8" s="345"/>
    </row>
    <row r="9" spans="1:21">
      <c r="A9" s="65" t="s">
        <v>402</v>
      </c>
      <c r="B9" s="62">
        <v>150</v>
      </c>
      <c r="C9" s="63">
        <v>300</v>
      </c>
      <c r="D9" s="63">
        <v>9.1999999999999993</v>
      </c>
      <c r="E9" s="63">
        <v>221.7</v>
      </c>
      <c r="F9" s="62">
        <v>50</v>
      </c>
      <c r="G9" s="63">
        <v>9.1999999999999993</v>
      </c>
      <c r="H9" s="63">
        <v>221.7</v>
      </c>
      <c r="K9" s="368"/>
      <c r="L9" s="65" t="s">
        <v>402</v>
      </c>
      <c r="M9" s="63">
        <v>150</v>
      </c>
      <c r="N9" s="63">
        <v>4.5</v>
      </c>
      <c r="O9" s="63">
        <v>130</v>
      </c>
      <c r="P9" s="63">
        <v>4.4000000000000004</v>
      </c>
      <c r="Q9" s="63">
        <v>6.8</v>
      </c>
      <c r="S9" s="77" t="s">
        <v>437</v>
      </c>
    </row>
    <row r="10" spans="1:21">
      <c r="A10" s="65" t="s">
        <v>404</v>
      </c>
      <c r="B10" s="62">
        <v>150</v>
      </c>
      <c r="C10" s="63">
        <v>300</v>
      </c>
      <c r="D10" s="63">
        <v>9.8000000000000007</v>
      </c>
      <c r="E10" s="63">
        <v>431.4</v>
      </c>
      <c r="F10" s="62">
        <v>50</v>
      </c>
      <c r="G10" s="63">
        <v>9.8000000000000007</v>
      </c>
      <c r="H10" s="63">
        <v>431.4</v>
      </c>
      <c r="K10" s="368"/>
      <c r="L10" s="65" t="s">
        <v>404</v>
      </c>
      <c r="M10" s="63">
        <v>150</v>
      </c>
      <c r="N10" s="63">
        <v>4.4000000000000004</v>
      </c>
      <c r="O10" s="63">
        <v>198.1</v>
      </c>
      <c r="P10" s="63">
        <v>4.4000000000000004</v>
      </c>
      <c r="Q10" s="63">
        <v>6.2</v>
      </c>
      <c r="S10" s="367" t="s">
        <v>438</v>
      </c>
      <c r="T10" s="367"/>
      <c r="U10" s="367"/>
    </row>
    <row r="11" spans="1:21">
      <c r="A11" s="65" t="s">
        <v>406</v>
      </c>
      <c r="B11" s="62">
        <v>150</v>
      </c>
      <c r="C11" s="63">
        <v>300</v>
      </c>
      <c r="D11" s="63">
        <v>9.5</v>
      </c>
      <c r="E11" s="63">
        <v>295.7</v>
      </c>
      <c r="F11" s="62">
        <v>50</v>
      </c>
      <c r="G11" s="63">
        <v>9.5</v>
      </c>
      <c r="H11" s="63">
        <v>295.7</v>
      </c>
      <c r="K11" s="368"/>
      <c r="L11" s="65" t="s">
        <v>406</v>
      </c>
      <c r="M11" s="63">
        <v>150</v>
      </c>
      <c r="N11" s="63">
        <v>4.5</v>
      </c>
      <c r="O11" s="63">
        <v>168.9</v>
      </c>
      <c r="P11" s="63">
        <v>4.5</v>
      </c>
      <c r="Q11" s="63">
        <v>6.8</v>
      </c>
      <c r="S11" s="367"/>
      <c r="T11" s="367"/>
      <c r="U11" s="367"/>
    </row>
    <row r="12" spans="1:21">
      <c r="A12" s="65" t="s">
        <v>407</v>
      </c>
      <c r="B12" s="62">
        <v>150</v>
      </c>
      <c r="C12" s="63">
        <v>300</v>
      </c>
      <c r="D12" s="63">
        <v>8.1999999999999993</v>
      </c>
      <c r="E12" s="63">
        <v>469.7</v>
      </c>
      <c r="F12" s="62">
        <v>50</v>
      </c>
      <c r="G12" s="63">
        <v>8.1999999999999993</v>
      </c>
      <c r="H12" s="63">
        <v>469.7</v>
      </c>
      <c r="K12" s="368"/>
      <c r="L12" s="65" t="s">
        <v>407</v>
      </c>
      <c r="M12" s="63">
        <v>150</v>
      </c>
      <c r="N12" s="63">
        <v>3.4</v>
      </c>
      <c r="O12" s="63">
        <v>150.5</v>
      </c>
      <c r="P12" s="63">
        <v>3.3</v>
      </c>
      <c r="Q12" s="63">
        <v>4.5999999999999996</v>
      </c>
      <c r="S12" s="367"/>
      <c r="T12" s="367"/>
      <c r="U12" s="367"/>
    </row>
    <row r="13" spans="1:21">
      <c r="A13" s="65" t="s">
        <v>408</v>
      </c>
      <c r="B13" s="62">
        <v>150</v>
      </c>
      <c r="C13" s="63">
        <v>300</v>
      </c>
      <c r="D13" s="63">
        <v>8.1</v>
      </c>
      <c r="E13" s="63">
        <v>596.29999999999995</v>
      </c>
      <c r="F13" s="62">
        <v>50</v>
      </c>
      <c r="G13" s="63">
        <v>8.1</v>
      </c>
      <c r="H13" s="63">
        <v>596.29999999999995</v>
      </c>
      <c r="K13" s="368"/>
      <c r="L13" s="65" t="s">
        <v>408</v>
      </c>
      <c r="M13" s="63">
        <v>150</v>
      </c>
      <c r="N13" s="63">
        <v>3.8</v>
      </c>
      <c r="O13" s="63">
        <v>223.8</v>
      </c>
      <c r="P13" s="63">
        <v>3.2</v>
      </c>
      <c r="Q13" s="63">
        <v>6.6</v>
      </c>
      <c r="S13" s="367" t="s">
        <v>439</v>
      </c>
      <c r="T13" s="367"/>
      <c r="U13" s="367"/>
    </row>
    <row r="14" spans="1:21">
      <c r="A14" s="65" t="s">
        <v>410</v>
      </c>
      <c r="B14" s="62">
        <v>150</v>
      </c>
      <c r="C14" s="63">
        <v>300</v>
      </c>
      <c r="D14" s="63">
        <v>5.3000000000000007</v>
      </c>
      <c r="E14" s="63">
        <v>669.8</v>
      </c>
      <c r="F14" s="62">
        <v>50</v>
      </c>
      <c r="G14" s="63">
        <v>5.3000000000000007</v>
      </c>
      <c r="H14" s="63">
        <v>669.8</v>
      </c>
      <c r="K14" s="368"/>
      <c r="L14" s="65" t="s">
        <v>410</v>
      </c>
      <c r="M14" s="63">
        <v>150</v>
      </c>
      <c r="N14" s="63">
        <v>2.2000000000000002</v>
      </c>
      <c r="O14" s="63">
        <v>439</v>
      </c>
      <c r="P14" s="63">
        <v>2.2000000000000002</v>
      </c>
      <c r="Q14" s="63">
        <v>5.9</v>
      </c>
      <c r="S14" s="367"/>
      <c r="T14" s="367"/>
      <c r="U14" s="367"/>
    </row>
    <row r="15" spans="1:21">
      <c r="A15" s="65" t="s">
        <v>411</v>
      </c>
      <c r="B15" s="62">
        <v>150</v>
      </c>
      <c r="C15" s="63">
        <v>300</v>
      </c>
      <c r="D15" s="63">
        <v>9.6000000000000014</v>
      </c>
      <c r="E15" s="63">
        <v>577.4</v>
      </c>
      <c r="F15" s="62">
        <v>50</v>
      </c>
      <c r="G15" s="63">
        <v>9.6000000000000014</v>
      </c>
      <c r="H15" s="63">
        <v>577.4</v>
      </c>
      <c r="K15" s="368"/>
      <c r="L15" s="65" t="s">
        <v>411</v>
      </c>
      <c r="M15" s="63">
        <v>150</v>
      </c>
      <c r="N15" s="63">
        <v>4.4000000000000004</v>
      </c>
      <c r="O15" s="63">
        <v>470</v>
      </c>
      <c r="P15" s="63">
        <v>4.4000000000000004</v>
      </c>
      <c r="Q15" s="63">
        <v>8.1</v>
      </c>
      <c r="S15" s="367"/>
      <c r="T15" s="367"/>
      <c r="U15" s="367"/>
    </row>
    <row r="16" spans="1:21">
      <c r="A16" s="65" t="s">
        <v>412</v>
      </c>
      <c r="B16" s="62">
        <v>150</v>
      </c>
      <c r="C16" s="63">
        <v>300</v>
      </c>
      <c r="D16" s="63">
        <v>12.8</v>
      </c>
      <c r="E16" s="63">
        <v>461</v>
      </c>
      <c r="F16" s="62">
        <v>50</v>
      </c>
      <c r="G16" s="63">
        <v>12.8</v>
      </c>
      <c r="H16" s="63">
        <v>461</v>
      </c>
      <c r="K16" s="368"/>
      <c r="L16" s="65" t="s">
        <v>412</v>
      </c>
      <c r="M16" s="63">
        <v>150</v>
      </c>
      <c r="N16" s="63">
        <v>5.4</v>
      </c>
      <c r="O16" s="63">
        <v>181.2</v>
      </c>
      <c r="P16" s="63">
        <v>5.4</v>
      </c>
      <c r="Q16" s="63">
        <v>9.4</v>
      </c>
      <c r="S16" s="367"/>
      <c r="T16" s="367"/>
      <c r="U16" s="367"/>
    </row>
    <row r="17" spans="1:17">
      <c r="A17" s="65" t="s">
        <v>413</v>
      </c>
      <c r="B17" s="62">
        <v>150</v>
      </c>
      <c r="C17" s="63">
        <v>300</v>
      </c>
      <c r="D17" s="63">
        <v>15.2</v>
      </c>
      <c r="E17" s="63">
        <v>519.9</v>
      </c>
      <c r="F17" s="62">
        <v>50</v>
      </c>
      <c r="G17" s="63">
        <v>15.2</v>
      </c>
      <c r="H17" s="63">
        <v>519.9</v>
      </c>
      <c r="K17" s="368"/>
      <c r="L17" s="65" t="s">
        <v>413</v>
      </c>
      <c r="M17" s="63">
        <v>150</v>
      </c>
      <c r="N17" s="63">
        <v>6.7</v>
      </c>
      <c r="O17" s="63">
        <v>254.4</v>
      </c>
      <c r="P17" s="63">
        <v>6.6</v>
      </c>
      <c r="Q17" s="63">
        <v>12.5</v>
      </c>
    </row>
    <row r="18" spans="1:17">
      <c r="A18" s="65" t="s">
        <v>414</v>
      </c>
      <c r="B18" s="62">
        <v>150</v>
      </c>
      <c r="C18" s="63">
        <v>300</v>
      </c>
      <c r="D18" s="63">
        <v>13.9</v>
      </c>
      <c r="E18" s="63">
        <v>413.8</v>
      </c>
      <c r="F18" s="62">
        <v>50</v>
      </c>
      <c r="G18" s="63">
        <v>13.9</v>
      </c>
      <c r="H18" s="63">
        <v>413.8</v>
      </c>
      <c r="K18" s="368"/>
      <c r="L18" s="65" t="s">
        <v>414</v>
      </c>
      <c r="M18" s="63">
        <v>150</v>
      </c>
      <c r="N18" s="63">
        <v>6.4</v>
      </c>
      <c r="O18" s="63">
        <v>240</v>
      </c>
      <c r="P18" s="63">
        <v>6.3</v>
      </c>
      <c r="Q18" s="63">
        <v>11.1</v>
      </c>
    </row>
    <row r="19" spans="1:17">
      <c r="K19" s="368"/>
      <c r="L19" s="61" t="s">
        <v>415</v>
      </c>
      <c r="M19" s="61">
        <v>150</v>
      </c>
      <c r="N19" s="61"/>
      <c r="O19" s="61">
        <v>470</v>
      </c>
      <c r="P19" s="61">
        <v>4.4833333333333334</v>
      </c>
      <c r="Q19" s="61">
        <v>12.5</v>
      </c>
    </row>
    <row r="21" spans="1:17" ht="27.6">
      <c r="K21" s="60">
        <v>2022</v>
      </c>
      <c r="L21" s="60" t="s">
        <v>397</v>
      </c>
      <c r="M21" s="54" t="s">
        <v>433</v>
      </c>
      <c r="N21" s="54" t="s">
        <v>434</v>
      </c>
      <c r="O21" s="54" t="s">
        <v>435</v>
      </c>
      <c r="P21" s="66" t="s">
        <v>395</v>
      </c>
      <c r="Q21" s="66" t="s">
        <v>399</v>
      </c>
    </row>
    <row r="22" spans="1:17">
      <c r="K22" s="368" t="s">
        <v>191</v>
      </c>
      <c r="L22" s="65" t="s">
        <v>400</v>
      </c>
      <c r="M22" s="63">
        <v>150</v>
      </c>
      <c r="N22" s="63">
        <v>4.9000000000000004</v>
      </c>
      <c r="O22" s="63">
        <v>147.5</v>
      </c>
      <c r="P22" s="63">
        <v>4.8</v>
      </c>
      <c r="Q22" s="63">
        <v>6.2</v>
      </c>
    </row>
    <row r="23" spans="1:17">
      <c r="K23" s="368"/>
      <c r="L23" s="65" t="s">
        <v>401</v>
      </c>
      <c r="M23" s="63">
        <v>150</v>
      </c>
      <c r="N23" s="63">
        <v>5</v>
      </c>
      <c r="O23" s="63">
        <v>106.3</v>
      </c>
      <c r="P23" s="63">
        <v>4.9000000000000004</v>
      </c>
      <c r="Q23" s="63">
        <v>6.6</v>
      </c>
    </row>
    <row r="24" spans="1:17">
      <c r="K24" s="368"/>
      <c r="L24" s="65" t="s">
        <v>402</v>
      </c>
      <c r="M24" s="63">
        <v>150</v>
      </c>
      <c r="N24" s="63">
        <v>4.7</v>
      </c>
      <c r="O24" s="63">
        <v>91.7</v>
      </c>
      <c r="P24" s="63">
        <v>4.5999999999999996</v>
      </c>
      <c r="Q24" s="63">
        <v>6.4</v>
      </c>
    </row>
    <row r="25" spans="1:17">
      <c r="K25" s="368"/>
      <c r="L25" s="65" t="s">
        <v>404</v>
      </c>
      <c r="M25" s="63">
        <v>150</v>
      </c>
      <c r="N25" s="63">
        <v>5.4</v>
      </c>
      <c r="O25" s="63">
        <v>233.3</v>
      </c>
      <c r="P25" s="63">
        <v>5.4</v>
      </c>
      <c r="Q25" s="63">
        <v>13.8</v>
      </c>
    </row>
    <row r="26" spans="1:17">
      <c r="K26" s="368"/>
      <c r="L26" s="65" t="s">
        <v>406</v>
      </c>
      <c r="M26" s="63">
        <v>150</v>
      </c>
      <c r="N26" s="63">
        <v>5</v>
      </c>
      <c r="O26" s="63">
        <v>126.8</v>
      </c>
      <c r="P26" s="63">
        <v>5</v>
      </c>
      <c r="Q26" s="63">
        <v>6.6</v>
      </c>
    </row>
    <row r="27" spans="1:17">
      <c r="K27" s="368"/>
      <c r="L27" s="65" t="s">
        <v>407</v>
      </c>
      <c r="M27" s="63">
        <v>150</v>
      </c>
      <c r="N27" s="63">
        <v>4.8</v>
      </c>
      <c r="O27" s="63">
        <v>319.2</v>
      </c>
      <c r="P27" s="63">
        <v>4.7</v>
      </c>
      <c r="Q27" s="63">
        <v>7.3</v>
      </c>
    </row>
    <row r="28" spans="1:17">
      <c r="K28" s="368"/>
      <c r="L28" s="65" t="s">
        <v>408</v>
      </c>
      <c r="M28" s="63">
        <v>150</v>
      </c>
      <c r="N28" s="63">
        <v>4.3</v>
      </c>
      <c r="O28" s="63">
        <v>372.5</v>
      </c>
      <c r="P28" s="63">
        <v>3.7</v>
      </c>
      <c r="Q28" s="63">
        <v>12.2</v>
      </c>
    </row>
    <row r="29" spans="1:17">
      <c r="K29" s="368"/>
      <c r="L29" s="65" t="s">
        <v>410</v>
      </c>
      <c r="M29" s="63">
        <v>150</v>
      </c>
      <c r="N29" s="63">
        <v>3.1</v>
      </c>
      <c r="O29" s="63">
        <v>230.8</v>
      </c>
      <c r="P29" s="63">
        <v>3.1</v>
      </c>
      <c r="Q29" s="63">
        <v>6.7</v>
      </c>
    </row>
    <row r="30" spans="1:17">
      <c r="K30" s="368"/>
      <c r="L30" s="65" t="s">
        <v>411</v>
      </c>
      <c r="M30" s="63">
        <v>150</v>
      </c>
      <c r="N30" s="63">
        <v>5.2</v>
      </c>
      <c r="O30" s="63">
        <v>107.4</v>
      </c>
      <c r="P30" s="63">
        <v>5.2</v>
      </c>
      <c r="Q30" s="63">
        <v>8.1</v>
      </c>
    </row>
    <row r="31" spans="1:17">
      <c r="K31" s="368"/>
      <c r="L31" s="65" t="s">
        <v>412</v>
      </c>
      <c r="M31" s="63">
        <v>150</v>
      </c>
      <c r="N31" s="63">
        <v>7.4</v>
      </c>
      <c r="O31" s="63">
        <v>279.8</v>
      </c>
      <c r="P31" s="63">
        <v>6.8</v>
      </c>
      <c r="Q31" s="63">
        <v>18.3</v>
      </c>
    </row>
    <row r="32" spans="1:17">
      <c r="K32" s="368"/>
      <c r="L32" s="65" t="s">
        <v>413</v>
      </c>
      <c r="M32" s="63">
        <v>150</v>
      </c>
      <c r="N32" s="63">
        <v>8.5</v>
      </c>
      <c r="O32" s="63">
        <v>265.5</v>
      </c>
      <c r="P32" s="63">
        <v>8.5</v>
      </c>
      <c r="Q32" s="63">
        <v>18.2</v>
      </c>
    </row>
    <row r="33" spans="1:17">
      <c r="K33" s="368"/>
      <c r="L33" s="65" t="s">
        <v>414</v>
      </c>
      <c r="M33" s="63">
        <v>150</v>
      </c>
      <c r="N33" s="63">
        <v>7.5</v>
      </c>
      <c r="O33" s="63">
        <v>173.8</v>
      </c>
      <c r="P33" s="63">
        <v>7.5</v>
      </c>
      <c r="Q33" s="63">
        <v>10.4</v>
      </c>
    </row>
    <row r="34" spans="1:17">
      <c r="K34" s="368"/>
      <c r="L34" s="61" t="s">
        <v>415</v>
      </c>
      <c r="M34" s="61">
        <v>150</v>
      </c>
      <c r="N34" s="61"/>
      <c r="O34" s="61">
        <v>372.5</v>
      </c>
      <c r="P34" s="61">
        <v>5.3500000000000005</v>
      </c>
      <c r="Q34" s="61">
        <v>18.3</v>
      </c>
    </row>
    <row r="36" spans="1:17" ht="27.6">
      <c r="K36" s="60">
        <f>+A6</f>
        <v>2022</v>
      </c>
      <c r="L36" s="60" t="s">
        <v>397</v>
      </c>
      <c r="M36" s="54" t="s">
        <v>433</v>
      </c>
      <c r="N36" s="54" t="s">
        <v>434</v>
      </c>
      <c r="O36" s="54" t="s">
        <v>435</v>
      </c>
      <c r="P36" s="66" t="s">
        <v>395</v>
      </c>
      <c r="Q36" s="66" t="s">
        <v>399</v>
      </c>
    </row>
    <row r="37" spans="1:17">
      <c r="K37" s="368" t="s">
        <v>192</v>
      </c>
      <c r="L37" s="65" t="s">
        <v>400</v>
      </c>
      <c r="M37" s="63"/>
      <c r="N37" s="63"/>
      <c r="O37" s="63"/>
      <c r="P37" s="63"/>
      <c r="Q37" s="63"/>
    </row>
    <row r="38" spans="1:17">
      <c r="K38" s="368"/>
      <c r="L38" s="65" t="s">
        <v>401</v>
      </c>
      <c r="M38" s="63"/>
      <c r="N38" s="63"/>
      <c r="O38" s="63"/>
      <c r="P38" s="63"/>
      <c r="Q38" s="63"/>
    </row>
    <row r="39" spans="1:17">
      <c r="K39" s="368"/>
      <c r="L39" s="65" t="s">
        <v>402</v>
      </c>
      <c r="M39" s="63"/>
      <c r="N39" s="63"/>
      <c r="O39" s="63"/>
      <c r="P39" s="63"/>
      <c r="Q39" s="63"/>
    </row>
    <row r="40" spans="1:17">
      <c r="K40" s="368"/>
      <c r="L40" s="65" t="s">
        <v>404</v>
      </c>
      <c r="M40" s="63"/>
      <c r="N40" s="63"/>
      <c r="O40" s="63"/>
      <c r="P40" s="63"/>
      <c r="Q40" s="63"/>
    </row>
    <row r="41" spans="1:17">
      <c r="K41" s="368"/>
      <c r="L41" s="65" t="s">
        <v>406</v>
      </c>
      <c r="M41" s="63"/>
      <c r="N41" s="63"/>
      <c r="O41" s="63"/>
      <c r="P41" s="63"/>
      <c r="Q41" s="63"/>
    </row>
    <row r="42" spans="1:17">
      <c r="K42" s="368"/>
      <c r="L42" s="65" t="s">
        <v>407</v>
      </c>
      <c r="M42" s="63"/>
      <c r="N42" s="63"/>
      <c r="O42" s="63"/>
      <c r="P42" s="63"/>
      <c r="Q42" s="63"/>
    </row>
    <row r="43" spans="1:17">
      <c r="K43" s="368"/>
      <c r="L43" s="65" t="s">
        <v>408</v>
      </c>
      <c r="M43" s="63"/>
      <c r="N43" s="63"/>
      <c r="O43" s="63"/>
      <c r="P43" s="63"/>
      <c r="Q43" s="63"/>
    </row>
    <row r="44" spans="1:17">
      <c r="K44" s="368"/>
      <c r="L44" s="65" t="s">
        <v>410</v>
      </c>
      <c r="M44" s="63"/>
      <c r="N44" s="63"/>
      <c r="O44" s="63"/>
      <c r="P44" s="63"/>
      <c r="Q44" s="63"/>
    </row>
    <row r="45" spans="1:17">
      <c r="K45" s="368"/>
      <c r="L45" s="65" t="s">
        <v>411</v>
      </c>
      <c r="M45" s="63"/>
      <c r="N45" s="63"/>
      <c r="O45" s="63"/>
      <c r="P45" s="63"/>
      <c r="Q45" s="63"/>
    </row>
    <row r="46" spans="1:17">
      <c r="K46" s="368"/>
      <c r="L46" s="65" t="s">
        <v>412</v>
      </c>
      <c r="M46" s="63"/>
      <c r="N46" s="63"/>
      <c r="O46" s="63"/>
      <c r="P46" s="63"/>
      <c r="Q46" s="63"/>
    </row>
    <row r="47" spans="1:17">
      <c r="K47" s="368"/>
      <c r="L47" s="65" t="s">
        <v>413</v>
      </c>
      <c r="M47" s="63"/>
      <c r="N47" s="63"/>
      <c r="O47" s="63"/>
      <c r="P47" s="63"/>
      <c r="Q47" s="63"/>
    </row>
    <row r="48" spans="1:17">
      <c r="A48" s="359" t="s">
        <v>311</v>
      </c>
      <c r="B48" s="380"/>
      <c r="C48" s="380"/>
      <c r="D48" s="380"/>
      <c r="E48" s="380"/>
      <c r="F48" s="380"/>
      <c r="G48" s="380"/>
      <c r="H48" s="381"/>
      <c r="K48" s="368"/>
      <c r="L48" s="65" t="s">
        <v>414</v>
      </c>
      <c r="M48" s="63"/>
      <c r="N48" s="63"/>
      <c r="O48" s="63"/>
      <c r="P48" s="63"/>
      <c r="Q48" s="63"/>
    </row>
    <row r="49" spans="1:17">
      <c r="A49" s="382" t="s">
        <v>440</v>
      </c>
      <c r="B49" s="383"/>
      <c r="C49" s="383"/>
      <c r="D49" s="383"/>
      <c r="E49" s="383"/>
      <c r="F49" s="383"/>
      <c r="G49" s="383"/>
      <c r="H49" s="384"/>
      <c r="K49" s="368"/>
      <c r="L49" s="61" t="s">
        <v>415</v>
      </c>
      <c r="M49" s="61" t="e">
        <f>AVERAGE(M37:M48)</f>
        <v>#DIV/0!</v>
      </c>
      <c r="N49" s="61"/>
      <c r="O49" s="61">
        <f>MAX(O37:O48)</f>
        <v>0</v>
      </c>
      <c r="P49" s="61" t="e">
        <f>AVERAGE(P37:P48)</f>
        <v>#DIV/0!</v>
      </c>
      <c r="Q49" s="61">
        <f>MAX(Q37:Q48)</f>
        <v>0</v>
      </c>
    </row>
    <row r="50" spans="1:17">
      <c r="A50" s="385"/>
      <c r="B50" s="386"/>
      <c r="C50" s="386"/>
      <c r="D50" s="386"/>
      <c r="E50" s="386"/>
      <c r="F50" s="386"/>
      <c r="G50" s="386"/>
      <c r="H50" s="387"/>
    </row>
    <row r="51" spans="1:17" ht="27.6">
      <c r="A51" s="385"/>
      <c r="B51" s="386"/>
      <c r="C51" s="386"/>
      <c r="D51" s="386"/>
      <c r="E51" s="386"/>
      <c r="F51" s="386"/>
      <c r="G51" s="386"/>
      <c r="H51" s="387"/>
      <c r="K51" s="60">
        <f>+A6</f>
        <v>2022</v>
      </c>
      <c r="L51" s="60" t="s">
        <v>397</v>
      </c>
      <c r="M51" s="54" t="s">
        <v>433</v>
      </c>
      <c r="N51" s="54" t="s">
        <v>434</v>
      </c>
      <c r="O51" s="54" t="s">
        <v>435</v>
      </c>
      <c r="P51" s="66" t="s">
        <v>395</v>
      </c>
      <c r="Q51" s="66" t="s">
        <v>399</v>
      </c>
    </row>
    <row r="52" spans="1:17">
      <c r="A52" s="388"/>
      <c r="B52" s="389"/>
      <c r="C52" s="389"/>
      <c r="D52" s="389"/>
      <c r="E52" s="389"/>
      <c r="F52" s="389"/>
      <c r="G52" s="389"/>
      <c r="H52" s="390"/>
      <c r="K52" s="368" t="s">
        <v>193</v>
      </c>
      <c r="L52" s="65" t="s">
        <v>400</v>
      </c>
      <c r="M52" s="63"/>
      <c r="N52" s="63"/>
      <c r="O52" s="63"/>
      <c r="P52" s="63"/>
      <c r="Q52" s="63"/>
    </row>
    <row r="53" spans="1:17">
      <c r="K53" s="368"/>
      <c r="L53" s="65" t="s">
        <v>401</v>
      </c>
      <c r="M53" s="63"/>
      <c r="N53" s="63"/>
      <c r="O53" s="63"/>
      <c r="P53" s="63"/>
      <c r="Q53" s="63"/>
    </row>
    <row r="54" spans="1:17">
      <c r="K54" s="368"/>
      <c r="L54" s="65" t="s">
        <v>402</v>
      </c>
      <c r="M54" s="63"/>
      <c r="N54" s="63"/>
      <c r="O54" s="63"/>
      <c r="P54" s="63"/>
      <c r="Q54" s="63"/>
    </row>
    <row r="55" spans="1:17">
      <c r="K55" s="368"/>
      <c r="L55" s="65" t="s">
        <v>404</v>
      </c>
      <c r="M55" s="63"/>
      <c r="N55" s="63"/>
      <c r="O55" s="63"/>
      <c r="P55" s="63"/>
      <c r="Q55" s="63"/>
    </row>
    <row r="56" spans="1:17">
      <c r="K56" s="368"/>
      <c r="L56" s="65" t="s">
        <v>406</v>
      </c>
      <c r="M56" s="63"/>
      <c r="N56" s="63"/>
      <c r="O56" s="63"/>
      <c r="P56" s="63"/>
      <c r="Q56" s="63"/>
    </row>
    <row r="57" spans="1:17">
      <c r="K57" s="368"/>
      <c r="L57" s="65" t="s">
        <v>407</v>
      </c>
      <c r="M57" s="63"/>
      <c r="N57" s="63"/>
      <c r="O57" s="63"/>
      <c r="P57" s="63"/>
      <c r="Q57" s="63"/>
    </row>
    <row r="58" spans="1:17">
      <c r="K58" s="368"/>
      <c r="L58" s="65" t="s">
        <v>408</v>
      </c>
      <c r="M58" s="63"/>
      <c r="N58" s="63"/>
      <c r="O58" s="63"/>
      <c r="P58" s="63"/>
      <c r="Q58" s="63"/>
    </row>
    <row r="59" spans="1:17">
      <c r="K59" s="368"/>
      <c r="L59" s="65" t="s">
        <v>410</v>
      </c>
      <c r="M59" s="63"/>
      <c r="N59" s="63"/>
      <c r="O59" s="63"/>
      <c r="P59" s="63"/>
      <c r="Q59" s="63"/>
    </row>
    <row r="60" spans="1:17">
      <c r="K60" s="368"/>
      <c r="L60" s="65" t="s">
        <v>411</v>
      </c>
      <c r="M60" s="63"/>
      <c r="N60" s="63"/>
      <c r="O60" s="63"/>
      <c r="P60" s="63"/>
      <c r="Q60" s="63"/>
    </row>
    <row r="61" spans="1:17">
      <c r="K61" s="368"/>
      <c r="L61" s="65" t="s">
        <v>412</v>
      </c>
      <c r="M61" s="63"/>
      <c r="N61" s="63"/>
      <c r="O61" s="63"/>
      <c r="P61" s="63"/>
      <c r="Q61" s="63"/>
    </row>
    <row r="62" spans="1:17">
      <c r="K62" s="368"/>
      <c r="L62" s="65" t="s">
        <v>413</v>
      </c>
      <c r="M62" s="63"/>
      <c r="N62" s="63"/>
      <c r="O62" s="63"/>
      <c r="P62" s="63"/>
      <c r="Q62" s="63"/>
    </row>
    <row r="63" spans="1:17">
      <c r="K63" s="368"/>
      <c r="L63" s="65" t="s">
        <v>414</v>
      </c>
      <c r="M63" s="63"/>
      <c r="N63" s="63"/>
      <c r="O63" s="63"/>
      <c r="P63" s="63"/>
      <c r="Q63" s="63"/>
    </row>
    <row r="64" spans="1:17">
      <c r="K64" s="368"/>
      <c r="L64" s="61" t="s">
        <v>415</v>
      </c>
      <c r="M64" s="61" t="e">
        <f>AVERAGE(M52:M63)</f>
        <v>#DIV/0!</v>
      </c>
      <c r="N64" s="61"/>
      <c r="O64" s="61">
        <f>MAX(O52:O63)</f>
        <v>0</v>
      </c>
      <c r="P64" s="61" t="e">
        <f>AVERAGE(P52:P63)</f>
        <v>#DIV/0!</v>
      </c>
      <c r="Q64" s="61">
        <f>MAX(Q52:Q63)</f>
        <v>0</v>
      </c>
    </row>
    <row r="66" spans="11:17" ht="27.6">
      <c r="K66" s="60">
        <f>+A6</f>
        <v>2022</v>
      </c>
      <c r="L66" s="60" t="s">
        <v>397</v>
      </c>
      <c r="M66" s="54" t="s">
        <v>433</v>
      </c>
      <c r="N66" s="54" t="s">
        <v>434</v>
      </c>
      <c r="O66" s="54" t="s">
        <v>435</v>
      </c>
      <c r="P66" s="66" t="s">
        <v>395</v>
      </c>
      <c r="Q66" s="66" t="s">
        <v>399</v>
      </c>
    </row>
    <row r="67" spans="11:17">
      <c r="K67" s="368" t="s">
        <v>194</v>
      </c>
      <c r="L67" s="65" t="s">
        <v>400</v>
      </c>
      <c r="M67" s="63"/>
      <c r="N67" s="63"/>
      <c r="O67" s="63"/>
      <c r="P67" s="63"/>
      <c r="Q67" s="63"/>
    </row>
    <row r="68" spans="11:17">
      <c r="K68" s="368"/>
      <c r="L68" s="65" t="s">
        <v>401</v>
      </c>
      <c r="M68" s="63"/>
      <c r="N68" s="63"/>
      <c r="O68" s="63"/>
      <c r="P68" s="63"/>
      <c r="Q68" s="63"/>
    </row>
    <row r="69" spans="11:17">
      <c r="K69" s="368"/>
      <c r="L69" s="65" t="s">
        <v>402</v>
      </c>
      <c r="M69" s="63"/>
      <c r="N69" s="63"/>
      <c r="O69" s="63"/>
      <c r="P69" s="63"/>
      <c r="Q69" s="63"/>
    </row>
    <row r="70" spans="11:17">
      <c r="K70" s="368"/>
      <c r="L70" s="65" t="s">
        <v>404</v>
      </c>
      <c r="M70" s="63"/>
      <c r="N70" s="63"/>
      <c r="O70" s="63"/>
      <c r="P70" s="63"/>
      <c r="Q70" s="63"/>
    </row>
    <row r="71" spans="11:17">
      <c r="K71" s="368"/>
      <c r="L71" s="65" t="s">
        <v>406</v>
      </c>
      <c r="M71" s="63"/>
      <c r="N71" s="63"/>
      <c r="O71" s="63"/>
      <c r="P71" s="63"/>
      <c r="Q71" s="63"/>
    </row>
    <row r="72" spans="11:17">
      <c r="K72" s="368"/>
      <c r="L72" s="65" t="s">
        <v>407</v>
      </c>
      <c r="M72" s="63"/>
      <c r="N72" s="63"/>
      <c r="O72" s="63"/>
      <c r="P72" s="63"/>
      <c r="Q72" s="63"/>
    </row>
    <row r="73" spans="11:17">
      <c r="K73" s="368"/>
      <c r="L73" s="65" t="s">
        <v>408</v>
      </c>
      <c r="M73" s="63"/>
      <c r="N73" s="63"/>
      <c r="O73" s="63"/>
      <c r="P73" s="63"/>
      <c r="Q73" s="63"/>
    </row>
    <row r="74" spans="11:17">
      <c r="K74" s="368"/>
      <c r="L74" s="65" t="s">
        <v>410</v>
      </c>
      <c r="M74" s="63"/>
      <c r="N74" s="63"/>
      <c r="O74" s="63"/>
      <c r="P74" s="63"/>
      <c r="Q74" s="63"/>
    </row>
    <row r="75" spans="11:17">
      <c r="K75" s="368"/>
      <c r="L75" s="65" t="s">
        <v>411</v>
      </c>
      <c r="M75" s="63"/>
      <c r="N75" s="63"/>
      <c r="O75" s="63"/>
      <c r="P75" s="63"/>
      <c r="Q75" s="63"/>
    </row>
    <row r="76" spans="11:17">
      <c r="K76" s="368"/>
      <c r="L76" s="65" t="s">
        <v>412</v>
      </c>
      <c r="M76" s="63"/>
      <c r="N76" s="63"/>
      <c r="O76" s="63"/>
      <c r="P76" s="63"/>
      <c r="Q76" s="63"/>
    </row>
    <row r="77" spans="11:17">
      <c r="K77" s="368"/>
      <c r="L77" s="65" t="s">
        <v>413</v>
      </c>
      <c r="M77" s="63"/>
      <c r="N77" s="63"/>
      <c r="O77" s="63"/>
      <c r="P77" s="63"/>
      <c r="Q77" s="63"/>
    </row>
    <row r="78" spans="11:17">
      <c r="K78" s="368"/>
      <c r="L78" s="65" t="s">
        <v>414</v>
      </c>
      <c r="M78" s="63"/>
      <c r="N78" s="63"/>
      <c r="O78" s="63"/>
      <c r="P78" s="63"/>
      <c r="Q78" s="63"/>
    </row>
    <row r="79" spans="11:17">
      <c r="K79" s="368"/>
      <c r="L79" s="61" t="s">
        <v>415</v>
      </c>
      <c r="M79" s="61" t="e">
        <f>AVERAGE(M67:M78)</f>
        <v>#DIV/0!</v>
      </c>
      <c r="N79" s="61"/>
      <c r="O79" s="61">
        <f>MAX(O67:O78)</f>
        <v>0</v>
      </c>
      <c r="P79" s="61" t="e">
        <f>AVERAGE(P67:P78)</f>
        <v>#DIV/0!</v>
      </c>
      <c r="Q79" s="61">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honeticPr fontId="25" type="noConversion"/>
  <pageMargins left="0.7" right="0.7" top="0.75" bottom="0.75" header="0.3" footer="0.3"/>
  <pageSetup paperSize="9" scale="75"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92D050"/>
    <pageSetUpPr fitToPage="1"/>
  </sheetPr>
  <dimension ref="A1:S79"/>
  <sheetViews>
    <sheetView workbookViewId="0">
      <selection activeCell="F13" sqref="F13"/>
    </sheetView>
  </sheetViews>
  <sheetFormatPr defaultRowHeight="13.8"/>
  <cols>
    <col min="1" max="1" width="14" style="3" customWidth="1"/>
    <col min="2" max="4" width="17" style="35" customWidth="1"/>
    <col min="5" max="5" width="14.77734375" style="35" customWidth="1"/>
    <col min="6" max="7" width="17" style="35" customWidth="1"/>
    <col min="8" max="11" width="9.21875" style="3"/>
    <col min="12" max="12" width="15.44140625" style="3" customWidth="1"/>
    <col min="13" max="13" width="17.44140625" style="3" bestFit="1" customWidth="1"/>
    <col min="14" max="14" width="13.77734375" style="3" customWidth="1"/>
    <col min="15" max="15" width="15" style="3" customWidth="1"/>
    <col min="16" max="18" width="9.21875" style="3"/>
    <col min="19" max="19" width="22" style="3" customWidth="1"/>
    <col min="20" max="256" width="9.21875" style="3"/>
    <col min="257" max="257" width="14" style="3" customWidth="1"/>
    <col min="258" max="263" width="10.21875" style="3" customWidth="1"/>
    <col min="264" max="512" width="9.21875" style="3"/>
    <col min="513" max="513" width="14" style="3" customWidth="1"/>
    <col min="514" max="519" width="10.21875" style="3" customWidth="1"/>
    <col min="520" max="768" width="9.21875" style="3"/>
    <col min="769" max="769" width="14" style="3" customWidth="1"/>
    <col min="770" max="775" width="10.21875" style="3" customWidth="1"/>
    <col min="776" max="1024" width="9.21875" style="3"/>
    <col min="1025" max="1025" width="14" style="3" customWidth="1"/>
    <col min="1026" max="1031" width="10.21875" style="3" customWidth="1"/>
    <col min="1032" max="1280" width="9.21875" style="3"/>
    <col min="1281" max="1281" width="14" style="3" customWidth="1"/>
    <col min="1282" max="1287" width="10.21875" style="3" customWidth="1"/>
    <col min="1288" max="1536" width="9.21875" style="3"/>
    <col min="1537" max="1537" width="14" style="3" customWidth="1"/>
    <col min="1538" max="1543" width="10.21875" style="3" customWidth="1"/>
    <col min="1544" max="1792" width="9.21875" style="3"/>
    <col min="1793" max="1793" width="14" style="3" customWidth="1"/>
    <col min="1794" max="1799" width="10.21875" style="3" customWidth="1"/>
    <col min="1800" max="2048" width="9.21875" style="3"/>
    <col min="2049" max="2049" width="14" style="3" customWidth="1"/>
    <col min="2050" max="2055" width="10.21875" style="3" customWidth="1"/>
    <col min="2056" max="2304" width="9.21875" style="3"/>
    <col min="2305" max="2305" width="14" style="3" customWidth="1"/>
    <col min="2306" max="2311" width="10.21875" style="3" customWidth="1"/>
    <col min="2312" max="2560" width="9.21875" style="3"/>
    <col min="2561" max="2561" width="14" style="3" customWidth="1"/>
    <col min="2562" max="2567" width="10.21875" style="3" customWidth="1"/>
    <col min="2568" max="2816" width="9.21875" style="3"/>
    <col min="2817" max="2817" width="14" style="3" customWidth="1"/>
    <col min="2818" max="2823" width="10.21875" style="3" customWidth="1"/>
    <col min="2824" max="3072" width="9.21875" style="3"/>
    <col min="3073" max="3073" width="14" style="3" customWidth="1"/>
    <col min="3074" max="3079" width="10.21875" style="3" customWidth="1"/>
    <col min="3080" max="3328" width="9.21875" style="3"/>
    <col min="3329" max="3329" width="14" style="3" customWidth="1"/>
    <col min="3330" max="3335" width="10.21875" style="3" customWidth="1"/>
    <col min="3336" max="3584" width="9.21875" style="3"/>
    <col min="3585" max="3585" width="14" style="3" customWidth="1"/>
    <col min="3586" max="3591" width="10.21875" style="3" customWidth="1"/>
    <col min="3592" max="3840" width="9.21875" style="3"/>
    <col min="3841" max="3841" width="14" style="3" customWidth="1"/>
    <col min="3842" max="3847" width="10.21875" style="3" customWidth="1"/>
    <col min="3848" max="4096" width="9.21875" style="3"/>
    <col min="4097" max="4097" width="14" style="3" customWidth="1"/>
    <col min="4098" max="4103" width="10.21875" style="3" customWidth="1"/>
    <col min="4104" max="4352" width="9.21875" style="3"/>
    <col min="4353" max="4353" width="14" style="3" customWidth="1"/>
    <col min="4354" max="4359" width="10.21875" style="3" customWidth="1"/>
    <col min="4360" max="4608" width="9.21875" style="3"/>
    <col min="4609" max="4609" width="14" style="3" customWidth="1"/>
    <col min="4610" max="4615" width="10.21875" style="3" customWidth="1"/>
    <col min="4616" max="4864" width="9.21875" style="3"/>
    <col min="4865" max="4865" width="14" style="3" customWidth="1"/>
    <col min="4866" max="4871" width="10.21875" style="3" customWidth="1"/>
    <col min="4872" max="5120" width="9.21875" style="3"/>
    <col min="5121" max="5121" width="14" style="3" customWidth="1"/>
    <col min="5122" max="5127" width="10.21875" style="3" customWidth="1"/>
    <col min="5128" max="5376" width="9.21875" style="3"/>
    <col min="5377" max="5377" width="14" style="3" customWidth="1"/>
    <col min="5378" max="5383" width="10.21875" style="3" customWidth="1"/>
    <col min="5384" max="5632" width="9.21875" style="3"/>
    <col min="5633" max="5633" width="14" style="3" customWidth="1"/>
    <col min="5634" max="5639" width="10.21875" style="3" customWidth="1"/>
    <col min="5640" max="5888" width="9.21875" style="3"/>
    <col min="5889" max="5889" width="14" style="3" customWidth="1"/>
    <col min="5890" max="5895" width="10.21875" style="3" customWidth="1"/>
    <col min="5896" max="6144" width="9.21875" style="3"/>
    <col min="6145" max="6145" width="14" style="3" customWidth="1"/>
    <col min="6146" max="6151" width="10.21875" style="3" customWidth="1"/>
    <col min="6152" max="6400" width="9.21875" style="3"/>
    <col min="6401" max="6401" width="14" style="3" customWidth="1"/>
    <col min="6402" max="6407" width="10.21875" style="3" customWidth="1"/>
    <col min="6408" max="6656" width="9.21875" style="3"/>
    <col min="6657" max="6657" width="14" style="3" customWidth="1"/>
    <col min="6658" max="6663" width="10.21875" style="3" customWidth="1"/>
    <col min="6664" max="6912" width="9.21875" style="3"/>
    <col min="6913" max="6913" width="14" style="3" customWidth="1"/>
    <col min="6914" max="6919" width="10.21875" style="3" customWidth="1"/>
    <col min="6920" max="7168" width="9.21875" style="3"/>
    <col min="7169" max="7169" width="14" style="3" customWidth="1"/>
    <col min="7170" max="7175" width="10.21875" style="3" customWidth="1"/>
    <col min="7176" max="7424" width="9.21875" style="3"/>
    <col min="7425" max="7425" width="14" style="3" customWidth="1"/>
    <col min="7426" max="7431" width="10.21875" style="3" customWidth="1"/>
    <col min="7432" max="7680" width="9.21875" style="3"/>
    <col min="7681" max="7681" width="14" style="3" customWidth="1"/>
    <col min="7682" max="7687" width="10.21875" style="3" customWidth="1"/>
    <col min="7688" max="7936" width="9.21875" style="3"/>
    <col min="7937" max="7937" width="14" style="3" customWidth="1"/>
    <col min="7938" max="7943" width="10.21875" style="3" customWidth="1"/>
    <col min="7944" max="8192" width="9.21875" style="3"/>
    <col min="8193" max="8193" width="14" style="3" customWidth="1"/>
    <col min="8194" max="8199" width="10.21875" style="3" customWidth="1"/>
    <col min="8200" max="8448" width="9.21875" style="3"/>
    <col min="8449" max="8449" width="14" style="3" customWidth="1"/>
    <col min="8450" max="8455" width="10.21875" style="3" customWidth="1"/>
    <col min="8456" max="8704" width="9.21875" style="3"/>
    <col min="8705" max="8705" width="14" style="3" customWidth="1"/>
    <col min="8706" max="8711" width="10.21875" style="3" customWidth="1"/>
    <col min="8712" max="8960" width="9.21875" style="3"/>
    <col min="8961" max="8961" width="14" style="3" customWidth="1"/>
    <col min="8962" max="8967" width="10.21875" style="3" customWidth="1"/>
    <col min="8968" max="9216" width="9.21875" style="3"/>
    <col min="9217" max="9217" width="14" style="3" customWidth="1"/>
    <col min="9218" max="9223" width="10.21875" style="3" customWidth="1"/>
    <col min="9224" max="9472" width="9.21875" style="3"/>
    <col min="9473" max="9473" width="14" style="3" customWidth="1"/>
    <col min="9474" max="9479" width="10.21875" style="3" customWidth="1"/>
    <col min="9480" max="9728" width="9.21875" style="3"/>
    <col min="9729" max="9729" width="14" style="3" customWidth="1"/>
    <col min="9730" max="9735" width="10.21875" style="3" customWidth="1"/>
    <col min="9736" max="9984" width="9.21875" style="3"/>
    <col min="9985" max="9985" width="14" style="3" customWidth="1"/>
    <col min="9986" max="9991" width="10.21875" style="3" customWidth="1"/>
    <col min="9992" max="10240" width="9.21875" style="3"/>
    <col min="10241" max="10241" width="14" style="3" customWidth="1"/>
    <col min="10242" max="10247" width="10.21875" style="3" customWidth="1"/>
    <col min="10248" max="10496" width="9.21875" style="3"/>
    <col min="10497" max="10497" width="14" style="3" customWidth="1"/>
    <col min="10498" max="10503" width="10.21875" style="3" customWidth="1"/>
    <col min="10504" max="10752" width="9.21875" style="3"/>
    <col min="10753" max="10753" width="14" style="3" customWidth="1"/>
    <col min="10754" max="10759" width="10.21875" style="3" customWidth="1"/>
    <col min="10760" max="11008" width="9.21875" style="3"/>
    <col min="11009" max="11009" width="14" style="3" customWidth="1"/>
    <col min="11010" max="11015" width="10.21875" style="3" customWidth="1"/>
    <col min="11016" max="11264" width="9.21875" style="3"/>
    <col min="11265" max="11265" width="14" style="3" customWidth="1"/>
    <col min="11266" max="11271" width="10.21875" style="3" customWidth="1"/>
    <col min="11272" max="11520" width="9.21875" style="3"/>
    <col min="11521" max="11521" width="14" style="3" customWidth="1"/>
    <col min="11522" max="11527" width="10.21875" style="3" customWidth="1"/>
    <col min="11528" max="11776" width="9.21875" style="3"/>
    <col min="11777" max="11777" width="14" style="3" customWidth="1"/>
    <col min="11778" max="11783" width="10.21875" style="3" customWidth="1"/>
    <col min="11784" max="12032" width="9.21875" style="3"/>
    <col min="12033" max="12033" width="14" style="3" customWidth="1"/>
    <col min="12034" max="12039" width="10.21875" style="3" customWidth="1"/>
    <col min="12040" max="12288" width="9.21875" style="3"/>
    <col min="12289" max="12289" width="14" style="3" customWidth="1"/>
    <col min="12290" max="12295" width="10.21875" style="3" customWidth="1"/>
    <col min="12296" max="12544" width="9.21875" style="3"/>
    <col min="12545" max="12545" width="14" style="3" customWidth="1"/>
    <col min="12546" max="12551" width="10.21875" style="3" customWidth="1"/>
    <col min="12552" max="12800" width="9.21875" style="3"/>
    <col min="12801" max="12801" width="14" style="3" customWidth="1"/>
    <col min="12802" max="12807" width="10.21875" style="3" customWidth="1"/>
    <col min="12808" max="13056" width="9.21875" style="3"/>
    <col min="13057" max="13057" width="14" style="3" customWidth="1"/>
    <col min="13058" max="13063" width="10.21875" style="3" customWidth="1"/>
    <col min="13064" max="13312" width="9.21875" style="3"/>
    <col min="13313" max="13313" width="14" style="3" customWidth="1"/>
    <col min="13314" max="13319" width="10.21875" style="3" customWidth="1"/>
    <col min="13320" max="13568" width="9.21875" style="3"/>
    <col min="13569" max="13569" width="14" style="3" customWidth="1"/>
    <col min="13570" max="13575" width="10.21875" style="3" customWidth="1"/>
    <col min="13576" max="13824" width="9.21875" style="3"/>
    <col min="13825" max="13825" width="14" style="3" customWidth="1"/>
    <col min="13826" max="13831" width="10.21875" style="3" customWidth="1"/>
    <col min="13832" max="14080" width="9.21875" style="3"/>
    <col min="14081" max="14081" width="14" style="3" customWidth="1"/>
    <col min="14082" max="14087" width="10.21875" style="3" customWidth="1"/>
    <col min="14088" max="14336" width="9.21875" style="3"/>
    <col min="14337" max="14337" width="14" style="3" customWidth="1"/>
    <col min="14338" max="14343" width="10.21875" style="3" customWidth="1"/>
    <col min="14344" max="14592" width="9.21875" style="3"/>
    <col min="14593" max="14593" width="14" style="3" customWidth="1"/>
    <col min="14594" max="14599" width="10.21875" style="3" customWidth="1"/>
    <col min="14600" max="14848" width="9.21875" style="3"/>
    <col min="14849" max="14849" width="14" style="3" customWidth="1"/>
    <col min="14850" max="14855" width="10.21875" style="3" customWidth="1"/>
    <col min="14856" max="15104" width="9.21875" style="3"/>
    <col min="15105" max="15105" width="14" style="3" customWidth="1"/>
    <col min="15106" max="15111" width="10.21875" style="3" customWidth="1"/>
    <col min="15112" max="15360" width="9.21875" style="3"/>
    <col min="15361" max="15361" width="14" style="3" customWidth="1"/>
    <col min="15362" max="15367" width="10.21875" style="3" customWidth="1"/>
    <col min="15368" max="15616" width="9.21875" style="3"/>
    <col min="15617" max="15617" width="14" style="3" customWidth="1"/>
    <col min="15618" max="15623" width="10.21875" style="3" customWidth="1"/>
    <col min="15624" max="15872" width="9.21875" style="3"/>
    <col min="15873" max="15873" width="14" style="3" customWidth="1"/>
    <col min="15874" max="15879" width="10.21875" style="3" customWidth="1"/>
    <col min="15880" max="16128" width="9.21875" style="3"/>
    <col min="16129" max="16129" width="14" style="3" customWidth="1"/>
    <col min="16130" max="16135" width="10.21875" style="3" customWidth="1"/>
    <col min="16136" max="16384" width="9.21875" style="3"/>
  </cols>
  <sheetData>
    <row r="1" spans="1:19" ht="15">
      <c r="A1" s="92" t="s">
        <v>5</v>
      </c>
      <c r="B1" s="92"/>
      <c r="C1" s="92"/>
      <c r="D1" s="92"/>
      <c r="E1" s="92" t="s">
        <v>7</v>
      </c>
    </row>
    <row r="3" spans="1:19" ht="14.4">
      <c r="A3" s="59" t="s">
        <v>441</v>
      </c>
      <c r="D3" s="75" t="s">
        <v>384</v>
      </c>
      <c r="G3" s="79" t="s">
        <v>385</v>
      </c>
      <c r="J3" s="9" t="s">
        <v>441</v>
      </c>
      <c r="L3" s="9"/>
      <c r="N3" s="9" t="s">
        <v>386</v>
      </c>
      <c r="Q3" s="78" t="s">
        <v>3</v>
      </c>
      <c r="R3" s="73"/>
      <c r="S3" s="73"/>
    </row>
    <row r="4" spans="1:19" ht="13.95" customHeight="1">
      <c r="Q4" s="345" t="s">
        <v>387</v>
      </c>
      <c r="R4" s="345"/>
      <c r="S4" s="345"/>
    </row>
    <row r="5" spans="1:19" ht="16.2">
      <c r="A5" s="67" t="s">
        <v>388</v>
      </c>
      <c r="B5" s="370" t="s">
        <v>389</v>
      </c>
      <c r="C5" s="370"/>
      <c r="D5" s="370"/>
      <c r="E5" s="370" t="s">
        <v>390</v>
      </c>
      <c r="F5" s="370"/>
      <c r="G5" s="370"/>
      <c r="J5" s="369"/>
      <c r="K5" s="369"/>
      <c r="L5" s="369"/>
      <c r="M5" s="369"/>
      <c r="N5" s="369"/>
      <c r="O5" s="369"/>
      <c r="Q5" s="345"/>
      <c r="R5" s="345"/>
      <c r="S5" s="345"/>
    </row>
    <row r="6" spans="1:19" s="57" customFormat="1" ht="37.5" customHeight="1">
      <c r="A6" s="64">
        <v>2022</v>
      </c>
      <c r="B6" s="54" t="s">
        <v>442</v>
      </c>
      <c r="C6" s="54" t="s">
        <v>392</v>
      </c>
      <c r="D6" s="54" t="s">
        <v>393</v>
      </c>
      <c r="E6" s="54" t="s">
        <v>443</v>
      </c>
      <c r="F6" s="54" t="s">
        <v>395</v>
      </c>
      <c r="G6" s="54" t="s">
        <v>396</v>
      </c>
      <c r="H6" s="58"/>
      <c r="J6" s="60">
        <v>2022</v>
      </c>
      <c r="K6" s="60" t="s">
        <v>397</v>
      </c>
      <c r="L6" s="66" t="s">
        <v>392</v>
      </c>
      <c r="M6" s="66" t="s">
        <v>398</v>
      </c>
      <c r="N6" s="66" t="s">
        <v>395</v>
      </c>
      <c r="O6" s="66" t="s">
        <v>399</v>
      </c>
      <c r="Q6" s="345"/>
      <c r="R6" s="345"/>
      <c r="S6" s="345"/>
    </row>
    <row r="7" spans="1:19">
      <c r="A7" s="65" t="s">
        <v>400</v>
      </c>
      <c r="B7" s="68">
        <v>0</v>
      </c>
      <c r="C7" s="63">
        <v>1.1000000000000001</v>
      </c>
      <c r="D7" s="63">
        <v>4.3</v>
      </c>
      <c r="E7" s="62">
        <v>10</v>
      </c>
      <c r="F7" s="63">
        <v>1.1000000000000001</v>
      </c>
      <c r="G7" s="63">
        <v>2.1</v>
      </c>
      <c r="J7" s="368" t="s">
        <v>190</v>
      </c>
      <c r="K7" s="65" t="s">
        <v>400</v>
      </c>
      <c r="L7" s="63">
        <v>0.5</v>
      </c>
      <c r="M7" s="63">
        <v>2.4</v>
      </c>
      <c r="N7" s="63">
        <v>0.5</v>
      </c>
      <c r="O7" s="63">
        <v>0.9</v>
      </c>
      <c r="Q7" s="345"/>
      <c r="R7" s="345"/>
      <c r="S7" s="345"/>
    </row>
    <row r="8" spans="1:19">
      <c r="A8" s="65" t="s">
        <v>401</v>
      </c>
      <c r="B8" s="62">
        <v>0</v>
      </c>
      <c r="C8" s="63">
        <v>1.1000000000000001</v>
      </c>
      <c r="D8" s="63">
        <v>6.2</v>
      </c>
      <c r="E8" s="62">
        <v>10</v>
      </c>
      <c r="F8" s="63">
        <v>0.9</v>
      </c>
      <c r="G8" s="63">
        <v>1.5</v>
      </c>
      <c r="J8" s="368"/>
      <c r="K8" s="65" t="s">
        <v>401</v>
      </c>
      <c r="L8" s="63">
        <v>0.5</v>
      </c>
      <c r="M8" s="63">
        <v>2.6</v>
      </c>
      <c r="N8" s="63">
        <v>0.4</v>
      </c>
      <c r="O8" s="63">
        <v>0.8</v>
      </c>
      <c r="Q8" s="345"/>
      <c r="R8" s="345"/>
      <c r="S8" s="345"/>
    </row>
    <row r="9" spans="1:19">
      <c r="A9" s="65" t="s">
        <v>402</v>
      </c>
      <c r="B9" s="62">
        <v>0</v>
      </c>
      <c r="C9" s="63">
        <v>0.9</v>
      </c>
      <c r="D9" s="63">
        <v>4.8</v>
      </c>
      <c r="E9" s="62">
        <v>10</v>
      </c>
      <c r="F9" s="63">
        <v>0.9</v>
      </c>
      <c r="G9" s="63">
        <v>1.4</v>
      </c>
      <c r="J9" s="368"/>
      <c r="K9" s="65" t="s">
        <v>402</v>
      </c>
      <c r="L9" s="63">
        <v>0.4</v>
      </c>
      <c r="M9" s="63">
        <v>1.8</v>
      </c>
      <c r="N9" s="63">
        <v>0.4</v>
      </c>
      <c r="O9" s="63">
        <v>0.6</v>
      </c>
      <c r="Q9" s="77" t="s">
        <v>403</v>
      </c>
    </row>
    <row r="10" spans="1:19" ht="14.25" customHeight="1">
      <c r="A10" s="65" t="s">
        <v>404</v>
      </c>
      <c r="B10" s="62">
        <v>0</v>
      </c>
      <c r="C10" s="63">
        <v>1.1000000000000001</v>
      </c>
      <c r="D10" s="63">
        <v>16.399999999999999</v>
      </c>
      <c r="E10" s="62">
        <v>10</v>
      </c>
      <c r="F10" s="63">
        <v>0.9</v>
      </c>
      <c r="G10" s="63">
        <v>2.6</v>
      </c>
      <c r="J10" s="368"/>
      <c r="K10" s="65" t="s">
        <v>404</v>
      </c>
      <c r="L10" s="63">
        <v>0.5</v>
      </c>
      <c r="M10" s="63">
        <v>10.6</v>
      </c>
      <c r="N10" s="63">
        <v>0.4</v>
      </c>
      <c r="O10" s="63">
        <v>1.1000000000000001</v>
      </c>
      <c r="Q10" s="367" t="s">
        <v>405</v>
      </c>
      <c r="R10" s="367"/>
      <c r="S10" s="367"/>
    </row>
    <row r="11" spans="1:19">
      <c r="A11" s="65" t="s">
        <v>406</v>
      </c>
      <c r="B11" s="62">
        <v>0</v>
      </c>
      <c r="C11" s="63">
        <v>0.7</v>
      </c>
      <c r="D11" s="63">
        <v>4.5</v>
      </c>
      <c r="E11" s="62">
        <v>10</v>
      </c>
      <c r="F11" s="63">
        <v>0.7</v>
      </c>
      <c r="G11" s="63">
        <v>1</v>
      </c>
      <c r="J11" s="368"/>
      <c r="K11" s="65" t="s">
        <v>406</v>
      </c>
      <c r="L11" s="63">
        <v>0.3</v>
      </c>
      <c r="M11" s="63">
        <v>1.7</v>
      </c>
      <c r="N11" s="63">
        <v>0.3</v>
      </c>
      <c r="O11" s="63">
        <v>0.4</v>
      </c>
      <c r="Q11" s="367"/>
      <c r="R11" s="367"/>
      <c r="S11" s="367"/>
    </row>
    <row r="12" spans="1:19">
      <c r="A12" s="65" t="s">
        <v>407</v>
      </c>
      <c r="B12" s="62">
        <v>0</v>
      </c>
      <c r="C12" s="63">
        <v>0.7</v>
      </c>
      <c r="D12" s="63">
        <v>6.9</v>
      </c>
      <c r="E12" s="62">
        <v>10</v>
      </c>
      <c r="F12" s="63">
        <v>0.5</v>
      </c>
      <c r="G12" s="63">
        <v>1.1000000000000001</v>
      </c>
      <c r="J12" s="368"/>
      <c r="K12" s="65" t="s">
        <v>407</v>
      </c>
      <c r="L12" s="63">
        <v>0.3</v>
      </c>
      <c r="M12" s="63">
        <v>4.4000000000000004</v>
      </c>
      <c r="N12" s="63">
        <v>0.2</v>
      </c>
      <c r="O12" s="63">
        <v>0.6</v>
      </c>
      <c r="Q12" s="367"/>
      <c r="R12" s="367"/>
      <c r="S12" s="367"/>
    </row>
    <row r="13" spans="1:19" ht="14.25" customHeight="1">
      <c r="A13" s="65" t="s">
        <v>408</v>
      </c>
      <c r="B13" s="62">
        <v>0</v>
      </c>
      <c r="C13" s="63">
        <v>3.5</v>
      </c>
      <c r="D13" s="63">
        <v>33.799999999999997</v>
      </c>
      <c r="E13" s="62">
        <v>10</v>
      </c>
      <c r="F13" s="63">
        <v>2.9</v>
      </c>
      <c r="G13" s="63">
        <v>6.1</v>
      </c>
      <c r="J13" s="368"/>
      <c r="K13" s="65" t="s">
        <v>408</v>
      </c>
      <c r="L13" s="63">
        <v>1.8</v>
      </c>
      <c r="M13" s="63">
        <v>14.9</v>
      </c>
      <c r="N13" s="63">
        <v>1.5</v>
      </c>
      <c r="O13" s="63">
        <v>3.8</v>
      </c>
      <c r="Q13" s="367" t="s">
        <v>409</v>
      </c>
      <c r="R13" s="367"/>
      <c r="S13" s="367"/>
    </row>
    <row r="14" spans="1:19">
      <c r="A14" s="65" t="s">
        <v>410</v>
      </c>
      <c r="B14" s="62">
        <v>0</v>
      </c>
      <c r="C14" s="63">
        <v>2</v>
      </c>
      <c r="D14" s="63">
        <v>18.100000000000001</v>
      </c>
      <c r="E14" s="62">
        <v>10</v>
      </c>
      <c r="F14" s="63">
        <v>2</v>
      </c>
      <c r="G14" s="63">
        <v>4</v>
      </c>
      <c r="J14" s="368"/>
      <c r="K14" s="65" t="s">
        <v>410</v>
      </c>
      <c r="L14" s="63">
        <v>0.9</v>
      </c>
      <c r="M14" s="63">
        <v>11.5</v>
      </c>
      <c r="N14" s="63">
        <v>0.9</v>
      </c>
      <c r="O14" s="63">
        <v>2.4</v>
      </c>
      <c r="Q14" s="367"/>
      <c r="R14" s="367"/>
      <c r="S14" s="367"/>
    </row>
    <row r="15" spans="1:19">
      <c r="A15" s="65" t="s">
        <v>411</v>
      </c>
      <c r="B15" s="62">
        <v>0</v>
      </c>
      <c r="C15" s="63">
        <v>0.9</v>
      </c>
      <c r="D15" s="63">
        <v>5.6999999999999993</v>
      </c>
      <c r="E15" s="62">
        <v>10</v>
      </c>
      <c r="F15" s="63">
        <v>0.9</v>
      </c>
      <c r="G15" s="63">
        <v>1.4</v>
      </c>
      <c r="J15" s="368"/>
      <c r="K15" s="65" t="s">
        <v>411</v>
      </c>
      <c r="L15" s="63">
        <v>0.4</v>
      </c>
      <c r="M15" s="63">
        <v>3.3</v>
      </c>
      <c r="N15" s="63">
        <v>0.4</v>
      </c>
      <c r="O15" s="63">
        <v>0.6</v>
      </c>
      <c r="Q15" s="367"/>
      <c r="R15" s="367"/>
      <c r="S15" s="367"/>
    </row>
    <row r="16" spans="1:19">
      <c r="A16" s="65" t="s">
        <v>412</v>
      </c>
      <c r="B16" s="62">
        <v>0</v>
      </c>
      <c r="C16" s="63">
        <v>1.6</v>
      </c>
      <c r="D16" s="63">
        <v>21.3</v>
      </c>
      <c r="E16" s="62">
        <v>10</v>
      </c>
      <c r="F16" s="63">
        <v>1.6</v>
      </c>
      <c r="G16" s="63">
        <v>7.7</v>
      </c>
      <c r="J16" s="368"/>
      <c r="K16" s="65" t="s">
        <v>412</v>
      </c>
      <c r="L16" s="63">
        <v>0.8</v>
      </c>
      <c r="M16" s="63">
        <v>15.4</v>
      </c>
      <c r="N16" s="63">
        <v>0.8</v>
      </c>
      <c r="O16" s="63">
        <v>5.5</v>
      </c>
      <c r="Q16" s="367"/>
      <c r="R16" s="367"/>
      <c r="S16" s="367"/>
    </row>
    <row r="17" spans="1:15">
      <c r="A17" s="65" t="s">
        <v>413</v>
      </c>
      <c r="B17" s="62">
        <v>0</v>
      </c>
      <c r="C17" s="63">
        <v>2</v>
      </c>
      <c r="D17" s="63">
        <v>23.200000000000003</v>
      </c>
      <c r="E17" s="62">
        <v>10</v>
      </c>
      <c r="F17" s="63">
        <v>1.9</v>
      </c>
      <c r="G17" s="63">
        <v>4.2</v>
      </c>
      <c r="J17" s="368"/>
      <c r="K17" s="65" t="s">
        <v>413</v>
      </c>
      <c r="L17" s="63">
        <v>1.1000000000000001</v>
      </c>
      <c r="M17" s="63">
        <v>14.4</v>
      </c>
      <c r="N17" s="63">
        <v>1</v>
      </c>
      <c r="O17" s="63">
        <v>2.5</v>
      </c>
    </row>
    <row r="18" spans="1:15">
      <c r="A18" s="65" t="s">
        <v>414</v>
      </c>
      <c r="B18" s="62">
        <v>0</v>
      </c>
      <c r="C18" s="63">
        <v>1.8</v>
      </c>
      <c r="D18" s="63">
        <v>11.7</v>
      </c>
      <c r="E18" s="62">
        <v>10</v>
      </c>
      <c r="F18" s="63">
        <v>1.8</v>
      </c>
      <c r="G18" s="63">
        <v>4</v>
      </c>
      <c r="J18" s="368"/>
      <c r="K18" s="65" t="s">
        <v>414</v>
      </c>
      <c r="L18" s="63">
        <v>1.1000000000000001</v>
      </c>
      <c r="M18" s="63">
        <v>5.2</v>
      </c>
      <c r="N18" s="63">
        <v>1.1000000000000001</v>
      </c>
      <c r="O18" s="63">
        <v>2.2000000000000002</v>
      </c>
    </row>
    <row r="19" spans="1:15">
      <c r="J19" s="368"/>
      <c r="K19" s="61" t="s">
        <v>415</v>
      </c>
      <c r="L19" s="61">
        <v>0.71666666666666667</v>
      </c>
      <c r="M19" s="61">
        <v>15.4</v>
      </c>
      <c r="N19" s="61">
        <v>0.65833333333333333</v>
      </c>
      <c r="O19" s="61">
        <v>5.5</v>
      </c>
    </row>
    <row r="21" spans="1:15" ht="41.4">
      <c r="J21" s="60">
        <v>2022</v>
      </c>
      <c r="K21" s="60" t="s">
        <v>397</v>
      </c>
      <c r="L21" s="66" t="s">
        <v>392</v>
      </c>
      <c r="M21" s="66" t="s">
        <v>398</v>
      </c>
      <c r="N21" s="66" t="s">
        <v>395</v>
      </c>
      <c r="O21" s="66" t="s">
        <v>399</v>
      </c>
    </row>
    <row r="22" spans="1:15">
      <c r="J22" s="368" t="s">
        <v>191</v>
      </c>
      <c r="K22" s="65" t="s">
        <v>400</v>
      </c>
      <c r="L22" s="61">
        <v>0.6</v>
      </c>
      <c r="M22" s="61">
        <v>1.9</v>
      </c>
      <c r="N22" s="61">
        <v>0.6</v>
      </c>
      <c r="O22" s="61">
        <v>1.2</v>
      </c>
    </row>
    <row r="23" spans="1:15">
      <c r="J23" s="368"/>
      <c r="K23" s="65" t="s">
        <v>401</v>
      </c>
      <c r="L23" s="61">
        <v>0.6</v>
      </c>
      <c r="M23" s="61">
        <v>3.6</v>
      </c>
      <c r="N23" s="61">
        <v>0.5</v>
      </c>
      <c r="O23" s="61">
        <v>0.7</v>
      </c>
    </row>
    <row r="24" spans="1:15">
      <c r="J24" s="368"/>
      <c r="K24" s="65" t="s">
        <v>402</v>
      </c>
      <c r="L24" s="61">
        <v>0.5</v>
      </c>
      <c r="M24" s="61">
        <v>3</v>
      </c>
      <c r="N24" s="61">
        <v>0.5</v>
      </c>
      <c r="O24" s="61">
        <v>0.8</v>
      </c>
    </row>
    <row r="25" spans="1:15">
      <c r="J25" s="368"/>
      <c r="K25" s="65" t="s">
        <v>404</v>
      </c>
      <c r="L25" s="61">
        <v>0.6</v>
      </c>
      <c r="M25" s="61">
        <v>5.8</v>
      </c>
      <c r="N25" s="61">
        <v>0.5</v>
      </c>
      <c r="O25" s="61">
        <v>1.5</v>
      </c>
    </row>
    <row r="26" spans="1:15">
      <c r="J26" s="368"/>
      <c r="K26" s="65" t="s">
        <v>406</v>
      </c>
      <c r="L26" s="61">
        <v>0.4</v>
      </c>
      <c r="M26" s="61">
        <v>2.8</v>
      </c>
      <c r="N26" s="61">
        <v>0.4</v>
      </c>
      <c r="O26" s="61">
        <v>0.6</v>
      </c>
    </row>
    <row r="27" spans="1:15">
      <c r="J27" s="368"/>
      <c r="K27" s="65" t="s">
        <v>407</v>
      </c>
      <c r="L27" s="61">
        <v>0.4</v>
      </c>
      <c r="M27" s="61">
        <v>2.5</v>
      </c>
      <c r="N27" s="61">
        <v>0.3</v>
      </c>
      <c r="O27" s="61">
        <v>0.5</v>
      </c>
    </row>
    <row r="28" spans="1:15">
      <c r="J28" s="368"/>
      <c r="K28" s="65" t="s">
        <v>408</v>
      </c>
      <c r="L28" s="61">
        <v>1.7</v>
      </c>
      <c r="M28" s="61">
        <v>18.899999999999999</v>
      </c>
      <c r="N28" s="61">
        <v>1.4</v>
      </c>
      <c r="O28" s="61">
        <v>2.2999999999999998</v>
      </c>
    </row>
    <row r="29" spans="1:15">
      <c r="J29" s="368"/>
      <c r="K29" s="65" t="s">
        <v>410</v>
      </c>
      <c r="L29" s="61">
        <v>1.1000000000000001</v>
      </c>
      <c r="M29" s="61">
        <v>6.6</v>
      </c>
      <c r="N29" s="61">
        <v>1.1000000000000001</v>
      </c>
      <c r="O29" s="61">
        <v>1.6</v>
      </c>
    </row>
    <row r="30" spans="1:15">
      <c r="J30" s="368"/>
      <c r="K30" s="65" t="s">
        <v>411</v>
      </c>
      <c r="L30" s="61">
        <v>0.5</v>
      </c>
      <c r="M30" s="61">
        <v>2.4</v>
      </c>
      <c r="N30" s="61">
        <v>0.5</v>
      </c>
      <c r="O30" s="61">
        <v>0.8</v>
      </c>
    </row>
    <row r="31" spans="1:15">
      <c r="J31" s="368"/>
      <c r="K31" s="65" t="s">
        <v>412</v>
      </c>
      <c r="L31" s="61">
        <v>0.8</v>
      </c>
      <c r="M31" s="61">
        <v>5.9</v>
      </c>
      <c r="N31" s="61">
        <v>0.8</v>
      </c>
      <c r="O31" s="61">
        <v>2.2000000000000002</v>
      </c>
    </row>
    <row r="32" spans="1:15">
      <c r="J32" s="368"/>
      <c r="K32" s="65" t="s">
        <v>413</v>
      </c>
      <c r="L32" s="61">
        <v>0.9</v>
      </c>
      <c r="M32" s="61">
        <v>8.8000000000000007</v>
      </c>
      <c r="N32" s="61">
        <v>0.9</v>
      </c>
      <c r="O32" s="61">
        <v>1.7</v>
      </c>
    </row>
    <row r="33" spans="1:15">
      <c r="J33" s="368"/>
      <c r="K33" s="65" t="s">
        <v>414</v>
      </c>
      <c r="L33" s="61">
        <v>0.7</v>
      </c>
      <c r="M33" s="61">
        <v>6.5</v>
      </c>
      <c r="N33" s="61">
        <v>0.7</v>
      </c>
      <c r="O33" s="61">
        <v>1.8</v>
      </c>
    </row>
    <row r="34" spans="1:15">
      <c r="J34" s="368"/>
      <c r="K34" s="61" t="s">
        <v>415</v>
      </c>
      <c r="L34" s="61">
        <v>0.73333333333333328</v>
      </c>
      <c r="M34" s="61">
        <v>18.899999999999999</v>
      </c>
      <c r="N34" s="61">
        <v>0.68333333333333324</v>
      </c>
      <c r="O34" s="61">
        <v>2.2999999999999998</v>
      </c>
    </row>
    <row r="36" spans="1:15" ht="41.4">
      <c r="J36" s="60">
        <f>+A6</f>
        <v>2022</v>
      </c>
      <c r="K36" s="60" t="s">
        <v>397</v>
      </c>
      <c r="L36" s="66" t="s">
        <v>392</v>
      </c>
      <c r="M36" s="66" t="s">
        <v>398</v>
      </c>
      <c r="N36" s="66" t="s">
        <v>395</v>
      </c>
      <c r="O36" s="66" t="s">
        <v>399</v>
      </c>
    </row>
    <row r="37" spans="1:15">
      <c r="J37" s="368" t="s">
        <v>192</v>
      </c>
      <c r="K37" s="65" t="s">
        <v>400</v>
      </c>
      <c r="L37" s="63"/>
      <c r="M37" s="63"/>
      <c r="N37" s="63"/>
      <c r="O37" s="63"/>
    </row>
    <row r="38" spans="1:15">
      <c r="J38" s="368"/>
      <c r="K38" s="65" t="s">
        <v>401</v>
      </c>
      <c r="L38" s="63"/>
      <c r="M38" s="63"/>
      <c r="N38" s="63"/>
      <c r="O38" s="63"/>
    </row>
    <row r="39" spans="1:15">
      <c r="J39" s="368"/>
      <c r="K39" s="65" t="s">
        <v>402</v>
      </c>
      <c r="L39" s="63"/>
      <c r="M39" s="63"/>
      <c r="N39" s="63"/>
      <c r="O39" s="63"/>
    </row>
    <row r="40" spans="1:15">
      <c r="J40" s="368"/>
      <c r="K40" s="65" t="s">
        <v>404</v>
      </c>
      <c r="L40" s="63"/>
      <c r="M40" s="63"/>
      <c r="N40" s="63"/>
      <c r="O40" s="63"/>
    </row>
    <row r="41" spans="1:15">
      <c r="J41" s="368"/>
      <c r="K41" s="65" t="s">
        <v>406</v>
      </c>
      <c r="L41" s="63"/>
      <c r="M41" s="63"/>
      <c r="N41" s="63"/>
      <c r="O41" s="63"/>
    </row>
    <row r="42" spans="1:15">
      <c r="J42" s="368"/>
      <c r="K42" s="65" t="s">
        <v>407</v>
      </c>
      <c r="L42" s="63"/>
      <c r="M42" s="63"/>
      <c r="N42" s="63"/>
      <c r="O42" s="63"/>
    </row>
    <row r="43" spans="1:15">
      <c r="J43" s="368"/>
      <c r="K43" s="65" t="s">
        <v>408</v>
      </c>
      <c r="L43" s="63"/>
      <c r="M43" s="63"/>
      <c r="N43" s="63"/>
      <c r="O43" s="63"/>
    </row>
    <row r="44" spans="1:15">
      <c r="J44" s="368"/>
      <c r="K44" s="65" t="s">
        <v>410</v>
      </c>
      <c r="L44" s="63"/>
      <c r="M44" s="63"/>
      <c r="N44" s="63"/>
      <c r="O44" s="63"/>
    </row>
    <row r="45" spans="1:15">
      <c r="J45" s="368"/>
      <c r="K45" s="65" t="s">
        <v>411</v>
      </c>
      <c r="L45" s="63"/>
      <c r="M45" s="63"/>
      <c r="N45" s="63"/>
      <c r="O45" s="63"/>
    </row>
    <row r="46" spans="1:15">
      <c r="J46" s="368"/>
      <c r="K46" s="65" t="s">
        <v>412</v>
      </c>
      <c r="L46" s="63"/>
      <c r="M46" s="63"/>
      <c r="N46" s="63"/>
      <c r="O46" s="63"/>
    </row>
    <row r="47" spans="1:15">
      <c r="J47" s="368"/>
      <c r="K47" s="65" t="s">
        <v>413</v>
      </c>
      <c r="L47" s="63"/>
      <c r="M47" s="63"/>
      <c r="N47" s="63"/>
      <c r="O47" s="63"/>
    </row>
    <row r="48" spans="1:15">
      <c r="A48" s="359" t="s">
        <v>311</v>
      </c>
      <c r="B48" s="380"/>
      <c r="C48" s="380"/>
      <c r="D48" s="380"/>
      <c r="E48" s="380"/>
      <c r="F48" s="380"/>
      <c r="G48" s="381"/>
      <c r="J48" s="368"/>
      <c r="K48" s="65" t="s">
        <v>414</v>
      </c>
      <c r="L48" s="63"/>
      <c r="M48" s="63"/>
      <c r="N48" s="63"/>
      <c r="O48" s="63"/>
    </row>
    <row r="49" spans="1:15">
      <c r="A49" s="371" t="s">
        <v>444</v>
      </c>
      <c r="B49" s="372"/>
      <c r="C49" s="372"/>
      <c r="D49" s="372"/>
      <c r="E49" s="372"/>
      <c r="F49" s="372"/>
      <c r="G49" s="373"/>
      <c r="J49" s="368"/>
      <c r="K49" s="61" t="s">
        <v>415</v>
      </c>
      <c r="L49" s="61" t="e">
        <f>AVERAGE(L37:L48)</f>
        <v>#DIV/0!</v>
      </c>
      <c r="M49" s="61">
        <f>MAX(M37:M48)</f>
        <v>0</v>
      </c>
      <c r="N49" s="61" t="e">
        <f>AVERAGE(N37:N48)</f>
        <v>#DIV/0!</v>
      </c>
      <c r="O49" s="61">
        <f>MAX(O37:O48)</f>
        <v>0</v>
      </c>
    </row>
    <row r="50" spans="1:15">
      <c r="A50" s="374"/>
      <c r="B50" s="375"/>
      <c r="C50" s="375"/>
      <c r="D50" s="375"/>
      <c r="E50" s="375"/>
      <c r="F50" s="375"/>
      <c r="G50" s="376"/>
    </row>
    <row r="51" spans="1:15" ht="41.4">
      <c r="A51" s="374"/>
      <c r="B51" s="375"/>
      <c r="C51" s="375"/>
      <c r="D51" s="375"/>
      <c r="E51" s="375"/>
      <c r="F51" s="375"/>
      <c r="G51" s="376"/>
      <c r="J51" s="60">
        <f>+A6</f>
        <v>2022</v>
      </c>
      <c r="K51" s="60" t="s">
        <v>397</v>
      </c>
      <c r="L51" s="66" t="s">
        <v>392</v>
      </c>
      <c r="M51" s="66" t="s">
        <v>398</v>
      </c>
      <c r="N51" s="66" t="s">
        <v>395</v>
      </c>
      <c r="O51" s="66" t="s">
        <v>399</v>
      </c>
    </row>
    <row r="52" spans="1:15">
      <c r="A52" s="377"/>
      <c r="B52" s="378"/>
      <c r="C52" s="378"/>
      <c r="D52" s="378"/>
      <c r="E52" s="378"/>
      <c r="F52" s="378"/>
      <c r="G52" s="379"/>
      <c r="J52" s="368" t="s">
        <v>193</v>
      </c>
      <c r="K52" s="65" t="s">
        <v>400</v>
      </c>
      <c r="L52" s="63"/>
      <c r="M52" s="63"/>
      <c r="N52" s="63"/>
      <c r="O52" s="63"/>
    </row>
    <row r="53" spans="1:15">
      <c r="J53" s="368"/>
      <c r="K53" s="65" t="s">
        <v>401</v>
      </c>
      <c r="L53" s="63"/>
      <c r="M53" s="63"/>
      <c r="N53" s="63"/>
      <c r="O53" s="63"/>
    </row>
    <row r="54" spans="1:15">
      <c r="J54" s="368"/>
      <c r="K54" s="65" t="s">
        <v>402</v>
      </c>
      <c r="L54" s="63"/>
      <c r="M54" s="63"/>
      <c r="N54" s="63"/>
      <c r="O54" s="63"/>
    </row>
    <row r="55" spans="1:15">
      <c r="J55" s="368"/>
      <c r="K55" s="65" t="s">
        <v>404</v>
      </c>
      <c r="L55" s="63"/>
      <c r="M55" s="63"/>
      <c r="N55" s="63"/>
      <c r="O55" s="63"/>
    </row>
    <row r="56" spans="1:15">
      <c r="J56" s="368"/>
      <c r="K56" s="65" t="s">
        <v>406</v>
      </c>
      <c r="L56" s="63"/>
      <c r="M56" s="63"/>
      <c r="N56" s="63"/>
      <c r="O56" s="63"/>
    </row>
    <row r="57" spans="1:15">
      <c r="J57" s="368"/>
      <c r="K57" s="65" t="s">
        <v>407</v>
      </c>
      <c r="L57" s="63"/>
      <c r="M57" s="63"/>
      <c r="N57" s="63"/>
      <c r="O57" s="63"/>
    </row>
    <row r="58" spans="1:15">
      <c r="J58" s="368"/>
      <c r="K58" s="65" t="s">
        <v>408</v>
      </c>
      <c r="L58" s="63"/>
      <c r="M58" s="63"/>
      <c r="N58" s="63"/>
      <c r="O58" s="63"/>
    </row>
    <row r="59" spans="1:15">
      <c r="J59" s="368"/>
      <c r="K59" s="65" t="s">
        <v>410</v>
      </c>
      <c r="L59" s="63"/>
      <c r="M59" s="63"/>
      <c r="N59" s="63"/>
      <c r="O59" s="63"/>
    </row>
    <row r="60" spans="1:15">
      <c r="J60" s="368"/>
      <c r="K60" s="65" t="s">
        <v>411</v>
      </c>
      <c r="L60" s="63"/>
      <c r="M60" s="63"/>
      <c r="N60" s="63"/>
      <c r="O60" s="63"/>
    </row>
    <row r="61" spans="1:15">
      <c r="J61" s="368"/>
      <c r="K61" s="65" t="s">
        <v>412</v>
      </c>
      <c r="L61" s="63"/>
      <c r="M61" s="63"/>
      <c r="N61" s="63"/>
      <c r="O61" s="63"/>
    </row>
    <row r="62" spans="1:15">
      <c r="J62" s="368"/>
      <c r="K62" s="65" t="s">
        <v>413</v>
      </c>
      <c r="L62" s="63"/>
      <c r="M62" s="63"/>
      <c r="N62" s="63"/>
      <c r="O62" s="63"/>
    </row>
    <row r="63" spans="1:15">
      <c r="J63" s="368"/>
      <c r="K63" s="65" t="s">
        <v>414</v>
      </c>
      <c r="L63" s="63"/>
      <c r="M63" s="63"/>
      <c r="N63" s="63"/>
      <c r="O63" s="63"/>
    </row>
    <row r="64" spans="1:15">
      <c r="J64" s="368"/>
      <c r="K64" s="61" t="s">
        <v>415</v>
      </c>
      <c r="L64" s="61" t="e">
        <f>AVERAGE(L52:L63)</f>
        <v>#DIV/0!</v>
      </c>
      <c r="M64" s="61">
        <f>MAX(M52:M63)</f>
        <v>0</v>
      </c>
      <c r="N64" s="61" t="e">
        <f>AVERAGE(N52:N63)</f>
        <v>#DIV/0!</v>
      </c>
      <c r="O64" s="61">
        <f>MAX(O52:O63)</f>
        <v>0</v>
      </c>
    </row>
    <row r="66" spans="10:15" ht="41.4">
      <c r="J66" s="60">
        <f>+A6</f>
        <v>2022</v>
      </c>
      <c r="K66" s="60" t="s">
        <v>397</v>
      </c>
      <c r="L66" s="66" t="s">
        <v>392</v>
      </c>
      <c r="M66" s="66" t="s">
        <v>398</v>
      </c>
      <c r="N66" s="66" t="s">
        <v>395</v>
      </c>
      <c r="O66" s="66" t="s">
        <v>399</v>
      </c>
    </row>
    <row r="67" spans="10:15">
      <c r="J67" s="368" t="s">
        <v>194</v>
      </c>
      <c r="K67" s="65" t="s">
        <v>400</v>
      </c>
      <c r="L67" s="63"/>
      <c r="M67" s="63"/>
      <c r="N67" s="63"/>
      <c r="O67" s="63"/>
    </row>
    <row r="68" spans="10:15">
      <c r="J68" s="368"/>
      <c r="K68" s="65" t="s">
        <v>401</v>
      </c>
      <c r="L68" s="63"/>
      <c r="M68" s="63"/>
      <c r="N68" s="63"/>
      <c r="O68" s="63"/>
    </row>
    <row r="69" spans="10:15">
      <c r="J69" s="368"/>
      <c r="K69" s="65" t="s">
        <v>402</v>
      </c>
      <c r="L69" s="63"/>
      <c r="M69" s="63"/>
      <c r="N69" s="63"/>
      <c r="O69" s="63"/>
    </row>
    <row r="70" spans="10:15">
      <c r="J70" s="368"/>
      <c r="K70" s="65" t="s">
        <v>404</v>
      </c>
      <c r="L70" s="63"/>
      <c r="M70" s="63"/>
      <c r="N70" s="63"/>
      <c r="O70" s="63"/>
    </row>
    <row r="71" spans="10:15">
      <c r="J71" s="368"/>
      <c r="K71" s="65" t="s">
        <v>406</v>
      </c>
      <c r="L71" s="63"/>
      <c r="M71" s="63"/>
      <c r="N71" s="63"/>
      <c r="O71" s="63"/>
    </row>
    <row r="72" spans="10:15">
      <c r="J72" s="368"/>
      <c r="K72" s="65" t="s">
        <v>407</v>
      </c>
      <c r="L72" s="63"/>
      <c r="M72" s="63"/>
      <c r="N72" s="63"/>
      <c r="O72" s="63"/>
    </row>
    <row r="73" spans="10:15">
      <c r="J73" s="368"/>
      <c r="K73" s="65" t="s">
        <v>408</v>
      </c>
      <c r="L73" s="63"/>
      <c r="M73" s="63"/>
      <c r="N73" s="63"/>
      <c r="O73" s="63"/>
    </row>
    <row r="74" spans="10:15">
      <c r="J74" s="368"/>
      <c r="K74" s="65" t="s">
        <v>410</v>
      </c>
      <c r="L74" s="63"/>
      <c r="M74" s="63"/>
      <c r="N74" s="63"/>
      <c r="O74" s="63"/>
    </row>
    <row r="75" spans="10:15">
      <c r="J75" s="368"/>
      <c r="K75" s="65" t="s">
        <v>411</v>
      </c>
      <c r="L75" s="63"/>
      <c r="M75" s="63"/>
      <c r="N75" s="63"/>
      <c r="O75" s="63"/>
    </row>
    <row r="76" spans="10:15">
      <c r="J76" s="368"/>
      <c r="K76" s="65" t="s">
        <v>412</v>
      </c>
      <c r="L76" s="63"/>
      <c r="M76" s="63"/>
      <c r="N76" s="63"/>
      <c r="O76" s="63"/>
    </row>
    <row r="77" spans="10:15">
      <c r="J77" s="368"/>
      <c r="K77" s="65" t="s">
        <v>413</v>
      </c>
      <c r="L77" s="63"/>
      <c r="M77" s="63"/>
      <c r="N77" s="63"/>
      <c r="O77" s="63"/>
    </row>
    <row r="78" spans="10:15">
      <c r="J78" s="368"/>
      <c r="K78" s="65" t="s">
        <v>414</v>
      </c>
      <c r="L78" s="63"/>
      <c r="M78" s="63"/>
      <c r="N78" s="63"/>
      <c r="O78" s="63"/>
    </row>
    <row r="79" spans="10:15">
      <c r="J79" s="368"/>
      <c r="K79" s="61" t="s">
        <v>415</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honeticPr fontId="25" type="noConversion"/>
  <pageMargins left="0.7" right="0.7" top="0.75" bottom="0.75" header="0.3" footer="0.3"/>
  <pageSetup paperSize="9" scale="77"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haredContentType xmlns="Microsoft.SharePoint.Taxonomy.ContentTypeSync" SourceId="d1117845-93f6-4da3-abaa-fcb4fa669c78" ContentTypeId="0x010100A5BF1C78D9F64B679A5EBDE1C6598EBC01" PreviousValue="false"/>
</file>

<file path=customXml/item4.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A65312-EDD8-4ED5-85CD-21EC9D2BFEF5}">
  <ds:schemaRefs>
    <ds:schemaRef ds:uri="http://schemas.microsoft.com/office/2006/metadata/properties"/>
    <ds:schemaRef ds:uri="http://schemas.microsoft.com/office/infopath/2007/PartnerControls"/>
    <ds:schemaRef ds:uri="662745e8-e224-48e8-a2e3-254862b8c2f5"/>
    <ds:schemaRef ds:uri="13c3dd66-95f8-469c-aefa-160cfe61df31"/>
    <ds:schemaRef ds:uri="eebef177-55b5-4448-a5fb-28ea454417ee"/>
    <ds:schemaRef ds:uri="8595a0ec-c146-4eeb-925a-270f4bc4be63"/>
    <ds:schemaRef ds:uri="5ffd8e36-f429-4edc-ab50-c5be84842779"/>
    <ds:schemaRef ds:uri="http://schemas.microsoft.com/sharepoint/v3"/>
  </ds:schemaRefs>
</ds:datastoreItem>
</file>

<file path=customXml/itemProps2.xml><?xml version="1.0" encoding="utf-8"?>
<ds:datastoreItem xmlns:ds="http://schemas.openxmlformats.org/officeDocument/2006/customXml" ds:itemID="{130E79B3-286C-4594-AC93-4243D3FE78E7}">
  <ds:schemaRefs>
    <ds:schemaRef ds:uri="http://schemas.microsoft.com/sharepoint/v3/contenttype/forms"/>
  </ds:schemaRefs>
</ds:datastoreItem>
</file>

<file path=customXml/itemProps3.xml><?xml version="1.0" encoding="utf-8"?>
<ds:datastoreItem xmlns:ds="http://schemas.openxmlformats.org/officeDocument/2006/customXml" ds:itemID="{BA4BD6C1-BA32-4B7F-B230-2AD6868B3105}">
  <ds:schemaRefs>
    <ds:schemaRef ds:uri="Microsoft.SharePoint.Taxonomy.ContentTypeSync"/>
  </ds:schemaRefs>
</ds:datastoreItem>
</file>

<file path=customXml/itemProps4.xml><?xml version="1.0" encoding="utf-8"?>
<ds:datastoreItem xmlns:ds="http://schemas.openxmlformats.org/officeDocument/2006/customXml" ds:itemID="{9E0E454A-F61F-4FCD-9791-822E78CB88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62745e8-e224-48e8-a2e3-254862b8c2f5"/>
    <ds:schemaRef ds:uri="a30ec2d3-6aa3-4f23-a79e-22af4b182761"/>
    <ds:schemaRef ds:uri="e76eb3f9-f7d4-4afe-8d75-1839375753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21</vt:i4>
      </vt:variant>
    </vt:vector>
  </HeadingPairs>
  <TitlesOfParts>
    <vt:vector size="42" baseType="lpstr">
      <vt:lpstr>Cover Page</vt:lpstr>
      <vt:lpstr>Contents</vt:lpstr>
      <vt:lpstr>Facility Info</vt:lpstr>
      <vt:lpstr>Operational Data</vt:lpstr>
      <vt:lpstr>Operational Summary</vt:lpstr>
      <vt:lpstr>Perf. Form 1</vt:lpstr>
      <vt:lpstr>Energy Form 1</vt:lpstr>
      <vt:lpstr>Permit Compliance</vt:lpstr>
      <vt:lpstr>Improvements</vt:lpstr>
      <vt:lpstr>Public Liasion</vt:lpstr>
      <vt:lpstr>CO2 N2O</vt:lpstr>
      <vt:lpstr>Residue Quality </vt:lpstr>
      <vt:lpstr>Air (periodic)</vt:lpstr>
      <vt:lpstr>Air (CEMS)</vt:lpstr>
      <vt:lpstr>HCl</vt:lpstr>
      <vt:lpstr>SO2</vt:lpstr>
      <vt:lpstr>NOx</vt:lpstr>
      <vt:lpstr>TOC</vt:lpstr>
      <vt:lpstr>Particulates</vt:lpstr>
      <vt:lpstr>CO 95% 10 min</vt:lpstr>
      <vt:lpstr>NH3</vt:lpstr>
      <vt:lpstr>'Air (CEMS)'!Print_Area</vt:lpstr>
      <vt:lpstr>'Air (periodic)'!Print_Area</vt:lpstr>
      <vt:lpstr>'CO 95% 10 min'!Print_Area</vt:lpstr>
      <vt:lpstr>'CO2 N2O'!Print_Area</vt:lpstr>
      <vt:lpstr>Contents!Print_Area</vt:lpstr>
      <vt:lpstr>'Cover Page'!Print_Area</vt:lpstr>
      <vt:lpstr>'Energy Form 1'!Print_Area</vt:lpstr>
      <vt:lpstr>'Facility Info'!Print_Area</vt:lpstr>
      <vt:lpstr>HCl!Print_Area</vt:lpstr>
      <vt:lpstr>Improvements!Print_Area</vt:lpstr>
      <vt:lpstr>'NH3'!Print_Area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'SO2'!Print_Area</vt:lpstr>
      <vt:lpstr>TOC!Print_Area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Freeman, Ben</cp:lastModifiedBy>
  <cp:revision/>
  <dcterms:created xsi:type="dcterms:W3CDTF">2019-04-02T06:44:55Z</dcterms:created>
  <dcterms:modified xsi:type="dcterms:W3CDTF">2023-03-22T16:58:51Z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PermitDocumentType">
    <vt:lpwstr/>
  </property>
  <property fmtid="{D5CDD505-2E9C-101B-9397-08002B2CF9AE}" pid="5" name="TypeofPermit">
    <vt:lpwstr>9;#N/A - Do not select for New Permits|0430e4c2-ee0a-4b2d-9af6-df735aafbcb2</vt:lpwstr>
  </property>
  <property fmtid="{D5CDD505-2E9C-101B-9397-08002B2CF9AE}" pid="6" name="DisclosureStatus">
    <vt:lpwstr>181;#Public Register|f1fcf6a6-5d97-4f1d-964e-a2f916eb1f18</vt:lpwstr>
  </property>
  <property fmtid="{D5CDD505-2E9C-101B-9397-08002B2CF9AE}" pid="7" name="RegulatedActivitySub-Class">
    <vt:lpwstr/>
  </property>
  <property fmtid="{D5CDD505-2E9C-101B-9397-08002B2CF9AE}" pid="8" name="EventType1">
    <vt:lpwstr/>
  </property>
  <property fmtid="{D5CDD505-2E9C-101B-9397-08002B2CF9AE}" pid="9" name="ActivityGrouping">
    <vt:lpwstr>17;#Monitoring|7ad1f883-cac7-47a5-b349-4ff3f6b79b75</vt:lpwstr>
  </property>
  <property fmtid="{D5CDD505-2E9C-101B-9397-08002B2CF9AE}" pid="10" name="RegulatedActivityClass">
    <vt:lpwstr>38;#Installations|645f1c9c-65df-490a-9ce3-4a2aa7c5ff7f</vt:lpwstr>
  </property>
  <property fmtid="{D5CDD505-2E9C-101B-9397-08002B2CF9AE}" pid="11" name="Catchment">
    <vt:lpwstr/>
  </property>
  <property fmtid="{D5CDD505-2E9C-101B-9397-08002B2CF9AE}" pid="12" name="MajorProjectID">
    <vt:lpwstr/>
  </property>
  <property fmtid="{D5CDD505-2E9C-101B-9397-08002B2CF9AE}" pid="13" name="StandardRulesID">
    <vt:lpwstr/>
  </property>
  <property fmtid="{D5CDD505-2E9C-101B-9397-08002B2CF9AE}" pid="14" name="CessationStatus">
    <vt:lpwstr/>
  </property>
  <property fmtid="{D5CDD505-2E9C-101B-9397-08002B2CF9AE}" pid="15" name="Regime">
    <vt:lpwstr>10;#EPR|0e5af97d-1a8c-4d8f-a20b-528a11cab1f6</vt:lpwstr>
  </property>
  <property fmtid="{D5CDD505-2E9C-101B-9397-08002B2CF9AE}" pid="16" name="InformationType">
    <vt:lpwstr/>
  </property>
  <property fmtid="{D5CDD505-2E9C-101B-9397-08002B2CF9AE}" pid="17" name="Distribution">
    <vt:lpwstr>9;#Internal EA|b77da37e-7166-4741-8c12-4679faab22d9</vt:lpwstr>
  </property>
  <property fmtid="{D5CDD505-2E9C-101B-9397-08002B2CF9AE}" pid="18" name="HOCopyrightLevel">
    <vt:lpwstr>7;#Crown|69589897-2828-4761-976e-717fd8e631c9</vt:lpwstr>
  </property>
  <property fmtid="{D5CDD505-2E9C-101B-9397-08002B2CF9AE}" pid="19" name="HOGovernmentSecurityClassification">
    <vt:lpwstr>6;#Official|14c80daa-741b-422c-9722-f71693c9ede4</vt:lpwstr>
  </property>
  <property fmtid="{D5CDD505-2E9C-101B-9397-08002B2CF9AE}" pid="20" name="HOSiteType">
    <vt:lpwstr>10;#Community|144ac7d7-0b9a-42f9-9385-2935294b6de3</vt:lpwstr>
  </property>
  <property fmtid="{D5CDD505-2E9C-101B-9397-08002B2CF9AE}" pid="21" name="OrganisationalUnit">
    <vt:lpwstr>8;#EA|d5f78ddb-b1b6-4328-9877-d7e3ed06fdac</vt:lpwstr>
  </property>
</Properties>
</file>