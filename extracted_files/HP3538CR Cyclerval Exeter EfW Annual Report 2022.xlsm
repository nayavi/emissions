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07" codeName="{00000000-0000-0000-0000-000000000000}"/>
  <workbookPr codeName="ThisWorkbook" defaultThemeVersion="166925"/>
  <mc:AlternateContent xmlns:mc="http://schemas.openxmlformats.org/markup-compatibility/2006">
    <mc:Choice Requires="x15">
      <x15ac:absPath xmlns:x15ac="http://schemas.microsoft.com/office/spreadsheetml/2010/11/ac" url="S:\Reports\Reports to EA\Annual Report\"/>
    </mc:Choice>
  </mc:AlternateContent>
  <xr:revisionPtr revIDLastSave="0" documentId="13_ncr:1_{C03E7EB4-F048-4174-8341-5FA220960B46}" xr6:coauthVersionLast="47" xr6:coauthVersionMax="47" xr10:uidLastSave="{00000000-0000-0000-0000-000000000000}"/>
  <bookViews>
    <workbookView xWindow="28680" yWindow="-120" windowWidth="29040" windowHeight="1584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NH3" sheetId="31" r:id="rId22"/>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1'!$A$1:$J$53</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13" l="1"/>
  <c r="E33" i="7"/>
  <c r="G58" i="6"/>
  <c r="C1" i="32" l="1"/>
  <c r="A1" i="32"/>
  <c r="I19" i="7" l="1"/>
  <c r="I20" i="7"/>
  <c r="I18" i="7"/>
  <c r="I12" i="7"/>
  <c r="I13" i="7"/>
  <c r="I14" i="7"/>
  <c r="I11" i="7"/>
  <c r="C18" i="6" l="1"/>
  <c r="C21" i="6" s="1"/>
  <c r="H61" i="6" l="1"/>
  <c r="G13" i="6" l="1"/>
  <c r="H13" i="6" s="1"/>
  <c r="G45" i="6"/>
  <c r="H45" i="6" s="1"/>
  <c r="J3" i="31" l="1"/>
  <c r="J3" i="29"/>
  <c r="J3" i="28"/>
  <c r="J3" i="27"/>
  <c r="J3" i="26"/>
  <c r="J3" i="25"/>
  <c r="J3" i="13"/>
  <c r="G19" i="6" l="1"/>
  <c r="G57" i="6" l="1"/>
  <c r="G59" i="6" l="1"/>
  <c r="G65" i="6"/>
  <c r="G64" i="6"/>
  <c r="H64" i="6" s="1"/>
  <c r="G63" i="6"/>
  <c r="G61" i="6"/>
  <c r="G53" i="6"/>
  <c r="G54" i="6"/>
  <c r="G55" i="6"/>
  <c r="G56" i="6"/>
  <c r="G60" i="6"/>
  <c r="D18" i="6" l="1"/>
  <c r="D21" i="6" s="1"/>
  <c r="E18" i="6"/>
  <c r="E21" i="6" s="1"/>
  <c r="F18" i="6"/>
  <c r="F21" i="6" s="1"/>
  <c r="G21" i="6" l="1"/>
  <c r="E1" i="31"/>
  <c r="A1" i="31"/>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A6" i="13"/>
  <c r="J66" i="13" s="1"/>
  <c r="J36" i="27" l="1"/>
  <c r="J66" i="31"/>
  <c r="J21" i="29"/>
  <c r="J21" i="28"/>
  <c r="J21" i="27"/>
  <c r="J21" i="26"/>
  <c r="J21" i="25"/>
  <c r="J36" i="13"/>
  <c r="J51" i="13"/>
  <c r="J21" i="13"/>
  <c r="J6" i="13"/>
  <c r="J21" i="31"/>
  <c r="J6" i="31"/>
  <c r="J36" i="31"/>
  <c r="J36" i="29"/>
  <c r="J51" i="29"/>
  <c r="J6" i="29"/>
  <c r="J36" i="28"/>
  <c r="J51" i="28"/>
  <c r="J6" i="28"/>
  <c r="J51" i="27"/>
  <c r="J6" i="27"/>
  <c r="J51" i="26"/>
  <c r="J36" i="26"/>
  <c r="J6" i="26"/>
  <c r="J36" i="25"/>
  <c r="J51" i="25"/>
  <c r="J6" i="25"/>
  <c r="D28" i="6"/>
  <c r="E28" i="6"/>
  <c r="F28" i="6"/>
  <c r="C28" i="6"/>
  <c r="G7" i="8"/>
  <c r="D7" i="8"/>
  <c r="B5" i="8"/>
  <c r="G3" i="8"/>
  <c r="A3" i="8"/>
  <c r="A1" i="8"/>
  <c r="G21" i="7"/>
  <c r="E21" i="7"/>
  <c r="G15" i="7"/>
  <c r="E15" i="7"/>
  <c r="B4" i="7"/>
  <c r="G3"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I15" i="7" l="1"/>
  <c r="D11" i="8"/>
  <c r="H27" i="6"/>
  <c r="D14" i="8"/>
  <c r="H30" i="6"/>
  <c r="I21" i="7"/>
  <c r="D12" i="8"/>
  <c r="H25" i="6"/>
  <c r="E31" i="7"/>
  <c r="H31" i="7" s="1"/>
  <c r="H33" i="7"/>
  <c r="E35" i="7"/>
  <c r="H35" i="7" s="1"/>
  <c r="E34" i="7"/>
  <c r="H34" i="7" s="1"/>
  <c r="G22" i="7"/>
  <c r="G18" i="6"/>
  <c r="H21" i="6" s="1"/>
  <c r="G28" i="6"/>
  <c r="E22" i="7"/>
  <c r="E32" i="7"/>
  <c r="H32" i="7" s="1"/>
  <c r="D10" i="8"/>
  <c r="G10" i="8"/>
  <c r="A29" i="7"/>
  <c r="A41" i="7" s="1"/>
  <c r="I22" i="7" l="1"/>
  <c r="H8" i="6"/>
  <c r="H19" i="6"/>
  <c r="H10" i="6"/>
  <c r="G11" i="8"/>
  <c r="G12" i="8"/>
  <c r="H14" i="6"/>
  <c r="G14" i="8"/>
  <c r="H11" i="6"/>
  <c r="H9" i="6"/>
</calcChain>
</file>

<file path=xl/sharedStrings.xml><?xml version="1.0" encoding="utf-8"?>
<sst xmlns="http://schemas.openxmlformats.org/spreadsheetml/2006/main" count="1483" uniqueCount="449">
  <si>
    <t>Add company logo</t>
  </si>
  <si>
    <t>Version 22.3  30/11/22</t>
  </si>
  <si>
    <t>Add photo</t>
  </si>
  <si>
    <t>Notes:</t>
  </si>
  <si>
    <t>This template may require adjustments by individual operators to meet specific reporting requirements as defined in the site Permit(s)</t>
  </si>
  <si>
    <t>Annual Performance Report 2022</t>
  </si>
  <si>
    <t>Permit EPR/HP3538CR/V003</t>
  </si>
  <si>
    <t>Exeter Energy From Waste Plant</t>
  </si>
  <si>
    <t>Exeter Energy Recovery Facility</t>
  </si>
  <si>
    <t>Paprec Energies Cyclerval Limited</t>
  </si>
  <si>
    <t>Year:</t>
  </si>
  <si>
    <t>Address:</t>
  </si>
  <si>
    <t>Grace Road South Marsh Barton Exeter</t>
  </si>
  <si>
    <t xml:space="preserve">Tel: </t>
  </si>
  <si>
    <t>01392 285494</t>
  </si>
  <si>
    <t xml:space="preserve">Email: </t>
  </si>
  <si>
    <t>adrian.middlewick@cyclervaluk.com</t>
  </si>
  <si>
    <t>Prepared by:</t>
  </si>
  <si>
    <t>Adrian Middlewick</t>
  </si>
  <si>
    <t>Position:</t>
  </si>
  <si>
    <t>Compliance Manager</t>
  </si>
  <si>
    <t>Approved by:</t>
  </si>
  <si>
    <t>Rod Jakeman</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</si>
  <si>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</si>
  <si>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</si>
  <si>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</si>
  <si>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</si>
  <si>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</si>
  <si>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</si>
  <si>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</si>
  <si>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</si>
  <si>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</si>
  <si>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</si>
  <si>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</si>
  <si>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</si>
  <si>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</si>
  <si>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</si>
  <si>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</si>
  <si>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</si>
  <si>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</si>
  <si>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</si>
  <si>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</si>
  <si>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</si>
  <si>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</si>
  <si>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</si>
  <si>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</si>
  <si>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</si>
  <si>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</si>
  <si>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</si>
  <si>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</si>
  <si>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</si>
  <si>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</si>
  <si>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</si>
  <si>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</si>
  <si>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</si>
  <si>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 xml:space="preserve">Original Document </t>
  </si>
  <si>
    <t>Revised to update emissions to air (continuously monitored) comments</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</si>
  <si>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</si>
  <si>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</si>
  <si>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</si>
  <si>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</si>
  <si>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</si>
  <si>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</si>
  <si>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r>
      <t>This installation is a waste to energy incinerator for the treatment of municipal waste arising from the Exeter area and is operated by Paprec  Energies Cyclerval Ltd.  The facility is situated on the Marsh Barton Trading Estate and is adjacent to the Exeter / Penzance railway line. There is one discharge to air in the form of combustion gasses discharged through the main stack, one discharge for uncontaminated storm water runoff to the external storm water drainage system and one discharges to sewer which is available to discharge excess boiler blow down. In practice the discharge to sewer is not used as all excess water is consumed in the ash quench tanks. 
The facility has a maximum design capacity of 60,000 tonnes per annum (this equates to a maximum average capacity of 7.5 tonnes / hour at a CV of 9.3 MJ/kg net) of non-hazardous municipal solid waste. The combustion process utilises a single oscillating kiln whereby waste is combusted in a cell forming a tapering cylinder which oscillates through 210</t>
    </r>
    <r>
      <rPr>
        <sz val="10"/>
        <rFont val="Calibri"/>
        <family val="2"/>
      </rPr>
      <t>ᵒ</t>
    </r>
    <r>
      <rPr>
        <sz val="14.5"/>
        <rFont val="Arial"/>
        <family val="2"/>
      </rPr>
      <t>.</t>
    </r>
    <r>
      <rPr>
        <sz val="10"/>
        <rFont val="Arial"/>
        <family val="2"/>
      </rPr>
      <t xml:space="preserve">The oscillation causes the waste to tumble allowing complete combustion. The oscillation also causes the waste to migrate through the cell until the ash falls from the end of the combustor to a quench tank .  The heat arising from incineration is used to generate electricity and has potential for providing lower grade heat  should any users become available.  All exhaust gases generated by the incineration process are treated on site to remove pollutants to below emission limits set by the Waste incineration Directive. 
Within 10km of the Exeter EfW installation is one European designated area – the Exeter Special Protection Area (SPA) and Ramsar. This is also classed as a Site of Special Scientific Interest (SSSI). 
In close proximity to the installation are the river Exe, the Alphin Brook and the Exeter Canal.  The installation is within the river Exe flood plain and the facility is equipped with flood defence measures.   
</t>
    </r>
  </si>
  <si>
    <t xml:space="preserve">Include summary of plant design, design capacity, no. of combustion lines, electrical and heat capacity and any other general information that describes the facility, its location and purpose </t>
  </si>
  <si>
    <t>Summary of Operational Processes and Procedures</t>
  </si>
  <si>
    <t>Waste is received on site either directly from waste collection vehicles or transported in bulk from transfer stations. The site accepts only municipal waste collected by waste collection authorities or their contractors. If necessary the site has access to similar waste collected from trade premises by a commercial waste collection company. No waste of this type was accepted in 2022
Vehicles arrive on site weigh in at the entrance weighbridge and are directed to the waste tipping hall where they reverse to their allocated tipping point and discharge to a waste bunker which has a capacity of approximately 1000 tonnes. Having discharged, the vehicles weigh out on a second weighbridge before leaving site. As a contingency measure each weighbridge is able to accept both incoming and outgoing vehicles and therefore provide back up in case of breakdown. 
Each waste bay is equipped with a remote control door which is kept closed between deliveries to control odour and litter. 
The waste reception is managed by a site operator who oversees the waste tipping hall from the control room and directs vehicles on the weighbridge via an intercom. The operator using a remote control gantry crane arranges the waste in the waste pit to maximise storage and produce a consistent fuel mix. When necessary the waste may be fed into a  shredder to reduce it to a suitable size for the combustion process. When required waste is raised to the feed hopper using the gantry crane. From here the transfer of waste from the hopper into the combustor is controlled by the computerised operating  system (SCADA) 
Waste is fed as required into the combustion cell in batches of approximately 600kg where it passes through the oscillating cell until fully combusted. Combustion is controlled by achieving a balance of waste feed, cell rotation speed and mix of primary (under fire) and secondary (over fire) air. 
Following combustion bottom ash is dropped into a water quench before being transported past a magnet to remove ferrous metal, and transferred to an ash holding bunker from where it is loaded by crane to bulk haulage vehicles. With the exception of ferrous metal recovery, all treatment of ash takes place at an off site facility. 
During the combustion process hot gasses are produced which pass from the combustor to the post combustion chamber. Whilst in this chamber the temperature is monitored to ensure all gasses maintain a temperature of at least 850 C for a minimum of two seconds. if this temperature cannot for any reason be  maintained through waste combustion alone an oil burner is used to raise the temperature to the required  level. Urea is added to the exhaust gasses at this point in an SNCR process to remove oxides of nitrogen from the flue gasses. 
Gasses leaving the Post combustion chamber pass into a four pass vertical boiler which generates superheated steam at 40 bar of pressure which powers a conventional steam turbine. Spent steam passes 
through an air cooled condenser where it is cooled back to water and recycled as boiler feed water.
Flue gas exiting the boiler passes into the flue gas treatment system where the cooled gasses are reacted with lime and powdered carbon before passing through fabric filter bags. The passage of air and flue gas 
through the process is driven by the induced draft (ID) fan which maintains a slight negative pressure throughout the combustion and heat recovery process to prevent fugitive gasses escaping the process. Downstream of the ID fan the gasses enter the stack where the composition of the flue gas is monitored by two Continuous emissions monitoring systems (CEMS). Both CEMS are in continuous operation and record results on separate computers. This provides full redundancy in the event of equipment failure. 
The residue from the boilers and filter house is collected in a storage silo from where it if loaded into road tankers and taken for treatment off site. 
Maintenance is provided by a full time maintenance team undertaking preventative and reactive maintenance tasks. Additional and specialist labour is provided by outside contractors as necessary. 
The plant is shut down for approximately two weeks per year to allow comprehensive maintenance and examination to take place. This is largely specialised work requiring extensive use of outside contractors.</t>
  </si>
  <si>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</si>
  <si>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</si>
  <si>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</si>
  <si>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</si>
  <si>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</si>
  <si>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</si>
  <si>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</si>
  <si>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</si>
  <si>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</si>
  <si>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</si>
  <si>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</si>
  <si>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</si>
  <si>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</si>
  <si>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</si>
  <si>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</si>
  <si>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</si>
  <si>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</si>
  <si>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</si>
  <si>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</si>
  <si>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</si>
  <si>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</si>
  <si>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</si>
  <si>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</si>
  <si>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</si>
  <si>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</si>
  <si>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</si>
  <si>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</si>
  <si>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</si>
  <si>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</si>
  <si>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</si>
  <si>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</si>
  <si>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</si>
  <si>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</si>
  <si>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</si>
  <si>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</si>
  <si>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</si>
  <si>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</si>
  <si>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</si>
  <si>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</si>
  <si>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</si>
  <si>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</si>
  <si>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</si>
  <si>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</si>
  <si>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</si>
  <si>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</si>
  <si>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</si>
  <si>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</si>
  <si>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</si>
  <si>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</si>
  <si>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</si>
  <si>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</si>
  <si>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</si>
  <si>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</si>
  <si>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</si>
  <si>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</si>
  <si>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</si>
  <si>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</si>
  <si>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</si>
  <si>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</si>
  <si>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</si>
  <si>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</si>
  <si>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</si>
  <si>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</si>
  <si>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</si>
  <si>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</si>
  <si>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</si>
  <si>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</si>
  <si>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</si>
  <si>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</si>
  <si>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</si>
  <si>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</si>
  <si>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</si>
  <si>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</si>
  <si>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10..49</t>
  </si>
  <si>
    <t>-</t>
  </si>
  <si>
    <t>Abnormal Events</t>
  </si>
  <si>
    <t>qty.</t>
  </si>
  <si>
    <t>Abnormal operation</t>
  </si>
  <si>
    <t>hours</t>
  </si>
  <si>
    <t>Permit Breaches</t>
  </si>
  <si>
    <t>Summary of Plant Operations and Maintenance during the reporting year</t>
  </si>
  <si>
    <r>
      <rPr>
        <sz val="10"/>
        <rFont val="Arial"/>
        <family val="2"/>
      </rPr>
      <t xml:space="preserve">Cyclerval UK operates and maintains the Exeter EFW under contract to Viridor Waste Management. Cyclerval has exceeded its contract targets for both waste acceptance and energy generation each  contract year since commissioning of the plant in 2014.
During 2022 the EFW combustor achieved availability of 93.5% this is a significant improvement over  previous year's performance. The steady improvement in overall availability has been achieved by a combination of improved control of planned shut downs to reduce duration and through addressing weaknesses in plant design which have previously given rise to unplanned stoppages. The steam turbine generator achieved availability of 91.5% which is significantly above both design availability and previous years performance. 
The plant underwent an annual shut down to allow completion of maintenance and improvement activities to take place. </t>
    </r>
    <r>
      <rPr>
        <sz val="10"/>
        <color rgb="FFFF0000"/>
        <rFont val="Arial"/>
        <family val="2"/>
      </rPr>
      <t xml:space="preserve">
</t>
    </r>
    <r>
      <rPr>
        <sz val="10"/>
        <rFont val="Arial"/>
        <family val="2"/>
      </rPr>
      <t>The shut down allowed completion of the following tasks. 
- Removal of excess ash from combustor, post combustion chamber, boiler and FGT
- Replacement of FGT filter bags and refurbishment of filter bag house. 
- Replacement of sections of boiler waterwall and application of Inconel heat protection.
- Replacement of sections of refractory lining in combustor and post combustion chamber
- Installation of RC circuit on  electricity generation plant
- Installation of refractory liner on ash outlet chute. 
 - General cleaning and servicing of plant</t>
    </r>
  </si>
  <si>
    <t xml:space="preserve">Include summary of key operational and/or maintenance activity undertaken in the year, such as any major component upgrades and/or replacements </t>
  </si>
  <si>
    <t>Summary of Residue Handling for the reporting year</t>
  </si>
  <si>
    <r>
      <rPr>
        <sz val="10"/>
        <rFont val="Arial"/>
        <family val="2"/>
      </rPr>
      <t>On leaving the combustion process bottom ash enters a water quench where it is cooled prior to being transferred to an open holding bunker. During the transfer process ferrous metal is extracted from the ash using an over band magnet. The recovered metal is loaded into rolonoff skips for transport to a local metal reprocessing facility. From the holding bunker the ash is loaded to a bulk haulage vehicle using a gantry crane. Approximately seven loads leave the site each week. Throughout 2022 bottom ash has been sent for re-processing to the Days Aggregates facility in Avonmouth. Days recover any remaining metal and convert the remaining ash into aggregate</t>
    </r>
    <r>
      <rPr>
        <sz val="10"/>
        <color rgb="FFFF0000"/>
        <rFont val="Arial"/>
        <family val="2"/>
      </rPr>
      <t xml:space="preserve">. 
</t>
    </r>
    <r>
      <rPr>
        <sz val="10"/>
        <rFont val="Arial"/>
        <family val="2"/>
      </rPr>
      <t>Air pollution control residue (APCr) is recovered from the base of the boiler and the FGT bag filters and transferred to a sealed silo. From here it is loaded to a road  tanker for transport to OCO technology ltd in Avonmouth. Here the residue is converted into concrete like building products. Two to three loads of APCr are collected from the site in this manner each week.</t>
    </r>
    <r>
      <rPr>
        <sz val="10"/>
        <color rgb="FFFF0000"/>
        <rFont val="Arial"/>
        <family val="2"/>
      </rPr>
      <t xml:space="preserve">
</t>
    </r>
    <r>
      <rPr>
        <sz val="10"/>
        <rFont val="Arial"/>
        <family val="2"/>
      </rPr>
      <t>In addition to the APCr continually recovered from the process when operational, a quantity of light ash adheres to the inside of the boiler and flue gas  treatment system and must be removed during the annual shut down. This material is unsuitable for loading into road tankers or the OCO process and is instead bagged for transport to a conventional disposal facility. 8.08 tonnes of ash was removed from site in this manner during 2022</t>
    </r>
    <r>
      <rPr>
        <sz val="10"/>
        <color rgb="FFFF0000"/>
        <rFont val="Arial"/>
        <family val="2"/>
      </rPr>
      <t xml:space="preserve">. </t>
    </r>
  </si>
  <si>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</si>
  <si>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</si>
  <si>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</si>
  <si>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</si>
  <si>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</si>
  <si>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</si>
  <si>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</si>
  <si>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</si>
  <si>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</si>
  <si>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</si>
  <si>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</si>
  <si>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</si>
  <si>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</si>
  <si>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</si>
  <si>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</si>
  <si>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</si>
  <si>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R05- Recycling reclamation/other</t>
  </si>
  <si>
    <t>IBA</t>
  </si>
  <si>
    <t>D05 Landfill</t>
  </si>
  <si>
    <t>Total Hazardous Waste</t>
  </si>
  <si>
    <t>2) Non-Hazardous Wastes</t>
  </si>
  <si>
    <t>R05-Recycling reclamation/other</t>
  </si>
  <si>
    <t>Ferrous Metal</t>
  </si>
  <si>
    <t>Process Water</t>
  </si>
  <si>
    <t>Total Non-Hazardous Waste</t>
  </si>
  <si>
    <t>TOTAL WASTE</t>
  </si>
  <si>
    <t>Operator’s comments :</t>
  </si>
  <si>
    <t>Waste treated has not changed significantly during 2022. Compared to 2021 there has been minimal variation to average calorific values and the general appearance of the ash has not changed. This indicates that there has been little variation in the nature of the waste or the combustion process between 2021 and 2022.</t>
  </si>
  <si>
    <t>Annual Reporting of Water and Other Raw Material Usage</t>
  </si>
  <si>
    <t>Raw Material</t>
  </si>
  <si>
    <t>Usage</t>
  </si>
  <si>
    <t>Specific Usage</t>
  </si>
  <si>
    <t>litres</t>
  </si>
  <si>
    <t>litres/te</t>
  </si>
  <si>
    <t>Total Water</t>
  </si>
  <si>
    <t>Urea / Ammonia</t>
  </si>
  <si>
    <t>kg</t>
  </si>
  <si>
    <t>kg/te</t>
  </si>
  <si>
    <t>Lime / hydrated lime / Sodium Bicarb.</t>
  </si>
  <si>
    <t>Total water consumption has decreased a little this year. It has also decreased by 1.5% per tonne of waste processed and by 5% per tonne of steam produced in the boiler. This is consistent with the trend from last year which showed generally consistent water consumption with minor variation as components become worn and are replaced. 
There has been a small reductions in consumption of Lime and urea during 2022. These are controlled by the SCADA according to concentration of NOX and acid gasses in the flue gas. The reduced consumption is likely to be a reflection of the prolonged periods of steady state operation achieved this year. The consumption PAC has increased slightly during 2022. However this is dosed according to gas flow and is not influenced by actual composition of flue gas. Stable operation would not therefore reduce overall consumption of PAC.</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</si>
  <si>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</si>
  <si>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</si>
  <si>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</si>
  <si>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</si>
  <si>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</si>
  <si>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</si>
  <si>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</si>
  <si>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</si>
  <si>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</si>
  <si>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</si>
  <si>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</si>
  <si>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</si>
  <si>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</si>
  <si>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During 2022 both the Combustor and steam turbine achieved the highest level of availability since commissioning. This indicates that ongoing maintenance of the plant is being effectively managed as there is no indication of falling reliability as a result of aging of the machinery.
It has not been necessary to run the plant in abnormal operations.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</si>
  <si>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</si>
  <si>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</si>
  <si>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</si>
  <si>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</si>
  <si>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</si>
  <si>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</si>
  <si>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</si>
  <si>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</si>
  <si>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</si>
  <si>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</si>
  <si>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</si>
  <si>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</si>
  <si>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</si>
  <si>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During 2022 the plant has exceeded its target for export of electricity. 
Electricity imports have been lower than previous years. Electricity is only imported when the steam turbine is unable to provide for the plants parasitic load. The reduced requirement for imported electricity therefore reflects the greater availability of the steam turbine. 
Oil consumption has been low during 2022 as more consistent operation has results in less oil being required during start up or shut down or to maintain the required combustion temperature
</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</si>
  <si>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</si>
  <si>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</si>
  <si>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</si>
  <si>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</si>
  <si>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</si>
  <si>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</si>
  <si>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</si>
  <si>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</si>
  <si>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</si>
  <si>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</si>
  <si>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</si>
  <si>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</si>
  <si>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 xml:space="preserve">99.98 %
</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</si>
  <si>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</si>
  <si>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</si>
  <si>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</si>
  <si>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</si>
  <si>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</si>
  <si>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</si>
  <si>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</si>
  <si>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r>
      <t>Exceedance of half hour ELV for CO 111.82 mg/m</t>
    </r>
    <r>
      <rPr>
        <sz val="10"/>
        <color theme="1"/>
        <rFont val="Calibri"/>
        <family val="2"/>
      </rPr>
      <t>³</t>
    </r>
  </si>
  <si>
    <t>Pressure vessel containing flamable gas in combustion chamber exploded causing reduced oxygen and generation of CO</t>
  </si>
  <si>
    <t xml:space="preserve">Advice to waste collection crews to be vigillent for pressure vessels in waste. </t>
  </si>
  <si>
    <t>Exceedance of half hour ELV for CO 181.76 mg/m³</t>
  </si>
  <si>
    <t>Exceedance of half hour ELV for CO 150.86 mg/m³</t>
  </si>
  <si>
    <t>Summary of any complaints received and actions to taken to resolve them.</t>
  </si>
  <si>
    <t>Summary of complaint [including Line/Reference]</t>
  </si>
  <si>
    <t>Reason *</t>
  </si>
  <si>
    <t>Complaints about odorous waste burning late at night.</t>
  </si>
  <si>
    <t>Not substantiated</t>
  </si>
  <si>
    <t>Complaint not consistent with operational methods, Odour unlikely to originate from ERF</t>
  </si>
  <si>
    <t>* including whether substantiated by the operator or the EA</t>
  </si>
  <si>
    <t>Summary of Plant Improvements</t>
  </si>
  <si>
    <t>Summary of any efficiency improvements that have been completed within the year.</t>
  </si>
  <si>
    <t xml:space="preserve">During 2022 an "RC" circuit was added to the power generation equipment. This gives the system additional protection against transient conditions on the power grid which would otherwise cause the plant to disconnect from the grid resulting in lost power generation. 
In order to improve the resilience of the ash discharge, a refractory coating was added to the ash ejection chute. This is part of an ongoing policy of identifying features of the plant which give rise to unplanned shutdowns and improving them. The benefits of this approach may be seen in the increase in overall availability which has been achieved. </t>
  </si>
  <si>
    <t xml:space="preserve">The plant CEMS has been updated this year to measure CO2 and N2O following MCERTS standards. Stack gas flow is also being measured via the CEMS however this part of the equipment in not fully MCERTS compliant. When the flow meters require replacement fully MCERTS units will be used. 
As a result of these changes it is possible to produce more accurate repots of greenhouse gas emissions. </t>
  </si>
  <si>
    <t>Summary of any changes to the plant or operating techniques which required a variation to the permit and a summary of the resulting environmental impact.</t>
  </si>
  <si>
    <t>N/A</t>
  </si>
  <si>
    <t>Summary of any other improvements made to the plant or planned to be made and a summary of the resulting environmental benefits.</t>
  </si>
  <si>
    <t>Details of Public &amp; Stakeholder Liasion</t>
  </si>
  <si>
    <t>Summary of events held during the reporting year.</t>
  </si>
  <si>
    <t>Description</t>
  </si>
  <si>
    <t xml:space="preserve">Exeter Energy Recovery Facility Liaison Group meeting </t>
  </si>
  <si>
    <t>List of events planned for next year</t>
  </si>
  <si>
    <t>If you wish to be involved in the public liasion programme, please contact 
Robert Gilbertson 
Contracts Manager
Viridor Trident Park ERF Glass Avenue Cardiff  CF24 5EN
E-mail RGilbertson@viridor.co.uk</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</si>
  <si>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</si>
  <si>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</si>
  <si>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</si>
  <si>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55324 tonnes </t>
  </si>
  <si>
    <t>Annual mass of carbon dioxide released per tonne of waste burned</t>
  </si>
  <si>
    <t xml:space="preserve">0.97 tonnes </t>
  </si>
  <si>
    <t>Annual mass of carbon dioxide released per MWh of energy exported</t>
  </si>
  <si>
    <t xml:space="preserve">2.46 tonnes </t>
  </si>
  <si>
    <t>Description of how annual carbon dioxide mass emission has been calculated</t>
  </si>
  <si>
    <t>Carbon dioxide emissions are measured by an MCERTS CO2 CEM which forms part of the plant's overall continuous emissions monitoring system.</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</si>
  <si>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</si>
  <si>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</si>
  <si>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</si>
  <si>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2.171  tonnes </t>
  </si>
  <si>
    <t>Description of how annual nitrous oxide mass emission has been calculated</t>
  </si>
  <si>
    <t>MCERTS compliant N2O CEM  was installed in May 2022. Average N2O per tonne of waste treated was calculated from June to December and this value was used to calculate the annual emission of N2O.</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</si>
  <si>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</si>
  <si>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</si>
  <si>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56727.58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</si>
  <si>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</si>
  <si>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</si>
  <si>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</si>
  <si>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Estimated using the 2017 WRAP data for residual waste</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</si>
  <si>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</si>
  <si>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</si>
  <si>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</si>
  <si>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</si>
  <si>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</si>
  <si>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 xml:space="preserve">2022 was the first year when the plant used a fully MCER|TS compliant CO2 monitor. This has shown CO2 emissions of 0.97 tonnes CO2 per tonne of waste. 
MCERTS compliant N2O CEM was installed at the same time which showed average emissions of 0.04 kg N2O per tonne of waste processed.
</t>
  </si>
  <si>
    <t>Residue Quality Monitoring Requirements</t>
  </si>
  <si>
    <t>Summary of monitoring undertaken and compliance</t>
  </si>
  <si>
    <r>
      <rPr>
        <sz val="10"/>
        <rFont val="Arial"/>
        <family val="2"/>
      </rPr>
      <t>Bottom ash has been sampled and assessed  twice per month throughout the year in order to 
demonstrate that it is being correctly classified as non hazardous waste in accordance with the ESA sampling protocol and Waste Management Paper WM3.
Of the 24 samples one was assessed as hazardous on the basis of elevate lead content. This was a one off event and subsequent samples returned to the long term average.</t>
    </r>
    <r>
      <rPr>
        <sz val="10"/>
        <color rgb="FFFF0000"/>
        <rFont val="Arial"/>
        <family val="2"/>
      </rPr>
      <t xml:space="preserve"> 
</t>
    </r>
  </si>
  <si>
    <t xml:space="preserve">In accordance with the Environmental Permit both IBA and APC residues are analysed four times per year and the results reported to the Environment Agency. </t>
  </si>
  <si>
    <t>Commentary on any specific events</t>
  </si>
  <si>
    <t>Date &amp; Event</t>
  </si>
  <si>
    <t xml:space="preserve">IBA sampled as part of the twice monthly testing to confirm Non-hazardous status of waste. Analysis showed lead concentration exceeded the threshold for non-hazardous waste. This single event did not meet the criteria for IBA in general to be classified as hazardous under the ESA protocol. </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</si>
  <si>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</si>
  <si>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</si>
  <si>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</si>
  <si>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</si>
  <si>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</si>
  <si>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</si>
  <si>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</si>
  <si>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</si>
  <si>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</si>
  <si>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</si>
  <si>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</si>
  <si>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</si>
  <si>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</si>
  <si>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r>
      <t xml:space="preserve">
</t>
    </r>
    <r>
      <rPr>
        <sz val="11"/>
        <rFont val="Arial"/>
        <family val="2"/>
      </rPr>
      <t xml:space="preserve">IBA sampled during 2022 showed a continuation of the trend for greater variability in composition with less non combustible waste passing through the process.  </t>
    </r>
  </si>
  <si>
    <t xml:space="preserve">With the exception of surface water which passes via an oil interceptor to local water courses, there are no discharges of waste water. All waste water is used in the ash quench tanks from where it either evaporates or becomes incorporated into the bottom ash. </t>
  </si>
  <si>
    <t>Emissions to Water / Sewer</t>
  </si>
  <si>
    <t>Monitoring Frequency</t>
  </si>
  <si>
    <t>Target</t>
  </si>
  <si>
    <t>Max.</t>
  </si>
  <si>
    <t>Average</t>
  </si>
  <si>
    <t>Summary of monitoring undertaken, standards used and compliance</t>
  </si>
  <si>
    <t>Periodic extractive monitoring is undertaken twice per year in accordance with the Environmental Permit. Monitoring is undertaken during normal operations by an independent MCERTS certified contractor. The results from these monitoring campaigns have already been submitted to the Environment Agency</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</si>
  <si>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</si>
  <si>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</si>
  <si>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</si>
  <si>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</si>
  <si>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</si>
  <si>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</si>
  <si>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</si>
  <si>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</si>
  <si>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</si>
  <si>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</si>
  <si>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</si>
  <si>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</si>
  <si>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</si>
  <si>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</si>
  <si>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</si>
  <si>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</si>
  <si>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</si>
  <si>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</si>
  <si>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</si>
  <si>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</si>
  <si>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</si>
  <si>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</si>
  <si>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</si>
  <si>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</si>
  <si>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&lt;0.001275</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</si>
  <si>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</si>
  <si>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</si>
  <si>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</si>
  <si>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</si>
  <si>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</si>
  <si>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</si>
  <si>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</si>
  <si>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</si>
  <si>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</si>
  <si>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</si>
  <si>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</si>
  <si>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</si>
  <si>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</si>
  <si>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</si>
  <si>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</si>
  <si>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 xml:space="preserve">The results from periodic emissions testing continue to show little variation from the long term average and where emission limit values apply they are below those limits by a substantial margin.. </t>
  </si>
  <si>
    <t>Template may require adjustment for any bespoke monitoring requirements of permit</t>
  </si>
  <si>
    <t xml:space="preserve">Stack emissions are continuously monitored by MCERTS certified gas analysers. To a design agreed by the environment agency. Two complete sets of monitors are used to ensure continuous monitoring in the event of an equipment failure. The equipment is maintained under a service contract with the suppliers and calibration is checked fortnightly by Cyclerval staff and annually by an MCERTS accredited contractor. </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</si>
  <si>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</si>
  <si>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</si>
  <si>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</si>
  <si>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</si>
  <si>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</si>
  <si>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</si>
  <si>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</si>
  <si>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</si>
  <si>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</si>
  <si>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</si>
  <si>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</si>
  <si>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</si>
  <si>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</si>
  <si>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</si>
  <si>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</si>
  <si>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</si>
  <si>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</si>
  <si>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</si>
  <si>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</si>
  <si>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</si>
  <si>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</si>
  <si>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</si>
  <si>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</si>
  <si>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</si>
  <si>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r>
      <t xml:space="preserve">Aerial emissions remain well controlled with day to day emission levels well below permitted limits. </t>
    </r>
    <r>
      <rPr>
        <sz val="11"/>
        <rFont val="Arial"/>
        <family val="2"/>
      </rPr>
      <t xml:space="preserve">The plant experienced three exceedances of the half hourly ELV for carbon monoxide during 2022. On each occason the rapid combustion of a compressed gas bottle appears to have caused a short lived reduction in available oxygen in the combustor leading to carbon monoxide formation. Each of these events were less than ten minutes in duration and had no effect of the daily average emissions. </t>
    </r>
  </si>
  <si>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</si>
  <si>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</si>
  <si>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</si>
  <si>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</si>
  <si>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</si>
  <si>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</si>
  <si>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</si>
  <si>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</si>
  <si>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</si>
  <si>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</si>
  <si>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</si>
  <si>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</si>
  <si>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</si>
  <si>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</si>
  <si>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</si>
  <si>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</si>
  <si>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</si>
  <si>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</si>
  <si>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</si>
  <si>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</si>
  <si>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</si>
  <si>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</si>
  <si>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</si>
  <si>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</si>
  <si>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</si>
  <si>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</si>
  <si>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</si>
  <si>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</si>
  <si>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</si>
  <si>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</si>
  <si>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</si>
  <si>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</si>
  <si>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</si>
  <si>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Average HCl levels have been a little higher than last year however they have been stable with no exceedances. The optimisation of the lime injection system has allowed a reduction in consumption of lime of approximately 1.5 kilogrammes per tonne of waste treated.</t>
  </si>
  <si>
    <t>Monitoring of Sulphur dioxide emissions</t>
  </si>
  <si>
    <t>1/2 hourly SO2 ELV</t>
  </si>
  <si>
    <t>Daily SO2 ELV</t>
  </si>
  <si>
    <t xml:space="preserve">Despite a reduction in the overall consumption in lime reagent during 2022, there has been a reduction in emissions of SO2.
As there was no corresponding reduction it is likely that this change was heavily influenced by changes in the composition of waste, particularly gypsum based products which are known to give rise to SO2 in the flue gas,  </t>
  </si>
  <si>
    <t>Monitoring of Oxides of Nitrogen emissions</t>
  </si>
  <si>
    <t>1/2 hourly NOx ELV</t>
  </si>
  <si>
    <t>Daily NOx ELV</t>
  </si>
  <si>
    <t xml:space="preserve">NOX emissions have remained stable this year with no exceedance of any emission limit value. A further reduction in urea consumption was achieved during 2022. </t>
  </si>
  <si>
    <t>Monitoring of Total organic carbon emissions</t>
  </si>
  <si>
    <t>1/2 hourly TOC ELV</t>
  </si>
  <si>
    <t>Daily TOC ELV</t>
  </si>
  <si>
    <t>TOC emissions have been well controlled during 2022 with no exceedances of Emission limit values.</t>
  </si>
  <si>
    <t>Monitoring of Particulate matter emissions</t>
  </si>
  <si>
    <t>1/2 hourly PM ELV</t>
  </si>
  <si>
    <t>Daily PM ELV</t>
  </si>
  <si>
    <t xml:space="preserve">The increase in particulate emissions identified in the 2021 report were addressed during 2022 by the replacement of all filter bags and refurbishment of the filter bag house. As a result particulate emissions have returned the levels produced during commissioning. </t>
  </si>
  <si>
    <t>Monitoring of Carbon Monoxide (half hourly)</t>
  </si>
  <si>
    <t>1/2 hourly CO ELV</t>
  </si>
  <si>
    <t>Daily CO ELV</t>
  </si>
  <si>
    <t xml:space="preserve">During Autumn 2023 the plant experienced three short duration peaks in CO which resulted in exceedances of the half hour emission limit value. These were caused when portable gas bottles entered the combustor leading to rapid but incomplete combustion of the gas as all available oxygen was consumed. Although the half hour limits were exceeded there was no effect on the daily emissions which overall were lower than in previous years. </t>
  </si>
  <si>
    <t xml:space="preserve">Monitoring of Ammonia emissions </t>
  </si>
  <si>
    <t>1/2 hourly NH3 ELV</t>
  </si>
  <si>
    <t>Daily NH3 ELV</t>
  </si>
  <si>
    <t xml:space="preserve"> 
An indicated ELV value of zero in the table above means that no ammonia limit is set in the permit.  
Emissions of ammonia have remained well controlled this year and consistent with previous years. The plant expects to meet the forthcoming emissions limit value without the need for changes to the plant or operating methods.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</si>
</sst>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43">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10"/>
      <name val="Arial"/>
      <family val="2"/>
    </font>
    <font>
      <sz val="10"/>
      <name val="Calibri"/>
      <family val="2"/>
    </font>
    <font>
      <sz val="14.5"/>
      <name val="Arial"/>
      <family val="2"/>
    </font>
    <font>
      <sz val="10"/>
      <color theme="1"/>
      <name val="Calibri"/>
      <family val="2"/>
    </font>
    <font>
      <sz val="10"/>
      <color rgb="FF000000"/>
      <name val="Arial"/>
      <family val="2"/>
    </font>
    <font>
      <sz val="10"/>
      <color rgb="FFFF0000"/>
      <name val="Arial"/>
      <family val="2"/>
    </font>
    <font>
      <sz val="11"/>
      <name val="Arial"/>
      <family val="2"/>
    </font>
    <font>
      <i/>
      <sz val="11"/>
      <name val="Arial"/>
      <family val="2"/>
    </font>
    <font>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style="thin">
        <color rgb="FF000000"/>
      </right>
      <top style="thin">
        <color rgb="FF000000"/>
      </top>
      <bottom style="thin">
        <color rgb="FF000000"/>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3" fillId="0" borderId="0" applyNumberFormat="0" applyFill="0" applyBorder="0" applyAlignment="0" applyProtection="0"/>
  </cellStyleXfs>
  <cellXfs count="44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3" fillId="0" borderId="0" xfId="0" applyFont="1" applyAlignment="1">
      <alignment horizontal="right"/>
    </xf>
    <xf numFmtId="0" fontId="28" fillId="0" borderId="0" xfId="0" applyFont="1"/>
    <xf numFmtId="0" fontId="29"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43" fontId="1" fillId="2" borderId="0" xfId="1" applyFont="1" applyFill="1" applyAlignment="1">
      <alignment horizontal="center"/>
    </xf>
    <xf numFmtId="4" fontId="1" fillId="0" borderId="2" xfId="0" applyNumberFormat="1" applyFont="1" applyBorder="1" applyAlignment="1">
      <alignment horizontal="center" vertical="center" wrapText="1"/>
    </xf>
    <xf numFmtId="0" fontId="1" fillId="2" borderId="2" xfId="0" applyFont="1" applyFill="1" applyBorder="1" applyAlignment="1">
      <alignment horizontal="left"/>
    </xf>
    <xf numFmtId="0" fontId="1" fillId="5" borderId="2" xfId="0" applyFont="1" applyFill="1" applyBorder="1" applyAlignment="1">
      <alignment horizontal="center" vertical="center" wrapText="1"/>
    </xf>
    <xf numFmtId="0" fontId="1" fillId="0" borderId="0" xfId="0" applyFont="1"/>
    <xf numFmtId="2" fontId="6" fillId="5" borderId="2" xfId="0" applyNumberFormat="1" applyFont="1" applyFill="1" applyBorder="1" applyAlignment="1">
      <alignment horizontal="center"/>
    </xf>
    <xf numFmtId="2" fontId="6" fillId="0" borderId="2" xfId="0" applyNumberFormat="1" applyFont="1" applyBorder="1"/>
    <xf numFmtId="2" fontId="6" fillId="0" borderId="0" xfId="0" applyNumberFormat="1" applyFont="1" applyAlignment="1">
      <alignment horizontal="center"/>
    </xf>
    <xf numFmtId="0" fontId="38" fillId="0" borderId="18" xfId="0" applyFont="1" applyBorder="1" applyAlignment="1">
      <alignment horizontal="right"/>
    </xf>
    <xf numFmtId="10" fontId="2" fillId="0" borderId="2" xfId="0" applyNumberFormat="1" applyFont="1" applyBorder="1" applyAlignment="1">
      <alignment horizontal="center" vertical="top"/>
    </xf>
    <xf numFmtId="0" fontId="1" fillId="2" borderId="2" xfId="0" applyFont="1" applyFill="1" applyBorder="1" applyAlignment="1">
      <alignment horizontal="center" vertical="center" wrapText="1"/>
    </xf>
    <xf numFmtId="0" fontId="2" fillId="2" borderId="0" xfId="0" applyFont="1" applyFill="1" applyAlignment="1">
      <alignment horizontal="center"/>
    </xf>
    <xf numFmtId="0" fontId="8" fillId="2" borderId="0" xfId="0" applyFont="1" applyFill="1" applyAlignment="1">
      <alignment horizontal="center"/>
    </xf>
    <xf numFmtId="0" fontId="33"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34" fillId="2" borderId="6" xfId="0" applyFont="1" applyFill="1" applyBorder="1" applyAlignment="1">
      <alignment horizontal="left" vertical="top" wrapText="1"/>
    </xf>
    <xf numFmtId="0" fontId="34" fillId="2" borderId="7" xfId="0" applyFont="1" applyFill="1" applyBorder="1" applyAlignment="1">
      <alignment horizontal="left" vertical="top" wrapText="1"/>
    </xf>
    <xf numFmtId="0" fontId="34" fillId="2" borderId="8" xfId="0" applyFont="1" applyFill="1" applyBorder="1" applyAlignment="1">
      <alignment horizontal="left" vertical="top" wrapText="1"/>
    </xf>
    <xf numFmtId="0" fontId="34" fillId="2" borderId="9" xfId="0" applyFont="1" applyFill="1" applyBorder="1" applyAlignment="1">
      <alignment horizontal="left" vertical="top" wrapText="1"/>
    </xf>
    <xf numFmtId="0" fontId="34" fillId="2" borderId="0" xfId="0" applyFont="1" applyFill="1" applyAlignment="1">
      <alignment horizontal="left" vertical="top" wrapText="1"/>
    </xf>
    <xf numFmtId="0" fontId="34" fillId="2" borderId="10" xfId="0" applyFont="1" applyFill="1" applyBorder="1" applyAlignment="1">
      <alignment horizontal="left" vertical="top" wrapText="1"/>
    </xf>
    <xf numFmtId="0" fontId="34" fillId="2" borderId="11" xfId="0" applyFont="1" applyFill="1" applyBorder="1" applyAlignment="1">
      <alignment horizontal="left" vertical="top" wrapText="1"/>
    </xf>
    <xf numFmtId="0" fontId="34" fillId="2" borderId="12" xfId="0" applyFont="1" applyFill="1" applyBorder="1" applyAlignment="1">
      <alignment horizontal="left" vertical="top" wrapText="1"/>
    </xf>
    <xf numFmtId="0" fontId="34" fillId="2" borderId="13" xfId="0" applyFont="1" applyFill="1" applyBorder="1" applyAlignment="1">
      <alignment horizontal="left" vertical="top" wrapText="1"/>
    </xf>
    <xf numFmtId="0" fontId="34" fillId="2" borderId="7" xfId="0" applyFont="1" applyFill="1" applyBorder="1" applyAlignment="1">
      <alignment horizontal="left" vertical="top"/>
    </xf>
    <xf numFmtId="0" fontId="34" fillId="2" borderId="8" xfId="0" applyFont="1" applyFill="1" applyBorder="1" applyAlignment="1">
      <alignment horizontal="left" vertical="top"/>
    </xf>
    <xf numFmtId="0" fontId="34" fillId="2" borderId="9" xfId="0" applyFont="1" applyFill="1" applyBorder="1" applyAlignment="1">
      <alignment horizontal="left" vertical="top"/>
    </xf>
    <xf numFmtId="0" fontId="34" fillId="2" borderId="0" xfId="0" applyFont="1" applyFill="1" applyAlignment="1">
      <alignment horizontal="left" vertical="top"/>
    </xf>
    <xf numFmtId="0" fontId="34" fillId="2" borderId="10" xfId="0" applyFont="1" applyFill="1" applyBorder="1" applyAlignment="1">
      <alignment horizontal="left" vertical="top"/>
    </xf>
    <xf numFmtId="0" fontId="34" fillId="2" borderId="11" xfId="0" applyFont="1" applyFill="1" applyBorder="1" applyAlignment="1">
      <alignment horizontal="left" vertical="top"/>
    </xf>
    <xf numFmtId="0" fontId="34" fillId="2" borderId="12" xfId="0" applyFont="1" applyFill="1" applyBorder="1" applyAlignment="1">
      <alignment horizontal="left" vertical="top"/>
    </xf>
    <xf numFmtId="0" fontId="34" fillId="2" borderId="13" xfId="0" applyFont="1" applyFill="1" applyBorder="1" applyAlignment="1">
      <alignment horizontal="left" vertical="top"/>
    </xf>
    <xf numFmtId="0" fontId="2" fillId="0" borderId="0" xfId="0" applyFont="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39" fillId="2" borderId="6" xfId="0" applyFont="1" applyFill="1" applyBorder="1" applyAlignment="1">
      <alignment horizontal="left" vertical="top" wrapText="1"/>
    </xf>
    <xf numFmtId="0" fontId="39" fillId="2" borderId="7" xfId="0" applyFont="1" applyFill="1" applyBorder="1" applyAlignment="1">
      <alignment horizontal="left" vertical="top" wrapText="1"/>
    </xf>
    <xf numFmtId="0" fontId="39" fillId="2" borderId="8" xfId="0" applyFont="1" applyFill="1" applyBorder="1" applyAlignment="1">
      <alignment horizontal="left" vertical="top" wrapText="1"/>
    </xf>
    <xf numFmtId="0" fontId="39" fillId="2" borderId="9" xfId="0" applyFont="1" applyFill="1" applyBorder="1" applyAlignment="1">
      <alignment horizontal="left" vertical="top" wrapText="1"/>
    </xf>
    <xf numFmtId="0" fontId="39" fillId="2" borderId="0" xfId="0" applyFont="1" applyFill="1" applyAlignment="1">
      <alignment horizontal="left" vertical="top" wrapText="1"/>
    </xf>
    <xf numFmtId="0" fontId="39" fillId="2" borderId="10" xfId="0" applyFont="1" applyFill="1" applyBorder="1" applyAlignment="1">
      <alignment horizontal="left" vertical="top" wrapText="1"/>
    </xf>
    <xf numFmtId="0" fontId="39" fillId="2" borderId="11" xfId="0" applyFont="1" applyFill="1" applyBorder="1" applyAlignment="1">
      <alignment horizontal="left" vertical="top" wrapText="1"/>
    </xf>
    <xf numFmtId="0" fontId="39" fillId="2" borderId="12" xfId="0" applyFont="1" applyFill="1" applyBorder="1" applyAlignment="1">
      <alignment horizontal="left" vertical="top" wrapText="1"/>
    </xf>
    <xf numFmtId="0" fontId="39" fillId="2" borderId="13" xfId="0" applyFont="1" applyFill="1" applyBorder="1" applyAlignment="1">
      <alignment horizontal="left" vertical="top" wrapText="1"/>
    </xf>
    <xf numFmtId="0" fontId="39" fillId="2" borderId="7" xfId="0" applyFont="1" applyFill="1" applyBorder="1" applyAlignment="1">
      <alignment horizontal="left" vertical="top"/>
    </xf>
    <xf numFmtId="0" fontId="39" fillId="2" borderId="8" xfId="0" applyFont="1" applyFill="1" applyBorder="1" applyAlignment="1">
      <alignment horizontal="left" vertical="top"/>
    </xf>
    <xf numFmtId="0" fontId="39" fillId="2" borderId="9" xfId="0" applyFont="1" applyFill="1" applyBorder="1" applyAlignment="1">
      <alignment horizontal="left" vertical="top"/>
    </xf>
    <xf numFmtId="0" fontId="39" fillId="2" borderId="0" xfId="0" applyFont="1" applyFill="1" applyAlignment="1">
      <alignment horizontal="left" vertical="top"/>
    </xf>
    <xf numFmtId="0" fontId="39" fillId="2" borderId="10" xfId="0" applyFont="1" applyFill="1" applyBorder="1" applyAlignment="1">
      <alignment horizontal="left" vertical="top"/>
    </xf>
    <xf numFmtId="0" fontId="39" fillId="2" borderId="11" xfId="0" applyFont="1" applyFill="1" applyBorder="1" applyAlignment="1">
      <alignment horizontal="left" vertical="top"/>
    </xf>
    <xf numFmtId="0" fontId="39" fillId="2" borderId="12" xfId="0" applyFont="1" applyFill="1" applyBorder="1" applyAlignment="1">
      <alignment horizontal="left" vertical="top"/>
    </xf>
    <xf numFmtId="0" fontId="39" fillId="2" borderId="13" xfId="0" applyFont="1" applyFill="1" applyBorder="1" applyAlignment="1">
      <alignment horizontal="left" vertical="top"/>
    </xf>
    <xf numFmtId="0" fontId="7" fillId="0" borderId="2" xfId="0" applyFont="1" applyBorder="1" applyAlignment="1">
      <alignment horizontal="left" vertical="top" wrapText="1"/>
    </xf>
    <xf numFmtId="0" fontId="40" fillId="2" borderId="2" xfId="0" applyFont="1" applyFill="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9" fillId="2" borderId="2" xfId="0" applyFont="1" applyFill="1" applyBorder="1" applyAlignment="1">
      <alignment horizontal="left" vertical="top" wrapText="1"/>
    </xf>
    <xf numFmtId="0" fontId="1" fillId="2" borderId="2"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 fillId="2" borderId="2" xfId="0" applyFont="1" applyFill="1" applyBorder="1" applyAlignment="1">
      <alignment horizontal="left" vertical="top"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6" xfId="0" applyFont="1" applyFill="1" applyBorder="1" applyAlignment="1">
      <alignment horizontal="center" wrapText="1"/>
    </xf>
    <xf numFmtId="0" fontId="1" fillId="2" borderId="7" xfId="0" applyFont="1" applyFill="1" applyBorder="1" applyAlignment="1">
      <alignment horizontal="center" wrapText="1"/>
    </xf>
    <xf numFmtId="0" fontId="1" fillId="2" borderId="8" xfId="0" applyFont="1" applyFill="1" applyBorder="1" applyAlignment="1">
      <alignment horizontal="center" wrapText="1"/>
    </xf>
    <xf numFmtId="0" fontId="1" fillId="2" borderId="9" xfId="0" applyFont="1" applyFill="1" applyBorder="1" applyAlignment="1">
      <alignment horizontal="center" wrapText="1"/>
    </xf>
    <xf numFmtId="0" fontId="1" fillId="2" borderId="0" xfId="0" applyFont="1" applyFill="1" applyAlignment="1">
      <alignment horizontal="center" wrapText="1"/>
    </xf>
    <xf numFmtId="0" fontId="1" fillId="2" borderId="10" xfId="0" applyFont="1" applyFill="1" applyBorder="1" applyAlignment="1">
      <alignment horizontal="center" wrapText="1"/>
    </xf>
    <xf numFmtId="0" fontId="1" fillId="2" borderId="11" xfId="0" applyFont="1" applyFill="1" applyBorder="1" applyAlignment="1">
      <alignment horizontal="center" wrapText="1"/>
    </xf>
    <xf numFmtId="0" fontId="1" fillId="2" borderId="12" xfId="0" applyFont="1" applyFill="1" applyBorder="1" applyAlignment="1">
      <alignment horizontal="center" wrapText="1"/>
    </xf>
    <xf numFmtId="0" fontId="1" fillId="2" borderId="13" xfId="0" applyFont="1" applyFill="1" applyBorder="1" applyAlignment="1">
      <alignment horizontal="center" wrapText="1"/>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wrapText="1"/>
    </xf>
    <xf numFmtId="0" fontId="1" fillId="2" borderId="6" xfId="0" applyFont="1" applyFill="1"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41" fillId="0" borderId="3" xfId="0" applyFont="1" applyBorder="1" applyAlignment="1">
      <alignment vertical="top" wrapText="1"/>
    </xf>
    <xf numFmtId="0" fontId="42" fillId="0" borderId="5" xfId="0" applyFont="1" applyBorder="1" applyAlignment="1">
      <alignment vertical="top" wrapText="1"/>
    </xf>
    <xf numFmtId="0" fontId="2" fillId="0" borderId="2" xfId="0" applyFont="1" applyBorder="1" applyAlignment="1">
      <alignment vertical="top" wrapText="1"/>
    </xf>
    <xf numFmtId="0" fontId="41" fillId="0" borderId="2" xfId="0" applyFont="1" applyBorder="1" applyAlignment="1">
      <alignment vertical="top" wrapText="1"/>
    </xf>
    <xf numFmtId="0" fontId="42" fillId="0" borderId="2" xfId="0" applyFont="1" applyBorder="1" applyAlignment="1">
      <alignment vertical="top" wrapText="1"/>
    </xf>
    <xf numFmtId="0" fontId="0" fillId="0" borderId="0" xfId="0" applyAlignment="1">
      <alignment wrapText="1"/>
    </xf>
    <xf numFmtId="0" fontId="2" fillId="0" borderId="0" xfId="0" applyFont="1" applyAlignment="1">
      <alignment vertical="top" wrapText="1"/>
    </xf>
    <xf numFmtId="0" fontId="10" fillId="3" borderId="2" xfId="0" applyFont="1" applyFill="1" applyBorder="1" applyAlignment="1">
      <alignment horizontal="left" vertical="center" wrapText="1"/>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wrapText="1"/>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40" fillId="2" borderId="6" xfId="0" applyFont="1" applyFill="1" applyBorder="1" applyAlignment="1">
      <alignment horizontal="left" vertical="top" wrapText="1"/>
    </xf>
    <xf numFmtId="0" fontId="19" fillId="2" borderId="7" xfId="0" applyFont="1" applyFill="1" applyBorder="1" applyAlignment="1">
      <alignment horizontal="left" vertical="top"/>
    </xf>
    <xf numFmtId="0" fontId="19" fillId="2" borderId="8" xfId="0" applyFont="1" applyFill="1" applyBorder="1" applyAlignment="1">
      <alignment horizontal="left" vertical="top"/>
    </xf>
    <xf numFmtId="0" fontId="19" fillId="2" borderId="9" xfId="0" applyFont="1" applyFill="1" applyBorder="1" applyAlignment="1">
      <alignment horizontal="left" vertical="top"/>
    </xf>
    <xf numFmtId="0" fontId="19" fillId="2" borderId="0" xfId="0" applyFont="1" applyFill="1" applyAlignment="1">
      <alignment horizontal="left" vertical="top"/>
    </xf>
    <xf numFmtId="0" fontId="19" fillId="2" borderId="10" xfId="0" applyFont="1" applyFill="1" applyBorder="1" applyAlignment="1">
      <alignment horizontal="left" vertical="top"/>
    </xf>
    <xf numFmtId="0" fontId="19" fillId="2" borderId="11" xfId="0" applyFont="1" applyFill="1" applyBorder="1" applyAlignment="1">
      <alignment horizontal="left" vertical="top"/>
    </xf>
    <xf numFmtId="0" fontId="19" fillId="2" borderId="12" xfId="0" applyFont="1" applyFill="1" applyBorder="1" applyAlignment="1">
      <alignment horizontal="left" vertical="top"/>
    </xf>
    <xf numFmtId="0" fontId="19"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center"/>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4" fontId="1"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14" fontId="1" fillId="2" borderId="6" xfId="0" applyNumberFormat="1" applyFont="1" applyFill="1" applyBorder="1" applyAlignment="1">
      <alignment horizontal="left" vertical="top"/>
    </xf>
    <xf numFmtId="15" fontId="1" fillId="2" borderId="6" xfId="0" applyNumberFormat="1" applyFont="1" applyFill="1" applyBorder="1" applyAlignment="1">
      <alignment horizontal="left" vertical="top"/>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14" fontId="1" fillId="2" borderId="6" xfId="0" applyNumberFormat="1" applyFont="1" applyFill="1" applyBorder="1" applyAlignment="1">
      <alignment horizontal="left" vertical="top" wrapText="1"/>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7.2</c:v>
                </c:pt>
                <c:pt idx="1">
                  <c:v>7.13</c:v>
                </c:pt>
                <c:pt idx="2">
                  <c:v>7.71</c:v>
                </c:pt>
                <c:pt idx="3">
                  <c:v>7.61</c:v>
                </c:pt>
                <c:pt idx="4">
                  <c:v>7.91</c:v>
                </c:pt>
                <c:pt idx="5">
                  <c:v>6.49</c:v>
                </c:pt>
                <c:pt idx="6">
                  <c:v>7.03</c:v>
                </c:pt>
                <c:pt idx="7">
                  <c:v>7.65</c:v>
                </c:pt>
                <c:pt idx="8">
                  <c:v>7.66</c:v>
                </c:pt>
                <c:pt idx="9">
                  <c:v>7.57</c:v>
                </c:pt>
                <c:pt idx="10">
                  <c:v>7.31</c:v>
                </c:pt>
                <c:pt idx="11">
                  <c:v>7.98</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10.62</c:v>
                </c:pt>
                <c:pt idx="1">
                  <c:v>9.65</c:v>
                </c:pt>
                <c:pt idx="2">
                  <c:v>15.14</c:v>
                </c:pt>
                <c:pt idx="3">
                  <c:v>15.52</c:v>
                </c:pt>
                <c:pt idx="4">
                  <c:v>16.75</c:v>
                </c:pt>
                <c:pt idx="5">
                  <c:v>10.76</c:v>
                </c:pt>
                <c:pt idx="6">
                  <c:v>56.36</c:v>
                </c:pt>
                <c:pt idx="7">
                  <c:v>27.83</c:v>
                </c:pt>
                <c:pt idx="8">
                  <c:v>25.22</c:v>
                </c:pt>
                <c:pt idx="9">
                  <c:v>32.21</c:v>
                </c:pt>
                <c:pt idx="10">
                  <c:v>19.309999999999999</c:v>
                </c:pt>
                <c:pt idx="11">
                  <c:v>34.729999999999997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7.2</c:v>
                </c:pt>
                <c:pt idx="1">
                  <c:v>7.13</c:v>
                </c:pt>
                <c:pt idx="2">
                  <c:v>7.71</c:v>
                </c:pt>
                <c:pt idx="3">
                  <c:v>7.64</c:v>
                </c:pt>
                <c:pt idx="4">
                  <c:v>7.91</c:v>
                </c:pt>
                <c:pt idx="5">
                  <c:v>6.83</c:v>
                </c:pt>
                <c:pt idx="6">
                  <c:v>7.09</c:v>
                </c:pt>
                <c:pt idx="7">
                  <c:v>7.75</c:v>
                </c:pt>
                <c:pt idx="8">
                  <c:v>7.66</c:v>
                </c:pt>
                <c:pt idx="9">
                  <c:v>7.58</c:v>
                </c:pt>
                <c:pt idx="10">
                  <c:v>7.31</c:v>
                </c:pt>
                <c:pt idx="11">
                  <c:v>7.98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7.66</c:v>
                </c:pt>
                <c:pt idx="1">
                  <c:v>7.85</c:v>
                </c:pt>
                <c:pt idx="2">
                  <c:v>8.4700000000000006</c:v>
                </c:pt>
                <c:pt idx="3">
                  <c:v>8.56</c:v>
                </c:pt>
                <c:pt idx="4">
                  <c:v>8.52</c:v>
                </c:pt>
                <c:pt idx="5">
                  <c:v>8.4499999999999993</c:v>
                </c:pt>
                <c:pt idx="6">
                  <c:v>9.59</c:v>
                </c:pt>
                <c:pt idx="7">
                  <c:v>9.1300000000000008</c:v>
                </c:pt>
                <c:pt idx="8">
                  <c:v>8.69</c:v>
                </c:pt>
                <c:pt idx="9">
                  <c:v>8.4499999999999993</c:v>
                </c:pt>
                <c:pt idx="10">
                  <c:v>8.1199999999999992</c:v>
                </c:pt>
                <c:pt idx="11">
                  <c:v>8.85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2.12</c:v>
                </c:pt>
                <c:pt idx="1">
                  <c:v>4.92</c:v>
                </c:pt>
                <c:pt idx="2">
                  <c:v>5.65</c:v>
                </c:pt>
                <c:pt idx="3">
                  <c:v>7.28</c:v>
                </c:pt>
                <c:pt idx="4">
                  <c:v>7.94</c:v>
                </c:pt>
                <c:pt idx="5">
                  <c:v>12.92</c:v>
                </c:pt>
                <c:pt idx="6">
                  <c:v>8.5299999999999994</c:v>
                </c:pt>
                <c:pt idx="7">
                  <c:v>8.07</c:v>
                </c:pt>
                <c:pt idx="8">
                  <c:v>7.69</c:v>
                </c:pt>
                <c:pt idx="9">
                  <c:v>10.65</c:v>
                </c:pt>
                <c:pt idx="10">
                  <c:v>8.61</c:v>
                </c:pt>
                <c:pt idx="11">
                  <c:v>7.66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26.01</c:v>
                </c:pt>
                <c:pt idx="1">
                  <c:v>24.67</c:v>
                </c:pt>
                <c:pt idx="2">
                  <c:v>56.6</c:v>
                </c:pt>
                <c:pt idx="3">
                  <c:v>24.84</c:v>
                </c:pt>
                <c:pt idx="4">
                  <c:v>29.45</c:v>
                </c:pt>
                <c:pt idx="5">
                  <c:v>32.29</c:v>
                </c:pt>
                <c:pt idx="6">
                  <c:v>73.81</c:v>
                </c:pt>
                <c:pt idx="7">
                  <c:v>27.7</c:v>
                </c:pt>
                <c:pt idx="8">
                  <c:v>21.21</c:v>
                </c:pt>
                <c:pt idx="9">
                  <c:v>29.6</c:v>
                </c:pt>
                <c:pt idx="10">
                  <c:v>43.37</c:v>
                </c:pt>
                <c:pt idx="11">
                  <c:v>31.02</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2.11</c:v>
                </c:pt>
                <c:pt idx="1">
                  <c:v>4.92</c:v>
                </c:pt>
                <c:pt idx="2">
                  <c:v>5.65</c:v>
                </c:pt>
                <c:pt idx="3">
                  <c:v>7.31</c:v>
                </c:pt>
                <c:pt idx="4">
                  <c:v>7.94</c:v>
                </c:pt>
                <c:pt idx="5">
                  <c:v>13.77</c:v>
                </c:pt>
                <c:pt idx="6">
                  <c:v>8.5500000000000007</c:v>
                </c:pt>
                <c:pt idx="7">
                  <c:v>8.1300000000000008</c:v>
                </c:pt>
                <c:pt idx="8">
                  <c:v>7.69</c:v>
                </c:pt>
                <c:pt idx="9">
                  <c:v>10.63</c:v>
                </c:pt>
                <c:pt idx="10">
                  <c:v>8.61</c:v>
                </c:pt>
                <c:pt idx="11">
                  <c:v>7.66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6.33</c:v>
                </c:pt>
                <c:pt idx="1">
                  <c:v>10.59</c:v>
                </c:pt>
                <c:pt idx="2">
                  <c:v>9.4499999999999993</c:v>
                </c:pt>
                <c:pt idx="3">
                  <c:v>10.23</c:v>
                </c:pt>
                <c:pt idx="4">
                  <c:v>11.33</c:v>
                </c:pt>
                <c:pt idx="5">
                  <c:v>17.23</c:v>
                </c:pt>
                <c:pt idx="6">
                  <c:v>13.7</c:v>
                </c:pt>
                <c:pt idx="7">
                  <c:v>10.86</c:v>
                </c:pt>
                <c:pt idx="8">
                  <c:v>10.72</c:v>
                </c:pt>
                <c:pt idx="9">
                  <c:v>15.46</c:v>
                </c:pt>
                <c:pt idx="10">
                  <c:v>19.39</c:v>
                </c:pt>
                <c:pt idx="11">
                  <c:v>10.039999999999999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182.87</c:v>
                </c:pt>
                <c:pt idx="1">
                  <c:v>187.05</c:v>
                </c:pt>
                <c:pt idx="2">
                  <c:v>188.33</c:v>
                </c:pt>
                <c:pt idx="3">
                  <c:v>187.21</c:v>
                </c:pt>
                <c:pt idx="4">
                  <c:v>188.96</c:v>
                </c:pt>
                <c:pt idx="5">
                  <c:v>182.39</c:v>
                </c:pt>
                <c:pt idx="6">
                  <c:v>167.57</c:v>
                </c:pt>
                <c:pt idx="7">
                  <c:v>190.34</c:v>
                </c:pt>
                <c:pt idx="8">
                  <c:v>194.74</c:v>
                </c:pt>
                <c:pt idx="9">
                  <c:v>194.65</c:v>
                </c:pt>
                <c:pt idx="10">
                  <c:v>188.51</c:v>
                </c:pt>
                <c:pt idx="11">
                  <c:v>180.63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199.23</c:v>
                </c:pt>
                <c:pt idx="1">
                  <c:v>199.36</c:v>
                </c:pt>
                <c:pt idx="2">
                  <c:v>215.24</c:v>
                </c:pt>
                <c:pt idx="3">
                  <c:v>211.02</c:v>
                </c:pt>
                <c:pt idx="4">
                  <c:v>203.41</c:v>
                </c:pt>
                <c:pt idx="5">
                  <c:v>206.36</c:v>
                </c:pt>
                <c:pt idx="6">
                  <c:v>201.16</c:v>
                </c:pt>
                <c:pt idx="7">
                  <c:v>247.39</c:v>
                </c:pt>
                <c:pt idx="8">
                  <c:v>213.91</c:v>
                </c:pt>
                <c:pt idx="9">
                  <c:v>219.02</c:v>
                </c:pt>
                <c:pt idx="10">
                  <c:v>233.82</c:v>
                </c:pt>
                <c:pt idx="11">
                  <c:v>225.37</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182.88</c:v>
                </c:pt>
                <c:pt idx="1">
                  <c:v>187.05</c:v>
                </c:pt>
                <c:pt idx="2">
                  <c:v>188.34</c:v>
                </c:pt>
                <c:pt idx="3">
                  <c:v>186.97</c:v>
                </c:pt>
                <c:pt idx="4">
                  <c:v>188.96</c:v>
                </c:pt>
                <c:pt idx="5">
                  <c:v>182.91</c:v>
                </c:pt>
                <c:pt idx="6">
                  <c:v>167.44</c:v>
                </c:pt>
                <c:pt idx="7">
                  <c:v>190.41</c:v>
                </c:pt>
                <c:pt idx="8">
                  <c:v>194.74</c:v>
                </c:pt>
                <c:pt idx="9">
                  <c:v>194.71</c:v>
                </c:pt>
                <c:pt idx="10">
                  <c:v>188.51</c:v>
                </c:pt>
                <c:pt idx="11">
                  <c:v>180.63</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188.44</c:v>
                </c:pt>
                <c:pt idx="1">
                  <c:v>190.92</c:v>
                </c:pt>
                <c:pt idx="2">
                  <c:v>194.62</c:v>
                </c:pt>
                <c:pt idx="3">
                  <c:v>192.92</c:v>
                </c:pt>
                <c:pt idx="4">
                  <c:v>193.17</c:v>
                </c:pt>
                <c:pt idx="5">
                  <c:v>190.61</c:v>
                </c:pt>
                <c:pt idx="6">
                  <c:v>192.9</c:v>
                </c:pt>
                <c:pt idx="7">
                  <c:v>195.42</c:v>
                </c:pt>
                <c:pt idx="8">
                  <c:v>198.94</c:v>
                </c:pt>
                <c:pt idx="9">
                  <c:v>196.89</c:v>
                </c:pt>
                <c:pt idx="10">
                  <c:v>195.85</c:v>
                </c:pt>
                <c:pt idx="11">
                  <c:v>188.59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0.14000000000000001</c:v>
                </c:pt>
                <c:pt idx="1">
                  <c:v>0.26</c:v>
                </c:pt>
                <c:pt idx="2">
                  <c:v>0.48</c:v>
                </c:pt>
                <c:pt idx="3">
                  <c:v>0.27</c:v>
                </c:pt>
                <c:pt idx="4">
                  <c:v>0.25</c:v>
                </c:pt>
                <c:pt idx="5">
                  <c:v>0.36</c:v>
                </c:pt>
                <c:pt idx="6">
                  <c:v>0.18</c:v>
                </c:pt>
                <c:pt idx="7">
                  <c:v>0.24</c:v>
                </c:pt>
                <c:pt idx="8">
                  <c:v>0.43</c:v>
                </c:pt>
                <c:pt idx="9">
                  <c:v>0.5</c:v>
                </c:pt>
                <c:pt idx="10">
                  <c:v>0.48</c:v>
                </c:pt>
                <c:pt idx="11">
                  <c:v>0.51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0.78</c:v>
                </c:pt>
                <c:pt idx="1">
                  <c:v>0.7</c:v>
                </c:pt>
                <c:pt idx="2">
                  <c:v>0.96</c:v>
                </c:pt>
                <c:pt idx="3">
                  <c:v>0.8</c:v>
                </c:pt>
                <c:pt idx="4">
                  <c:v>0.65</c:v>
                </c:pt>
                <c:pt idx="5">
                  <c:v>0.72</c:v>
                </c:pt>
                <c:pt idx="6">
                  <c:v>1.56</c:v>
                </c:pt>
                <c:pt idx="7">
                  <c:v>0.91</c:v>
                </c:pt>
                <c:pt idx="8">
                  <c:v>4.8600000000000003</c:v>
                </c:pt>
                <c:pt idx="9">
                  <c:v>4.01</c:v>
                </c:pt>
                <c:pt idx="10">
                  <c:v>3.08</c:v>
                </c:pt>
                <c:pt idx="11">
                  <c:v>1.45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0.14000000000000001</c:v>
                </c:pt>
                <c:pt idx="1">
                  <c:v>0.26</c:v>
                </c:pt>
                <c:pt idx="2">
                  <c:v>0.48</c:v>
                </c:pt>
                <c:pt idx="3">
                  <c:v>0.26</c:v>
                </c:pt>
                <c:pt idx="4">
                  <c:v>0.25</c:v>
                </c:pt>
                <c:pt idx="5">
                  <c:v>0.36</c:v>
                </c:pt>
                <c:pt idx="6">
                  <c:v>0.17</c:v>
                </c:pt>
                <c:pt idx="7">
                  <c:v>0.23</c:v>
                </c:pt>
                <c:pt idx="8">
                  <c:v>0.43</c:v>
                </c:pt>
                <c:pt idx="9">
                  <c:v>0.5</c:v>
                </c:pt>
                <c:pt idx="10">
                  <c:v>0.48</c:v>
                </c:pt>
                <c:pt idx="11">
                  <c:v>0.51</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0.38</c:v>
                </c:pt>
                <c:pt idx="1">
                  <c:v>0.45</c:v>
                </c:pt>
                <c:pt idx="2">
                  <c:v>0.75</c:v>
                </c:pt>
                <c:pt idx="3">
                  <c:v>0.62</c:v>
                </c:pt>
                <c:pt idx="4">
                  <c:v>0.4</c:v>
                </c:pt>
                <c:pt idx="5">
                  <c:v>0.43</c:v>
                </c:pt>
                <c:pt idx="6">
                  <c:v>0.59</c:v>
                </c:pt>
                <c:pt idx="7">
                  <c:v>0.61</c:v>
                </c:pt>
                <c:pt idx="8">
                  <c:v>0.7</c:v>
                </c:pt>
                <c:pt idx="9">
                  <c:v>0.56000000000000005</c:v>
                </c:pt>
                <c:pt idx="10">
                  <c:v>0.6</c:v>
                </c:pt>
                <c:pt idx="11">
                  <c:v>0.64</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1.1399999999999999</c:v>
                </c:pt>
                <c:pt idx="1">
                  <c:v>1.71</c:v>
                </c:pt>
                <c:pt idx="2">
                  <c:v>1.3</c:v>
                </c:pt>
                <c:pt idx="3">
                  <c:v>1.42</c:v>
                </c:pt>
                <c:pt idx="4">
                  <c:v>2.0099999999999998</c:v>
                </c:pt>
                <c:pt idx="5">
                  <c:v>0.2</c:v>
                </c:pt>
                <c:pt idx="6">
                  <c:v>0.37</c:v>
                </c:pt>
                <c:pt idx="7">
                  <c:v>0.91</c:v>
                </c:pt>
                <c:pt idx="8">
                  <c:v>0.68</c:v>
                </c:pt>
                <c:pt idx="9">
                  <c:v>0.73</c:v>
                </c:pt>
                <c:pt idx="10">
                  <c:v>0.73</c:v>
                </c:pt>
                <c:pt idx="11">
                  <c:v>0.76</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3.7</c:v>
                </c:pt>
                <c:pt idx="1">
                  <c:v>4.1500000000000004</c:v>
                </c:pt>
                <c:pt idx="2">
                  <c:v>4.58</c:v>
                </c:pt>
                <c:pt idx="3">
                  <c:v>6.95</c:v>
                </c:pt>
                <c:pt idx="4">
                  <c:v>7.28</c:v>
                </c:pt>
                <c:pt idx="5">
                  <c:v>8.73</c:v>
                </c:pt>
                <c:pt idx="6">
                  <c:v>2.31</c:v>
                </c:pt>
                <c:pt idx="7">
                  <c:v>1.64</c:v>
                </c:pt>
                <c:pt idx="8">
                  <c:v>1.35</c:v>
                </c:pt>
                <c:pt idx="9">
                  <c:v>2.2599999999999998</c:v>
                </c:pt>
                <c:pt idx="10">
                  <c:v>1.47</c:v>
                </c:pt>
                <c:pt idx="11">
                  <c:v>1.28</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1.1399999999999999</c:v>
                </c:pt>
                <c:pt idx="1">
                  <c:v>1.71</c:v>
                </c:pt>
                <c:pt idx="2">
                  <c:v>1.3</c:v>
                </c:pt>
                <c:pt idx="3">
                  <c:v>1.41</c:v>
                </c:pt>
                <c:pt idx="4">
                  <c:v>2.0099999999999998</c:v>
                </c:pt>
                <c:pt idx="5">
                  <c:v>0.11</c:v>
                </c:pt>
                <c:pt idx="6">
                  <c:v>0.39</c:v>
                </c:pt>
                <c:pt idx="7">
                  <c:v>0.92</c:v>
                </c:pt>
                <c:pt idx="8">
                  <c:v>0.68</c:v>
                </c:pt>
                <c:pt idx="9">
                  <c:v>0.73</c:v>
                </c:pt>
                <c:pt idx="10">
                  <c:v>0.73</c:v>
                </c:pt>
                <c:pt idx="11">
                  <c:v>0.76</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1.89</c:v>
                </c:pt>
                <c:pt idx="1">
                  <c:v>2.2599999999999998</c:v>
                </c:pt>
                <c:pt idx="2">
                  <c:v>2.2000000000000002</c:v>
                </c:pt>
                <c:pt idx="3">
                  <c:v>2</c:v>
                </c:pt>
                <c:pt idx="4">
                  <c:v>3.6</c:v>
                </c:pt>
                <c:pt idx="5">
                  <c:v>3.32</c:v>
                </c:pt>
                <c:pt idx="6">
                  <c:v>1.2</c:v>
                </c:pt>
                <c:pt idx="7">
                  <c:v>1.23</c:v>
                </c:pt>
                <c:pt idx="8">
                  <c:v>0.94</c:v>
                </c:pt>
                <c:pt idx="9">
                  <c:v>0.91</c:v>
                </c:pt>
                <c:pt idx="10">
                  <c:v>0.83</c:v>
                </c:pt>
                <c:pt idx="11">
                  <c:v>0.8</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5.33</c:v>
                </c:pt>
                <c:pt idx="1">
                  <c:v>5.01</c:v>
                </c:pt>
                <c:pt idx="2">
                  <c:v>5.33</c:v>
                </c:pt>
                <c:pt idx="3">
                  <c:v>5.52</c:v>
                </c:pt>
                <c:pt idx="4">
                  <c:v>5.16</c:v>
                </c:pt>
                <c:pt idx="5">
                  <c:v>4.0999999999999996</c:v>
                </c:pt>
                <c:pt idx="6">
                  <c:v>2.27</c:v>
                </c:pt>
                <c:pt idx="7">
                  <c:v>1.47</c:v>
                </c:pt>
                <c:pt idx="8">
                  <c:v>2.1</c:v>
                </c:pt>
                <c:pt idx="9">
                  <c:v>2.71</c:v>
                </c:pt>
                <c:pt idx="10">
                  <c:v>3.51</c:v>
                </c:pt>
                <c:pt idx="11">
                  <c:v>3.05</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8.0399999999999991</c:v>
                </c:pt>
                <c:pt idx="1">
                  <c:v>8.86</c:v>
                </c:pt>
                <c:pt idx="2">
                  <c:v>8.32</c:v>
                </c:pt>
                <c:pt idx="3">
                  <c:v>21.34</c:v>
                </c:pt>
                <c:pt idx="4">
                  <c:v>10.99</c:v>
                </c:pt>
                <c:pt idx="5">
                  <c:v>9.3000000000000007</c:v>
                </c:pt>
                <c:pt idx="6">
                  <c:v>18.760000000000002</c:v>
                </c:pt>
                <c:pt idx="7">
                  <c:v>23.18</c:v>
                </c:pt>
                <c:pt idx="8">
                  <c:v>111.82</c:v>
                </c:pt>
                <c:pt idx="9">
                  <c:v>181.76</c:v>
                </c:pt>
                <c:pt idx="10">
                  <c:v>150.86000000000001</c:v>
                </c:pt>
                <c:pt idx="11">
                  <c:v>36.729999999999997</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5.33</c:v>
                </c:pt>
                <c:pt idx="1">
                  <c:v>5.01</c:v>
                </c:pt>
                <c:pt idx="2">
                  <c:v>5.33</c:v>
                </c:pt>
                <c:pt idx="3">
                  <c:v>5.49</c:v>
                </c:pt>
                <c:pt idx="4">
                  <c:v>5.16</c:v>
                </c:pt>
                <c:pt idx="5">
                  <c:v>4</c:v>
                </c:pt>
                <c:pt idx="6">
                  <c:v>2.21</c:v>
                </c:pt>
                <c:pt idx="7">
                  <c:v>1.45</c:v>
                </c:pt>
                <c:pt idx="8">
                  <c:v>2.1</c:v>
                </c:pt>
                <c:pt idx="9">
                  <c:v>2.69</c:v>
                </c:pt>
                <c:pt idx="10">
                  <c:v>3.51</c:v>
                </c:pt>
                <c:pt idx="11">
                  <c:v>3.05</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6.28</c:v>
                </c:pt>
                <c:pt idx="1">
                  <c:v>6.92</c:v>
                </c:pt>
                <c:pt idx="2">
                  <c:v>6.5</c:v>
                </c:pt>
                <c:pt idx="3">
                  <c:v>6.99</c:v>
                </c:pt>
                <c:pt idx="4">
                  <c:v>6.65</c:v>
                </c:pt>
                <c:pt idx="5">
                  <c:v>6.26</c:v>
                </c:pt>
                <c:pt idx="6">
                  <c:v>3.97</c:v>
                </c:pt>
                <c:pt idx="7">
                  <c:v>3.25</c:v>
                </c:pt>
                <c:pt idx="8">
                  <c:v>5.28</c:v>
                </c:pt>
                <c:pt idx="9">
                  <c:v>5.94</c:v>
                </c:pt>
                <c:pt idx="10">
                  <c:v>7.44</c:v>
                </c:pt>
                <c:pt idx="11">
                  <c:v>6.62</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0.28000000000000003</c:v>
                </c:pt>
                <c:pt idx="1">
                  <c:v>0.28999999999999998</c:v>
                </c:pt>
                <c:pt idx="2">
                  <c:v>0.28000000000000003</c:v>
                </c:pt>
                <c:pt idx="3">
                  <c:v>0.18</c:v>
                </c:pt>
                <c:pt idx="4">
                  <c:v>0.15</c:v>
                </c:pt>
                <c:pt idx="5">
                  <c:v>0.2</c:v>
                </c:pt>
                <c:pt idx="6">
                  <c:v>0.17</c:v>
                </c:pt>
                <c:pt idx="7">
                  <c:v>0.16</c:v>
                </c:pt>
                <c:pt idx="8">
                  <c:v>0.14000000000000001</c:v>
                </c:pt>
                <c:pt idx="9">
                  <c:v>0.22</c:v>
                </c:pt>
                <c:pt idx="10">
                  <c:v>0.11</c:v>
                </c:pt>
                <c:pt idx="11">
                  <c:v>0.16</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0.68</c:v>
                </c:pt>
                <c:pt idx="1">
                  <c:v>0.57999999999999996</c:v>
                </c:pt>
                <c:pt idx="2">
                  <c:v>0.42</c:v>
                </c:pt>
                <c:pt idx="3">
                  <c:v>0.48</c:v>
                </c:pt>
                <c:pt idx="4">
                  <c:v>0.41</c:v>
                </c:pt>
                <c:pt idx="5">
                  <c:v>0.84</c:v>
                </c:pt>
                <c:pt idx="6">
                  <c:v>5.72</c:v>
                </c:pt>
                <c:pt idx="7">
                  <c:v>0.47</c:v>
                </c:pt>
                <c:pt idx="8">
                  <c:v>0.34</c:v>
                </c:pt>
                <c:pt idx="9">
                  <c:v>0.71</c:v>
                </c:pt>
                <c:pt idx="10">
                  <c:v>0.51</c:v>
                </c:pt>
                <c:pt idx="11">
                  <c:v>1.43</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0.28000000000000003</c:v>
                </c:pt>
                <c:pt idx="1">
                  <c:v>0.28999999999999998</c:v>
                </c:pt>
                <c:pt idx="2">
                  <c:v>0.28000000000000003</c:v>
                </c:pt>
                <c:pt idx="3">
                  <c:v>0.18</c:v>
                </c:pt>
                <c:pt idx="4">
                  <c:v>0.15</c:v>
                </c:pt>
                <c:pt idx="5">
                  <c:v>0.18</c:v>
                </c:pt>
                <c:pt idx="6">
                  <c:v>0.17</c:v>
                </c:pt>
                <c:pt idx="7">
                  <c:v>0.16</c:v>
                </c:pt>
                <c:pt idx="8">
                  <c:v>0.14000000000000001</c:v>
                </c:pt>
                <c:pt idx="9">
                  <c:v>0.22</c:v>
                </c:pt>
                <c:pt idx="10">
                  <c:v>0.11</c:v>
                </c:pt>
                <c:pt idx="11">
                  <c:v>0.16</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0.37</c:v>
                </c:pt>
                <c:pt idx="1">
                  <c:v>0.41</c:v>
                </c:pt>
                <c:pt idx="2">
                  <c:v>0.34</c:v>
                </c:pt>
                <c:pt idx="3">
                  <c:v>0.32</c:v>
                </c:pt>
                <c:pt idx="4">
                  <c:v>0.21</c:v>
                </c:pt>
                <c:pt idx="5">
                  <c:v>0.34</c:v>
                </c:pt>
                <c:pt idx="6">
                  <c:v>0.26</c:v>
                </c:pt>
                <c:pt idx="7">
                  <c:v>0.21</c:v>
                </c:pt>
                <c:pt idx="8">
                  <c:v>0.23</c:v>
                </c:pt>
                <c:pt idx="9">
                  <c:v>0.36</c:v>
                </c:pt>
                <c:pt idx="10">
                  <c:v>0.31</c:v>
                </c:pt>
                <c:pt idx="11">
                  <c:v>0.28000000000000003</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638174</xdr:colOff>
      <xdr:row>0</xdr:row>
      <xdr:rowOff>0</xdr:rowOff>
    </xdr:from>
    <xdr:to>
      <xdr:col>7</xdr:col>
      <xdr:colOff>129716</xdr:colOff>
      <xdr:row>4</xdr:row>
      <xdr:rowOff>167640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76474" y="0"/>
          <a:ext cx="2670987" cy="933450"/>
        </a:xfrm>
        <a:prstGeom prst="rect">
          <a:avLst/>
        </a:prstGeom>
      </xdr:spPr>
    </xdr:pic>
    <xdr:clientData/>
  </xdr:twoCellAnchor>
  <xdr:twoCellAnchor editAs="oneCell">
    <xdr:from>
      <xdr:col>0</xdr:col>
      <xdr:colOff>409575</xdr:colOff>
      <xdr:row>6</xdr:row>
      <xdr:rowOff>56496</xdr:rowOff>
    </xdr:from>
    <xdr:to>
      <xdr:col>9</xdr:col>
      <xdr:colOff>191290</xdr:colOff>
      <xdr:row>24</xdr:row>
      <xdr:rowOff>53803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409575" y="1199496"/>
          <a:ext cx="5887240" cy="34510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259080</xdr:colOff>
          <xdr:row>2</xdr:row>
          <xdr:rowOff>106680</xdr:rowOff>
        </xdr:from>
        <xdr:to>
          <xdr:col>11</xdr:col>
          <xdr:colOff>236220</xdr:colOff>
          <xdr:row>7</xdr:row>
          <xdr:rowOff>236220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drian.middlewick@cyclervaluk.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I56" sqref="I5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2"/>
      <c r="C1" s="92"/>
      <c r="D1" s="289" t="s">
        <v>0</v>
      </c>
      <c r="E1" s="289"/>
      <c r="F1" s="289"/>
      <c r="G1" s="289"/>
      <c r="H1" s="92"/>
      <c r="I1" s="92"/>
      <c r="J1" s="92"/>
      <c r="K1" s="92"/>
      <c r="L1" s="92"/>
      <c r="M1" s="92"/>
      <c r="N1" s="92"/>
      <c r="O1" s="92"/>
      <c r="P1" s="92"/>
    </row>
    <row r="2" spans="2:16">
      <c r="B2" s="92"/>
      <c r="C2" s="92"/>
      <c r="D2" s="289"/>
      <c r="E2" s="289"/>
      <c r="F2" s="289"/>
      <c r="G2" s="289"/>
      <c r="H2" s="92"/>
      <c r="I2" s="92"/>
      <c r="J2" s="92"/>
      <c r="K2" s="92"/>
      <c r="L2" s="92"/>
      <c r="M2" s="92"/>
      <c r="N2" s="92" t="s">
        <v>1</v>
      </c>
      <c r="O2" s="92"/>
      <c r="P2" s="290"/>
    </row>
    <row r="3" spans="2:16">
      <c r="B3" s="92"/>
      <c r="C3" s="92"/>
      <c r="D3" s="289"/>
      <c r="E3" s="289"/>
      <c r="F3" s="289"/>
      <c r="G3" s="289"/>
      <c r="H3" s="92"/>
      <c r="I3" s="92"/>
      <c r="J3" s="92"/>
      <c r="K3" s="92"/>
      <c r="L3" s="92"/>
      <c r="M3" s="92"/>
      <c r="N3" s="290"/>
      <c r="O3" s="92"/>
      <c r="P3" s="92"/>
    </row>
    <row r="4" spans="2:16">
      <c r="B4" s="92"/>
      <c r="C4" s="92"/>
      <c r="D4" s="289"/>
      <c r="E4" s="289"/>
      <c r="F4" s="289"/>
      <c r="G4" s="289"/>
      <c r="H4" s="92"/>
      <c r="I4" s="92"/>
      <c r="J4" s="92"/>
      <c r="K4" s="92"/>
      <c r="L4" s="92"/>
      <c r="M4" s="92"/>
      <c r="N4" s="92"/>
      <c r="O4" s="92"/>
      <c r="P4" s="92"/>
    </row>
    <row r="5" spans="2:16">
      <c r="B5" s="92"/>
      <c r="C5" s="92"/>
      <c r="D5" s="289"/>
      <c r="E5" s="289"/>
      <c r="F5" s="289"/>
      <c r="G5" s="289"/>
      <c r="H5" s="92"/>
      <c r="I5" s="92"/>
      <c r="J5" s="92"/>
      <c r="K5" s="92"/>
      <c r="L5" s="92"/>
      <c r="M5" s="92"/>
      <c r="N5" s="92"/>
      <c r="O5" s="92"/>
      <c r="P5" s="92"/>
    </row>
    <row r="6" spans="2:16">
      <c r="B6" s="92"/>
      <c r="C6" s="92"/>
      <c r="D6" s="289"/>
      <c r="E6" s="289"/>
      <c r="F6" s="289"/>
      <c r="G6" s="289"/>
      <c r="H6" s="92"/>
      <c r="I6" s="92"/>
      <c r="J6" s="92"/>
      <c r="K6" s="92"/>
      <c r="L6" s="92"/>
      <c r="M6" s="92"/>
      <c r="N6" s="92"/>
      <c r="O6" s="92"/>
      <c r="P6" s="92"/>
    </row>
    <row r="8" spans="2:16" ht="15.75" customHeight="1">
      <c r="B8" s="289" t="s">
        <v>2</v>
      </c>
      <c r="C8" s="289"/>
      <c r="D8" s="289"/>
      <c r="E8" s="289"/>
      <c r="F8" s="289"/>
      <c r="G8" s="289"/>
      <c r="H8" s="289"/>
      <c r="I8" s="289"/>
      <c r="J8" s="92"/>
      <c r="K8" s="92"/>
      <c r="L8" s="92"/>
      <c r="M8" s="92"/>
      <c r="N8" s="71"/>
      <c r="O8" s="92"/>
      <c r="P8" s="92"/>
    </row>
    <row r="9" spans="2:16">
      <c r="B9" s="289"/>
      <c r="C9" s="289"/>
      <c r="D9" s="289"/>
      <c r="E9" s="289"/>
      <c r="F9" s="289"/>
      <c r="G9" s="289"/>
      <c r="H9" s="289"/>
      <c r="I9" s="289"/>
      <c r="J9" s="92"/>
      <c r="K9" s="92"/>
      <c r="L9" s="92"/>
      <c r="M9" s="92"/>
      <c r="N9" s="92"/>
      <c r="O9" s="92"/>
      <c r="P9" s="92"/>
    </row>
    <row r="10" spans="2:16">
      <c r="B10" s="289"/>
      <c r="C10" s="289"/>
      <c r="D10" s="289"/>
      <c r="E10" s="289"/>
      <c r="F10" s="289"/>
      <c r="G10" s="289"/>
      <c r="H10" s="289"/>
      <c r="I10" s="289"/>
      <c r="J10" s="92"/>
      <c r="K10" s="92"/>
      <c r="L10" s="92"/>
      <c r="M10" s="92"/>
      <c r="N10" s="92"/>
      <c r="O10" s="92"/>
      <c r="P10" s="92"/>
    </row>
    <row r="11" spans="2:16">
      <c r="B11" s="289"/>
      <c r="C11" s="289"/>
      <c r="D11" s="289"/>
      <c r="E11" s="289"/>
      <c r="F11" s="289"/>
      <c r="G11" s="289"/>
      <c r="H11" s="289"/>
      <c r="I11" s="289"/>
      <c r="J11" s="92"/>
      <c r="K11" s="92"/>
      <c r="L11" s="92"/>
      <c r="M11" s="92"/>
      <c r="N11" s="92"/>
      <c r="O11" s="92"/>
      <c r="P11" s="92"/>
    </row>
    <row r="12" spans="2:16">
      <c r="B12" s="289"/>
      <c r="C12" s="289"/>
      <c r="D12" s="289"/>
      <c r="E12" s="289"/>
      <c r="F12" s="289"/>
      <c r="G12" s="289"/>
      <c r="H12" s="289"/>
      <c r="I12" s="289"/>
      <c r="J12" s="92"/>
      <c r="K12" s="92"/>
      <c r="L12" s="92"/>
      <c r="M12" s="92"/>
      <c r="N12" s="92"/>
      <c r="O12" s="92"/>
      <c r="P12" s="92"/>
    </row>
    <row r="13" spans="2:16" ht="15.6">
      <c r="B13" s="289"/>
      <c r="C13" s="289"/>
      <c r="D13" s="289"/>
      <c r="E13" s="289"/>
      <c r="F13" s="289"/>
      <c r="G13" s="289"/>
      <c r="H13" s="289"/>
      <c r="I13" s="289"/>
      <c r="J13" s="92"/>
      <c r="K13" s="92"/>
      <c r="L13" s="92"/>
      <c r="M13" s="92"/>
      <c r="N13" s="75" t="s">
        <v>3</v>
      </c>
      <c r="O13" s="73"/>
      <c r="P13" s="73"/>
    </row>
    <row r="14" spans="2:16" ht="15.6" customHeight="1">
      <c r="B14" s="289"/>
      <c r="C14" s="289"/>
      <c r="D14" s="289"/>
      <c r="E14" s="289"/>
      <c r="F14" s="289"/>
      <c r="G14" s="289"/>
      <c r="H14" s="289"/>
      <c r="I14" s="289"/>
      <c r="J14" s="92"/>
      <c r="K14" s="92"/>
      <c r="L14" s="92"/>
      <c r="M14" s="92"/>
      <c r="N14" s="114" t="s">
        <v>4</v>
      </c>
      <c r="O14" s="114"/>
      <c r="P14" s="114"/>
    </row>
    <row r="15" spans="2:16">
      <c r="B15" s="289"/>
      <c r="C15" s="289"/>
      <c r="D15" s="289"/>
      <c r="E15" s="289"/>
      <c r="F15" s="289"/>
      <c r="G15" s="289"/>
      <c r="H15" s="289"/>
      <c r="I15" s="289"/>
      <c r="J15" s="92"/>
      <c r="K15" s="92"/>
      <c r="L15" s="92"/>
      <c r="M15" s="92"/>
      <c r="N15" s="114"/>
      <c r="O15" s="114"/>
      <c r="P15" s="114"/>
    </row>
    <row r="16" spans="2:16">
      <c r="B16" s="289"/>
      <c r="C16" s="289"/>
      <c r="D16" s="289"/>
      <c r="E16" s="289"/>
      <c r="F16" s="289"/>
      <c r="G16" s="289"/>
      <c r="H16" s="289"/>
      <c r="I16" s="289"/>
      <c r="J16" s="92"/>
      <c r="K16" s="92"/>
      <c r="L16" s="92"/>
      <c r="M16" s="92"/>
      <c r="N16" s="114"/>
      <c r="O16" s="114"/>
      <c r="P16" s="114"/>
    </row>
    <row r="17" spans="2:16">
      <c r="B17" s="289"/>
      <c r="C17" s="289"/>
      <c r="D17" s="289"/>
      <c r="E17" s="289"/>
      <c r="F17" s="289"/>
      <c r="G17" s="289"/>
      <c r="H17" s="289"/>
      <c r="I17" s="289"/>
      <c r="J17" s="92"/>
      <c r="K17" s="92"/>
      <c r="L17" s="92"/>
      <c r="M17" s="92"/>
      <c r="N17" s="114"/>
      <c r="O17" s="114"/>
      <c r="P17" s="114"/>
    </row>
    <row r="18" spans="2:16">
      <c r="B18" s="289"/>
      <c r="C18" s="289"/>
      <c r="D18" s="289"/>
      <c r="E18" s="289"/>
      <c r="F18" s="289"/>
      <c r="G18" s="289"/>
      <c r="H18" s="289"/>
      <c r="I18" s="289"/>
      <c r="J18" s="92"/>
      <c r="K18" s="92"/>
      <c r="L18" s="92"/>
      <c r="M18" s="92"/>
      <c r="N18" s="114"/>
      <c r="O18" s="114"/>
      <c r="P18" s="114"/>
    </row>
    <row r="19" spans="2:16">
      <c r="B19" s="289"/>
      <c r="C19" s="289"/>
      <c r="D19" s="289"/>
      <c r="E19" s="289"/>
      <c r="F19" s="289"/>
      <c r="G19" s="289"/>
      <c r="H19" s="289"/>
      <c r="I19" s="289"/>
      <c r="J19" s="92"/>
      <c r="K19" s="92"/>
      <c r="L19" s="92"/>
      <c r="M19" s="92"/>
      <c r="N19" s="114"/>
      <c r="O19" s="114"/>
      <c r="P19" s="114"/>
    </row>
    <row r="20" spans="2:16">
      <c r="B20" s="289"/>
      <c r="C20" s="289"/>
      <c r="D20" s="289"/>
      <c r="E20" s="289"/>
      <c r="F20" s="289"/>
      <c r="G20" s="289"/>
      <c r="H20" s="289"/>
      <c r="I20" s="289"/>
      <c r="J20" s="92"/>
      <c r="K20" s="92"/>
      <c r="L20" s="92"/>
      <c r="M20" s="92"/>
      <c r="N20" s="92"/>
      <c r="O20" s="92"/>
      <c r="P20" s="92"/>
    </row>
    <row r="21" spans="2:16">
      <c r="B21" s="289"/>
      <c r="C21" s="289"/>
      <c r="D21" s="289"/>
      <c r="E21" s="289"/>
      <c r="F21" s="289"/>
      <c r="G21" s="289"/>
      <c r="H21" s="289"/>
      <c r="I21" s="289"/>
      <c r="J21" s="92"/>
      <c r="K21" s="92"/>
      <c r="L21" s="92"/>
      <c r="M21" s="92"/>
      <c r="N21" s="92"/>
      <c r="O21" s="92"/>
      <c r="P21" s="92"/>
    </row>
    <row r="22" spans="2:16">
      <c r="B22" s="289"/>
      <c r="C22" s="289"/>
      <c r="D22" s="289"/>
      <c r="E22" s="289"/>
      <c r="F22" s="289"/>
      <c r="G22" s="289"/>
      <c r="H22" s="289"/>
      <c r="I22" s="289"/>
      <c r="J22" s="92"/>
      <c r="K22" s="92"/>
      <c r="L22" s="92"/>
      <c r="M22" s="92"/>
      <c r="N22" s="92"/>
      <c r="O22" s="92"/>
      <c r="P22" s="92"/>
    </row>
    <row r="23" spans="2:16">
      <c r="B23" s="289"/>
      <c r="C23" s="289"/>
      <c r="D23" s="289"/>
      <c r="E23" s="289"/>
      <c r="F23" s="289"/>
      <c r="G23" s="289"/>
      <c r="H23" s="289"/>
      <c r="I23" s="289"/>
      <c r="J23" s="92"/>
      <c r="K23" s="92"/>
      <c r="L23" s="92"/>
      <c r="M23" s="92"/>
      <c r="N23" s="92"/>
      <c r="O23" s="92"/>
      <c r="P23" s="92"/>
    </row>
    <row r="24" spans="2:16">
      <c r="B24" s="289"/>
      <c r="C24" s="289"/>
      <c r="D24" s="289"/>
      <c r="E24" s="289"/>
      <c r="F24" s="289"/>
      <c r="G24" s="289"/>
      <c r="H24" s="289"/>
      <c r="I24" s="289"/>
      <c r="J24" s="92"/>
      <c r="K24" s="92"/>
      <c r="L24" s="92"/>
      <c r="M24" s="92"/>
      <c r="N24" s="92"/>
      <c r="O24" s="92"/>
      <c r="P24" s="92"/>
    </row>
    <row r="29" spans="2:16" ht="17.45">
      <c r="B29" s="112" t="s">
        <v>5</v>
      </c>
      <c r="C29" s="112"/>
      <c r="D29" s="112"/>
      <c r="E29" s="112"/>
      <c r="F29" s="112"/>
      <c r="G29" s="112"/>
      <c r="H29" s="112"/>
      <c r="I29" s="112"/>
      <c r="J29" s="92"/>
      <c r="K29" s="92"/>
      <c r="L29" s="92"/>
      <c r="M29" s="92"/>
      <c r="N29" s="92"/>
      <c r="O29" s="92"/>
      <c r="P29" s="92"/>
    </row>
    <row r="30" spans="2:16" ht="17.45">
      <c r="B30" s="92"/>
      <c r="C30" s="7"/>
      <c r="D30" s="8"/>
      <c r="E30" s="8"/>
      <c r="F30" s="8"/>
      <c r="G30" s="8"/>
      <c r="H30" s="8"/>
      <c r="I30" s="8"/>
      <c r="J30" s="92"/>
      <c r="K30" s="92"/>
      <c r="L30" s="92"/>
      <c r="M30" s="92"/>
      <c r="N30" s="92"/>
      <c r="O30" s="92"/>
      <c r="P30" s="92"/>
    </row>
    <row r="31" spans="2:16" ht="17.45">
      <c r="B31" s="112" t="s">
        <v>6</v>
      </c>
      <c r="C31" s="112"/>
      <c r="D31" s="112"/>
      <c r="E31" s="112"/>
      <c r="F31" s="112"/>
      <c r="G31" s="112"/>
      <c r="H31" s="112"/>
      <c r="I31" s="112"/>
      <c r="J31" s="92"/>
      <c r="K31" s="92"/>
      <c r="L31" s="92"/>
      <c r="M31" s="92"/>
      <c r="N31" s="92"/>
      <c r="O31" s="92"/>
      <c r="P31" s="92"/>
    </row>
    <row r="32" spans="2:16" ht="17.45">
      <c r="B32" s="92"/>
      <c r="C32" s="7"/>
      <c r="D32" s="8"/>
      <c r="E32" s="8"/>
      <c r="F32" s="8"/>
      <c r="G32" s="8"/>
      <c r="H32" s="8"/>
      <c r="I32" s="8"/>
      <c r="J32" s="92"/>
      <c r="K32" s="92"/>
      <c r="L32" s="92"/>
      <c r="M32" s="92"/>
      <c r="N32" s="92"/>
      <c r="O32" s="92"/>
      <c r="P32" s="92"/>
    </row>
    <row r="33" spans="2:9" ht="17.45">
      <c r="B33" s="112" t="s">
        <v>7</v>
      </c>
      <c r="C33" s="112"/>
      <c r="D33" s="112"/>
      <c r="E33" s="112"/>
      <c r="F33" s="112"/>
      <c r="G33" s="112"/>
      <c r="H33" s="112"/>
      <c r="I33" s="112"/>
    </row>
    <row r="34" spans="2:9" ht="17.45">
      <c r="B34" s="92"/>
      <c r="C34" s="7"/>
      <c r="D34" s="8"/>
      <c r="E34" s="8"/>
      <c r="F34" s="8"/>
      <c r="G34" s="8"/>
      <c r="H34" s="8"/>
      <c r="I34" s="8"/>
    </row>
    <row r="35" spans="2:9" ht="17.45">
      <c r="B35" s="112" t="s">
        <v>8</v>
      </c>
      <c r="C35" s="112"/>
      <c r="D35" s="112"/>
      <c r="E35" s="112"/>
      <c r="F35" s="112"/>
      <c r="G35" s="112"/>
      <c r="H35" s="112"/>
      <c r="I35" s="112"/>
    </row>
    <row r="37" spans="2:9" ht="17.45">
      <c r="B37" s="112" t="s">
        <v>9</v>
      </c>
      <c r="C37" s="112"/>
      <c r="D37" s="112"/>
      <c r="E37" s="112"/>
      <c r="F37" s="112"/>
      <c r="G37" s="112"/>
      <c r="H37" s="112"/>
      <c r="I37" s="112"/>
    </row>
    <row r="39" spans="2:9">
      <c r="B39" s="92" t="s">
        <v>10</v>
      </c>
      <c r="C39" s="291">
        <v>2022</v>
      </c>
      <c r="D39" s="92"/>
      <c r="E39" s="92"/>
      <c r="F39" s="92"/>
      <c r="G39" s="92"/>
      <c r="H39" s="92"/>
      <c r="I39" s="92"/>
    </row>
    <row r="40" spans="2:9" ht="14.25" customHeight="1">
      <c r="B40" s="92"/>
      <c r="C40" s="92"/>
      <c r="D40" s="92"/>
      <c r="E40" s="92"/>
      <c r="F40" s="92"/>
      <c r="G40" s="92"/>
      <c r="H40" s="92"/>
      <c r="I40" s="92"/>
    </row>
    <row r="41" spans="2:9">
      <c r="B41" s="292" t="s">
        <v>11</v>
      </c>
      <c r="C41" s="111" t="s">
        <v>12</v>
      </c>
      <c r="D41" s="111"/>
      <c r="E41" s="111"/>
      <c r="F41" s="111"/>
      <c r="G41" s="111"/>
      <c r="H41" s="111"/>
      <c r="I41" s="111"/>
    </row>
    <row r="42" spans="2:9">
      <c r="B42" s="292"/>
      <c r="C42" s="92"/>
      <c r="D42" s="92"/>
      <c r="E42" s="92"/>
      <c r="F42" s="92"/>
      <c r="G42" s="92"/>
      <c r="H42" s="92"/>
      <c r="I42" s="92"/>
    </row>
    <row r="43" spans="2:9">
      <c r="B43" s="292" t="s">
        <v>13</v>
      </c>
      <c r="C43" s="111" t="s">
        <v>14</v>
      </c>
      <c r="D43" s="111"/>
      <c r="E43" s="111"/>
      <c r="F43" s="92"/>
      <c r="G43" s="92"/>
      <c r="H43" s="92"/>
      <c r="I43" s="92"/>
    </row>
    <row r="44" spans="2:9">
      <c r="B44" s="292"/>
      <c r="C44" s="92"/>
      <c r="D44" s="92"/>
      <c r="E44" s="92"/>
      <c r="F44" s="92"/>
      <c r="G44" s="92"/>
      <c r="H44" s="92"/>
      <c r="I44" s="92"/>
    </row>
    <row r="45" spans="2:9" ht="15.6">
      <c r="B45" s="292" t="s">
        <v>15</v>
      </c>
      <c r="C45" s="113" t="s">
        <v>16</v>
      </c>
      <c r="D45" s="113"/>
      <c r="E45" s="113"/>
      <c r="F45" s="113"/>
      <c r="G45" s="113"/>
      <c r="H45" s="92"/>
      <c r="I45" s="92"/>
    </row>
    <row r="46" spans="2:9">
      <c r="B46" s="292"/>
      <c r="C46" s="92"/>
      <c r="D46" s="92"/>
      <c r="E46" s="92"/>
      <c r="F46" s="92"/>
      <c r="G46" s="92"/>
      <c r="H46" s="92"/>
      <c r="I46" s="92"/>
    </row>
    <row r="47" spans="2:9">
      <c r="B47" s="292" t="s">
        <v>17</v>
      </c>
      <c r="C47" s="111" t="s">
        <v>18</v>
      </c>
      <c r="D47" s="111"/>
      <c r="E47" s="92"/>
      <c r="F47" s="92" t="s">
        <v>19</v>
      </c>
      <c r="G47" s="111" t="s">
        <v>20</v>
      </c>
      <c r="H47" s="111"/>
      <c r="I47" s="111"/>
    </row>
    <row r="48" spans="2:9">
      <c r="B48" s="292"/>
      <c r="C48" s="92"/>
      <c r="D48" s="92"/>
      <c r="E48" s="92"/>
      <c r="F48" s="92"/>
      <c r="G48" s="92"/>
      <c r="H48" s="92"/>
      <c r="I48" s="92"/>
    </row>
    <row r="49" spans="2:9">
      <c r="B49" s="292" t="s">
        <v>21</v>
      </c>
      <c r="C49" s="111" t="s">
        <v>22</v>
      </c>
      <c r="D49" s="111"/>
      <c r="E49" s="92"/>
      <c r="F49" s="92" t="s">
        <v>19</v>
      </c>
      <c r="G49" s="111" t="s">
        <v>23</v>
      </c>
      <c r="H49" s="111"/>
      <c r="I49" s="111"/>
    </row>
    <row r="50" spans="2:9">
      <c r="B50" s="292"/>
      <c r="C50" s="92"/>
      <c r="D50" s="92"/>
      <c r="E50" s="92"/>
      <c r="F50" s="92"/>
      <c r="G50" s="92"/>
      <c r="H50" s="92"/>
      <c r="I50" s="92"/>
    </row>
    <row r="51" spans="2:9">
      <c r="B51" s="292" t="s">
        <v>24</v>
      </c>
      <c r="C51" s="291">
        <v>2</v>
      </c>
      <c r="D51" s="92"/>
      <c r="E51" s="92"/>
      <c r="F51" s="92"/>
      <c r="G51" s="92"/>
      <c r="H51" s="92"/>
      <c r="I51" s="92"/>
    </row>
    <row r="52" spans="2:9">
      <c r="B52" s="292"/>
      <c r="C52" s="92"/>
      <c r="D52" s="92"/>
      <c r="E52" s="92"/>
      <c r="F52" s="92"/>
      <c r="G52" s="92"/>
      <c r="H52" s="92"/>
      <c r="I52" s="92"/>
    </row>
    <row r="53" spans="2:9">
      <c r="B53" s="292" t="s">
        <v>25</v>
      </c>
      <c r="C53" s="293">
        <v>44959</v>
      </c>
      <c r="D53" s="111"/>
      <c r="E53" s="92"/>
      <c r="F53" s="92"/>
      <c r="G53" s="92"/>
      <c r="H53" s="92"/>
      <c r="I53" s="9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7:D47"/>
    <mergeCell ref="G47:I47"/>
    <mergeCell ref="C45:G45"/>
  </mergeCells>
  <hyperlinks>
    <hyperlink ref="C45" r:id="rId1" xr:uid="{765EE58B-ABED-4574-B729-04016F2C1639}"/>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I56" sqref="I56"/>
    </sheetView>
  </sheetViews>
  <sheetFormatPr defaultColWidth="9.28515625" defaultRowHeight="15"/>
  <cols>
    <col min="1" max="1" width="9.28515625" style="2" customWidth="1"/>
    <col min="2" max="2" width="14.5703125" style="2" bestFit="1" customWidth="1"/>
    <col min="3" max="7" width="9.28515625" style="2"/>
    <col min="8" max="8" width="10.140625" style="2" bestFit="1" customWidth="1"/>
    <col min="9" max="9" width="9.28515625" style="2"/>
    <col min="10" max="10" width="11.5703125" style="2" customWidth="1"/>
    <col min="11" max="16384" width="9.28515625" style="2"/>
  </cols>
  <sheetData>
    <row r="1" spans="1:15">
      <c r="A1" s="92" t="str">
        <f>+'Cover Page'!$B$29</f>
        <v>Annual Performance Report 2022</v>
      </c>
      <c r="B1" s="92"/>
      <c r="C1" s="92"/>
      <c r="D1" s="92"/>
      <c r="E1" s="92" t="str">
        <f>+'Cover Page'!$B$33</f>
        <v>Exeter Energy From Waste Plant</v>
      </c>
      <c r="F1" s="92"/>
      <c r="G1" s="92"/>
      <c r="H1" s="92"/>
      <c r="I1" s="92"/>
      <c r="J1" s="92"/>
      <c r="K1" s="92"/>
      <c r="L1" s="92"/>
      <c r="M1" s="92"/>
      <c r="N1" s="92"/>
      <c r="O1" s="92"/>
    </row>
    <row r="3" spans="1:15" ht="15.6">
      <c r="A3" s="53" t="s">
        <v>26</v>
      </c>
      <c r="B3" s="294"/>
      <c r="C3" s="294"/>
      <c r="D3" s="294"/>
      <c r="E3" s="294"/>
      <c r="F3" s="294"/>
      <c r="G3" s="294"/>
      <c r="H3" s="295"/>
      <c r="I3" s="92"/>
      <c r="J3" s="92"/>
      <c r="K3" s="75" t="s">
        <v>3</v>
      </c>
      <c r="L3" s="92"/>
      <c r="M3" s="92"/>
      <c r="N3" s="92"/>
      <c r="O3" s="92"/>
    </row>
    <row r="4" spans="1:15" ht="15.6">
      <c r="A4" s="5" t="s">
        <v>27</v>
      </c>
      <c r="B4" s="126" t="s">
        <v>28</v>
      </c>
      <c r="C4" s="126"/>
      <c r="D4" s="126"/>
      <c r="E4" s="126"/>
      <c r="F4" s="126"/>
      <c r="G4" s="126"/>
      <c r="H4" s="6" t="s">
        <v>29</v>
      </c>
      <c r="I4" s="92"/>
      <c r="J4" s="92"/>
      <c r="K4" s="73" t="s">
        <v>30</v>
      </c>
      <c r="L4" s="92"/>
      <c r="M4" s="92"/>
      <c r="N4" s="92"/>
      <c r="O4" s="92"/>
    </row>
    <row r="5" spans="1:15" ht="15.6" customHeight="1">
      <c r="A5" s="4"/>
      <c r="B5" s="122" t="s">
        <v>31</v>
      </c>
      <c r="C5" s="122"/>
      <c r="D5" s="122"/>
      <c r="E5" s="122"/>
      <c r="F5" s="122"/>
      <c r="G5" s="122"/>
      <c r="H5" s="4">
        <v>4</v>
      </c>
      <c r="I5" s="92"/>
      <c r="J5" s="92"/>
      <c r="K5" s="114" t="s">
        <v>32</v>
      </c>
      <c r="L5" s="114"/>
      <c r="M5" s="114"/>
      <c r="N5" s="114"/>
      <c r="O5" s="114"/>
    </row>
    <row r="6" spans="1:15">
      <c r="A6" s="4"/>
      <c r="B6" s="122" t="s">
        <v>33</v>
      </c>
      <c r="C6" s="122"/>
      <c r="D6" s="122"/>
      <c r="E6" s="122"/>
      <c r="F6" s="122"/>
      <c r="G6" s="122"/>
      <c r="H6" s="4">
        <v>6</v>
      </c>
      <c r="I6" s="92"/>
      <c r="J6" s="92"/>
      <c r="K6" s="114"/>
      <c r="L6" s="114"/>
      <c r="M6" s="114"/>
      <c r="N6" s="114"/>
      <c r="O6" s="114"/>
    </row>
    <row r="7" spans="1:15" ht="15.75" customHeight="1">
      <c r="A7" s="4"/>
      <c r="B7" s="122" t="s">
        <v>34</v>
      </c>
      <c r="C7" s="122"/>
      <c r="D7" s="122"/>
      <c r="E7" s="122"/>
      <c r="F7" s="122"/>
      <c r="G7" s="122"/>
      <c r="H7" s="4">
        <v>7</v>
      </c>
      <c r="I7" s="92"/>
      <c r="J7" s="92"/>
      <c r="K7" s="114"/>
      <c r="L7" s="114"/>
      <c r="M7" s="114"/>
      <c r="N7" s="114"/>
      <c r="O7" s="114"/>
    </row>
    <row r="8" spans="1:15">
      <c r="A8" s="4"/>
      <c r="B8" s="122" t="s">
        <v>35</v>
      </c>
      <c r="C8" s="122"/>
      <c r="D8" s="122"/>
      <c r="E8" s="122"/>
      <c r="F8" s="122"/>
      <c r="G8" s="122"/>
      <c r="H8" s="4">
        <v>9</v>
      </c>
      <c r="I8" s="92"/>
      <c r="J8" s="92"/>
      <c r="K8" s="114"/>
      <c r="L8" s="114"/>
      <c r="M8" s="114"/>
      <c r="N8" s="114"/>
      <c r="O8" s="114"/>
    </row>
    <row r="9" spans="1:15">
      <c r="A9" s="4"/>
      <c r="B9" s="122" t="s">
        <v>36</v>
      </c>
      <c r="C9" s="122"/>
      <c r="D9" s="122"/>
      <c r="E9" s="122"/>
      <c r="F9" s="122"/>
      <c r="G9" s="122"/>
      <c r="H9" s="4">
        <v>11</v>
      </c>
      <c r="I9" s="92"/>
      <c r="J9" s="92"/>
      <c r="K9" s="92"/>
      <c r="L9" s="92"/>
      <c r="M9" s="92"/>
      <c r="N9" s="92"/>
      <c r="O9" s="92"/>
    </row>
    <row r="10" spans="1:15">
      <c r="A10" s="4"/>
      <c r="B10" s="122" t="s">
        <v>37</v>
      </c>
      <c r="C10" s="122"/>
      <c r="D10" s="122"/>
      <c r="E10" s="122"/>
      <c r="F10" s="122"/>
      <c r="G10" s="122"/>
      <c r="H10" s="4">
        <v>12</v>
      </c>
      <c r="I10" s="92"/>
      <c r="J10" s="92"/>
      <c r="K10" s="92"/>
      <c r="L10" s="92"/>
      <c r="M10" s="92"/>
      <c r="N10" s="92"/>
      <c r="O10" s="92"/>
    </row>
    <row r="11" spans="1:15">
      <c r="A11" s="4"/>
      <c r="B11" s="122" t="s">
        <v>38</v>
      </c>
      <c r="C11" s="122"/>
      <c r="D11" s="122"/>
      <c r="E11" s="122"/>
      <c r="F11" s="122"/>
      <c r="G11" s="122"/>
      <c r="H11" s="4">
        <v>13</v>
      </c>
      <c r="I11" s="92"/>
      <c r="J11" s="92"/>
      <c r="K11" s="92"/>
      <c r="L11" s="92"/>
      <c r="M11" s="92"/>
      <c r="N11" s="92"/>
      <c r="O11" s="92"/>
    </row>
    <row r="12" spans="1:15">
      <c r="A12" s="4"/>
      <c r="B12" s="122" t="s">
        <v>39</v>
      </c>
      <c r="C12" s="122"/>
      <c r="D12" s="122"/>
      <c r="E12" s="122"/>
      <c r="F12" s="122"/>
      <c r="G12" s="122"/>
      <c r="H12" s="4">
        <v>14</v>
      </c>
      <c r="I12" s="92"/>
      <c r="J12" s="92"/>
      <c r="K12" s="92"/>
      <c r="L12" s="92"/>
      <c r="M12" s="92"/>
      <c r="N12" s="92"/>
      <c r="O12" s="92"/>
    </row>
    <row r="13" spans="1:15" ht="15.6">
      <c r="A13" s="4"/>
      <c r="B13" s="123" t="s">
        <v>40</v>
      </c>
      <c r="C13" s="124"/>
      <c r="D13" s="124"/>
      <c r="E13" s="124"/>
      <c r="F13" s="124"/>
      <c r="G13" s="125"/>
      <c r="H13" s="4">
        <v>15</v>
      </c>
      <c r="I13" s="92"/>
      <c r="J13" s="92"/>
      <c r="K13" s="92"/>
      <c r="L13" s="92"/>
      <c r="M13" s="92"/>
      <c r="N13" s="92"/>
      <c r="O13" s="92"/>
    </row>
    <row r="14" spans="1:15">
      <c r="A14" s="4"/>
      <c r="B14" s="122" t="s">
        <v>41</v>
      </c>
      <c r="C14" s="122"/>
      <c r="D14" s="122"/>
      <c r="E14" s="122"/>
      <c r="F14" s="122"/>
      <c r="G14" s="122"/>
      <c r="H14" s="4">
        <v>17</v>
      </c>
      <c r="I14" s="92"/>
      <c r="J14" s="92"/>
      <c r="K14" s="92"/>
      <c r="L14" s="92"/>
      <c r="M14" s="92"/>
      <c r="N14" s="92"/>
      <c r="O14" s="92"/>
    </row>
    <row r="15" spans="1:15">
      <c r="A15" s="4"/>
      <c r="B15" s="122" t="s">
        <v>42</v>
      </c>
      <c r="C15" s="122"/>
      <c r="D15" s="122"/>
      <c r="E15" s="122"/>
      <c r="F15" s="122"/>
      <c r="G15" s="122"/>
      <c r="H15" s="4">
        <v>18</v>
      </c>
      <c r="I15" s="92"/>
      <c r="J15" s="92"/>
      <c r="K15" s="92"/>
      <c r="L15" s="92"/>
      <c r="M15" s="92"/>
      <c r="N15" s="92"/>
      <c r="O15" s="92"/>
    </row>
    <row r="16" spans="1:15">
      <c r="A16" s="4"/>
      <c r="B16" s="122" t="s">
        <v>43</v>
      </c>
      <c r="C16" s="122"/>
      <c r="D16" s="122"/>
      <c r="E16" s="122"/>
      <c r="F16" s="122"/>
      <c r="G16" s="122"/>
      <c r="H16" s="4">
        <v>19</v>
      </c>
      <c r="I16" s="92"/>
      <c r="J16" s="92"/>
      <c r="K16" s="92"/>
      <c r="L16" s="92"/>
      <c r="M16" s="92"/>
      <c r="N16" s="92"/>
      <c r="O16" s="92"/>
    </row>
    <row r="17" spans="1:8">
      <c r="A17" s="4"/>
      <c r="B17" s="122" t="s">
        <v>44</v>
      </c>
      <c r="C17" s="122"/>
      <c r="D17" s="122"/>
      <c r="E17" s="122"/>
      <c r="F17" s="122"/>
      <c r="G17" s="122"/>
      <c r="H17" s="4">
        <v>20</v>
      </c>
    </row>
    <row r="18" spans="1:8">
      <c r="A18" s="4"/>
      <c r="B18" s="122" t="s">
        <v>45</v>
      </c>
      <c r="C18" s="122"/>
      <c r="D18" s="122"/>
      <c r="E18" s="122"/>
      <c r="F18" s="122"/>
      <c r="G18" s="122"/>
      <c r="H18" s="4">
        <v>21</v>
      </c>
    </row>
    <row r="19" spans="1:8">
      <c r="A19" s="4"/>
      <c r="B19" s="122" t="s">
        <v>46</v>
      </c>
      <c r="C19" s="122"/>
      <c r="D19" s="122"/>
      <c r="E19" s="122"/>
      <c r="F19" s="122"/>
      <c r="G19" s="122"/>
      <c r="H19" s="4">
        <v>22</v>
      </c>
    </row>
    <row r="20" spans="1:8">
      <c r="A20" s="4"/>
      <c r="B20" s="122" t="s">
        <v>47</v>
      </c>
      <c r="C20" s="122"/>
      <c r="D20" s="122"/>
      <c r="E20" s="122"/>
      <c r="F20" s="122"/>
      <c r="G20" s="122"/>
      <c r="H20" s="4">
        <v>23</v>
      </c>
    </row>
    <row r="21" spans="1:8">
      <c r="A21" s="4"/>
      <c r="B21" s="122" t="s">
        <v>48</v>
      </c>
      <c r="C21" s="122"/>
      <c r="D21" s="122"/>
      <c r="E21" s="122"/>
      <c r="F21" s="122"/>
      <c r="G21" s="122"/>
      <c r="H21" s="4">
        <v>24</v>
      </c>
    </row>
    <row r="22" spans="1:8">
      <c r="A22" s="4"/>
      <c r="B22" s="122" t="s">
        <v>49</v>
      </c>
      <c r="C22" s="122"/>
      <c r="D22" s="122"/>
      <c r="E22" s="122"/>
      <c r="F22" s="122"/>
      <c r="G22" s="122"/>
      <c r="H22" s="4">
        <v>25</v>
      </c>
    </row>
    <row r="23" spans="1:8">
      <c r="A23" s="4"/>
      <c r="B23" s="115" t="s">
        <v>50</v>
      </c>
      <c r="C23" s="116"/>
      <c r="D23" s="116"/>
      <c r="E23" s="116"/>
      <c r="F23" s="116"/>
      <c r="G23" s="117"/>
      <c r="H23" s="4">
        <v>26</v>
      </c>
    </row>
    <row r="24" spans="1:8">
      <c r="A24" s="4"/>
      <c r="B24" s="115" t="s">
        <v>51</v>
      </c>
      <c r="C24" s="116"/>
      <c r="D24" s="116"/>
      <c r="E24" s="116"/>
      <c r="F24" s="116"/>
      <c r="G24" s="117"/>
      <c r="H24" s="4">
        <v>27</v>
      </c>
    </row>
    <row r="25" spans="1:8">
      <c r="A25" s="4"/>
      <c r="B25" s="118"/>
      <c r="C25" s="118"/>
      <c r="D25" s="118"/>
      <c r="E25" s="118"/>
      <c r="F25" s="118"/>
      <c r="G25" s="118"/>
      <c r="H25" s="4"/>
    </row>
    <row r="27" spans="1:8">
      <c r="A27" s="52" t="s">
        <v>52</v>
      </c>
      <c r="B27" s="294"/>
      <c r="C27" s="294"/>
      <c r="D27" s="294"/>
      <c r="E27" s="294"/>
      <c r="F27" s="294"/>
      <c r="G27" s="294"/>
      <c r="H27" s="295"/>
    </row>
    <row r="28" spans="1:8">
      <c r="A28" s="10" t="s">
        <v>27</v>
      </c>
      <c r="B28" s="119" t="s">
        <v>53</v>
      </c>
      <c r="C28" s="119"/>
      <c r="D28" s="119"/>
      <c r="E28" s="119"/>
      <c r="F28" s="119"/>
      <c r="G28" s="119"/>
      <c r="H28" s="11" t="s">
        <v>54</v>
      </c>
    </row>
    <row r="29" spans="1:8">
      <c r="A29" s="296">
        <v>1</v>
      </c>
      <c r="B29" s="120" t="s">
        <v>55</v>
      </c>
      <c r="C29" s="120"/>
      <c r="D29" s="120"/>
      <c r="E29" s="120"/>
      <c r="F29" s="120"/>
      <c r="G29" s="120"/>
      <c r="H29" s="297">
        <v>44949</v>
      </c>
    </row>
    <row r="30" spans="1:8">
      <c r="A30" s="296">
        <v>2</v>
      </c>
      <c r="B30" s="120" t="s">
        <v>56</v>
      </c>
      <c r="C30" s="120"/>
      <c r="D30" s="120"/>
      <c r="E30" s="120"/>
      <c r="F30" s="120"/>
      <c r="G30" s="120"/>
      <c r="H30" s="297">
        <v>44959</v>
      </c>
    </row>
    <row r="31" spans="1:8">
      <c r="A31" s="296"/>
      <c r="B31" s="120"/>
      <c r="C31" s="120"/>
      <c r="D31" s="120"/>
      <c r="E31" s="120"/>
      <c r="F31" s="120"/>
      <c r="G31" s="120"/>
      <c r="H31" s="296"/>
    </row>
    <row r="32" spans="1:8">
      <c r="A32" s="296"/>
      <c r="B32" s="120"/>
      <c r="C32" s="120"/>
      <c r="D32" s="120"/>
      <c r="E32" s="120"/>
      <c r="F32" s="120"/>
      <c r="G32" s="120"/>
      <c r="H32" s="296"/>
    </row>
    <row r="33" spans="1:10">
      <c r="A33" s="296"/>
      <c r="B33" s="120"/>
      <c r="C33" s="120"/>
      <c r="D33" s="120"/>
      <c r="E33" s="120"/>
      <c r="F33" s="120"/>
      <c r="G33" s="120"/>
      <c r="H33" s="296"/>
      <c r="I33" s="92"/>
      <c r="J33" s="92"/>
    </row>
    <row r="35" spans="1:10" ht="14.25" customHeight="1">
      <c r="A35" s="52" t="s">
        <v>57</v>
      </c>
      <c r="B35" s="294"/>
      <c r="C35" s="294"/>
      <c r="D35" s="294"/>
      <c r="E35" s="294"/>
      <c r="F35" s="294"/>
      <c r="G35" s="294"/>
      <c r="H35" s="295"/>
      <c r="I35" s="92"/>
      <c r="J35" s="92"/>
    </row>
    <row r="36" spans="1:10">
      <c r="A36" s="13" t="s">
        <v>58</v>
      </c>
      <c r="B36" s="121" t="s">
        <v>59</v>
      </c>
      <c r="C36" s="121"/>
      <c r="D36" s="121"/>
      <c r="E36" s="121"/>
      <c r="F36" s="121"/>
      <c r="G36" s="121"/>
      <c r="H36" s="14" t="s">
        <v>60</v>
      </c>
      <c r="I36" s="92"/>
      <c r="J36" s="92"/>
    </row>
    <row r="37" spans="1:10">
      <c r="A37" s="298"/>
      <c r="B37" s="299"/>
      <c r="C37" s="299"/>
      <c r="D37" s="299"/>
      <c r="E37" s="299"/>
      <c r="F37" s="299"/>
      <c r="G37" s="299"/>
      <c r="H37" s="298"/>
      <c r="I37" s="92"/>
      <c r="J37" s="92"/>
    </row>
    <row r="38" spans="1:10">
      <c r="A38" s="298"/>
      <c r="B38" s="299"/>
      <c r="C38" s="299"/>
      <c r="D38" s="299"/>
      <c r="E38" s="299"/>
      <c r="F38" s="299"/>
      <c r="G38" s="299"/>
      <c r="H38" s="298"/>
      <c r="I38" s="92"/>
      <c r="J38" s="92"/>
    </row>
    <row r="39" spans="1:10">
      <c r="A39" s="298"/>
      <c r="B39" s="299"/>
      <c r="C39" s="299"/>
      <c r="D39" s="299"/>
      <c r="E39" s="299"/>
      <c r="F39" s="299"/>
      <c r="G39" s="299"/>
      <c r="H39" s="298"/>
      <c r="I39" s="92"/>
      <c r="J39" s="92"/>
    </row>
    <row r="40" spans="1:10">
      <c r="A40" s="298"/>
      <c r="B40" s="299"/>
      <c r="C40" s="299"/>
      <c r="D40" s="299"/>
      <c r="E40" s="299"/>
      <c r="F40" s="299"/>
      <c r="G40" s="299"/>
      <c r="H40" s="298"/>
      <c r="I40" s="92"/>
      <c r="J40" s="92"/>
    </row>
    <row r="41" spans="1:10">
      <c r="A41" s="298"/>
      <c r="B41" s="299"/>
      <c r="C41" s="299"/>
      <c r="D41" s="299"/>
      <c r="E41" s="299"/>
      <c r="F41" s="299"/>
      <c r="G41" s="299"/>
      <c r="H41" s="298"/>
      <c r="I41" s="92"/>
      <c r="J41" s="92"/>
    </row>
    <row r="42" spans="1:10">
      <c r="A42" s="298"/>
      <c r="B42" s="299"/>
      <c r="C42" s="299"/>
      <c r="D42" s="299"/>
      <c r="E42" s="299"/>
      <c r="F42" s="299"/>
      <c r="G42" s="299"/>
      <c r="H42" s="298"/>
      <c r="I42" s="92"/>
      <c r="J42" s="92"/>
    </row>
    <row r="43" spans="1:10">
      <c r="A43" s="298"/>
      <c r="B43" s="299"/>
      <c r="C43" s="299"/>
      <c r="D43" s="299"/>
      <c r="E43" s="299"/>
      <c r="F43" s="299"/>
      <c r="G43" s="299"/>
      <c r="H43" s="298"/>
      <c r="I43" s="92"/>
      <c r="J43" s="92"/>
    </row>
    <row r="45" spans="1:10">
      <c r="A45" s="300" t="s">
        <v>61</v>
      </c>
      <c r="B45" s="301"/>
      <c r="C45" s="301"/>
      <c r="D45" s="301"/>
      <c r="E45" s="301"/>
      <c r="F45" s="301"/>
      <c r="G45" s="301"/>
      <c r="H45" s="301"/>
      <c r="I45" s="301"/>
      <c r="J45" s="302"/>
    </row>
    <row r="46" spans="1:10">
      <c r="A46" s="303"/>
      <c r="B46" s="304"/>
      <c r="C46" s="304"/>
      <c r="D46" s="304"/>
      <c r="E46" s="304"/>
      <c r="F46" s="304"/>
      <c r="G46" s="304"/>
      <c r="H46" s="304"/>
      <c r="I46" s="304"/>
      <c r="J46" s="305"/>
    </row>
    <row r="47" spans="1:10">
      <c r="A47" s="303"/>
      <c r="B47" s="304"/>
      <c r="C47" s="304"/>
      <c r="D47" s="304"/>
      <c r="E47" s="304"/>
      <c r="F47" s="304"/>
      <c r="G47" s="304"/>
      <c r="H47" s="304"/>
      <c r="I47" s="304"/>
      <c r="J47" s="305"/>
    </row>
    <row r="48" spans="1:10">
      <c r="A48" s="306"/>
      <c r="B48" s="307"/>
      <c r="C48" s="307"/>
      <c r="D48" s="307"/>
      <c r="E48" s="307"/>
      <c r="F48" s="307"/>
      <c r="G48" s="307"/>
      <c r="H48" s="307"/>
      <c r="I48" s="307"/>
      <c r="J48" s="308"/>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25" zoomScale="175" zoomScaleNormal="175" workbookViewId="0">
      <selection activeCell="I56" sqref="I5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Exeter Energy From Waste Plant</v>
      </c>
      <c r="F1" s="92"/>
      <c r="G1" s="92"/>
      <c r="H1" s="92"/>
      <c r="I1" s="92"/>
      <c r="J1" s="92"/>
      <c r="K1" s="92"/>
      <c r="L1" s="92"/>
      <c r="M1" s="92"/>
      <c r="N1" s="92"/>
    </row>
    <row r="3" spans="1:14" ht="15.6">
      <c r="A3" s="51" t="s">
        <v>62</v>
      </c>
      <c r="B3" s="309"/>
      <c r="C3" s="309"/>
      <c r="D3" s="309"/>
      <c r="E3" s="309"/>
      <c r="F3" s="309"/>
      <c r="G3" s="309"/>
      <c r="H3" s="309"/>
      <c r="I3" s="310"/>
      <c r="J3" s="92"/>
      <c r="K3" s="80" t="s">
        <v>3</v>
      </c>
      <c r="L3" s="92"/>
      <c r="M3" s="92"/>
      <c r="N3" s="92"/>
    </row>
    <row r="4" spans="1:14">
      <c r="A4" s="311"/>
      <c r="B4" s="312"/>
      <c r="C4" s="312"/>
      <c r="D4" s="312"/>
      <c r="E4" s="312"/>
      <c r="F4" s="312"/>
      <c r="G4" s="312"/>
      <c r="H4" s="312"/>
      <c r="I4" s="313"/>
      <c r="J4" s="92"/>
      <c r="K4" s="92"/>
      <c r="L4" s="92"/>
      <c r="M4" s="92"/>
      <c r="N4" s="92"/>
    </row>
    <row r="5" spans="1:14" ht="22.15" customHeight="1">
      <c r="A5" s="127" t="s">
        <v>63</v>
      </c>
      <c r="B5" s="128"/>
      <c r="C5" s="128"/>
      <c r="D5" s="128"/>
      <c r="E5" s="128"/>
      <c r="F5" s="128"/>
      <c r="G5" s="128"/>
      <c r="H5" s="128"/>
      <c r="I5" s="129"/>
      <c r="J5" s="92"/>
      <c r="K5" s="144" t="s">
        <v>64</v>
      </c>
      <c r="L5" s="144"/>
      <c r="M5" s="144"/>
      <c r="N5" s="144"/>
    </row>
    <row r="6" spans="1:14" ht="22.15" customHeight="1">
      <c r="A6" s="130"/>
      <c r="B6" s="131"/>
      <c r="C6" s="131"/>
      <c r="D6" s="131"/>
      <c r="E6" s="131"/>
      <c r="F6" s="131"/>
      <c r="G6" s="131"/>
      <c r="H6" s="131"/>
      <c r="I6" s="132"/>
      <c r="J6" s="92"/>
      <c r="K6" s="144"/>
      <c r="L6" s="144"/>
      <c r="M6" s="144"/>
      <c r="N6" s="144"/>
    </row>
    <row r="7" spans="1:14" ht="22.15" customHeight="1">
      <c r="A7" s="130"/>
      <c r="B7" s="131"/>
      <c r="C7" s="131"/>
      <c r="D7" s="131"/>
      <c r="E7" s="131"/>
      <c r="F7" s="131"/>
      <c r="G7" s="131"/>
      <c r="H7" s="131"/>
      <c r="I7" s="132"/>
      <c r="J7" s="92"/>
      <c r="K7" s="144"/>
      <c r="L7" s="144"/>
      <c r="M7" s="144"/>
      <c r="N7" s="144"/>
    </row>
    <row r="8" spans="1:14" ht="22.15" customHeight="1">
      <c r="A8" s="130"/>
      <c r="B8" s="131"/>
      <c r="C8" s="131"/>
      <c r="D8" s="131"/>
      <c r="E8" s="131"/>
      <c r="F8" s="131"/>
      <c r="G8" s="131"/>
      <c r="H8" s="131"/>
      <c r="I8" s="132"/>
      <c r="J8" s="92"/>
      <c r="K8" s="144"/>
      <c r="L8" s="144"/>
      <c r="M8" s="144"/>
      <c r="N8" s="144"/>
    </row>
    <row r="9" spans="1:14" ht="22.15" customHeight="1">
      <c r="A9" s="130"/>
      <c r="B9" s="131"/>
      <c r="C9" s="131"/>
      <c r="D9" s="131"/>
      <c r="E9" s="131"/>
      <c r="F9" s="131"/>
      <c r="G9" s="131"/>
      <c r="H9" s="131"/>
      <c r="I9" s="132"/>
      <c r="J9" s="92"/>
      <c r="K9" s="144"/>
      <c r="L9" s="144"/>
      <c r="M9" s="144"/>
      <c r="N9" s="144"/>
    </row>
    <row r="10" spans="1:14" ht="22.15" customHeight="1">
      <c r="A10" s="130"/>
      <c r="B10" s="131"/>
      <c r="C10" s="131"/>
      <c r="D10" s="131"/>
      <c r="E10" s="131"/>
      <c r="F10" s="131"/>
      <c r="G10" s="131"/>
      <c r="H10" s="131"/>
      <c r="I10" s="132"/>
      <c r="J10" s="92"/>
      <c r="K10" s="144"/>
      <c r="L10" s="144"/>
      <c r="M10" s="144"/>
      <c r="N10" s="144"/>
    </row>
    <row r="11" spans="1:14" ht="22.15" customHeight="1">
      <c r="A11" s="130"/>
      <c r="B11" s="131"/>
      <c r="C11" s="131"/>
      <c r="D11" s="131"/>
      <c r="E11" s="131"/>
      <c r="F11" s="131"/>
      <c r="G11" s="131"/>
      <c r="H11" s="131"/>
      <c r="I11" s="132"/>
      <c r="J11" s="92"/>
      <c r="K11" s="144"/>
      <c r="L11" s="144"/>
      <c r="M11" s="144"/>
      <c r="N11" s="144"/>
    </row>
    <row r="12" spans="1:14" ht="22.15" customHeight="1">
      <c r="A12" s="130"/>
      <c r="B12" s="131"/>
      <c r="C12" s="131"/>
      <c r="D12" s="131"/>
      <c r="E12" s="131"/>
      <c r="F12" s="131"/>
      <c r="G12" s="131"/>
      <c r="H12" s="131"/>
      <c r="I12" s="132"/>
      <c r="J12" s="92"/>
      <c r="K12" s="144"/>
      <c r="L12" s="144"/>
      <c r="M12" s="144"/>
      <c r="N12" s="144"/>
    </row>
    <row r="13" spans="1:14" ht="22.15" customHeight="1">
      <c r="A13" s="130"/>
      <c r="B13" s="131"/>
      <c r="C13" s="131"/>
      <c r="D13" s="131"/>
      <c r="E13" s="131"/>
      <c r="F13" s="131"/>
      <c r="G13" s="131"/>
      <c r="H13" s="131"/>
      <c r="I13" s="132"/>
      <c r="J13" s="92"/>
      <c r="K13" s="144"/>
      <c r="L13" s="144"/>
      <c r="M13" s="144"/>
      <c r="N13" s="144"/>
    </row>
    <row r="14" spans="1:14" ht="22.15" customHeight="1">
      <c r="A14" s="130"/>
      <c r="B14" s="131"/>
      <c r="C14" s="131"/>
      <c r="D14" s="131"/>
      <c r="E14" s="131"/>
      <c r="F14" s="131"/>
      <c r="G14" s="131"/>
      <c r="H14" s="131"/>
      <c r="I14" s="132"/>
      <c r="J14" s="92"/>
      <c r="K14" s="144"/>
      <c r="L14" s="144"/>
      <c r="M14" s="144"/>
      <c r="N14" s="144"/>
    </row>
    <row r="15" spans="1:14" ht="22.15" customHeight="1">
      <c r="A15" s="130"/>
      <c r="B15" s="131"/>
      <c r="C15" s="131"/>
      <c r="D15" s="131"/>
      <c r="E15" s="131"/>
      <c r="F15" s="131"/>
      <c r="G15" s="131"/>
      <c r="H15" s="131"/>
      <c r="I15" s="132"/>
      <c r="J15" s="92"/>
      <c r="K15" s="92"/>
      <c r="L15" s="92"/>
      <c r="M15" s="92"/>
      <c r="N15" s="92"/>
    </row>
    <row r="16" spans="1:14" ht="22.15" customHeight="1">
      <c r="A16" s="130"/>
      <c r="B16" s="131"/>
      <c r="C16" s="131"/>
      <c r="D16" s="131"/>
      <c r="E16" s="131"/>
      <c r="F16" s="131"/>
      <c r="G16" s="131"/>
      <c r="H16" s="131"/>
      <c r="I16" s="132"/>
      <c r="J16" s="92"/>
      <c r="K16" s="92"/>
      <c r="L16" s="92"/>
      <c r="M16" s="92"/>
      <c r="N16" s="92"/>
    </row>
    <row r="17" spans="1:14" ht="22.15" customHeight="1">
      <c r="A17" s="130"/>
      <c r="B17" s="131"/>
      <c r="C17" s="131"/>
      <c r="D17" s="131"/>
      <c r="E17" s="131"/>
      <c r="F17" s="131"/>
      <c r="G17" s="131"/>
      <c r="H17" s="131"/>
      <c r="I17" s="132"/>
      <c r="J17" s="92"/>
      <c r="K17" s="92"/>
      <c r="L17" s="92"/>
      <c r="M17" s="92"/>
      <c r="N17" s="92"/>
    </row>
    <row r="18" spans="1:14" ht="22.15" customHeight="1">
      <c r="A18" s="133"/>
      <c r="B18" s="134"/>
      <c r="C18" s="134"/>
      <c r="D18" s="134"/>
      <c r="E18" s="134"/>
      <c r="F18" s="134"/>
      <c r="G18" s="134"/>
      <c r="H18" s="134"/>
      <c r="I18" s="135"/>
      <c r="J18" s="92"/>
      <c r="K18" s="92"/>
      <c r="L18" s="92"/>
      <c r="M18" s="92"/>
      <c r="N18" s="92"/>
    </row>
    <row r="20" spans="1:14">
      <c r="A20" s="51" t="s">
        <v>65</v>
      </c>
      <c r="B20" s="309"/>
      <c r="C20" s="309"/>
      <c r="D20" s="309"/>
      <c r="E20" s="309"/>
      <c r="F20" s="309"/>
      <c r="G20" s="309"/>
      <c r="H20" s="309"/>
      <c r="I20" s="310"/>
      <c r="J20" s="92"/>
      <c r="K20" s="92"/>
      <c r="L20" s="92"/>
      <c r="M20" s="92"/>
      <c r="N20" s="92"/>
    </row>
    <row r="21" spans="1:14">
      <c r="A21" s="311"/>
      <c r="B21" s="312"/>
      <c r="C21" s="312"/>
      <c r="D21" s="312"/>
      <c r="E21" s="312"/>
      <c r="F21" s="312"/>
      <c r="G21" s="312"/>
      <c r="H21" s="312"/>
      <c r="I21" s="313"/>
      <c r="J21" s="92"/>
      <c r="K21" s="92"/>
      <c r="L21" s="92"/>
      <c r="M21" s="92"/>
      <c r="N21" s="92"/>
    </row>
    <row r="22" spans="1:14" ht="17.45" customHeight="1">
      <c r="A22" s="127" t="s">
        <v>66</v>
      </c>
      <c r="B22" s="136"/>
      <c r="C22" s="136"/>
      <c r="D22" s="136"/>
      <c r="E22" s="136"/>
      <c r="F22" s="136"/>
      <c r="G22" s="136"/>
      <c r="H22" s="136"/>
      <c r="I22" s="137"/>
      <c r="J22" s="92"/>
      <c r="K22" s="144" t="s">
        <v>67</v>
      </c>
      <c r="L22" s="144"/>
      <c r="M22" s="144"/>
      <c r="N22" s="144"/>
    </row>
    <row r="23" spans="1:14" ht="17.45" customHeight="1">
      <c r="A23" s="138"/>
      <c r="B23" s="139"/>
      <c r="C23" s="139"/>
      <c r="D23" s="139"/>
      <c r="E23" s="139"/>
      <c r="F23" s="139"/>
      <c r="G23" s="139"/>
      <c r="H23" s="139"/>
      <c r="I23" s="140"/>
      <c r="J23" s="92"/>
      <c r="K23" s="144"/>
      <c r="L23" s="144"/>
      <c r="M23" s="144"/>
      <c r="N23" s="144"/>
    </row>
    <row r="24" spans="1:14" ht="17.45" customHeight="1">
      <c r="A24" s="138"/>
      <c r="B24" s="139"/>
      <c r="C24" s="139"/>
      <c r="D24" s="139"/>
      <c r="E24" s="139"/>
      <c r="F24" s="139"/>
      <c r="G24" s="139"/>
      <c r="H24" s="139"/>
      <c r="I24" s="140"/>
      <c r="J24" s="92"/>
      <c r="K24" s="144"/>
      <c r="L24" s="144"/>
      <c r="M24" s="144"/>
      <c r="N24" s="144"/>
    </row>
    <row r="25" spans="1:14" ht="17.45" customHeight="1">
      <c r="A25" s="138"/>
      <c r="B25" s="139"/>
      <c r="C25" s="139"/>
      <c r="D25" s="139"/>
      <c r="E25" s="139"/>
      <c r="F25" s="139"/>
      <c r="G25" s="139"/>
      <c r="H25" s="139"/>
      <c r="I25" s="140"/>
      <c r="J25" s="92"/>
      <c r="K25" s="144"/>
      <c r="L25" s="144"/>
      <c r="M25" s="144"/>
      <c r="N25" s="144"/>
    </row>
    <row r="26" spans="1:14" ht="17.45" customHeight="1">
      <c r="A26" s="138"/>
      <c r="B26" s="139"/>
      <c r="C26" s="139"/>
      <c r="D26" s="139"/>
      <c r="E26" s="139"/>
      <c r="F26" s="139"/>
      <c r="G26" s="139"/>
      <c r="H26" s="139"/>
      <c r="I26" s="140"/>
      <c r="J26" s="92"/>
      <c r="K26" s="144"/>
      <c r="L26" s="144"/>
      <c r="M26" s="144"/>
      <c r="N26" s="144"/>
    </row>
    <row r="27" spans="1:14" ht="17.45" customHeight="1">
      <c r="A27" s="138"/>
      <c r="B27" s="139"/>
      <c r="C27" s="139"/>
      <c r="D27" s="139"/>
      <c r="E27" s="139"/>
      <c r="F27" s="139"/>
      <c r="G27" s="139"/>
      <c r="H27" s="139"/>
      <c r="I27" s="140"/>
      <c r="J27" s="92"/>
      <c r="K27" s="144"/>
      <c r="L27" s="144"/>
      <c r="M27" s="144"/>
      <c r="N27" s="144"/>
    </row>
    <row r="28" spans="1:14" ht="17.45" customHeight="1">
      <c r="A28" s="138"/>
      <c r="B28" s="139"/>
      <c r="C28" s="139"/>
      <c r="D28" s="139"/>
      <c r="E28" s="139"/>
      <c r="F28" s="139"/>
      <c r="G28" s="139"/>
      <c r="H28" s="139"/>
      <c r="I28" s="140"/>
      <c r="J28" s="92"/>
      <c r="K28" s="144"/>
      <c r="L28" s="144"/>
      <c r="M28" s="144"/>
      <c r="N28" s="144"/>
    </row>
    <row r="29" spans="1:14" ht="17.45" customHeight="1">
      <c r="A29" s="138"/>
      <c r="B29" s="139"/>
      <c r="C29" s="139"/>
      <c r="D29" s="139"/>
      <c r="E29" s="139"/>
      <c r="F29" s="139"/>
      <c r="G29" s="139"/>
      <c r="H29" s="139"/>
      <c r="I29" s="140"/>
      <c r="J29" s="92"/>
      <c r="K29" s="144"/>
      <c r="L29" s="144"/>
      <c r="M29" s="144"/>
      <c r="N29" s="144"/>
    </row>
    <row r="30" spans="1:14" ht="17.45" customHeight="1">
      <c r="A30" s="138"/>
      <c r="B30" s="139"/>
      <c r="C30" s="139"/>
      <c r="D30" s="139"/>
      <c r="E30" s="139"/>
      <c r="F30" s="139"/>
      <c r="G30" s="139"/>
      <c r="H30" s="139"/>
      <c r="I30" s="140"/>
      <c r="J30" s="92"/>
      <c r="K30" s="144"/>
      <c r="L30" s="144"/>
      <c r="M30" s="144"/>
      <c r="N30" s="144"/>
    </row>
    <row r="31" spans="1:14" ht="17.45" customHeight="1">
      <c r="A31" s="138"/>
      <c r="B31" s="139"/>
      <c r="C31" s="139"/>
      <c r="D31" s="139"/>
      <c r="E31" s="139"/>
      <c r="F31" s="139"/>
      <c r="G31" s="139"/>
      <c r="H31" s="139"/>
      <c r="I31" s="140"/>
      <c r="J31" s="92"/>
      <c r="K31" s="144"/>
      <c r="L31" s="144"/>
      <c r="M31" s="144"/>
      <c r="N31" s="144"/>
    </row>
    <row r="32" spans="1:14" ht="17.45" customHeight="1">
      <c r="A32" s="138"/>
      <c r="B32" s="139"/>
      <c r="C32" s="139"/>
      <c r="D32" s="139"/>
      <c r="E32" s="139"/>
      <c r="F32" s="139"/>
      <c r="G32" s="139"/>
      <c r="H32" s="139"/>
      <c r="I32" s="140"/>
      <c r="J32" s="92"/>
      <c r="K32" s="92"/>
      <c r="L32" s="92"/>
      <c r="M32" s="92"/>
      <c r="N32" s="92"/>
    </row>
    <row r="33" spans="1:9" ht="23.45" customHeight="1">
      <c r="A33" s="138"/>
      <c r="B33" s="139"/>
      <c r="C33" s="139"/>
      <c r="D33" s="139"/>
      <c r="E33" s="139"/>
      <c r="F33" s="139"/>
      <c r="G33" s="139"/>
      <c r="H33" s="139"/>
      <c r="I33" s="140"/>
    </row>
    <row r="34" spans="1:9" ht="23.45" customHeight="1">
      <c r="A34" s="138"/>
      <c r="B34" s="139"/>
      <c r="C34" s="139"/>
      <c r="D34" s="139"/>
      <c r="E34" s="139"/>
      <c r="F34" s="139"/>
      <c r="G34" s="139"/>
      <c r="H34" s="139"/>
      <c r="I34" s="140"/>
    </row>
    <row r="35" spans="1:9" ht="23.45" customHeight="1">
      <c r="A35" s="138"/>
      <c r="B35" s="139"/>
      <c r="C35" s="139"/>
      <c r="D35" s="139"/>
      <c r="E35" s="139"/>
      <c r="F35" s="139"/>
      <c r="G35" s="139"/>
      <c r="H35" s="139"/>
      <c r="I35" s="140"/>
    </row>
    <row r="36" spans="1:9" ht="23.45" customHeight="1">
      <c r="A36" s="138"/>
      <c r="B36" s="139"/>
      <c r="C36" s="139"/>
      <c r="D36" s="139"/>
      <c r="E36" s="139"/>
      <c r="F36" s="139"/>
      <c r="G36" s="139"/>
      <c r="H36" s="139"/>
      <c r="I36" s="140"/>
    </row>
    <row r="37" spans="1:9" ht="23.45" customHeight="1">
      <c r="A37" s="138"/>
      <c r="B37" s="139"/>
      <c r="C37" s="139"/>
      <c r="D37" s="139"/>
      <c r="E37" s="139"/>
      <c r="F37" s="139"/>
      <c r="G37" s="139"/>
      <c r="H37" s="139"/>
      <c r="I37" s="140"/>
    </row>
    <row r="38" spans="1:9" ht="23.45" customHeight="1">
      <c r="A38" s="138"/>
      <c r="B38" s="139"/>
      <c r="C38" s="139"/>
      <c r="D38" s="139"/>
      <c r="E38" s="139"/>
      <c r="F38" s="139"/>
      <c r="G38" s="139"/>
      <c r="H38" s="139"/>
      <c r="I38" s="140"/>
    </row>
    <row r="39" spans="1:9" ht="23.45" customHeight="1">
      <c r="A39" s="138"/>
      <c r="B39" s="139"/>
      <c r="C39" s="139"/>
      <c r="D39" s="139"/>
      <c r="E39" s="139"/>
      <c r="F39" s="139"/>
      <c r="G39" s="139"/>
      <c r="H39" s="139"/>
      <c r="I39" s="140"/>
    </row>
    <row r="40" spans="1:9" ht="23.45" customHeight="1">
      <c r="A40" s="138"/>
      <c r="B40" s="139"/>
      <c r="C40" s="139"/>
      <c r="D40" s="139"/>
      <c r="E40" s="139"/>
      <c r="F40" s="139"/>
      <c r="G40" s="139"/>
      <c r="H40" s="139"/>
      <c r="I40" s="140"/>
    </row>
    <row r="41" spans="1:9" ht="23.45" customHeight="1">
      <c r="A41" s="138"/>
      <c r="B41" s="139"/>
      <c r="C41" s="139"/>
      <c r="D41" s="139"/>
      <c r="E41" s="139"/>
      <c r="F41" s="139"/>
      <c r="G41" s="139"/>
      <c r="H41" s="139"/>
      <c r="I41" s="140"/>
    </row>
    <row r="42" spans="1:9" ht="23.45" customHeight="1">
      <c r="A42" s="138"/>
      <c r="B42" s="139"/>
      <c r="C42" s="139"/>
      <c r="D42" s="139"/>
      <c r="E42" s="139"/>
      <c r="F42" s="139"/>
      <c r="G42" s="139"/>
      <c r="H42" s="139"/>
      <c r="I42" s="140"/>
    </row>
    <row r="43" spans="1:9" ht="23.45" customHeight="1">
      <c r="A43" s="138"/>
      <c r="B43" s="139"/>
      <c r="C43" s="139"/>
      <c r="D43" s="139"/>
      <c r="E43" s="139"/>
      <c r="F43" s="139"/>
      <c r="G43" s="139"/>
      <c r="H43" s="139"/>
      <c r="I43" s="140"/>
    </row>
    <row r="44" spans="1:9" ht="23.45" customHeight="1">
      <c r="A44" s="138"/>
      <c r="B44" s="139"/>
      <c r="C44" s="139"/>
      <c r="D44" s="139"/>
      <c r="E44" s="139"/>
      <c r="F44" s="139"/>
      <c r="G44" s="139"/>
      <c r="H44" s="139"/>
      <c r="I44" s="140"/>
    </row>
    <row r="45" spans="1:9" ht="23.45" customHeight="1">
      <c r="A45" s="138"/>
      <c r="B45" s="139"/>
      <c r="C45" s="139"/>
      <c r="D45" s="139"/>
      <c r="E45" s="139"/>
      <c r="F45" s="139"/>
      <c r="G45" s="139"/>
      <c r="H45" s="139"/>
      <c r="I45" s="140"/>
    </row>
    <row r="46" spans="1:9">
      <c r="A46" s="138"/>
      <c r="B46" s="139"/>
      <c r="C46" s="139"/>
      <c r="D46" s="139"/>
      <c r="E46" s="139"/>
      <c r="F46" s="139"/>
      <c r="G46" s="139"/>
      <c r="H46" s="139"/>
      <c r="I46" s="140"/>
    </row>
    <row r="47" spans="1:9" ht="33" customHeight="1">
      <c r="A47" s="138"/>
      <c r="B47" s="139"/>
      <c r="C47" s="139"/>
      <c r="D47" s="139"/>
      <c r="E47" s="139"/>
      <c r="F47" s="139"/>
      <c r="G47" s="139"/>
      <c r="H47" s="139"/>
      <c r="I47" s="140"/>
    </row>
    <row r="48" spans="1:9" ht="34.9" customHeight="1">
      <c r="A48" s="138"/>
      <c r="B48" s="139"/>
      <c r="C48" s="139"/>
      <c r="D48" s="139"/>
      <c r="E48" s="139"/>
      <c r="F48" s="139"/>
      <c r="G48" s="139"/>
      <c r="H48" s="139"/>
      <c r="I48" s="140"/>
    </row>
    <row r="49" spans="1:9" ht="24" customHeight="1">
      <c r="A49" s="138"/>
      <c r="B49" s="139"/>
      <c r="C49" s="139"/>
      <c r="D49" s="139"/>
      <c r="E49" s="139"/>
      <c r="F49" s="139"/>
      <c r="G49" s="139"/>
      <c r="H49" s="139"/>
      <c r="I49" s="140"/>
    </row>
    <row r="50" spans="1:9" ht="30" customHeight="1">
      <c r="A50" s="138"/>
      <c r="B50" s="139"/>
      <c r="C50" s="139"/>
      <c r="D50" s="139"/>
      <c r="E50" s="139"/>
      <c r="F50" s="139"/>
      <c r="G50" s="139"/>
      <c r="H50" s="139"/>
      <c r="I50" s="140"/>
    </row>
    <row r="51" spans="1:9" ht="22.9" customHeight="1">
      <c r="A51" s="138"/>
      <c r="B51" s="139"/>
      <c r="C51" s="139"/>
      <c r="D51" s="139"/>
      <c r="E51" s="139"/>
      <c r="F51" s="139"/>
      <c r="G51" s="139"/>
      <c r="H51" s="139"/>
      <c r="I51" s="140"/>
    </row>
    <row r="52" spans="1:9" ht="26.45" customHeight="1">
      <c r="A52" s="138"/>
      <c r="B52" s="139"/>
      <c r="C52" s="139"/>
      <c r="D52" s="139"/>
      <c r="E52" s="139"/>
      <c r="F52" s="139"/>
      <c r="G52" s="139"/>
      <c r="H52" s="139"/>
      <c r="I52" s="140"/>
    </row>
    <row r="53" spans="1:9" ht="23.45" customHeight="1">
      <c r="A53" s="138"/>
      <c r="B53" s="139"/>
      <c r="C53" s="139"/>
      <c r="D53" s="139"/>
      <c r="E53" s="139"/>
      <c r="F53" s="139"/>
      <c r="G53" s="139"/>
      <c r="H53" s="139"/>
      <c r="I53" s="140"/>
    </row>
    <row r="54" spans="1:9" ht="31.9" customHeight="1">
      <c r="A54" s="141"/>
      <c r="B54" s="142"/>
      <c r="C54" s="142"/>
      <c r="D54" s="142"/>
      <c r="E54" s="142"/>
      <c r="F54" s="142"/>
      <c r="G54" s="142"/>
      <c r="H54" s="142"/>
      <c r="I54" s="143"/>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L78"/>
  <sheetViews>
    <sheetView topLeftCell="A24" workbookViewId="0">
      <selection activeCell="I56" sqref="I56"/>
    </sheetView>
  </sheetViews>
  <sheetFormatPr defaultColWidth="9.28515625" defaultRowHeight="15"/>
  <cols>
    <col min="1" max="1" width="28.42578125" style="2" customWidth="1"/>
    <col min="2" max="2" width="8.28515625" style="12" customWidth="1"/>
    <col min="3" max="3" width="10.42578125" style="12" bestFit="1" customWidth="1"/>
    <col min="4" max="4" width="12.140625" style="12" customWidth="1"/>
    <col min="5" max="5" width="10.855468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Exeter Energy From Waste Plant</v>
      </c>
      <c r="F1" s="92"/>
      <c r="G1" s="92"/>
      <c r="H1" s="92"/>
      <c r="I1" s="92"/>
      <c r="J1" s="92"/>
      <c r="K1" s="92"/>
    </row>
    <row r="3" spans="1:11" ht="15.6">
      <c r="A3" s="1" t="s">
        <v>33</v>
      </c>
      <c r="B3" s="104"/>
      <c r="C3" s="104"/>
      <c r="D3" s="104"/>
      <c r="E3" s="104"/>
      <c r="F3" s="104"/>
      <c r="H3" s="314"/>
      <c r="I3" s="92"/>
      <c r="J3" s="92"/>
      <c r="K3" s="80" t="s">
        <v>3</v>
      </c>
    </row>
    <row r="4" spans="1:11">
      <c r="A4" s="18" t="s">
        <v>68</v>
      </c>
      <c r="B4" s="315">
        <v>60000</v>
      </c>
      <c r="C4" s="315"/>
      <c r="D4" s="20" t="s">
        <v>69</v>
      </c>
      <c r="E4" s="19">
        <v>19</v>
      </c>
      <c r="F4" s="20" t="s">
        <v>70</v>
      </c>
      <c r="G4" s="19">
        <v>4</v>
      </c>
      <c r="H4" s="70" t="s">
        <v>71</v>
      </c>
      <c r="I4" s="92"/>
      <c r="J4" s="92"/>
      <c r="K4" s="17" t="s">
        <v>72</v>
      </c>
    </row>
    <row r="5" spans="1:11">
      <c r="A5" s="21" t="s">
        <v>73</v>
      </c>
      <c r="B5" s="22">
        <v>1</v>
      </c>
      <c r="C5" s="23"/>
      <c r="D5" s="23" t="s">
        <v>74</v>
      </c>
      <c r="E5" s="23"/>
      <c r="F5" s="24">
        <v>1</v>
      </c>
      <c r="G5" s="25"/>
      <c r="H5" s="26"/>
      <c r="I5" s="92"/>
      <c r="J5" s="92"/>
      <c r="K5" s="17" t="s">
        <v>75</v>
      </c>
    </row>
    <row r="6" spans="1:11">
      <c r="A6" s="3"/>
      <c r="B6" s="104"/>
      <c r="C6" s="104"/>
      <c r="D6" s="104"/>
      <c r="E6" s="104"/>
      <c r="F6" s="104"/>
      <c r="H6" s="314"/>
      <c r="I6" s="92"/>
      <c r="J6" s="92"/>
      <c r="K6" s="145" t="s">
        <v>76</v>
      </c>
    </row>
    <row r="7" spans="1:11">
      <c r="A7" s="9" t="s">
        <v>77</v>
      </c>
      <c r="B7" s="316" t="s">
        <v>78</v>
      </c>
      <c r="C7" s="317" t="s">
        <v>79</v>
      </c>
      <c r="D7" s="317" t="s">
        <v>80</v>
      </c>
      <c r="E7" s="317" t="s">
        <v>81</v>
      </c>
      <c r="F7" s="317" t="s">
        <v>82</v>
      </c>
      <c r="G7" s="27" t="s">
        <v>83</v>
      </c>
      <c r="H7" s="318" t="s">
        <v>84</v>
      </c>
      <c r="I7" s="92"/>
      <c r="J7" s="92"/>
      <c r="K7" s="145"/>
    </row>
    <row r="8" spans="1:11" ht="15.75" customHeight="1">
      <c r="A8" s="319" t="s">
        <v>85</v>
      </c>
      <c r="B8" s="320" t="s">
        <v>86</v>
      </c>
      <c r="C8" s="321">
        <v>15074</v>
      </c>
      <c r="D8" s="321">
        <v>11854.5</v>
      </c>
      <c r="E8" s="321">
        <v>15689.8</v>
      </c>
      <c r="F8" s="321">
        <v>17132.2</v>
      </c>
      <c r="G8" s="28">
        <f>SUM(C8:F8)</f>
        <v>59750.5</v>
      </c>
      <c r="H8" s="322">
        <f t="shared" ref="H8:H15" si="0">IF(G8&gt;0,G8/$G$18,"-")</f>
        <v>1</v>
      </c>
      <c r="I8" s="92"/>
      <c r="J8" s="92"/>
      <c r="K8" s="146" t="s">
        <v>87</v>
      </c>
    </row>
    <row r="9" spans="1:11">
      <c r="A9" s="323" t="s">
        <v>88</v>
      </c>
      <c r="B9" s="324"/>
      <c r="C9" s="325"/>
      <c r="D9" s="325"/>
      <c r="E9" s="325"/>
      <c r="F9" s="325"/>
      <c r="G9" s="88">
        <f t="shared" ref="G9:G15" si="1">SUM(C9:F9)</f>
        <v>0</v>
      </c>
      <c r="H9" s="326" t="str">
        <f t="shared" si="0"/>
        <v>-</v>
      </c>
      <c r="I9" s="92"/>
      <c r="J9" s="92"/>
      <c r="K9" s="146"/>
    </row>
    <row r="10" spans="1:11">
      <c r="A10" s="323" t="s">
        <v>89</v>
      </c>
      <c r="B10" s="324"/>
      <c r="C10" s="325"/>
      <c r="D10" s="325"/>
      <c r="E10" s="325"/>
      <c r="F10" s="325"/>
      <c r="G10" s="88">
        <f t="shared" si="1"/>
        <v>0</v>
      </c>
      <c r="H10" s="326" t="str">
        <f t="shared" si="0"/>
        <v>-</v>
      </c>
      <c r="I10" s="92"/>
      <c r="J10" s="92"/>
      <c r="K10" s="146"/>
    </row>
    <row r="11" spans="1:11">
      <c r="A11" s="323" t="s">
        <v>90</v>
      </c>
      <c r="B11" s="324"/>
      <c r="C11" s="325"/>
      <c r="D11" s="325"/>
      <c r="E11" s="325"/>
      <c r="F11" s="325"/>
      <c r="G11" s="88">
        <f t="shared" si="1"/>
        <v>0</v>
      </c>
      <c r="H11" s="326" t="str">
        <f t="shared" si="0"/>
        <v>-</v>
      </c>
      <c r="I11" s="92"/>
      <c r="J11" s="92"/>
      <c r="K11" s="146"/>
    </row>
    <row r="12" spans="1:11">
      <c r="A12" s="323" t="s">
        <v>91</v>
      </c>
      <c r="B12" s="324"/>
      <c r="C12" s="325"/>
      <c r="D12" s="325"/>
      <c r="E12" s="325"/>
      <c r="F12" s="325"/>
      <c r="G12" s="88">
        <f t="shared" si="1"/>
        <v>0</v>
      </c>
      <c r="H12" s="326" t="str">
        <f t="shared" si="0"/>
        <v>-</v>
      </c>
      <c r="I12" s="92"/>
      <c r="J12" s="92"/>
      <c r="K12" s="146"/>
    </row>
    <row r="13" spans="1:11">
      <c r="A13" s="323" t="s">
        <v>92</v>
      </c>
      <c r="B13" s="324"/>
      <c r="C13" s="325"/>
      <c r="D13" s="325"/>
      <c r="E13" s="325"/>
      <c r="F13" s="325"/>
      <c r="G13" s="88">
        <f t="shared" ref="G13" si="2">SUM(C13:F13)</f>
        <v>0</v>
      </c>
      <c r="H13" s="326" t="str">
        <f t="shared" si="0"/>
        <v>-</v>
      </c>
      <c r="I13" s="92"/>
      <c r="J13" s="92"/>
      <c r="K13" s="146"/>
    </row>
    <row r="14" spans="1:11">
      <c r="A14" s="323" t="s">
        <v>93</v>
      </c>
      <c r="B14" s="324"/>
      <c r="C14" s="325"/>
      <c r="D14" s="325"/>
      <c r="E14" s="325"/>
      <c r="F14" s="325"/>
      <c r="G14" s="88">
        <f t="shared" si="1"/>
        <v>0</v>
      </c>
      <c r="H14" s="326" t="str">
        <f t="shared" si="0"/>
        <v>-</v>
      </c>
      <c r="I14" s="92"/>
      <c r="J14" s="92"/>
      <c r="K14" s="146"/>
    </row>
    <row r="15" spans="1:11">
      <c r="A15" s="327" t="s">
        <v>94</v>
      </c>
      <c r="B15" s="324"/>
      <c r="C15" s="325"/>
      <c r="D15" s="325"/>
      <c r="E15" s="325"/>
      <c r="F15" s="325"/>
      <c r="G15" s="88">
        <f t="shared" si="1"/>
        <v>0</v>
      </c>
      <c r="H15" s="326" t="str">
        <f t="shared" si="0"/>
        <v>-</v>
      </c>
      <c r="I15" s="92"/>
      <c r="J15" s="92"/>
      <c r="K15" s="146"/>
    </row>
    <row r="16" spans="1:11">
      <c r="A16" s="327" t="s">
        <v>94</v>
      </c>
      <c r="B16" s="324"/>
      <c r="C16" s="325"/>
      <c r="D16" s="325"/>
      <c r="E16" s="325"/>
      <c r="F16" s="325"/>
      <c r="G16" s="88"/>
      <c r="H16" s="326"/>
      <c r="I16" s="92"/>
      <c r="J16" s="92"/>
      <c r="K16" s="146"/>
    </row>
    <row r="17" spans="1:12">
      <c r="A17" s="327" t="s">
        <v>94</v>
      </c>
      <c r="B17" s="324"/>
      <c r="C17" s="325"/>
      <c r="D17" s="325"/>
      <c r="E17" s="325"/>
      <c r="F17" s="325"/>
      <c r="G17" s="88"/>
      <c r="H17" s="326"/>
      <c r="I17" s="92"/>
      <c r="J17" s="92"/>
      <c r="K17" s="146"/>
      <c r="L17" s="92"/>
    </row>
    <row r="18" spans="1:12">
      <c r="A18" s="90" t="s">
        <v>95</v>
      </c>
      <c r="B18" s="324"/>
      <c r="C18" s="88">
        <f>SUM(C8:C17)</f>
        <v>15074</v>
      </c>
      <c r="D18" s="88">
        <f>SUM(D8:D17)</f>
        <v>11854.5</v>
      </c>
      <c r="E18" s="88">
        <f>SUM(E8:E17)</f>
        <v>15689.8</v>
      </c>
      <c r="F18" s="88">
        <f>SUM(F8:F17)</f>
        <v>17132.2</v>
      </c>
      <c r="G18" s="88">
        <f>SUM(G8:G17)</f>
        <v>59750.5</v>
      </c>
      <c r="H18" s="328">
        <v>1</v>
      </c>
      <c r="I18" s="92"/>
      <c r="J18" s="92"/>
      <c r="K18" s="146"/>
      <c r="L18" s="92"/>
    </row>
    <row r="19" spans="1:12">
      <c r="A19" s="323" t="s">
        <v>96</v>
      </c>
      <c r="B19" s="324"/>
      <c r="C19" s="325"/>
      <c r="D19" s="325"/>
      <c r="E19" s="325"/>
      <c r="F19" s="325"/>
      <c r="G19" s="88">
        <f t="shared" ref="G19" si="3">SUM(C19:F19)</f>
        <v>0</v>
      </c>
      <c r="H19" s="326" t="str">
        <f t="shared" ref="H19" si="4">IF(G19&gt;0,G19/$G$18,"-")</f>
        <v>-</v>
      </c>
      <c r="I19" s="92"/>
      <c r="J19" s="92"/>
      <c r="K19" s="146"/>
      <c r="L19" s="92"/>
    </row>
    <row r="20" spans="1:12">
      <c r="A20" s="323" t="s">
        <v>97</v>
      </c>
      <c r="B20" s="324"/>
      <c r="C20" s="325"/>
      <c r="D20" s="325"/>
      <c r="E20" s="325"/>
      <c r="F20" s="325"/>
      <c r="G20" s="88">
        <f t="shared" ref="G20" si="5">SUM(C20:F20)</f>
        <v>0</v>
      </c>
      <c r="H20" s="326" t="str">
        <f>IF(G20&gt;0,G20/$G$18,"-")</f>
        <v>-</v>
      </c>
      <c r="I20" s="92"/>
      <c r="J20" s="92"/>
      <c r="K20" s="92"/>
      <c r="L20" s="92"/>
    </row>
    <row r="21" spans="1:12">
      <c r="A21" s="91" t="s">
        <v>98</v>
      </c>
      <c r="B21" s="329"/>
      <c r="C21" s="89">
        <f>C18-SUM(C19:C20)</f>
        <v>15074</v>
      </c>
      <c r="D21" s="89">
        <f t="shared" ref="D21:F21" si="6">D18-SUM(D19:D20)</f>
        <v>11854.5</v>
      </c>
      <c r="E21" s="89">
        <f t="shared" si="6"/>
        <v>15689.8</v>
      </c>
      <c r="F21" s="89">
        <f t="shared" si="6"/>
        <v>17132.2</v>
      </c>
      <c r="G21" s="30">
        <f>SUM(C21:F21)</f>
        <v>59750.5</v>
      </c>
      <c r="H21" s="330">
        <f>IF(G21&gt;0,G21/$G$18,"-")</f>
        <v>1</v>
      </c>
      <c r="I21" s="92"/>
      <c r="J21" s="92"/>
      <c r="K21" s="92"/>
      <c r="L21" s="92"/>
    </row>
    <row r="22" spans="1:12">
      <c r="A22" s="3"/>
      <c r="B22" s="104"/>
      <c r="C22" s="314"/>
      <c r="D22" s="314"/>
      <c r="E22" s="314"/>
      <c r="F22" s="314"/>
      <c r="G22" s="31"/>
      <c r="H22" s="314"/>
      <c r="I22" s="92"/>
      <c r="J22" s="92"/>
      <c r="K22" s="92"/>
      <c r="L22" s="92"/>
    </row>
    <row r="23" spans="1:12">
      <c r="A23" s="9" t="s">
        <v>99</v>
      </c>
      <c r="B23" s="316" t="s">
        <v>78</v>
      </c>
      <c r="C23" s="331" t="s">
        <v>79</v>
      </c>
      <c r="D23" s="331" t="s">
        <v>80</v>
      </c>
      <c r="E23" s="331" t="s">
        <v>81</v>
      </c>
      <c r="F23" s="331" t="s">
        <v>82</v>
      </c>
      <c r="G23" s="32" t="s">
        <v>83</v>
      </c>
      <c r="H23" s="332" t="s">
        <v>100</v>
      </c>
      <c r="I23" s="92"/>
      <c r="J23" s="92"/>
      <c r="K23" s="92"/>
      <c r="L23" s="92"/>
    </row>
    <row r="24" spans="1:12" ht="15" customHeight="1">
      <c r="A24" s="333" t="s">
        <v>101</v>
      </c>
      <c r="B24" s="320" t="s">
        <v>102</v>
      </c>
      <c r="C24" s="321">
        <v>7137.1270000000004</v>
      </c>
      <c r="D24" s="321">
        <v>5151.5889999999999</v>
      </c>
      <c r="E24" s="321">
        <v>7931.7479999999996</v>
      </c>
      <c r="F24" s="321">
        <v>8189.7190000000001</v>
      </c>
      <c r="G24" s="28">
        <f t="shared" ref="G24:G27" si="7">SUM(C24:F24)</f>
        <v>28410.183000000001</v>
      </c>
      <c r="H24" s="334">
        <f>IF(G24&gt;0,G24*1000/$G$21,"-")</f>
        <v>475.48025539535234</v>
      </c>
      <c r="I24" s="92"/>
      <c r="J24" s="92"/>
      <c r="K24" s="92"/>
      <c r="L24" s="92"/>
    </row>
    <row r="25" spans="1:12">
      <c r="A25" s="335" t="s">
        <v>103</v>
      </c>
      <c r="B25" s="324"/>
      <c r="C25" s="336">
        <v>5701.97</v>
      </c>
      <c r="D25" s="336">
        <v>3835.39</v>
      </c>
      <c r="E25" s="336">
        <v>6283.64</v>
      </c>
      <c r="F25" s="336">
        <v>6645.1</v>
      </c>
      <c r="G25" s="29">
        <f>SUM(C25:F25)</f>
        <v>22466.1</v>
      </c>
      <c r="H25" s="337">
        <f>IF(G25&gt;0,G25*1000/$G$21,"-")</f>
        <v>375.99852720897735</v>
      </c>
      <c r="I25" s="92"/>
      <c r="J25" s="92"/>
      <c r="K25" s="92"/>
      <c r="L25" s="92"/>
    </row>
    <row r="26" spans="1:12">
      <c r="A26" s="335" t="s">
        <v>104</v>
      </c>
      <c r="B26" s="324"/>
      <c r="C26" s="336">
        <v>1435.617</v>
      </c>
      <c r="D26" s="336">
        <v>1334.5039999999999</v>
      </c>
      <c r="E26" s="336">
        <v>1649.5060000000001</v>
      </c>
      <c r="F26" s="336">
        <v>1554.9190000000001</v>
      </c>
      <c r="G26" s="29">
        <f>SUM(C26:F26)</f>
        <v>5974.5460000000003</v>
      </c>
      <c r="H26" s="337">
        <f>IF(G26&gt;0,G26*1000/$G$21,"-")</f>
        <v>99.991564924142892</v>
      </c>
      <c r="I26" s="92"/>
      <c r="J26" s="92"/>
      <c r="K26" s="92"/>
      <c r="L26" s="92"/>
    </row>
    <row r="27" spans="1:12">
      <c r="A27" s="335" t="s">
        <v>105</v>
      </c>
      <c r="B27" s="324"/>
      <c r="C27" s="100">
        <v>0.46</v>
      </c>
      <c r="D27" s="100">
        <v>122.91</v>
      </c>
      <c r="E27" s="100">
        <v>110.09</v>
      </c>
      <c r="F27" s="100">
        <v>10.3</v>
      </c>
      <c r="G27" s="29">
        <f t="shared" si="7"/>
        <v>243.76</v>
      </c>
      <c r="H27" s="337">
        <f>IF(G27&gt;0,G27*1000/$G$21,"-")</f>
        <v>4.0796311327938675</v>
      </c>
      <c r="I27" s="92"/>
      <c r="J27" s="92"/>
      <c r="K27" s="92"/>
      <c r="L27" s="92"/>
    </row>
    <row r="28" spans="1:12">
      <c r="A28" s="335" t="s">
        <v>106</v>
      </c>
      <c r="B28" s="338" t="s">
        <v>84</v>
      </c>
      <c r="C28" s="339">
        <f>IF(C24&gt;0,1-C25/(C24+C27),"-")</f>
        <v>0.2011347812643125</v>
      </c>
      <c r="D28" s="339">
        <f>IF(D24&gt;0,1-D25/(D24+D27),"-")</f>
        <v>0.27284278563708131</v>
      </c>
      <c r="E28" s="339">
        <f>IF(E24&gt;0,1-E25/(E24+E27),"-")</f>
        <v>0.21863136263127902</v>
      </c>
      <c r="F28" s="339">
        <f>IF(F24&gt;0,1-F25/(F24+F27),"-")</f>
        <v>0.18962382892039642</v>
      </c>
      <c r="G28" s="339">
        <f>IF(G24&gt;0,1-G25/(G24+G27),"-")</f>
        <v>0.21595083790038949</v>
      </c>
      <c r="H28" s="337"/>
      <c r="I28" s="92"/>
      <c r="J28" s="92"/>
      <c r="K28" s="92"/>
      <c r="L28" s="92"/>
    </row>
    <row r="29" spans="1:12">
      <c r="A29" s="335" t="s">
        <v>107</v>
      </c>
      <c r="B29" s="340" t="s">
        <v>102</v>
      </c>
      <c r="C29" s="336"/>
      <c r="D29" s="336"/>
      <c r="E29" s="336"/>
      <c r="F29" s="336"/>
      <c r="G29" s="29">
        <f t="shared" ref="G29:G30" si="8">SUM(C29:F29)</f>
        <v>0</v>
      </c>
      <c r="H29" s="337" t="str">
        <f>IF(G29&gt;0,G29*1000/$G$21,"-")</f>
        <v>-</v>
      </c>
      <c r="I29" s="92"/>
      <c r="J29" s="92"/>
      <c r="K29" s="92"/>
      <c r="L29" s="92"/>
    </row>
    <row r="30" spans="1:12">
      <c r="A30" s="335" t="s">
        <v>108</v>
      </c>
      <c r="B30" s="340"/>
      <c r="C30" s="336"/>
      <c r="D30" s="336"/>
      <c r="E30" s="336"/>
      <c r="F30" s="336"/>
      <c r="G30" s="29">
        <f t="shared" si="8"/>
        <v>0</v>
      </c>
      <c r="H30" s="337" t="str">
        <f>IF(G30&gt;0,G30*1000/$G$21,"-")</f>
        <v>-</v>
      </c>
      <c r="I30" s="92"/>
      <c r="J30" s="92"/>
      <c r="K30" s="17"/>
      <c r="L30" s="17"/>
    </row>
    <row r="31" spans="1:12">
      <c r="A31" s="99" t="s">
        <v>109</v>
      </c>
      <c r="B31" s="341"/>
      <c r="C31" s="342"/>
      <c r="D31" s="342"/>
      <c r="E31" s="342"/>
      <c r="F31" s="342"/>
      <c r="G31" s="343"/>
      <c r="H31" s="342"/>
      <c r="I31" s="92"/>
      <c r="J31" s="92"/>
      <c r="K31" s="92"/>
      <c r="L31" s="17"/>
    </row>
    <row r="32" spans="1:12">
      <c r="A32" s="3"/>
      <c r="B32" s="104"/>
      <c r="C32" s="314"/>
      <c r="D32" s="314"/>
      <c r="E32" s="314"/>
      <c r="F32" s="314"/>
      <c r="G32" s="31"/>
      <c r="H32" s="314"/>
      <c r="I32" s="92"/>
      <c r="J32" s="92"/>
      <c r="K32" s="92"/>
      <c r="L32" s="17"/>
    </row>
    <row r="33" spans="1:12">
      <c r="A33" s="9" t="s">
        <v>110</v>
      </c>
      <c r="B33" s="344" t="s">
        <v>78</v>
      </c>
      <c r="C33" s="331" t="s">
        <v>79</v>
      </c>
      <c r="D33" s="331" t="s">
        <v>80</v>
      </c>
      <c r="E33" s="331" t="s">
        <v>81</v>
      </c>
      <c r="F33" s="331" t="s">
        <v>82</v>
      </c>
      <c r="G33" s="32" t="s">
        <v>83</v>
      </c>
      <c r="H33" s="345" t="s">
        <v>111</v>
      </c>
      <c r="I33" s="92"/>
      <c r="J33" s="92"/>
      <c r="K33" s="92"/>
      <c r="L33" s="17"/>
    </row>
    <row r="34" spans="1:12" ht="15" customHeight="1">
      <c r="A34" s="333" t="s">
        <v>112</v>
      </c>
      <c r="B34" s="320" t="s">
        <v>86</v>
      </c>
      <c r="C34" s="321">
        <v>523</v>
      </c>
      <c r="D34" s="321">
        <v>400</v>
      </c>
      <c r="E34" s="321">
        <v>542</v>
      </c>
      <c r="F34" s="321">
        <v>624</v>
      </c>
      <c r="G34" s="28">
        <f t="shared" ref="G34:G35" si="9">SUM(C34:F34)</f>
        <v>2089</v>
      </c>
      <c r="H34" s="322">
        <f>IF(G34&gt;0,G34/$G$21,"-")</f>
        <v>3.4962050526773834E-2</v>
      </c>
      <c r="I34" s="92"/>
      <c r="J34" s="92"/>
      <c r="K34" s="17"/>
      <c r="L34" s="17"/>
    </row>
    <row r="35" spans="1:12" ht="15" customHeight="1">
      <c r="A35" s="335" t="s">
        <v>113</v>
      </c>
      <c r="B35" s="324"/>
      <c r="C35" s="336">
        <v>2509</v>
      </c>
      <c r="D35" s="336">
        <v>2371</v>
      </c>
      <c r="E35" s="336">
        <v>2658</v>
      </c>
      <c r="F35" s="336">
        <v>2802</v>
      </c>
      <c r="G35" s="29">
        <f t="shared" si="9"/>
        <v>10340</v>
      </c>
      <c r="H35" s="326">
        <f t="shared" ref="H35:H39" si="10">IF(G35&gt;0,G35/$G$21,"-")</f>
        <v>0.17305294516363881</v>
      </c>
      <c r="I35" s="92"/>
      <c r="J35" s="92"/>
      <c r="K35" s="17"/>
      <c r="L35" s="17"/>
    </row>
    <row r="36" spans="1:12" ht="15" customHeight="1">
      <c r="A36" s="335" t="s">
        <v>114</v>
      </c>
      <c r="B36" s="324"/>
      <c r="C36" s="336">
        <v>81.12</v>
      </c>
      <c r="D36" s="336">
        <v>65.62</v>
      </c>
      <c r="E36" s="336">
        <v>92.26</v>
      </c>
      <c r="F36" s="336">
        <v>99.34</v>
      </c>
      <c r="G36" s="29">
        <f>SUM(C36:F36)</f>
        <v>338.34000000000003</v>
      </c>
      <c r="H36" s="326">
        <f t="shared" si="10"/>
        <v>5.6625467569309052E-3</v>
      </c>
      <c r="I36" s="92"/>
      <c r="J36" s="92"/>
      <c r="K36" s="92"/>
      <c r="L36" s="92"/>
    </row>
    <row r="37" spans="1:12">
      <c r="A37" s="346" t="s">
        <v>115</v>
      </c>
      <c r="B37" s="324"/>
      <c r="C37" s="336">
        <v>0</v>
      </c>
      <c r="D37" s="336">
        <v>0</v>
      </c>
      <c r="E37" s="336">
        <v>0</v>
      </c>
      <c r="F37" s="336">
        <v>0</v>
      </c>
      <c r="G37" s="29">
        <f t="shared" ref="G37" si="11">SUM(C37:F37)</f>
        <v>0</v>
      </c>
      <c r="H37" s="326" t="str">
        <f t="shared" si="10"/>
        <v>-</v>
      </c>
      <c r="I37" s="92"/>
      <c r="J37" s="92"/>
      <c r="K37" s="92"/>
      <c r="L37" s="92"/>
    </row>
    <row r="38" spans="1:12">
      <c r="A38" s="346" t="s">
        <v>115</v>
      </c>
      <c r="B38" s="324"/>
      <c r="C38" s="336">
        <v>0</v>
      </c>
      <c r="D38" s="336">
        <v>0</v>
      </c>
      <c r="E38" s="336">
        <v>0</v>
      </c>
      <c r="F38" s="336">
        <v>0</v>
      </c>
      <c r="G38" s="29">
        <f t="shared" ref="G38:G39" si="12">SUM(C38:F38)</f>
        <v>0</v>
      </c>
      <c r="H38" s="326" t="str">
        <f t="shared" si="10"/>
        <v>-</v>
      </c>
      <c r="I38" s="92"/>
      <c r="J38" s="92"/>
      <c r="K38" s="92"/>
      <c r="L38" s="92"/>
    </row>
    <row r="39" spans="1:12">
      <c r="A39" s="347" t="s">
        <v>115</v>
      </c>
      <c r="B39" s="348"/>
      <c r="C39" s="349">
        <v>0</v>
      </c>
      <c r="D39" s="349">
        <v>0</v>
      </c>
      <c r="E39" s="349">
        <v>0</v>
      </c>
      <c r="F39" s="349">
        <v>0</v>
      </c>
      <c r="G39" s="30">
        <f t="shared" si="12"/>
        <v>0</v>
      </c>
      <c r="H39" s="330" t="str">
        <f t="shared" si="10"/>
        <v>-</v>
      </c>
      <c r="I39" s="92"/>
      <c r="J39" s="92"/>
      <c r="K39" s="92"/>
      <c r="L39" s="92"/>
    </row>
    <row r="40" spans="1:12">
      <c r="A40" s="104"/>
      <c r="B40" s="104"/>
      <c r="C40" s="314"/>
      <c r="D40" s="314"/>
      <c r="E40" s="314"/>
      <c r="F40" s="314"/>
      <c r="G40" s="31"/>
      <c r="H40" s="314"/>
      <c r="I40" s="92"/>
      <c r="J40" s="92"/>
      <c r="K40" s="92"/>
      <c r="L40" s="92"/>
    </row>
    <row r="41" spans="1:12">
      <c r="A41" s="9" t="s">
        <v>116</v>
      </c>
      <c r="B41" s="350" t="s">
        <v>78</v>
      </c>
      <c r="C41" s="317" t="s">
        <v>79</v>
      </c>
      <c r="D41" s="317" t="s">
        <v>80</v>
      </c>
      <c r="E41" s="317" t="s">
        <v>81</v>
      </c>
      <c r="F41" s="317" t="s">
        <v>82</v>
      </c>
      <c r="G41" s="27" t="s">
        <v>83</v>
      </c>
      <c r="H41" s="318" t="s">
        <v>117</v>
      </c>
      <c r="I41" s="92"/>
      <c r="J41" s="92"/>
      <c r="K41" s="92"/>
      <c r="L41" s="92"/>
    </row>
    <row r="42" spans="1:12" ht="15.6" customHeight="1">
      <c r="A42" s="333" t="s">
        <v>118</v>
      </c>
      <c r="B42" s="338" t="s">
        <v>119</v>
      </c>
      <c r="C42" s="321">
        <v>1958000</v>
      </c>
      <c r="D42" s="321">
        <v>2182000</v>
      </c>
      <c r="E42" s="321">
        <v>3209000</v>
      </c>
      <c r="F42" s="321">
        <v>2692000</v>
      </c>
      <c r="G42" s="28">
        <f t="shared" ref="G42:G50" si="13">SUM(C42:F42)</f>
        <v>10041000</v>
      </c>
      <c r="H42" s="351">
        <f>IF(G42&gt;0,G42/$G$21,"-")</f>
        <v>168.04880293888755</v>
      </c>
      <c r="I42" s="92"/>
      <c r="J42" s="92"/>
      <c r="K42" s="92"/>
      <c r="L42" s="92"/>
    </row>
    <row r="43" spans="1:12">
      <c r="A43" s="335" t="s">
        <v>120</v>
      </c>
      <c r="B43" s="338" t="s">
        <v>119</v>
      </c>
      <c r="C43" s="336"/>
      <c r="D43" s="336"/>
      <c r="E43" s="336"/>
      <c r="F43" s="336"/>
      <c r="G43" s="29">
        <f t="shared" si="13"/>
        <v>0</v>
      </c>
      <c r="H43" s="351" t="str">
        <f t="shared" ref="H43:H48" si="14">IF(G43&gt;0,G43/$G$21,"-")</f>
        <v>-</v>
      </c>
      <c r="I43" s="92"/>
      <c r="J43" s="92"/>
      <c r="K43" s="92"/>
      <c r="L43" s="92"/>
    </row>
    <row r="44" spans="1:12" ht="15.6" customHeight="1">
      <c r="A44" s="335" t="s">
        <v>121</v>
      </c>
      <c r="B44" s="338" t="s">
        <v>122</v>
      </c>
      <c r="C44" s="336"/>
      <c r="D44" s="336"/>
      <c r="E44" s="336"/>
      <c r="F44" s="336"/>
      <c r="G44" s="29">
        <f>SUM(C44:F44)</f>
        <v>0</v>
      </c>
      <c r="H44" s="351" t="str">
        <f t="shared" si="14"/>
        <v>-</v>
      </c>
      <c r="I44" s="92"/>
      <c r="J44" s="92"/>
      <c r="K44" s="92"/>
      <c r="L44" s="92"/>
    </row>
    <row r="45" spans="1:12" ht="15.6" customHeight="1">
      <c r="A45" s="335" t="s">
        <v>123</v>
      </c>
      <c r="B45" s="338" t="s">
        <v>122</v>
      </c>
      <c r="C45" s="336">
        <v>13500</v>
      </c>
      <c r="D45" s="336">
        <v>9000</v>
      </c>
      <c r="E45" s="336">
        <v>14500</v>
      </c>
      <c r="F45" s="336">
        <v>15000</v>
      </c>
      <c r="G45" s="29">
        <f>SUM(C45:F45)</f>
        <v>52000</v>
      </c>
      <c r="H45" s="351">
        <f t="shared" si="14"/>
        <v>0.87028560430456647</v>
      </c>
      <c r="I45" s="92"/>
      <c r="J45" s="92"/>
      <c r="K45" s="92"/>
      <c r="L45" s="92"/>
    </row>
    <row r="46" spans="1:12">
      <c r="A46" s="335" t="s">
        <v>124</v>
      </c>
      <c r="B46" s="338" t="s">
        <v>122</v>
      </c>
      <c r="C46" s="336">
        <v>3363</v>
      </c>
      <c r="D46" s="336">
        <v>2418</v>
      </c>
      <c r="E46" s="336">
        <v>2155</v>
      </c>
      <c r="F46" s="336">
        <v>2694</v>
      </c>
      <c r="G46" s="29">
        <f t="shared" si="13"/>
        <v>10630</v>
      </c>
      <c r="H46" s="351">
        <f t="shared" si="14"/>
        <v>0.17790646103379887</v>
      </c>
      <c r="I46" s="92"/>
      <c r="J46" s="92"/>
      <c r="K46" s="92"/>
      <c r="L46" s="92"/>
    </row>
    <row r="47" spans="1:12">
      <c r="A47" s="335" t="s">
        <v>125</v>
      </c>
      <c r="B47" s="338" t="s">
        <v>122</v>
      </c>
      <c r="C47" s="336">
        <v>59622</v>
      </c>
      <c r="D47" s="336">
        <v>55640</v>
      </c>
      <c r="E47" s="336">
        <v>55844</v>
      </c>
      <c r="F47" s="336">
        <v>56302</v>
      </c>
      <c r="G47" s="29">
        <f t="shared" si="13"/>
        <v>227408</v>
      </c>
      <c r="H47" s="351">
        <f t="shared" si="14"/>
        <v>3.805959782763324</v>
      </c>
      <c r="I47" s="92"/>
      <c r="J47" s="92"/>
      <c r="K47" s="92"/>
      <c r="L47" s="92"/>
    </row>
    <row r="48" spans="1:12">
      <c r="A48" s="335" t="s">
        <v>126</v>
      </c>
      <c r="B48" s="338" t="s">
        <v>119</v>
      </c>
      <c r="C48" s="336">
        <v>5852</v>
      </c>
      <c r="D48" s="336">
        <v>38076</v>
      </c>
      <c r="E48" s="336">
        <v>18214</v>
      </c>
      <c r="F48" s="336">
        <v>13577</v>
      </c>
      <c r="G48" s="29">
        <f t="shared" si="13"/>
        <v>75719</v>
      </c>
      <c r="H48" s="351">
        <f t="shared" si="14"/>
        <v>1.2672529936987975</v>
      </c>
      <c r="I48" s="92"/>
      <c r="J48" s="92"/>
      <c r="K48" s="92"/>
      <c r="L48" s="92"/>
    </row>
    <row r="49" spans="1:10">
      <c r="A49" s="335" t="s">
        <v>127</v>
      </c>
      <c r="B49" s="338" t="s">
        <v>128</v>
      </c>
      <c r="C49" s="336">
        <v>0</v>
      </c>
      <c r="D49" s="336">
        <v>0</v>
      </c>
      <c r="E49" s="336">
        <v>0</v>
      </c>
      <c r="F49" s="336">
        <v>0</v>
      </c>
      <c r="G49" s="29">
        <f t="shared" si="13"/>
        <v>0</v>
      </c>
      <c r="H49" s="352"/>
      <c r="I49" s="92"/>
      <c r="J49" s="92"/>
    </row>
    <row r="50" spans="1:10">
      <c r="A50" s="99" t="s">
        <v>115</v>
      </c>
      <c r="B50" s="353"/>
      <c r="C50" s="349">
        <v>0</v>
      </c>
      <c r="D50" s="349">
        <v>0</v>
      </c>
      <c r="E50" s="349">
        <v>0</v>
      </c>
      <c r="F50" s="349">
        <v>0</v>
      </c>
      <c r="G50" s="30">
        <f t="shared" si="13"/>
        <v>0</v>
      </c>
      <c r="H50" s="354"/>
      <c r="I50" s="92"/>
      <c r="J50" s="92"/>
    </row>
    <row r="51" spans="1:10">
      <c r="A51" s="104"/>
      <c r="B51" s="104"/>
      <c r="C51" s="314"/>
      <c r="D51" s="314"/>
      <c r="E51" s="314"/>
      <c r="F51" s="314"/>
      <c r="G51" s="31"/>
      <c r="H51" s="314"/>
      <c r="I51" s="92"/>
      <c r="J51" s="92"/>
    </row>
    <row r="52" spans="1:10">
      <c r="A52" s="9" t="s">
        <v>129</v>
      </c>
      <c r="B52" s="355" t="s">
        <v>130</v>
      </c>
      <c r="C52" s="331" t="s">
        <v>79</v>
      </c>
      <c r="D52" s="331" t="s">
        <v>80</v>
      </c>
      <c r="E52" s="331" t="s">
        <v>81</v>
      </c>
      <c r="F52" s="331" t="s">
        <v>82</v>
      </c>
      <c r="G52" s="32" t="s">
        <v>83</v>
      </c>
      <c r="H52" s="332"/>
      <c r="I52" s="92"/>
      <c r="J52" s="85" t="s">
        <v>131</v>
      </c>
    </row>
    <row r="53" spans="1:10" ht="14.25" customHeight="1">
      <c r="A53" s="356" t="s">
        <v>132</v>
      </c>
      <c r="B53" s="331">
        <f>+B5</f>
        <v>1</v>
      </c>
      <c r="C53" s="321">
        <v>2158.4</v>
      </c>
      <c r="D53" s="321">
        <v>1725.8</v>
      </c>
      <c r="E53" s="321">
        <v>2153.9</v>
      </c>
      <c r="F53" s="321">
        <v>2170.6999999999998</v>
      </c>
      <c r="G53" s="28">
        <f t="shared" ref="G53:G65" si="15">SUM(C53:F53)</f>
        <v>8208.7999999999993</v>
      </c>
      <c r="H53" s="322" t="s">
        <v>133</v>
      </c>
      <c r="I53" s="92"/>
      <c r="J53" s="87">
        <v>8760</v>
      </c>
    </row>
    <row r="54" spans="1:10" ht="14.25" customHeight="1">
      <c r="A54" s="357"/>
      <c r="B54" s="314">
        <v>2</v>
      </c>
      <c r="C54" s="325"/>
      <c r="D54" s="325"/>
      <c r="E54" s="325"/>
      <c r="F54" s="325"/>
      <c r="G54" s="29">
        <f t="shared" si="15"/>
        <v>0</v>
      </c>
      <c r="H54" s="326" t="s">
        <v>134</v>
      </c>
      <c r="I54" s="92"/>
      <c r="J54" s="92"/>
    </row>
    <row r="55" spans="1:10" ht="14.25" customHeight="1">
      <c r="A55" s="357"/>
      <c r="B55" s="314">
        <v>3</v>
      </c>
      <c r="C55" s="325"/>
      <c r="D55" s="325"/>
      <c r="E55" s="325"/>
      <c r="F55" s="325"/>
      <c r="G55" s="29">
        <f t="shared" si="15"/>
        <v>0</v>
      </c>
      <c r="H55" s="326" t="s">
        <v>134</v>
      </c>
      <c r="I55" s="92"/>
      <c r="J55" s="92"/>
    </row>
    <row r="56" spans="1:10" ht="14.25" customHeight="1">
      <c r="A56" s="357"/>
      <c r="B56" s="314">
        <v>4</v>
      </c>
      <c r="C56" s="325"/>
      <c r="D56" s="325"/>
      <c r="E56" s="325"/>
      <c r="F56" s="325"/>
      <c r="G56" s="29">
        <f t="shared" si="15"/>
        <v>0</v>
      </c>
      <c r="H56" s="326" t="s">
        <v>134</v>
      </c>
      <c r="I56" s="92"/>
      <c r="J56" s="92"/>
    </row>
    <row r="57" spans="1:10" ht="14.25" customHeight="1">
      <c r="A57" s="357"/>
      <c r="B57" s="314">
        <v>5</v>
      </c>
      <c r="C57" s="325"/>
      <c r="D57" s="325"/>
      <c r="E57" s="325"/>
      <c r="F57" s="325"/>
      <c r="G57" s="29">
        <f t="shared" ref="G57" si="16">SUM(C57:F57)</f>
        <v>0</v>
      </c>
      <c r="H57" s="326" t="s">
        <v>134</v>
      </c>
      <c r="I57" s="92"/>
      <c r="J57" s="92"/>
    </row>
    <row r="58" spans="1:10" ht="14.25" customHeight="1">
      <c r="A58" s="335" t="s">
        <v>135</v>
      </c>
      <c r="B58" s="314"/>
      <c r="C58" s="321">
        <v>2158.4</v>
      </c>
      <c r="D58" s="321">
        <v>1725.8</v>
      </c>
      <c r="E58" s="321">
        <v>2153.9</v>
      </c>
      <c r="F58" s="321">
        <v>2170.6999999999998</v>
      </c>
      <c r="G58" s="29">
        <f>AVERAGE(G53:G53)</f>
        <v>8208.7999999999993</v>
      </c>
      <c r="H58" s="86" t="s">
        <v>134</v>
      </c>
      <c r="I58" s="92"/>
      <c r="J58" s="92"/>
    </row>
    <row r="59" spans="1:10" ht="14.25" customHeight="1">
      <c r="A59" s="335" t="s">
        <v>136</v>
      </c>
      <c r="B59" s="314">
        <v>1</v>
      </c>
      <c r="C59" s="325">
        <v>2158.4</v>
      </c>
      <c r="D59" s="325">
        <v>1552.1</v>
      </c>
      <c r="E59" s="325">
        <v>2153.5</v>
      </c>
      <c r="F59" s="325">
        <v>2174.6999999999998</v>
      </c>
      <c r="G59" s="29">
        <f t="shared" si="15"/>
        <v>8038.7</v>
      </c>
      <c r="H59" s="326" t="s">
        <v>134</v>
      </c>
      <c r="I59" s="92"/>
      <c r="J59" s="92"/>
    </row>
    <row r="60" spans="1:10">
      <c r="A60" s="335" t="s">
        <v>136</v>
      </c>
      <c r="B60" s="314">
        <v>2</v>
      </c>
      <c r="C60" s="336"/>
      <c r="D60" s="336"/>
      <c r="E60" s="336"/>
      <c r="F60" s="336"/>
      <c r="G60" s="29">
        <f t="shared" si="15"/>
        <v>0</v>
      </c>
      <c r="H60" s="326" t="s">
        <v>134</v>
      </c>
      <c r="I60" s="92"/>
      <c r="J60" s="92"/>
    </row>
    <row r="61" spans="1:10">
      <c r="A61" s="335" t="s">
        <v>137</v>
      </c>
      <c r="B61" s="314"/>
      <c r="C61" s="336"/>
      <c r="D61" s="336"/>
      <c r="E61" s="336"/>
      <c r="F61" s="336"/>
      <c r="G61" s="29">
        <f t="shared" si="15"/>
        <v>0</v>
      </c>
      <c r="H61" s="326" t="str">
        <f>IF(B61&gt;0,G60/J53,"n/a")</f>
        <v>n/a</v>
      </c>
      <c r="I61" s="92"/>
      <c r="J61" s="92"/>
    </row>
    <row r="62" spans="1:10">
      <c r="A62" s="335" t="s">
        <v>138</v>
      </c>
      <c r="B62" s="314" t="s">
        <v>139</v>
      </c>
      <c r="C62" s="100">
        <v>10.37</v>
      </c>
      <c r="D62" s="100">
        <v>10.69</v>
      </c>
      <c r="E62" s="100" t="s">
        <v>140</v>
      </c>
      <c r="F62" s="100">
        <v>10.16</v>
      </c>
      <c r="G62" s="29"/>
      <c r="H62" s="358" t="s">
        <v>141</v>
      </c>
      <c r="I62" s="92"/>
      <c r="J62" s="92"/>
    </row>
    <row r="63" spans="1:10">
      <c r="A63" s="335" t="s">
        <v>142</v>
      </c>
      <c r="B63" s="314" t="s">
        <v>143</v>
      </c>
      <c r="C63" s="336">
        <v>0</v>
      </c>
      <c r="D63" s="336">
        <v>0</v>
      </c>
      <c r="E63" s="336">
        <v>0</v>
      </c>
      <c r="F63" s="336">
        <v>0</v>
      </c>
      <c r="G63" s="29">
        <f t="shared" si="15"/>
        <v>0</v>
      </c>
      <c r="H63" s="337" t="str">
        <f>IF(G63&gt;0,"yes","no")</f>
        <v>no</v>
      </c>
      <c r="I63" s="92"/>
      <c r="J63" s="92"/>
    </row>
    <row r="64" spans="1:10">
      <c r="A64" s="335" t="s">
        <v>144</v>
      </c>
      <c r="B64" s="314" t="s">
        <v>145</v>
      </c>
      <c r="C64" s="336">
        <v>0</v>
      </c>
      <c r="D64" s="336">
        <v>0</v>
      </c>
      <c r="E64" s="336">
        <v>0</v>
      </c>
      <c r="F64" s="336">
        <v>0</v>
      </c>
      <c r="G64" s="29">
        <f t="shared" si="15"/>
        <v>0</v>
      </c>
      <c r="H64" s="359">
        <f>+(G64)/J53</f>
        <v>0</v>
      </c>
      <c r="I64" s="92"/>
      <c r="J64" s="92"/>
    </row>
    <row r="65" spans="1:8">
      <c r="A65" s="99" t="s">
        <v>146</v>
      </c>
      <c r="B65" s="360" t="s">
        <v>143</v>
      </c>
      <c r="C65" s="349"/>
      <c r="D65" s="349"/>
      <c r="E65" s="349">
        <v>1</v>
      </c>
      <c r="F65" s="349">
        <v>2</v>
      </c>
      <c r="G65" s="30">
        <f t="shared" si="15"/>
        <v>3</v>
      </c>
      <c r="H65" s="361" t="str">
        <f>IF(G65&gt;0,"yes","no")</f>
        <v>yes</v>
      </c>
    </row>
    <row r="78" spans="1:8">
      <c r="A78" s="92"/>
      <c r="B78" s="104"/>
      <c r="C78" s="104"/>
      <c r="D78" s="104"/>
      <c r="E78" s="104"/>
      <c r="F78" s="3"/>
      <c r="H78" s="314"/>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4" fitToHeight="0"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pageSetUpPr fitToPage="1"/>
  </sheetPr>
  <dimension ref="A1:N66"/>
  <sheetViews>
    <sheetView zoomScale="160" zoomScaleNormal="160" workbookViewId="0">
      <selection activeCell="I56" sqref="I5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Exeter Energy From Waste Plant</v>
      </c>
      <c r="F1" s="92"/>
      <c r="G1" s="92"/>
      <c r="H1" s="92"/>
      <c r="I1" s="92"/>
      <c r="J1" s="92"/>
      <c r="K1" s="92"/>
      <c r="L1" s="92"/>
      <c r="M1" s="92"/>
      <c r="N1" s="92"/>
    </row>
    <row r="3" spans="1:14" ht="15.6">
      <c r="A3" s="51" t="s">
        <v>147</v>
      </c>
      <c r="B3" s="309"/>
      <c r="C3" s="309"/>
      <c r="D3" s="309"/>
      <c r="E3" s="309"/>
      <c r="F3" s="309"/>
      <c r="G3" s="309"/>
      <c r="H3" s="309"/>
      <c r="I3" s="310"/>
      <c r="J3" s="92"/>
      <c r="K3" s="80" t="s">
        <v>3</v>
      </c>
      <c r="L3" s="92"/>
      <c r="M3" s="92"/>
      <c r="N3" s="92"/>
    </row>
    <row r="4" spans="1:14">
      <c r="A4" s="311"/>
      <c r="B4" s="312"/>
      <c r="C4" s="312"/>
      <c r="D4" s="312"/>
      <c r="E4" s="312"/>
      <c r="F4" s="312"/>
      <c r="G4" s="312"/>
      <c r="H4" s="312"/>
      <c r="I4" s="313"/>
      <c r="J4" s="92"/>
      <c r="K4" s="92"/>
      <c r="L4" s="92"/>
      <c r="M4" s="92"/>
      <c r="N4" s="92"/>
    </row>
    <row r="5" spans="1:14" ht="15.75" customHeight="1">
      <c r="A5" s="147" t="s">
        <v>148</v>
      </c>
      <c r="B5" s="148"/>
      <c r="C5" s="148"/>
      <c r="D5" s="148"/>
      <c r="E5" s="148"/>
      <c r="F5" s="148"/>
      <c r="G5" s="148"/>
      <c r="H5" s="148"/>
      <c r="I5" s="149"/>
      <c r="J5" s="92"/>
      <c r="K5" s="144" t="s">
        <v>149</v>
      </c>
      <c r="L5" s="144"/>
      <c r="M5" s="144"/>
      <c r="N5" s="144"/>
    </row>
    <row r="6" spans="1:14">
      <c r="A6" s="150"/>
      <c r="B6" s="151"/>
      <c r="C6" s="151"/>
      <c r="D6" s="151"/>
      <c r="E6" s="151"/>
      <c r="F6" s="151"/>
      <c r="G6" s="151"/>
      <c r="H6" s="151"/>
      <c r="I6" s="152"/>
      <c r="J6" s="92"/>
      <c r="K6" s="144"/>
      <c r="L6" s="144"/>
      <c r="M6" s="144"/>
      <c r="N6" s="144"/>
    </row>
    <row r="7" spans="1:14">
      <c r="A7" s="150"/>
      <c r="B7" s="151"/>
      <c r="C7" s="151"/>
      <c r="D7" s="151"/>
      <c r="E7" s="151"/>
      <c r="F7" s="151"/>
      <c r="G7" s="151"/>
      <c r="H7" s="151"/>
      <c r="I7" s="152"/>
      <c r="J7" s="92"/>
      <c r="K7" s="144"/>
      <c r="L7" s="144"/>
      <c r="M7" s="144"/>
      <c r="N7" s="144"/>
    </row>
    <row r="8" spans="1:14" ht="15.75" customHeight="1">
      <c r="A8" s="150"/>
      <c r="B8" s="151"/>
      <c r="C8" s="151"/>
      <c r="D8" s="151"/>
      <c r="E8" s="151"/>
      <c r="F8" s="151"/>
      <c r="G8" s="151"/>
      <c r="H8" s="151"/>
      <c r="I8" s="152"/>
      <c r="J8" s="92"/>
      <c r="K8" s="144"/>
      <c r="L8" s="144"/>
      <c r="M8" s="144"/>
      <c r="N8" s="144"/>
    </row>
    <row r="9" spans="1:14" ht="15.75" customHeight="1">
      <c r="A9" s="150"/>
      <c r="B9" s="151"/>
      <c r="C9" s="151"/>
      <c r="D9" s="151"/>
      <c r="E9" s="151"/>
      <c r="F9" s="151"/>
      <c r="G9" s="151"/>
      <c r="H9" s="151"/>
      <c r="I9" s="152"/>
      <c r="J9" s="92"/>
      <c r="K9" s="144"/>
      <c r="L9" s="144"/>
      <c r="M9" s="144"/>
      <c r="N9" s="144"/>
    </row>
    <row r="10" spans="1:14" ht="15.75" customHeight="1">
      <c r="A10" s="150"/>
      <c r="B10" s="151"/>
      <c r="C10" s="151"/>
      <c r="D10" s="151"/>
      <c r="E10" s="151"/>
      <c r="F10" s="151"/>
      <c r="G10" s="151"/>
      <c r="H10" s="151"/>
      <c r="I10" s="152"/>
      <c r="J10" s="92"/>
      <c r="K10" s="144"/>
      <c r="L10" s="144"/>
      <c r="M10" s="144"/>
      <c r="N10" s="144"/>
    </row>
    <row r="11" spans="1:14" ht="15.75" customHeight="1">
      <c r="A11" s="150"/>
      <c r="B11" s="151"/>
      <c r="C11" s="151"/>
      <c r="D11" s="151"/>
      <c r="E11" s="151"/>
      <c r="F11" s="151"/>
      <c r="G11" s="151"/>
      <c r="H11" s="151"/>
      <c r="I11" s="152"/>
      <c r="J11" s="92"/>
      <c r="K11" s="144"/>
      <c r="L11" s="144"/>
      <c r="M11" s="144"/>
      <c r="N11" s="144"/>
    </row>
    <row r="12" spans="1:14" ht="15.75" customHeight="1">
      <c r="A12" s="150"/>
      <c r="B12" s="151"/>
      <c r="C12" s="151"/>
      <c r="D12" s="151"/>
      <c r="E12" s="151"/>
      <c r="F12" s="151"/>
      <c r="G12" s="151"/>
      <c r="H12" s="151"/>
      <c r="I12" s="152"/>
      <c r="J12" s="92"/>
      <c r="K12" s="144"/>
      <c r="L12" s="144"/>
      <c r="M12" s="144"/>
      <c r="N12" s="144"/>
    </row>
    <row r="13" spans="1:14" ht="15.75" customHeight="1">
      <c r="A13" s="150"/>
      <c r="B13" s="151"/>
      <c r="C13" s="151"/>
      <c r="D13" s="151"/>
      <c r="E13" s="151"/>
      <c r="F13" s="151"/>
      <c r="G13" s="151"/>
      <c r="H13" s="151"/>
      <c r="I13" s="152"/>
      <c r="J13" s="92"/>
      <c r="K13" s="144"/>
      <c r="L13" s="144"/>
      <c r="M13" s="144"/>
      <c r="N13" s="144"/>
    </row>
    <row r="14" spans="1:14" ht="15.75" customHeight="1">
      <c r="A14" s="150"/>
      <c r="B14" s="151"/>
      <c r="C14" s="151"/>
      <c r="D14" s="151"/>
      <c r="E14" s="151"/>
      <c r="F14" s="151"/>
      <c r="G14" s="151"/>
      <c r="H14" s="151"/>
      <c r="I14" s="152"/>
      <c r="J14" s="92"/>
      <c r="K14" s="144"/>
      <c r="L14" s="144"/>
      <c r="M14" s="144"/>
      <c r="N14" s="144"/>
    </row>
    <row r="15" spans="1:14" ht="15.75" customHeight="1">
      <c r="A15" s="150"/>
      <c r="B15" s="151"/>
      <c r="C15" s="151"/>
      <c r="D15" s="151"/>
      <c r="E15" s="151"/>
      <c r="F15" s="151"/>
      <c r="G15" s="151"/>
      <c r="H15" s="151"/>
      <c r="I15" s="152"/>
      <c r="J15" s="92"/>
      <c r="K15" s="92"/>
      <c r="L15" s="92"/>
      <c r="M15" s="92"/>
      <c r="N15" s="92"/>
    </row>
    <row r="16" spans="1:14" ht="15.75" customHeight="1">
      <c r="A16" s="150"/>
      <c r="B16" s="151"/>
      <c r="C16" s="151"/>
      <c r="D16" s="151"/>
      <c r="E16" s="151"/>
      <c r="F16" s="151"/>
      <c r="G16" s="151"/>
      <c r="H16" s="151"/>
      <c r="I16" s="152"/>
      <c r="J16" s="92"/>
      <c r="K16" s="92"/>
      <c r="L16" s="92"/>
      <c r="M16" s="92"/>
      <c r="N16" s="92"/>
    </row>
    <row r="17" spans="1:14" ht="15.75" customHeight="1">
      <c r="A17" s="150"/>
      <c r="B17" s="151"/>
      <c r="C17" s="151"/>
      <c r="D17" s="151"/>
      <c r="E17" s="151"/>
      <c r="F17" s="151"/>
      <c r="G17" s="151"/>
      <c r="H17" s="151"/>
      <c r="I17" s="152"/>
      <c r="J17" s="92"/>
      <c r="K17" s="92"/>
      <c r="L17" s="92"/>
      <c r="M17" s="92"/>
      <c r="N17" s="92"/>
    </row>
    <row r="18" spans="1:14">
      <c r="A18" s="150"/>
      <c r="B18" s="151"/>
      <c r="C18" s="151"/>
      <c r="D18" s="151"/>
      <c r="E18" s="151"/>
      <c r="F18" s="151"/>
      <c r="G18" s="151"/>
      <c r="H18" s="151"/>
      <c r="I18" s="152"/>
      <c r="J18" s="92"/>
      <c r="K18" s="92"/>
      <c r="L18" s="92"/>
      <c r="M18" s="92"/>
      <c r="N18" s="92"/>
    </row>
    <row r="19" spans="1:14">
      <c r="A19" s="150"/>
      <c r="B19" s="151"/>
      <c r="C19" s="151"/>
      <c r="D19" s="151"/>
      <c r="E19" s="151"/>
      <c r="F19" s="151"/>
      <c r="G19" s="151"/>
      <c r="H19" s="151"/>
      <c r="I19" s="152"/>
      <c r="J19" s="92"/>
      <c r="K19" s="92"/>
      <c r="L19" s="92"/>
      <c r="M19" s="92"/>
      <c r="N19" s="92"/>
    </row>
    <row r="20" spans="1:14">
      <c r="A20" s="150"/>
      <c r="B20" s="151"/>
      <c r="C20" s="151"/>
      <c r="D20" s="151"/>
      <c r="E20" s="151"/>
      <c r="F20" s="151"/>
      <c r="G20" s="151"/>
      <c r="H20" s="151"/>
      <c r="I20" s="152"/>
      <c r="J20" s="92"/>
      <c r="K20" s="92"/>
      <c r="L20" s="92"/>
      <c r="M20" s="92"/>
      <c r="N20" s="92"/>
    </row>
    <row r="21" spans="1:14">
      <c r="A21" s="150"/>
      <c r="B21" s="151"/>
      <c r="C21" s="151"/>
      <c r="D21" s="151"/>
      <c r="E21" s="151"/>
      <c r="F21" s="151"/>
      <c r="G21" s="151"/>
      <c r="H21" s="151"/>
      <c r="I21" s="152"/>
      <c r="J21" s="92"/>
      <c r="K21" s="92"/>
      <c r="L21" s="92"/>
      <c r="M21" s="92"/>
      <c r="N21" s="92"/>
    </row>
    <row r="22" spans="1:14" ht="3.6" customHeight="1">
      <c r="A22" s="150"/>
      <c r="B22" s="151"/>
      <c r="C22" s="151"/>
      <c r="D22" s="151"/>
      <c r="E22" s="151"/>
      <c r="F22" s="151"/>
      <c r="G22" s="151"/>
      <c r="H22" s="151"/>
      <c r="I22" s="152"/>
      <c r="J22" s="92"/>
      <c r="K22" s="94"/>
      <c r="L22" s="94"/>
      <c r="M22" s="94"/>
      <c r="N22" s="94"/>
    </row>
    <row r="23" spans="1:14" ht="3.6" customHeight="1">
      <c r="A23" s="150"/>
      <c r="B23" s="151"/>
      <c r="C23" s="151"/>
      <c r="D23" s="151"/>
      <c r="E23" s="151"/>
      <c r="F23" s="151"/>
      <c r="G23" s="151"/>
      <c r="H23" s="151"/>
      <c r="I23" s="152"/>
      <c r="J23" s="92"/>
      <c r="K23" s="94"/>
      <c r="L23" s="94"/>
      <c r="M23" s="94"/>
      <c r="N23" s="94"/>
    </row>
    <row r="24" spans="1:14" ht="3.6" customHeight="1">
      <c r="A24" s="150"/>
      <c r="B24" s="151"/>
      <c r="C24" s="151"/>
      <c r="D24" s="151"/>
      <c r="E24" s="151"/>
      <c r="F24" s="151"/>
      <c r="G24" s="151"/>
      <c r="H24" s="151"/>
      <c r="I24" s="152"/>
      <c r="J24" s="92"/>
      <c r="K24" s="94"/>
      <c r="L24" s="94"/>
      <c r="M24" s="94"/>
      <c r="N24" s="94"/>
    </row>
    <row r="25" spans="1:14" ht="3.6" customHeight="1">
      <c r="A25" s="150"/>
      <c r="B25" s="151"/>
      <c r="C25" s="151"/>
      <c r="D25" s="151"/>
      <c r="E25" s="151"/>
      <c r="F25" s="151"/>
      <c r="G25" s="151"/>
      <c r="H25" s="151"/>
      <c r="I25" s="152"/>
      <c r="J25" s="92"/>
      <c r="K25" s="94"/>
      <c r="L25" s="94"/>
      <c r="M25" s="94"/>
      <c r="N25" s="94"/>
    </row>
    <row r="26" spans="1:14" ht="3.6" customHeight="1">
      <c r="A26" s="150"/>
      <c r="B26" s="151"/>
      <c r="C26" s="151"/>
      <c r="D26" s="151"/>
      <c r="E26" s="151"/>
      <c r="F26" s="151"/>
      <c r="G26" s="151"/>
      <c r="H26" s="151"/>
      <c r="I26" s="152"/>
      <c r="J26" s="92"/>
      <c r="K26" s="94"/>
      <c r="L26" s="94"/>
      <c r="M26" s="94"/>
      <c r="N26" s="94"/>
    </row>
    <row r="27" spans="1:14" ht="3.6" customHeight="1">
      <c r="A27" s="153"/>
      <c r="B27" s="154"/>
      <c r="C27" s="154"/>
      <c r="D27" s="154"/>
      <c r="E27" s="154"/>
      <c r="F27" s="154"/>
      <c r="G27" s="154"/>
      <c r="H27" s="154"/>
      <c r="I27" s="155"/>
      <c r="J27" s="92"/>
      <c r="K27" s="94"/>
      <c r="L27" s="94"/>
      <c r="M27" s="94"/>
      <c r="N27" s="94"/>
    </row>
    <row r="28" spans="1:14" ht="3.6" customHeight="1">
      <c r="A28" s="92"/>
      <c r="B28" s="92"/>
      <c r="C28" s="92"/>
      <c r="D28" s="92"/>
      <c r="E28" s="92"/>
      <c r="F28" s="92"/>
      <c r="G28" s="92"/>
      <c r="H28" s="92"/>
      <c r="I28" s="92"/>
      <c r="J28" s="92"/>
      <c r="K28" s="94"/>
      <c r="L28" s="94"/>
      <c r="M28" s="94"/>
      <c r="N28" s="94"/>
    </row>
    <row r="29" spans="1:14">
      <c r="A29" s="51" t="s">
        <v>150</v>
      </c>
      <c r="B29" s="309"/>
      <c r="C29" s="309"/>
      <c r="D29" s="309"/>
      <c r="E29" s="309"/>
      <c r="F29" s="309"/>
      <c r="G29" s="309"/>
      <c r="H29" s="309"/>
      <c r="I29" s="310"/>
      <c r="J29" s="92"/>
      <c r="K29" s="94"/>
      <c r="L29" s="94"/>
      <c r="M29" s="94"/>
      <c r="N29" s="94"/>
    </row>
    <row r="30" spans="1:14">
      <c r="A30" s="311"/>
      <c r="B30" s="312"/>
      <c r="C30" s="312"/>
      <c r="D30" s="312"/>
      <c r="E30" s="312"/>
      <c r="F30" s="312"/>
      <c r="G30" s="312"/>
      <c r="H30" s="312"/>
      <c r="I30" s="313"/>
      <c r="J30" s="92"/>
      <c r="K30" s="94"/>
      <c r="L30" s="94"/>
      <c r="M30" s="94"/>
      <c r="N30" s="94"/>
    </row>
    <row r="31" spans="1:14" ht="15" customHeight="1">
      <c r="A31" s="147" t="s">
        <v>151</v>
      </c>
      <c r="B31" s="156"/>
      <c r="C31" s="156"/>
      <c r="D31" s="156"/>
      <c r="E31" s="156"/>
      <c r="F31" s="156"/>
      <c r="G31" s="156"/>
      <c r="H31" s="156"/>
      <c r="I31" s="157"/>
      <c r="J31" s="92"/>
      <c r="K31" s="144" t="s">
        <v>152</v>
      </c>
      <c r="L31" s="144"/>
      <c r="M31" s="144"/>
      <c r="N31" s="144"/>
    </row>
    <row r="32" spans="1:14">
      <c r="A32" s="158"/>
      <c r="B32" s="159"/>
      <c r="C32" s="159"/>
      <c r="D32" s="159"/>
      <c r="E32" s="159"/>
      <c r="F32" s="159"/>
      <c r="G32" s="159"/>
      <c r="H32" s="159"/>
      <c r="I32" s="160"/>
      <c r="J32" s="92"/>
      <c r="K32" s="144"/>
      <c r="L32" s="144"/>
      <c r="M32" s="144"/>
      <c r="N32" s="144"/>
    </row>
    <row r="33" spans="1:14">
      <c r="A33" s="158"/>
      <c r="B33" s="159"/>
      <c r="C33" s="159"/>
      <c r="D33" s="159"/>
      <c r="E33" s="159"/>
      <c r="F33" s="159"/>
      <c r="G33" s="159"/>
      <c r="H33" s="159"/>
      <c r="I33" s="160"/>
      <c r="J33" s="92"/>
      <c r="K33" s="144"/>
      <c r="L33" s="144"/>
      <c r="M33" s="144"/>
      <c r="N33" s="144"/>
    </row>
    <row r="34" spans="1:14">
      <c r="A34" s="158"/>
      <c r="B34" s="159"/>
      <c r="C34" s="159"/>
      <c r="D34" s="159"/>
      <c r="E34" s="159"/>
      <c r="F34" s="159"/>
      <c r="G34" s="159"/>
      <c r="H34" s="159"/>
      <c r="I34" s="160"/>
      <c r="J34" s="92"/>
      <c r="K34" s="144"/>
      <c r="L34" s="144"/>
      <c r="M34" s="144"/>
      <c r="N34" s="144"/>
    </row>
    <row r="35" spans="1:14">
      <c r="A35" s="158"/>
      <c r="B35" s="159"/>
      <c r="C35" s="159"/>
      <c r="D35" s="159"/>
      <c r="E35" s="159"/>
      <c r="F35" s="159"/>
      <c r="G35" s="159"/>
      <c r="H35" s="159"/>
      <c r="I35" s="160"/>
      <c r="J35" s="92"/>
      <c r="K35" s="144"/>
      <c r="L35" s="144"/>
      <c r="M35" s="144"/>
      <c r="N35" s="144"/>
    </row>
    <row r="36" spans="1:14">
      <c r="A36" s="158"/>
      <c r="B36" s="159"/>
      <c r="C36" s="159"/>
      <c r="D36" s="159"/>
      <c r="E36" s="159"/>
      <c r="F36" s="159"/>
      <c r="G36" s="159"/>
      <c r="H36" s="159"/>
      <c r="I36" s="160"/>
      <c r="J36" s="92"/>
      <c r="K36" s="144"/>
      <c r="L36" s="144"/>
      <c r="M36" s="144"/>
      <c r="N36" s="144"/>
    </row>
    <row r="37" spans="1:14">
      <c r="A37" s="158"/>
      <c r="B37" s="159"/>
      <c r="C37" s="159"/>
      <c r="D37" s="159"/>
      <c r="E37" s="159"/>
      <c r="F37" s="159"/>
      <c r="G37" s="159"/>
      <c r="H37" s="159"/>
      <c r="I37" s="160"/>
      <c r="J37" s="92"/>
      <c r="K37" s="144"/>
      <c r="L37" s="144"/>
      <c r="M37" s="144"/>
      <c r="N37" s="144"/>
    </row>
    <row r="38" spans="1:14" ht="14.25" customHeight="1">
      <c r="A38" s="158"/>
      <c r="B38" s="159"/>
      <c r="C38" s="159"/>
      <c r="D38" s="159"/>
      <c r="E38" s="159"/>
      <c r="F38" s="159"/>
      <c r="G38" s="159"/>
      <c r="H38" s="159"/>
      <c r="I38" s="160"/>
      <c r="J38" s="92"/>
      <c r="K38" s="144"/>
      <c r="L38" s="144"/>
      <c r="M38" s="144"/>
      <c r="N38" s="144"/>
    </row>
    <row r="39" spans="1:14">
      <c r="A39" s="158"/>
      <c r="B39" s="159"/>
      <c r="C39" s="159"/>
      <c r="D39" s="159"/>
      <c r="E39" s="159"/>
      <c r="F39" s="159"/>
      <c r="G39" s="159"/>
      <c r="H39" s="159"/>
      <c r="I39" s="160"/>
      <c r="J39" s="92"/>
      <c r="K39" s="144"/>
      <c r="L39" s="144"/>
      <c r="M39" s="144"/>
      <c r="N39" s="144"/>
    </row>
    <row r="40" spans="1:14">
      <c r="A40" s="158"/>
      <c r="B40" s="159"/>
      <c r="C40" s="159"/>
      <c r="D40" s="159"/>
      <c r="E40" s="159"/>
      <c r="F40" s="159"/>
      <c r="G40" s="159"/>
      <c r="H40" s="159"/>
      <c r="I40" s="160"/>
      <c r="J40" s="92"/>
      <c r="K40" s="144"/>
      <c r="L40" s="144"/>
      <c r="M40" s="144"/>
      <c r="N40" s="144"/>
    </row>
    <row r="41" spans="1:14">
      <c r="A41" s="158"/>
      <c r="B41" s="159"/>
      <c r="C41" s="159"/>
      <c r="D41" s="159"/>
      <c r="E41" s="159"/>
      <c r="F41" s="159"/>
      <c r="G41" s="159"/>
      <c r="H41" s="159"/>
      <c r="I41" s="160"/>
      <c r="J41" s="92"/>
      <c r="K41" s="92"/>
      <c r="L41" s="92"/>
      <c r="M41" s="92"/>
      <c r="N41" s="92"/>
    </row>
    <row r="42" spans="1:14">
      <c r="A42" s="158"/>
      <c r="B42" s="159"/>
      <c r="C42" s="159"/>
      <c r="D42" s="159"/>
      <c r="E42" s="159"/>
      <c r="F42" s="159"/>
      <c r="G42" s="159"/>
      <c r="H42" s="159"/>
      <c r="I42" s="160"/>
      <c r="J42" s="92"/>
      <c r="K42" s="92"/>
      <c r="L42" s="92"/>
      <c r="M42" s="92"/>
      <c r="N42" s="92"/>
    </row>
    <row r="43" spans="1:14">
      <c r="A43" s="158"/>
      <c r="B43" s="159"/>
      <c r="C43" s="159"/>
      <c r="D43" s="159"/>
      <c r="E43" s="159"/>
      <c r="F43" s="159"/>
      <c r="G43" s="159"/>
      <c r="H43" s="159"/>
      <c r="I43" s="160"/>
      <c r="J43" s="92"/>
      <c r="K43" s="92"/>
      <c r="L43" s="92"/>
      <c r="M43" s="92"/>
      <c r="N43" s="92"/>
    </row>
    <row r="44" spans="1:14">
      <c r="A44" s="158"/>
      <c r="B44" s="159"/>
      <c r="C44" s="159"/>
      <c r="D44" s="159"/>
      <c r="E44" s="159"/>
      <c r="F44" s="159"/>
      <c r="G44" s="159"/>
      <c r="H44" s="159"/>
      <c r="I44" s="160"/>
      <c r="J44" s="92"/>
      <c r="K44" s="92"/>
      <c r="L44" s="92"/>
      <c r="M44" s="92"/>
      <c r="N44" s="92"/>
    </row>
    <row r="45" spans="1:14" ht="7.15" customHeight="1">
      <c r="A45" s="158"/>
      <c r="B45" s="159"/>
      <c r="C45" s="159"/>
      <c r="D45" s="159"/>
      <c r="E45" s="159"/>
      <c r="F45" s="159"/>
      <c r="G45" s="159"/>
      <c r="H45" s="159"/>
      <c r="I45" s="160"/>
      <c r="J45" s="92"/>
      <c r="K45" s="92"/>
      <c r="L45" s="92"/>
      <c r="M45" s="92"/>
      <c r="N45" s="92"/>
    </row>
    <row r="46" spans="1:14" ht="7.15" customHeight="1">
      <c r="A46" s="158"/>
      <c r="B46" s="159"/>
      <c r="C46" s="159"/>
      <c r="D46" s="159"/>
      <c r="E46" s="159"/>
      <c r="F46" s="159"/>
      <c r="G46" s="159"/>
      <c r="H46" s="159"/>
      <c r="I46" s="160"/>
      <c r="J46" s="92"/>
      <c r="K46" s="92"/>
      <c r="L46" s="92"/>
      <c r="M46" s="92"/>
      <c r="N46" s="92"/>
    </row>
    <row r="47" spans="1:14" ht="7.15" customHeight="1">
      <c r="A47" s="158"/>
      <c r="B47" s="159"/>
      <c r="C47" s="159"/>
      <c r="D47" s="159"/>
      <c r="E47" s="159"/>
      <c r="F47" s="159"/>
      <c r="G47" s="159"/>
      <c r="H47" s="159"/>
      <c r="I47" s="160"/>
      <c r="J47" s="92"/>
      <c r="K47" s="92"/>
      <c r="L47" s="92"/>
      <c r="M47" s="92"/>
      <c r="N47" s="92"/>
    </row>
    <row r="48" spans="1:14" ht="7.15" customHeight="1">
      <c r="A48" s="158"/>
      <c r="B48" s="159"/>
      <c r="C48" s="159"/>
      <c r="D48" s="159"/>
      <c r="E48" s="159"/>
      <c r="F48" s="159"/>
      <c r="G48" s="159"/>
      <c r="H48" s="159"/>
      <c r="I48" s="160"/>
      <c r="J48" s="92"/>
      <c r="K48" s="92"/>
      <c r="L48" s="92"/>
      <c r="M48" s="92"/>
      <c r="N48" s="92"/>
    </row>
    <row r="49" spans="1:9" ht="7.15" customHeight="1">
      <c r="A49" s="158"/>
      <c r="B49" s="159"/>
      <c r="C49" s="159"/>
      <c r="D49" s="159"/>
      <c r="E49" s="159"/>
      <c r="F49" s="159"/>
      <c r="G49" s="159"/>
      <c r="H49" s="159"/>
      <c r="I49" s="160"/>
    </row>
    <row r="50" spans="1:9" ht="7.15" customHeight="1">
      <c r="A50" s="158"/>
      <c r="B50" s="159"/>
      <c r="C50" s="159"/>
      <c r="D50" s="159"/>
      <c r="E50" s="159"/>
      <c r="F50" s="159"/>
      <c r="G50" s="159"/>
      <c r="H50" s="159"/>
      <c r="I50" s="160"/>
    </row>
    <row r="51" spans="1:9" ht="7.15" customHeight="1">
      <c r="A51" s="158"/>
      <c r="B51" s="159"/>
      <c r="C51" s="159"/>
      <c r="D51" s="159"/>
      <c r="E51" s="159"/>
      <c r="F51" s="159"/>
      <c r="G51" s="159"/>
      <c r="H51" s="159"/>
      <c r="I51" s="160"/>
    </row>
    <row r="52" spans="1:9" ht="7.15" customHeight="1">
      <c r="A52" s="161"/>
      <c r="B52" s="162"/>
      <c r="C52" s="162"/>
      <c r="D52" s="162"/>
      <c r="E52" s="162"/>
      <c r="F52" s="162"/>
      <c r="G52" s="162"/>
      <c r="H52" s="162"/>
      <c r="I52" s="163"/>
    </row>
    <row r="66" spans="6:6">
      <c r="F66" s="3"/>
    </row>
  </sheetData>
  <mergeCells count="4">
    <mergeCell ref="A5:I27"/>
    <mergeCell ref="A31:I52"/>
    <mergeCell ref="K5:N14"/>
    <mergeCell ref="K31:N40"/>
  </mergeCells>
  <pageMargins left="0.7" right="0.7" top="0.75" bottom="0.75" header="0.3" footer="0.3"/>
  <pageSetup paperSize="9" scale="98" fitToHeight="0"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pageSetUpPr fitToPage="1"/>
  </sheetPr>
  <dimension ref="A1:J60"/>
  <sheetViews>
    <sheetView topLeftCell="A39" workbookViewId="0">
      <selection activeCell="I56" sqref="I56"/>
    </sheetView>
  </sheetViews>
  <sheetFormatPr defaultColWidth="9.28515625" defaultRowHeight="15"/>
  <cols>
    <col min="1" max="16" width="9.28515625" style="2"/>
    <col min="17" max="17" width="12" style="2" customWidth="1"/>
    <col min="18" max="16384" width="9.28515625" style="2"/>
  </cols>
  <sheetData>
    <row r="1" spans="1:10" ht="15.6">
      <c r="A1" s="33">
        <f>+'Cover Page'!C39</f>
        <v>2022</v>
      </c>
      <c r="B1" s="34" t="s">
        <v>153</v>
      </c>
      <c r="C1" s="34"/>
      <c r="D1" s="34"/>
      <c r="E1" s="34"/>
      <c r="F1" s="34"/>
      <c r="G1" s="34"/>
      <c r="H1" s="34"/>
      <c r="I1" s="34"/>
      <c r="J1" s="34"/>
    </row>
    <row r="2" spans="1:10" ht="8.25" customHeight="1">
      <c r="A2" s="92"/>
      <c r="B2" s="92"/>
      <c r="C2" s="92"/>
      <c r="D2" s="92"/>
      <c r="E2" s="92"/>
      <c r="F2" s="92"/>
      <c r="G2" s="92"/>
      <c r="H2" s="92"/>
      <c r="I2" s="92"/>
      <c r="J2" s="92"/>
    </row>
    <row r="3" spans="1:10" s="3" customFormat="1" ht="13.9">
      <c r="A3" s="178" t="str">
        <f>+'Cover Page'!B31</f>
        <v>Permit EPR/HP3538CR/V003</v>
      </c>
      <c r="B3" s="178"/>
      <c r="C3" s="178"/>
      <c r="D3" s="178"/>
      <c r="E3" s="178"/>
      <c r="F3" s="3" t="s">
        <v>154</v>
      </c>
      <c r="G3" s="179">
        <f>+'Cover Page'!B37:I37</f>
        <v>0</v>
      </c>
      <c r="H3" s="179"/>
      <c r="I3" s="179"/>
    </row>
    <row r="4" spans="1:10" s="3" customFormat="1" ht="13.9">
      <c r="A4" s="3" t="s">
        <v>155</v>
      </c>
      <c r="B4" s="178" t="str">
        <f>+'Cover Page'!B33:I33</f>
        <v>Exeter Energy From Waste Plant</v>
      </c>
      <c r="C4" s="178"/>
      <c r="D4" s="178"/>
      <c r="E4" s="178"/>
      <c r="F4" s="3" t="s">
        <v>156</v>
      </c>
      <c r="G4" s="3" t="s">
        <v>157</v>
      </c>
    </row>
    <row r="5" spans="1:10" s="3" customFormat="1" ht="6.75" customHeight="1"/>
    <row r="6" spans="1:10" s="3" customFormat="1" ht="15.75" customHeight="1">
      <c r="A6" s="3" t="s">
        <v>158</v>
      </c>
      <c r="D6" s="180">
        <v>44562</v>
      </c>
      <c r="E6" s="180"/>
      <c r="F6" s="35" t="s">
        <v>159</v>
      </c>
      <c r="G6" s="180">
        <v>44926</v>
      </c>
      <c r="H6" s="180"/>
    </row>
    <row r="7" spans="1:10" s="3" customFormat="1" ht="7.5" customHeight="1"/>
    <row r="8" spans="1:10" s="3" customFormat="1" ht="15.6">
      <c r="A8" s="9">
        <f>+A1</f>
        <v>2022</v>
      </c>
      <c r="B8" s="34" t="s">
        <v>160</v>
      </c>
      <c r="C8"/>
      <c r="D8"/>
      <c r="E8"/>
      <c r="F8"/>
      <c r="G8"/>
    </row>
    <row r="9" spans="1:10" s="3" customFormat="1" ht="28.5" customHeight="1">
      <c r="A9" s="177" t="s">
        <v>161</v>
      </c>
      <c r="B9" s="177"/>
      <c r="C9" s="177" t="s">
        <v>162</v>
      </c>
      <c r="D9" s="177"/>
      <c r="E9" s="177" t="s">
        <v>163</v>
      </c>
      <c r="F9" s="177"/>
      <c r="G9" s="177" t="s">
        <v>164</v>
      </c>
      <c r="H9" s="177"/>
      <c r="I9" s="177" t="s">
        <v>165</v>
      </c>
      <c r="J9" s="177"/>
    </row>
    <row r="10" spans="1:10" s="3" customFormat="1" ht="14.25" customHeight="1">
      <c r="A10" s="362" t="s">
        <v>166</v>
      </c>
      <c r="B10" s="362"/>
      <c r="C10" s="362"/>
      <c r="D10" s="362"/>
      <c r="E10" s="362"/>
      <c r="F10" s="362"/>
      <c r="G10" s="362"/>
      <c r="H10" s="362"/>
      <c r="I10" s="362"/>
      <c r="J10" s="362"/>
    </row>
    <row r="11" spans="1:10" s="3" customFormat="1" ht="25.9" customHeight="1">
      <c r="A11" s="362" t="s">
        <v>167</v>
      </c>
      <c r="B11" s="362"/>
      <c r="C11" s="176" t="s">
        <v>168</v>
      </c>
      <c r="D11" s="176"/>
      <c r="E11" s="363"/>
      <c r="F11" s="363"/>
      <c r="G11" s="363">
        <v>2080.9</v>
      </c>
      <c r="H11" s="363"/>
      <c r="I11" s="364">
        <f>IF((E11+G11)&gt;0,(E11+G11)/'Operational Data'!$G$21, "-")</f>
        <v>3.4826486807641777E-2</v>
      </c>
      <c r="J11" s="364"/>
    </row>
    <row r="12" spans="1:10" s="3" customFormat="1" ht="14.25" customHeight="1">
      <c r="A12" s="362" t="s">
        <v>169</v>
      </c>
      <c r="B12" s="362"/>
      <c r="C12" s="176"/>
      <c r="D12" s="176"/>
      <c r="E12" s="363"/>
      <c r="F12" s="363"/>
      <c r="G12" s="363"/>
      <c r="H12" s="363"/>
      <c r="I12" s="364" t="str">
        <f>IF((E12+G12)&gt;0,(E12+G12)/'Operational Data'!$G$21, "-")</f>
        <v>-</v>
      </c>
      <c r="J12" s="364"/>
    </row>
    <row r="13" spans="1:10" s="3" customFormat="1" ht="14.25" customHeight="1">
      <c r="A13" s="362" t="s">
        <v>167</v>
      </c>
      <c r="B13" s="362"/>
      <c r="C13" s="176" t="s">
        <v>170</v>
      </c>
      <c r="D13" s="176"/>
      <c r="E13" s="363">
        <v>8.08</v>
      </c>
      <c r="F13" s="363"/>
      <c r="G13" s="363"/>
      <c r="H13" s="363"/>
      <c r="I13" s="364">
        <f>IF((E13+G13)&gt;0,(E13+G13)/'Operational Data'!$G$21, "-")</f>
        <v>1.3522899389963264E-4</v>
      </c>
      <c r="J13" s="364"/>
    </row>
    <row r="14" spans="1:10" s="3" customFormat="1" ht="14.25" customHeight="1">
      <c r="A14" s="365"/>
      <c r="B14" s="365"/>
      <c r="C14" s="176"/>
      <c r="D14" s="176"/>
      <c r="E14" s="363"/>
      <c r="F14" s="363"/>
      <c r="G14" s="363"/>
      <c r="H14" s="363"/>
      <c r="I14" s="364" t="str">
        <f>IF((E14+G14)&gt;0,(E14+G14)/'Operational Data'!$G$21, "-")</f>
        <v>-</v>
      </c>
      <c r="J14" s="364"/>
    </row>
    <row r="15" spans="1:10" s="3" customFormat="1" ht="14.25" customHeight="1">
      <c r="A15" s="366" t="s">
        <v>171</v>
      </c>
      <c r="B15" s="366"/>
      <c r="C15" s="366"/>
      <c r="D15" s="366"/>
      <c r="E15" s="367">
        <f>SUM(E11:F14)</f>
        <v>8.08</v>
      </c>
      <c r="F15" s="367"/>
      <c r="G15" s="367">
        <f>SUM(G11:H14)</f>
        <v>2080.9</v>
      </c>
      <c r="H15" s="367"/>
      <c r="I15" s="364">
        <f>IF((E15+G15)&gt;0,(E15+G15)/'Operational Data'!$G$21, "-")</f>
        <v>3.4961715801541407E-2</v>
      </c>
      <c r="J15" s="364"/>
    </row>
    <row r="16" spans="1:10" s="3" customFormat="1" ht="14.25" customHeight="1">
      <c r="A16" s="368"/>
      <c r="B16" s="369"/>
      <c r="C16" s="369"/>
      <c r="D16" s="369"/>
      <c r="E16" s="370"/>
      <c r="F16" s="370"/>
      <c r="G16" s="370"/>
      <c r="H16" s="370"/>
      <c r="I16" s="371"/>
      <c r="J16" s="372"/>
    </row>
    <row r="17" spans="1:10" s="3" customFormat="1" ht="14.25" customHeight="1">
      <c r="A17" s="373" t="s">
        <v>172</v>
      </c>
      <c r="B17" s="373"/>
      <c r="C17" s="373"/>
      <c r="D17" s="373"/>
      <c r="E17" s="373"/>
      <c r="F17" s="373"/>
      <c r="G17" s="373"/>
      <c r="H17" s="373"/>
      <c r="I17" s="373"/>
      <c r="J17" s="373"/>
    </row>
    <row r="18" spans="1:10" ht="27" customHeight="1">
      <c r="A18" s="362" t="s">
        <v>169</v>
      </c>
      <c r="B18" s="362"/>
      <c r="C18" s="176" t="s">
        <v>173</v>
      </c>
      <c r="D18" s="176"/>
      <c r="E18" s="363"/>
      <c r="F18" s="363"/>
      <c r="G18" s="363">
        <v>10339.5</v>
      </c>
      <c r="H18" s="363"/>
      <c r="I18" s="364">
        <f>IF((E18+G18)&gt;0,(E18+G18)/'Operational Data'!$G$21, "-")</f>
        <v>0.17304457703282819</v>
      </c>
      <c r="J18" s="364"/>
    </row>
    <row r="19" spans="1:10" s="3" customFormat="1" ht="24" customHeight="1">
      <c r="A19" s="362" t="s">
        <v>174</v>
      </c>
      <c r="B19" s="362"/>
      <c r="C19" s="176" t="s">
        <v>173</v>
      </c>
      <c r="D19" s="176"/>
      <c r="E19" s="363"/>
      <c r="F19" s="363"/>
      <c r="G19" s="363">
        <v>338.34</v>
      </c>
      <c r="H19" s="363"/>
      <c r="I19" s="364">
        <f>IF((E19+G19)&gt;0,(E19+G19)/'Operational Data'!$G$21, "-")</f>
        <v>5.6625467569309043E-3</v>
      </c>
      <c r="J19" s="364"/>
    </row>
    <row r="20" spans="1:10" s="3" customFormat="1" ht="10.15" customHeight="1">
      <c r="A20" s="362" t="s">
        <v>175</v>
      </c>
      <c r="B20" s="362"/>
      <c r="C20" s="176"/>
      <c r="D20" s="176"/>
      <c r="E20" s="363"/>
      <c r="F20" s="363"/>
      <c r="G20" s="363"/>
      <c r="H20" s="363"/>
      <c r="I20" s="364" t="str">
        <f>IF((E20+G20)&gt;0,(E20+G20)/'Operational Data'!$G$21, "-")</f>
        <v>-</v>
      </c>
      <c r="J20" s="364"/>
    </row>
    <row r="21" spans="1:10" s="3" customFormat="1" ht="14.25" customHeight="1">
      <c r="A21" s="374" t="s">
        <v>176</v>
      </c>
      <c r="B21" s="374"/>
      <c r="C21" s="374"/>
      <c r="D21" s="374"/>
      <c r="E21" s="367">
        <f>SUM(E18:F20)</f>
        <v>0</v>
      </c>
      <c r="F21" s="367"/>
      <c r="G21" s="367">
        <f>SUM(G18:H20)</f>
        <v>10677.84</v>
      </c>
      <c r="H21" s="367"/>
      <c r="I21" s="364">
        <f>IF((E21+G21)&gt;0,(E21+G21)/'Operational Data'!$G$21, "-")</f>
        <v>0.17870712378975909</v>
      </c>
      <c r="J21" s="364"/>
    </row>
    <row r="22" spans="1:10" s="3" customFormat="1" ht="14.25" customHeight="1">
      <c r="A22" s="173" t="s">
        <v>177</v>
      </c>
      <c r="B22" s="173"/>
      <c r="C22" s="173"/>
      <c r="D22" s="173"/>
      <c r="E22" s="174">
        <f>+E21+E15</f>
        <v>8.08</v>
      </c>
      <c r="F22" s="174"/>
      <c r="G22" s="174">
        <f>+G21+G15</f>
        <v>12758.74</v>
      </c>
      <c r="H22" s="174"/>
      <c r="I22" s="375">
        <f>IF((E22+G22)&gt;0,(E22+G22)/'Operational Data'!$G$21, "-")</f>
        <v>0.21366883959130048</v>
      </c>
      <c r="J22" s="375"/>
    </row>
    <row r="23" spans="1:10" s="3" customFormat="1" ht="8.25" customHeight="1">
      <c r="A23" s="376"/>
      <c r="B23"/>
      <c r="C23"/>
      <c r="D23"/>
      <c r="E23"/>
      <c r="F23"/>
      <c r="G23"/>
    </row>
    <row r="24" spans="1:10" s="3" customFormat="1" ht="14.25" customHeight="1">
      <c r="A24" s="164" t="s">
        <v>178</v>
      </c>
      <c r="B24" s="164"/>
      <c r="C24" s="164"/>
      <c r="D24" s="164"/>
      <c r="E24" s="164"/>
      <c r="F24" s="164"/>
      <c r="G24" s="164"/>
      <c r="H24" s="164"/>
      <c r="I24" s="164"/>
      <c r="J24" s="164"/>
    </row>
    <row r="25" spans="1:10" s="3" customFormat="1" ht="19.899999999999999" customHeight="1">
      <c r="A25" s="165" t="s">
        <v>179</v>
      </c>
      <c r="B25" s="175"/>
      <c r="C25" s="175"/>
      <c r="D25" s="175"/>
      <c r="E25" s="175"/>
      <c r="F25" s="175"/>
      <c r="G25" s="175"/>
      <c r="H25" s="175"/>
      <c r="I25" s="175"/>
      <c r="J25" s="175"/>
    </row>
    <row r="26" spans="1:10" s="3" customFormat="1" ht="20.45" customHeight="1">
      <c r="A26" s="175"/>
      <c r="B26" s="175"/>
      <c r="C26" s="175"/>
      <c r="D26" s="175"/>
      <c r="E26" s="175"/>
      <c r="F26" s="175"/>
      <c r="G26" s="175"/>
      <c r="H26" s="175"/>
      <c r="I26" s="175"/>
      <c r="J26" s="175"/>
    </row>
    <row r="27" spans="1:10" s="3" customFormat="1" ht="22.15" customHeight="1">
      <c r="A27" s="175"/>
      <c r="B27" s="175"/>
      <c r="C27" s="175"/>
      <c r="D27" s="175"/>
      <c r="E27" s="175"/>
      <c r="F27" s="175"/>
      <c r="G27" s="175"/>
      <c r="H27" s="175"/>
      <c r="I27" s="175"/>
      <c r="J27" s="175"/>
    </row>
    <row r="28" spans="1:10" s="3" customFormat="1" ht="14.25" customHeight="1">
      <c r="A28" s="376"/>
      <c r="B28"/>
      <c r="C28"/>
      <c r="D28"/>
      <c r="E28"/>
      <c r="F28"/>
      <c r="G28"/>
    </row>
    <row r="29" spans="1:10" s="3" customFormat="1" ht="14.25" customHeight="1">
      <c r="A29" s="1">
        <f>+A1</f>
        <v>2022</v>
      </c>
      <c r="B29" s="34" t="s">
        <v>180</v>
      </c>
      <c r="C29" s="34"/>
      <c r="D29" s="34"/>
      <c r="E29" s="34"/>
      <c r="F29" s="34"/>
    </row>
    <row r="30" spans="1:10" s="3" customFormat="1" ht="24.75" customHeight="1">
      <c r="A30" s="168" t="s">
        <v>181</v>
      </c>
      <c r="B30" s="169"/>
      <c r="C30" s="169"/>
      <c r="D30" s="170"/>
      <c r="E30" s="38" t="s">
        <v>182</v>
      </c>
      <c r="F30" s="39"/>
      <c r="G30" s="40" t="s">
        <v>78</v>
      </c>
      <c r="H30" s="171" t="s">
        <v>183</v>
      </c>
      <c r="I30" s="172"/>
      <c r="J30" s="41" t="s">
        <v>78</v>
      </c>
    </row>
    <row r="31" spans="1:10" s="3" customFormat="1" ht="14.25" customHeight="1">
      <c r="A31" s="368" t="s">
        <v>118</v>
      </c>
      <c r="B31" s="369"/>
      <c r="C31" s="369"/>
      <c r="D31" s="377"/>
      <c r="E31" s="378">
        <f>+'Operational Data'!G42</f>
        <v>10041000</v>
      </c>
      <c r="F31" s="372"/>
      <c r="G31" s="101" t="s">
        <v>184</v>
      </c>
      <c r="H31" s="379">
        <f>IF(E31&gt;0,E31/'Operational Data'!$G$21,"-")</f>
        <v>168.04880293888755</v>
      </c>
      <c r="I31" s="380"/>
      <c r="J31" s="101" t="s">
        <v>185</v>
      </c>
    </row>
    <row r="32" spans="1:10" s="3" customFormat="1" ht="14.25" customHeight="1">
      <c r="A32" s="368" t="s">
        <v>186</v>
      </c>
      <c r="B32" s="369"/>
      <c r="C32" s="369"/>
      <c r="D32" s="377"/>
      <c r="E32" s="378">
        <f>+'Operational Data'!G43+'Operational Data'!G42</f>
        <v>10041000</v>
      </c>
      <c r="F32" s="372"/>
      <c r="G32" s="101" t="s">
        <v>184</v>
      </c>
      <c r="H32" s="379">
        <f>IF(E32&gt;0,E32/'Operational Data'!$G$21,"-")</f>
        <v>168.04880293888755</v>
      </c>
      <c r="I32" s="380"/>
      <c r="J32" s="101" t="s">
        <v>185</v>
      </c>
    </row>
    <row r="33" spans="1:10" s="3" customFormat="1" ht="14.25" customHeight="1">
      <c r="A33" s="368" t="s">
        <v>187</v>
      </c>
      <c r="B33" s="369"/>
      <c r="C33" s="369"/>
      <c r="D33" s="377"/>
      <c r="E33" s="378">
        <f>+'Operational Data'!G45</f>
        <v>52000</v>
      </c>
      <c r="F33" s="372"/>
      <c r="G33" s="101" t="s">
        <v>188</v>
      </c>
      <c r="H33" s="379">
        <f>IF(E33&gt;0,E33/'Operational Data'!$G$21,"-")</f>
        <v>0.87028560430456647</v>
      </c>
      <c r="I33" s="380"/>
      <c r="J33" s="101" t="s">
        <v>189</v>
      </c>
    </row>
    <row r="34" spans="1:10" s="3" customFormat="1" ht="14.25" customHeight="1">
      <c r="A34" s="368" t="s">
        <v>124</v>
      </c>
      <c r="B34" s="369"/>
      <c r="C34" s="369"/>
      <c r="D34" s="377"/>
      <c r="E34" s="378">
        <f>+'Operational Data'!G46</f>
        <v>10630</v>
      </c>
      <c r="F34" s="372"/>
      <c r="G34" s="101" t="s">
        <v>188</v>
      </c>
      <c r="H34" s="379">
        <f>IF(E34&gt;0,E34/'Operational Data'!$G$21,"-")</f>
        <v>0.17790646103379887</v>
      </c>
      <c r="I34" s="380"/>
      <c r="J34" s="101" t="s">
        <v>189</v>
      </c>
    </row>
    <row r="35" spans="1:10" s="3" customFormat="1" ht="14.25" customHeight="1">
      <c r="A35" s="368" t="s">
        <v>190</v>
      </c>
      <c r="B35" s="369"/>
      <c r="C35" s="369"/>
      <c r="D35" s="377"/>
      <c r="E35" s="378">
        <f>+'Operational Data'!G47</f>
        <v>227408</v>
      </c>
      <c r="F35" s="372"/>
      <c r="G35" s="101" t="s">
        <v>188</v>
      </c>
      <c r="H35" s="379">
        <f>IF(E35&gt;0,E35/'Operational Data'!$G$21,"-")</f>
        <v>3.805959782763324</v>
      </c>
      <c r="I35" s="380"/>
      <c r="J35" s="101" t="s">
        <v>189</v>
      </c>
    </row>
    <row r="36" spans="1:10" s="3" customFormat="1" ht="14.25" customHeight="1">
      <c r="A36" s="381"/>
      <c r="B36" s="382"/>
      <c r="C36" s="382"/>
      <c r="D36" s="383"/>
      <c r="E36" s="384"/>
      <c r="F36" s="385"/>
      <c r="G36" s="386"/>
      <c r="H36" s="387"/>
      <c r="I36" s="388"/>
      <c r="J36" s="386"/>
    </row>
    <row r="37" spans="1:10" s="3" customFormat="1" ht="14.25" customHeight="1">
      <c r="A37" s="164" t="s">
        <v>178</v>
      </c>
      <c r="B37" s="164"/>
      <c r="C37" s="164"/>
      <c r="D37" s="164"/>
      <c r="E37" s="164"/>
      <c r="F37" s="164"/>
      <c r="G37" s="164"/>
      <c r="H37" s="164"/>
      <c r="I37" s="164"/>
      <c r="J37" s="164"/>
    </row>
    <row r="38" spans="1:10" s="3" customFormat="1" ht="66.599999999999994" customHeight="1">
      <c r="A38" s="165" t="s">
        <v>191</v>
      </c>
      <c r="B38" s="165"/>
      <c r="C38" s="165"/>
      <c r="D38" s="165"/>
      <c r="E38" s="165"/>
      <c r="F38" s="165"/>
      <c r="G38" s="165"/>
      <c r="H38" s="165"/>
      <c r="I38" s="165"/>
      <c r="J38" s="165"/>
    </row>
    <row r="39" spans="1:10" s="3" customFormat="1" ht="67.900000000000006" customHeight="1">
      <c r="A39" s="165"/>
      <c r="B39" s="165"/>
      <c r="C39" s="165"/>
      <c r="D39" s="165"/>
      <c r="E39" s="165"/>
      <c r="F39" s="165"/>
      <c r="G39" s="165"/>
      <c r="H39" s="165"/>
      <c r="I39" s="165"/>
      <c r="J39" s="165"/>
    </row>
    <row r="40" spans="1:10" s="3" customFormat="1" ht="30.6" customHeight="1">
      <c r="A40" s="42"/>
      <c r="B40" s="42"/>
      <c r="C40" s="42"/>
      <c r="D40" s="42"/>
      <c r="E40" s="42"/>
      <c r="F40" s="42"/>
      <c r="G40" s="42"/>
      <c r="H40" s="42"/>
      <c r="I40" s="42"/>
      <c r="J40" s="42"/>
    </row>
    <row r="41" spans="1:10" s="3" customFormat="1" ht="14.25" customHeight="1">
      <c r="A41" s="34">
        <f>+A29</f>
        <v>2022</v>
      </c>
      <c r="B41" s="34" t="s">
        <v>192</v>
      </c>
      <c r="C41" s="34"/>
      <c r="D41" s="34"/>
      <c r="E41" s="34"/>
      <c r="F41" s="34"/>
      <c r="G41" s="92"/>
    </row>
    <row r="42" spans="1:10" ht="14.25" customHeight="1">
      <c r="A42" s="167" t="s">
        <v>193</v>
      </c>
      <c r="B42" s="167"/>
      <c r="C42" s="167" t="s">
        <v>194</v>
      </c>
      <c r="D42" s="167"/>
      <c r="E42" s="167"/>
      <c r="F42" s="167"/>
      <c r="G42" s="167"/>
      <c r="H42" s="167"/>
      <c r="I42" s="167"/>
      <c r="J42" s="167"/>
    </row>
    <row r="43" spans="1:10" ht="14.25" customHeight="1">
      <c r="A43" s="43"/>
      <c r="B43" s="43"/>
      <c r="C43" s="36" t="s">
        <v>195</v>
      </c>
      <c r="D43" s="36" t="s">
        <v>196</v>
      </c>
      <c r="E43" s="36" t="s">
        <v>197</v>
      </c>
      <c r="F43" s="36" t="s">
        <v>198</v>
      </c>
      <c r="G43" s="36" t="s">
        <v>199</v>
      </c>
      <c r="H43" s="36"/>
      <c r="I43" s="36" t="s">
        <v>200</v>
      </c>
      <c r="J43" s="36" t="s">
        <v>201</v>
      </c>
    </row>
    <row r="44" spans="1:10" ht="31.5" customHeight="1">
      <c r="A44" s="362" t="s">
        <v>202</v>
      </c>
      <c r="B44" s="362"/>
      <c r="C44" s="389">
        <v>8209</v>
      </c>
      <c r="D44" s="389"/>
      <c r="E44" s="389"/>
      <c r="F44" s="390"/>
      <c r="G44" s="390"/>
      <c r="H44" s="390"/>
      <c r="I44" s="390">
        <v>8039</v>
      </c>
      <c r="J44" s="390"/>
    </row>
    <row r="45" spans="1:10" ht="43.5" customHeight="1">
      <c r="A45" s="362" t="s">
        <v>203</v>
      </c>
      <c r="B45" s="362"/>
      <c r="C45" s="389">
        <v>0</v>
      </c>
      <c r="D45" s="389"/>
      <c r="E45" s="389"/>
      <c r="F45" s="390"/>
      <c r="G45" s="390"/>
      <c r="H45" s="390"/>
      <c r="I45" s="390"/>
      <c r="J45" s="390"/>
    </row>
    <row r="46" spans="1:10" ht="42.75" customHeight="1">
      <c r="A46" s="362" t="s">
        <v>204</v>
      </c>
      <c r="B46" s="362"/>
      <c r="C46" s="389">
        <v>0</v>
      </c>
      <c r="D46" s="389"/>
      <c r="E46" s="389"/>
      <c r="F46" s="390"/>
      <c r="G46" s="390"/>
      <c r="H46" s="390"/>
      <c r="I46" s="390"/>
      <c r="J46" s="390"/>
    </row>
    <row r="47" spans="1:10" ht="8.25" customHeight="1">
      <c r="A47" s="92"/>
      <c r="B47" s="92"/>
      <c r="C47" s="92"/>
      <c r="D47" s="92"/>
      <c r="E47" s="92"/>
      <c r="F47" s="92"/>
      <c r="G47" s="92"/>
      <c r="H47" s="92"/>
      <c r="I47" s="92"/>
      <c r="J47" s="92"/>
    </row>
    <row r="48" spans="1:10">
      <c r="A48" s="164" t="s">
        <v>178</v>
      </c>
      <c r="B48" s="164"/>
      <c r="C48" s="164"/>
      <c r="D48" s="164"/>
      <c r="E48" s="164"/>
      <c r="F48" s="164"/>
      <c r="G48" s="164"/>
      <c r="H48" s="164"/>
      <c r="I48" s="164"/>
      <c r="J48" s="164"/>
    </row>
    <row r="49" spans="1:10" ht="47.45" customHeight="1">
      <c r="A49" s="165" t="s">
        <v>205</v>
      </c>
      <c r="B49" s="166"/>
      <c r="C49" s="166"/>
      <c r="D49" s="166"/>
      <c r="E49" s="166"/>
      <c r="F49" s="166"/>
      <c r="G49" s="166"/>
      <c r="H49" s="166"/>
      <c r="I49" s="166"/>
      <c r="J49" s="166"/>
    </row>
    <row r="50" spans="1:10" ht="60.6" customHeight="1">
      <c r="A50" s="166"/>
      <c r="B50" s="166"/>
      <c r="C50" s="166"/>
      <c r="D50" s="166"/>
      <c r="E50" s="166"/>
      <c r="F50" s="166"/>
      <c r="G50" s="166"/>
      <c r="H50" s="166"/>
      <c r="I50" s="166"/>
      <c r="J50" s="166"/>
    </row>
    <row r="52" spans="1:10">
      <c r="A52" s="3" t="s">
        <v>206</v>
      </c>
      <c r="B52" s="44"/>
      <c r="C52" s="44"/>
      <c r="D52" s="44"/>
      <c r="E52" s="44"/>
      <c r="F52" s="3"/>
      <c r="G52" s="3" t="s">
        <v>207</v>
      </c>
      <c r="H52" s="44"/>
      <c r="I52" s="44"/>
      <c r="J52" s="92"/>
    </row>
    <row r="60" spans="1:10">
      <c r="A60" s="92"/>
      <c r="B60" s="92"/>
      <c r="C60" s="92"/>
      <c r="D60" s="92"/>
      <c r="E60" s="92"/>
      <c r="F60" s="3"/>
      <c r="G60" s="92"/>
      <c r="H60" s="92"/>
      <c r="I60" s="92"/>
      <c r="J60" s="92"/>
    </row>
  </sheetData>
  <mergeCells count="9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7:J17"/>
    <mergeCell ref="A14:B14"/>
    <mergeCell ref="C14:D14"/>
    <mergeCell ref="E14:F14"/>
    <mergeCell ref="G14:H14"/>
    <mergeCell ref="I14:J14"/>
    <mergeCell ref="A15:D15"/>
    <mergeCell ref="E15:F15"/>
    <mergeCell ref="G15:H15"/>
    <mergeCell ref="I15:J15"/>
    <mergeCell ref="A16:B16"/>
    <mergeCell ref="C16:D16"/>
    <mergeCell ref="E16:F16"/>
    <mergeCell ref="G16:H16"/>
    <mergeCell ref="I16:J16"/>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D21"/>
    <mergeCell ref="E21:F21"/>
    <mergeCell ref="G21:H21"/>
    <mergeCell ref="I21:J21"/>
    <mergeCell ref="A30:D30"/>
    <mergeCell ref="H30:I30"/>
    <mergeCell ref="A22:D22"/>
    <mergeCell ref="E22:F22"/>
    <mergeCell ref="G22:H22"/>
    <mergeCell ref="I22:J22"/>
    <mergeCell ref="A24:J24"/>
    <mergeCell ref="A25:J27"/>
    <mergeCell ref="A31:D31"/>
    <mergeCell ref="E31:F31"/>
    <mergeCell ref="H31:I31"/>
    <mergeCell ref="A32:D32"/>
    <mergeCell ref="E32:F32"/>
    <mergeCell ref="H32:I32"/>
    <mergeCell ref="A35:D35"/>
    <mergeCell ref="E35:F35"/>
    <mergeCell ref="H35:I35"/>
    <mergeCell ref="A36:D36"/>
    <mergeCell ref="E36:F36"/>
    <mergeCell ref="H36:I36"/>
    <mergeCell ref="A33:D33"/>
    <mergeCell ref="E33:F33"/>
    <mergeCell ref="H33:I33"/>
    <mergeCell ref="A34:D34"/>
    <mergeCell ref="E34:F34"/>
    <mergeCell ref="H34:I34"/>
    <mergeCell ref="A46:B46"/>
    <mergeCell ref="A48:J48"/>
    <mergeCell ref="A49:J50"/>
    <mergeCell ref="A37:J37"/>
    <mergeCell ref="A38:J39"/>
    <mergeCell ref="A42:B42"/>
    <mergeCell ref="C42:J42"/>
    <mergeCell ref="A44:B44"/>
    <mergeCell ref="A45:B45"/>
  </mergeCells>
  <pageMargins left="0.25" right="0.25" top="0.75" bottom="0.75" header="0.3" footer="0.3"/>
  <pageSetup paperSize="9" fitToHeight="0"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I56" sqref="I56"/>
    </sheetView>
  </sheetViews>
  <sheetFormatPr defaultColWidth="9.28515625" defaultRowHeight="15"/>
  <cols>
    <col min="1" max="1" width="9.42578125" style="2" bestFit="1" customWidth="1"/>
    <col min="2" max="16384" width="9.28515625" style="2"/>
  </cols>
  <sheetData>
    <row r="1" spans="1:10" ht="15.6">
      <c r="A1" s="33">
        <f>+'Cover Page'!C39</f>
        <v>2022</v>
      </c>
      <c r="B1" s="34" t="s">
        <v>208</v>
      </c>
      <c r="C1" s="34"/>
      <c r="D1" s="34"/>
      <c r="E1" s="34"/>
      <c r="F1" s="34"/>
      <c r="G1" s="34"/>
      <c r="H1" s="34"/>
      <c r="I1" s="34"/>
      <c r="J1" s="34"/>
    </row>
    <row r="3" spans="1:10" s="3" customFormat="1" ht="15" customHeight="1">
      <c r="A3" s="3" t="str">
        <f>+'Cover Page'!B31</f>
        <v>Permit EPR/HP3538CR/V003</v>
      </c>
      <c r="F3" s="3" t="s">
        <v>154</v>
      </c>
      <c r="G3" s="182">
        <f>+'Cover Page'!B37:I37</f>
        <v>0</v>
      </c>
      <c r="H3" s="182"/>
      <c r="I3" s="182"/>
    </row>
    <row r="4" spans="1:10" s="3" customFormat="1" ht="13.9"/>
    <row r="5" spans="1:10" s="3" customFormat="1" ht="13.9">
      <c r="A5" s="3" t="s">
        <v>155</v>
      </c>
      <c r="B5" s="178" t="str">
        <f>+'Cover Page'!B33:I33</f>
        <v>Exeter Energy From Waste Plant</v>
      </c>
      <c r="C5" s="178"/>
      <c r="D5" s="178"/>
      <c r="E5" s="178"/>
      <c r="F5" s="3" t="s">
        <v>156</v>
      </c>
      <c r="G5" s="3" t="s">
        <v>209</v>
      </c>
    </row>
    <row r="6" spans="1:10" s="3" customFormat="1" ht="13.9"/>
    <row r="7" spans="1:10" s="3" customFormat="1" ht="15.75" customHeight="1">
      <c r="A7" s="3" t="s">
        <v>158</v>
      </c>
      <c r="D7" s="183">
        <f>+'Perf. Form 1'!D6:E6</f>
        <v>44562</v>
      </c>
      <c r="E7" s="183"/>
      <c r="F7" s="35" t="s">
        <v>159</v>
      </c>
      <c r="G7" s="183">
        <f>+'Perf. Form 1'!G6:H6</f>
        <v>44926</v>
      </c>
      <c r="H7" s="183"/>
    </row>
    <row r="8" spans="1:10" s="3" customFormat="1" ht="14.45">
      <c r="B8"/>
      <c r="C8"/>
      <c r="D8"/>
    </row>
    <row r="9" spans="1:10" s="3" customFormat="1" ht="37.5" customHeight="1">
      <c r="A9" s="167" t="s">
        <v>210</v>
      </c>
      <c r="B9" s="167"/>
      <c r="C9" s="167"/>
      <c r="D9" s="177" t="s">
        <v>211</v>
      </c>
      <c r="E9" s="177"/>
      <c r="F9" s="36" t="s">
        <v>78</v>
      </c>
      <c r="G9" s="167" t="s">
        <v>212</v>
      </c>
      <c r="H9" s="167"/>
      <c r="I9" s="167"/>
    </row>
    <row r="10" spans="1:10" s="3" customFormat="1" ht="24.75" customHeight="1">
      <c r="A10" s="362" t="s">
        <v>213</v>
      </c>
      <c r="B10" s="362"/>
      <c r="C10" s="362"/>
      <c r="D10" s="391">
        <f>+'Operational Data'!G24</f>
        <v>28410.183000000001</v>
      </c>
      <c r="E10" s="391"/>
      <c r="F10" s="392" t="s">
        <v>102</v>
      </c>
      <c r="G10" s="393">
        <f>+'Operational Data'!H24</f>
        <v>475.48025539535234</v>
      </c>
      <c r="H10" s="393"/>
      <c r="I10" s="393"/>
    </row>
    <row r="11" spans="1:10" s="3" customFormat="1" ht="24.75" customHeight="1">
      <c r="A11" s="362" t="s">
        <v>214</v>
      </c>
      <c r="B11" s="362"/>
      <c r="C11" s="362"/>
      <c r="D11" s="394">
        <f>+'Operational Data'!G27</f>
        <v>243.76</v>
      </c>
      <c r="E11" s="394"/>
      <c r="F11" s="392" t="s">
        <v>102</v>
      </c>
      <c r="G11" s="393">
        <f>+'Operational Data'!H27</f>
        <v>4.0796311327938675</v>
      </c>
      <c r="H11" s="393"/>
      <c r="I11" s="393"/>
    </row>
    <row r="12" spans="1:10" s="3" customFormat="1" ht="24.75" customHeight="1">
      <c r="A12" s="362" t="s">
        <v>215</v>
      </c>
      <c r="B12" s="362"/>
      <c r="C12" s="362"/>
      <c r="D12" s="391">
        <f>+'Operational Data'!G25</f>
        <v>22466.1</v>
      </c>
      <c r="E12" s="391"/>
      <c r="F12" s="392" t="s">
        <v>102</v>
      </c>
      <c r="G12" s="393">
        <f>+'Operational Data'!H25</f>
        <v>375.99852720897735</v>
      </c>
      <c r="H12" s="393"/>
      <c r="I12" s="393"/>
    </row>
    <row r="13" spans="1:10" s="3" customFormat="1" ht="24.75" customHeight="1">
      <c r="A13" s="362" t="s">
        <v>216</v>
      </c>
      <c r="B13" s="362"/>
      <c r="C13" s="362"/>
      <c r="D13" s="395">
        <v>75.718999999999994</v>
      </c>
      <c r="E13" s="395"/>
      <c r="F13" s="392" t="s">
        <v>86</v>
      </c>
      <c r="G13" s="396">
        <v>1.33E-3</v>
      </c>
      <c r="H13" s="396"/>
      <c r="I13" s="396"/>
    </row>
    <row r="14" spans="1:10" s="3" customFormat="1" ht="24.75" customHeight="1">
      <c r="A14" s="362" t="s">
        <v>217</v>
      </c>
      <c r="B14" s="362"/>
      <c r="C14" s="362"/>
      <c r="D14" s="391">
        <f>+'Operational Data'!G30</f>
        <v>0</v>
      </c>
      <c r="E14" s="391"/>
      <c r="F14" s="392" t="s">
        <v>218</v>
      </c>
      <c r="G14" s="393" t="str">
        <f>+'Operational Data'!H30</f>
        <v>-</v>
      </c>
      <c r="H14" s="393"/>
      <c r="I14" s="393"/>
    </row>
    <row r="15" spans="1:10" s="3" customFormat="1" ht="24.75" customHeight="1">
      <c r="A15" s="365"/>
      <c r="B15" s="365"/>
      <c r="C15" s="365"/>
      <c r="D15" s="365"/>
      <c r="E15" s="365"/>
      <c r="F15" s="110"/>
      <c r="G15" s="120"/>
      <c r="H15" s="120"/>
      <c r="I15" s="120"/>
    </row>
    <row r="16" spans="1:10" s="3" customFormat="1" ht="24.75" customHeight="1">
      <c r="A16" s="365"/>
      <c r="B16" s="365"/>
      <c r="C16" s="365"/>
      <c r="D16" s="365"/>
      <c r="E16" s="365"/>
      <c r="F16" s="110"/>
      <c r="G16" s="120"/>
      <c r="H16" s="120"/>
      <c r="I16" s="120"/>
    </row>
    <row r="17" spans="1:9" s="3" customFormat="1" ht="14.45">
      <c r="A17" s="45"/>
      <c r="B17"/>
      <c r="C17"/>
      <c r="D17"/>
    </row>
    <row r="18" spans="1:9" s="3" customFormat="1" ht="24" customHeight="1">
      <c r="A18" s="164" t="s">
        <v>178</v>
      </c>
      <c r="B18" s="164"/>
      <c r="C18" s="164"/>
      <c r="D18" s="164"/>
      <c r="E18" s="164"/>
      <c r="F18" s="164"/>
      <c r="G18" s="164"/>
      <c r="H18" s="164"/>
      <c r="I18" s="164"/>
    </row>
    <row r="19" spans="1:9" s="3" customFormat="1" ht="13.9">
      <c r="A19" s="181" t="s">
        <v>219</v>
      </c>
      <c r="B19" s="181"/>
      <c r="C19" s="181"/>
      <c r="D19" s="181"/>
      <c r="E19" s="181"/>
      <c r="F19" s="181"/>
      <c r="G19" s="181"/>
      <c r="H19" s="181"/>
      <c r="I19" s="181"/>
    </row>
    <row r="20" spans="1:9" s="3" customFormat="1" ht="13.9">
      <c r="A20" s="181"/>
      <c r="B20" s="181"/>
      <c r="C20" s="181"/>
      <c r="D20" s="181"/>
      <c r="E20" s="181"/>
      <c r="F20" s="181"/>
      <c r="G20" s="181"/>
      <c r="H20" s="181"/>
      <c r="I20" s="181"/>
    </row>
    <row r="21" spans="1:9" s="3" customFormat="1" ht="13.9">
      <c r="A21" s="181"/>
      <c r="B21" s="181"/>
      <c r="C21" s="181"/>
      <c r="D21" s="181"/>
      <c r="E21" s="181"/>
      <c r="F21" s="181"/>
      <c r="G21" s="181"/>
      <c r="H21" s="181"/>
      <c r="I21" s="181"/>
    </row>
    <row r="22" spans="1:9" s="3" customFormat="1" ht="13.9">
      <c r="A22" s="181"/>
      <c r="B22" s="181"/>
      <c r="C22" s="181"/>
      <c r="D22" s="181"/>
      <c r="E22" s="181"/>
      <c r="F22" s="181"/>
      <c r="G22" s="181"/>
      <c r="H22" s="181"/>
      <c r="I22" s="181"/>
    </row>
    <row r="23" spans="1:9" s="3" customFormat="1" ht="13.9">
      <c r="A23" s="181"/>
      <c r="B23" s="181"/>
      <c r="C23" s="181"/>
      <c r="D23" s="181"/>
      <c r="E23" s="181"/>
      <c r="F23" s="181"/>
      <c r="G23" s="181"/>
      <c r="H23" s="181"/>
      <c r="I23" s="181"/>
    </row>
    <row r="24" spans="1:9" s="3" customFormat="1" ht="13.9">
      <c r="A24" s="181"/>
      <c r="B24" s="181"/>
      <c r="C24" s="181"/>
      <c r="D24" s="181"/>
      <c r="E24" s="181"/>
      <c r="F24" s="181"/>
      <c r="G24" s="181"/>
      <c r="H24" s="181"/>
      <c r="I24" s="181"/>
    </row>
    <row r="25" spans="1:9" s="3" customFormat="1" ht="13.9">
      <c r="A25" s="181"/>
      <c r="B25" s="181"/>
      <c r="C25" s="181"/>
      <c r="D25" s="181"/>
      <c r="E25" s="181"/>
      <c r="F25" s="181"/>
      <c r="G25" s="181"/>
      <c r="H25" s="181"/>
      <c r="I25" s="181"/>
    </row>
    <row r="26" spans="1:9" s="3" customFormat="1" ht="13.9">
      <c r="A26" s="42"/>
      <c r="B26" s="42"/>
      <c r="C26" s="42"/>
      <c r="D26" s="42"/>
      <c r="E26" s="42"/>
      <c r="F26" s="42"/>
      <c r="G26" s="42"/>
      <c r="H26" s="42"/>
      <c r="I26" s="42"/>
    </row>
    <row r="27" spans="1:9" s="3" customFormat="1" ht="13.9"/>
    <row r="28" spans="1:9" s="3" customFormat="1" ht="13.9"/>
    <row r="29" spans="1:9" s="3" customFormat="1" ht="13.9">
      <c r="A29" s="3" t="s">
        <v>206</v>
      </c>
      <c r="B29" s="44"/>
      <c r="C29" s="44"/>
      <c r="D29" s="44"/>
      <c r="E29" s="44"/>
      <c r="G29" s="3" t="s">
        <v>207</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2"/>
      <c r="B34" s="92"/>
      <c r="C34" s="92"/>
      <c r="D34" s="92"/>
      <c r="E34" s="92"/>
      <c r="F34" s="92"/>
      <c r="G34" s="92"/>
      <c r="H34" s="92"/>
      <c r="I34" s="92"/>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I56" sqref="I56"/>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Exeter Energy From Waste Plant</v>
      </c>
      <c r="F1" s="92"/>
      <c r="G1" s="92"/>
      <c r="H1" s="92"/>
      <c r="I1" s="92"/>
      <c r="J1" s="92"/>
      <c r="K1" s="92"/>
      <c r="L1" s="92"/>
      <c r="M1" s="92"/>
      <c r="N1" s="92"/>
      <c r="O1" s="92"/>
    </row>
    <row r="3" spans="1:15" ht="15.6">
      <c r="A3" s="1" t="s">
        <v>220</v>
      </c>
      <c r="B3" s="92"/>
      <c r="C3" s="92"/>
      <c r="D3" s="92"/>
      <c r="E3" s="92"/>
      <c r="F3" s="92"/>
      <c r="G3" s="92"/>
      <c r="H3" s="92"/>
      <c r="I3" s="92"/>
      <c r="J3" s="92"/>
      <c r="K3" s="92"/>
      <c r="L3" s="92"/>
      <c r="M3" s="92"/>
      <c r="N3" s="92"/>
      <c r="O3" s="92"/>
    </row>
    <row r="4" spans="1:15" ht="15.6">
      <c r="A4" s="1"/>
      <c r="B4" s="92"/>
      <c r="C4" s="92"/>
      <c r="D4" s="92"/>
      <c r="E4" s="92"/>
      <c r="F4" s="92"/>
      <c r="G4" s="92"/>
      <c r="H4" s="92"/>
      <c r="I4" s="92"/>
      <c r="J4" s="92"/>
      <c r="K4" s="92"/>
      <c r="L4" s="92"/>
      <c r="M4" s="92"/>
      <c r="N4" s="92"/>
      <c r="O4" s="92"/>
    </row>
    <row r="5" spans="1:15">
      <c r="A5" s="9" t="s">
        <v>221</v>
      </c>
      <c r="B5" s="92"/>
      <c r="C5" s="92"/>
      <c r="D5" s="92"/>
      <c r="E5" s="92"/>
      <c r="F5" s="92"/>
      <c r="G5" s="92"/>
      <c r="H5" s="92"/>
      <c r="I5" s="92"/>
      <c r="J5" s="92"/>
      <c r="K5" s="92"/>
      <c r="L5" s="92"/>
      <c r="M5" s="92"/>
      <c r="N5" s="92"/>
      <c r="O5" s="92"/>
    </row>
    <row r="6" spans="1:15">
      <c r="A6" s="9"/>
      <c r="B6" s="92"/>
      <c r="C6" s="92"/>
      <c r="D6" s="92"/>
      <c r="E6" s="92"/>
      <c r="F6" s="92"/>
      <c r="G6" s="92"/>
      <c r="H6" s="92"/>
      <c r="I6" s="92"/>
      <c r="J6" s="92"/>
      <c r="K6" s="92"/>
      <c r="L6" s="92"/>
      <c r="M6" s="92"/>
      <c r="N6" s="92"/>
      <c r="O6" s="92"/>
    </row>
    <row r="7" spans="1:15">
      <c r="A7" s="104" t="s">
        <v>222</v>
      </c>
      <c r="B7" s="92"/>
      <c r="C7" s="92"/>
      <c r="D7" s="92"/>
      <c r="E7" s="92"/>
      <c r="F7" s="92"/>
      <c r="G7" s="92"/>
      <c r="H7" s="92"/>
      <c r="I7" s="92"/>
      <c r="J7" s="92"/>
      <c r="K7" s="92"/>
      <c r="L7" s="92"/>
      <c r="M7" s="92"/>
      <c r="N7" s="92"/>
      <c r="O7" s="92"/>
    </row>
    <row r="8" spans="1:15" s="3" customFormat="1" ht="25.5" customHeight="1">
      <c r="A8" s="201" t="s">
        <v>223</v>
      </c>
      <c r="B8" s="202"/>
      <c r="C8" s="201" t="s">
        <v>224</v>
      </c>
      <c r="D8" s="203"/>
      <c r="E8" s="203"/>
      <c r="F8" s="203"/>
      <c r="G8" s="203"/>
      <c r="H8" s="203"/>
      <c r="I8" s="202"/>
      <c r="L8" s="80" t="s">
        <v>3</v>
      </c>
    </row>
    <row r="9" spans="1:15" s="3" customFormat="1" ht="22.5" customHeight="1">
      <c r="A9" s="204"/>
      <c r="B9" s="205"/>
      <c r="C9" s="206" t="s">
        <v>225</v>
      </c>
      <c r="D9" s="206"/>
      <c r="E9" s="206"/>
      <c r="F9" s="206" t="s">
        <v>226</v>
      </c>
      <c r="G9" s="206"/>
      <c r="H9" s="206"/>
      <c r="I9" s="206"/>
      <c r="L9" s="144" t="s">
        <v>227</v>
      </c>
      <c r="M9" s="144"/>
      <c r="N9" s="144"/>
      <c r="O9" s="144"/>
    </row>
    <row r="10" spans="1:15" s="3" customFormat="1" ht="22.5" customHeight="1">
      <c r="A10" s="200" t="s">
        <v>228</v>
      </c>
      <c r="B10" s="200"/>
      <c r="C10" s="397">
        <v>1</v>
      </c>
      <c r="D10" s="398"/>
      <c r="E10" s="398"/>
      <c r="F10" s="397">
        <v>1</v>
      </c>
      <c r="G10" s="398"/>
      <c r="H10" s="398"/>
      <c r="I10" s="398"/>
      <c r="L10" s="144"/>
      <c r="M10" s="144"/>
      <c r="N10" s="144"/>
      <c r="O10" s="144"/>
    </row>
    <row r="11" spans="1:15" s="3" customFormat="1" ht="22.5" customHeight="1">
      <c r="A11" s="200" t="s">
        <v>229</v>
      </c>
      <c r="B11" s="200"/>
      <c r="C11" s="397">
        <v>1</v>
      </c>
      <c r="D11" s="398"/>
      <c r="E11" s="398"/>
      <c r="F11" s="397">
        <v>1</v>
      </c>
      <c r="G11" s="398"/>
      <c r="H11" s="398"/>
      <c r="I11" s="398"/>
      <c r="L11" s="144"/>
      <c r="M11" s="144"/>
      <c r="N11" s="144"/>
      <c r="O11" s="144"/>
    </row>
    <row r="12" spans="1:15" s="3" customFormat="1" ht="22.5" customHeight="1">
      <c r="A12" s="200" t="s">
        <v>230</v>
      </c>
      <c r="B12" s="200"/>
      <c r="C12" s="397">
        <v>1</v>
      </c>
      <c r="D12" s="398"/>
      <c r="E12" s="398"/>
      <c r="F12" s="397">
        <v>1</v>
      </c>
      <c r="G12" s="398"/>
      <c r="H12" s="398"/>
      <c r="I12" s="398"/>
      <c r="L12" s="144"/>
      <c r="M12" s="144"/>
      <c r="N12" s="144"/>
      <c r="O12" s="144"/>
    </row>
    <row r="13" spans="1:15" s="3" customFormat="1" ht="22.5" customHeight="1">
      <c r="A13" s="200" t="s">
        <v>231</v>
      </c>
      <c r="B13" s="200"/>
      <c r="C13" s="176" t="s">
        <v>232</v>
      </c>
      <c r="D13" s="398"/>
      <c r="E13" s="398"/>
      <c r="F13" s="397">
        <v>1</v>
      </c>
      <c r="G13" s="398"/>
      <c r="H13" s="398"/>
      <c r="I13" s="398"/>
      <c r="L13" s="144"/>
      <c r="M13" s="144"/>
      <c r="N13" s="144"/>
      <c r="O13" s="144"/>
    </row>
    <row r="14" spans="1:15" s="3" customFormat="1" ht="22.5" customHeight="1">
      <c r="A14" s="200" t="s">
        <v>233</v>
      </c>
      <c r="B14" s="200"/>
      <c r="C14" s="397">
        <v>1</v>
      </c>
      <c r="D14" s="398"/>
      <c r="E14" s="398"/>
      <c r="F14" s="397">
        <v>1</v>
      </c>
      <c r="G14" s="398"/>
      <c r="H14" s="398"/>
      <c r="I14" s="398"/>
      <c r="L14" s="144"/>
      <c r="M14" s="144"/>
      <c r="N14" s="144"/>
      <c r="O14" s="144"/>
    </row>
    <row r="15" spans="1:15" s="3" customFormat="1" ht="22.5" customHeight="1">
      <c r="A15" s="200" t="s">
        <v>234</v>
      </c>
      <c r="B15" s="200"/>
      <c r="C15" s="397">
        <v>1</v>
      </c>
      <c r="D15" s="398"/>
      <c r="E15" s="398"/>
      <c r="F15" s="397">
        <v>1</v>
      </c>
      <c r="G15" s="398"/>
      <c r="H15" s="398"/>
      <c r="I15" s="398"/>
      <c r="L15" s="144"/>
      <c r="M15" s="144"/>
      <c r="N15" s="144"/>
      <c r="O15" s="144"/>
    </row>
    <row r="16" spans="1:15" s="3" customFormat="1" ht="22.5" customHeight="1">
      <c r="A16" s="200" t="s">
        <v>235</v>
      </c>
      <c r="B16" s="200"/>
      <c r="C16" s="397">
        <v>1</v>
      </c>
      <c r="D16" s="398"/>
      <c r="E16" s="398"/>
      <c r="F16" s="397">
        <v>1</v>
      </c>
      <c r="G16" s="398"/>
      <c r="H16" s="398"/>
      <c r="I16" s="398"/>
      <c r="L16" s="144"/>
      <c r="M16" s="144"/>
      <c r="N16" s="144"/>
      <c r="O16" s="144"/>
    </row>
    <row r="17" spans="1:15" s="3" customFormat="1" ht="22.5" customHeight="1">
      <c r="A17" s="198"/>
      <c r="B17" s="199"/>
      <c r="C17" s="397">
        <v>1</v>
      </c>
      <c r="D17" s="398"/>
      <c r="E17" s="398"/>
      <c r="F17" s="397">
        <v>1</v>
      </c>
      <c r="G17" s="398"/>
      <c r="H17" s="398"/>
      <c r="I17" s="398"/>
      <c r="L17" s="144"/>
      <c r="M17" s="144"/>
      <c r="N17" s="144"/>
      <c r="O17" s="144"/>
    </row>
    <row r="18" spans="1:15" s="3" customFormat="1" ht="13.9">
      <c r="L18" s="144"/>
      <c r="M18" s="144"/>
      <c r="N18" s="144"/>
      <c r="O18" s="144"/>
    </row>
    <row r="19" spans="1:15" s="45" customFormat="1" ht="21.75" customHeight="1">
      <c r="A19" s="184" t="s">
        <v>236</v>
      </c>
      <c r="B19" s="185"/>
      <c r="C19" s="185"/>
      <c r="D19" s="185"/>
      <c r="E19" s="185"/>
      <c r="F19" s="185"/>
      <c r="G19" s="185"/>
      <c r="H19" s="185"/>
      <c r="I19" s="185"/>
      <c r="J19" s="185"/>
      <c r="K19" s="186"/>
    </row>
    <row r="20" spans="1:15" s="3" customFormat="1" ht="38.25" customHeight="1">
      <c r="A20" s="46" t="s">
        <v>54</v>
      </c>
      <c r="B20" s="187" t="s">
        <v>237</v>
      </c>
      <c r="C20" s="187"/>
      <c r="D20" s="187"/>
      <c r="E20" s="187" t="s">
        <v>238</v>
      </c>
      <c r="F20" s="187"/>
      <c r="G20" s="187"/>
      <c r="H20" s="187" t="s">
        <v>239</v>
      </c>
      <c r="I20" s="187"/>
      <c r="J20" s="188"/>
      <c r="K20" s="72"/>
    </row>
    <row r="21" spans="1:15" s="3" customFormat="1" ht="33.6" customHeight="1">
      <c r="A21" s="399">
        <v>44813</v>
      </c>
      <c r="B21" s="102" t="s">
        <v>240</v>
      </c>
      <c r="C21" s="102"/>
      <c r="D21" s="102"/>
      <c r="E21" s="189" t="s">
        <v>241</v>
      </c>
      <c r="F21" s="190"/>
      <c r="G21" s="191"/>
      <c r="H21" s="189" t="s">
        <v>242</v>
      </c>
      <c r="I21" s="190"/>
      <c r="J21" s="191"/>
      <c r="K21" s="72"/>
    </row>
    <row r="22" spans="1:15" s="3" customFormat="1" ht="31.15" customHeight="1">
      <c r="A22" s="399">
        <v>44841</v>
      </c>
      <c r="B22" s="120" t="s">
        <v>243</v>
      </c>
      <c r="C22" s="120"/>
      <c r="D22" s="120"/>
      <c r="E22" s="192"/>
      <c r="F22" s="193"/>
      <c r="G22" s="194"/>
      <c r="H22" s="192"/>
      <c r="I22" s="193"/>
      <c r="J22" s="194"/>
      <c r="K22" s="72"/>
    </row>
    <row r="23" spans="1:15" s="3" customFormat="1" ht="34.15" customHeight="1">
      <c r="A23" s="399">
        <v>44868</v>
      </c>
      <c r="B23" s="120" t="s">
        <v>244</v>
      </c>
      <c r="C23" s="120"/>
      <c r="D23" s="120"/>
      <c r="E23" s="195"/>
      <c r="F23" s="196"/>
      <c r="G23" s="197"/>
      <c r="H23" s="195"/>
      <c r="I23" s="196"/>
      <c r="J23" s="197"/>
      <c r="K23" s="72"/>
    </row>
    <row r="24" spans="1:15" s="3" customFormat="1" ht="13.9">
      <c r="A24" s="102"/>
      <c r="B24" s="120"/>
      <c r="C24" s="120"/>
      <c r="D24" s="120"/>
      <c r="E24" s="120"/>
      <c r="F24" s="120"/>
      <c r="G24" s="120"/>
      <c r="H24" s="120"/>
      <c r="I24" s="120"/>
      <c r="J24" s="400"/>
      <c r="K24" s="72"/>
    </row>
    <row r="25" spans="1:15" s="3" customFormat="1" ht="13.9">
      <c r="A25" s="102"/>
      <c r="B25" s="120"/>
      <c r="C25" s="120"/>
      <c r="D25" s="120"/>
      <c r="E25" s="120"/>
      <c r="F25" s="120"/>
      <c r="G25" s="120"/>
      <c r="H25" s="120"/>
      <c r="I25" s="120"/>
      <c r="J25" s="400"/>
      <c r="K25" s="72"/>
    </row>
    <row r="26" spans="1:15" s="3" customFormat="1" ht="13.9"/>
    <row r="27" spans="1:15" s="45" customFormat="1" ht="22.5" customHeight="1">
      <c r="A27" s="184" t="s">
        <v>245</v>
      </c>
      <c r="B27" s="185"/>
      <c r="C27" s="185"/>
      <c r="D27" s="185"/>
      <c r="E27" s="185"/>
      <c r="F27" s="185"/>
      <c r="G27" s="185"/>
      <c r="H27" s="185"/>
      <c r="I27" s="185"/>
      <c r="J27" s="185"/>
      <c r="K27" s="186"/>
    </row>
    <row r="28" spans="1:15" s="3" customFormat="1" ht="39" customHeight="1">
      <c r="A28" s="46" t="s">
        <v>54</v>
      </c>
      <c r="B28" s="187" t="s">
        <v>246</v>
      </c>
      <c r="C28" s="187"/>
      <c r="D28" s="187"/>
      <c r="E28" s="187" t="s">
        <v>247</v>
      </c>
      <c r="F28" s="187"/>
      <c r="G28" s="187"/>
      <c r="H28" s="187" t="s">
        <v>239</v>
      </c>
      <c r="I28" s="187"/>
      <c r="J28" s="188"/>
      <c r="K28" s="72"/>
    </row>
    <row r="29" spans="1:15" s="3" customFormat="1" ht="19.899999999999999" customHeight="1">
      <c r="A29" s="399">
        <v>44792</v>
      </c>
      <c r="B29" s="120" t="s">
        <v>248</v>
      </c>
      <c r="C29" s="120"/>
      <c r="D29" s="120"/>
      <c r="E29" s="120" t="s">
        <v>249</v>
      </c>
      <c r="F29" s="120"/>
      <c r="G29" s="120"/>
      <c r="H29" s="189" t="s">
        <v>250</v>
      </c>
      <c r="I29" s="190"/>
      <c r="J29" s="191"/>
      <c r="K29" s="72"/>
    </row>
    <row r="30" spans="1:15" s="3" customFormat="1" ht="18.600000000000001" customHeight="1">
      <c r="A30" s="102"/>
      <c r="B30" s="120"/>
      <c r="C30" s="120"/>
      <c r="D30" s="120"/>
      <c r="E30" s="120"/>
      <c r="F30" s="120"/>
      <c r="G30" s="120"/>
      <c r="H30" s="192"/>
      <c r="I30" s="193"/>
      <c r="J30" s="194"/>
      <c r="K30" s="72"/>
    </row>
    <row r="31" spans="1:15" ht="19.149999999999999" customHeight="1">
      <c r="A31" s="102"/>
      <c r="B31" s="120"/>
      <c r="C31" s="120"/>
      <c r="D31" s="120"/>
      <c r="E31" s="120"/>
      <c r="F31" s="120"/>
      <c r="G31" s="120"/>
      <c r="H31" s="192"/>
      <c r="I31" s="193"/>
      <c r="J31" s="194"/>
      <c r="K31" s="72"/>
      <c r="L31" s="92"/>
      <c r="M31" s="92"/>
      <c r="N31" s="92"/>
      <c r="O31" s="92"/>
    </row>
    <row r="32" spans="1:15" s="3" customFormat="1" ht="13.9">
      <c r="A32" s="102"/>
      <c r="B32" s="120"/>
      <c r="C32" s="120"/>
      <c r="D32" s="120"/>
      <c r="E32" s="120"/>
      <c r="F32" s="120"/>
      <c r="G32" s="120"/>
      <c r="H32" s="192"/>
      <c r="I32" s="193"/>
      <c r="J32" s="194"/>
      <c r="K32" s="72"/>
    </row>
    <row r="33" spans="1:11" s="3" customFormat="1" ht="13.9">
      <c r="A33" s="102"/>
      <c r="B33" s="120"/>
      <c r="C33" s="120"/>
      <c r="D33" s="120"/>
      <c r="E33" s="120"/>
      <c r="F33" s="120"/>
      <c r="G33" s="120"/>
      <c r="H33" s="195"/>
      <c r="I33" s="196"/>
      <c r="J33" s="197"/>
      <c r="K33" s="72"/>
    </row>
    <row r="34" spans="1:11" s="3" customFormat="1" ht="29.25" customHeight="1">
      <c r="A34" s="104"/>
      <c r="E34" s="207" t="s">
        <v>251</v>
      </c>
      <c r="F34" s="207"/>
      <c r="G34" s="207"/>
      <c r="H34" s="207"/>
      <c r="I34" s="207"/>
      <c r="J34" s="104"/>
    </row>
    <row r="67" spans="6:6">
      <c r="F67" s="3"/>
    </row>
  </sheetData>
  <mergeCells count="60">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H29:J33"/>
    <mergeCell ref="A27:K27"/>
    <mergeCell ref="B20:D20"/>
    <mergeCell ref="E20:G20"/>
    <mergeCell ref="H20:J20"/>
    <mergeCell ref="E21:G23"/>
    <mergeCell ref="H21:J23"/>
    <mergeCell ref="B33:D33"/>
    <mergeCell ref="E33:G33"/>
    <mergeCell ref="B30:D30"/>
    <mergeCell ref="E30:G30"/>
    <mergeCell ref="B31:D31"/>
    <mergeCell ref="E31:G31"/>
    <mergeCell ref="A19:K19"/>
    <mergeCell ref="B32:D32"/>
    <mergeCell ref="E32:G32"/>
    <mergeCell ref="B28:D28"/>
    <mergeCell ref="E28:G28"/>
    <mergeCell ref="H28:J28"/>
    <mergeCell ref="B29:D29"/>
    <mergeCell ref="E29:G29"/>
    <mergeCell ref="B24:D24"/>
    <mergeCell ref="E24:G24"/>
    <mergeCell ref="H24:J24"/>
    <mergeCell ref="B25:D25"/>
    <mergeCell ref="E25:G25"/>
    <mergeCell ref="H25:J25"/>
    <mergeCell ref="B22:D22"/>
    <mergeCell ref="B23:D23"/>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zoomScale="205" zoomScaleNormal="205" workbookViewId="0">
      <selection activeCell="I56" sqref="I5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Exeter Energy From Waste Plant</v>
      </c>
      <c r="F1" s="92"/>
      <c r="G1" s="92"/>
      <c r="H1" s="92"/>
      <c r="I1" s="92"/>
    </row>
    <row r="3" spans="1:9" ht="15.6">
      <c r="A3" s="1" t="s">
        <v>252</v>
      </c>
      <c r="B3" s="92"/>
      <c r="C3" s="92"/>
      <c r="D3" s="92"/>
      <c r="E3" s="92"/>
      <c r="F3" s="92"/>
      <c r="G3" s="92"/>
      <c r="H3" s="92"/>
      <c r="I3" s="92"/>
    </row>
    <row r="4" spans="1:9" ht="15.6">
      <c r="A4" s="1"/>
      <c r="B4" s="92"/>
      <c r="C4" s="92"/>
      <c r="D4" s="92"/>
      <c r="E4" s="92"/>
      <c r="F4" s="92"/>
      <c r="G4" s="92"/>
      <c r="H4" s="92"/>
      <c r="I4" s="92"/>
    </row>
    <row r="5" spans="1:9" s="3" customFormat="1" ht="13.9">
      <c r="A5" s="211" t="s">
        <v>253</v>
      </c>
      <c r="B5" s="212"/>
      <c r="C5" s="212"/>
      <c r="D5" s="212"/>
      <c r="E5" s="212"/>
      <c r="F5" s="212"/>
      <c r="G5" s="212"/>
      <c r="H5" s="212"/>
      <c r="I5" s="213"/>
    </row>
    <row r="6" spans="1:9" s="3" customFormat="1" ht="15.75" customHeight="1">
      <c r="A6" s="127" t="s">
        <v>254</v>
      </c>
      <c r="B6" s="156"/>
      <c r="C6" s="156"/>
      <c r="D6" s="156"/>
      <c r="E6" s="156"/>
      <c r="F6" s="156"/>
      <c r="G6" s="156"/>
      <c r="H6" s="156"/>
      <c r="I6" s="157"/>
    </row>
    <row r="7" spans="1:9" s="3" customFormat="1" ht="15.75" customHeight="1">
      <c r="A7" s="158"/>
      <c r="B7" s="159"/>
      <c r="C7" s="159"/>
      <c r="D7" s="159"/>
      <c r="E7" s="159"/>
      <c r="F7" s="159"/>
      <c r="G7" s="159"/>
      <c r="H7" s="159"/>
      <c r="I7" s="160"/>
    </row>
    <row r="8" spans="1:9" s="3" customFormat="1" ht="15.75" customHeight="1">
      <c r="A8" s="158"/>
      <c r="B8" s="159"/>
      <c r="C8" s="159"/>
      <c r="D8" s="159"/>
      <c r="E8" s="159"/>
      <c r="F8" s="159"/>
      <c r="G8" s="159"/>
      <c r="H8" s="159"/>
      <c r="I8" s="160"/>
    </row>
    <row r="9" spans="1:9" s="3" customFormat="1" ht="15.75" customHeight="1">
      <c r="A9" s="158"/>
      <c r="B9" s="159"/>
      <c r="C9" s="159"/>
      <c r="D9" s="159"/>
      <c r="E9" s="159"/>
      <c r="F9" s="159"/>
      <c r="G9" s="159"/>
      <c r="H9" s="159"/>
      <c r="I9" s="160"/>
    </row>
    <row r="10" spans="1:9" s="3" customFormat="1" ht="15.75" customHeight="1">
      <c r="A10" s="158"/>
      <c r="B10" s="159"/>
      <c r="C10" s="159"/>
      <c r="D10" s="159"/>
      <c r="E10" s="159"/>
      <c r="F10" s="159"/>
      <c r="G10" s="159"/>
      <c r="H10" s="159"/>
      <c r="I10" s="160"/>
    </row>
    <row r="11" spans="1:9" s="3" customFormat="1" ht="15.75" customHeight="1">
      <c r="A11" s="158"/>
      <c r="B11" s="159"/>
      <c r="C11" s="159"/>
      <c r="D11" s="159"/>
      <c r="E11" s="159"/>
      <c r="F11" s="159"/>
      <c r="G11" s="159"/>
      <c r="H11" s="159"/>
      <c r="I11" s="160"/>
    </row>
    <row r="12" spans="1:9" s="3" customFormat="1" ht="15.75" customHeight="1">
      <c r="A12" s="158"/>
      <c r="B12" s="159"/>
      <c r="C12" s="159"/>
      <c r="D12" s="159"/>
      <c r="E12" s="159"/>
      <c r="F12" s="159"/>
      <c r="G12" s="159"/>
      <c r="H12" s="159"/>
      <c r="I12" s="160"/>
    </row>
    <row r="13" spans="1:9" s="3" customFormat="1" ht="15.75" customHeight="1">
      <c r="A13" s="158"/>
      <c r="B13" s="159"/>
      <c r="C13" s="159"/>
      <c r="D13" s="159"/>
      <c r="E13" s="159"/>
      <c r="F13" s="159"/>
      <c r="G13" s="159"/>
      <c r="H13" s="159"/>
      <c r="I13" s="160"/>
    </row>
    <row r="14" spans="1:9" s="3" customFormat="1" ht="15.75" customHeight="1">
      <c r="A14" s="161"/>
      <c r="B14" s="162"/>
      <c r="C14" s="162"/>
      <c r="D14" s="162"/>
      <c r="E14" s="162"/>
      <c r="F14" s="162"/>
      <c r="G14" s="162"/>
      <c r="H14" s="162"/>
      <c r="I14" s="163"/>
    </row>
    <row r="15" spans="1:9" s="3" customFormat="1" ht="13.9"/>
    <row r="16" spans="1:9" s="47" customFormat="1" ht="33.75" customHeight="1">
      <c r="A16" s="208"/>
      <c r="B16" s="209"/>
      <c r="C16" s="209"/>
      <c r="D16" s="209"/>
      <c r="E16" s="209"/>
      <c r="F16" s="209"/>
      <c r="G16" s="209"/>
      <c r="H16" s="209"/>
      <c r="I16" s="210"/>
    </row>
    <row r="17" spans="1:9" ht="15.75" customHeight="1">
      <c r="A17" s="214" t="s">
        <v>255</v>
      </c>
      <c r="B17" s="401"/>
      <c r="C17" s="401"/>
      <c r="D17" s="401"/>
      <c r="E17" s="401"/>
      <c r="F17" s="401"/>
      <c r="G17" s="401"/>
      <c r="H17" s="401"/>
      <c r="I17" s="402"/>
    </row>
    <row r="18" spans="1:9" ht="15.75" customHeight="1">
      <c r="A18" s="403"/>
      <c r="B18" s="404"/>
      <c r="C18" s="404"/>
      <c r="D18" s="404"/>
      <c r="E18" s="404"/>
      <c r="F18" s="404"/>
      <c r="G18" s="404"/>
      <c r="H18" s="404"/>
      <c r="I18" s="405"/>
    </row>
    <row r="19" spans="1:9" ht="15.75" customHeight="1">
      <c r="A19" s="403"/>
      <c r="B19" s="404"/>
      <c r="C19" s="404"/>
      <c r="D19" s="404"/>
      <c r="E19" s="404"/>
      <c r="F19" s="404"/>
      <c r="G19" s="404"/>
      <c r="H19" s="404"/>
      <c r="I19" s="405"/>
    </row>
    <row r="20" spans="1:9" ht="15.75" customHeight="1">
      <c r="A20" s="403"/>
      <c r="B20" s="404"/>
      <c r="C20" s="404"/>
      <c r="D20" s="404"/>
      <c r="E20" s="404"/>
      <c r="F20" s="404"/>
      <c r="G20" s="404"/>
      <c r="H20" s="404"/>
      <c r="I20" s="405"/>
    </row>
    <row r="21" spans="1:9" ht="15.75" customHeight="1">
      <c r="A21" s="403"/>
      <c r="B21" s="404"/>
      <c r="C21" s="404"/>
      <c r="D21" s="404"/>
      <c r="E21" s="404"/>
      <c r="F21" s="404"/>
      <c r="G21" s="404"/>
      <c r="H21" s="404"/>
      <c r="I21" s="405"/>
    </row>
    <row r="22" spans="1:9" ht="15.75" customHeight="1">
      <c r="A22" s="403"/>
      <c r="B22" s="404"/>
      <c r="C22" s="404"/>
      <c r="D22" s="404"/>
      <c r="E22" s="404"/>
      <c r="F22" s="404"/>
      <c r="G22" s="404"/>
      <c r="H22" s="404"/>
      <c r="I22" s="405"/>
    </row>
    <row r="23" spans="1:9" ht="15.75" customHeight="1">
      <c r="A23" s="403"/>
      <c r="B23" s="404"/>
      <c r="C23" s="404"/>
      <c r="D23" s="404"/>
      <c r="E23" s="404"/>
      <c r="F23" s="404"/>
      <c r="G23" s="404"/>
      <c r="H23" s="404"/>
      <c r="I23" s="405"/>
    </row>
    <row r="24" spans="1:9" ht="15.75" customHeight="1">
      <c r="A24" s="403"/>
      <c r="B24" s="404"/>
      <c r="C24" s="404"/>
      <c r="D24" s="404"/>
      <c r="E24" s="404"/>
      <c r="F24" s="404"/>
      <c r="G24" s="404"/>
      <c r="H24" s="404"/>
      <c r="I24" s="405"/>
    </row>
    <row r="25" spans="1:9" ht="15.75" customHeight="1">
      <c r="A25" s="406"/>
      <c r="B25" s="407"/>
      <c r="C25" s="407"/>
      <c r="D25" s="407"/>
      <c r="E25" s="407"/>
      <c r="F25" s="407"/>
      <c r="G25" s="407"/>
      <c r="H25" s="407"/>
      <c r="I25" s="408"/>
    </row>
    <row r="26" spans="1:9" ht="15.6">
      <c r="A26" s="1"/>
      <c r="B26" s="92"/>
      <c r="C26" s="92"/>
      <c r="D26" s="92"/>
      <c r="E26" s="92"/>
      <c r="F26" s="92"/>
      <c r="G26" s="92"/>
      <c r="H26" s="92"/>
      <c r="I26" s="92"/>
    </row>
    <row r="27" spans="1:9" ht="36.75" customHeight="1">
      <c r="A27" s="208" t="s">
        <v>256</v>
      </c>
      <c r="B27" s="209"/>
      <c r="C27" s="209"/>
      <c r="D27" s="209"/>
      <c r="E27" s="209"/>
      <c r="F27" s="209"/>
      <c r="G27" s="209"/>
      <c r="H27" s="209"/>
      <c r="I27" s="210"/>
    </row>
    <row r="28" spans="1:9" ht="15.75" customHeight="1">
      <c r="A28" s="215" t="s">
        <v>257</v>
      </c>
      <c r="B28" s="401"/>
      <c r="C28" s="401"/>
      <c r="D28" s="401"/>
      <c r="E28" s="401"/>
      <c r="F28" s="401"/>
      <c r="G28" s="401"/>
      <c r="H28" s="401"/>
      <c r="I28" s="402"/>
    </row>
    <row r="29" spans="1:9" ht="15.75" customHeight="1">
      <c r="A29" s="403"/>
      <c r="B29" s="404"/>
      <c r="C29" s="404"/>
      <c r="D29" s="404"/>
      <c r="E29" s="404"/>
      <c r="F29" s="404"/>
      <c r="G29" s="404"/>
      <c r="H29" s="404"/>
      <c r="I29" s="405"/>
    </row>
    <row r="30" spans="1:9" ht="15.75" customHeight="1">
      <c r="A30" s="403"/>
      <c r="B30" s="404"/>
      <c r="C30" s="404"/>
      <c r="D30" s="404"/>
      <c r="E30" s="404"/>
      <c r="F30" s="404"/>
      <c r="G30" s="404"/>
      <c r="H30" s="404"/>
      <c r="I30" s="405"/>
    </row>
    <row r="31" spans="1:9" ht="15.75" customHeight="1">
      <c r="A31" s="403"/>
      <c r="B31" s="404"/>
      <c r="C31" s="404"/>
      <c r="D31" s="404"/>
      <c r="E31" s="404"/>
      <c r="F31" s="404"/>
      <c r="G31" s="404"/>
      <c r="H31" s="404"/>
      <c r="I31" s="405"/>
    </row>
    <row r="32" spans="1:9" ht="15.75" customHeight="1">
      <c r="A32" s="403"/>
      <c r="B32" s="404"/>
      <c r="C32" s="404"/>
      <c r="D32" s="404"/>
      <c r="E32" s="404"/>
      <c r="F32" s="404"/>
      <c r="G32" s="404"/>
      <c r="H32" s="404"/>
      <c r="I32" s="405"/>
    </row>
    <row r="33" spans="1:9" ht="15.75" customHeight="1">
      <c r="A33" s="403"/>
      <c r="B33" s="404"/>
      <c r="C33" s="404"/>
      <c r="D33" s="404"/>
      <c r="E33" s="404"/>
      <c r="F33" s="404"/>
      <c r="G33" s="404"/>
      <c r="H33" s="404"/>
      <c r="I33" s="405"/>
    </row>
    <row r="34" spans="1:9" ht="15.75" customHeight="1">
      <c r="A34" s="403"/>
      <c r="B34" s="404"/>
      <c r="C34" s="404"/>
      <c r="D34" s="404"/>
      <c r="E34" s="404"/>
      <c r="F34" s="404"/>
      <c r="G34" s="404"/>
      <c r="H34" s="404"/>
      <c r="I34" s="405"/>
    </row>
    <row r="35" spans="1:9" ht="15.75" customHeight="1">
      <c r="A35" s="403"/>
      <c r="B35" s="404"/>
      <c r="C35" s="404"/>
      <c r="D35" s="404"/>
      <c r="E35" s="404"/>
      <c r="F35" s="404"/>
      <c r="G35" s="404"/>
      <c r="H35" s="404"/>
      <c r="I35" s="405"/>
    </row>
    <row r="36" spans="1:9" ht="15.75" customHeight="1">
      <c r="A36" s="406"/>
      <c r="B36" s="407"/>
      <c r="C36" s="407"/>
      <c r="D36" s="407"/>
      <c r="E36" s="407"/>
      <c r="F36" s="407"/>
      <c r="G36" s="407"/>
      <c r="H36" s="407"/>
      <c r="I36" s="408"/>
    </row>
    <row r="38" spans="1:9" ht="33" customHeight="1">
      <c r="A38" s="208" t="s">
        <v>258</v>
      </c>
      <c r="B38" s="209"/>
      <c r="C38" s="209"/>
      <c r="D38" s="209"/>
      <c r="E38" s="209"/>
      <c r="F38" s="209"/>
      <c r="G38" s="209"/>
      <c r="H38" s="209"/>
      <c r="I38" s="210"/>
    </row>
    <row r="39" spans="1:9" ht="15.75" customHeight="1">
      <c r="A39" s="409"/>
      <c r="B39" s="410"/>
      <c r="C39" s="410"/>
      <c r="D39" s="410"/>
      <c r="E39" s="410"/>
      <c r="F39" s="410"/>
      <c r="G39" s="410"/>
      <c r="H39" s="410"/>
      <c r="I39" s="411"/>
    </row>
    <row r="40" spans="1:9" ht="15.75" customHeight="1">
      <c r="A40" s="412"/>
      <c r="B40" s="413"/>
      <c r="C40" s="413"/>
      <c r="D40" s="413"/>
      <c r="E40" s="413"/>
      <c r="F40" s="413"/>
      <c r="G40" s="413"/>
      <c r="H40" s="413"/>
      <c r="I40" s="414"/>
    </row>
    <row r="41" spans="1:9" ht="15.75" customHeight="1">
      <c r="A41" s="412"/>
      <c r="B41" s="413"/>
      <c r="C41" s="413"/>
      <c r="D41" s="413"/>
      <c r="E41" s="413"/>
      <c r="F41" s="413"/>
      <c r="G41" s="413"/>
      <c r="H41" s="413"/>
      <c r="I41" s="414"/>
    </row>
    <row r="42" spans="1:9" ht="15.75" customHeight="1">
      <c r="A42" s="412"/>
      <c r="B42" s="413"/>
      <c r="C42" s="413"/>
      <c r="D42" s="413"/>
      <c r="E42" s="413"/>
      <c r="F42" s="413"/>
      <c r="G42" s="413"/>
      <c r="H42" s="413"/>
      <c r="I42" s="414"/>
    </row>
    <row r="43" spans="1:9" ht="15.75" customHeight="1">
      <c r="A43" s="412"/>
      <c r="B43" s="413"/>
      <c r="C43" s="413"/>
      <c r="D43" s="413"/>
      <c r="E43" s="413"/>
      <c r="F43" s="413"/>
      <c r="G43" s="413"/>
      <c r="H43" s="413"/>
      <c r="I43" s="414"/>
    </row>
    <row r="44" spans="1:9" ht="15.75" customHeight="1">
      <c r="A44" s="412"/>
      <c r="B44" s="413"/>
      <c r="C44" s="413"/>
      <c r="D44" s="413"/>
      <c r="E44" s="413"/>
      <c r="F44" s="413"/>
      <c r="G44" s="413"/>
      <c r="H44" s="413"/>
      <c r="I44" s="414"/>
    </row>
    <row r="45" spans="1:9" ht="15.75" customHeight="1">
      <c r="A45" s="412"/>
      <c r="B45" s="413"/>
      <c r="C45" s="413"/>
      <c r="D45" s="413"/>
      <c r="E45" s="413"/>
      <c r="F45" s="413"/>
      <c r="G45" s="413"/>
      <c r="H45" s="413"/>
      <c r="I45" s="414"/>
    </row>
    <row r="46" spans="1:9" ht="15.75" customHeight="1">
      <c r="A46" s="412"/>
      <c r="B46" s="413"/>
      <c r="C46" s="413"/>
      <c r="D46" s="413"/>
      <c r="E46" s="413"/>
      <c r="F46" s="413"/>
      <c r="G46" s="413"/>
      <c r="H46" s="413"/>
      <c r="I46" s="414"/>
    </row>
    <row r="47" spans="1:9" ht="15.75" customHeight="1">
      <c r="A47" s="412"/>
      <c r="B47" s="413"/>
      <c r="C47" s="413"/>
      <c r="D47" s="413"/>
      <c r="E47" s="413"/>
      <c r="F47" s="413"/>
      <c r="G47" s="413"/>
      <c r="H47" s="413"/>
      <c r="I47" s="414"/>
    </row>
    <row r="48" spans="1:9" ht="15.75" customHeight="1">
      <c r="A48" s="415"/>
      <c r="B48" s="416"/>
      <c r="C48" s="416"/>
      <c r="D48" s="416"/>
      <c r="E48" s="416"/>
      <c r="F48" s="416"/>
      <c r="G48" s="416"/>
      <c r="H48" s="416"/>
      <c r="I48" s="417"/>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I56" sqref="I5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Exeter Energy From Waste Plant</v>
      </c>
      <c r="F1" s="92"/>
      <c r="G1" s="92"/>
      <c r="H1" s="92"/>
      <c r="I1" s="92"/>
    </row>
    <row r="3" spans="1:9" ht="15.6">
      <c r="A3" s="1" t="s">
        <v>259</v>
      </c>
      <c r="B3" s="92"/>
      <c r="C3" s="92"/>
      <c r="D3" s="92"/>
      <c r="E3" s="92"/>
      <c r="F3" s="92"/>
      <c r="G3" s="92"/>
      <c r="H3" s="92"/>
      <c r="I3" s="92"/>
    </row>
    <row r="4" spans="1:9" ht="15.6">
      <c r="A4" s="1"/>
      <c r="B4" s="92"/>
      <c r="C4" s="92"/>
      <c r="D4" s="92"/>
      <c r="E4" s="92"/>
      <c r="F4" s="92"/>
      <c r="G4" s="92"/>
      <c r="H4" s="92"/>
      <c r="I4" s="92"/>
    </row>
    <row r="5" spans="1:9" s="3" customFormat="1" ht="28.5" customHeight="1">
      <c r="A5" s="48" t="s">
        <v>260</v>
      </c>
      <c r="B5" s="49"/>
      <c r="C5" s="49"/>
      <c r="D5" s="49"/>
      <c r="E5" s="49"/>
      <c r="F5" s="49"/>
      <c r="G5" s="49"/>
      <c r="H5" s="49"/>
      <c r="I5" s="50"/>
    </row>
    <row r="6" spans="1:9" s="3" customFormat="1" ht="15.75" customHeight="1">
      <c r="A6" s="211" t="s">
        <v>54</v>
      </c>
      <c r="B6" s="213"/>
      <c r="C6" s="211" t="s">
        <v>261</v>
      </c>
      <c r="D6" s="212"/>
      <c r="E6" s="212"/>
      <c r="F6" s="212"/>
      <c r="G6" s="212"/>
      <c r="H6" s="212"/>
      <c r="I6" s="213"/>
    </row>
    <row r="7" spans="1:9" s="3" customFormat="1" ht="15.75" customHeight="1">
      <c r="A7" s="418">
        <v>44691</v>
      </c>
      <c r="B7" s="402"/>
      <c r="C7" s="215" t="s">
        <v>262</v>
      </c>
      <c r="D7" s="401"/>
      <c r="E7" s="401"/>
      <c r="F7" s="401"/>
      <c r="G7" s="401"/>
      <c r="H7" s="401"/>
      <c r="I7" s="402"/>
    </row>
    <row r="8" spans="1:9" s="3" customFormat="1" ht="15.75" customHeight="1">
      <c r="A8" s="406"/>
      <c r="B8" s="408"/>
      <c r="C8" s="406"/>
      <c r="D8" s="407"/>
      <c r="E8" s="407"/>
      <c r="F8" s="407"/>
      <c r="G8" s="407"/>
      <c r="H8" s="407"/>
      <c r="I8" s="408"/>
    </row>
    <row r="9" spans="1:9" s="3" customFormat="1" ht="15.75" customHeight="1">
      <c r="A9" s="418">
        <v>44873</v>
      </c>
      <c r="B9" s="402"/>
      <c r="C9" s="215" t="s">
        <v>262</v>
      </c>
      <c r="D9" s="401"/>
      <c r="E9" s="401"/>
      <c r="F9" s="401"/>
      <c r="G9" s="401"/>
      <c r="H9" s="401"/>
      <c r="I9" s="402"/>
    </row>
    <row r="10" spans="1:9" s="3" customFormat="1" ht="15.75" customHeight="1">
      <c r="A10" s="406"/>
      <c r="B10" s="408"/>
      <c r="C10" s="406"/>
      <c r="D10" s="407"/>
      <c r="E10" s="407"/>
      <c r="F10" s="407"/>
      <c r="G10" s="407"/>
      <c r="H10" s="407"/>
      <c r="I10" s="408"/>
    </row>
    <row r="11" spans="1:9" s="3" customFormat="1" ht="15.75" customHeight="1">
      <c r="A11" s="215"/>
      <c r="B11" s="402"/>
      <c r="C11" s="215"/>
      <c r="D11" s="401"/>
      <c r="E11" s="401"/>
      <c r="F11" s="401"/>
      <c r="G11" s="401"/>
      <c r="H11" s="401"/>
      <c r="I11" s="402"/>
    </row>
    <row r="12" spans="1:9" s="3" customFormat="1" ht="15.75" customHeight="1">
      <c r="A12" s="406"/>
      <c r="B12" s="408"/>
      <c r="C12" s="406"/>
      <c r="D12" s="407"/>
      <c r="E12" s="407"/>
      <c r="F12" s="407"/>
      <c r="G12" s="407"/>
      <c r="H12" s="407"/>
      <c r="I12" s="408"/>
    </row>
    <row r="13" spans="1:9" s="3" customFormat="1" ht="15.75" customHeight="1">
      <c r="A13" s="215"/>
      <c r="B13" s="402"/>
      <c r="C13" s="215"/>
      <c r="D13" s="401"/>
      <c r="E13" s="401"/>
      <c r="F13" s="401"/>
      <c r="G13" s="401"/>
      <c r="H13" s="401"/>
      <c r="I13" s="402"/>
    </row>
    <row r="14" spans="1:9" s="3" customFormat="1" ht="15.75" customHeight="1">
      <c r="A14" s="406"/>
      <c r="B14" s="408"/>
      <c r="C14" s="406"/>
      <c r="D14" s="407"/>
      <c r="E14" s="407"/>
      <c r="F14" s="407"/>
      <c r="G14" s="407"/>
      <c r="H14" s="407"/>
      <c r="I14" s="408"/>
    </row>
    <row r="15" spans="1:9" s="3" customFormat="1" ht="13.9"/>
    <row r="16" spans="1:9" s="47" customFormat="1" ht="33.75" customHeight="1">
      <c r="A16" s="208" t="s">
        <v>263</v>
      </c>
      <c r="B16" s="209"/>
      <c r="C16" s="209"/>
      <c r="D16" s="209"/>
      <c r="E16" s="209"/>
      <c r="F16" s="209"/>
      <c r="G16" s="209"/>
      <c r="H16" s="209"/>
      <c r="I16" s="210"/>
    </row>
    <row r="17" spans="1:9" ht="15.75" customHeight="1">
      <c r="A17" s="211" t="s">
        <v>54</v>
      </c>
      <c r="B17" s="213"/>
      <c r="C17" s="211" t="s">
        <v>261</v>
      </c>
      <c r="D17" s="212"/>
      <c r="E17" s="212"/>
      <c r="F17" s="212"/>
      <c r="G17" s="212"/>
      <c r="H17" s="212"/>
      <c r="I17" s="212"/>
    </row>
    <row r="18" spans="1:9" ht="15.75" customHeight="1">
      <c r="A18" s="419">
        <v>45035</v>
      </c>
      <c r="B18" s="402"/>
      <c r="C18" s="215" t="s">
        <v>262</v>
      </c>
      <c r="D18" s="401"/>
      <c r="E18" s="401"/>
      <c r="F18" s="401"/>
      <c r="G18" s="401"/>
      <c r="H18" s="401"/>
      <c r="I18" s="402"/>
    </row>
    <row r="19" spans="1:9" ht="15.75" customHeight="1">
      <c r="A19" s="406"/>
      <c r="B19" s="408"/>
      <c r="C19" s="406"/>
      <c r="D19" s="407"/>
      <c r="E19" s="407"/>
      <c r="F19" s="407"/>
      <c r="G19" s="407"/>
      <c r="H19" s="407"/>
      <c r="I19" s="408"/>
    </row>
    <row r="20" spans="1:9" ht="15.75" customHeight="1">
      <c r="A20" s="215"/>
      <c r="B20" s="402"/>
      <c r="C20" s="215"/>
      <c r="D20" s="401"/>
      <c r="E20" s="401"/>
      <c r="F20" s="401"/>
      <c r="G20" s="401"/>
      <c r="H20" s="401"/>
      <c r="I20" s="402"/>
    </row>
    <row r="21" spans="1:9" ht="15.75" customHeight="1">
      <c r="A21" s="406"/>
      <c r="B21" s="408"/>
      <c r="C21" s="406"/>
      <c r="D21" s="407"/>
      <c r="E21" s="407"/>
      <c r="F21" s="407"/>
      <c r="G21" s="407"/>
      <c r="H21" s="407"/>
      <c r="I21" s="408"/>
    </row>
    <row r="22" spans="1:9" ht="15.75" customHeight="1">
      <c r="A22" s="215"/>
      <c r="B22" s="402"/>
      <c r="C22" s="215"/>
      <c r="D22" s="401"/>
      <c r="E22" s="401"/>
      <c r="F22" s="401"/>
      <c r="G22" s="401"/>
      <c r="H22" s="401"/>
      <c r="I22" s="402"/>
    </row>
    <row r="23" spans="1:9" ht="15.75" customHeight="1">
      <c r="A23" s="406"/>
      <c r="B23" s="408"/>
      <c r="C23" s="406"/>
      <c r="D23" s="407"/>
      <c r="E23" s="407"/>
      <c r="F23" s="407"/>
      <c r="G23" s="407"/>
      <c r="H23" s="407"/>
      <c r="I23" s="408"/>
    </row>
    <row r="24" spans="1:9" ht="15.75" customHeight="1">
      <c r="A24" s="215"/>
      <c r="B24" s="402"/>
      <c r="C24" s="215"/>
      <c r="D24" s="401"/>
      <c r="E24" s="401"/>
      <c r="F24" s="401"/>
      <c r="G24" s="401"/>
      <c r="H24" s="401"/>
      <c r="I24" s="402"/>
    </row>
    <row r="25" spans="1:9" ht="15.75" customHeight="1">
      <c r="A25" s="406"/>
      <c r="B25" s="408"/>
      <c r="C25" s="406"/>
      <c r="D25" s="407"/>
      <c r="E25" s="407"/>
      <c r="F25" s="407"/>
      <c r="G25" s="407"/>
      <c r="H25" s="407"/>
      <c r="I25" s="408"/>
    </row>
    <row r="26" spans="1:9" ht="15.75" customHeight="1">
      <c r="A26" s="215"/>
      <c r="B26" s="402"/>
      <c r="C26" s="215"/>
      <c r="D26" s="401"/>
      <c r="E26" s="401"/>
      <c r="F26" s="401"/>
      <c r="G26" s="401"/>
      <c r="H26" s="401"/>
      <c r="I26" s="402"/>
    </row>
    <row r="27" spans="1:9" ht="15.75" customHeight="1">
      <c r="A27" s="406"/>
      <c r="B27" s="408"/>
      <c r="C27" s="406"/>
      <c r="D27" s="407"/>
      <c r="E27" s="407"/>
      <c r="F27" s="407"/>
      <c r="G27" s="407"/>
      <c r="H27" s="407"/>
      <c r="I27" s="408"/>
    </row>
    <row r="28" spans="1:9" ht="15.6">
      <c r="A28" s="1"/>
      <c r="B28" s="92"/>
      <c r="C28" s="92"/>
      <c r="D28" s="92"/>
      <c r="E28" s="92"/>
      <c r="F28" s="92"/>
      <c r="G28" s="92"/>
      <c r="H28" s="92"/>
      <c r="I28" s="92"/>
    </row>
    <row r="29" spans="1:9" ht="106.15" customHeight="1">
      <c r="A29" s="208" t="s">
        <v>264</v>
      </c>
      <c r="B29" s="209"/>
      <c r="C29" s="209"/>
      <c r="D29" s="209"/>
      <c r="E29" s="209"/>
      <c r="F29" s="209"/>
      <c r="G29" s="209"/>
      <c r="H29" s="209"/>
      <c r="I29" s="210"/>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pageSetUpPr fitToPage="1"/>
  </sheetPr>
  <dimension ref="A1:O24"/>
  <sheetViews>
    <sheetView workbookViewId="0">
      <selection activeCell="I56" sqref="I56"/>
    </sheetView>
  </sheetViews>
  <sheetFormatPr defaultColWidth="8.85546875" defaultRowHeight="15"/>
  <cols>
    <col min="1" max="1" width="36.7109375" style="92" customWidth="1"/>
    <col min="2" max="2" width="17.7109375" style="92" customWidth="1"/>
    <col min="3" max="3" width="37.28515625" style="92" customWidth="1"/>
    <col min="4" max="14" width="8.85546875" style="92"/>
    <col min="15" max="15" width="9" style="92" customWidth="1"/>
    <col min="16" max="16384" width="8.85546875" style="92"/>
  </cols>
  <sheetData>
    <row r="1" spans="1:15">
      <c r="A1" s="92" t="str">
        <f>+'Cover Page'!$B$29</f>
        <v>Annual Performance Report 2022</v>
      </c>
      <c r="C1" s="92" t="str">
        <f>+'Cover Page'!$B$33</f>
        <v>Exeter Energy From Waste Plant</v>
      </c>
    </row>
    <row r="2" spans="1:15" ht="10.15" customHeight="1"/>
    <row r="3" spans="1:15" ht="15.6">
      <c r="A3" s="1" t="s">
        <v>265</v>
      </c>
      <c r="E3" s="80" t="s">
        <v>3</v>
      </c>
    </row>
    <row r="4" spans="1:15" ht="9.4" customHeight="1"/>
    <row r="5" spans="1:15">
      <c r="A5" s="216" t="s">
        <v>266</v>
      </c>
      <c r="B5" s="217"/>
      <c r="C5" s="217"/>
    </row>
    <row r="6" spans="1:15" ht="30">
      <c r="A6" s="93" t="s">
        <v>267</v>
      </c>
      <c r="B6" s="97" t="s">
        <v>268</v>
      </c>
      <c r="C6" s="96"/>
    </row>
    <row r="7" spans="1:15" ht="30">
      <c r="A7" s="93" t="s">
        <v>269</v>
      </c>
      <c r="B7" s="97" t="s">
        <v>270</v>
      </c>
      <c r="C7" s="96"/>
    </row>
    <row r="8" spans="1:15" ht="45">
      <c r="A8" s="93" t="s">
        <v>271</v>
      </c>
      <c r="B8" s="97" t="s">
        <v>272</v>
      </c>
      <c r="C8" s="96"/>
    </row>
    <row r="9" spans="1:15" ht="89.45" customHeight="1">
      <c r="A9" s="93" t="s">
        <v>273</v>
      </c>
      <c r="B9" s="218" t="s">
        <v>274</v>
      </c>
      <c r="C9" s="219"/>
      <c r="E9" s="224" t="s">
        <v>275</v>
      </c>
      <c r="F9" s="223"/>
      <c r="G9" s="223"/>
      <c r="H9" s="223"/>
      <c r="I9" s="223"/>
      <c r="J9" s="223"/>
      <c r="K9" s="223"/>
      <c r="L9" s="223"/>
      <c r="M9" s="223"/>
      <c r="N9" s="223"/>
      <c r="O9" s="223"/>
    </row>
    <row r="10" spans="1:15" ht="8.65" customHeight="1">
      <c r="A10" s="94"/>
      <c r="B10" s="95"/>
      <c r="C10" s="95"/>
    </row>
    <row r="11" spans="1:15">
      <c r="A11" s="220" t="s">
        <v>276</v>
      </c>
      <c r="B11" s="217"/>
      <c r="C11" s="217"/>
    </row>
    <row r="12" spans="1:15" ht="33.4" customHeight="1">
      <c r="A12" s="93" t="s">
        <v>277</v>
      </c>
      <c r="B12" s="97" t="s">
        <v>278</v>
      </c>
      <c r="C12" s="96"/>
    </row>
    <row r="13" spans="1:15" ht="101.45" customHeight="1">
      <c r="A13" s="93" t="s">
        <v>279</v>
      </c>
      <c r="B13" s="218" t="s">
        <v>280</v>
      </c>
      <c r="C13" s="219"/>
      <c r="E13" s="144" t="s">
        <v>281</v>
      </c>
      <c r="F13" s="223"/>
      <c r="G13" s="223"/>
      <c r="H13" s="223"/>
      <c r="I13" s="223"/>
      <c r="J13" s="223"/>
      <c r="K13" s="223"/>
      <c r="L13" s="223"/>
      <c r="M13" s="223"/>
      <c r="N13" s="223"/>
      <c r="O13" s="223"/>
    </row>
    <row r="14" spans="1:15" ht="58.9" customHeight="1">
      <c r="A14" s="93" t="s">
        <v>282</v>
      </c>
      <c r="B14" s="98" t="s">
        <v>283</v>
      </c>
      <c r="C14" s="96"/>
    </row>
    <row r="15" spans="1:15" ht="6.4" customHeight="1">
      <c r="A15" s="94"/>
      <c r="B15" s="95"/>
      <c r="C15" s="95"/>
    </row>
    <row r="16" spans="1:15" ht="39" customHeight="1">
      <c r="A16" s="216" t="s">
        <v>284</v>
      </c>
      <c r="B16" s="217"/>
      <c r="C16" s="217"/>
    </row>
    <row r="17" spans="1:15" ht="49.15" customHeight="1">
      <c r="A17" s="93" t="s">
        <v>285</v>
      </c>
      <c r="B17" s="109">
        <v>0.51800000000000002</v>
      </c>
      <c r="C17" s="96"/>
    </row>
    <row r="18" spans="1:15" ht="103.15" customHeight="1">
      <c r="A18" s="93" t="s">
        <v>286</v>
      </c>
      <c r="B18" s="221" t="s">
        <v>287</v>
      </c>
      <c r="C18" s="222"/>
      <c r="E18" s="144" t="s">
        <v>288</v>
      </c>
      <c r="F18" s="223"/>
      <c r="G18" s="223"/>
      <c r="H18" s="223"/>
      <c r="I18" s="223"/>
      <c r="J18" s="223"/>
      <c r="K18" s="223"/>
      <c r="L18" s="223"/>
      <c r="M18" s="223"/>
      <c r="N18" s="223"/>
      <c r="O18" s="223"/>
    </row>
    <row r="19" spans="1:15" ht="34.15" customHeight="1">
      <c r="A19" s="93" t="s">
        <v>289</v>
      </c>
      <c r="B19" s="109">
        <v>0.51800000000000002</v>
      </c>
      <c r="C19" s="96"/>
    </row>
    <row r="20" spans="1:15" ht="92.45" customHeight="1">
      <c r="A20" s="93" t="s">
        <v>290</v>
      </c>
      <c r="B20" s="221" t="s">
        <v>287</v>
      </c>
      <c r="C20" s="222"/>
      <c r="E20" s="144" t="s">
        <v>291</v>
      </c>
      <c r="F20" s="223"/>
      <c r="G20" s="223"/>
      <c r="H20" s="223"/>
      <c r="I20" s="223"/>
      <c r="J20" s="223"/>
      <c r="K20" s="223"/>
      <c r="L20" s="223"/>
      <c r="M20" s="223"/>
      <c r="N20" s="223"/>
      <c r="O20" s="223"/>
    </row>
    <row r="21" spans="1:15" ht="10.15" customHeight="1"/>
    <row r="22" spans="1:15">
      <c r="A22" s="92" t="s">
        <v>292</v>
      </c>
    </row>
    <row r="23" spans="1:15">
      <c r="A23" s="181" t="s">
        <v>293</v>
      </c>
      <c r="B23" s="181"/>
      <c r="C23" s="181"/>
    </row>
    <row r="24" spans="1:15" ht="64.900000000000006" customHeight="1">
      <c r="A24" s="181"/>
      <c r="B24" s="181"/>
      <c r="C24" s="181"/>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scale="95" fitToHeight="0"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9</xdr:col>
                <xdr:colOff>259080</xdr:colOff>
                <xdr:row>2</xdr:row>
                <xdr:rowOff>106680</xdr:rowOff>
              </from>
              <to>
                <xdr:col>11</xdr:col>
                <xdr:colOff>236220</xdr:colOff>
                <xdr:row>7</xdr:row>
                <xdr:rowOff>236220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K56"/>
  <sheetViews>
    <sheetView topLeftCell="A31" zoomScale="175" zoomScaleNormal="175" workbookViewId="0">
      <selection activeCell="I56" sqref="I56"/>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Exeter Energy From Waste Plant</v>
      </c>
      <c r="F1" s="92"/>
      <c r="G1" s="92"/>
    </row>
    <row r="3" spans="1:7" ht="15.6">
      <c r="A3" s="1" t="s">
        <v>294</v>
      </c>
      <c r="B3" s="92"/>
      <c r="C3" s="92"/>
      <c r="D3" s="92"/>
      <c r="E3" s="92"/>
      <c r="F3" s="92"/>
      <c r="G3" s="92"/>
    </row>
    <row r="4" spans="1:7" ht="15.6">
      <c r="A4" s="1"/>
      <c r="B4" s="92"/>
      <c r="C4" s="92"/>
      <c r="D4" s="92"/>
      <c r="E4" s="92"/>
      <c r="F4" s="92"/>
      <c r="G4" s="92"/>
    </row>
    <row r="5" spans="1:7" s="3" customFormat="1" ht="21.75" customHeight="1">
      <c r="A5" s="48" t="s">
        <v>295</v>
      </c>
      <c r="B5" s="49"/>
      <c r="C5" s="49"/>
      <c r="D5" s="49"/>
      <c r="E5" s="49"/>
      <c r="F5" s="49"/>
      <c r="G5" s="50"/>
    </row>
    <row r="6" spans="1:7" s="3" customFormat="1" ht="31.15" customHeight="1">
      <c r="A6" s="147" t="s">
        <v>296</v>
      </c>
      <c r="B6" s="156"/>
      <c r="C6" s="156"/>
      <c r="D6" s="156"/>
      <c r="E6" s="156"/>
      <c r="F6" s="156"/>
      <c r="G6" s="157"/>
    </row>
    <row r="7" spans="1:7" s="3" customFormat="1" ht="52.9" customHeight="1">
      <c r="A7" s="161"/>
      <c r="B7" s="162"/>
      <c r="C7" s="162"/>
      <c r="D7" s="162"/>
      <c r="E7" s="162"/>
      <c r="F7" s="162"/>
      <c r="G7" s="163"/>
    </row>
    <row r="8" spans="1:7" s="3" customFormat="1" ht="15.75" customHeight="1">
      <c r="A8" s="127" t="s">
        <v>297</v>
      </c>
      <c r="B8" s="128"/>
      <c r="C8" s="128"/>
      <c r="D8" s="128"/>
      <c r="E8" s="128"/>
      <c r="F8" s="128"/>
      <c r="G8" s="129"/>
    </row>
    <row r="9" spans="1:7" s="3" customFormat="1" ht="33" customHeight="1">
      <c r="A9" s="133"/>
      <c r="B9" s="134"/>
      <c r="C9" s="134"/>
      <c r="D9" s="134"/>
      <c r="E9" s="134"/>
      <c r="F9" s="134"/>
      <c r="G9" s="135"/>
    </row>
    <row r="10" spans="1:7" s="3" customFormat="1" ht="15.75" customHeight="1">
      <c r="A10" s="214"/>
      <c r="B10" s="420"/>
      <c r="C10" s="420"/>
      <c r="D10" s="420"/>
      <c r="E10" s="420"/>
      <c r="F10" s="420"/>
      <c r="G10" s="421"/>
    </row>
    <row r="11" spans="1:7" s="3" customFormat="1" ht="15.75" customHeight="1">
      <c r="A11" s="422"/>
      <c r="B11" s="423"/>
      <c r="C11" s="423"/>
      <c r="D11" s="423"/>
      <c r="E11" s="423"/>
      <c r="F11" s="423"/>
      <c r="G11" s="424"/>
    </row>
    <row r="12" spans="1:7" s="3" customFormat="1" ht="13.9"/>
    <row r="13" spans="1:7" s="47" customFormat="1" ht="33.75" customHeight="1">
      <c r="A13" s="208" t="s">
        <v>298</v>
      </c>
      <c r="B13" s="209"/>
      <c r="C13" s="209"/>
      <c r="D13" s="209"/>
      <c r="E13" s="209"/>
      <c r="F13" s="209"/>
      <c r="G13" s="210"/>
    </row>
    <row r="14" spans="1:7" ht="15.75" customHeight="1">
      <c r="A14" s="211" t="s">
        <v>299</v>
      </c>
      <c r="B14" s="213"/>
      <c r="C14" s="211" t="s">
        <v>261</v>
      </c>
      <c r="D14" s="212"/>
      <c r="E14" s="212"/>
      <c r="F14" s="212"/>
      <c r="G14" s="212"/>
    </row>
    <row r="15" spans="1:7" ht="27" customHeight="1">
      <c r="A15" s="425">
        <v>44797</v>
      </c>
      <c r="B15" s="421"/>
      <c r="C15" s="214" t="s">
        <v>300</v>
      </c>
      <c r="D15" s="420"/>
      <c r="E15" s="420"/>
      <c r="F15" s="420"/>
      <c r="G15" s="421"/>
    </row>
    <row r="16" spans="1:7" ht="28.9" customHeight="1">
      <c r="A16" s="422"/>
      <c r="B16" s="424"/>
      <c r="C16" s="422"/>
      <c r="D16" s="423"/>
      <c r="E16" s="423"/>
      <c r="F16" s="423"/>
      <c r="G16" s="424"/>
    </row>
    <row r="17" spans="1:11" ht="15.75" customHeight="1">
      <c r="A17" s="215"/>
      <c r="B17" s="402"/>
      <c r="C17" s="215"/>
      <c r="D17" s="401"/>
      <c r="E17" s="401"/>
      <c r="F17" s="401"/>
      <c r="G17" s="402"/>
      <c r="H17" s="92"/>
      <c r="I17" s="92"/>
      <c r="J17" s="92"/>
      <c r="K17" s="92"/>
    </row>
    <row r="18" spans="1:11" ht="15.75" customHeight="1">
      <c r="A18" s="406"/>
      <c r="B18" s="408"/>
      <c r="C18" s="406"/>
      <c r="D18" s="407"/>
      <c r="E18" s="407"/>
      <c r="F18" s="407"/>
      <c r="G18" s="408"/>
      <c r="H18" s="92"/>
      <c r="I18" s="92"/>
      <c r="J18" s="92"/>
      <c r="K18" s="92"/>
    </row>
    <row r="19" spans="1:11" ht="15.75" customHeight="1">
      <c r="A19" s="215"/>
      <c r="B19" s="402"/>
      <c r="C19" s="215"/>
      <c r="D19" s="401"/>
      <c r="E19" s="401"/>
      <c r="F19" s="401"/>
      <c r="G19" s="402"/>
      <c r="H19" s="92"/>
      <c r="I19" s="92"/>
      <c r="J19" s="92"/>
      <c r="K19" s="92"/>
    </row>
    <row r="20" spans="1:11" ht="15.75" customHeight="1">
      <c r="A20" s="406"/>
      <c r="B20" s="408"/>
      <c r="C20" s="406"/>
      <c r="D20" s="407"/>
      <c r="E20" s="407"/>
      <c r="F20" s="407"/>
      <c r="G20" s="408"/>
      <c r="H20" s="92"/>
      <c r="I20" s="92"/>
      <c r="J20" s="92"/>
      <c r="K20" s="92"/>
    </row>
    <row r="21" spans="1:11" ht="15.75" customHeight="1">
      <c r="A21" s="215"/>
      <c r="B21" s="402"/>
      <c r="C21" s="215"/>
      <c r="D21" s="401"/>
      <c r="E21" s="401"/>
      <c r="F21" s="401"/>
      <c r="G21" s="402"/>
      <c r="H21" s="92"/>
      <c r="I21" s="92"/>
      <c r="J21" s="92"/>
      <c r="K21" s="92"/>
    </row>
    <row r="22" spans="1:11" ht="15.75" customHeight="1">
      <c r="A22" s="406"/>
      <c r="B22" s="408"/>
      <c r="C22" s="406"/>
      <c r="D22" s="407"/>
      <c r="E22" s="407"/>
      <c r="F22" s="407"/>
      <c r="G22" s="408"/>
      <c r="H22" s="92"/>
      <c r="I22" s="92"/>
      <c r="J22" s="92"/>
      <c r="K22" s="92"/>
    </row>
    <row r="23" spans="1:11" ht="15.75" customHeight="1">
      <c r="A23" s="215"/>
      <c r="B23" s="402"/>
      <c r="C23" s="215"/>
      <c r="D23" s="401"/>
      <c r="E23" s="401"/>
      <c r="F23" s="401"/>
      <c r="G23" s="402"/>
      <c r="H23" s="92"/>
      <c r="I23" s="92"/>
      <c r="J23" s="92"/>
      <c r="K23" s="92"/>
    </row>
    <row r="24" spans="1:11" ht="15.75" customHeight="1">
      <c r="A24" s="406"/>
      <c r="B24" s="408"/>
      <c r="C24" s="406"/>
      <c r="D24" s="407"/>
      <c r="E24" s="407"/>
      <c r="F24" s="407"/>
      <c r="G24" s="408"/>
      <c r="H24" s="92"/>
      <c r="I24" s="92"/>
      <c r="J24" s="92"/>
      <c r="K24" s="92"/>
    </row>
    <row r="26" spans="1:11">
      <c r="A26" s="104"/>
      <c r="B26" s="104"/>
      <c r="C26" s="104"/>
      <c r="D26" s="104"/>
      <c r="E26" s="104"/>
      <c r="F26" s="104"/>
      <c r="G26" s="104"/>
      <c r="H26" s="92"/>
      <c r="I26" s="92"/>
      <c r="J26" s="92"/>
      <c r="K26" s="92"/>
    </row>
    <row r="27" spans="1:11" s="56" customFormat="1" ht="16.5" customHeight="1">
      <c r="A27" s="226" t="s">
        <v>301</v>
      </c>
      <c r="B27" s="226"/>
      <c r="C27" s="226"/>
      <c r="D27" s="226"/>
      <c r="E27" s="226"/>
      <c r="F27" s="226"/>
      <c r="G27" s="226"/>
    </row>
    <row r="28" spans="1:11" s="12" customFormat="1" ht="17.25" customHeight="1">
      <c r="A28" s="225" t="s">
        <v>302</v>
      </c>
      <c r="B28" s="225"/>
      <c r="C28" s="187" t="s">
        <v>303</v>
      </c>
      <c r="D28" s="187" t="s">
        <v>304</v>
      </c>
      <c r="E28" s="187"/>
      <c r="F28" s="187"/>
      <c r="G28" s="187"/>
      <c r="H28" s="104"/>
      <c r="I28" s="104"/>
      <c r="J28" s="104"/>
      <c r="K28" s="104"/>
    </row>
    <row r="29" spans="1:11" s="12" customFormat="1" ht="17.25" customHeight="1">
      <c r="A29" s="225"/>
      <c r="B29" s="225"/>
      <c r="C29" s="187"/>
      <c r="D29" s="187" t="s">
        <v>305</v>
      </c>
      <c r="E29" s="187"/>
      <c r="F29" s="187" t="s">
        <v>167</v>
      </c>
      <c r="G29" s="187"/>
      <c r="H29" s="104"/>
      <c r="I29" s="104"/>
      <c r="J29" s="104"/>
      <c r="K29" s="104"/>
    </row>
    <row r="30" spans="1:11" s="37" customFormat="1" ht="38.1" customHeight="1">
      <c r="A30" s="362" t="s">
        <v>306</v>
      </c>
      <c r="B30" s="362"/>
      <c r="C30" s="426" t="s">
        <v>307</v>
      </c>
      <c r="D30" s="395">
        <v>4.3499999999999996</v>
      </c>
      <c r="E30" s="395"/>
      <c r="F30" s="427"/>
      <c r="G30" s="428"/>
      <c r="H30" s="376"/>
      <c r="I30" s="376"/>
      <c r="J30" s="104"/>
      <c r="K30" s="104"/>
    </row>
    <row r="31" spans="1:11" s="37" customFormat="1" ht="38.1" customHeight="1">
      <c r="A31" s="362" t="s">
        <v>308</v>
      </c>
      <c r="B31" s="362"/>
      <c r="C31" s="392" t="s">
        <v>309</v>
      </c>
      <c r="D31" s="395">
        <v>0.59</v>
      </c>
      <c r="E31" s="395"/>
      <c r="F31" s="427"/>
      <c r="G31" s="428"/>
      <c r="H31" s="376"/>
      <c r="I31" s="376"/>
      <c r="J31" s="104"/>
      <c r="K31" s="104"/>
    </row>
    <row r="32" spans="1:11" s="37" customFormat="1" ht="38.1" customHeight="1">
      <c r="A32" s="362" t="s">
        <v>310</v>
      </c>
      <c r="B32" s="362"/>
      <c r="C32" s="392" t="s">
        <v>311</v>
      </c>
      <c r="D32" s="395">
        <v>24</v>
      </c>
      <c r="E32" s="395"/>
      <c r="F32" s="429"/>
      <c r="G32" s="430"/>
      <c r="H32" s="376"/>
      <c r="I32" s="376"/>
      <c r="J32" s="104"/>
      <c r="K32" s="104"/>
    </row>
    <row r="33" spans="1:7" s="37" customFormat="1" ht="38.1" customHeight="1">
      <c r="A33" s="362" t="s">
        <v>312</v>
      </c>
      <c r="B33" s="362"/>
      <c r="C33" s="392" t="s">
        <v>311</v>
      </c>
      <c r="D33" s="395">
        <v>1</v>
      </c>
      <c r="E33" s="395"/>
      <c r="F33" s="427"/>
      <c r="G33" s="428"/>
    </row>
    <row r="35" spans="1:7">
      <c r="A35" s="164" t="s">
        <v>313</v>
      </c>
      <c r="B35" s="164"/>
      <c r="C35" s="164"/>
      <c r="D35" s="164"/>
      <c r="E35" s="164"/>
      <c r="F35" s="164"/>
      <c r="G35" s="164"/>
    </row>
    <row r="36" spans="1:7">
      <c r="A36" s="175" t="s">
        <v>314</v>
      </c>
      <c r="B36" s="175"/>
      <c r="C36" s="175"/>
      <c r="D36" s="175"/>
      <c r="E36" s="175"/>
      <c r="F36" s="175"/>
      <c r="G36" s="175"/>
    </row>
    <row r="37" spans="1:7">
      <c r="A37" s="175"/>
      <c r="B37" s="175"/>
      <c r="C37" s="175"/>
      <c r="D37" s="175"/>
      <c r="E37" s="175"/>
      <c r="F37" s="175"/>
      <c r="G37" s="175"/>
    </row>
    <row r="38" spans="1:7">
      <c r="A38" s="175"/>
      <c r="B38" s="175"/>
      <c r="C38" s="175"/>
      <c r="D38" s="175"/>
      <c r="E38" s="175"/>
      <c r="F38" s="175"/>
      <c r="G38" s="175"/>
    </row>
    <row r="39" spans="1:7">
      <c r="A39" s="175"/>
      <c r="B39" s="175"/>
      <c r="C39" s="175"/>
      <c r="D39" s="175"/>
      <c r="E39" s="175"/>
      <c r="F39" s="175"/>
      <c r="G39" s="175"/>
    </row>
    <row r="40" spans="1:7">
      <c r="A40" s="175"/>
      <c r="B40" s="175"/>
      <c r="C40" s="175"/>
      <c r="D40" s="175"/>
      <c r="E40" s="175"/>
      <c r="F40" s="175"/>
      <c r="G40" s="175"/>
    </row>
    <row r="41" spans="1:7">
      <c r="A41" s="175"/>
      <c r="B41" s="175"/>
      <c r="C41" s="175"/>
      <c r="D41" s="175"/>
      <c r="E41" s="175"/>
      <c r="F41" s="175"/>
      <c r="G41" s="175"/>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6" fitToWidth="0"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I56" sqref="I5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Exeter Energy From Waste Plant</v>
      </c>
      <c r="F1" s="92"/>
      <c r="G1" s="92"/>
      <c r="H1" s="92"/>
      <c r="I1" s="92"/>
    </row>
    <row r="3" spans="1:9" ht="15.6">
      <c r="A3" s="1" t="s">
        <v>42</v>
      </c>
      <c r="B3" s="92"/>
      <c r="C3" s="92"/>
      <c r="D3" s="92"/>
      <c r="E3" s="92"/>
      <c r="F3" s="92"/>
      <c r="G3" s="92"/>
      <c r="H3" s="92"/>
      <c r="I3" s="92"/>
    </row>
    <row r="4" spans="1:9" ht="15.6">
      <c r="A4" s="1"/>
      <c r="B4" s="92"/>
      <c r="C4" s="92"/>
      <c r="D4" s="92"/>
      <c r="E4" s="92"/>
      <c r="F4" s="92"/>
      <c r="G4" s="92"/>
      <c r="H4" s="92"/>
      <c r="I4" s="92"/>
    </row>
    <row r="5" spans="1:9" s="3" customFormat="1" ht="21.75" customHeight="1">
      <c r="A5" s="48" t="s">
        <v>295</v>
      </c>
      <c r="B5" s="49"/>
      <c r="C5" s="49"/>
      <c r="D5" s="49"/>
      <c r="E5" s="49"/>
      <c r="F5" s="49"/>
      <c r="G5" s="49"/>
      <c r="H5" s="49"/>
      <c r="I5" s="50"/>
    </row>
    <row r="6" spans="1:9" s="3" customFormat="1" ht="23.45" customHeight="1">
      <c r="A6" s="214" t="s">
        <v>315</v>
      </c>
      <c r="B6" s="420"/>
      <c r="C6" s="420"/>
      <c r="D6" s="420"/>
      <c r="E6" s="420"/>
      <c r="F6" s="420"/>
      <c r="G6" s="420"/>
      <c r="H6" s="420"/>
      <c r="I6" s="421"/>
    </row>
    <row r="7" spans="1:9" s="3" customFormat="1" ht="23.45" customHeight="1">
      <c r="A7" s="422"/>
      <c r="B7" s="423"/>
      <c r="C7" s="423"/>
      <c r="D7" s="423"/>
      <c r="E7" s="423"/>
      <c r="F7" s="423"/>
      <c r="G7" s="423"/>
      <c r="H7" s="423"/>
      <c r="I7" s="424"/>
    </row>
    <row r="8" spans="1:9" s="3" customFormat="1" ht="15.75" customHeight="1">
      <c r="A8" s="214"/>
      <c r="B8" s="420"/>
      <c r="C8" s="420"/>
      <c r="D8" s="420"/>
      <c r="E8" s="420"/>
      <c r="F8" s="420"/>
      <c r="G8" s="420"/>
      <c r="H8" s="420"/>
      <c r="I8" s="421"/>
    </row>
    <row r="9" spans="1:9" s="3" customFormat="1" ht="15.75" customHeight="1">
      <c r="A9" s="422"/>
      <c r="B9" s="423"/>
      <c r="C9" s="423"/>
      <c r="D9" s="423"/>
      <c r="E9" s="423"/>
      <c r="F9" s="423"/>
      <c r="G9" s="423"/>
      <c r="H9" s="423"/>
      <c r="I9" s="424"/>
    </row>
    <row r="10" spans="1:9" s="3" customFormat="1" ht="15.75" customHeight="1">
      <c r="A10" s="214"/>
      <c r="B10" s="420"/>
      <c r="C10" s="420"/>
      <c r="D10" s="420"/>
      <c r="E10" s="420"/>
      <c r="F10" s="420"/>
      <c r="G10" s="420"/>
      <c r="H10" s="420"/>
      <c r="I10" s="421"/>
    </row>
    <row r="11" spans="1:9" s="3" customFormat="1" ht="15.75" customHeight="1">
      <c r="A11" s="422"/>
      <c r="B11" s="423"/>
      <c r="C11" s="423"/>
      <c r="D11" s="423"/>
      <c r="E11" s="423"/>
      <c r="F11" s="423"/>
      <c r="G11" s="423"/>
      <c r="H11" s="423"/>
      <c r="I11" s="424"/>
    </row>
    <row r="12" spans="1:9" s="3" customFormat="1" ht="13.9"/>
    <row r="13" spans="1:9" s="47" customFormat="1" ht="33.75" customHeight="1">
      <c r="A13" s="208" t="s">
        <v>298</v>
      </c>
      <c r="B13" s="209"/>
      <c r="C13" s="209"/>
      <c r="D13" s="209"/>
      <c r="E13" s="209"/>
      <c r="F13" s="209"/>
      <c r="G13" s="209"/>
      <c r="H13" s="209"/>
      <c r="I13" s="210"/>
    </row>
    <row r="14" spans="1:9" ht="15.75" customHeight="1">
      <c r="A14" s="211" t="s">
        <v>299</v>
      </c>
      <c r="B14" s="213"/>
      <c r="C14" s="211" t="s">
        <v>261</v>
      </c>
      <c r="D14" s="212"/>
      <c r="E14" s="212"/>
      <c r="F14" s="212"/>
      <c r="G14" s="212"/>
      <c r="H14" s="212"/>
      <c r="I14" s="212"/>
    </row>
    <row r="15" spans="1:9" ht="15.75" customHeight="1">
      <c r="A15" s="214"/>
      <c r="B15" s="421"/>
      <c r="C15" s="215"/>
      <c r="D15" s="401"/>
      <c r="E15" s="401"/>
      <c r="F15" s="401"/>
      <c r="G15" s="401"/>
      <c r="H15" s="401"/>
      <c r="I15" s="402"/>
    </row>
    <row r="16" spans="1:9" ht="15.75" customHeight="1">
      <c r="A16" s="422"/>
      <c r="B16" s="424"/>
      <c r="C16" s="406"/>
      <c r="D16" s="407"/>
      <c r="E16" s="407"/>
      <c r="F16" s="407"/>
      <c r="G16" s="407"/>
      <c r="H16" s="407"/>
      <c r="I16" s="408"/>
    </row>
    <row r="17" spans="1:9" ht="15.75" customHeight="1">
      <c r="A17" s="215"/>
      <c r="B17" s="402"/>
      <c r="C17" s="215"/>
      <c r="D17" s="401"/>
      <c r="E17" s="401"/>
      <c r="F17" s="401"/>
      <c r="G17" s="401"/>
      <c r="H17" s="401"/>
      <c r="I17" s="402"/>
    </row>
    <row r="18" spans="1:9" ht="15.75" customHeight="1">
      <c r="A18" s="406"/>
      <c r="B18" s="408"/>
      <c r="C18" s="406"/>
      <c r="D18" s="407"/>
      <c r="E18" s="407"/>
      <c r="F18" s="407"/>
      <c r="G18" s="407"/>
      <c r="H18" s="407"/>
      <c r="I18" s="408"/>
    </row>
    <row r="19" spans="1:9" ht="15.75" customHeight="1">
      <c r="A19" s="215"/>
      <c r="B19" s="402"/>
      <c r="C19" s="215"/>
      <c r="D19" s="401"/>
      <c r="E19" s="401"/>
      <c r="F19" s="401"/>
      <c r="G19" s="401"/>
      <c r="H19" s="401"/>
      <c r="I19" s="402"/>
    </row>
    <row r="20" spans="1:9" ht="15.75" customHeight="1">
      <c r="A20" s="406"/>
      <c r="B20" s="408"/>
      <c r="C20" s="406"/>
      <c r="D20" s="407"/>
      <c r="E20" s="407"/>
      <c r="F20" s="407"/>
      <c r="G20" s="407"/>
      <c r="H20" s="407"/>
      <c r="I20" s="408"/>
    </row>
    <row r="22" spans="1:9" ht="22.5" customHeight="1">
      <c r="A22" s="227" t="s">
        <v>316</v>
      </c>
      <c r="B22" s="228"/>
      <c r="C22" s="228"/>
      <c r="D22" s="228"/>
      <c r="E22" s="228"/>
      <c r="F22" s="228"/>
      <c r="G22" s="228"/>
      <c r="H22" s="228"/>
      <c r="I22" s="228"/>
    </row>
    <row r="23" spans="1:9" ht="19.5" customHeight="1">
      <c r="A23" s="229" t="s">
        <v>193</v>
      </c>
      <c r="B23" s="230"/>
      <c r="C23" s="231"/>
      <c r="D23" s="232" t="s">
        <v>317</v>
      </c>
      <c r="E23" s="233"/>
      <c r="F23" s="54" t="s">
        <v>303</v>
      </c>
      <c r="G23" s="54" t="s">
        <v>318</v>
      </c>
      <c r="H23" s="54" t="s">
        <v>319</v>
      </c>
      <c r="I23" s="54" t="s">
        <v>320</v>
      </c>
    </row>
    <row r="24" spans="1:9">
      <c r="A24" s="431"/>
      <c r="B24" s="432"/>
      <c r="C24" s="433"/>
      <c r="D24" s="434"/>
      <c r="E24" s="435"/>
      <c r="F24" s="103"/>
      <c r="G24" s="103"/>
      <c r="H24" s="103"/>
      <c r="I24" s="103"/>
    </row>
    <row r="25" spans="1:9">
      <c r="A25" s="431"/>
      <c r="B25" s="432"/>
      <c r="C25" s="433"/>
      <c r="D25" s="434"/>
      <c r="E25" s="435"/>
      <c r="F25" s="103"/>
      <c r="G25" s="103"/>
      <c r="H25" s="103"/>
      <c r="I25" s="103"/>
    </row>
    <row r="26" spans="1:9">
      <c r="A26" s="431"/>
      <c r="B26" s="432"/>
      <c r="C26" s="433"/>
      <c r="D26" s="434"/>
      <c r="E26" s="435"/>
      <c r="F26" s="103"/>
      <c r="G26" s="103"/>
      <c r="H26" s="103"/>
      <c r="I26" s="103"/>
    </row>
    <row r="27" spans="1:9">
      <c r="A27" s="431"/>
      <c r="B27" s="432"/>
      <c r="C27" s="433"/>
      <c r="D27" s="434"/>
      <c r="E27" s="435"/>
      <c r="F27" s="103"/>
      <c r="G27" s="103"/>
      <c r="H27" s="103"/>
      <c r="I27" s="103"/>
    </row>
    <row r="28" spans="1:9">
      <c r="A28" s="431"/>
      <c r="B28" s="432"/>
      <c r="C28" s="433"/>
      <c r="D28" s="434"/>
      <c r="E28" s="435"/>
      <c r="F28" s="103"/>
      <c r="G28" s="103"/>
      <c r="H28" s="103"/>
      <c r="I28" s="103"/>
    </row>
    <row r="29" spans="1:9">
      <c r="A29" s="431"/>
      <c r="B29" s="432"/>
      <c r="C29" s="433"/>
      <c r="D29" s="434"/>
      <c r="E29" s="435"/>
      <c r="F29" s="103"/>
      <c r="G29" s="103"/>
      <c r="H29" s="103"/>
      <c r="I29" s="103"/>
    </row>
    <row r="30" spans="1:9">
      <c r="A30" s="436"/>
      <c r="B30" s="436"/>
      <c r="C30" s="436"/>
      <c r="D30" s="434"/>
      <c r="E30" s="435"/>
      <c r="F30" s="103"/>
      <c r="G30" s="103"/>
      <c r="H30" s="103"/>
      <c r="I30" s="103"/>
    </row>
    <row r="31" spans="1:9">
      <c r="A31" s="104"/>
      <c r="B31" s="104"/>
      <c r="C31" s="104"/>
      <c r="D31" s="104"/>
      <c r="E31" s="104"/>
      <c r="F31" s="104"/>
      <c r="G31" s="104"/>
      <c r="H31" s="104"/>
      <c r="I31" s="104"/>
    </row>
    <row r="32" spans="1:9">
      <c r="A32" s="104"/>
      <c r="B32" s="104"/>
      <c r="C32" s="104"/>
      <c r="D32" s="104"/>
      <c r="E32" s="104"/>
      <c r="F32" s="104"/>
      <c r="G32" s="104"/>
      <c r="H32" s="104"/>
      <c r="I32" s="104"/>
    </row>
    <row r="33" spans="1:9">
      <c r="A33" s="104"/>
      <c r="B33" s="104"/>
      <c r="C33" s="104"/>
      <c r="D33" s="104"/>
      <c r="E33" s="104"/>
      <c r="F33" s="104"/>
      <c r="G33" s="104"/>
      <c r="H33" s="104"/>
      <c r="I33" s="104"/>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pageSetUpPr fitToPage="1"/>
  </sheetPr>
  <dimension ref="A1:P64"/>
  <sheetViews>
    <sheetView topLeftCell="A27" workbookViewId="0">
      <selection activeCell="I56" sqref="I56"/>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1" width="9.28515625" style="2"/>
    <col min="12" max="12" width="12.140625" style="2" customWidth="1"/>
    <col min="13" max="16" width="9.28515625" style="2"/>
    <col min="17" max="17" width="12.28515625" style="2" customWidth="1"/>
    <col min="18" max="16384" width="9.28515625" style="2"/>
  </cols>
  <sheetData>
    <row r="1" spans="1:16">
      <c r="A1" s="92" t="str">
        <f>+'Cover Page'!$B$29</f>
        <v>Annual Performance Report 2022</v>
      </c>
      <c r="B1" s="92"/>
      <c r="C1" s="92"/>
      <c r="D1" s="92"/>
      <c r="E1" s="92" t="str">
        <f>+'Cover Page'!$B$33</f>
        <v>Exeter Energy From Waste Plant</v>
      </c>
      <c r="F1" s="92"/>
      <c r="G1" s="92"/>
      <c r="H1" s="92"/>
      <c r="I1" s="92"/>
      <c r="J1" s="92"/>
      <c r="K1" s="92"/>
      <c r="L1" s="92"/>
      <c r="M1" s="92"/>
      <c r="N1" s="92"/>
      <c r="O1" s="92"/>
      <c r="P1" s="92"/>
    </row>
    <row r="2" spans="1:16" ht="7.5" customHeight="1">
      <c r="A2" s="92"/>
      <c r="B2" s="92"/>
      <c r="C2" s="92"/>
      <c r="D2" s="92"/>
      <c r="E2" s="92"/>
      <c r="F2" s="92"/>
      <c r="G2" s="92"/>
      <c r="H2" s="92"/>
      <c r="I2" s="92"/>
      <c r="J2" s="92"/>
      <c r="K2" s="92"/>
      <c r="L2" s="92"/>
      <c r="M2" s="92"/>
      <c r="N2" s="92"/>
      <c r="O2" s="92"/>
      <c r="P2" s="92"/>
    </row>
    <row r="3" spans="1:16" ht="15.6">
      <c r="A3" s="1" t="s">
        <v>43</v>
      </c>
      <c r="B3" s="92"/>
      <c r="C3" s="92"/>
      <c r="D3" s="92"/>
      <c r="E3" s="92"/>
      <c r="F3" s="92"/>
      <c r="G3" s="92"/>
      <c r="H3" s="92"/>
      <c r="I3" s="92"/>
      <c r="J3" s="92"/>
      <c r="K3" s="92"/>
      <c r="L3" s="92"/>
      <c r="M3" s="92"/>
      <c r="N3" s="92"/>
      <c r="O3" s="92"/>
      <c r="P3" s="92"/>
    </row>
    <row r="4" spans="1:16" ht="9.75" customHeight="1">
      <c r="A4" s="1"/>
      <c r="B4" s="92"/>
      <c r="C4" s="92"/>
      <c r="D4" s="92"/>
      <c r="E4" s="92"/>
      <c r="F4" s="92"/>
      <c r="G4" s="92"/>
      <c r="H4" s="92"/>
      <c r="I4" s="92"/>
      <c r="J4" s="92"/>
      <c r="K4" s="92"/>
      <c r="L4" s="92"/>
      <c r="M4" s="92"/>
      <c r="N4" s="92"/>
      <c r="O4" s="92"/>
      <c r="P4" s="92"/>
    </row>
    <row r="5" spans="1:16" s="3" customFormat="1" ht="21.75" customHeight="1">
      <c r="A5" s="48" t="s">
        <v>321</v>
      </c>
      <c r="B5" s="49"/>
      <c r="C5" s="49"/>
      <c r="D5" s="49"/>
      <c r="E5" s="49"/>
      <c r="F5" s="49"/>
      <c r="G5" s="49"/>
      <c r="H5" s="49"/>
      <c r="I5" s="49"/>
      <c r="J5" s="50"/>
      <c r="M5" s="81" t="s">
        <v>3</v>
      </c>
    </row>
    <row r="6" spans="1:16" s="3" customFormat="1" ht="26.45" customHeight="1">
      <c r="A6" s="214" t="s">
        <v>322</v>
      </c>
      <c r="B6" s="420"/>
      <c r="C6" s="420"/>
      <c r="D6" s="420"/>
      <c r="E6" s="420"/>
      <c r="F6" s="420"/>
      <c r="G6" s="420"/>
      <c r="H6" s="420"/>
      <c r="I6" s="420"/>
      <c r="J6" s="421"/>
      <c r="M6" s="247" t="s">
        <v>323</v>
      </c>
      <c r="N6" s="247"/>
      <c r="O6" s="247"/>
      <c r="P6" s="247"/>
    </row>
    <row r="7" spans="1:16" s="3" customFormat="1" ht="30.6" customHeight="1">
      <c r="A7" s="422"/>
      <c r="B7" s="423"/>
      <c r="C7" s="423"/>
      <c r="D7" s="423"/>
      <c r="E7" s="423"/>
      <c r="F7" s="423"/>
      <c r="G7" s="423"/>
      <c r="H7" s="423"/>
      <c r="I7" s="423"/>
      <c r="J7" s="424"/>
      <c r="M7" s="247"/>
      <c r="N7" s="247"/>
      <c r="O7" s="247"/>
      <c r="P7" s="247"/>
    </row>
    <row r="8" spans="1:16" s="3" customFormat="1" ht="13.9">
      <c r="M8" s="247"/>
      <c r="N8" s="247"/>
      <c r="O8" s="247"/>
      <c r="P8" s="247"/>
    </row>
    <row r="9" spans="1:16" s="56" customFormat="1" ht="16.5" customHeight="1">
      <c r="A9" s="226" t="s">
        <v>324</v>
      </c>
      <c r="B9" s="226"/>
      <c r="C9" s="226"/>
      <c r="D9" s="226"/>
      <c r="E9" s="226"/>
      <c r="F9" s="226"/>
      <c r="G9" s="226"/>
      <c r="H9" s="226"/>
      <c r="I9" s="226"/>
      <c r="J9" s="226"/>
      <c r="M9" s="247"/>
      <c r="N9" s="247"/>
      <c r="O9" s="247"/>
      <c r="P9" s="247"/>
    </row>
    <row r="10" spans="1:16" s="56" customFormat="1" ht="16.5" customHeight="1">
      <c r="A10" s="234" t="s">
        <v>223</v>
      </c>
      <c r="B10" s="235"/>
      <c r="C10" s="245" t="s">
        <v>325</v>
      </c>
      <c r="D10" s="241" t="s">
        <v>326</v>
      </c>
      <c r="E10" s="242"/>
      <c r="F10" s="238" t="s">
        <v>320</v>
      </c>
      <c r="G10" s="239"/>
      <c r="H10" s="239"/>
      <c r="I10" s="239"/>
      <c r="J10" s="240"/>
      <c r="M10" s="247" t="s">
        <v>327</v>
      </c>
      <c r="N10" s="247"/>
      <c r="O10" s="247"/>
      <c r="P10" s="247"/>
    </row>
    <row r="11" spans="1:16" s="12" customFormat="1" ht="17.25" customHeight="1">
      <c r="A11" s="236"/>
      <c r="B11" s="237"/>
      <c r="C11" s="246"/>
      <c r="D11" s="243"/>
      <c r="E11" s="244"/>
      <c r="F11" s="46" t="s">
        <v>195</v>
      </c>
      <c r="G11" s="46" t="s">
        <v>196</v>
      </c>
      <c r="H11" s="46" t="s">
        <v>197</v>
      </c>
      <c r="I11" s="46" t="s">
        <v>198</v>
      </c>
      <c r="J11" s="46" t="s">
        <v>199</v>
      </c>
      <c r="K11" s="104"/>
      <c r="L11" s="104"/>
      <c r="M11" s="247"/>
      <c r="N11" s="247"/>
      <c r="O11" s="247"/>
      <c r="P11" s="247"/>
    </row>
    <row r="12" spans="1:16" s="12" customFormat="1" ht="23.25" customHeight="1">
      <c r="A12" s="362" t="s">
        <v>235</v>
      </c>
      <c r="B12" s="362"/>
      <c r="C12" s="437" t="s">
        <v>328</v>
      </c>
      <c r="D12" s="394" t="s">
        <v>329</v>
      </c>
      <c r="E12" s="394"/>
      <c r="F12" s="103">
        <v>7.5999999999999998E-2</v>
      </c>
      <c r="G12" s="103"/>
      <c r="H12" s="103"/>
      <c r="I12" s="103"/>
      <c r="J12" s="103"/>
      <c r="K12" s="104"/>
      <c r="L12" s="92"/>
      <c r="M12" s="247"/>
      <c r="N12" s="247"/>
      <c r="O12" s="247"/>
      <c r="P12" s="247"/>
    </row>
    <row r="13" spans="1:16" s="12" customFormat="1" ht="23.25" customHeight="1">
      <c r="A13" s="362" t="s">
        <v>330</v>
      </c>
      <c r="B13" s="362"/>
      <c r="C13" s="437" t="s">
        <v>331</v>
      </c>
      <c r="D13" s="394" t="s">
        <v>332</v>
      </c>
      <c r="E13" s="394"/>
      <c r="F13" s="103">
        <v>2.3E-3</v>
      </c>
      <c r="G13" s="103"/>
      <c r="H13" s="103"/>
      <c r="I13" s="103"/>
      <c r="J13" s="103"/>
      <c r="K13" s="104"/>
      <c r="L13" s="92"/>
      <c r="M13" s="104"/>
      <c r="N13" s="104"/>
      <c r="O13" s="104"/>
      <c r="P13" s="104"/>
    </row>
    <row r="14" spans="1:16" s="12" customFormat="1" ht="23.25" customHeight="1">
      <c r="A14" s="362" t="s">
        <v>333</v>
      </c>
      <c r="B14" s="362"/>
      <c r="C14" s="437" t="s">
        <v>331</v>
      </c>
      <c r="D14" s="394" t="s">
        <v>332</v>
      </c>
      <c r="E14" s="394"/>
      <c r="F14" s="103">
        <v>1.3500000000000001E-3</v>
      </c>
      <c r="G14" s="103"/>
      <c r="H14" s="103"/>
      <c r="I14" s="103"/>
      <c r="J14" s="103"/>
      <c r="K14" s="104"/>
      <c r="L14" s="92"/>
      <c r="M14" s="104"/>
      <c r="N14" s="104"/>
      <c r="O14" s="104"/>
      <c r="P14" s="104"/>
    </row>
    <row r="15" spans="1:16" s="12" customFormat="1" ht="23.25" customHeight="1">
      <c r="A15" s="362" t="s">
        <v>334</v>
      </c>
      <c r="B15" s="362"/>
      <c r="C15" s="437" t="s">
        <v>331</v>
      </c>
      <c r="D15" s="394" t="s">
        <v>335</v>
      </c>
      <c r="E15" s="394"/>
      <c r="F15" s="103">
        <v>6.1749999999999999E-2</v>
      </c>
      <c r="G15" s="103"/>
      <c r="H15" s="103"/>
      <c r="I15" s="103"/>
      <c r="J15" s="103"/>
      <c r="K15" s="104"/>
      <c r="L15" s="92"/>
      <c r="M15" s="104"/>
      <c r="N15" s="104"/>
      <c r="O15" s="104"/>
      <c r="P15" s="104"/>
    </row>
    <row r="16" spans="1:16" s="12" customFormat="1" ht="23.25" customHeight="1">
      <c r="A16" s="362" t="s">
        <v>336</v>
      </c>
      <c r="B16" s="362"/>
      <c r="C16" s="437" t="s">
        <v>331</v>
      </c>
      <c r="D16" s="394" t="s">
        <v>337</v>
      </c>
      <c r="E16" s="394"/>
      <c r="F16" s="103">
        <v>5.7000000000000002E-3</v>
      </c>
      <c r="G16" s="103"/>
      <c r="H16" s="103"/>
      <c r="I16" s="103"/>
      <c r="J16" s="103"/>
      <c r="K16" s="104"/>
      <c r="L16" s="92"/>
      <c r="M16" s="104"/>
      <c r="N16" s="104"/>
      <c r="O16" s="104"/>
      <c r="P16" s="104"/>
    </row>
    <row r="17" spans="1:16" s="12" customFormat="1" ht="23.25" customHeight="1">
      <c r="A17" s="362" t="s">
        <v>338</v>
      </c>
      <c r="B17" s="362"/>
      <c r="C17" s="437" t="s">
        <v>331</v>
      </c>
      <c r="D17" s="394" t="s">
        <v>339</v>
      </c>
      <c r="E17" s="394"/>
      <c r="F17" s="103">
        <v>2.735E-3</v>
      </c>
      <c r="G17" s="103"/>
      <c r="H17" s="103"/>
      <c r="I17" s="103"/>
      <c r="J17" s="103"/>
      <c r="K17" s="104"/>
      <c r="L17" s="92"/>
      <c r="M17" s="104"/>
      <c r="N17" s="104"/>
      <c r="O17" s="104"/>
      <c r="P17" s="104"/>
    </row>
    <row r="18" spans="1:16" s="12" customFormat="1" ht="23.25" customHeight="1">
      <c r="A18" s="362" t="s">
        <v>340</v>
      </c>
      <c r="B18" s="362"/>
      <c r="C18" s="437" t="s">
        <v>331</v>
      </c>
      <c r="D18" s="394" t="s">
        <v>339</v>
      </c>
      <c r="E18" s="394"/>
      <c r="F18" s="103">
        <v>2.0999999999999999E-5</v>
      </c>
      <c r="G18" s="103"/>
      <c r="H18" s="103"/>
      <c r="I18" s="103"/>
      <c r="J18" s="103"/>
      <c r="K18" s="104"/>
      <c r="L18" s="92"/>
      <c r="M18" s="104"/>
      <c r="N18" s="104"/>
      <c r="O18" s="104"/>
      <c r="P18" s="104"/>
    </row>
    <row r="19" spans="1:16" s="12" customFormat="1" ht="23.25" customHeight="1">
      <c r="A19" s="362" t="s">
        <v>341</v>
      </c>
      <c r="B19" s="362"/>
      <c r="C19" s="437" t="s">
        <v>331</v>
      </c>
      <c r="D19" s="394" t="s">
        <v>339</v>
      </c>
      <c r="E19" s="394"/>
      <c r="F19" s="103">
        <v>1.3500000000000001E-3</v>
      </c>
      <c r="G19" s="103"/>
      <c r="H19" s="103"/>
      <c r="I19" s="103"/>
      <c r="J19" s="103"/>
      <c r="K19" s="104"/>
      <c r="L19" s="92"/>
      <c r="M19" s="104"/>
      <c r="N19" s="104"/>
      <c r="O19" s="104"/>
      <c r="P19" s="104"/>
    </row>
    <row r="20" spans="1:16" s="12" customFormat="1" ht="23.25" customHeight="1">
      <c r="A20" s="362" t="s">
        <v>342</v>
      </c>
      <c r="B20" s="362"/>
      <c r="C20" s="437" t="s">
        <v>331</v>
      </c>
      <c r="D20" s="394" t="s">
        <v>339</v>
      </c>
      <c r="E20" s="394"/>
      <c r="F20" s="103">
        <v>5.8000000000000005E-3</v>
      </c>
      <c r="G20" s="103"/>
      <c r="H20" s="103"/>
      <c r="I20" s="103"/>
      <c r="J20" s="103"/>
      <c r="K20" s="104"/>
      <c r="L20" s="92"/>
      <c r="M20" s="104"/>
      <c r="N20" s="104"/>
      <c r="O20" s="104"/>
      <c r="P20" s="104"/>
    </row>
    <row r="21" spans="1:16" s="12" customFormat="1" ht="23.25" customHeight="1">
      <c r="A21" s="362" t="s">
        <v>343</v>
      </c>
      <c r="B21" s="362"/>
      <c r="C21" s="437" t="s">
        <v>331</v>
      </c>
      <c r="D21" s="394" t="s">
        <v>339</v>
      </c>
      <c r="E21" s="394"/>
      <c r="F21" s="103">
        <v>5.9000000000000007E-3</v>
      </c>
      <c r="G21" s="103"/>
      <c r="H21" s="103"/>
      <c r="I21" s="103"/>
      <c r="J21" s="103"/>
      <c r="K21" s="104"/>
      <c r="L21" s="92"/>
      <c r="M21" s="104"/>
      <c r="N21" s="104"/>
      <c r="O21" s="104"/>
      <c r="P21" s="104"/>
    </row>
    <row r="22" spans="1:16" s="12" customFormat="1" ht="23.25" customHeight="1">
      <c r="A22" s="362" t="s">
        <v>344</v>
      </c>
      <c r="B22" s="362"/>
      <c r="C22" s="437" t="s">
        <v>331</v>
      </c>
      <c r="D22" s="394" t="s">
        <v>339</v>
      </c>
      <c r="E22" s="394"/>
      <c r="F22" s="103">
        <v>1.4100000000000001E-2</v>
      </c>
      <c r="G22" s="103"/>
      <c r="H22" s="103"/>
      <c r="I22" s="103"/>
      <c r="J22" s="103"/>
      <c r="K22" s="104"/>
      <c r="L22" s="92"/>
      <c r="M22" s="104"/>
      <c r="N22" s="104"/>
      <c r="O22" s="104"/>
      <c r="P22" s="104"/>
    </row>
    <row r="23" spans="1:16" s="12" customFormat="1" ht="23.25" customHeight="1">
      <c r="A23" s="362" t="s">
        <v>345</v>
      </c>
      <c r="B23" s="362"/>
      <c r="C23" s="437" t="s">
        <v>331</v>
      </c>
      <c r="D23" s="394" t="s">
        <v>346</v>
      </c>
      <c r="E23" s="394"/>
      <c r="F23" s="103" t="s">
        <v>347</v>
      </c>
      <c r="G23" s="103"/>
      <c r="H23" s="103"/>
      <c r="I23" s="103"/>
      <c r="J23" s="103"/>
      <c r="K23" s="104"/>
      <c r="L23" s="92"/>
      <c r="M23" s="104"/>
      <c r="N23" s="104"/>
      <c r="O23" s="104"/>
      <c r="P23" s="104"/>
    </row>
    <row r="24" spans="1:16" s="12" customFormat="1" ht="23.25" customHeight="1">
      <c r="A24" s="362" t="s">
        <v>348</v>
      </c>
      <c r="B24" s="362"/>
      <c r="C24" s="437" t="s">
        <v>331</v>
      </c>
      <c r="D24" s="394" t="s">
        <v>346</v>
      </c>
      <c r="E24" s="394"/>
      <c r="F24" s="103" t="s">
        <v>347</v>
      </c>
      <c r="G24" s="103"/>
      <c r="H24" s="103"/>
      <c r="I24" s="103"/>
      <c r="J24" s="103"/>
      <c r="K24" s="104"/>
      <c r="L24" s="92"/>
      <c r="M24" s="104"/>
      <c r="N24" s="104"/>
      <c r="O24" s="104"/>
      <c r="P24" s="104"/>
    </row>
    <row r="25" spans="1:16" s="12" customFormat="1" ht="23.25" customHeight="1">
      <c r="A25" s="362" t="s">
        <v>349</v>
      </c>
      <c r="B25" s="362"/>
      <c r="C25" s="437" t="s">
        <v>331</v>
      </c>
      <c r="D25" s="394" t="s">
        <v>346</v>
      </c>
      <c r="E25" s="394"/>
      <c r="F25" s="103" t="s">
        <v>347</v>
      </c>
      <c r="G25" s="103"/>
      <c r="H25" s="103"/>
      <c r="I25" s="103"/>
      <c r="J25" s="103"/>
      <c r="K25" s="104"/>
      <c r="L25" s="92"/>
      <c r="M25" s="104"/>
      <c r="N25" s="104"/>
      <c r="O25" s="104"/>
      <c r="P25" s="104"/>
    </row>
    <row r="26" spans="1:16" s="12" customFormat="1" ht="23.25" customHeight="1">
      <c r="A26" s="362" t="s">
        <v>350</v>
      </c>
      <c r="B26" s="362"/>
      <c r="C26" s="437" t="s">
        <v>331</v>
      </c>
      <c r="D26" s="394" t="s">
        <v>346</v>
      </c>
      <c r="E26" s="394"/>
      <c r="F26" s="103" t="s">
        <v>347</v>
      </c>
      <c r="G26" s="103"/>
      <c r="H26" s="103"/>
      <c r="I26" s="103"/>
      <c r="J26" s="103"/>
      <c r="K26" s="104"/>
      <c r="L26" s="92"/>
      <c r="M26" s="104"/>
      <c r="N26" s="104"/>
      <c r="O26" s="104"/>
      <c r="P26" s="104"/>
    </row>
    <row r="27" spans="1:16" s="12" customFormat="1" ht="23.25" customHeight="1">
      <c r="A27" s="362" t="s">
        <v>351</v>
      </c>
      <c r="B27" s="362"/>
      <c r="C27" s="437" t="s">
        <v>331</v>
      </c>
      <c r="D27" s="394" t="s">
        <v>346</v>
      </c>
      <c r="E27" s="394"/>
      <c r="F27" s="103">
        <v>2.3499999999999997E-3</v>
      </c>
      <c r="G27" s="103"/>
      <c r="H27" s="103"/>
      <c r="I27" s="103"/>
      <c r="J27" s="103"/>
      <c r="K27" s="104"/>
      <c r="L27" s="92"/>
      <c r="M27" s="104"/>
      <c r="N27" s="104"/>
      <c r="O27" s="104"/>
      <c r="P27" s="104"/>
    </row>
    <row r="28" spans="1:16" s="12" customFormat="1" ht="23.25" customHeight="1">
      <c r="A28" s="362" t="s">
        <v>352</v>
      </c>
      <c r="B28" s="362"/>
      <c r="C28" s="437" t="s">
        <v>331</v>
      </c>
      <c r="D28" s="394" t="s">
        <v>346</v>
      </c>
      <c r="E28" s="394"/>
      <c r="F28" s="103" t="s">
        <v>347</v>
      </c>
      <c r="G28" s="103"/>
      <c r="H28" s="103"/>
      <c r="I28" s="103"/>
      <c r="J28" s="103"/>
      <c r="K28" s="104"/>
      <c r="L28" s="92"/>
      <c r="M28" s="104"/>
      <c r="N28" s="104"/>
      <c r="O28" s="104"/>
      <c r="P28" s="104"/>
    </row>
    <row r="29" spans="1:16" s="12" customFormat="1" ht="23.25" customHeight="1">
      <c r="A29" s="362" t="s">
        <v>353</v>
      </c>
      <c r="B29" s="362"/>
      <c r="C29" s="437" t="s">
        <v>331</v>
      </c>
      <c r="D29" s="394" t="s">
        <v>346</v>
      </c>
      <c r="E29" s="394"/>
      <c r="F29" s="103">
        <v>1.7000000000000001E-3</v>
      </c>
      <c r="G29" s="103"/>
      <c r="H29" s="103"/>
      <c r="I29" s="103"/>
      <c r="J29" s="103"/>
      <c r="K29" s="104"/>
      <c r="L29" s="92"/>
      <c r="M29" s="104"/>
      <c r="N29" s="104"/>
      <c r="O29" s="104"/>
      <c r="P29" s="104"/>
    </row>
    <row r="30" spans="1:16" s="12" customFormat="1" ht="23.25" customHeight="1">
      <c r="A30" s="362" t="s">
        <v>354</v>
      </c>
      <c r="B30" s="362"/>
      <c r="C30" s="437" t="s">
        <v>331</v>
      </c>
      <c r="D30" s="394" t="s">
        <v>346</v>
      </c>
      <c r="E30" s="394"/>
      <c r="F30" s="103" t="s">
        <v>347</v>
      </c>
      <c r="G30" s="103"/>
      <c r="H30" s="103"/>
      <c r="I30" s="103"/>
      <c r="J30" s="103"/>
      <c r="K30" s="104"/>
      <c r="L30" s="92"/>
      <c r="M30" s="104"/>
      <c r="N30" s="104"/>
      <c r="O30" s="104"/>
      <c r="P30" s="104"/>
    </row>
    <row r="31" spans="1:16" s="12" customFormat="1" ht="23.25" customHeight="1">
      <c r="A31" s="362" t="s">
        <v>355</v>
      </c>
      <c r="B31" s="362"/>
      <c r="C31" s="437" t="s">
        <v>331</v>
      </c>
      <c r="D31" s="394" t="s">
        <v>346</v>
      </c>
      <c r="E31" s="394"/>
      <c r="F31" s="103" t="s">
        <v>347</v>
      </c>
      <c r="G31" s="103"/>
      <c r="H31" s="103"/>
      <c r="I31" s="103"/>
      <c r="J31" s="103"/>
      <c r="K31" s="104"/>
      <c r="L31" s="92"/>
      <c r="M31" s="104"/>
      <c r="N31" s="104"/>
      <c r="O31" s="104"/>
      <c r="P31" s="104"/>
    </row>
    <row r="32" spans="1:16" s="12" customFormat="1" ht="23.25" customHeight="1">
      <c r="A32" s="362" t="s">
        <v>356</v>
      </c>
      <c r="B32" s="362"/>
      <c r="C32" s="437" t="s">
        <v>331</v>
      </c>
      <c r="D32" s="394" t="s">
        <v>346</v>
      </c>
      <c r="E32" s="394"/>
      <c r="F32" s="103">
        <v>2E-3</v>
      </c>
      <c r="G32" s="103"/>
      <c r="H32" s="103"/>
      <c r="I32" s="103"/>
      <c r="J32" s="103"/>
      <c r="K32" s="104"/>
      <c r="L32" s="92"/>
      <c r="M32" s="104"/>
      <c r="N32" s="104"/>
      <c r="O32" s="104"/>
      <c r="P32" s="104"/>
    </row>
    <row r="33" spans="1:12" s="12" customFormat="1" ht="23.25" customHeight="1">
      <c r="A33" s="362" t="s">
        <v>357</v>
      </c>
      <c r="B33" s="362"/>
      <c r="C33" s="437" t="s">
        <v>331</v>
      </c>
      <c r="D33" s="394" t="s">
        <v>346</v>
      </c>
      <c r="E33" s="394"/>
      <c r="F33" s="103" t="s">
        <v>347</v>
      </c>
      <c r="G33" s="103"/>
      <c r="H33" s="103"/>
      <c r="I33" s="103"/>
      <c r="J33" s="103"/>
      <c r="K33" s="104"/>
      <c r="L33" s="92"/>
    </row>
    <row r="34" spans="1:12" s="12" customFormat="1" ht="23.25" customHeight="1">
      <c r="A34" s="362" t="s">
        <v>358</v>
      </c>
      <c r="B34" s="362"/>
      <c r="C34" s="437" t="s">
        <v>331</v>
      </c>
      <c r="D34" s="394" t="s">
        <v>346</v>
      </c>
      <c r="E34" s="394"/>
      <c r="F34" s="103" t="s">
        <v>347</v>
      </c>
      <c r="G34" s="103"/>
      <c r="H34" s="103"/>
      <c r="I34" s="103"/>
      <c r="J34" s="103"/>
      <c r="K34" s="104"/>
      <c r="L34" s="92"/>
    </row>
    <row r="35" spans="1:12" s="12" customFormat="1" ht="23.25" customHeight="1">
      <c r="A35" s="362" t="s">
        <v>359</v>
      </c>
      <c r="B35" s="362"/>
      <c r="C35" s="437" t="s">
        <v>331</v>
      </c>
      <c r="D35" s="394" t="s">
        <v>346</v>
      </c>
      <c r="E35" s="394"/>
      <c r="F35" s="103" t="s">
        <v>347</v>
      </c>
      <c r="G35" s="103"/>
      <c r="H35" s="103"/>
      <c r="I35" s="103"/>
      <c r="J35" s="103"/>
      <c r="K35" s="104"/>
      <c r="L35" s="92"/>
    </row>
    <row r="36" spans="1:12" s="12" customFormat="1" ht="23.25" customHeight="1">
      <c r="A36" s="362" t="s">
        <v>360</v>
      </c>
      <c r="B36" s="362"/>
      <c r="C36" s="437" t="s">
        <v>331</v>
      </c>
      <c r="D36" s="394" t="s">
        <v>346</v>
      </c>
      <c r="E36" s="394"/>
      <c r="F36" s="103">
        <v>1.3850000000000001E-2</v>
      </c>
      <c r="G36" s="103"/>
      <c r="H36" s="103"/>
      <c r="I36" s="103"/>
      <c r="J36" s="103"/>
      <c r="K36" s="104"/>
      <c r="L36" s="92"/>
    </row>
    <row r="37" spans="1:12" s="12" customFormat="1" ht="23.25" customHeight="1">
      <c r="A37" s="362" t="s">
        <v>361</v>
      </c>
      <c r="B37" s="362"/>
      <c r="C37" s="437" t="s">
        <v>331</v>
      </c>
      <c r="D37" s="394" t="s">
        <v>346</v>
      </c>
      <c r="E37" s="394"/>
      <c r="F37" s="103" t="s">
        <v>347</v>
      </c>
      <c r="G37" s="103"/>
      <c r="H37" s="103"/>
      <c r="I37" s="103"/>
      <c r="J37" s="103"/>
      <c r="K37" s="104"/>
      <c r="L37" s="92"/>
    </row>
    <row r="38" spans="1:12" s="12" customFormat="1" ht="23.25" customHeight="1">
      <c r="A38" s="362" t="s">
        <v>362</v>
      </c>
      <c r="B38" s="362"/>
      <c r="C38" s="437" t="s">
        <v>331</v>
      </c>
      <c r="D38" s="394" t="s">
        <v>346</v>
      </c>
      <c r="E38" s="394"/>
      <c r="F38" s="103">
        <v>0.22999999999999998</v>
      </c>
      <c r="G38" s="103"/>
      <c r="H38" s="103"/>
      <c r="I38" s="103"/>
      <c r="J38" s="103"/>
      <c r="K38" s="104"/>
      <c r="L38" s="92"/>
    </row>
    <row r="39" spans="1:12">
      <c r="A39" s="164" t="s">
        <v>313</v>
      </c>
      <c r="B39" s="164"/>
      <c r="C39" s="164"/>
      <c r="D39" s="164"/>
      <c r="E39" s="164"/>
      <c r="F39" s="164"/>
      <c r="G39" s="164"/>
      <c r="H39" s="164"/>
      <c r="I39" s="164"/>
      <c r="J39" s="164"/>
      <c r="K39" s="92"/>
      <c r="L39" s="92"/>
    </row>
    <row r="40" spans="1:12">
      <c r="A40" s="165" t="s">
        <v>363</v>
      </c>
      <c r="B40" s="175"/>
      <c r="C40" s="175"/>
      <c r="D40" s="175"/>
      <c r="E40" s="175"/>
      <c r="F40" s="175"/>
      <c r="G40" s="175"/>
      <c r="H40" s="175"/>
      <c r="I40" s="175"/>
      <c r="J40" s="175"/>
      <c r="K40" s="92"/>
      <c r="L40" s="92"/>
    </row>
    <row r="41" spans="1:12" ht="42" customHeight="1">
      <c r="A41" s="175"/>
      <c r="B41" s="175"/>
      <c r="C41" s="175"/>
      <c r="D41" s="175"/>
      <c r="E41" s="175"/>
      <c r="F41" s="175"/>
      <c r="G41" s="175"/>
      <c r="H41" s="175"/>
      <c r="I41" s="175"/>
      <c r="J41" s="175"/>
      <c r="K41" s="92"/>
      <c r="L41" s="92"/>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1" fitToWidth="0"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pageSetUpPr fitToPage="1"/>
  </sheetPr>
  <dimension ref="A1:P68"/>
  <sheetViews>
    <sheetView topLeftCell="A17" workbookViewId="0">
      <selection activeCell="I56" sqref="I56"/>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Exeter Energy From Waste Plant</v>
      </c>
      <c r="J1" s="92"/>
      <c r="K1" s="92"/>
      <c r="L1" s="92"/>
      <c r="M1" s="92"/>
      <c r="N1" s="92"/>
      <c r="O1" s="92"/>
      <c r="P1" s="92"/>
    </row>
    <row r="3" spans="1:16" ht="15.6">
      <c r="A3" s="1" t="s">
        <v>44</v>
      </c>
      <c r="B3" s="92"/>
      <c r="C3" s="92"/>
      <c r="D3" s="92"/>
      <c r="E3" s="92"/>
      <c r="F3" s="92"/>
      <c r="G3" s="92"/>
      <c r="H3" s="92"/>
      <c r="I3" s="92"/>
      <c r="J3" s="92"/>
      <c r="K3" s="92"/>
      <c r="L3" s="92"/>
      <c r="M3" s="92"/>
      <c r="N3" s="92"/>
      <c r="O3" s="92"/>
      <c r="P3" s="92"/>
    </row>
    <row r="4" spans="1:16" ht="15.6">
      <c r="A4" s="1"/>
      <c r="B4" s="92"/>
      <c r="C4" s="92"/>
      <c r="D4" s="92"/>
      <c r="E4" s="92"/>
      <c r="F4" s="92"/>
      <c r="G4" s="92"/>
      <c r="H4" s="92"/>
      <c r="I4" s="92"/>
      <c r="J4" s="92"/>
      <c r="K4" s="92"/>
      <c r="L4" s="92"/>
      <c r="M4" s="92"/>
      <c r="N4" s="92"/>
      <c r="O4" s="92"/>
      <c r="P4" s="73" t="s">
        <v>3</v>
      </c>
    </row>
    <row r="5" spans="1:16" s="3" customFormat="1" ht="21.75" customHeight="1">
      <c r="A5" s="48" t="s">
        <v>321</v>
      </c>
      <c r="B5" s="49"/>
      <c r="C5" s="49"/>
      <c r="D5" s="49"/>
      <c r="E5" s="49"/>
      <c r="F5" s="49"/>
      <c r="G5" s="49"/>
      <c r="H5" s="49"/>
      <c r="I5" s="49"/>
      <c r="J5" s="49"/>
      <c r="K5" s="49"/>
      <c r="L5" s="49"/>
      <c r="M5" s="50"/>
      <c r="P5" s="74" t="s">
        <v>364</v>
      </c>
    </row>
    <row r="6" spans="1:16" s="3" customFormat="1" ht="15.75" customHeight="1">
      <c r="A6" s="214" t="s">
        <v>365</v>
      </c>
      <c r="B6" s="420"/>
      <c r="C6" s="420"/>
      <c r="D6" s="420"/>
      <c r="E6" s="420"/>
      <c r="F6" s="420"/>
      <c r="G6" s="420"/>
      <c r="H6" s="420"/>
      <c r="I6" s="420"/>
      <c r="J6" s="420"/>
      <c r="K6" s="420"/>
      <c r="L6" s="420"/>
      <c r="M6" s="421"/>
      <c r="P6" s="3" t="s">
        <v>366</v>
      </c>
    </row>
    <row r="7" spans="1:16" s="3" customFormat="1" ht="35.450000000000003" customHeight="1">
      <c r="A7" s="422"/>
      <c r="B7" s="423"/>
      <c r="C7" s="423"/>
      <c r="D7" s="423"/>
      <c r="E7" s="423"/>
      <c r="F7" s="423"/>
      <c r="G7" s="423"/>
      <c r="H7" s="423"/>
      <c r="I7" s="423"/>
      <c r="J7" s="423"/>
      <c r="K7" s="423"/>
      <c r="L7" s="423"/>
      <c r="M7" s="424"/>
    </row>
    <row r="8" spans="1:16" s="3" customFormat="1" ht="15.75" customHeight="1">
      <c r="A8" s="214"/>
      <c r="B8" s="420"/>
      <c r="C8" s="420"/>
      <c r="D8" s="420"/>
      <c r="E8" s="420"/>
      <c r="F8" s="420"/>
      <c r="G8" s="420"/>
      <c r="H8" s="420"/>
      <c r="I8" s="420"/>
      <c r="J8" s="420"/>
      <c r="K8" s="420"/>
      <c r="L8" s="420"/>
      <c r="M8" s="421"/>
    </row>
    <row r="9" spans="1:16" s="3" customFormat="1" ht="15.75" customHeight="1">
      <c r="A9" s="422"/>
      <c r="B9" s="423"/>
      <c r="C9" s="423"/>
      <c r="D9" s="423"/>
      <c r="E9" s="423"/>
      <c r="F9" s="423"/>
      <c r="G9" s="423"/>
      <c r="H9" s="423"/>
      <c r="I9" s="423"/>
      <c r="J9" s="423"/>
      <c r="K9" s="423"/>
      <c r="L9" s="423"/>
      <c r="M9" s="424"/>
    </row>
    <row r="10" spans="1:16" s="3" customFormat="1" ht="13.9"/>
    <row r="11" spans="1:16" s="56" customFormat="1" ht="16.5" customHeight="1">
      <c r="A11" s="226" t="s">
        <v>367</v>
      </c>
      <c r="B11" s="226"/>
      <c r="C11" s="226"/>
      <c r="D11" s="226"/>
      <c r="E11" s="226"/>
      <c r="F11" s="226"/>
      <c r="G11" s="226"/>
      <c r="H11" s="226"/>
      <c r="I11" s="226"/>
      <c r="J11" s="226"/>
      <c r="K11" s="226"/>
      <c r="L11" s="226"/>
      <c r="M11" s="226"/>
    </row>
    <row r="12" spans="1:16" s="56" customFormat="1" ht="16.5" customHeight="1">
      <c r="A12" s="252" t="s">
        <v>223</v>
      </c>
      <c r="B12" s="245" t="s">
        <v>368</v>
      </c>
      <c r="C12" s="187" t="s">
        <v>326</v>
      </c>
      <c r="D12" s="188" t="s">
        <v>195</v>
      </c>
      <c r="E12" s="254"/>
      <c r="F12" s="188" t="s">
        <v>196</v>
      </c>
      <c r="G12" s="254"/>
      <c r="H12" s="188" t="s">
        <v>197</v>
      </c>
      <c r="I12" s="254"/>
      <c r="J12" s="188" t="s">
        <v>198</v>
      </c>
      <c r="K12" s="254"/>
      <c r="L12" s="188" t="s">
        <v>199</v>
      </c>
      <c r="M12" s="254"/>
    </row>
    <row r="13" spans="1:16" s="12" customFormat="1" ht="17.25" customHeight="1">
      <c r="A13" s="252"/>
      <c r="B13" s="253"/>
      <c r="C13" s="187"/>
      <c r="D13" s="46" t="s">
        <v>319</v>
      </c>
      <c r="E13" s="57" t="s">
        <v>369</v>
      </c>
      <c r="F13" s="46" t="s">
        <v>319</v>
      </c>
      <c r="G13" s="57" t="s">
        <v>369</v>
      </c>
      <c r="H13" s="46" t="s">
        <v>319</v>
      </c>
      <c r="I13" s="57" t="s">
        <v>369</v>
      </c>
      <c r="J13" s="46" t="s">
        <v>319</v>
      </c>
      <c r="K13" s="57" t="s">
        <v>369</v>
      </c>
      <c r="L13" s="46" t="s">
        <v>319</v>
      </c>
      <c r="M13" s="57" t="s">
        <v>369</v>
      </c>
      <c r="N13" s="104"/>
      <c r="O13" s="104"/>
      <c r="P13" s="104"/>
    </row>
    <row r="14" spans="1:16" s="12" customFormat="1" ht="23.25" customHeight="1">
      <c r="A14" s="362" t="s">
        <v>229</v>
      </c>
      <c r="B14" s="392" t="s">
        <v>370</v>
      </c>
      <c r="C14" s="392" t="s">
        <v>371</v>
      </c>
      <c r="D14" s="103">
        <v>199</v>
      </c>
      <c r="E14" s="103">
        <v>186.46</v>
      </c>
      <c r="F14" s="103"/>
      <c r="G14" s="103"/>
      <c r="H14" s="103"/>
      <c r="I14" s="103"/>
      <c r="J14" s="103"/>
      <c r="K14" s="103"/>
      <c r="L14" s="103"/>
      <c r="M14" s="103"/>
      <c r="N14" s="104"/>
      <c r="O14" s="104"/>
      <c r="P14" s="104"/>
    </row>
    <row r="15" spans="1:16" s="12" customFormat="1" ht="23.25" customHeight="1">
      <c r="A15" s="362"/>
      <c r="B15" s="392" t="s">
        <v>372</v>
      </c>
      <c r="C15" s="392" t="s">
        <v>373</v>
      </c>
      <c r="D15" s="103">
        <v>247</v>
      </c>
      <c r="E15" s="103">
        <v>186.43</v>
      </c>
      <c r="F15" s="103"/>
      <c r="G15" s="103"/>
      <c r="H15" s="103"/>
      <c r="I15" s="103"/>
      <c r="J15" s="103"/>
      <c r="K15" s="103"/>
      <c r="L15" s="103"/>
      <c r="M15" s="103"/>
      <c r="N15" s="104"/>
      <c r="O15" s="104"/>
      <c r="P15" s="104"/>
    </row>
    <row r="16" spans="1:16" s="12" customFormat="1" ht="23.25" customHeight="1">
      <c r="A16" s="438" t="s">
        <v>228</v>
      </c>
      <c r="B16" s="439" t="s">
        <v>370</v>
      </c>
      <c r="C16" s="392" t="s">
        <v>374</v>
      </c>
      <c r="D16" s="103">
        <v>3.6</v>
      </c>
      <c r="E16" s="103">
        <v>1.05</v>
      </c>
      <c r="F16" s="103"/>
      <c r="G16" s="103"/>
      <c r="H16" s="103"/>
      <c r="I16" s="103"/>
      <c r="J16" s="103"/>
      <c r="K16" s="103"/>
      <c r="L16" s="103"/>
      <c r="M16" s="103"/>
      <c r="N16" s="104"/>
      <c r="O16" s="104"/>
      <c r="P16" s="104"/>
    </row>
    <row r="17" spans="1:13" s="12" customFormat="1" ht="23.25" customHeight="1">
      <c r="A17" s="438"/>
      <c r="B17" s="392" t="s">
        <v>372</v>
      </c>
      <c r="C17" s="392" t="s">
        <v>375</v>
      </c>
      <c r="D17" s="103">
        <v>9</v>
      </c>
      <c r="E17" s="103">
        <v>1.05</v>
      </c>
      <c r="F17" s="103"/>
      <c r="G17" s="103"/>
      <c r="H17" s="103"/>
      <c r="I17" s="103"/>
      <c r="J17" s="103"/>
      <c r="K17" s="103"/>
      <c r="L17" s="103"/>
      <c r="M17" s="103"/>
    </row>
    <row r="18" spans="1:13" s="12" customFormat="1" ht="23.25" customHeight="1">
      <c r="A18" s="438" t="s">
        <v>376</v>
      </c>
      <c r="B18" s="392" t="s">
        <v>370</v>
      </c>
      <c r="C18" s="392" t="s">
        <v>377</v>
      </c>
      <c r="D18" s="103">
        <v>1</v>
      </c>
      <c r="E18" s="103">
        <v>0.35</v>
      </c>
      <c r="F18" s="103"/>
      <c r="G18" s="103"/>
      <c r="H18" s="103"/>
      <c r="I18" s="103"/>
      <c r="J18" s="103"/>
      <c r="K18" s="103"/>
      <c r="L18" s="103"/>
      <c r="M18" s="103"/>
    </row>
    <row r="19" spans="1:13" s="12" customFormat="1" ht="23.25" customHeight="1">
      <c r="A19" s="438"/>
      <c r="B19" s="392" t="s">
        <v>372</v>
      </c>
      <c r="C19" s="392" t="s">
        <v>378</v>
      </c>
      <c r="D19" s="103">
        <v>4.9000000000000004</v>
      </c>
      <c r="E19" s="103">
        <v>0.35</v>
      </c>
      <c r="F19" s="103"/>
      <c r="G19" s="103"/>
      <c r="H19" s="103"/>
      <c r="I19" s="103"/>
      <c r="J19" s="103"/>
      <c r="K19" s="103"/>
      <c r="L19" s="103"/>
      <c r="M19" s="103"/>
    </row>
    <row r="20" spans="1:13" s="12" customFormat="1" ht="23.25" customHeight="1">
      <c r="A20" s="438" t="s">
        <v>379</v>
      </c>
      <c r="B20" s="392" t="s">
        <v>370</v>
      </c>
      <c r="C20" s="392" t="s">
        <v>377</v>
      </c>
      <c r="D20" s="103">
        <v>9.6</v>
      </c>
      <c r="E20" s="103">
        <v>7.51</v>
      </c>
      <c r="F20" s="103"/>
      <c r="G20" s="103"/>
      <c r="H20" s="103"/>
      <c r="I20" s="103"/>
      <c r="J20" s="103"/>
      <c r="K20" s="103"/>
      <c r="L20" s="103"/>
      <c r="M20" s="103"/>
    </row>
    <row r="21" spans="1:13" s="12" customFormat="1" ht="23.25" customHeight="1">
      <c r="A21" s="438"/>
      <c r="B21" s="392" t="s">
        <v>372</v>
      </c>
      <c r="C21" s="392" t="s">
        <v>380</v>
      </c>
      <c r="D21" s="103">
        <v>56.4</v>
      </c>
      <c r="E21" s="103">
        <v>7.51</v>
      </c>
      <c r="F21" s="103"/>
      <c r="G21" s="103"/>
      <c r="H21" s="103"/>
      <c r="I21" s="103"/>
      <c r="J21" s="103"/>
      <c r="K21" s="103"/>
      <c r="L21" s="103"/>
      <c r="M21" s="103"/>
    </row>
    <row r="22" spans="1:13" s="12" customFormat="1" ht="23.25" customHeight="1">
      <c r="A22" s="438" t="s">
        <v>230</v>
      </c>
      <c r="B22" s="392" t="s">
        <v>370</v>
      </c>
      <c r="C22" s="392" t="s">
        <v>381</v>
      </c>
      <c r="D22" s="103">
        <v>19</v>
      </c>
      <c r="E22" s="103">
        <v>7.89</v>
      </c>
      <c r="F22" s="103"/>
      <c r="G22" s="103"/>
      <c r="H22" s="103"/>
      <c r="I22" s="103"/>
      <c r="J22" s="103"/>
      <c r="K22" s="103"/>
      <c r="L22" s="103"/>
      <c r="M22" s="103"/>
    </row>
    <row r="23" spans="1:13" s="12" customFormat="1" ht="23.25" customHeight="1">
      <c r="A23" s="438"/>
      <c r="B23" s="392" t="s">
        <v>372</v>
      </c>
      <c r="C23" s="392" t="s">
        <v>371</v>
      </c>
      <c r="D23" s="103">
        <v>74</v>
      </c>
      <c r="E23" s="103">
        <v>7.88</v>
      </c>
      <c r="F23" s="103"/>
      <c r="G23" s="103"/>
      <c r="H23" s="103"/>
      <c r="I23" s="103"/>
      <c r="J23" s="103"/>
      <c r="K23" s="103"/>
      <c r="L23" s="103"/>
      <c r="M23" s="103"/>
    </row>
    <row r="24" spans="1:13" s="12" customFormat="1" ht="23.25" customHeight="1">
      <c r="A24" s="438" t="s">
        <v>382</v>
      </c>
      <c r="B24" s="392" t="s">
        <v>370</v>
      </c>
      <c r="C24" s="392" t="s">
        <v>381</v>
      </c>
      <c r="D24" s="103">
        <v>7</v>
      </c>
      <c r="E24" s="103">
        <v>3.61</v>
      </c>
      <c r="F24" s="103"/>
      <c r="G24" s="103"/>
      <c r="H24" s="103"/>
      <c r="I24" s="103"/>
      <c r="J24" s="103"/>
      <c r="K24" s="103"/>
      <c r="L24" s="103"/>
      <c r="M24" s="103"/>
    </row>
    <row r="25" spans="1:13" s="12" customFormat="1" ht="23.25" customHeight="1">
      <c r="A25" s="438"/>
      <c r="B25" s="103" t="s">
        <v>383</v>
      </c>
      <c r="C25" s="103" t="s">
        <v>384</v>
      </c>
      <c r="D25" s="103">
        <v>182</v>
      </c>
      <c r="E25" s="103">
        <v>3.63</v>
      </c>
      <c r="F25" s="103"/>
      <c r="G25" s="103"/>
      <c r="H25" s="103"/>
      <c r="I25" s="103"/>
      <c r="J25" s="103"/>
      <c r="K25" s="103"/>
      <c r="L25" s="103"/>
      <c r="M25" s="103"/>
    </row>
    <row r="26" spans="1:13" s="12" customFormat="1" ht="23.25" customHeight="1">
      <c r="A26" s="438"/>
      <c r="B26" s="103" t="s">
        <v>385</v>
      </c>
      <c r="C26" s="103" t="s">
        <v>386</v>
      </c>
      <c r="D26" s="103">
        <v>1</v>
      </c>
      <c r="E26" s="103">
        <v>0.19</v>
      </c>
      <c r="F26" s="103"/>
      <c r="G26" s="103"/>
      <c r="H26" s="103"/>
      <c r="I26" s="103"/>
      <c r="J26" s="103"/>
      <c r="K26" s="103"/>
      <c r="L26" s="103"/>
      <c r="M26" s="103"/>
    </row>
    <row r="27" spans="1:13" s="12" customFormat="1" ht="23.25" customHeight="1">
      <c r="A27" s="440" t="s">
        <v>387</v>
      </c>
      <c r="B27" s="441" t="s">
        <v>370</v>
      </c>
      <c r="C27" s="441" t="s">
        <v>388</v>
      </c>
      <c r="D27" s="442">
        <v>5.7</v>
      </c>
      <c r="E27" s="442">
        <v>0.19</v>
      </c>
      <c r="F27" s="442"/>
      <c r="G27" s="442"/>
      <c r="H27" s="442"/>
      <c r="I27" s="442"/>
      <c r="J27" s="442"/>
      <c r="K27" s="442"/>
      <c r="L27" s="442"/>
      <c r="M27" s="442"/>
    </row>
    <row r="28" spans="1:13">
      <c r="A28" s="248" t="s">
        <v>389</v>
      </c>
      <c r="B28" s="249"/>
      <c r="C28" s="249"/>
      <c r="D28" s="249"/>
      <c r="E28" s="249"/>
      <c r="F28" s="249"/>
      <c r="G28" s="249"/>
      <c r="H28" s="249"/>
      <c r="I28" s="249"/>
      <c r="J28" s="249"/>
      <c r="K28" s="249"/>
      <c r="L28" s="249"/>
      <c r="M28" s="250"/>
    </row>
    <row r="29" spans="1:13">
      <c r="A29" s="82" t="s">
        <v>313</v>
      </c>
      <c r="B29" s="83"/>
      <c r="C29" s="83"/>
      <c r="D29" s="83"/>
      <c r="E29" s="83"/>
      <c r="F29" s="83"/>
      <c r="G29" s="83"/>
      <c r="H29" s="83"/>
      <c r="I29" s="83"/>
      <c r="J29" s="83"/>
      <c r="K29" s="83"/>
      <c r="L29" s="83"/>
      <c r="M29" s="84"/>
    </row>
    <row r="30" spans="1:13">
      <c r="A30" s="251" t="s">
        <v>390</v>
      </c>
      <c r="B30" s="251"/>
      <c r="C30" s="251"/>
      <c r="D30" s="251"/>
      <c r="E30" s="251"/>
      <c r="F30" s="251"/>
      <c r="G30" s="251"/>
      <c r="H30" s="251"/>
      <c r="I30" s="251"/>
      <c r="J30" s="251"/>
      <c r="K30" s="251"/>
      <c r="L30" s="251"/>
      <c r="M30" s="251"/>
    </row>
    <row r="31" spans="1:13" ht="75.599999999999994" customHeight="1">
      <c r="A31" s="166"/>
      <c r="B31" s="166"/>
      <c r="C31" s="166"/>
      <c r="D31" s="166"/>
      <c r="E31" s="166"/>
      <c r="F31" s="166"/>
      <c r="G31" s="166"/>
      <c r="H31" s="166"/>
      <c r="I31" s="166"/>
      <c r="J31" s="166"/>
      <c r="K31" s="166"/>
      <c r="L31" s="166"/>
      <c r="M31" s="166"/>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71" fitToWidth="0"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zoomScale="130" zoomScaleNormal="130" workbookViewId="0">
      <selection activeCell="I56" sqref="I56"/>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c r="F1" s="92"/>
      <c r="G1" s="92"/>
    </row>
    <row r="3" spans="1:19" ht="14.45">
      <c r="A3" s="60" t="s">
        <v>391</v>
      </c>
      <c r="D3" s="76" t="s">
        <v>392</v>
      </c>
      <c r="G3" s="79" t="s">
        <v>393</v>
      </c>
      <c r="J3" s="9" t="str">
        <f>+A3</f>
        <v>Monitoring of Hydrogen Chloride emissions</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399</v>
      </c>
      <c r="C6" s="55" t="s">
        <v>400</v>
      </c>
      <c r="D6" s="55" t="s">
        <v>401</v>
      </c>
      <c r="E6" s="55" t="s">
        <v>402</v>
      </c>
      <c r="F6" s="55" t="s">
        <v>403</v>
      </c>
      <c r="G6" s="55" t="s">
        <v>404</v>
      </c>
      <c r="H6" s="59"/>
      <c r="J6" s="61">
        <f>+A6</f>
        <v>2022</v>
      </c>
      <c r="K6" s="61" t="s">
        <v>405</v>
      </c>
      <c r="L6" s="67" t="s">
        <v>400</v>
      </c>
      <c r="M6" s="67" t="s">
        <v>406</v>
      </c>
      <c r="N6" s="67" t="s">
        <v>403</v>
      </c>
      <c r="O6" s="67" t="s">
        <v>407</v>
      </c>
      <c r="Q6" s="247"/>
      <c r="R6" s="247"/>
      <c r="S6" s="247"/>
    </row>
    <row r="7" spans="1:19" ht="13.9" customHeight="1">
      <c r="A7" s="66" t="s">
        <v>408</v>
      </c>
      <c r="B7" s="63">
        <v>60</v>
      </c>
      <c r="C7" s="64">
        <v>7.2</v>
      </c>
      <c r="D7" s="64">
        <v>10.62</v>
      </c>
      <c r="E7" s="63">
        <v>10</v>
      </c>
      <c r="F7" s="64">
        <v>7.2</v>
      </c>
      <c r="G7" s="64">
        <v>7.66</v>
      </c>
      <c r="J7" s="256" t="s">
        <v>195</v>
      </c>
      <c r="K7" s="66" t="s">
        <v>408</v>
      </c>
      <c r="L7" s="105">
        <v>7.2</v>
      </c>
      <c r="M7" s="64">
        <v>10.62</v>
      </c>
      <c r="N7" s="64">
        <v>7.2</v>
      </c>
      <c r="O7" s="64">
        <v>7.66</v>
      </c>
      <c r="Q7" s="247"/>
      <c r="R7" s="247"/>
      <c r="S7" s="247"/>
    </row>
    <row r="8" spans="1:19">
      <c r="A8" s="66" t="s">
        <v>409</v>
      </c>
      <c r="B8" s="63">
        <v>60</v>
      </c>
      <c r="C8" s="64">
        <v>7.13</v>
      </c>
      <c r="D8" s="64">
        <v>9.65</v>
      </c>
      <c r="E8" s="63">
        <v>10</v>
      </c>
      <c r="F8" s="64">
        <v>7.13</v>
      </c>
      <c r="G8" s="64">
        <v>7.85</v>
      </c>
      <c r="J8" s="256"/>
      <c r="K8" s="66" t="s">
        <v>409</v>
      </c>
      <c r="L8" s="105">
        <v>7.13</v>
      </c>
      <c r="M8" s="64">
        <v>9.65</v>
      </c>
      <c r="N8" s="64">
        <v>7.13</v>
      </c>
      <c r="O8" s="64">
        <v>7.85</v>
      </c>
      <c r="Q8" s="247"/>
      <c r="R8" s="247"/>
      <c r="S8" s="247"/>
    </row>
    <row r="9" spans="1:19">
      <c r="A9" s="66" t="s">
        <v>410</v>
      </c>
      <c r="B9" s="63">
        <v>60</v>
      </c>
      <c r="C9" s="64">
        <v>7.71</v>
      </c>
      <c r="D9" s="64">
        <v>15.14</v>
      </c>
      <c r="E9" s="63">
        <v>10</v>
      </c>
      <c r="F9" s="64">
        <v>7.71</v>
      </c>
      <c r="G9" s="64">
        <v>8.4700000000000006</v>
      </c>
      <c r="J9" s="256"/>
      <c r="K9" s="66" t="s">
        <v>410</v>
      </c>
      <c r="L9" s="105">
        <v>7.71</v>
      </c>
      <c r="M9" s="64">
        <v>15.14</v>
      </c>
      <c r="N9" s="64">
        <v>7.71</v>
      </c>
      <c r="O9" s="64">
        <v>8.4700000000000006</v>
      </c>
      <c r="Q9" s="77" t="s">
        <v>411</v>
      </c>
    </row>
    <row r="10" spans="1:19" ht="13.9" customHeight="1">
      <c r="A10" s="66" t="s">
        <v>412</v>
      </c>
      <c r="B10" s="63">
        <v>60</v>
      </c>
      <c r="C10" s="64">
        <v>7.61</v>
      </c>
      <c r="D10" s="64">
        <v>15.52</v>
      </c>
      <c r="E10" s="63">
        <v>10</v>
      </c>
      <c r="F10" s="64">
        <v>7.64</v>
      </c>
      <c r="G10" s="64">
        <v>8.56</v>
      </c>
      <c r="J10" s="256"/>
      <c r="K10" s="66" t="s">
        <v>412</v>
      </c>
      <c r="L10" s="105">
        <v>7.61</v>
      </c>
      <c r="M10" s="64">
        <v>15.52</v>
      </c>
      <c r="N10" s="64">
        <v>7.64</v>
      </c>
      <c r="O10" s="64">
        <v>8.56</v>
      </c>
      <c r="Q10" s="255" t="s">
        <v>413</v>
      </c>
      <c r="R10" s="255"/>
      <c r="S10" s="255"/>
    </row>
    <row r="11" spans="1:19">
      <c r="A11" s="66" t="s">
        <v>414</v>
      </c>
      <c r="B11" s="63">
        <v>60</v>
      </c>
      <c r="C11" s="64">
        <v>7.91</v>
      </c>
      <c r="D11" s="64">
        <v>16.75</v>
      </c>
      <c r="E11" s="63">
        <v>10</v>
      </c>
      <c r="F11" s="64">
        <v>7.91</v>
      </c>
      <c r="G11" s="64">
        <v>8.52</v>
      </c>
      <c r="J11" s="256"/>
      <c r="K11" s="66" t="s">
        <v>414</v>
      </c>
      <c r="L11" s="105">
        <v>7.91</v>
      </c>
      <c r="M11" s="64">
        <v>16.75</v>
      </c>
      <c r="N11" s="64">
        <v>7.91</v>
      </c>
      <c r="O11" s="64">
        <v>8.52</v>
      </c>
      <c r="Q11" s="255"/>
      <c r="R11" s="255"/>
      <c r="S11" s="255"/>
    </row>
    <row r="12" spans="1:19">
      <c r="A12" s="66" t="s">
        <v>415</v>
      </c>
      <c r="B12" s="63">
        <v>60</v>
      </c>
      <c r="C12" s="64">
        <v>6.49</v>
      </c>
      <c r="D12" s="64">
        <v>10.76</v>
      </c>
      <c r="E12" s="63">
        <v>10</v>
      </c>
      <c r="F12" s="64">
        <v>6.83</v>
      </c>
      <c r="G12" s="64">
        <v>8.4499999999999993</v>
      </c>
      <c r="J12" s="256"/>
      <c r="K12" s="66" t="s">
        <v>415</v>
      </c>
      <c r="L12" s="105">
        <v>6.49</v>
      </c>
      <c r="M12" s="64">
        <v>10.76</v>
      </c>
      <c r="N12" s="64">
        <v>6.83</v>
      </c>
      <c r="O12" s="64">
        <v>8.4499999999999993</v>
      </c>
      <c r="Q12" s="255"/>
      <c r="R12" s="255"/>
      <c r="S12" s="255"/>
    </row>
    <row r="13" spans="1:19" ht="13.9" customHeight="1">
      <c r="A13" s="66" t="s">
        <v>416</v>
      </c>
      <c r="B13" s="63">
        <v>60</v>
      </c>
      <c r="C13" s="64">
        <v>7.03</v>
      </c>
      <c r="D13" s="64">
        <v>56.36</v>
      </c>
      <c r="E13" s="63">
        <v>10</v>
      </c>
      <c r="F13" s="64">
        <v>7.09</v>
      </c>
      <c r="G13" s="64">
        <v>9.59</v>
      </c>
      <c r="J13" s="256"/>
      <c r="K13" s="66" t="s">
        <v>416</v>
      </c>
      <c r="L13" s="105">
        <v>7.03</v>
      </c>
      <c r="M13" s="64">
        <v>56.36</v>
      </c>
      <c r="N13" s="64">
        <v>7.09</v>
      </c>
      <c r="O13" s="64">
        <v>9.59</v>
      </c>
      <c r="Q13" s="255" t="s">
        <v>417</v>
      </c>
      <c r="R13" s="255"/>
      <c r="S13" s="255"/>
    </row>
    <row r="14" spans="1:19">
      <c r="A14" s="66" t="s">
        <v>418</v>
      </c>
      <c r="B14" s="63">
        <v>60</v>
      </c>
      <c r="C14" s="64">
        <v>7.65</v>
      </c>
      <c r="D14" s="64">
        <v>27.83</v>
      </c>
      <c r="E14" s="63">
        <v>10</v>
      </c>
      <c r="F14" s="64">
        <v>7.75</v>
      </c>
      <c r="G14" s="64">
        <v>9.1300000000000008</v>
      </c>
      <c r="J14" s="256"/>
      <c r="K14" s="66" t="s">
        <v>418</v>
      </c>
      <c r="L14" s="105">
        <v>7.65</v>
      </c>
      <c r="M14" s="64">
        <v>27.83</v>
      </c>
      <c r="N14" s="64">
        <v>7.75</v>
      </c>
      <c r="O14" s="64">
        <v>9.1300000000000008</v>
      </c>
      <c r="Q14" s="255"/>
      <c r="R14" s="255"/>
      <c r="S14" s="255"/>
    </row>
    <row r="15" spans="1:19">
      <c r="A15" s="66" t="s">
        <v>419</v>
      </c>
      <c r="B15" s="63">
        <v>60</v>
      </c>
      <c r="C15" s="64">
        <v>7.66</v>
      </c>
      <c r="D15" s="64">
        <v>25.22</v>
      </c>
      <c r="E15" s="63">
        <v>10</v>
      </c>
      <c r="F15" s="64">
        <v>7.66</v>
      </c>
      <c r="G15" s="64">
        <v>8.69</v>
      </c>
      <c r="J15" s="256"/>
      <c r="K15" s="66" t="s">
        <v>419</v>
      </c>
      <c r="L15" s="105">
        <v>7.66</v>
      </c>
      <c r="M15" s="64">
        <v>25.22</v>
      </c>
      <c r="N15" s="64">
        <v>7.66</v>
      </c>
      <c r="O15" s="64">
        <v>8.69</v>
      </c>
      <c r="Q15" s="255"/>
      <c r="R15" s="255"/>
      <c r="S15" s="255"/>
    </row>
    <row r="16" spans="1:19">
      <c r="A16" s="66" t="s">
        <v>420</v>
      </c>
      <c r="B16" s="63">
        <v>60</v>
      </c>
      <c r="C16" s="64">
        <v>7.57</v>
      </c>
      <c r="D16" s="64">
        <v>32.21</v>
      </c>
      <c r="E16" s="63">
        <v>10</v>
      </c>
      <c r="F16" s="64">
        <v>7.58</v>
      </c>
      <c r="G16" s="64">
        <v>8.4499999999999993</v>
      </c>
      <c r="J16" s="256"/>
      <c r="K16" s="66" t="s">
        <v>420</v>
      </c>
      <c r="L16" s="105">
        <v>7.57</v>
      </c>
      <c r="M16" s="64">
        <v>32.21</v>
      </c>
      <c r="N16" s="64">
        <v>7.58</v>
      </c>
      <c r="O16" s="64">
        <v>8.4499999999999993</v>
      </c>
      <c r="Q16" s="255"/>
      <c r="R16" s="255"/>
      <c r="S16" s="255"/>
    </row>
    <row r="17" spans="1:15">
      <c r="A17" s="66" t="s">
        <v>421</v>
      </c>
      <c r="B17" s="63">
        <v>60</v>
      </c>
      <c r="C17" s="64">
        <v>7.31</v>
      </c>
      <c r="D17" s="64">
        <v>19.309999999999999</v>
      </c>
      <c r="E17" s="63">
        <v>10</v>
      </c>
      <c r="F17" s="64">
        <v>7.31</v>
      </c>
      <c r="G17" s="64">
        <v>8.1199999999999992</v>
      </c>
      <c r="J17" s="256"/>
      <c r="K17" s="66" t="s">
        <v>421</v>
      </c>
      <c r="L17" s="105">
        <v>7.31</v>
      </c>
      <c r="M17" s="64">
        <v>19.309999999999999</v>
      </c>
      <c r="N17" s="64">
        <v>7.31</v>
      </c>
      <c r="O17" s="64">
        <v>8.1199999999999992</v>
      </c>
    </row>
    <row r="18" spans="1:15">
      <c r="A18" s="66" t="s">
        <v>422</v>
      </c>
      <c r="B18" s="63">
        <v>60</v>
      </c>
      <c r="C18" s="64">
        <v>7.98</v>
      </c>
      <c r="D18" s="64">
        <v>34.729999999999997</v>
      </c>
      <c r="E18" s="63">
        <v>10</v>
      </c>
      <c r="F18" s="64">
        <v>7.98</v>
      </c>
      <c r="G18" s="64">
        <v>8.85</v>
      </c>
      <c r="J18" s="256"/>
      <c r="K18" s="66" t="s">
        <v>422</v>
      </c>
      <c r="L18" s="105">
        <v>7.98</v>
      </c>
      <c r="M18" s="64">
        <v>34.729999999999997</v>
      </c>
      <c r="N18" s="64">
        <v>7.98</v>
      </c>
      <c r="O18" s="64">
        <v>8.85</v>
      </c>
    </row>
    <row r="19" spans="1:15">
      <c r="J19" s="256"/>
      <c r="K19" s="62" t="s">
        <v>423</v>
      </c>
      <c r="L19" s="106">
        <f>AVERAGE(L7:L18)</f>
        <v>7.4375000000000009</v>
      </c>
      <c r="M19" s="62">
        <f>MAX(M7:M18)</f>
        <v>56.36</v>
      </c>
      <c r="N19" s="106">
        <f>AVERAGE(N7:N18)</f>
        <v>7.4825000000000008</v>
      </c>
      <c r="O19" s="62">
        <f>MAX(O7:O18)</f>
        <v>9.59</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59" t="s">
        <v>424</v>
      </c>
      <c r="B49" s="260"/>
      <c r="C49" s="260"/>
      <c r="D49" s="260"/>
      <c r="E49" s="260"/>
      <c r="F49" s="260"/>
      <c r="G49" s="261"/>
      <c r="J49" s="256"/>
      <c r="K49" s="62" t="s">
        <v>423</v>
      </c>
      <c r="L49" s="62" t="e">
        <f>AVERAGE(L37:L48)</f>
        <v>#DIV/0!</v>
      </c>
      <c r="M49" s="62">
        <f>MAX(M37:M48)</f>
        <v>0</v>
      </c>
      <c r="N49" s="62" t="e">
        <f>AVERAGE(N37:N48)</f>
        <v>#DIV/0!</v>
      </c>
      <c r="O49" s="62">
        <f>MAX(O37:O48)</f>
        <v>0</v>
      </c>
    </row>
    <row r="50" spans="1:15">
      <c r="A50" s="262"/>
      <c r="B50" s="263"/>
      <c r="C50" s="263"/>
      <c r="D50" s="263"/>
      <c r="E50" s="263"/>
      <c r="F50" s="263"/>
      <c r="G50" s="264"/>
    </row>
    <row r="51" spans="1:15" ht="41.45">
      <c r="A51" s="262"/>
      <c r="B51" s="263"/>
      <c r="C51" s="263"/>
      <c r="D51" s="263"/>
      <c r="E51" s="263"/>
      <c r="F51" s="263"/>
      <c r="G51" s="264"/>
      <c r="J51" s="61">
        <f>+A6</f>
        <v>2022</v>
      </c>
      <c r="K51" s="61" t="s">
        <v>405</v>
      </c>
      <c r="L51" s="67" t="s">
        <v>400</v>
      </c>
      <c r="M51" s="67" t="s">
        <v>406</v>
      </c>
      <c r="N51" s="67" t="s">
        <v>403</v>
      </c>
      <c r="O51" s="67" t="s">
        <v>407</v>
      </c>
    </row>
    <row r="52" spans="1:15">
      <c r="A52" s="265"/>
      <c r="B52" s="266"/>
      <c r="C52" s="266"/>
      <c r="D52" s="266"/>
      <c r="E52" s="266"/>
      <c r="F52" s="266"/>
      <c r="G52" s="267"/>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c r="F1" s="92"/>
      <c r="G1" s="92"/>
    </row>
    <row r="3" spans="1:19" ht="14.45">
      <c r="A3" s="60" t="s">
        <v>425</v>
      </c>
      <c r="D3" s="76" t="s">
        <v>392</v>
      </c>
      <c r="G3" s="79" t="s">
        <v>393</v>
      </c>
      <c r="J3" s="9" t="str">
        <f>+A3</f>
        <v>Monitoring of Sulphur dioxide emissions</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426</v>
      </c>
      <c r="C6" s="55" t="s">
        <v>400</v>
      </c>
      <c r="D6" s="55" t="s">
        <v>401</v>
      </c>
      <c r="E6" s="55" t="s">
        <v>427</v>
      </c>
      <c r="F6" s="55" t="s">
        <v>403</v>
      </c>
      <c r="G6" s="55" t="s">
        <v>404</v>
      </c>
      <c r="H6" s="59"/>
      <c r="J6" s="61">
        <f>+A6</f>
        <v>2022</v>
      </c>
      <c r="K6" s="61" t="s">
        <v>405</v>
      </c>
      <c r="L6" s="67" t="s">
        <v>400</v>
      </c>
      <c r="M6" s="67" t="s">
        <v>406</v>
      </c>
      <c r="N6" s="67" t="s">
        <v>403</v>
      </c>
      <c r="O6" s="67" t="s">
        <v>407</v>
      </c>
      <c r="Q6" s="247"/>
      <c r="R6" s="247"/>
      <c r="S6" s="247"/>
    </row>
    <row r="7" spans="1:19">
      <c r="A7" s="66" t="s">
        <v>408</v>
      </c>
      <c r="B7" s="63">
        <v>200</v>
      </c>
      <c r="C7" s="108">
        <v>2.12</v>
      </c>
      <c r="D7" s="108">
        <v>26.01</v>
      </c>
      <c r="E7" s="63">
        <v>50</v>
      </c>
      <c r="F7" s="108">
        <v>2.11</v>
      </c>
      <c r="G7" s="108">
        <v>6.33</v>
      </c>
      <c r="J7" s="256" t="s">
        <v>195</v>
      </c>
      <c r="K7" s="66" t="s">
        <v>408</v>
      </c>
      <c r="L7" s="108">
        <v>2.12</v>
      </c>
      <c r="M7" s="108">
        <v>26.01</v>
      </c>
      <c r="N7" s="108">
        <v>2.11</v>
      </c>
      <c r="O7" s="108">
        <v>6.33</v>
      </c>
      <c r="Q7" s="247"/>
      <c r="R7" s="247"/>
      <c r="S7" s="247"/>
    </row>
    <row r="8" spans="1:19">
      <c r="A8" s="66" t="s">
        <v>409</v>
      </c>
      <c r="B8" s="63">
        <v>200</v>
      </c>
      <c r="C8" s="108">
        <v>4.92</v>
      </c>
      <c r="D8" s="108">
        <v>24.67</v>
      </c>
      <c r="E8" s="63">
        <v>50</v>
      </c>
      <c r="F8" s="108">
        <v>4.92</v>
      </c>
      <c r="G8" s="108">
        <v>10.59</v>
      </c>
      <c r="J8" s="256"/>
      <c r="K8" s="66" t="s">
        <v>409</v>
      </c>
      <c r="L8" s="108">
        <v>4.92</v>
      </c>
      <c r="M8" s="108">
        <v>24.67</v>
      </c>
      <c r="N8" s="108">
        <v>4.92</v>
      </c>
      <c r="O8" s="108">
        <v>10.59</v>
      </c>
      <c r="Q8" s="247"/>
      <c r="R8" s="247"/>
      <c r="S8" s="247"/>
    </row>
    <row r="9" spans="1:19">
      <c r="A9" s="66" t="s">
        <v>410</v>
      </c>
      <c r="B9" s="63">
        <v>200</v>
      </c>
      <c r="C9" s="108">
        <v>5.65</v>
      </c>
      <c r="D9" s="108">
        <v>56.6</v>
      </c>
      <c r="E9" s="63">
        <v>50</v>
      </c>
      <c r="F9" s="108">
        <v>5.65</v>
      </c>
      <c r="G9" s="108">
        <v>9.4499999999999993</v>
      </c>
      <c r="J9" s="256"/>
      <c r="K9" s="66" t="s">
        <v>410</v>
      </c>
      <c r="L9" s="108">
        <v>5.65</v>
      </c>
      <c r="M9" s="108">
        <v>56.6</v>
      </c>
      <c r="N9" s="108">
        <v>5.65</v>
      </c>
      <c r="O9" s="108">
        <v>9.4499999999999993</v>
      </c>
      <c r="Q9" s="77" t="s">
        <v>411</v>
      </c>
    </row>
    <row r="10" spans="1:19" ht="14.25" customHeight="1">
      <c r="A10" s="66" t="s">
        <v>412</v>
      </c>
      <c r="B10" s="63">
        <v>200</v>
      </c>
      <c r="C10" s="108">
        <v>7.28</v>
      </c>
      <c r="D10" s="108">
        <v>24.84</v>
      </c>
      <c r="E10" s="63">
        <v>50</v>
      </c>
      <c r="F10" s="108">
        <v>7.31</v>
      </c>
      <c r="G10" s="108">
        <v>10.23</v>
      </c>
      <c r="J10" s="256"/>
      <c r="K10" s="66" t="s">
        <v>412</v>
      </c>
      <c r="L10" s="108">
        <v>7.28</v>
      </c>
      <c r="M10" s="108">
        <v>24.84</v>
      </c>
      <c r="N10" s="108">
        <v>7.31</v>
      </c>
      <c r="O10" s="108">
        <v>10.23</v>
      </c>
      <c r="Q10" s="255" t="s">
        <v>413</v>
      </c>
      <c r="R10" s="255"/>
      <c r="S10" s="255"/>
    </row>
    <row r="11" spans="1:19">
      <c r="A11" s="66" t="s">
        <v>414</v>
      </c>
      <c r="B11" s="63">
        <v>200</v>
      </c>
      <c r="C11" s="108">
        <v>7.94</v>
      </c>
      <c r="D11" s="108">
        <v>29.45</v>
      </c>
      <c r="E11" s="63">
        <v>50</v>
      </c>
      <c r="F11" s="108">
        <v>7.94</v>
      </c>
      <c r="G11" s="108">
        <v>11.33</v>
      </c>
      <c r="J11" s="256"/>
      <c r="K11" s="66" t="s">
        <v>414</v>
      </c>
      <c r="L11" s="108">
        <v>7.94</v>
      </c>
      <c r="M11" s="108">
        <v>29.45</v>
      </c>
      <c r="N11" s="108">
        <v>7.94</v>
      </c>
      <c r="O11" s="108">
        <v>11.33</v>
      </c>
      <c r="Q11" s="255"/>
      <c r="R11" s="255"/>
      <c r="S11" s="255"/>
    </row>
    <row r="12" spans="1:19">
      <c r="A12" s="66" t="s">
        <v>415</v>
      </c>
      <c r="B12" s="63">
        <v>200</v>
      </c>
      <c r="C12" s="108">
        <v>12.92</v>
      </c>
      <c r="D12" s="108">
        <v>32.29</v>
      </c>
      <c r="E12" s="63">
        <v>50</v>
      </c>
      <c r="F12" s="108">
        <v>13.77</v>
      </c>
      <c r="G12" s="108">
        <v>17.23</v>
      </c>
      <c r="J12" s="256"/>
      <c r="K12" s="66" t="s">
        <v>415</v>
      </c>
      <c r="L12" s="108">
        <v>12.92</v>
      </c>
      <c r="M12" s="108">
        <v>32.29</v>
      </c>
      <c r="N12" s="108">
        <v>13.77</v>
      </c>
      <c r="O12" s="108">
        <v>17.23</v>
      </c>
      <c r="Q12" s="255"/>
      <c r="R12" s="255"/>
      <c r="S12" s="255"/>
    </row>
    <row r="13" spans="1:19" ht="14.25" customHeight="1">
      <c r="A13" s="66" t="s">
        <v>416</v>
      </c>
      <c r="B13" s="63">
        <v>200</v>
      </c>
      <c r="C13" s="108">
        <v>8.5299999999999994</v>
      </c>
      <c r="D13" s="108">
        <v>73.81</v>
      </c>
      <c r="E13" s="63">
        <v>50</v>
      </c>
      <c r="F13" s="108">
        <v>8.5500000000000007</v>
      </c>
      <c r="G13" s="108">
        <v>13.7</v>
      </c>
      <c r="J13" s="256"/>
      <c r="K13" s="66" t="s">
        <v>416</v>
      </c>
      <c r="L13" s="108">
        <v>8.5299999999999994</v>
      </c>
      <c r="M13" s="108">
        <v>73.81</v>
      </c>
      <c r="N13" s="108">
        <v>8.5500000000000007</v>
      </c>
      <c r="O13" s="108">
        <v>13.7</v>
      </c>
      <c r="Q13" s="255" t="s">
        <v>417</v>
      </c>
      <c r="R13" s="255"/>
      <c r="S13" s="255"/>
    </row>
    <row r="14" spans="1:19">
      <c r="A14" s="66" t="s">
        <v>418</v>
      </c>
      <c r="B14" s="63">
        <v>200</v>
      </c>
      <c r="C14" s="108">
        <v>8.07</v>
      </c>
      <c r="D14" s="108">
        <v>27.7</v>
      </c>
      <c r="E14" s="63">
        <v>50</v>
      </c>
      <c r="F14" s="108">
        <v>8.1300000000000008</v>
      </c>
      <c r="G14" s="108">
        <v>10.86</v>
      </c>
      <c r="J14" s="256"/>
      <c r="K14" s="66" t="s">
        <v>418</v>
      </c>
      <c r="L14" s="108">
        <v>8.07</v>
      </c>
      <c r="M14" s="108">
        <v>27.7</v>
      </c>
      <c r="N14" s="108">
        <v>8.1300000000000008</v>
      </c>
      <c r="O14" s="108">
        <v>10.86</v>
      </c>
      <c r="Q14" s="255"/>
      <c r="R14" s="255"/>
      <c r="S14" s="255"/>
    </row>
    <row r="15" spans="1:19">
      <c r="A15" s="66" t="s">
        <v>419</v>
      </c>
      <c r="B15" s="63">
        <v>200</v>
      </c>
      <c r="C15" s="108">
        <v>7.69</v>
      </c>
      <c r="D15" s="108">
        <v>21.21</v>
      </c>
      <c r="E15" s="63">
        <v>50</v>
      </c>
      <c r="F15" s="108">
        <v>7.69</v>
      </c>
      <c r="G15" s="108">
        <v>10.72</v>
      </c>
      <c r="J15" s="256"/>
      <c r="K15" s="66" t="s">
        <v>419</v>
      </c>
      <c r="L15" s="108">
        <v>7.69</v>
      </c>
      <c r="M15" s="108">
        <v>21.21</v>
      </c>
      <c r="N15" s="108">
        <v>7.69</v>
      </c>
      <c r="O15" s="108">
        <v>10.72</v>
      </c>
      <c r="Q15" s="255"/>
      <c r="R15" s="255"/>
      <c r="S15" s="255"/>
    </row>
    <row r="16" spans="1:19">
      <c r="A16" s="66" t="s">
        <v>420</v>
      </c>
      <c r="B16" s="63">
        <v>200</v>
      </c>
      <c r="C16" s="108">
        <v>10.65</v>
      </c>
      <c r="D16" s="108">
        <v>29.6</v>
      </c>
      <c r="E16" s="63">
        <v>50</v>
      </c>
      <c r="F16" s="108">
        <v>10.63</v>
      </c>
      <c r="G16" s="108">
        <v>15.46</v>
      </c>
      <c r="J16" s="256"/>
      <c r="K16" s="66" t="s">
        <v>420</v>
      </c>
      <c r="L16" s="108">
        <v>10.65</v>
      </c>
      <c r="M16" s="108">
        <v>29.6</v>
      </c>
      <c r="N16" s="108">
        <v>10.63</v>
      </c>
      <c r="O16" s="108">
        <v>15.46</v>
      </c>
      <c r="Q16" s="255"/>
      <c r="R16" s="255"/>
      <c r="S16" s="255"/>
    </row>
    <row r="17" spans="1:15">
      <c r="A17" s="66" t="s">
        <v>421</v>
      </c>
      <c r="B17" s="63">
        <v>200</v>
      </c>
      <c r="C17" s="108">
        <v>8.61</v>
      </c>
      <c r="D17" s="108">
        <v>43.37</v>
      </c>
      <c r="E17" s="63">
        <v>50</v>
      </c>
      <c r="F17" s="108">
        <v>8.61</v>
      </c>
      <c r="G17" s="108">
        <v>19.39</v>
      </c>
      <c r="J17" s="256"/>
      <c r="K17" s="66" t="s">
        <v>421</v>
      </c>
      <c r="L17" s="108">
        <v>8.61</v>
      </c>
      <c r="M17" s="108">
        <v>43.37</v>
      </c>
      <c r="N17" s="108">
        <v>8.61</v>
      </c>
      <c r="O17" s="108">
        <v>19.39</v>
      </c>
    </row>
    <row r="18" spans="1:15">
      <c r="A18" s="66" t="s">
        <v>422</v>
      </c>
      <c r="B18" s="63">
        <v>200</v>
      </c>
      <c r="C18" s="108">
        <v>7.66</v>
      </c>
      <c r="D18" s="108">
        <v>31.02</v>
      </c>
      <c r="E18" s="63">
        <v>50</v>
      </c>
      <c r="F18" s="108">
        <v>7.66</v>
      </c>
      <c r="G18" s="108">
        <v>10.039999999999999</v>
      </c>
      <c r="J18" s="256"/>
      <c r="K18" s="66" t="s">
        <v>422</v>
      </c>
      <c r="L18" s="108">
        <v>7.66</v>
      </c>
      <c r="M18" s="108">
        <v>31.02</v>
      </c>
      <c r="N18" s="108">
        <v>7.66</v>
      </c>
      <c r="O18" s="108">
        <v>10.039999999999999</v>
      </c>
    </row>
    <row r="19" spans="1:15">
      <c r="C19" s="107"/>
      <c r="J19" s="256"/>
      <c r="K19" s="62" t="s">
        <v>423</v>
      </c>
      <c r="L19" s="106">
        <f>AVERAGE(L7:L18)</f>
        <v>7.6700000000000008</v>
      </c>
      <c r="M19" s="62">
        <f>MAX(M7:M18)</f>
        <v>73.81</v>
      </c>
      <c r="N19" s="106">
        <f>AVERAGE(N7:N18)</f>
        <v>7.7474999999999996</v>
      </c>
      <c r="O19" s="62">
        <f>MAX(O7:O18)</f>
        <v>19.39</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71" t="s">
        <v>428</v>
      </c>
      <c r="B49" s="272"/>
      <c r="C49" s="272"/>
      <c r="D49" s="272"/>
      <c r="E49" s="272"/>
      <c r="F49" s="272"/>
      <c r="G49" s="273"/>
      <c r="J49" s="256"/>
      <c r="K49" s="62" t="s">
        <v>423</v>
      </c>
      <c r="L49" s="62" t="e">
        <f>AVERAGE(L37:L48)</f>
        <v>#DIV/0!</v>
      </c>
      <c r="M49" s="62">
        <f>MAX(M37:M48)</f>
        <v>0</v>
      </c>
      <c r="N49" s="62" t="e">
        <f>AVERAGE(N37:N48)</f>
        <v>#DIV/0!</v>
      </c>
      <c r="O49" s="62">
        <f>MAX(O37:O48)</f>
        <v>0</v>
      </c>
    </row>
    <row r="50" spans="1:15">
      <c r="A50" s="274"/>
      <c r="B50" s="275"/>
      <c r="C50" s="275"/>
      <c r="D50" s="275"/>
      <c r="E50" s="275"/>
      <c r="F50" s="275"/>
      <c r="G50" s="276"/>
    </row>
    <row r="51" spans="1:15" ht="41.45">
      <c r="A51" s="274"/>
      <c r="B51" s="275"/>
      <c r="C51" s="275"/>
      <c r="D51" s="275"/>
      <c r="E51" s="275"/>
      <c r="F51" s="275"/>
      <c r="G51" s="276"/>
      <c r="J51" s="61">
        <f>+A6</f>
        <v>2022</v>
      </c>
      <c r="K51" s="61" t="s">
        <v>405</v>
      </c>
      <c r="L51" s="67" t="s">
        <v>400</v>
      </c>
      <c r="M51" s="67" t="s">
        <v>406</v>
      </c>
      <c r="N51" s="67" t="s">
        <v>403</v>
      </c>
      <c r="O51" s="67" t="s">
        <v>407</v>
      </c>
    </row>
    <row r="52" spans="1:15">
      <c r="A52" s="277"/>
      <c r="B52" s="278"/>
      <c r="C52" s="278"/>
      <c r="D52" s="278"/>
      <c r="E52" s="278"/>
      <c r="F52" s="278"/>
      <c r="G52" s="279"/>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A3" zoomScale="175" zoomScaleNormal="175"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c r="F1" s="92"/>
    </row>
    <row r="3" spans="1:19" ht="14.45">
      <c r="A3" s="60" t="s">
        <v>429</v>
      </c>
      <c r="D3" s="76" t="s">
        <v>392</v>
      </c>
      <c r="G3" s="79" t="s">
        <v>393</v>
      </c>
      <c r="J3" s="9" t="str">
        <f>+A3</f>
        <v>Monitoring of Oxides of Nitrogen emissions</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430</v>
      </c>
      <c r="C6" s="55" t="s">
        <v>400</v>
      </c>
      <c r="D6" s="55" t="s">
        <v>401</v>
      </c>
      <c r="E6" s="55" t="s">
        <v>431</v>
      </c>
      <c r="F6" s="55" t="s">
        <v>403</v>
      </c>
      <c r="G6" s="55" t="s">
        <v>404</v>
      </c>
      <c r="H6" s="59"/>
      <c r="J6" s="61">
        <f>+A6</f>
        <v>2022</v>
      </c>
      <c r="K6" s="61" t="s">
        <v>405</v>
      </c>
      <c r="L6" s="67" t="s">
        <v>400</v>
      </c>
      <c r="M6" s="67" t="s">
        <v>406</v>
      </c>
      <c r="N6" s="67" t="s">
        <v>403</v>
      </c>
      <c r="O6" s="67" t="s">
        <v>407</v>
      </c>
      <c r="Q6" s="247"/>
      <c r="R6" s="247"/>
      <c r="S6" s="247"/>
    </row>
    <row r="7" spans="1:19">
      <c r="A7" s="66" t="s">
        <v>408</v>
      </c>
      <c r="B7" s="63">
        <v>400</v>
      </c>
      <c r="C7" s="108">
        <v>182.87</v>
      </c>
      <c r="D7" s="108">
        <v>199.23</v>
      </c>
      <c r="E7" s="63">
        <v>200</v>
      </c>
      <c r="F7" s="108">
        <v>182.88</v>
      </c>
      <c r="G7" s="108">
        <v>188.44</v>
      </c>
      <c r="J7" s="256" t="s">
        <v>195</v>
      </c>
      <c r="K7" s="66" t="s">
        <v>408</v>
      </c>
      <c r="L7" s="108">
        <v>182.87</v>
      </c>
      <c r="M7" s="108">
        <v>199.23</v>
      </c>
      <c r="N7" s="108">
        <v>182.88</v>
      </c>
      <c r="O7" s="108">
        <v>188.44</v>
      </c>
      <c r="Q7" s="247"/>
      <c r="R7" s="247"/>
      <c r="S7" s="247"/>
    </row>
    <row r="8" spans="1:19">
      <c r="A8" s="66" t="s">
        <v>409</v>
      </c>
      <c r="B8" s="63">
        <v>400</v>
      </c>
      <c r="C8" s="108">
        <v>187.05</v>
      </c>
      <c r="D8" s="108">
        <v>199.36</v>
      </c>
      <c r="E8" s="63">
        <v>200</v>
      </c>
      <c r="F8" s="108">
        <v>187.05</v>
      </c>
      <c r="G8" s="108">
        <v>190.92</v>
      </c>
      <c r="J8" s="256"/>
      <c r="K8" s="66" t="s">
        <v>409</v>
      </c>
      <c r="L8" s="108">
        <v>187.05</v>
      </c>
      <c r="M8" s="108">
        <v>199.36</v>
      </c>
      <c r="N8" s="108">
        <v>187.05</v>
      </c>
      <c r="O8" s="108">
        <v>190.92</v>
      </c>
      <c r="Q8" s="247"/>
      <c r="R8" s="247"/>
      <c r="S8" s="247"/>
    </row>
    <row r="9" spans="1:19">
      <c r="A9" s="66" t="s">
        <v>410</v>
      </c>
      <c r="B9" s="63">
        <v>400</v>
      </c>
      <c r="C9" s="108">
        <v>188.33</v>
      </c>
      <c r="D9" s="108">
        <v>215.24</v>
      </c>
      <c r="E9" s="63">
        <v>200</v>
      </c>
      <c r="F9" s="108">
        <v>188.34</v>
      </c>
      <c r="G9" s="108">
        <v>194.62</v>
      </c>
      <c r="J9" s="256"/>
      <c r="K9" s="66" t="s">
        <v>410</v>
      </c>
      <c r="L9" s="108">
        <v>188.33</v>
      </c>
      <c r="M9" s="108">
        <v>215.24</v>
      </c>
      <c r="N9" s="108">
        <v>188.34</v>
      </c>
      <c r="O9" s="108">
        <v>194.62</v>
      </c>
      <c r="Q9" s="77" t="s">
        <v>411</v>
      </c>
    </row>
    <row r="10" spans="1:19" ht="14.25" customHeight="1">
      <c r="A10" s="66" t="s">
        <v>412</v>
      </c>
      <c r="B10" s="63">
        <v>400</v>
      </c>
      <c r="C10" s="108">
        <v>187.21</v>
      </c>
      <c r="D10" s="108">
        <v>211.02</v>
      </c>
      <c r="E10" s="63">
        <v>200</v>
      </c>
      <c r="F10" s="108">
        <v>186.97</v>
      </c>
      <c r="G10" s="108">
        <v>192.92</v>
      </c>
      <c r="J10" s="256"/>
      <c r="K10" s="66" t="s">
        <v>412</v>
      </c>
      <c r="L10" s="108">
        <v>187.21</v>
      </c>
      <c r="M10" s="108">
        <v>211.02</v>
      </c>
      <c r="N10" s="108">
        <v>186.97</v>
      </c>
      <c r="O10" s="108">
        <v>192.92</v>
      </c>
      <c r="Q10" s="255" t="s">
        <v>413</v>
      </c>
      <c r="R10" s="255"/>
      <c r="S10" s="255"/>
    </row>
    <row r="11" spans="1:19">
      <c r="A11" s="66" t="s">
        <v>414</v>
      </c>
      <c r="B11" s="63">
        <v>400</v>
      </c>
      <c r="C11" s="108">
        <v>188.96</v>
      </c>
      <c r="D11" s="108">
        <v>203.41</v>
      </c>
      <c r="E11" s="63">
        <v>200</v>
      </c>
      <c r="F11" s="108">
        <v>188.96</v>
      </c>
      <c r="G11" s="108">
        <v>193.17</v>
      </c>
      <c r="J11" s="256"/>
      <c r="K11" s="66" t="s">
        <v>414</v>
      </c>
      <c r="L11" s="108">
        <v>188.96</v>
      </c>
      <c r="M11" s="108">
        <v>203.41</v>
      </c>
      <c r="N11" s="108">
        <v>188.96</v>
      </c>
      <c r="O11" s="108">
        <v>193.17</v>
      </c>
      <c r="Q11" s="255"/>
      <c r="R11" s="255"/>
      <c r="S11" s="255"/>
    </row>
    <row r="12" spans="1:19">
      <c r="A12" s="66" t="s">
        <v>415</v>
      </c>
      <c r="B12" s="63">
        <v>400</v>
      </c>
      <c r="C12" s="108">
        <v>182.39</v>
      </c>
      <c r="D12" s="108">
        <v>206.36</v>
      </c>
      <c r="E12" s="63">
        <v>200</v>
      </c>
      <c r="F12" s="108">
        <v>182.91</v>
      </c>
      <c r="G12" s="108">
        <v>190.61</v>
      </c>
      <c r="J12" s="256"/>
      <c r="K12" s="66" t="s">
        <v>415</v>
      </c>
      <c r="L12" s="108">
        <v>182.39</v>
      </c>
      <c r="M12" s="108">
        <v>206.36</v>
      </c>
      <c r="N12" s="108">
        <v>182.91</v>
      </c>
      <c r="O12" s="108">
        <v>190.61</v>
      </c>
      <c r="Q12" s="255"/>
      <c r="R12" s="255"/>
      <c r="S12" s="255"/>
    </row>
    <row r="13" spans="1:19" ht="14.25" customHeight="1">
      <c r="A13" s="66" t="s">
        <v>416</v>
      </c>
      <c r="B13" s="63">
        <v>400</v>
      </c>
      <c r="C13" s="108">
        <v>167.57</v>
      </c>
      <c r="D13" s="108">
        <v>201.16</v>
      </c>
      <c r="E13" s="63">
        <v>200</v>
      </c>
      <c r="F13" s="108">
        <v>167.44</v>
      </c>
      <c r="G13" s="108">
        <v>192.9</v>
      </c>
      <c r="J13" s="256"/>
      <c r="K13" s="66" t="s">
        <v>416</v>
      </c>
      <c r="L13" s="108">
        <v>167.57</v>
      </c>
      <c r="M13" s="108">
        <v>201.16</v>
      </c>
      <c r="N13" s="108">
        <v>167.44</v>
      </c>
      <c r="O13" s="108">
        <v>192.9</v>
      </c>
      <c r="Q13" s="255" t="s">
        <v>417</v>
      </c>
      <c r="R13" s="255"/>
      <c r="S13" s="255"/>
    </row>
    <row r="14" spans="1:19">
      <c r="A14" s="66" t="s">
        <v>418</v>
      </c>
      <c r="B14" s="63">
        <v>400</v>
      </c>
      <c r="C14" s="108">
        <v>190.34</v>
      </c>
      <c r="D14" s="108">
        <v>247.39</v>
      </c>
      <c r="E14" s="63">
        <v>200</v>
      </c>
      <c r="F14" s="108">
        <v>190.41</v>
      </c>
      <c r="G14" s="108">
        <v>195.42</v>
      </c>
      <c r="J14" s="256"/>
      <c r="K14" s="66" t="s">
        <v>418</v>
      </c>
      <c r="L14" s="108">
        <v>190.34</v>
      </c>
      <c r="M14" s="108">
        <v>247.39</v>
      </c>
      <c r="N14" s="108">
        <v>190.41</v>
      </c>
      <c r="O14" s="108">
        <v>195.42</v>
      </c>
      <c r="Q14" s="255"/>
      <c r="R14" s="255"/>
      <c r="S14" s="255"/>
    </row>
    <row r="15" spans="1:19">
      <c r="A15" s="66" t="s">
        <v>419</v>
      </c>
      <c r="B15" s="63">
        <v>400</v>
      </c>
      <c r="C15" s="108">
        <v>194.74</v>
      </c>
      <c r="D15" s="108">
        <v>213.91</v>
      </c>
      <c r="E15" s="63">
        <v>200</v>
      </c>
      <c r="F15" s="108">
        <v>194.74</v>
      </c>
      <c r="G15" s="108">
        <v>198.94</v>
      </c>
      <c r="J15" s="256"/>
      <c r="K15" s="66" t="s">
        <v>419</v>
      </c>
      <c r="L15" s="108">
        <v>194.74</v>
      </c>
      <c r="M15" s="108">
        <v>213.91</v>
      </c>
      <c r="N15" s="108">
        <v>194.74</v>
      </c>
      <c r="O15" s="108">
        <v>198.94</v>
      </c>
      <c r="Q15" s="255"/>
      <c r="R15" s="255"/>
      <c r="S15" s="255"/>
    </row>
    <row r="16" spans="1:19">
      <c r="A16" s="66" t="s">
        <v>420</v>
      </c>
      <c r="B16" s="63">
        <v>400</v>
      </c>
      <c r="C16" s="108">
        <v>194.65</v>
      </c>
      <c r="D16" s="108">
        <v>219.02</v>
      </c>
      <c r="E16" s="63">
        <v>200</v>
      </c>
      <c r="F16" s="108">
        <v>194.71</v>
      </c>
      <c r="G16" s="108">
        <v>196.89</v>
      </c>
      <c r="J16" s="256"/>
      <c r="K16" s="66" t="s">
        <v>420</v>
      </c>
      <c r="L16" s="108">
        <v>194.65</v>
      </c>
      <c r="M16" s="108">
        <v>219.02</v>
      </c>
      <c r="N16" s="108">
        <v>194.71</v>
      </c>
      <c r="O16" s="108">
        <v>196.89</v>
      </c>
      <c r="Q16" s="255"/>
      <c r="R16" s="255"/>
      <c r="S16" s="255"/>
    </row>
    <row r="17" spans="1:15">
      <c r="A17" s="66" t="s">
        <v>421</v>
      </c>
      <c r="B17" s="63">
        <v>400</v>
      </c>
      <c r="C17" s="108">
        <v>188.51</v>
      </c>
      <c r="D17" s="108">
        <v>233.82</v>
      </c>
      <c r="E17" s="63">
        <v>200</v>
      </c>
      <c r="F17" s="108">
        <v>188.51</v>
      </c>
      <c r="G17" s="108">
        <v>195.85</v>
      </c>
      <c r="J17" s="256"/>
      <c r="K17" s="66" t="s">
        <v>421</v>
      </c>
      <c r="L17" s="108">
        <v>188.51</v>
      </c>
      <c r="M17" s="108">
        <v>233.82</v>
      </c>
      <c r="N17" s="108">
        <v>188.51</v>
      </c>
      <c r="O17" s="108">
        <v>195.85</v>
      </c>
    </row>
    <row r="18" spans="1:15">
      <c r="A18" s="66" t="s">
        <v>422</v>
      </c>
      <c r="B18" s="63">
        <v>400</v>
      </c>
      <c r="C18" s="108">
        <v>180.63</v>
      </c>
      <c r="D18" s="108">
        <v>225.37</v>
      </c>
      <c r="E18" s="63">
        <v>200</v>
      </c>
      <c r="F18" s="108">
        <v>180.63</v>
      </c>
      <c r="G18" s="108">
        <v>188.59</v>
      </c>
      <c r="J18" s="256"/>
      <c r="K18" s="66" t="s">
        <v>422</v>
      </c>
      <c r="L18" s="108">
        <v>180.63</v>
      </c>
      <c r="M18" s="108">
        <v>225.37</v>
      </c>
      <c r="N18" s="108">
        <v>180.63</v>
      </c>
      <c r="O18" s="108">
        <v>188.59</v>
      </c>
    </row>
    <row r="19" spans="1:15">
      <c r="J19" s="256"/>
      <c r="K19" s="62" t="s">
        <v>423</v>
      </c>
      <c r="L19" s="106">
        <f>AVERAGE(L7:L18)</f>
        <v>186.10416666666666</v>
      </c>
      <c r="M19" s="62">
        <f>MAX(M7:M18)</f>
        <v>247.39</v>
      </c>
      <c r="N19" s="106">
        <f>AVERAGE(N7:N18)</f>
        <v>186.12916666666669</v>
      </c>
      <c r="O19" s="62">
        <f>MAX(O7:O18)</f>
        <v>198.94</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59" t="s">
        <v>432</v>
      </c>
      <c r="B49" s="272"/>
      <c r="C49" s="272"/>
      <c r="D49" s="272"/>
      <c r="E49" s="272"/>
      <c r="F49" s="272"/>
      <c r="G49" s="273"/>
      <c r="J49" s="256"/>
      <c r="K49" s="62" t="s">
        <v>423</v>
      </c>
      <c r="L49" s="62" t="e">
        <f>AVERAGE(L37:L48)</f>
        <v>#DIV/0!</v>
      </c>
      <c r="M49" s="62">
        <f>MAX(M37:M48)</f>
        <v>0</v>
      </c>
      <c r="N49" s="62" t="e">
        <f>AVERAGE(N37:N48)</f>
        <v>#DIV/0!</v>
      </c>
      <c r="O49" s="62">
        <f>MAX(O37:O48)</f>
        <v>0</v>
      </c>
    </row>
    <row r="50" spans="1:15">
      <c r="A50" s="274"/>
      <c r="B50" s="275"/>
      <c r="C50" s="275"/>
      <c r="D50" s="275"/>
      <c r="E50" s="275"/>
      <c r="F50" s="275"/>
      <c r="G50" s="276"/>
    </row>
    <row r="51" spans="1:15" ht="41.45">
      <c r="A51" s="274"/>
      <c r="B51" s="275"/>
      <c r="C51" s="275"/>
      <c r="D51" s="275"/>
      <c r="E51" s="275"/>
      <c r="F51" s="275"/>
      <c r="G51" s="276"/>
      <c r="J51" s="61">
        <f>+A6</f>
        <v>2022</v>
      </c>
      <c r="K51" s="61" t="s">
        <v>405</v>
      </c>
      <c r="L51" s="67" t="s">
        <v>400</v>
      </c>
      <c r="M51" s="67" t="s">
        <v>406</v>
      </c>
      <c r="N51" s="67" t="s">
        <v>403</v>
      </c>
      <c r="O51" s="67" t="s">
        <v>407</v>
      </c>
    </row>
    <row r="52" spans="1:15">
      <c r="A52" s="277"/>
      <c r="B52" s="278"/>
      <c r="C52" s="278"/>
      <c r="D52" s="278"/>
      <c r="E52" s="278"/>
      <c r="F52" s="278"/>
      <c r="G52" s="279"/>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row>
    <row r="3" spans="1:19" ht="14.45">
      <c r="A3" s="60" t="s">
        <v>433</v>
      </c>
      <c r="D3" s="76" t="s">
        <v>392</v>
      </c>
      <c r="G3" s="79" t="s">
        <v>393</v>
      </c>
      <c r="J3" s="9" t="str">
        <f>+A3</f>
        <v>Monitoring of Total organic carbon emissions</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434</v>
      </c>
      <c r="C6" s="55" t="s">
        <v>400</v>
      </c>
      <c r="D6" s="55" t="s">
        <v>401</v>
      </c>
      <c r="E6" s="55" t="s">
        <v>435</v>
      </c>
      <c r="F6" s="55" t="s">
        <v>403</v>
      </c>
      <c r="G6" s="55" t="s">
        <v>404</v>
      </c>
      <c r="H6" s="59"/>
      <c r="J6" s="61">
        <f>+A6</f>
        <v>2022</v>
      </c>
      <c r="K6" s="61" t="s">
        <v>405</v>
      </c>
      <c r="L6" s="67" t="s">
        <v>400</v>
      </c>
      <c r="M6" s="67" t="s">
        <v>406</v>
      </c>
      <c r="N6" s="67" t="s">
        <v>403</v>
      </c>
      <c r="O6" s="67" t="s">
        <v>407</v>
      </c>
      <c r="Q6" s="247"/>
      <c r="R6" s="247"/>
      <c r="S6" s="247"/>
    </row>
    <row r="7" spans="1:19">
      <c r="A7" s="66" t="s">
        <v>408</v>
      </c>
      <c r="B7" s="63">
        <v>20</v>
      </c>
      <c r="C7" s="108">
        <v>0.14000000000000001</v>
      </c>
      <c r="D7" s="108">
        <v>0.78</v>
      </c>
      <c r="E7" s="63">
        <v>10</v>
      </c>
      <c r="F7" s="108">
        <v>0.14000000000000001</v>
      </c>
      <c r="G7" s="108">
        <v>0.38</v>
      </c>
      <c r="J7" s="256" t="s">
        <v>195</v>
      </c>
      <c r="K7" s="66" t="s">
        <v>408</v>
      </c>
      <c r="L7" s="108">
        <v>0.14000000000000001</v>
      </c>
      <c r="M7" s="108">
        <v>0.78</v>
      </c>
      <c r="N7" s="108">
        <v>0.14000000000000001</v>
      </c>
      <c r="O7" s="108">
        <v>0.38</v>
      </c>
      <c r="Q7" s="247"/>
      <c r="R7" s="247"/>
      <c r="S7" s="247"/>
    </row>
    <row r="8" spans="1:19">
      <c r="A8" s="66" t="s">
        <v>409</v>
      </c>
      <c r="B8" s="63">
        <v>20</v>
      </c>
      <c r="C8" s="108">
        <v>0.26</v>
      </c>
      <c r="D8" s="108">
        <v>0.7</v>
      </c>
      <c r="E8" s="63">
        <v>10</v>
      </c>
      <c r="F8" s="108">
        <v>0.26</v>
      </c>
      <c r="G8" s="108">
        <v>0.45</v>
      </c>
      <c r="J8" s="256"/>
      <c r="K8" s="66" t="s">
        <v>409</v>
      </c>
      <c r="L8" s="108">
        <v>0.26</v>
      </c>
      <c r="M8" s="108">
        <v>0.7</v>
      </c>
      <c r="N8" s="108">
        <v>0.26</v>
      </c>
      <c r="O8" s="108">
        <v>0.45</v>
      </c>
      <c r="Q8" s="247"/>
      <c r="R8" s="247"/>
      <c r="S8" s="247"/>
    </row>
    <row r="9" spans="1:19">
      <c r="A9" s="66" t="s">
        <v>410</v>
      </c>
      <c r="B9" s="63">
        <v>20</v>
      </c>
      <c r="C9" s="108">
        <v>0.48</v>
      </c>
      <c r="D9" s="108">
        <v>0.96</v>
      </c>
      <c r="E9" s="63">
        <v>10</v>
      </c>
      <c r="F9" s="108">
        <v>0.48</v>
      </c>
      <c r="G9" s="108">
        <v>0.75</v>
      </c>
      <c r="J9" s="256"/>
      <c r="K9" s="66" t="s">
        <v>410</v>
      </c>
      <c r="L9" s="108">
        <v>0.48</v>
      </c>
      <c r="M9" s="108">
        <v>0.96</v>
      </c>
      <c r="N9" s="108">
        <v>0.48</v>
      </c>
      <c r="O9" s="108">
        <v>0.75</v>
      </c>
      <c r="Q9" s="77" t="s">
        <v>411</v>
      </c>
    </row>
    <row r="10" spans="1:19" ht="14.25" customHeight="1">
      <c r="A10" s="66" t="s">
        <v>412</v>
      </c>
      <c r="B10" s="63">
        <v>20</v>
      </c>
      <c r="C10" s="108">
        <v>0.27</v>
      </c>
      <c r="D10" s="108">
        <v>0.8</v>
      </c>
      <c r="E10" s="63">
        <v>10</v>
      </c>
      <c r="F10" s="108">
        <v>0.26</v>
      </c>
      <c r="G10" s="108">
        <v>0.62</v>
      </c>
      <c r="J10" s="256"/>
      <c r="K10" s="66" t="s">
        <v>412</v>
      </c>
      <c r="L10" s="108">
        <v>0.27</v>
      </c>
      <c r="M10" s="108">
        <v>0.8</v>
      </c>
      <c r="N10" s="108">
        <v>0.26</v>
      </c>
      <c r="O10" s="108">
        <v>0.62</v>
      </c>
      <c r="Q10" s="255" t="s">
        <v>413</v>
      </c>
      <c r="R10" s="255"/>
      <c r="S10" s="255"/>
    </row>
    <row r="11" spans="1:19">
      <c r="A11" s="66" t="s">
        <v>414</v>
      </c>
      <c r="B11" s="63">
        <v>20</v>
      </c>
      <c r="C11" s="108">
        <v>0.25</v>
      </c>
      <c r="D11" s="108">
        <v>0.65</v>
      </c>
      <c r="E11" s="63">
        <v>10</v>
      </c>
      <c r="F11" s="108">
        <v>0.25</v>
      </c>
      <c r="G11" s="108">
        <v>0.4</v>
      </c>
      <c r="J11" s="256"/>
      <c r="K11" s="66" t="s">
        <v>414</v>
      </c>
      <c r="L11" s="108">
        <v>0.25</v>
      </c>
      <c r="M11" s="108">
        <v>0.65</v>
      </c>
      <c r="N11" s="108">
        <v>0.25</v>
      </c>
      <c r="O11" s="108">
        <v>0.4</v>
      </c>
      <c r="Q11" s="255"/>
      <c r="R11" s="255"/>
      <c r="S11" s="255"/>
    </row>
    <row r="12" spans="1:19">
      <c r="A12" s="66" t="s">
        <v>415</v>
      </c>
      <c r="B12" s="63">
        <v>20</v>
      </c>
      <c r="C12" s="108">
        <v>0.36</v>
      </c>
      <c r="D12" s="108">
        <v>0.72</v>
      </c>
      <c r="E12" s="63">
        <v>10</v>
      </c>
      <c r="F12" s="108">
        <v>0.36</v>
      </c>
      <c r="G12" s="108">
        <v>0.43</v>
      </c>
      <c r="J12" s="256"/>
      <c r="K12" s="66" t="s">
        <v>415</v>
      </c>
      <c r="L12" s="108">
        <v>0.36</v>
      </c>
      <c r="M12" s="108">
        <v>0.72</v>
      </c>
      <c r="N12" s="108">
        <v>0.36</v>
      </c>
      <c r="O12" s="108">
        <v>0.43</v>
      </c>
      <c r="Q12" s="255"/>
      <c r="R12" s="255"/>
      <c r="S12" s="255"/>
    </row>
    <row r="13" spans="1:19" ht="14.25" customHeight="1">
      <c r="A13" s="66" t="s">
        <v>416</v>
      </c>
      <c r="B13" s="63">
        <v>20</v>
      </c>
      <c r="C13" s="108">
        <v>0.18</v>
      </c>
      <c r="D13" s="108">
        <v>1.56</v>
      </c>
      <c r="E13" s="63">
        <v>10</v>
      </c>
      <c r="F13" s="108">
        <v>0.17</v>
      </c>
      <c r="G13" s="108">
        <v>0.59</v>
      </c>
      <c r="J13" s="256"/>
      <c r="K13" s="66" t="s">
        <v>416</v>
      </c>
      <c r="L13" s="108">
        <v>0.18</v>
      </c>
      <c r="M13" s="108">
        <v>1.56</v>
      </c>
      <c r="N13" s="108">
        <v>0.17</v>
      </c>
      <c r="O13" s="108">
        <v>0.59</v>
      </c>
      <c r="Q13" s="255" t="s">
        <v>417</v>
      </c>
      <c r="R13" s="255"/>
      <c r="S13" s="255"/>
    </row>
    <row r="14" spans="1:19">
      <c r="A14" s="66" t="s">
        <v>418</v>
      </c>
      <c r="B14" s="63">
        <v>20</v>
      </c>
      <c r="C14" s="108">
        <v>0.24</v>
      </c>
      <c r="D14" s="108">
        <v>0.91</v>
      </c>
      <c r="E14" s="63">
        <v>10</v>
      </c>
      <c r="F14" s="108">
        <v>0.23</v>
      </c>
      <c r="G14" s="108">
        <v>0.61</v>
      </c>
      <c r="J14" s="256"/>
      <c r="K14" s="66" t="s">
        <v>418</v>
      </c>
      <c r="L14" s="108">
        <v>0.24</v>
      </c>
      <c r="M14" s="108">
        <v>0.91</v>
      </c>
      <c r="N14" s="108">
        <v>0.23</v>
      </c>
      <c r="O14" s="108">
        <v>0.61</v>
      </c>
      <c r="Q14" s="255"/>
      <c r="R14" s="255"/>
      <c r="S14" s="255"/>
    </row>
    <row r="15" spans="1:19">
      <c r="A15" s="66" t="s">
        <v>419</v>
      </c>
      <c r="B15" s="63">
        <v>20</v>
      </c>
      <c r="C15" s="108">
        <v>0.43</v>
      </c>
      <c r="D15" s="108">
        <v>4.8600000000000003</v>
      </c>
      <c r="E15" s="63">
        <v>10</v>
      </c>
      <c r="F15" s="108">
        <v>0.43</v>
      </c>
      <c r="G15" s="108">
        <v>0.7</v>
      </c>
      <c r="J15" s="256"/>
      <c r="K15" s="66" t="s">
        <v>419</v>
      </c>
      <c r="L15" s="108">
        <v>0.43</v>
      </c>
      <c r="M15" s="108">
        <v>4.8600000000000003</v>
      </c>
      <c r="N15" s="108">
        <v>0.43</v>
      </c>
      <c r="O15" s="108">
        <v>0.7</v>
      </c>
      <c r="Q15" s="255"/>
      <c r="R15" s="255"/>
      <c r="S15" s="255"/>
    </row>
    <row r="16" spans="1:19">
      <c r="A16" s="66" t="s">
        <v>420</v>
      </c>
      <c r="B16" s="63">
        <v>20</v>
      </c>
      <c r="C16" s="108">
        <v>0.5</v>
      </c>
      <c r="D16" s="108">
        <v>4.01</v>
      </c>
      <c r="E16" s="63">
        <v>10</v>
      </c>
      <c r="F16" s="108">
        <v>0.5</v>
      </c>
      <c r="G16" s="108">
        <v>0.56000000000000005</v>
      </c>
      <c r="J16" s="256"/>
      <c r="K16" s="66" t="s">
        <v>420</v>
      </c>
      <c r="L16" s="108">
        <v>0.5</v>
      </c>
      <c r="M16" s="108">
        <v>4.01</v>
      </c>
      <c r="N16" s="108">
        <v>0.5</v>
      </c>
      <c r="O16" s="108">
        <v>0.56000000000000005</v>
      </c>
      <c r="Q16" s="255"/>
      <c r="R16" s="255"/>
      <c r="S16" s="255"/>
    </row>
    <row r="17" spans="1:15">
      <c r="A17" s="66" t="s">
        <v>421</v>
      </c>
      <c r="B17" s="63">
        <v>20</v>
      </c>
      <c r="C17" s="108">
        <v>0.48</v>
      </c>
      <c r="D17" s="108">
        <v>3.08</v>
      </c>
      <c r="E17" s="63">
        <v>10</v>
      </c>
      <c r="F17" s="108">
        <v>0.48</v>
      </c>
      <c r="G17" s="108">
        <v>0.6</v>
      </c>
      <c r="J17" s="256"/>
      <c r="K17" s="66" t="s">
        <v>421</v>
      </c>
      <c r="L17" s="108">
        <v>0.48</v>
      </c>
      <c r="M17" s="108">
        <v>3.08</v>
      </c>
      <c r="N17" s="108">
        <v>0.48</v>
      </c>
      <c r="O17" s="108">
        <v>0.6</v>
      </c>
    </row>
    <row r="18" spans="1:15">
      <c r="A18" s="66" t="s">
        <v>422</v>
      </c>
      <c r="B18" s="63">
        <v>20</v>
      </c>
      <c r="C18" s="108">
        <v>0.51</v>
      </c>
      <c r="D18" s="108">
        <v>1.45</v>
      </c>
      <c r="E18" s="63">
        <v>10</v>
      </c>
      <c r="F18" s="108">
        <v>0.51</v>
      </c>
      <c r="G18" s="108">
        <v>0.64</v>
      </c>
      <c r="J18" s="256"/>
      <c r="K18" s="66" t="s">
        <v>422</v>
      </c>
      <c r="L18" s="108">
        <v>0.51</v>
      </c>
      <c r="M18" s="108">
        <v>1.45</v>
      </c>
      <c r="N18" s="108">
        <v>0.51</v>
      </c>
      <c r="O18" s="108">
        <v>0.64</v>
      </c>
    </row>
    <row r="19" spans="1:15">
      <c r="J19" s="256"/>
      <c r="K19" s="62" t="s">
        <v>423</v>
      </c>
      <c r="L19" s="106">
        <f>AVERAGE(L7:L18)</f>
        <v>0.34166666666666662</v>
      </c>
      <c r="M19" s="62">
        <f>MAX(M7:M18)</f>
        <v>4.8600000000000003</v>
      </c>
      <c r="N19" s="106">
        <f>AVERAGE(N7:N18)</f>
        <v>0.33916666666666667</v>
      </c>
      <c r="O19" s="62">
        <f>MAX(O7:O18)</f>
        <v>0.75</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80" t="s">
        <v>436</v>
      </c>
      <c r="B49" s="281"/>
      <c r="C49" s="281"/>
      <c r="D49" s="281"/>
      <c r="E49" s="281"/>
      <c r="F49" s="281"/>
      <c r="G49" s="282"/>
      <c r="J49" s="256"/>
      <c r="K49" s="62" t="s">
        <v>423</v>
      </c>
      <c r="L49" s="62" t="e">
        <f>AVERAGE(L37:L48)</f>
        <v>#DIV/0!</v>
      </c>
      <c r="M49" s="62">
        <f>MAX(M37:M48)</f>
        <v>0</v>
      </c>
      <c r="N49" s="62" t="e">
        <f>AVERAGE(N37:N48)</f>
        <v>#DIV/0!</v>
      </c>
      <c r="O49" s="62">
        <f>MAX(O37:O48)</f>
        <v>0</v>
      </c>
    </row>
    <row r="50" spans="1:15">
      <c r="A50" s="283"/>
      <c r="B50" s="284"/>
      <c r="C50" s="284"/>
      <c r="D50" s="284"/>
      <c r="E50" s="284"/>
      <c r="F50" s="284"/>
      <c r="G50" s="285"/>
    </row>
    <row r="51" spans="1:15" ht="41.45">
      <c r="A51" s="283"/>
      <c r="B51" s="284"/>
      <c r="C51" s="284"/>
      <c r="D51" s="284"/>
      <c r="E51" s="284"/>
      <c r="F51" s="284"/>
      <c r="G51" s="285"/>
      <c r="J51" s="61">
        <f>+A6</f>
        <v>2022</v>
      </c>
      <c r="K51" s="61" t="s">
        <v>405</v>
      </c>
      <c r="L51" s="67" t="s">
        <v>400</v>
      </c>
      <c r="M51" s="67" t="s">
        <v>406</v>
      </c>
      <c r="N51" s="67" t="s">
        <v>403</v>
      </c>
      <c r="O51" s="67" t="s">
        <v>407</v>
      </c>
    </row>
    <row r="52" spans="1:15">
      <c r="A52" s="286"/>
      <c r="B52" s="287"/>
      <c r="C52" s="287"/>
      <c r="D52" s="287"/>
      <c r="E52" s="287"/>
      <c r="F52" s="287"/>
      <c r="G52" s="288"/>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58"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row>
    <row r="3" spans="1:19" ht="14.45">
      <c r="A3" s="60" t="s">
        <v>437</v>
      </c>
      <c r="D3" s="76" t="s">
        <v>392</v>
      </c>
      <c r="G3" s="79" t="s">
        <v>393</v>
      </c>
      <c r="J3" s="9" t="str">
        <f>+A3</f>
        <v>Monitoring of Particulate matter emissions</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438</v>
      </c>
      <c r="C6" s="55" t="s">
        <v>400</v>
      </c>
      <c r="D6" s="55" t="s">
        <v>401</v>
      </c>
      <c r="E6" s="55" t="s">
        <v>439</v>
      </c>
      <c r="F6" s="55" t="s">
        <v>403</v>
      </c>
      <c r="G6" s="55" t="s">
        <v>404</v>
      </c>
      <c r="H6" s="59"/>
      <c r="J6" s="61">
        <f>+A6</f>
        <v>2022</v>
      </c>
      <c r="K6" s="61" t="s">
        <v>405</v>
      </c>
      <c r="L6" s="67" t="s">
        <v>400</v>
      </c>
      <c r="M6" s="67" t="s">
        <v>406</v>
      </c>
      <c r="N6" s="67" t="s">
        <v>403</v>
      </c>
      <c r="O6" s="67" t="s">
        <v>407</v>
      </c>
      <c r="Q6" s="247"/>
      <c r="R6" s="247"/>
      <c r="S6" s="247"/>
    </row>
    <row r="7" spans="1:19">
      <c r="A7" s="66" t="s">
        <v>408</v>
      </c>
      <c r="B7" s="63">
        <v>30</v>
      </c>
      <c r="C7" s="108">
        <v>1.1399999999999999</v>
      </c>
      <c r="D7" s="108">
        <v>3.7</v>
      </c>
      <c r="E7" s="63">
        <v>10</v>
      </c>
      <c r="F7" s="108">
        <v>1.1399999999999999</v>
      </c>
      <c r="G7" s="108">
        <v>1.89</v>
      </c>
      <c r="J7" s="256" t="s">
        <v>195</v>
      </c>
      <c r="K7" s="66" t="s">
        <v>408</v>
      </c>
      <c r="L7" s="108">
        <v>1.1399999999999999</v>
      </c>
      <c r="M7" s="108">
        <v>3.7</v>
      </c>
      <c r="N7" s="108">
        <v>1.1399999999999999</v>
      </c>
      <c r="O7" s="108">
        <v>1.89</v>
      </c>
      <c r="Q7" s="247"/>
      <c r="R7" s="247"/>
      <c r="S7" s="247"/>
    </row>
    <row r="8" spans="1:19">
      <c r="A8" s="66" t="s">
        <v>409</v>
      </c>
      <c r="B8" s="63">
        <v>30</v>
      </c>
      <c r="C8" s="108">
        <v>1.71</v>
      </c>
      <c r="D8" s="108">
        <v>4.1500000000000004</v>
      </c>
      <c r="E8" s="63">
        <v>10</v>
      </c>
      <c r="F8" s="108">
        <v>1.71</v>
      </c>
      <c r="G8" s="108">
        <v>2.2599999999999998</v>
      </c>
      <c r="J8" s="256"/>
      <c r="K8" s="66" t="s">
        <v>409</v>
      </c>
      <c r="L8" s="108">
        <v>1.71</v>
      </c>
      <c r="M8" s="108">
        <v>4.1500000000000004</v>
      </c>
      <c r="N8" s="108">
        <v>1.71</v>
      </c>
      <c r="O8" s="108">
        <v>2.2599999999999998</v>
      </c>
      <c r="Q8" s="247"/>
      <c r="R8" s="247"/>
      <c r="S8" s="247"/>
    </row>
    <row r="9" spans="1:19">
      <c r="A9" s="66" t="s">
        <v>410</v>
      </c>
      <c r="B9" s="63">
        <v>30</v>
      </c>
      <c r="C9" s="108">
        <v>1.3</v>
      </c>
      <c r="D9" s="108">
        <v>4.58</v>
      </c>
      <c r="E9" s="63">
        <v>10</v>
      </c>
      <c r="F9" s="108">
        <v>1.3</v>
      </c>
      <c r="G9" s="108">
        <v>2.2000000000000002</v>
      </c>
      <c r="J9" s="256"/>
      <c r="K9" s="66" t="s">
        <v>410</v>
      </c>
      <c r="L9" s="108">
        <v>1.3</v>
      </c>
      <c r="M9" s="108">
        <v>4.58</v>
      </c>
      <c r="N9" s="108">
        <v>1.3</v>
      </c>
      <c r="O9" s="108">
        <v>2.2000000000000002</v>
      </c>
      <c r="Q9" s="77" t="s">
        <v>411</v>
      </c>
    </row>
    <row r="10" spans="1:19" ht="14.25" customHeight="1">
      <c r="A10" s="66" t="s">
        <v>412</v>
      </c>
      <c r="B10" s="63">
        <v>30</v>
      </c>
      <c r="C10" s="108">
        <v>1.42</v>
      </c>
      <c r="D10" s="108">
        <v>6.95</v>
      </c>
      <c r="E10" s="63">
        <v>10</v>
      </c>
      <c r="F10" s="108">
        <v>1.41</v>
      </c>
      <c r="G10" s="108">
        <v>2</v>
      </c>
      <c r="J10" s="256"/>
      <c r="K10" s="66" t="s">
        <v>412</v>
      </c>
      <c r="L10" s="108">
        <v>1.42</v>
      </c>
      <c r="M10" s="108">
        <v>6.95</v>
      </c>
      <c r="N10" s="108">
        <v>1.41</v>
      </c>
      <c r="O10" s="108">
        <v>2</v>
      </c>
      <c r="Q10" s="255" t="s">
        <v>413</v>
      </c>
      <c r="R10" s="255"/>
      <c r="S10" s="255"/>
    </row>
    <row r="11" spans="1:19">
      <c r="A11" s="66" t="s">
        <v>414</v>
      </c>
      <c r="B11" s="63">
        <v>30</v>
      </c>
      <c r="C11" s="108">
        <v>2.0099999999999998</v>
      </c>
      <c r="D11" s="108">
        <v>7.28</v>
      </c>
      <c r="E11" s="63">
        <v>10</v>
      </c>
      <c r="F11" s="108">
        <v>2.0099999999999998</v>
      </c>
      <c r="G11" s="108">
        <v>3.6</v>
      </c>
      <c r="J11" s="256"/>
      <c r="K11" s="66" t="s">
        <v>414</v>
      </c>
      <c r="L11" s="108">
        <v>2.0099999999999998</v>
      </c>
      <c r="M11" s="108">
        <v>7.28</v>
      </c>
      <c r="N11" s="108">
        <v>2.0099999999999998</v>
      </c>
      <c r="O11" s="108">
        <v>3.6</v>
      </c>
      <c r="Q11" s="255"/>
      <c r="R11" s="255"/>
      <c r="S11" s="255"/>
    </row>
    <row r="12" spans="1:19">
      <c r="A12" s="66" t="s">
        <v>415</v>
      </c>
      <c r="B12" s="63">
        <v>30</v>
      </c>
      <c r="C12" s="108">
        <v>0.2</v>
      </c>
      <c r="D12" s="108">
        <v>8.73</v>
      </c>
      <c r="E12" s="63">
        <v>10</v>
      </c>
      <c r="F12" s="108">
        <v>0.11</v>
      </c>
      <c r="G12" s="108">
        <v>3.32</v>
      </c>
      <c r="J12" s="256"/>
      <c r="K12" s="66" t="s">
        <v>415</v>
      </c>
      <c r="L12" s="108">
        <v>0.2</v>
      </c>
      <c r="M12" s="108">
        <v>8.73</v>
      </c>
      <c r="N12" s="108">
        <v>0.11</v>
      </c>
      <c r="O12" s="108">
        <v>3.32</v>
      </c>
      <c r="Q12" s="255"/>
      <c r="R12" s="255"/>
      <c r="S12" s="255"/>
    </row>
    <row r="13" spans="1:19" ht="14.25" customHeight="1">
      <c r="A13" s="66" t="s">
        <v>416</v>
      </c>
      <c r="B13" s="63">
        <v>30</v>
      </c>
      <c r="C13" s="108">
        <v>0.37</v>
      </c>
      <c r="D13" s="108">
        <v>2.31</v>
      </c>
      <c r="E13" s="63">
        <v>10</v>
      </c>
      <c r="F13" s="108">
        <v>0.39</v>
      </c>
      <c r="G13" s="108">
        <v>1.2</v>
      </c>
      <c r="J13" s="256"/>
      <c r="K13" s="66" t="s">
        <v>416</v>
      </c>
      <c r="L13" s="108">
        <v>0.37</v>
      </c>
      <c r="M13" s="108">
        <v>2.31</v>
      </c>
      <c r="N13" s="108">
        <v>0.39</v>
      </c>
      <c r="O13" s="108">
        <v>1.2</v>
      </c>
      <c r="Q13" s="255" t="s">
        <v>417</v>
      </c>
      <c r="R13" s="255"/>
      <c r="S13" s="255"/>
    </row>
    <row r="14" spans="1:19">
      <c r="A14" s="66" t="s">
        <v>418</v>
      </c>
      <c r="B14" s="63">
        <v>30</v>
      </c>
      <c r="C14" s="108">
        <v>0.91</v>
      </c>
      <c r="D14" s="108">
        <v>1.64</v>
      </c>
      <c r="E14" s="63">
        <v>10</v>
      </c>
      <c r="F14" s="108">
        <v>0.92</v>
      </c>
      <c r="G14" s="108">
        <v>1.23</v>
      </c>
      <c r="J14" s="256"/>
      <c r="K14" s="66" t="s">
        <v>418</v>
      </c>
      <c r="L14" s="108">
        <v>0.91</v>
      </c>
      <c r="M14" s="108">
        <v>1.64</v>
      </c>
      <c r="N14" s="108">
        <v>0.92</v>
      </c>
      <c r="O14" s="108">
        <v>1.23</v>
      </c>
      <c r="Q14" s="255"/>
      <c r="R14" s="255"/>
      <c r="S14" s="255"/>
    </row>
    <row r="15" spans="1:19">
      <c r="A15" s="66" t="s">
        <v>419</v>
      </c>
      <c r="B15" s="63">
        <v>30</v>
      </c>
      <c r="C15" s="108">
        <v>0.68</v>
      </c>
      <c r="D15" s="108">
        <v>1.35</v>
      </c>
      <c r="E15" s="63">
        <v>10</v>
      </c>
      <c r="F15" s="108">
        <v>0.68</v>
      </c>
      <c r="G15" s="108">
        <v>0.94</v>
      </c>
      <c r="J15" s="256"/>
      <c r="K15" s="66" t="s">
        <v>419</v>
      </c>
      <c r="L15" s="108">
        <v>0.68</v>
      </c>
      <c r="M15" s="108">
        <v>1.35</v>
      </c>
      <c r="N15" s="108">
        <v>0.68</v>
      </c>
      <c r="O15" s="108">
        <v>0.94</v>
      </c>
      <c r="Q15" s="255"/>
      <c r="R15" s="255"/>
      <c r="S15" s="255"/>
    </row>
    <row r="16" spans="1:19">
      <c r="A16" s="66" t="s">
        <v>420</v>
      </c>
      <c r="B16" s="63">
        <v>30</v>
      </c>
      <c r="C16" s="108">
        <v>0.73</v>
      </c>
      <c r="D16" s="108">
        <v>2.2599999999999998</v>
      </c>
      <c r="E16" s="63">
        <v>10</v>
      </c>
      <c r="F16" s="108">
        <v>0.73</v>
      </c>
      <c r="G16" s="108">
        <v>0.91</v>
      </c>
      <c r="J16" s="256"/>
      <c r="K16" s="66" t="s">
        <v>420</v>
      </c>
      <c r="L16" s="108">
        <v>0.73</v>
      </c>
      <c r="M16" s="108">
        <v>2.2599999999999998</v>
      </c>
      <c r="N16" s="108">
        <v>0.73</v>
      </c>
      <c r="O16" s="108">
        <v>0.91</v>
      </c>
      <c r="Q16" s="255"/>
      <c r="R16" s="255"/>
      <c r="S16" s="255"/>
    </row>
    <row r="17" spans="1:15">
      <c r="A17" s="66" t="s">
        <v>421</v>
      </c>
      <c r="B17" s="63">
        <v>30</v>
      </c>
      <c r="C17" s="108">
        <v>0.73</v>
      </c>
      <c r="D17" s="108">
        <v>1.47</v>
      </c>
      <c r="E17" s="63">
        <v>10</v>
      </c>
      <c r="F17" s="108">
        <v>0.73</v>
      </c>
      <c r="G17" s="108">
        <v>0.83</v>
      </c>
      <c r="J17" s="256"/>
      <c r="K17" s="66" t="s">
        <v>421</v>
      </c>
      <c r="L17" s="108">
        <v>0.73</v>
      </c>
      <c r="M17" s="108">
        <v>1.47</v>
      </c>
      <c r="N17" s="108">
        <v>0.73</v>
      </c>
      <c r="O17" s="108">
        <v>0.83</v>
      </c>
    </row>
    <row r="18" spans="1:15">
      <c r="A18" s="66" t="s">
        <v>422</v>
      </c>
      <c r="B18" s="63">
        <v>30</v>
      </c>
      <c r="C18" s="108">
        <v>0.76</v>
      </c>
      <c r="D18" s="108">
        <v>1.28</v>
      </c>
      <c r="E18" s="63">
        <v>10</v>
      </c>
      <c r="F18" s="108">
        <v>0.76</v>
      </c>
      <c r="G18" s="108">
        <v>0.8</v>
      </c>
      <c r="J18" s="256"/>
      <c r="K18" s="66" t="s">
        <v>422</v>
      </c>
      <c r="L18" s="108">
        <v>0.76</v>
      </c>
      <c r="M18" s="108">
        <v>1.28</v>
      </c>
      <c r="N18" s="108">
        <v>0.76</v>
      </c>
      <c r="O18" s="108">
        <v>0.8</v>
      </c>
    </row>
    <row r="19" spans="1:15">
      <c r="J19" s="256"/>
      <c r="K19" s="62" t="s">
        <v>423</v>
      </c>
      <c r="L19" s="106">
        <f>AVERAGE(L7:L18)</f>
        <v>0.99666666666666659</v>
      </c>
      <c r="M19" s="62">
        <f>MAX(M7:M18)</f>
        <v>8.73</v>
      </c>
      <c r="N19" s="106">
        <f>AVERAGE(N7:N18)</f>
        <v>0.99083333333333334</v>
      </c>
      <c r="O19" s="62">
        <f>MAX(O7:O18)</f>
        <v>3.6</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71" t="s">
        <v>440</v>
      </c>
      <c r="B49" s="272"/>
      <c r="C49" s="272"/>
      <c r="D49" s="272"/>
      <c r="E49" s="272"/>
      <c r="F49" s="272"/>
      <c r="G49" s="273"/>
      <c r="J49" s="256"/>
      <c r="K49" s="62" t="s">
        <v>423</v>
      </c>
      <c r="L49" s="62" t="e">
        <f>AVERAGE(L37:L48)</f>
        <v>#DIV/0!</v>
      </c>
      <c r="M49" s="62">
        <f>MAX(M37:M48)</f>
        <v>0</v>
      </c>
      <c r="N49" s="62" t="e">
        <f>AVERAGE(N37:N48)</f>
        <v>#DIV/0!</v>
      </c>
      <c r="O49" s="62">
        <f>MAX(O37:O48)</f>
        <v>0</v>
      </c>
    </row>
    <row r="50" spans="1:15">
      <c r="A50" s="274"/>
      <c r="B50" s="275"/>
      <c r="C50" s="275"/>
      <c r="D50" s="275"/>
      <c r="E50" s="275"/>
      <c r="F50" s="275"/>
      <c r="G50" s="276"/>
    </row>
    <row r="51" spans="1:15" ht="41.45">
      <c r="A51" s="274"/>
      <c r="B51" s="275"/>
      <c r="C51" s="275"/>
      <c r="D51" s="275"/>
      <c r="E51" s="275"/>
      <c r="F51" s="275"/>
      <c r="G51" s="276"/>
      <c r="J51" s="61">
        <f>+A6</f>
        <v>2022</v>
      </c>
      <c r="K51" s="61" t="s">
        <v>405</v>
      </c>
      <c r="L51" s="67" t="s">
        <v>400</v>
      </c>
      <c r="M51" s="67" t="s">
        <v>406</v>
      </c>
      <c r="N51" s="67" t="s">
        <v>403</v>
      </c>
      <c r="O51" s="67" t="s">
        <v>407</v>
      </c>
    </row>
    <row r="52" spans="1:15">
      <c r="A52" s="277"/>
      <c r="B52" s="278"/>
      <c r="C52" s="278"/>
      <c r="D52" s="278"/>
      <c r="E52" s="278"/>
      <c r="F52" s="278"/>
      <c r="G52" s="279"/>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topLeftCell="A36"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row>
    <row r="3" spans="1:19" ht="14.45">
      <c r="A3" s="60" t="s">
        <v>441</v>
      </c>
      <c r="D3" s="76" t="s">
        <v>392</v>
      </c>
      <c r="G3" s="79" t="s">
        <v>393</v>
      </c>
      <c r="J3" s="9" t="str">
        <f>+A3</f>
        <v>Monitoring of Carbon Monoxide (half hourly)</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442</v>
      </c>
      <c r="C6" s="55" t="s">
        <v>400</v>
      </c>
      <c r="D6" s="55" t="s">
        <v>401</v>
      </c>
      <c r="E6" s="55" t="s">
        <v>443</v>
      </c>
      <c r="F6" s="55" t="s">
        <v>403</v>
      </c>
      <c r="G6" s="55" t="s">
        <v>404</v>
      </c>
      <c r="H6" s="59"/>
      <c r="J6" s="61">
        <f>+A6</f>
        <v>2022</v>
      </c>
      <c r="K6" s="61" t="s">
        <v>405</v>
      </c>
      <c r="L6" s="67" t="s">
        <v>400</v>
      </c>
      <c r="M6" s="67" t="s">
        <v>406</v>
      </c>
      <c r="N6" s="67" t="s">
        <v>403</v>
      </c>
      <c r="O6" s="67" t="s">
        <v>407</v>
      </c>
      <c r="Q6" s="247"/>
      <c r="R6" s="247"/>
      <c r="S6" s="247"/>
    </row>
    <row r="7" spans="1:19">
      <c r="A7" s="66" t="s">
        <v>408</v>
      </c>
      <c r="B7" s="69">
        <v>100</v>
      </c>
      <c r="C7" s="108">
        <v>5.33</v>
      </c>
      <c r="D7" s="108">
        <v>8.0399999999999991</v>
      </c>
      <c r="E7" s="69">
        <v>50</v>
      </c>
      <c r="F7" s="108">
        <v>5.33</v>
      </c>
      <c r="G7" s="108">
        <v>6.28</v>
      </c>
      <c r="J7" s="256" t="s">
        <v>195</v>
      </c>
      <c r="K7" s="66" t="s">
        <v>408</v>
      </c>
      <c r="L7" s="108">
        <v>5.33</v>
      </c>
      <c r="M7" s="108">
        <v>8.0399999999999991</v>
      </c>
      <c r="N7" s="108">
        <v>5.33</v>
      </c>
      <c r="O7" s="108">
        <v>6.28</v>
      </c>
      <c r="Q7" s="247"/>
      <c r="R7" s="247"/>
      <c r="S7" s="247"/>
    </row>
    <row r="8" spans="1:19">
      <c r="A8" s="66" t="s">
        <v>409</v>
      </c>
      <c r="B8" s="63">
        <f>+B7</f>
        <v>100</v>
      </c>
      <c r="C8" s="108">
        <v>5.01</v>
      </c>
      <c r="D8" s="108">
        <v>8.86</v>
      </c>
      <c r="E8" s="63">
        <f>+E7</f>
        <v>50</v>
      </c>
      <c r="F8" s="108">
        <v>5.01</v>
      </c>
      <c r="G8" s="108">
        <v>6.92</v>
      </c>
      <c r="J8" s="256"/>
      <c r="K8" s="66" t="s">
        <v>409</v>
      </c>
      <c r="L8" s="108">
        <v>5.01</v>
      </c>
      <c r="M8" s="108">
        <v>8.86</v>
      </c>
      <c r="N8" s="108">
        <v>5.01</v>
      </c>
      <c r="O8" s="108">
        <v>6.92</v>
      </c>
      <c r="Q8" s="247"/>
      <c r="R8" s="247"/>
      <c r="S8" s="247"/>
    </row>
    <row r="9" spans="1:19">
      <c r="A9" s="66" t="s">
        <v>410</v>
      </c>
      <c r="B9" s="63">
        <f t="shared" ref="B9:B18" si="0">+B8</f>
        <v>100</v>
      </c>
      <c r="C9" s="108">
        <v>5.33</v>
      </c>
      <c r="D9" s="108">
        <v>8.32</v>
      </c>
      <c r="E9" s="63">
        <f t="shared" ref="E9:E18" si="1">+E8</f>
        <v>50</v>
      </c>
      <c r="F9" s="108">
        <v>5.33</v>
      </c>
      <c r="G9" s="108">
        <v>6.5</v>
      </c>
      <c r="J9" s="256"/>
      <c r="K9" s="66" t="s">
        <v>410</v>
      </c>
      <c r="L9" s="108">
        <v>5.33</v>
      </c>
      <c r="M9" s="108">
        <v>8.32</v>
      </c>
      <c r="N9" s="108">
        <v>5.33</v>
      </c>
      <c r="O9" s="108">
        <v>6.5</v>
      </c>
      <c r="Q9" s="77" t="s">
        <v>411</v>
      </c>
    </row>
    <row r="10" spans="1:19" ht="14.25" customHeight="1">
      <c r="A10" s="66" t="s">
        <v>412</v>
      </c>
      <c r="B10" s="63">
        <f t="shared" si="0"/>
        <v>100</v>
      </c>
      <c r="C10" s="108">
        <v>5.52</v>
      </c>
      <c r="D10" s="108">
        <v>21.34</v>
      </c>
      <c r="E10" s="63">
        <f t="shared" si="1"/>
        <v>50</v>
      </c>
      <c r="F10" s="108">
        <v>5.49</v>
      </c>
      <c r="G10" s="108">
        <v>6.99</v>
      </c>
      <c r="J10" s="256"/>
      <c r="K10" s="66" t="s">
        <v>412</v>
      </c>
      <c r="L10" s="108">
        <v>5.52</v>
      </c>
      <c r="M10" s="108">
        <v>21.34</v>
      </c>
      <c r="N10" s="108">
        <v>5.49</v>
      </c>
      <c r="O10" s="108">
        <v>6.99</v>
      </c>
      <c r="Q10" s="255" t="s">
        <v>413</v>
      </c>
      <c r="R10" s="255"/>
      <c r="S10" s="255"/>
    </row>
    <row r="11" spans="1:19">
      <c r="A11" s="66" t="s">
        <v>414</v>
      </c>
      <c r="B11" s="63">
        <f t="shared" si="0"/>
        <v>100</v>
      </c>
      <c r="C11" s="108">
        <v>5.16</v>
      </c>
      <c r="D11" s="108">
        <v>10.99</v>
      </c>
      <c r="E11" s="63">
        <f t="shared" si="1"/>
        <v>50</v>
      </c>
      <c r="F11" s="108">
        <v>5.16</v>
      </c>
      <c r="G11" s="108">
        <v>6.65</v>
      </c>
      <c r="J11" s="256"/>
      <c r="K11" s="66" t="s">
        <v>414</v>
      </c>
      <c r="L11" s="108">
        <v>5.16</v>
      </c>
      <c r="M11" s="108">
        <v>10.99</v>
      </c>
      <c r="N11" s="108">
        <v>5.16</v>
      </c>
      <c r="O11" s="108">
        <v>6.65</v>
      </c>
      <c r="Q11" s="255"/>
      <c r="R11" s="255"/>
      <c r="S11" s="255"/>
    </row>
    <row r="12" spans="1:19">
      <c r="A12" s="66" t="s">
        <v>415</v>
      </c>
      <c r="B12" s="63">
        <f t="shared" si="0"/>
        <v>100</v>
      </c>
      <c r="C12" s="108">
        <v>4.0999999999999996</v>
      </c>
      <c r="D12" s="108">
        <v>9.3000000000000007</v>
      </c>
      <c r="E12" s="63">
        <f t="shared" si="1"/>
        <v>50</v>
      </c>
      <c r="F12" s="108">
        <v>4</v>
      </c>
      <c r="G12" s="108">
        <v>6.26</v>
      </c>
      <c r="J12" s="256"/>
      <c r="K12" s="66" t="s">
        <v>415</v>
      </c>
      <c r="L12" s="108">
        <v>4.0999999999999996</v>
      </c>
      <c r="M12" s="108">
        <v>9.3000000000000007</v>
      </c>
      <c r="N12" s="108">
        <v>4</v>
      </c>
      <c r="O12" s="108">
        <v>6.26</v>
      </c>
      <c r="Q12" s="255"/>
      <c r="R12" s="255"/>
      <c r="S12" s="255"/>
    </row>
    <row r="13" spans="1:19" ht="14.25" customHeight="1">
      <c r="A13" s="66" t="s">
        <v>416</v>
      </c>
      <c r="B13" s="63">
        <f t="shared" si="0"/>
        <v>100</v>
      </c>
      <c r="C13" s="108">
        <v>2.27</v>
      </c>
      <c r="D13" s="108">
        <v>18.760000000000002</v>
      </c>
      <c r="E13" s="63">
        <f t="shared" si="1"/>
        <v>50</v>
      </c>
      <c r="F13" s="108">
        <v>2.21</v>
      </c>
      <c r="G13" s="108">
        <v>3.97</v>
      </c>
      <c r="J13" s="256"/>
      <c r="K13" s="66" t="s">
        <v>416</v>
      </c>
      <c r="L13" s="108">
        <v>2.27</v>
      </c>
      <c r="M13" s="108">
        <v>18.760000000000002</v>
      </c>
      <c r="N13" s="108">
        <v>2.21</v>
      </c>
      <c r="O13" s="108">
        <v>3.97</v>
      </c>
      <c r="Q13" s="255" t="s">
        <v>417</v>
      </c>
      <c r="R13" s="255"/>
      <c r="S13" s="255"/>
    </row>
    <row r="14" spans="1:19">
      <c r="A14" s="66" t="s">
        <v>418</v>
      </c>
      <c r="B14" s="63">
        <f t="shared" si="0"/>
        <v>100</v>
      </c>
      <c r="C14" s="108">
        <v>1.47</v>
      </c>
      <c r="D14" s="108">
        <v>23.18</v>
      </c>
      <c r="E14" s="63">
        <f t="shared" si="1"/>
        <v>50</v>
      </c>
      <c r="F14" s="108">
        <v>1.45</v>
      </c>
      <c r="G14" s="108">
        <v>3.25</v>
      </c>
      <c r="J14" s="256"/>
      <c r="K14" s="66" t="s">
        <v>418</v>
      </c>
      <c r="L14" s="108">
        <v>1.47</v>
      </c>
      <c r="M14" s="108">
        <v>23.18</v>
      </c>
      <c r="N14" s="108">
        <v>1.45</v>
      </c>
      <c r="O14" s="108">
        <v>3.25</v>
      </c>
      <c r="Q14" s="255"/>
      <c r="R14" s="255"/>
      <c r="S14" s="255"/>
    </row>
    <row r="15" spans="1:19">
      <c r="A15" s="66" t="s">
        <v>419</v>
      </c>
      <c r="B15" s="63">
        <f t="shared" si="0"/>
        <v>100</v>
      </c>
      <c r="C15" s="108">
        <v>2.1</v>
      </c>
      <c r="D15" s="108">
        <v>111.82</v>
      </c>
      <c r="E15" s="63">
        <f t="shared" si="1"/>
        <v>50</v>
      </c>
      <c r="F15" s="108">
        <v>2.1</v>
      </c>
      <c r="G15" s="108">
        <v>5.28</v>
      </c>
      <c r="J15" s="256"/>
      <c r="K15" s="66" t="s">
        <v>419</v>
      </c>
      <c r="L15" s="108">
        <v>2.1</v>
      </c>
      <c r="M15" s="108">
        <v>111.82</v>
      </c>
      <c r="N15" s="108">
        <v>2.1</v>
      </c>
      <c r="O15" s="108">
        <v>5.28</v>
      </c>
      <c r="Q15" s="255"/>
      <c r="R15" s="255"/>
      <c r="S15" s="255"/>
    </row>
    <row r="16" spans="1:19">
      <c r="A16" s="66" t="s">
        <v>420</v>
      </c>
      <c r="B16" s="63">
        <f t="shared" si="0"/>
        <v>100</v>
      </c>
      <c r="C16" s="108">
        <v>2.71</v>
      </c>
      <c r="D16" s="108">
        <v>181.76</v>
      </c>
      <c r="E16" s="63">
        <f t="shared" si="1"/>
        <v>50</v>
      </c>
      <c r="F16" s="108">
        <v>2.69</v>
      </c>
      <c r="G16" s="108">
        <v>5.94</v>
      </c>
      <c r="J16" s="256"/>
      <c r="K16" s="66" t="s">
        <v>420</v>
      </c>
      <c r="L16" s="108">
        <v>2.71</v>
      </c>
      <c r="M16" s="108">
        <v>181.76</v>
      </c>
      <c r="N16" s="108">
        <v>2.69</v>
      </c>
      <c r="O16" s="108">
        <v>5.94</v>
      </c>
      <c r="Q16" s="255"/>
      <c r="R16" s="255"/>
      <c r="S16" s="255"/>
    </row>
    <row r="17" spans="1:15">
      <c r="A17" s="66" t="s">
        <v>421</v>
      </c>
      <c r="B17" s="63">
        <f t="shared" si="0"/>
        <v>100</v>
      </c>
      <c r="C17" s="108">
        <v>3.51</v>
      </c>
      <c r="D17" s="108">
        <v>150.86000000000001</v>
      </c>
      <c r="E17" s="63">
        <f t="shared" si="1"/>
        <v>50</v>
      </c>
      <c r="F17" s="108">
        <v>3.51</v>
      </c>
      <c r="G17" s="108">
        <v>7.44</v>
      </c>
      <c r="J17" s="256"/>
      <c r="K17" s="66" t="s">
        <v>421</v>
      </c>
      <c r="L17" s="108">
        <v>3.51</v>
      </c>
      <c r="M17" s="108">
        <v>150.86000000000001</v>
      </c>
      <c r="N17" s="108">
        <v>3.51</v>
      </c>
      <c r="O17" s="108">
        <v>7.44</v>
      </c>
    </row>
    <row r="18" spans="1:15">
      <c r="A18" s="66" t="s">
        <v>422</v>
      </c>
      <c r="B18" s="63">
        <f t="shared" si="0"/>
        <v>100</v>
      </c>
      <c r="C18" s="108">
        <v>3.05</v>
      </c>
      <c r="D18" s="108">
        <v>36.729999999999997</v>
      </c>
      <c r="E18" s="63">
        <f t="shared" si="1"/>
        <v>50</v>
      </c>
      <c r="F18" s="108">
        <v>3.05</v>
      </c>
      <c r="G18" s="108">
        <v>6.62</v>
      </c>
      <c r="J18" s="256"/>
      <c r="K18" s="66" t="s">
        <v>422</v>
      </c>
      <c r="L18" s="108">
        <v>3.05</v>
      </c>
      <c r="M18" s="108">
        <v>36.729999999999997</v>
      </c>
      <c r="N18" s="108">
        <v>3.05</v>
      </c>
      <c r="O18" s="108">
        <v>6.62</v>
      </c>
    </row>
    <row r="19" spans="1:15">
      <c r="J19" s="256"/>
      <c r="K19" s="62" t="s">
        <v>423</v>
      </c>
      <c r="L19" s="106">
        <f>AVERAGE(L7:L18)</f>
        <v>3.7966666666666664</v>
      </c>
      <c r="M19" s="62">
        <f>MAX(M7:M18)</f>
        <v>181.76</v>
      </c>
      <c r="N19" s="106">
        <f>AVERAGE(N7:N18)</f>
        <v>3.7774999999999999</v>
      </c>
      <c r="O19" s="62">
        <f>MAX(O7:O18)</f>
        <v>7.44</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71" t="s">
        <v>444</v>
      </c>
      <c r="B49" s="272"/>
      <c r="C49" s="272"/>
      <c r="D49" s="272"/>
      <c r="E49" s="272"/>
      <c r="F49" s="272"/>
      <c r="G49" s="273"/>
      <c r="J49" s="256"/>
      <c r="K49" s="62" t="s">
        <v>423</v>
      </c>
      <c r="L49" s="62" t="e">
        <f>AVERAGE(L37:L48)</f>
        <v>#DIV/0!</v>
      </c>
      <c r="M49" s="62">
        <f>MAX(M37:M48)</f>
        <v>0</v>
      </c>
      <c r="N49" s="62" t="e">
        <f>AVERAGE(N37:N48)</f>
        <v>#DIV/0!</v>
      </c>
      <c r="O49" s="62">
        <f>MAX(O37:O48)</f>
        <v>0</v>
      </c>
    </row>
    <row r="50" spans="1:15">
      <c r="A50" s="274"/>
      <c r="B50" s="275"/>
      <c r="C50" s="275"/>
      <c r="D50" s="275"/>
      <c r="E50" s="275"/>
      <c r="F50" s="275"/>
      <c r="G50" s="276"/>
    </row>
    <row r="51" spans="1:15" ht="41.45">
      <c r="A51" s="274"/>
      <c r="B51" s="275"/>
      <c r="C51" s="275"/>
      <c r="D51" s="275"/>
      <c r="E51" s="275"/>
      <c r="F51" s="275"/>
      <c r="G51" s="276"/>
      <c r="J51" s="61">
        <f>+A6</f>
        <v>2022</v>
      </c>
      <c r="K51" s="61" t="s">
        <v>405</v>
      </c>
      <c r="L51" s="67" t="s">
        <v>400</v>
      </c>
      <c r="M51" s="67" t="s">
        <v>406</v>
      </c>
      <c r="N51" s="67" t="s">
        <v>403</v>
      </c>
      <c r="O51" s="67" t="s">
        <v>407</v>
      </c>
    </row>
    <row r="52" spans="1:15">
      <c r="A52" s="277"/>
      <c r="B52" s="278"/>
      <c r="C52" s="278"/>
      <c r="D52" s="278"/>
      <c r="E52" s="278"/>
      <c r="F52" s="278"/>
      <c r="G52" s="279"/>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I56" sqref="I5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Exeter Energy From Waste Plant</v>
      </c>
    </row>
    <row r="3" spans="1:19" ht="14.45">
      <c r="A3" s="60" t="s">
        <v>445</v>
      </c>
      <c r="D3" s="76" t="s">
        <v>392</v>
      </c>
      <c r="G3" s="79" t="s">
        <v>393</v>
      </c>
      <c r="J3" s="9" t="str">
        <f>+A3</f>
        <v xml:space="preserve">Monitoring of Ammonia emissions </v>
      </c>
      <c r="L3" s="9"/>
      <c r="N3" s="9" t="s">
        <v>394</v>
      </c>
      <c r="Q3" s="78" t="s">
        <v>3</v>
      </c>
      <c r="R3" s="74"/>
      <c r="S3" s="74"/>
    </row>
    <row r="4" spans="1:19" ht="13.9" customHeight="1">
      <c r="Q4" s="247" t="s">
        <v>395</v>
      </c>
      <c r="R4" s="247"/>
      <c r="S4" s="247"/>
    </row>
    <row r="5" spans="1:19" ht="16.149999999999999">
      <c r="A5" s="68" t="s">
        <v>396</v>
      </c>
      <c r="B5" s="258" t="s">
        <v>397</v>
      </c>
      <c r="C5" s="258"/>
      <c r="D5" s="258"/>
      <c r="E5" s="258" t="s">
        <v>398</v>
      </c>
      <c r="F5" s="258"/>
      <c r="G5" s="258"/>
      <c r="J5" s="257"/>
      <c r="K5" s="257"/>
      <c r="L5" s="257"/>
      <c r="M5" s="257"/>
      <c r="N5" s="257"/>
      <c r="O5" s="257"/>
      <c r="Q5" s="247"/>
      <c r="R5" s="247"/>
      <c r="S5" s="247"/>
    </row>
    <row r="6" spans="1:19" s="58" customFormat="1" ht="37.5" customHeight="1">
      <c r="A6" s="65">
        <f>+'Cover Page'!C39</f>
        <v>2022</v>
      </c>
      <c r="B6" s="55" t="s">
        <v>446</v>
      </c>
      <c r="C6" s="55" t="s">
        <v>400</v>
      </c>
      <c r="D6" s="55" t="s">
        <v>401</v>
      </c>
      <c r="E6" s="55" t="s">
        <v>447</v>
      </c>
      <c r="F6" s="55" t="s">
        <v>403</v>
      </c>
      <c r="G6" s="55" t="s">
        <v>404</v>
      </c>
      <c r="H6" s="59"/>
      <c r="J6" s="61">
        <f>+A6</f>
        <v>2022</v>
      </c>
      <c r="K6" s="61" t="s">
        <v>405</v>
      </c>
      <c r="L6" s="67" t="s">
        <v>400</v>
      </c>
      <c r="M6" s="67" t="s">
        <v>406</v>
      </c>
      <c r="N6" s="67" t="s">
        <v>403</v>
      </c>
      <c r="O6" s="67" t="s">
        <v>407</v>
      </c>
      <c r="Q6" s="247"/>
      <c r="R6" s="247"/>
      <c r="S6" s="247"/>
    </row>
    <row r="7" spans="1:19">
      <c r="A7" s="66" t="s">
        <v>408</v>
      </c>
      <c r="B7" s="69">
        <v>0</v>
      </c>
      <c r="C7" s="108">
        <v>0.28000000000000003</v>
      </c>
      <c r="D7" s="108">
        <v>0.68</v>
      </c>
      <c r="E7" s="69">
        <v>10</v>
      </c>
      <c r="F7" s="108">
        <v>0.28000000000000003</v>
      </c>
      <c r="G7" s="108">
        <v>0.37</v>
      </c>
      <c r="J7" s="256" t="s">
        <v>195</v>
      </c>
      <c r="K7" s="66" t="s">
        <v>408</v>
      </c>
      <c r="L7" s="108">
        <v>0.28000000000000003</v>
      </c>
      <c r="M7" s="108">
        <v>0.68</v>
      </c>
      <c r="N7" s="108">
        <v>0.28000000000000003</v>
      </c>
      <c r="O7" s="108">
        <v>0.37</v>
      </c>
      <c r="Q7" s="247"/>
      <c r="R7" s="247"/>
      <c r="S7" s="247"/>
    </row>
    <row r="8" spans="1:19">
      <c r="A8" s="66" t="s">
        <v>409</v>
      </c>
      <c r="B8" s="63">
        <f>+B7</f>
        <v>0</v>
      </c>
      <c r="C8" s="108">
        <v>0.28999999999999998</v>
      </c>
      <c r="D8" s="108">
        <v>0.57999999999999996</v>
      </c>
      <c r="E8" s="63">
        <f>+E7</f>
        <v>10</v>
      </c>
      <c r="F8" s="108">
        <v>0.28999999999999998</v>
      </c>
      <c r="G8" s="108">
        <v>0.41</v>
      </c>
      <c r="J8" s="256"/>
      <c r="K8" s="66" t="s">
        <v>409</v>
      </c>
      <c r="L8" s="108">
        <v>0.28999999999999998</v>
      </c>
      <c r="M8" s="108">
        <v>0.57999999999999996</v>
      </c>
      <c r="N8" s="108">
        <v>0.28999999999999998</v>
      </c>
      <c r="O8" s="108">
        <v>0.41</v>
      </c>
      <c r="Q8" s="247"/>
      <c r="R8" s="247"/>
      <c r="S8" s="247"/>
    </row>
    <row r="9" spans="1:19">
      <c r="A9" s="66" t="s">
        <v>410</v>
      </c>
      <c r="B9" s="63">
        <f t="shared" ref="B9:B18" si="0">+B8</f>
        <v>0</v>
      </c>
      <c r="C9" s="108">
        <v>0.28000000000000003</v>
      </c>
      <c r="D9" s="108">
        <v>0.42</v>
      </c>
      <c r="E9" s="63">
        <f t="shared" ref="E9:E18" si="1">+E8</f>
        <v>10</v>
      </c>
      <c r="F9" s="108">
        <v>0.28000000000000003</v>
      </c>
      <c r="G9" s="108">
        <v>0.34</v>
      </c>
      <c r="J9" s="256"/>
      <c r="K9" s="66" t="s">
        <v>410</v>
      </c>
      <c r="L9" s="108">
        <v>0.28000000000000003</v>
      </c>
      <c r="M9" s="108">
        <v>0.42</v>
      </c>
      <c r="N9" s="108">
        <v>0.28000000000000003</v>
      </c>
      <c r="O9" s="108">
        <v>0.34</v>
      </c>
      <c r="Q9" s="77" t="s">
        <v>411</v>
      </c>
    </row>
    <row r="10" spans="1:19" ht="14.25" customHeight="1">
      <c r="A10" s="66" t="s">
        <v>412</v>
      </c>
      <c r="B10" s="63">
        <f t="shared" si="0"/>
        <v>0</v>
      </c>
      <c r="C10" s="108">
        <v>0.18</v>
      </c>
      <c r="D10" s="108">
        <v>0.48</v>
      </c>
      <c r="E10" s="63">
        <f t="shared" si="1"/>
        <v>10</v>
      </c>
      <c r="F10" s="108">
        <v>0.18</v>
      </c>
      <c r="G10" s="108">
        <v>0.32</v>
      </c>
      <c r="J10" s="256"/>
      <c r="K10" s="66" t="s">
        <v>412</v>
      </c>
      <c r="L10" s="108">
        <v>0.18</v>
      </c>
      <c r="M10" s="108">
        <v>0.48</v>
      </c>
      <c r="N10" s="108">
        <v>0.18</v>
      </c>
      <c r="O10" s="108">
        <v>0.32</v>
      </c>
      <c r="Q10" s="255" t="s">
        <v>413</v>
      </c>
      <c r="R10" s="255"/>
      <c r="S10" s="255"/>
    </row>
    <row r="11" spans="1:19">
      <c r="A11" s="66" t="s">
        <v>414</v>
      </c>
      <c r="B11" s="63">
        <f t="shared" si="0"/>
        <v>0</v>
      </c>
      <c r="C11" s="108">
        <v>0.15</v>
      </c>
      <c r="D11" s="108">
        <v>0.41</v>
      </c>
      <c r="E11" s="63">
        <f t="shared" si="1"/>
        <v>10</v>
      </c>
      <c r="F11" s="108">
        <v>0.15</v>
      </c>
      <c r="G11" s="108">
        <v>0.21</v>
      </c>
      <c r="J11" s="256"/>
      <c r="K11" s="66" t="s">
        <v>414</v>
      </c>
      <c r="L11" s="108">
        <v>0.15</v>
      </c>
      <c r="M11" s="108">
        <v>0.41</v>
      </c>
      <c r="N11" s="108">
        <v>0.15</v>
      </c>
      <c r="O11" s="108">
        <v>0.21</v>
      </c>
      <c r="Q11" s="255"/>
      <c r="R11" s="255"/>
      <c r="S11" s="255"/>
    </row>
    <row r="12" spans="1:19">
      <c r="A12" s="66" t="s">
        <v>415</v>
      </c>
      <c r="B12" s="63">
        <f t="shared" si="0"/>
        <v>0</v>
      </c>
      <c r="C12" s="108">
        <v>0.2</v>
      </c>
      <c r="D12" s="108">
        <v>0.84</v>
      </c>
      <c r="E12" s="63">
        <f t="shared" si="1"/>
        <v>10</v>
      </c>
      <c r="F12" s="108">
        <v>0.18</v>
      </c>
      <c r="G12" s="108">
        <v>0.34</v>
      </c>
      <c r="J12" s="256"/>
      <c r="K12" s="66" t="s">
        <v>415</v>
      </c>
      <c r="L12" s="108">
        <v>0.2</v>
      </c>
      <c r="M12" s="108">
        <v>0.84</v>
      </c>
      <c r="N12" s="108">
        <v>0.18</v>
      </c>
      <c r="O12" s="108">
        <v>0.34</v>
      </c>
      <c r="Q12" s="255"/>
      <c r="R12" s="255"/>
      <c r="S12" s="255"/>
    </row>
    <row r="13" spans="1:19" ht="14.25" customHeight="1">
      <c r="A13" s="66" t="s">
        <v>416</v>
      </c>
      <c r="B13" s="63">
        <f t="shared" si="0"/>
        <v>0</v>
      </c>
      <c r="C13" s="108">
        <v>0.17</v>
      </c>
      <c r="D13" s="108">
        <v>5.72</v>
      </c>
      <c r="E13" s="63">
        <f t="shared" si="1"/>
        <v>10</v>
      </c>
      <c r="F13" s="108">
        <v>0.17</v>
      </c>
      <c r="G13" s="108">
        <v>0.26</v>
      </c>
      <c r="J13" s="256"/>
      <c r="K13" s="66" t="s">
        <v>416</v>
      </c>
      <c r="L13" s="108">
        <v>0.17</v>
      </c>
      <c r="M13" s="108">
        <v>5.72</v>
      </c>
      <c r="N13" s="108">
        <v>0.17</v>
      </c>
      <c r="O13" s="108">
        <v>0.26</v>
      </c>
      <c r="Q13" s="255" t="s">
        <v>417</v>
      </c>
      <c r="R13" s="255"/>
      <c r="S13" s="255"/>
    </row>
    <row r="14" spans="1:19">
      <c r="A14" s="66" t="s">
        <v>418</v>
      </c>
      <c r="B14" s="63">
        <f t="shared" si="0"/>
        <v>0</v>
      </c>
      <c r="C14" s="108">
        <v>0.16</v>
      </c>
      <c r="D14" s="108">
        <v>0.47</v>
      </c>
      <c r="E14" s="63">
        <f t="shared" si="1"/>
        <v>10</v>
      </c>
      <c r="F14" s="108">
        <v>0.16</v>
      </c>
      <c r="G14" s="108">
        <v>0.21</v>
      </c>
      <c r="J14" s="256"/>
      <c r="K14" s="66" t="s">
        <v>418</v>
      </c>
      <c r="L14" s="108">
        <v>0.16</v>
      </c>
      <c r="M14" s="108">
        <v>0.47</v>
      </c>
      <c r="N14" s="108">
        <v>0.16</v>
      </c>
      <c r="O14" s="108">
        <v>0.21</v>
      </c>
      <c r="Q14" s="255"/>
      <c r="R14" s="255"/>
      <c r="S14" s="255"/>
    </row>
    <row r="15" spans="1:19">
      <c r="A15" s="66" t="s">
        <v>419</v>
      </c>
      <c r="B15" s="63">
        <f t="shared" si="0"/>
        <v>0</v>
      </c>
      <c r="C15" s="108">
        <v>0.14000000000000001</v>
      </c>
      <c r="D15" s="108">
        <v>0.34</v>
      </c>
      <c r="E15" s="63">
        <f t="shared" si="1"/>
        <v>10</v>
      </c>
      <c r="F15" s="108">
        <v>0.14000000000000001</v>
      </c>
      <c r="G15" s="108">
        <v>0.23</v>
      </c>
      <c r="J15" s="256"/>
      <c r="K15" s="66" t="s">
        <v>419</v>
      </c>
      <c r="L15" s="108">
        <v>0.14000000000000001</v>
      </c>
      <c r="M15" s="108">
        <v>0.34</v>
      </c>
      <c r="N15" s="108">
        <v>0.14000000000000001</v>
      </c>
      <c r="O15" s="108">
        <v>0.23</v>
      </c>
      <c r="Q15" s="255"/>
      <c r="R15" s="255"/>
      <c r="S15" s="255"/>
    </row>
    <row r="16" spans="1:19">
      <c r="A16" s="66" t="s">
        <v>420</v>
      </c>
      <c r="B16" s="63">
        <f t="shared" si="0"/>
        <v>0</v>
      </c>
      <c r="C16" s="108">
        <v>0.22</v>
      </c>
      <c r="D16" s="108">
        <v>0.71</v>
      </c>
      <c r="E16" s="63">
        <f t="shared" si="1"/>
        <v>10</v>
      </c>
      <c r="F16" s="108">
        <v>0.22</v>
      </c>
      <c r="G16" s="108">
        <v>0.36</v>
      </c>
      <c r="J16" s="256"/>
      <c r="K16" s="66" t="s">
        <v>420</v>
      </c>
      <c r="L16" s="108">
        <v>0.22</v>
      </c>
      <c r="M16" s="108">
        <v>0.71</v>
      </c>
      <c r="N16" s="108">
        <v>0.22</v>
      </c>
      <c r="O16" s="108">
        <v>0.36</v>
      </c>
      <c r="Q16" s="255"/>
      <c r="R16" s="255"/>
      <c r="S16" s="255"/>
    </row>
    <row r="17" spans="1:15">
      <c r="A17" s="66" t="s">
        <v>421</v>
      </c>
      <c r="B17" s="63">
        <f t="shared" si="0"/>
        <v>0</v>
      </c>
      <c r="C17" s="108">
        <v>0.11</v>
      </c>
      <c r="D17" s="108">
        <v>0.51</v>
      </c>
      <c r="E17" s="63">
        <f t="shared" si="1"/>
        <v>10</v>
      </c>
      <c r="F17" s="108">
        <v>0.11</v>
      </c>
      <c r="G17" s="108">
        <v>0.31</v>
      </c>
      <c r="J17" s="256"/>
      <c r="K17" s="66" t="s">
        <v>421</v>
      </c>
      <c r="L17" s="108">
        <v>0.11</v>
      </c>
      <c r="M17" s="108">
        <v>0.51</v>
      </c>
      <c r="N17" s="108">
        <v>0.11</v>
      </c>
      <c r="O17" s="108">
        <v>0.31</v>
      </c>
    </row>
    <row r="18" spans="1:15">
      <c r="A18" s="66" t="s">
        <v>422</v>
      </c>
      <c r="B18" s="63">
        <f t="shared" si="0"/>
        <v>0</v>
      </c>
      <c r="C18" s="108">
        <v>0.16</v>
      </c>
      <c r="D18" s="108">
        <v>1.43</v>
      </c>
      <c r="E18" s="63">
        <f t="shared" si="1"/>
        <v>10</v>
      </c>
      <c r="F18" s="108">
        <v>0.16</v>
      </c>
      <c r="G18" s="108">
        <v>0.28000000000000003</v>
      </c>
      <c r="J18" s="256"/>
      <c r="K18" s="66" t="s">
        <v>422</v>
      </c>
      <c r="L18" s="108">
        <v>0.16</v>
      </c>
      <c r="M18" s="108">
        <v>1.43</v>
      </c>
      <c r="N18" s="108">
        <v>0.16</v>
      </c>
      <c r="O18" s="108">
        <v>0.28000000000000003</v>
      </c>
    </row>
    <row r="19" spans="1:15">
      <c r="J19" s="256"/>
      <c r="K19" s="62" t="s">
        <v>423</v>
      </c>
      <c r="L19" s="106">
        <f>AVERAGE(L7:L18)</f>
        <v>0.19499999999999998</v>
      </c>
      <c r="M19" s="62">
        <f>MAX(M7:M18)</f>
        <v>5.72</v>
      </c>
      <c r="N19" s="106">
        <f>AVERAGE(N7:N18)</f>
        <v>0.19333333333333333</v>
      </c>
      <c r="O19" s="62">
        <f>MAX(O7:O18)</f>
        <v>0.41</v>
      </c>
    </row>
    <row r="21" spans="1:15" ht="41.45">
      <c r="J21" s="61">
        <f>+A6</f>
        <v>2022</v>
      </c>
      <c r="K21" s="61" t="s">
        <v>405</v>
      </c>
      <c r="L21" s="67" t="s">
        <v>400</v>
      </c>
      <c r="M21" s="67" t="s">
        <v>406</v>
      </c>
      <c r="N21" s="67" t="s">
        <v>403</v>
      </c>
      <c r="O21" s="67" t="s">
        <v>407</v>
      </c>
    </row>
    <row r="22" spans="1:15">
      <c r="J22" s="256" t="s">
        <v>196</v>
      </c>
      <c r="K22" s="66" t="s">
        <v>408</v>
      </c>
      <c r="L22" s="64"/>
      <c r="M22" s="64"/>
      <c r="N22" s="64"/>
      <c r="O22" s="64"/>
    </row>
    <row r="23" spans="1:15">
      <c r="J23" s="256"/>
      <c r="K23" s="66" t="s">
        <v>409</v>
      </c>
      <c r="L23" s="64"/>
      <c r="M23" s="64"/>
      <c r="N23" s="64"/>
      <c r="O23" s="64"/>
    </row>
    <row r="24" spans="1:15">
      <c r="J24" s="256"/>
      <c r="K24" s="66" t="s">
        <v>410</v>
      </c>
      <c r="L24" s="64"/>
      <c r="M24" s="64"/>
      <c r="N24" s="64"/>
      <c r="O24" s="64"/>
    </row>
    <row r="25" spans="1:15">
      <c r="J25" s="256"/>
      <c r="K25" s="66" t="s">
        <v>412</v>
      </c>
      <c r="L25" s="64"/>
      <c r="M25" s="64"/>
      <c r="N25" s="64"/>
      <c r="O25" s="64"/>
    </row>
    <row r="26" spans="1:15">
      <c r="J26" s="256"/>
      <c r="K26" s="66" t="s">
        <v>414</v>
      </c>
      <c r="L26" s="64"/>
      <c r="M26" s="64"/>
      <c r="N26" s="64"/>
      <c r="O26" s="64"/>
    </row>
    <row r="27" spans="1:15">
      <c r="J27" s="256"/>
      <c r="K27" s="66" t="s">
        <v>415</v>
      </c>
      <c r="L27" s="64"/>
      <c r="M27" s="64"/>
      <c r="N27" s="64"/>
      <c r="O27" s="64"/>
    </row>
    <row r="28" spans="1:15">
      <c r="J28" s="256"/>
      <c r="K28" s="66" t="s">
        <v>416</v>
      </c>
      <c r="L28" s="64"/>
      <c r="M28" s="64"/>
      <c r="N28" s="64"/>
      <c r="O28" s="64"/>
    </row>
    <row r="29" spans="1:15">
      <c r="J29" s="256"/>
      <c r="K29" s="66" t="s">
        <v>418</v>
      </c>
      <c r="L29" s="64"/>
      <c r="M29" s="64"/>
      <c r="N29" s="64"/>
      <c r="O29" s="64"/>
    </row>
    <row r="30" spans="1:15">
      <c r="J30" s="256"/>
      <c r="K30" s="66" t="s">
        <v>419</v>
      </c>
      <c r="L30" s="64"/>
      <c r="M30" s="64"/>
      <c r="N30" s="64"/>
      <c r="O30" s="64"/>
    </row>
    <row r="31" spans="1:15">
      <c r="J31" s="256"/>
      <c r="K31" s="66" t="s">
        <v>420</v>
      </c>
      <c r="L31" s="64"/>
      <c r="M31" s="64"/>
      <c r="N31" s="64"/>
      <c r="O31" s="64"/>
    </row>
    <row r="32" spans="1:15">
      <c r="J32" s="256"/>
      <c r="K32" s="66" t="s">
        <v>421</v>
      </c>
      <c r="L32" s="64"/>
      <c r="M32" s="64"/>
      <c r="N32" s="64"/>
      <c r="O32" s="64"/>
    </row>
    <row r="33" spans="1:15">
      <c r="J33" s="256"/>
      <c r="K33" s="66" t="s">
        <v>422</v>
      </c>
      <c r="L33" s="64"/>
      <c r="M33" s="64"/>
      <c r="N33" s="64"/>
      <c r="O33" s="64"/>
    </row>
    <row r="34" spans="1:15">
      <c r="J34" s="256"/>
      <c r="K34" s="62" t="s">
        <v>423</v>
      </c>
      <c r="L34" s="62" t="e">
        <f>AVERAGE(L22:L33)</f>
        <v>#DIV/0!</v>
      </c>
      <c r="M34" s="62">
        <f>MAX(M22:M33)</f>
        <v>0</v>
      </c>
      <c r="N34" s="62" t="e">
        <f>AVERAGE(N22:N33)</f>
        <v>#DIV/0!</v>
      </c>
      <c r="O34" s="62">
        <f>MAX(O22:O33)</f>
        <v>0</v>
      </c>
    </row>
    <row r="36" spans="1:15" ht="41.45">
      <c r="J36" s="61">
        <f>+A6</f>
        <v>2022</v>
      </c>
      <c r="K36" s="61" t="s">
        <v>405</v>
      </c>
      <c r="L36" s="67" t="s">
        <v>400</v>
      </c>
      <c r="M36" s="67" t="s">
        <v>406</v>
      </c>
      <c r="N36" s="67" t="s">
        <v>403</v>
      </c>
      <c r="O36" s="67" t="s">
        <v>407</v>
      </c>
    </row>
    <row r="37" spans="1:15">
      <c r="J37" s="256" t="s">
        <v>197</v>
      </c>
      <c r="K37" s="66" t="s">
        <v>408</v>
      </c>
      <c r="L37" s="64"/>
      <c r="M37" s="64"/>
      <c r="N37" s="64"/>
      <c r="O37" s="64"/>
    </row>
    <row r="38" spans="1:15">
      <c r="J38" s="256"/>
      <c r="K38" s="66" t="s">
        <v>409</v>
      </c>
      <c r="L38" s="64"/>
      <c r="M38" s="64"/>
      <c r="N38" s="64"/>
      <c r="O38" s="64"/>
    </row>
    <row r="39" spans="1:15">
      <c r="J39" s="256"/>
      <c r="K39" s="66" t="s">
        <v>410</v>
      </c>
      <c r="L39" s="64"/>
      <c r="M39" s="64"/>
      <c r="N39" s="64"/>
      <c r="O39" s="64"/>
    </row>
    <row r="40" spans="1:15">
      <c r="J40" s="256"/>
      <c r="K40" s="66" t="s">
        <v>412</v>
      </c>
      <c r="L40" s="64"/>
      <c r="M40" s="64"/>
      <c r="N40" s="64"/>
      <c r="O40" s="64"/>
    </row>
    <row r="41" spans="1:15">
      <c r="J41" s="256"/>
      <c r="K41" s="66" t="s">
        <v>414</v>
      </c>
      <c r="L41" s="64"/>
      <c r="M41" s="64"/>
      <c r="N41" s="64"/>
      <c r="O41" s="64"/>
    </row>
    <row r="42" spans="1:15">
      <c r="J42" s="256"/>
      <c r="K42" s="66" t="s">
        <v>415</v>
      </c>
      <c r="L42" s="64"/>
      <c r="M42" s="64"/>
      <c r="N42" s="64"/>
      <c r="O42" s="64"/>
    </row>
    <row r="43" spans="1:15">
      <c r="J43" s="256"/>
      <c r="K43" s="66" t="s">
        <v>416</v>
      </c>
      <c r="L43" s="64"/>
      <c r="M43" s="64"/>
      <c r="N43" s="64"/>
      <c r="O43" s="64"/>
    </row>
    <row r="44" spans="1:15">
      <c r="J44" s="256"/>
      <c r="K44" s="66" t="s">
        <v>418</v>
      </c>
      <c r="L44" s="64"/>
      <c r="M44" s="64"/>
      <c r="N44" s="64"/>
      <c r="O44" s="64"/>
    </row>
    <row r="45" spans="1:15">
      <c r="J45" s="256"/>
      <c r="K45" s="66" t="s">
        <v>419</v>
      </c>
      <c r="L45" s="64"/>
      <c r="M45" s="64"/>
      <c r="N45" s="64"/>
      <c r="O45" s="64"/>
    </row>
    <row r="46" spans="1:15">
      <c r="J46" s="256"/>
      <c r="K46" s="66" t="s">
        <v>420</v>
      </c>
      <c r="L46" s="64"/>
      <c r="M46" s="64"/>
      <c r="N46" s="64"/>
      <c r="O46" s="64"/>
    </row>
    <row r="47" spans="1:15">
      <c r="J47" s="256"/>
      <c r="K47" s="66" t="s">
        <v>421</v>
      </c>
      <c r="L47" s="64"/>
      <c r="M47" s="64"/>
      <c r="N47" s="64"/>
      <c r="O47" s="64"/>
    </row>
    <row r="48" spans="1:15">
      <c r="A48" s="268" t="s">
        <v>313</v>
      </c>
      <c r="B48" s="269"/>
      <c r="C48" s="269"/>
      <c r="D48" s="269"/>
      <c r="E48" s="269"/>
      <c r="F48" s="269"/>
      <c r="G48" s="270"/>
      <c r="J48" s="256"/>
      <c r="K48" s="66" t="s">
        <v>422</v>
      </c>
      <c r="L48" s="64"/>
      <c r="M48" s="64"/>
      <c r="N48" s="64"/>
      <c r="O48" s="64"/>
    </row>
    <row r="49" spans="1:15">
      <c r="A49" s="271" t="s">
        <v>448</v>
      </c>
      <c r="B49" s="281"/>
      <c r="C49" s="281"/>
      <c r="D49" s="281"/>
      <c r="E49" s="281"/>
      <c r="F49" s="281"/>
      <c r="G49" s="282"/>
      <c r="J49" s="256"/>
      <c r="K49" s="62" t="s">
        <v>423</v>
      </c>
      <c r="L49" s="62" t="e">
        <f>AVERAGE(L37:L48)</f>
        <v>#DIV/0!</v>
      </c>
      <c r="M49" s="62">
        <f>MAX(M37:M48)</f>
        <v>0</v>
      </c>
      <c r="N49" s="62" t="e">
        <f>AVERAGE(N37:N48)</f>
        <v>#DIV/0!</v>
      </c>
      <c r="O49" s="62">
        <f>MAX(O37:O48)</f>
        <v>0</v>
      </c>
    </row>
    <row r="50" spans="1:15">
      <c r="A50" s="283"/>
      <c r="B50" s="284"/>
      <c r="C50" s="284"/>
      <c r="D50" s="284"/>
      <c r="E50" s="284"/>
      <c r="F50" s="284"/>
      <c r="G50" s="285"/>
    </row>
    <row r="51" spans="1:15" ht="41.45">
      <c r="A51" s="283"/>
      <c r="B51" s="284"/>
      <c r="C51" s="284"/>
      <c r="D51" s="284"/>
      <c r="E51" s="284"/>
      <c r="F51" s="284"/>
      <c r="G51" s="285"/>
      <c r="J51" s="61">
        <f>+A6</f>
        <v>2022</v>
      </c>
      <c r="K51" s="61" t="s">
        <v>405</v>
      </c>
      <c r="L51" s="67" t="s">
        <v>400</v>
      </c>
      <c r="M51" s="67" t="s">
        <v>406</v>
      </c>
      <c r="N51" s="67" t="s">
        <v>403</v>
      </c>
      <c r="O51" s="67" t="s">
        <v>407</v>
      </c>
    </row>
    <row r="52" spans="1:15">
      <c r="A52" s="286"/>
      <c r="B52" s="287"/>
      <c r="C52" s="287"/>
      <c r="D52" s="287"/>
      <c r="E52" s="287"/>
      <c r="F52" s="287"/>
      <c r="G52" s="288"/>
      <c r="J52" s="256" t="s">
        <v>198</v>
      </c>
      <c r="K52" s="66" t="s">
        <v>408</v>
      </c>
      <c r="L52" s="64"/>
      <c r="M52" s="64"/>
      <c r="N52" s="64"/>
      <c r="O52" s="64"/>
    </row>
    <row r="53" spans="1:15">
      <c r="J53" s="256"/>
      <c r="K53" s="66" t="s">
        <v>409</v>
      </c>
      <c r="L53" s="64"/>
      <c r="M53" s="64"/>
      <c r="N53" s="64"/>
      <c r="O53" s="64"/>
    </row>
    <row r="54" spans="1:15">
      <c r="J54" s="256"/>
      <c r="K54" s="66" t="s">
        <v>410</v>
      </c>
      <c r="L54" s="64"/>
      <c r="M54" s="64"/>
      <c r="N54" s="64"/>
      <c r="O54" s="64"/>
    </row>
    <row r="55" spans="1:15">
      <c r="J55" s="256"/>
      <c r="K55" s="66" t="s">
        <v>412</v>
      </c>
      <c r="L55" s="64"/>
      <c r="M55" s="64"/>
      <c r="N55" s="64"/>
      <c r="O55" s="64"/>
    </row>
    <row r="56" spans="1:15">
      <c r="J56" s="256"/>
      <c r="K56" s="66" t="s">
        <v>414</v>
      </c>
      <c r="L56" s="64"/>
      <c r="M56" s="64"/>
      <c r="N56" s="64"/>
      <c r="O56" s="64"/>
    </row>
    <row r="57" spans="1:15">
      <c r="J57" s="256"/>
      <c r="K57" s="66" t="s">
        <v>415</v>
      </c>
      <c r="L57" s="64"/>
      <c r="M57" s="64"/>
      <c r="N57" s="64"/>
      <c r="O57" s="64"/>
    </row>
    <row r="58" spans="1:15">
      <c r="J58" s="256"/>
      <c r="K58" s="66" t="s">
        <v>416</v>
      </c>
      <c r="L58" s="64"/>
      <c r="M58" s="64"/>
      <c r="N58" s="64"/>
      <c r="O58" s="64"/>
    </row>
    <row r="59" spans="1:15">
      <c r="J59" s="256"/>
      <c r="K59" s="66" t="s">
        <v>418</v>
      </c>
      <c r="L59" s="64"/>
      <c r="M59" s="64"/>
      <c r="N59" s="64"/>
      <c r="O59" s="64"/>
    </row>
    <row r="60" spans="1:15">
      <c r="J60" s="256"/>
      <c r="K60" s="66" t="s">
        <v>419</v>
      </c>
      <c r="L60" s="64"/>
      <c r="M60" s="64"/>
      <c r="N60" s="64"/>
      <c r="O60" s="64"/>
    </row>
    <row r="61" spans="1:15">
      <c r="J61" s="256"/>
      <c r="K61" s="66" t="s">
        <v>420</v>
      </c>
      <c r="L61" s="64"/>
      <c r="M61" s="64"/>
      <c r="N61" s="64"/>
      <c r="O61" s="64"/>
    </row>
    <row r="62" spans="1:15">
      <c r="J62" s="256"/>
      <c r="K62" s="66" t="s">
        <v>421</v>
      </c>
      <c r="L62" s="64"/>
      <c r="M62" s="64"/>
      <c r="N62" s="64"/>
      <c r="O62" s="64"/>
    </row>
    <row r="63" spans="1:15">
      <c r="J63" s="256"/>
      <c r="K63" s="66" t="s">
        <v>422</v>
      </c>
      <c r="L63" s="64"/>
      <c r="M63" s="64"/>
      <c r="N63" s="64"/>
      <c r="O63" s="64"/>
    </row>
    <row r="64" spans="1:15">
      <c r="J64" s="256"/>
      <c r="K64" s="62" t="s">
        <v>423</v>
      </c>
      <c r="L64" s="62" t="e">
        <f>AVERAGE(L52:L63)</f>
        <v>#DIV/0!</v>
      </c>
      <c r="M64" s="62">
        <f>MAX(M52:M63)</f>
        <v>0</v>
      </c>
      <c r="N64" s="62" t="e">
        <f>AVERAGE(N52:N63)</f>
        <v>#DIV/0!</v>
      </c>
      <c r="O64" s="62">
        <f>MAX(O52:O63)</f>
        <v>0</v>
      </c>
    </row>
    <row r="66" spans="10:15" ht="41.45">
      <c r="J66" s="61">
        <f>+A6</f>
        <v>2022</v>
      </c>
      <c r="K66" s="61" t="s">
        <v>405</v>
      </c>
      <c r="L66" s="67" t="s">
        <v>400</v>
      </c>
      <c r="M66" s="67" t="s">
        <v>406</v>
      </c>
      <c r="N66" s="67" t="s">
        <v>403</v>
      </c>
      <c r="O66" s="67" t="s">
        <v>407</v>
      </c>
    </row>
    <row r="67" spans="10:15">
      <c r="J67" s="256" t="s">
        <v>199</v>
      </c>
      <c r="K67" s="66" t="s">
        <v>408</v>
      </c>
      <c r="L67" s="64"/>
      <c r="M67" s="64"/>
      <c r="N67" s="64"/>
      <c r="O67" s="64"/>
    </row>
    <row r="68" spans="10:15">
      <c r="J68" s="256"/>
      <c r="K68" s="66" t="s">
        <v>409</v>
      </c>
      <c r="L68" s="64"/>
      <c r="M68" s="64"/>
      <c r="N68" s="64"/>
      <c r="O68" s="64"/>
    </row>
    <row r="69" spans="10:15">
      <c r="J69" s="256"/>
      <c r="K69" s="66" t="s">
        <v>410</v>
      </c>
      <c r="L69" s="64"/>
      <c r="M69" s="64"/>
      <c r="N69" s="64"/>
      <c r="O69" s="64"/>
    </row>
    <row r="70" spans="10:15">
      <c r="J70" s="256"/>
      <c r="K70" s="66" t="s">
        <v>412</v>
      </c>
      <c r="L70" s="64"/>
      <c r="M70" s="64"/>
      <c r="N70" s="64"/>
      <c r="O70" s="64"/>
    </row>
    <row r="71" spans="10:15">
      <c r="J71" s="256"/>
      <c r="K71" s="66" t="s">
        <v>414</v>
      </c>
      <c r="L71" s="64"/>
      <c r="M71" s="64"/>
      <c r="N71" s="64"/>
      <c r="O71" s="64"/>
    </row>
    <row r="72" spans="10:15">
      <c r="J72" s="256"/>
      <c r="K72" s="66" t="s">
        <v>415</v>
      </c>
      <c r="L72" s="64"/>
      <c r="M72" s="64"/>
      <c r="N72" s="64"/>
      <c r="O72" s="64"/>
    </row>
    <row r="73" spans="10:15">
      <c r="J73" s="256"/>
      <c r="K73" s="66" t="s">
        <v>416</v>
      </c>
      <c r="L73" s="64"/>
      <c r="M73" s="64"/>
      <c r="N73" s="64"/>
      <c r="O73" s="64"/>
    </row>
    <row r="74" spans="10:15">
      <c r="J74" s="256"/>
      <c r="K74" s="66" t="s">
        <v>418</v>
      </c>
      <c r="L74" s="64"/>
      <c r="M74" s="64"/>
      <c r="N74" s="64"/>
      <c r="O74" s="64"/>
    </row>
    <row r="75" spans="10:15">
      <c r="J75" s="256"/>
      <c r="K75" s="66" t="s">
        <v>419</v>
      </c>
      <c r="L75" s="64"/>
      <c r="M75" s="64"/>
      <c r="N75" s="64"/>
      <c r="O75" s="64"/>
    </row>
    <row r="76" spans="10:15">
      <c r="J76" s="256"/>
      <c r="K76" s="66" t="s">
        <v>420</v>
      </c>
      <c r="L76" s="64"/>
      <c r="M76" s="64"/>
      <c r="N76" s="64"/>
      <c r="O76" s="64"/>
    </row>
    <row r="77" spans="10:15">
      <c r="J77" s="256"/>
      <c r="K77" s="66" t="s">
        <v>421</v>
      </c>
      <c r="L77" s="64"/>
      <c r="M77" s="64"/>
      <c r="N77" s="64"/>
      <c r="O77" s="64"/>
    </row>
    <row r="78" spans="10:15">
      <c r="J78" s="256"/>
      <c r="K78" s="66" t="s">
        <v>422</v>
      </c>
      <c r="L78" s="64"/>
      <c r="M78" s="64"/>
      <c r="N78" s="64"/>
      <c r="O78" s="64"/>
    </row>
    <row r="79" spans="10:15">
      <c r="J79" s="256"/>
      <c r="K79" s="62" t="s">
        <v>423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CFA25E6B-9C20-4A1D-99C5-E4998229EDD2}"/>
</file>

<file path=customXml/itemProps4.xml><?xml version="1.0" encoding="utf-8"?>
<ds:datastoreItem xmlns:ds="http://schemas.openxmlformats.org/officeDocument/2006/customXml" ds:itemID="{92C8D700-EEE1-4EB2-9BA7-FBED9D36B38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2023-03-14T09:00:36Z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PermitDocumentType">
    <vt:lpwstr/>
  </property>
  <property fmtid="{D5CDD505-2E9C-101B-9397-08002B2CF9AE}" pid="5" name="TypeofPermit">
    <vt:lpwstr>9;#N/A - Do not select for New Permits|0430e4c2-ee0a-4b2d-9af6-df735aafbcb2</vt:lpwstr>
  </property>
  <property fmtid="{D5CDD505-2E9C-101B-9397-08002B2CF9AE}" pid="6" name="DisclosureStatus">
    <vt:lpwstr>183;#Available on Request|7ad922ec-cdbc-45a5-80ea-d5894476ea33</vt:lpwstr>
  </property>
  <property fmtid="{D5CDD505-2E9C-101B-9397-08002B2CF9AE}" pid="7" name="RegulatedActivitySub-Class">
    <vt:lpwstr/>
  </property>
  <property fmtid="{D5CDD505-2E9C-101B-9397-08002B2CF9AE}" pid="8" name="EventType1">
    <vt:lpwstr/>
  </property>
  <property fmtid="{D5CDD505-2E9C-101B-9397-08002B2CF9AE}" pid="9" name="ActivityGrouping">
    <vt:lpwstr>14;#Compliance|ff6b8245-8e5e-4665-98a1-a282a7d46807</vt:lpwstr>
  </property>
  <property fmtid="{D5CDD505-2E9C-101B-9397-08002B2CF9AE}" pid="10" name="RegulatedActivityClass">
    <vt:lpwstr>38;#Installations|645f1c9c-65df-490a-9ce3-4a2aa7c5ff7f</vt:lpwstr>
  </property>
  <property fmtid="{D5CDD505-2E9C-101B-9397-08002B2CF9AE}" pid="11" name="Catchment">
    <vt:lpwstr/>
  </property>
  <property fmtid="{D5CDD505-2E9C-101B-9397-08002B2CF9AE}" pid="12" name="MajorProjectID">
    <vt:lpwstr/>
  </property>
  <property fmtid="{D5CDD505-2E9C-101B-9397-08002B2CF9AE}" pid="13" name="StandardRulesID">
    <vt:lpwstr/>
  </property>
  <property fmtid="{D5CDD505-2E9C-101B-9397-08002B2CF9AE}" pid="14" name="CessationStatus">
    <vt:lpwstr/>
  </property>
  <property fmtid="{D5CDD505-2E9C-101B-9397-08002B2CF9AE}" pid="15" name="Regime">
    <vt:lpwstr>10;#EPR|0e5af97d-1a8c-4d8f-a20b-528a11cab1f6</vt:lpwstr>
  </property>
  <property fmtid="{D5CDD505-2E9C-101B-9397-08002B2CF9AE}" pid="16" name="SysUpdateNoER">
    <vt:lpwstr>No</vt:lpwstr>
  </property>
  <property fmtid="{D5CDD505-2E9C-101B-9397-08002B2CF9AE}" pid="17" name="InformationType">
    <vt:lpwstr/>
  </property>
  <property fmtid="{D5CDD505-2E9C-101B-9397-08002B2CF9AE}" pid="18" name="Distribution">
    <vt:lpwstr>9;#Internal EA|b77da37e-7166-4741-8c12-4679faab22d9</vt:lpwstr>
  </property>
  <property fmtid="{D5CDD505-2E9C-101B-9397-08002B2CF9AE}" pid="19" name="HOCopyrightLevel">
    <vt:lpwstr>7;#Crown|69589897-2828-4761-976e-717fd8e631c9</vt:lpwstr>
  </property>
  <property fmtid="{D5CDD505-2E9C-101B-9397-08002B2CF9AE}" pid="20" name="HOGovernmentSecurityClassification">
    <vt:lpwstr>6;#Official|14c80daa-741b-422c-9722-f71693c9ede4</vt:lpwstr>
  </property>
  <property fmtid="{D5CDD505-2E9C-101B-9397-08002B2CF9AE}" pid="21" name="OrganisationalUnit">
    <vt:lpwstr>8;#EA|d5f78ddb-b1b6-4328-9877-d7e3ed06fdac</vt:lpwstr>
  </property>
  <property fmtid="{D5CDD505-2E9C-101B-9397-08002B2CF9AE}" pid="22" name="HOSiteType">
    <vt:lpwstr>10;#Community|144ac7d7-0b9a-42f9-9385-2935294b6de3</vt:lpwstr>
  </property>
</Properties>
</file>