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2"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EmilyHingston\Sol Team Dropbox\Emily Hingston\Projects\Cobalt Energy\2. Annual Reports\Dudley\"/>
    </mc:Choice>
  </mc:AlternateContent>
  <xr:revisionPtr revIDLastSave="0" documentId="13_ncr:1_{01D32A38-F616-42B8-9BCF-2EA3DCFB28C8}" xr6:coauthVersionLast="47" xr6:coauthVersionMax="47" xr10:uidLastSave="{00000000-0000-0000-0000-000000000000}"/>
  <bookViews>
    <workbookView xWindow="-108" yWindow="-108" windowWidth="23256" windowHeight="12576" tabRatio="900" activeTab="3"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Residue Quality " sheetId="21" r:id="rId11"/>
    <sheet name="Water" sheetId="22" r:id="rId12"/>
    <sheet name="Air (periodic)" sheetId="23" r:id="rId13"/>
    <sheet name="Air (CEMS)" sheetId="24" r:id="rId14"/>
    <sheet name="HCl" sheetId="13" r:id="rId15"/>
    <sheet name="SO2" sheetId="25" r:id="rId16"/>
    <sheet name="NOx" sheetId="26" r:id="rId17"/>
    <sheet name="TOC" sheetId="27" r:id="rId18"/>
    <sheet name="Particulates" sheetId="28" r:id="rId19"/>
    <sheet name="CO 95% 10 min" sheetId="30" r:id="rId20"/>
    <sheet name="NH3" sheetId="31" r:id="rId21"/>
  </sheets>
  <definedNames>
    <definedName name="_xlnm.Print_Area" localSheetId="13">'Air (CEMS)'!$A$1:$M$30</definedName>
    <definedName name="_xlnm.Print_Area" localSheetId="12">'Air (periodic)'!$A$1:$J$41</definedName>
    <definedName name="_xlnm.Print_Area" localSheetId="19">'CO 95% 10 min'!$A$1:$H$52</definedName>
    <definedName name="_xlnm.Print_Area" localSheetId="1">Contents!$A$1:$J$46</definedName>
    <definedName name="_xlnm.Print_Area" localSheetId="0">'Cover Page'!$A$1:$J$55</definedName>
    <definedName name="_xlnm.Print_Area" localSheetId="6">'Energy Form 1'!$A$1:$I$29</definedName>
    <definedName name="_xlnm.Print_Area" localSheetId="2">'Facility Info'!$A$1:$I$72</definedName>
    <definedName name="_xlnm.Print_Area" localSheetId="14">HCl!$A$1:$G$52</definedName>
    <definedName name="_xlnm.Print_Area" localSheetId="8">Improvements!$A$1:$J$48</definedName>
    <definedName name="_xlnm.Print_Area" localSheetId="20">'NH3'!$A$1:$G$52</definedName>
    <definedName name="_xlnm.Print_Area" localSheetId="16">NOx!$A$1:$G$52</definedName>
    <definedName name="_xlnm.Print_Area" localSheetId="3">'Operational Data'!$A$1:$H$58</definedName>
    <definedName name="_xlnm.Print_Area" localSheetId="4">'Operational Summary'!$A$1:$I$52</definedName>
    <definedName name="_xlnm.Print_Area" localSheetId="18">Particulates!$A$1:$G$52</definedName>
    <definedName name="_xlnm.Print_Area" localSheetId="5">'Perf. Form 1'!$A$1:$J$53</definedName>
    <definedName name="_xlnm.Print_Area" localSheetId="7">'Permit Compliance'!$A$1:$J$55</definedName>
    <definedName name="_xlnm.Print_Area" localSheetId="9">'Public Liasion'!$A$1:$J$29</definedName>
    <definedName name="_xlnm.Print_Area" localSheetId="10">'Residue Quality '!$A$1:$G$41</definedName>
    <definedName name="_xlnm.Print_Area" localSheetId="15">'SO2'!$A$1:$G$52</definedName>
    <definedName name="_xlnm.Print_Area" localSheetId="17">TOC!$A$1:$G$52</definedName>
    <definedName name="_xlnm.Print_Area" localSheetId="11">Water!$A$1:$J$30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2" i="6" l="1"/>
  <c r="D52" i="6"/>
  <c r="E52" i="6"/>
  <c r="F52" i="6"/>
  <c r="G43" i="6" l="1"/>
  <c r="H43" i="6" s="1"/>
  <c r="G44" i="6"/>
  <c r="G45" i="6"/>
  <c r="G46" i="6"/>
  <c r="G47" i="6"/>
  <c r="G41" i="6"/>
  <c r="G26" i="24" l="1"/>
  <c r="F26" i="24"/>
  <c r="E26" i="24"/>
  <c r="D26" i="24"/>
  <c r="N34" i="30"/>
  <c r="N19" i="30"/>
  <c r="G25" i="24"/>
  <c r="F25" i="24"/>
  <c r="D25" i="24"/>
  <c r="E25" i="24"/>
  <c r="G24" i="24"/>
  <c r="F24" i="24"/>
  <c r="E24" i="24"/>
  <c r="D24" i="24"/>
  <c r="G23" i="24"/>
  <c r="F23" i="24"/>
  <c r="E23" i="24"/>
  <c r="D23" i="24"/>
  <c r="G22" i="24"/>
  <c r="F22" i="24"/>
  <c r="E22" i="24"/>
  <c r="D22" i="24"/>
  <c r="G21" i="24"/>
  <c r="F21" i="24"/>
  <c r="E21" i="24"/>
  <c r="D21" i="24"/>
  <c r="G20" i="24"/>
  <c r="F20" i="24"/>
  <c r="E20" i="24"/>
  <c r="D20" i="24"/>
  <c r="G19" i="24"/>
  <c r="F19" i="24"/>
  <c r="E19" i="24"/>
  <c r="D19" i="24"/>
  <c r="G18" i="24"/>
  <c r="F18" i="24"/>
  <c r="E18" i="24"/>
  <c r="D18" i="24"/>
  <c r="G17" i="24"/>
  <c r="F17" i="24"/>
  <c r="E17" i="24"/>
  <c r="D17" i="24"/>
  <c r="G16" i="24"/>
  <c r="F16" i="24"/>
  <c r="E16" i="24"/>
  <c r="D16" i="24"/>
  <c r="G15" i="24"/>
  <c r="F15" i="24"/>
  <c r="E15" i="24"/>
  <c r="D15" i="24"/>
  <c r="G14" i="24"/>
  <c r="F14" i="24"/>
  <c r="E14" i="24"/>
  <c r="D14" i="24"/>
  <c r="G8" i="30"/>
  <c r="H8" i="30"/>
  <c r="G9" i="30"/>
  <c r="H9" i="30"/>
  <c r="G10" i="30"/>
  <c r="H10" i="30"/>
  <c r="G11" i="30"/>
  <c r="H11" i="30"/>
  <c r="G12" i="30"/>
  <c r="H12" i="30"/>
  <c r="G13" i="30"/>
  <c r="H13" i="30"/>
  <c r="G14" i="30"/>
  <c r="H14" i="30"/>
  <c r="G15" i="30"/>
  <c r="H15" i="30"/>
  <c r="G16" i="30"/>
  <c r="H16" i="30"/>
  <c r="G17" i="30"/>
  <c r="H17" i="30"/>
  <c r="G18" i="30"/>
  <c r="H18" i="30"/>
  <c r="D8" i="30"/>
  <c r="E8" i="30"/>
  <c r="D9" i="30"/>
  <c r="E9" i="30"/>
  <c r="D10" i="30"/>
  <c r="E10" i="30"/>
  <c r="D11" i="30"/>
  <c r="E11" i="30"/>
  <c r="D12" i="30"/>
  <c r="E12" i="30"/>
  <c r="D13" i="30"/>
  <c r="E13" i="30"/>
  <c r="D14" i="30"/>
  <c r="E14" i="30"/>
  <c r="D15" i="30"/>
  <c r="E15" i="30"/>
  <c r="D16" i="30"/>
  <c r="E16" i="30"/>
  <c r="D17" i="30"/>
  <c r="E17" i="30"/>
  <c r="D18" i="30"/>
  <c r="E18" i="30"/>
  <c r="H7" i="30"/>
  <c r="G7" i="30"/>
  <c r="E7" i="30"/>
  <c r="D7" i="30"/>
  <c r="C8" i="30"/>
  <c r="C9" i="30"/>
  <c r="C10" i="30"/>
  <c r="C11" i="30"/>
  <c r="C12" i="30"/>
  <c r="C13" i="30"/>
  <c r="C14" i="30"/>
  <c r="C15" i="30"/>
  <c r="C16" i="30"/>
  <c r="C17" i="30"/>
  <c r="C18" i="30"/>
  <c r="C7" i="30"/>
  <c r="F8" i="31"/>
  <c r="G8" i="31"/>
  <c r="F9" i="31"/>
  <c r="G9" i="31"/>
  <c r="F10" i="31"/>
  <c r="G10" i="31"/>
  <c r="F11" i="31"/>
  <c r="G11" i="31"/>
  <c r="F12" i="31"/>
  <c r="G12" i="31"/>
  <c r="F13" i="31"/>
  <c r="G13" i="31"/>
  <c r="F14" i="31"/>
  <c r="G14" i="31"/>
  <c r="F15" i="31"/>
  <c r="G15" i="31"/>
  <c r="F16" i="31"/>
  <c r="G16" i="31"/>
  <c r="F17" i="31"/>
  <c r="G17" i="31"/>
  <c r="F18" i="31"/>
  <c r="G18" i="31"/>
  <c r="C8" i="31"/>
  <c r="D8" i="31"/>
  <c r="C9" i="31"/>
  <c r="D9" i="31"/>
  <c r="C10" i="31"/>
  <c r="D10" i="31"/>
  <c r="C11" i="31"/>
  <c r="D11" i="31"/>
  <c r="C12" i="31"/>
  <c r="D12" i="31"/>
  <c r="C13" i="31"/>
  <c r="D13" i="31"/>
  <c r="C14" i="31"/>
  <c r="D14" i="31"/>
  <c r="C15" i="31"/>
  <c r="D15" i="31"/>
  <c r="C16" i="31"/>
  <c r="D16" i="31"/>
  <c r="C17" i="31"/>
  <c r="D17" i="31"/>
  <c r="C18" i="31"/>
  <c r="D18" i="31"/>
  <c r="G7" i="31"/>
  <c r="F7" i="31"/>
  <c r="D7" i="31"/>
  <c r="C7" i="31"/>
  <c r="F8" i="28"/>
  <c r="G8" i="28"/>
  <c r="F9" i="28"/>
  <c r="G9" i="28"/>
  <c r="F10" i="28"/>
  <c r="G10" i="28"/>
  <c r="F11" i="28"/>
  <c r="G11" i="28"/>
  <c r="F12" i="28"/>
  <c r="G12" i="28"/>
  <c r="F13" i="28"/>
  <c r="G13" i="28"/>
  <c r="F14" i="28"/>
  <c r="G14" i="28"/>
  <c r="F15" i="28"/>
  <c r="G15" i="28"/>
  <c r="F16" i="28"/>
  <c r="G16" i="28"/>
  <c r="F17" i="28"/>
  <c r="G17" i="28"/>
  <c r="F18" i="28"/>
  <c r="G18" i="28"/>
  <c r="C8" i="28"/>
  <c r="D8" i="28"/>
  <c r="C9" i="28"/>
  <c r="D9" i="28"/>
  <c r="C10" i="28"/>
  <c r="D10" i="28"/>
  <c r="C11" i="28"/>
  <c r="D11" i="28"/>
  <c r="C12" i="28"/>
  <c r="D12" i="28"/>
  <c r="C13" i="28"/>
  <c r="D13" i="28"/>
  <c r="C14" i="28"/>
  <c r="D14" i="28"/>
  <c r="C15" i="28"/>
  <c r="D15" i="28"/>
  <c r="C16" i="28"/>
  <c r="D16" i="28"/>
  <c r="C17" i="28"/>
  <c r="D17" i="28"/>
  <c r="C18" i="28"/>
  <c r="D18" i="28"/>
  <c r="G7" i="28"/>
  <c r="F7" i="28"/>
  <c r="D7" i="28"/>
  <c r="C7" i="28"/>
  <c r="F8" i="27"/>
  <c r="G8" i="27"/>
  <c r="F9" i="27"/>
  <c r="G9" i="27"/>
  <c r="F10" i="27"/>
  <c r="G10" i="27"/>
  <c r="F11" i="27"/>
  <c r="G11" i="27"/>
  <c r="F12" i="27"/>
  <c r="G12" i="27"/>
  <c r="F13" i="27"/>
  <c r="G13" i="27"/>
  <c r="F14" i="27"/>
  <c r="G14" i="27"/>
  <c r="F15" i="27"/>
  <c r="G15" i="27"/>
  <c r="F16" i="27"/>
  <c r="G16" i="27"/>
  <c r="F17" i="27"/>
  <c r="G17" i="27"/>
  <c r="F18" i="27"/>
  <c r="G18" i="27"/>
  <c r="C8" i="27"/>
  <c r="D8" i="27"/>
  <c r="C9" i="27"/>
  <c r="D9" i="27"/>
  <c r="C10" i="27"/>
  <c r="D10" i="27"/>
  <c r="C11" i="27"/>
  <c r="D11" i="27"/>
  <c r="C12" i="27"/>
  <c r="D12" i="27"/>
  <c r="C13" i="27"/>
  <c r="D13" i="27"/>
  <c r="C14" i="27"/>
  <c r="D14" i="27"/>
  <c r="C15" i="27"/>
  <c r="D15" i="27"/>
  <c r="C16" i="27"/>
  <c r="D16" i="27"/>
  <c r="C17" i="27"/>
  <c r="D17" i="27"/>
  <c r="C18" i="27"/>
  <c r="D18" i="27"/>
  <c r="G7" i="27"/>
  <c r="F7" i="27"/>
  <c r="D7" i="27"/>
  <c r="C7" i="27"/>
  <c r="F8" i="26"/>
  <c r="G8" i="26"/>
  <c r="F9" i="26"/>
  <c r="G9" i="26"/>
  <c r="F10" i="26"/>
  <c r="G10" i="26"/>
  <c r="F11" i="26"/>
  <c r="G11" i="26"/>
  <c r="F12" i="26"/>
  <c r="G12" i="26"/>
  <c r="F13" i="26"/>
  <c r="G13" i="26"/>
  <c r="F14" i="26"/>
  <c r="G14" i="26"/>
  <c r="F15" i="26"/>
  <c r="G15" i="26"/>
  <c r="F16" i="26"/>
  <c r="G16" i="26"/>
  <c r="F17" i="26"/>
  <c r="G17" i="26"/>
  <c r="F18" i="26"/>
  <c r="G18" i="26"/>
  <c r="C8" i="26"/>
  <c r="D8" i="26"/>
  <c r="C9" i="26"/>
  <c r="D9" i="26"/>
  <c r="C10" i="26"/>
  <c r="D10" i="26"/>
  <c r="C11" i="26"/>
  <c r="D11" i="26"/>
  <c r="C12" i="26"/>
  <c r="D12" i="26"/>
  <c r="C13" i="26"/>
  <c r="D13" i="26"/>
  <c r="C14" i="26"/>
  <c r="D14" i="26"/>
  <c r="C15" i="26"/>
  <c r="D15" i="26"/>
  <c r="C16" i="26"/>
  <c r="D16" i="26"/>
  <c r="C17" i="26"/>
  <c r="D17" i="26"/>
  <c r="C18" i="26"/>
  <c r="D18" i="26"/>
  <c r="G7" i="26"/>
  <c r="F7" i="26"/>
  <c r="D7" i="26"/>
  <c r="C7" i="26"/>
  <c r="F8" i="25"/>
  <c r="G8" i="25"/>
  <c r="F9" i="25"/>
  <c r="G9" i="25"/>
  <c r="F10" i="25"/>
  <c r="G10" i="25"/>
  <c r="F11" i="25"/>
  <c r="G11" i="25"/>
  <c r="F12" i="25"/>
  <c r="G12" i="25"/>
  <c r="F13" i="25"/>
  <c r="G13" i="25"/>
  <c r="F14" i="25"/>
  <c r="G14" i="25"/>
  <c r="F15" i="25"/>
  <c r="G15" i="25"/>
  <c r="F16" i="25"/>
  <c r="G16" i="25"/>
  <c r="F17" i="25"/>
  <c r="G17" i="25"/>
  <c r="F18" i="25"/>
  <c r="G18" i="25"/>
  <c r="C8" i="25"/>
  <c r="D8" i="25"/>
  <c r="C9" i="25"/>
  <c r="D9" i="25"/>
  <c r="C10" i="25"/>
  <c r="D10" i="25"/>
  <c r="C11" i="25"/>
  <c r="D11" i="25"/>
  <c r="C12" i="25"/>
  <c r="D12" i="25"/>
  <c r="C13" i="25"/>
  <c r="D13" i="25"/>
  <c r="C14" i="25"/>
  <c r="D14" i="25"/>
  <c r="C15" i="25"/>
  <c r="D15" i="25"/>
  <c r="C16" i="25"/>
  <c r="D16" i="25"/>
  <c r="C17" i="25"/>
  <c r="D17" i="25"/>
  <c r="C18" i="25"/>
  <c r="D18" i="25"/>
  <c r="G7" i="25"/>
  <c r="F7" i="25"/>
  <c r="D7" i="25"/>
  <c r="C7" i="25"/>
  <c r="F8" i="13"/>
  <c r="G8" i="13"/>
  <c r="F9" i="13"/>
  <c r="G9" i="13"/>
  <c r="F10" i="13"/>
  <c r="G10" i="13"/>
  <c r="F11" i="13"/>
  <c r="G11" i="13"/>
  <c r="F12" i="13"/>
  <c r="G12" i="13"/>
  <c r="F13" i="13"/>
  <c r="G13" i="13"/>
  <c r="F14" i="13"/>
  <c r="G14" i="13"/>
  <c r="F15" i="13"/>
  <c r="G15" i="13"/>
  <c r="F16" i="13"/>
  <c r="G16" i="13"/>
  <c r="F17" i="13"/>
  <c r="G17" i="13"/>
  <c r="F18" i="13"/>
  <c r="G18" i="13"/>
  <c r="C8" i="13"/>
  <c r="D8" i="13"/>
  <c r="C9" i="13"/>
  <c r="D9" i="13"/>
  <c r="C10" i="13"/>
  <c r="D10" i="13"/>
  <c r="C11" i="13"/>
  <c r="D11" i="13"/>
  <c r="C12" i="13"/>
  <c r="D12" i="13"/>
  <c r="C13" i="13"/>
  <c r="D13" i="13"/>
  <c r="C14" i="13"/>
  <c r="D14" i="13"/>
  <c r="C15" i="13"/>
  <c r="D15" i="13"/>
  <c r="C16" i="13"/>
  <c r="D16" i="13"/>
  <c r="C17" i="13"/>
  <c r="D17" i="13"/>
  <c r="C18" i="13"/>
  <c r="D18" i="13"/>
  <c r="G7" i="13"/>
  <c r="F7" i="13"/>
  <c r="D7" i="13"/>
  <c r="C7" i="13"/>
  <c r="E1" i="5" l="1"/>
  <c r="G12" i="6"/>
  <c r="I18" i="7"/>
  <c r="I19" i="7"/>
  <c r="I20" i="7"/>
  <c r="I12" i="7"/>
  <c r="C15" i="6" l="1"/>
  <c r="H54" i="6" l="1"/>
  <c r="G13" i="6" l="1"/>
  <c r="H13" i="6" s="1"/>
  <c r="G39" i="6"/>
  <c r="E33" i="7" s="1"/>
  <c r="J3" i="31" l="1"/>
  <c r="J3" i="30"/>
  <c r="J3" i="28"/>
  <c r="J3" i="27"/>
  <c r="J3" i="26"/>
  <c r="J3" i="25"/>
  <c r="J3" i="13"/>
  <c r="G16" i="6" l="1"/>
  <c r="G53" i="6" l="1"/>
  <c r="G58" i="6"/>
  <c r="G57" i="6"/>
  <c r="H57" i="6" s="1"/>
  <c r="G56" i="6"/>
  <c r="G54" i="6"/>
  <c r="G50" i="6"/>
  <c r="G51" i="6"/>
  <c r="H50" i="6" l="1"/>
  <c r="C44" i="7"/>
  <c r="H51" i="6"/>
  <c r="D44" i="7"/>
  <c r="I44" i="7"/>
  <c r="H53" i="6"/>
  <c r="G52" i="6"/>
  <c r="H52" i="6" s="1"/>
  <c r="D15" i="6"/>
  <c r="E15" i="6"/>
  <c r="F15" i="6"/>
  <c r="G18" i="6" l="1"/>
  <c r="E1" i="31"/>
  <c r="A1" i="31"/>
  <c r="E1" i="30"/>
  <c r="A1" i="30"/>
  <c r="E1" i="28"/>
  <c r="A1" i="28"/>
  <c r="E1" i="27"/>
  <c r="A1" i="27"/>
  <c r="E1" i="26"/>
  <c r="A1" i="26"/>
  <c r="E1" i="25"/>
  <c r="A1" i="25"/>
  <c r="E1" i="13"/>
  <c r="A1" i="13"/>
  <c r="I1" i="24"/>
  <c r="A1" i="24"/>
  <c r="E1" i="23"/>
  <c r="A1" i="23"/>
  <c r="E1" i="22"/>
  <c r="A1" i="22"/>
  <c r="E1" i="21"/>
  <c r="A1" i="21"/>
  <c r="E1" i="11"/>
  <c r="A1" i="11"/>
  <c r="E1" i="10"/>
  <c r="A1" i="10"/>
  <c r="E1" i="9"/>
  <c r="A1" i="9"/>
  <c r="A1" i="6"/>
  <c r="A1" i="5"/>
  <c r="E1" i="4"/>
  <c r="A1" i="4"/>
  <c r="E1" i="3"/>
  <c r="A1" i="3"/>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Q79" i="30"/>
  <c r="Q64" i="30"/>
  <c r="Q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O34" i="28"/>
  <c r="N34" i="28"/>
  <c r="M34" i="28"/>
  <c r="L34" i="28"/>
  <c r="O19" i="28"/>
  <c r="N19" i="28"/>
  <c r="M19" i="28"/>
  <c r="L19" i="28"/>
  <c r="A6" i="28"/>
  <c r="O34" i="27"/>
  <c r="N34" i="27"/>
  <c r="M34" i="27"/>
  <c r="L34" i="27"/>
  <c r="O19" i="27"/>
  <c r="N19" i="27"/>
  <c r="M19" i="27"/>
  <c r="L19" i="27"/>
  <c r="A6" i="27"/>
  <c r="O34" i="26"/>
  <c r="N34" i="26"/>
  <c r="M34" i="26"/>
  <c r="L34" i="26"/>
  <c r="O19" i="26"/>
  <c r="N19" i="26"/>
  <c r="M19" i="26"/>
  <c r="L19" i="26"/>
  <c r="A6" i="26"/>
  <c r="O34" i="25"/>
  <c r="N34" i="25"/>
  <c r="M34" i="25"/>
  <c r="L34" i="25"/>
  <c r="O19" i="25"/>
  <c r="N19" i="25"/>
  <c r="M19" i="25"/>
  <c r="L19" i="25"/>
  <c r="A6" i="25"/>
  <c r="O34" i="13"/>
  <c r="N34" i="13"/>
  <c r="M34" i="13"/>
  <c r="L34" i="13"/>
  <c r="O19" i="13"/>
  <c r="N19" i="13"/>
  <c r="M19" i="13"/>
  <c r="L19" i="13"/>
  <c r="A6" i="13"/>
  <c r="J21" i="28" l="1"/>
  <c r="J21" i="27"/>
  <c r="J21" i="26"/>
  <c r="J21" i="25"/>
  <c r="J21" i="13"/>
  <c r="J6" i="13"/>
  <c r="J21" i="31"/>
  <c r="J6" i="31"/>
  <c r="K6" i="30"/>
  <c r="K21" i="30"/>
  <c r="J6" i="28"/>
  <c r="J6" i="27"/>
  <c r="J6" i="26"/>
  <c r="J6" i="25"/>
  <c r="D25" i="6"/>
  <c r="E25" i="6"/>
  <c r="F25" i="6"/>
  <c r="C25" i="6"/>
  <c r="G7" i="8"/>
  <c r="D7" i="8"/>
  <c r="B5" i="8"/>
  <c r="G3" i="8"/>
  <c r="A3" i="8"/>
  <c r="A1" i="8"/>
  <c r="E21" i="7"/>
  <c r="G13" i="7"/>
  <c r="B4" i="7"/>
  <c r="G3" i="7"/>
  <c r="A3" i="7"/>
  <c r="A1" i="7"/>
  <c r="A8" i="7" s="1"/>
  <c r="H58" i="6"/>
  <c r="H56" i="6"/>
  <c r="G42" i="6"/>
  <c r="G40" i="6"/>
  <c r="G38" i="6"/>
  <c r="G37" i="6"/>
  <c r="H37" i="6" s="1"/>
  <c r="G36" i="6"/>
  <c r="G33" i="6"/>
  <c r="G17" i="7" s="1"/>
  <c r="I17" i="7" s="1"/>
  <c r="G32" i="6"/>
  <c r="G16" i="7" s="1"/>
  <c r="I16" i="7" s="1"/>
  <c r="G31" i="6"/>
  <c r="E11" i="7" s="1"/>
  <c r="I11" i="7" s="1"/>
  <c r="G27" i="6"/>
  <c r="G26" i="6"/>
  <c r="H26" i="6" s="1"/>
  <c r="G24" i="6"/>
  <c r="G23" i="6"/>
  <c r="H23" i="6" s="1"/>
  <c r="G22" i="6"/>
  <c r="G21" i="6"/>
  <c r="H21" i="6" s="1"/>
  <c r="G17" i="6"/>
  <c r="H17" i="6" s="1"/>
  <c r="G14" i="6"/>
  <c r="G11" i="6"/>
  <c r="G10" i="6"/>
  <c r="G9" i="6"/>
  <c r="G8" i="6"/>
  <c r="E13" i="7" l="1"/>
  <c r="E22" i="7" s="1"/>
  <c r="G21" i="7"/>
  <c r="I21" i="7" s="1"/>
  <c r="D14" i="8"/>
  <c r="H27" i="6"/>
  <c r="D11" i="8"/>
  <c r="H24" i="6"/>
  <c r="D12" i="8"/>
  <c r="H22" i="6"/>
  <c r="E31" i="7"/>
  <c r="H31" i="7" s="1"/>
  <c r="H33" i="7"/>
  <c r="H38" i="6"/>
  <c r="E35" i="7"/>
  <c r="H35" i="7" s="1"/>
  <c r="E34" i="7"/>
  <c r="H34" i="7" s="1"/>
  <c r="G15" i="6"/>
  <c r="G25" i="6"/>
  <c r="E32" i="7"/>
  <c r="H32" i="7" s="1"/>
  <c r="D10" i="8"/>
  <c r="G10" i="8"/>
  <c r="A29" i="7"/>
  <c r="A41" i="7" s="1"/>
  <c r="G22" i="7" l="1"/>
  <c r="I22" i="7" s="1"/>
  <c r="I13" i="7"/>
  <c r="H41" i="6"/>
  <c r="H47" i="6"/>
  <c r="H46" i="6"/>
  <c r="H45" i="6"/>
  <c r="H44" i="6"/>
  <c r="H40" i="6"/>
  <c r="H18" i="6"/>
  <c r="H39" i="6"/>
  <c r="H36" i="6"/>
  <c r="H42" i="6"/>
  <c r="H12" i="6"/>
  <c r="H8" i="6"/>
  <c r="H16" i="6"/>
  <c r="H33" i="6"/>
  <c r="H31" i="6"/>
  <c r="H10" i="6"/>
  <c r="G11" i="8"/>
  <c r="G12" i="8"/>
  <c r="H14" i="6"/>
  <c r="G14" i="8"/>
  <c r="H11" i="6"/>
  <c r="H9" i="6"/>
  <c r="H32" i="6"/>
</calcChain>
</file>

<file path=xl/sharedStrings.xml><?xml version="1.0" encoding="utf-8"?>
<sst xmlns="http://schemas.openxmlformats.org/spreadsheetml/2006/main" count="1101" uniqueCount="452">
  <si>
    <t>North Midlands Operations Ltd</t>
  </si>
  <si>
    <t xml:space="preserve">Version 20.5 </t>
  </si>
  <si>
    <t>Add photo</t>
  </si>
  <si>
    <t>Notes:</t>
  </si>
  <si>
    <t>This template may require adjustments by individual operators to meet specific reporting requirements as defined in the site Permit(s)</t>
  </si>
  <si>
    <t>Annual Performance Report 2022</t>
  </si>
  <si>
    <t>Permit EPR/HP3247QS</t>
  </si>
  <si>
    <t>Dudley Energy from Waste Facility</t>
  </si>
  <si>
    <t>Year:</t>
  </si>
  <si>
    <t>Address:</t>
  </si>
  <si>
    <t>Lister Road, Dudley, West Midlands, DY2 8YT</t>
  </si>
  <si>
    <t xml:space="preserve">Tel: </t>
  </si>
  <si>
    <t>01179 372 811</t>
  </si>
  <si>
    <t xml:space="preserve">Email: </t>
  </si>
  <si>
    <t>emily.hingston@sol-environment.co.uk</t>
  </si>
  <si>
    <t>Prepared by:</t>
  </si>
  <si>
    <t>Emily Hingston</t>
  </si>
  <si>
    <t>Position:</t>
  </si>
  <si>
    <t>Consultant</t>
  </si>
  <si>
    <t>Approved by:</t>
  </si>
  <si>
    <t>Kate Harrop</t>
  </si>
  <si>
    <t>Quality &amp; Environmental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</si>
  <si>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</si>
  <si>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</si>
  <si>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</si>
  <si>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</si>
  <si>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</si>
  <si>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</si>
  <si>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</si>
  <si>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</si>
  <si>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</si>
  <si>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</si>
  <si>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</si>
  <si>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</si>
  <si>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</si>
  <si>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</si>
  <si>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</si>
  <si>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</si>
  <si>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</si>
  <si>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</si>
  <si>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</si>
  <si>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</si>
  <si>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</si>
  <si>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</si>
  <si>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</si>
  <si>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</si>
  <si>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</si>
  <si>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</si>
  <si>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</si>
  <si>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</si>
  <si>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</si>
  <si>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</si>
  <si>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</si>
  <si>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</si>
  <si>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</si>
  <si>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</si>
  <si>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Plant Description and Design</t>
  </si>
  <si>
    <t xml:space="preserve">The Dudley Energy from Waste Facility utilises municipal waste to recover energy in the form of electricity and steam for export to the local grid. The facility processes approximately 105,000 tpa of waste in two combustion streams with a combined capacity of up to 12 tonnes per hour which operate using moving grate furnace systems.  The heat produced during combustion process is converted to electrical energy by generating steam in high-pressure boilers and expanding the steam through a steam turbine.  When operating at full load, the plant will typically generate around 7.4 MW of electricity and, after satisfying its own power needs, exports approximately 6.5 MW of electricity to the grid. 
The installation provides a sustainable method of waste disposal and recovery, predominantly for the area within the administrative boundary of Dudley Metropolitan Borough Council, with smaller quantities of wastes accepted, where capacity and demand exists, from other local authorities within the general vicinity of the plant.
The process includes waste reception and storage, combustion, waste heat boilers, abatement of flue gases and the onsite storage of residues produced, namely IBA and APCr.
The plant is operated in accordance with its Environmental Management System which is designed to meet the requirements of ISO14001:2004.  </t>
  </si>
  <si>
    <t xml:space="preserve">Include summary of plant design, design capacity, no. of combustion lines, electrical and heat capacity and any other general information that describes the facility, its location and purpose </t>
  </si>
  <si>
    <t>Summary of Operational Processes and Procedures</t>
  </si>
  <si>
    <r>
      <t xml:space="preserve">The principle components of the process comprise the following:
</t>
    </r>
    <r>
      <rPr>
        <i/>
        <sz val="10"/>
        <color theme="1"/>
        <rFont val="Arial"/>
        <family val="2"/>
      </rPr>
      <t>Waste Acceptance and Reception:</t>
    </r>
    <r>
      <rPr>
        <sz val="10"/>
        <color theme="1"/>
        <rFont val="Arial"/>
        <family val="2"/>
      </rPr>
      <t xml:space="preserve"> All waste is delivered directly into the fuel storage building and unloaded into the storage bunkers. When required, the waste is discharged onto the feedstock feed system, which delivers the waste into the furnaces via feed hoppers. All waste is accepted in accordance to the sites waste acceptance procedures.
</t>
    </r>
    <r>
      <rPr>
        <i/>
        <sz val="10"/>
        <color theme="1"/>
        <rFont val="Arial"/>
        <family val="2"/>
      </rPr>
      <t xml:space="preserve">Combustion: </t>
    </r>
    <r>
      <rPr>
        <sz val="10"/>
        <color theme="1"/>
        <rFont val="Arial"/>
        <family val="2"/>
      </rPr>
      <t xml:space="preserve">The feed ram ensures that material falls into the moving grate within the furnace in a controlled manner.  The moving grate ensures the waste is agitated as it progresses down the furnace to the ash discharge.  Primary air is introduced beneath the grate causing the waste to go through a series of drying and burning areas.  Secondary air is introduced from above the grate for combustion control.  Auxiliary oil fired burners are located in the combustion chamber for start up and temperature control.  The produced gases are resident in the combustion chamber at the 850C for at least 2seconds before transfer to the boiler , economiser and abatement plant. 
</t>
    </r>
    <r>
      <rPr>
        <i/>
        <sz val="10"/>
        <color theme="1"/>
        <rFont val="Arial"/>
        <family val="2"/>
      </rPr>
      <t>Electricity Generation:</t>
    </r>
    <r>
      <rPr>
        <sz val="10"/>
        <color theme="1"/>
        <rFont val="Arial"/>
        <family val="2"/>
      </rPr>
      <t xml:space="preserve"> Each furnace is equipped with a 2-pass water tube boiler raising steam at 45 bar and 355C. The steam then passes to a Steam Turbine and Generator, which exports electricity to the grid.
</t>
    </r>
    <r>
      <rPr>
        <i/>
        <sz val="10"/>
        <color theme="1"/>
        <rFont val="Arial"/>
        <family val="2"/>
      </rPr>
      <t xml:space="preserve">Flue-Gas Cleaning: </t>
    </r>
    <r>
      <rPr>
        <sz val="10"/>
        <color theme="1"/>
        <rFont val="Arial"/>
        <family val="2"/>
      </rPr>
      <t xml:space="preserve">Flue gas cleaning and pollution control consists of urea injection for De-NOx, semi-dry scrubbing using milk of lime spray for acid gas neutralisation and activated carbon powder injection for absorption and removal of heavy metals, dioxins, VOCs and other harmful substances.  Bag filters remove particulates prior to emission to atmosphere via a single 47m high stack.
Process effluent is treated onsite in the effluent treatment plant and recycled through the process. Any surplus is discharged to foul sewer. 
The Plant is regulated under the terms of a Permit issued by the Environment Agency (reference HP3247QS) which contains conditions to ensure that the requirements of the Industrial Emissions Directive are met. 
North Midlands Operations Ltd operates all of its sites under an Integrated Management System certified to ISO 14001:2015 (environmental management), ISO 9001:2015 (quality management), and ISO 45001:2018 (health and safety management).  
In terms of plant operation, the incineration processes have been designed against the background of a detailed assessment of the prevailing environmental conditions at the site location, and are based upon the Best Available Technology (BAT) as detailed both in the original Authorisation application and the application for the Permit issued under the Environmental Permitting Regulations.  These include, but are not limited to, the following:
• Well proven process plant developed specifically for incineration of municipal solid wastes
• Efficient, comprehensive process control and monitoring systems to ensure optimum conditions for complete combustion of the wastes and to minimise emissions from the processes
• Operations confined within buildings under slight negative pressure in order to contain and minimise emissions such as dust and odour
• Qualified and experienced operating and maintenance personnel to implement procedures to ensure that the required high standards are maintained. Operating and Maintenance Procedures are established according to an internationally recognised system of quality assurance
• Multi-stage high efficiency flue gas cleaning systems comprising deNOx Selective Non-Catalytic Reduction (SNCR) for the removal of oxides of nitrogen, activated carbon and lime semi-dry acid gas scrubbing for controlling acid gas, dioxins/furans and mercury emissions
• Final stage flue gas abatement for particulate materials using fabric filtration
• Residues from the combustion process and from the flue gas cleaning system disposed of by approved means, maximising recycling wherever possible
• Waste water from the process is neutralised and recycled as far as is practicable to minimise the quantities released to sewers
• Provision of bunds or double skinned vessels for storage of fuel and chemicals in order to prevent accidental and inappropriate discharge to the public sewers and watercourse.
The site is currently working towards compliance with the new Waste Incineration BAT Conclusions, to which compliance is required by 03.12.2023.
</t>
    </r>
  </si>
  <si>
    <t>Include summary of key processes and procedures such as (but not limited to); waste reception, control rooms, grate, bed and boiler, energy &amp; heat  generation, cooling systems, residue management, emission controls, health and safety systems, maintenance</t>
  </si>
  <si>
    <t>Dudley EfW</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</si>
  <si>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</si>
  <si>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</si>
  <si>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</si>
  <si>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</si>
  <si>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</si>
  <si>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</si>
  <si>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</si>
  <si>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</si>
  <si>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</si>
  <si>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</si>
  <si>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</si>
  <si>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</si>
  <si>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</si>
  <si>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</si>
  <si>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</si>
  <si>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</si>
  <si>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</si>
  <si>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</si>
  <si>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</si>
  <si>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</si>
  <si>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</si>
  <si>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</si>
  <si>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</si>
  <si>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</si>
  <si>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</si>
  <si>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</si>
  <si>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</si>
  <si>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</si>
  <si>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</si>
  <si>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</si>
  <si>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</si>
  <si>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</si>
  <si>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</si>
  <si>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</si>
  <si>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</si>
  <si>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</si>
  <si>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</si>
  <si>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</si>
  <si>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</si>
  <si>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</si>
  <si>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t>
  </si>
  <si>
    <t>Design / Operational / n/a</t>
  </si>
  <si>
    <t>Waste Disposal &amp; Recovery</t>
  </si>
  <si>
    <t>% inputs</t>
  </si>
  <si>
    <t>APC Residues - produced</t>
  </si>
  <si>
    <t>IBA - produced</t>
  </si>
  <si>
    <t>Metals recycling</t>
  </si>
  <si>
    <t>Raw Material Usage</t>
  </si>
  <si>
    <t>kg or Ltr /te</t>
  </si>
  <si>
    <t>Mains Water</t>
  </si>
  <si>
    <t>M3</t>
  </si>
  <si>
    <t>Other Water</t>
  </si>
  <si>
    <t>ltrs</t>
  </si>
  <si>
    <t>Ammonia</t>
  </si>
  <si>
    <t>kgs</t>
  </si>
  <si>
    <t>Urea</t>
  </si>
  <si>
    <t>Activated Carbon</t>
  </si>
  <si>
    <t>Lime / hydrated lime</t>
  </si>
  <si>
    <t>Fuel oil</t>
  </si>
  <si>
    <t>Gas</t>
  </si>
  <si>
    <t>cf</t>
  </si>
  <si>
    <t>HCL</t>
  </si>
  <si>
    <t>Caustic Soda</t>
  </si>
  <si>
    <t>litres</t>
  </si>
  <si>
    <t xml:space="preserve">O2 Reducer </t>
  </si>
  <si>
    <t>Phosphate</t>
  </si>
  <si>
    <t xml:space="preserve">Summary </t>
  </si>
  <si>
    <t>Line/Unit</t>
  </si>
  <si>
    <t xml:space="preserve">Hrs in year </t>
  </si>
  <si>
    <t>Availability of waste combustion by line, hrs</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</si>
  <si>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</si>
  <si>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</si>
  <si>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</si>
  <si>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</si>
  <si>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</si>
  <si>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</si>
  <si>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</si>
  <si>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</si>
  <si>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</si>
  <si>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</si>
  <si>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</si>
  <si>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</si>
  <si>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In March 2022, MES Environmental's parent company CNIM went into receivership. In October, MES Environmental Ltd went into liquidation, and the environmental permit was transferred to North Midlands Operations Ltd.
MES Environmental Ltd staff were TUPE'd over to NMOL, allowing for continuity of day-to-day operation. 
However, it was announced in December that Dudley Metropolitan Borough Council was terminating their contract with Dudley Waste Services Ltd, and that the operation of the plant would be transferred to Urbaser on 14th February 2023.
The Dudley staff will be TUPE'd over to Urbaser at handover.
Due to the contractual and financial uncertainties and challenges during 2022, it seems that investment in improvements was limited.
• In overall 2022, the overall boilers availability was 91.7%. Tube leaks were a primary cause of downtime during 2022. The turbine unavailability was a good 93.59%.
• Extensive scheduled maintenance was undertaken at the plants annual planned shutdown period:
o Boilers thorough inspections performed. Thin pipes and worn refractory renewed. 
o Soot blowers and air hammers inspected and maintained. 
o Combustion system thoroughly inspected and worn parts replaced. 
o Auxiliary burners inspected and serviced. 
o Hydraulic packs serviced. 
o Both boiler pressure relief valves serviced. 
o Common vessels and main valves inspected. 
o Bag house filters and scrubbers cleaned, inspected and repaired where needed. The program of bags replacement continued. 
o Ducting and expansion joints inspections and repairs made. 
o Fly ash and bottom ash conveyors inspected and serviced. 
o Lime, urea and activated carbon systems cleaned and inspected. 
o Main fans and pumps inspected and serviced. The main electrical motors have been tested. 
o The main instrumentation has been calibrated. 
o Turbine, generator and gearbox serviced. Turbine blading borescope inspection carried out. Generator electrical test performed. 
o Main electrical systems inspected and tested.</t>
  </si>
  <si>
    <t xml:space="preserve">Include summary of key operational and/or maintenance activity undertaken in the year, such as any major component upgrades and/or replacements </t>
  </si>
  <si>
    <t>Summary of Residue Handling for the reporting year</t>
  </si>
  <si>
    <t>There are two main sources of residue that arise from the operation of the plant;  Incinerator Bottom ash (IBA) (which also includes ferrous metals discharged within the ash), and residues from the flue gas treatment system - known as Air Pollution Control residue (APCr).
Residues from the flue gas treatment process (APCr) are discharged into an enclosed system which feed into double-skinned heavy-duty bags prior to removal from site for controlled treatment and disposal.  These residues account for around 5% of the total weight of all refuse processed by the facility.
The bottom ash produced by the site represents around 10% of the original volume of the refuse processed, and around 20% of its weight.  Bottom ash residues are discharged from the lower end of each grate into a water filled ash discharger, where it is quenched and then ejected onto a conveyor system. Larger items are screened out and ferrous metals are removed via magnetic separation.  
The resulting material is stored in the storage bunkers prior to removal from site for recycling - the storage capacity for bottom ash residues and separated ferrous metals is sufficient to ensure 4 days storage. Collections for delivery to further processing or treatment sites are made on Mondays to Fridays and are scheduled to ensure sufficient storage capacity is maintained at all times. Collections are available at weekends if operational conditions require this facility.
Bottom ash is now widely used in the UK and Europe as a substitute for valuable primary aggregate materials in the construction of roads and embankments.  Bottom ash from North Midlands Operations Ltd is currently being reprocessed, with additional ferrous and trace metals being removed, and the remaining material being further processed into usable aggregate in a zero to landfill process.</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</si>
  <si>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</si>
  <si>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</si>
  <si>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</si>
  <si>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</si>
  <si>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</si>
  <si>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</si>
  <si>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</si>
  <si>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</si>
  <si>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</si>
  <si>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</si>
  <si>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</si>
  <si>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</si>
  <si>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</si>
  <si>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</si>
  <si>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</si>
  <si>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</si>
  <si>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</si>
  <si>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</si>
  <si>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</si>
  <si>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</si>
  <si>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</si>
  <si>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</si>
  <si>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</si>
  <si>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</si>
  <si>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</si>
  <si>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</si>
  <si>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</si>
  <si>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</si>
  <si>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</si>
  <si>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</si>
  <si>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</si>
  <si>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</si>
  <si>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</si>
  <si>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</si>
  <si>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</si>
  <si>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</si>
  <si>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</si>
  <si>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</si>
  <si>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</si>
  <si>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</si>
  <si>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Turbine 1</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</si>
  <si>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</si>
  <si>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</si>
  <si>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</si>
  <si>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</si>
  <si>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</si>
  <si>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</si>
  <si>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</si>
  <si>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</si>
  <si>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</si>
  <si>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</si>
  <si>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</si>
  <si>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</si>
  <si>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</si>
  <si>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</si>
  <si>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</si>
  <si>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</si>
  <si>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</si>
  <si>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</si>
  <si>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</si>
  <si>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</si>
  <si>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</si>
  <si>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</si>
  <si>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</si>
  <si>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</si>
  <si>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</si>
  <si>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</si>
  <si>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</si>
  <si>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</si>
  <si>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</si>
  <si>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</si>
  <si>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Hydrogen fluoride</t>
  </si>
  <si>
    <t>Average</t>
  </si>
  <si>
    <t>Summary of any notifications or non-compliances under the permit</t>
  </si>
  <si>
    <t>Summary of notification or non-compliance [including Line/Reference]</t>
  </si>
  <si>
    <t xml:space="preserve">Reason </t>
  </si>
  <si>
    <t>Measures taken to prevent reoccurrence</t>
  </si>
  <si>
    <t>NOx 1/2hrly ELV breach (552.19 mg/m3)</t>
  </si>
  <si>
    <t>Feeder forward limit issues</t>
  </si>
  <si>
    <t>Feeder limit repaired</t>
  </si>
  <si>
    <t>VOC 1/2hrly ELV breach (51.02 mg/m3)</t>
  </si>
  <si>
    <t>CO daily ELV breach (51.94 mg/m3)</t>
  </si>
  <si>
    <t>NOx 1/2hrly ELV breach (408.85 mg/m3)</t>
  </si>
  <si>
    <t>Blockage in urea pipework</t>
  </si>
  <si>
    <t>Cleared blockage</t>
  </si>
  <si>
    <t>HCL daily ELV breach (11.13 mg/m3)</t>
  </si>
  <si>
    <t xml:space="preserve">Poor quality waste </t>
  </si>
  <si>
    <t>Increase in waste mixing and used oil burner to support combustion</t>
  </si>
  <si>
    <t>SO2 1/2 hrly ELV breach (285.92 mg/m3)</t>
  </si>
  <si>
    <t xml:space="preserve">Lime control valves opened </t>
  </si>
  <si>
    <t>NOx 1/2 hrly ELV breach (419.75 mg/m3)</t>
  </si>
  <si>
    <t>Complete plant trip due to switching operations by western power distribution</t>
  </si>
  <si>
    <t>Lime system found to have tripped so put back into service</t>
  </si>
  <si>
    <t>HCL 1/2 hrly ELV breach (67.26 mg/m3)</t>
  </si>
  <si>
    <t>Increase lime slurry flow &amp; waste mixing</t>
  </si>
  <si>
    <t>SO2 1/2 hrly ELV breach (241.12 mg/m3)</t>
  </si>
  <si>
    <t>SO2 1/2 hrly ELV breach (270.2 mg/m3)</t>
  </si>
  <si>
    <t>HCL 1/2 hrly ELV breach (67.19 mg/m3)</t>
  </si>
  <si>
    <t>7 minute stoppage to lime turbine plus acid producing fuel source</t>
  </si>
  <si>
    <t>Increase running time with reduced HCl setpoint prior to stopping turbine</t>
  </si>
  <si>
    <t>HCL 1/2 hrly ELV breach (70.93 mg/m3)</t>
  </si>
  <si>
    <t>HCL 1/2 hrly ELV breach (113.05 mg/m3)</t>
  </si>
  <si>
    <t>Clogged lime turbine</t>
  </si>
  <si>
    <t xml:space="preserve">Lime control valves opened initially, unit taken offline to repair </t>
  </si>
  <si>
    <t>CO daily ELV breach (50.59 mg/m3)</t>
  </si>
  <si>
    <t>Wet waste causing erratic steam flow</t>
  </si>
  <si>
    <t>Reduction in steam flow set point to limit waste on grate and increase combustion time for waste</t>
  </si>
  <si>
    <t xml:space="preserve">CO 10-min ELV breach </t>
  </si>
  <si>
    <t>CO daily ELV breach (90.98 mg/m3)</t>
  </si>
  <si>
    <t>CO daily ELV breach (51.36 mg/m3)</t>
  </si>
  <si>
    <t>Periodic testing: Stack A1 Breach in metals ELV (0.697mg/m3)</t>
  </si>
  <si>
    <t>Unclear</t>
  </si>
  <si>
    <t xml:space="preserve">Results of periodic testing were not made available to NMOL until 25/01/2023 so no investigation could be undertaken </t>
  </si>
  <si>
    <t>HCL 1/2 hrly ELV breach (66.58 - 73.22 mg/m3)</t>
  </si>
  <si>
    <t>Stabilise combustion</t>
  </si>
  <si>
    <t>HCL daily ELV breach (10.3 mg/m3)</t>
  </si>
  <si>
    <t>Blockage in dilution and lime supply</t>
  </si>
  <si>
    <t>Backflushed lime supply pipework</t>
  </si>
  <si>
    <t>HCL 1/2 hrly ELV breach (78.11 mg/m3)</t>
  </si>
  <si>
    <t>shredded waste causing potential flash burning</t>
  </si>
  <si>
    <t xml:space="preserve">Increase waste mixing </t>
  </si>
  <si>
    <t>HCL 1/2 hrly ELV breach (66.45mg/m3)</t>
  </si>
  <si>
    <t>HCL 1/2 hrly ELV breach (62.58 mg/m3)</t>
  </si>
  <si>
    <t>HCL daily ELV breach (12.31 mg/m3)</t>
  </si>
  <si>
    <t xml:space="preserve">Flowmeter of lime slurry incorrectly reporting </t>
  </si>
  <si>
    <t>Repaired</t>
  </si>
  <si>
    <t>Summary of any complaints received and actions to taken to resolve them.</t>
  </si>
  <si>
    <t>Summary of complaint [including Line/Reference]</t>
  </si>
  <si>
    <t>Reason *</t>
  </si>
  <si>
    <t>None received in 2022</t>
  </si>
  <si>
    <t>* including whether substantiated by the operator or the EA</t>
  </si>
  <si>
    <t>Summary of Plant Improvements</t>
  </si>
  <si>
    <t>Summary of any efficiency improvements that have been completed within the year.</t>
  </si>
  <si>
    <t xml:space="preserve">• LED lamp replacement is an ongoing project.
• Continued the replacement program of damaged lagging.
• See Operational Summary for explanation about limited plant improvement activities in 2022.
</t>
  </si>
  <si>
    <t>Summary of any permit improvement conditions that have been completed within the year and the resulting environmental benefits.</t>
  </si>
  <si>
    <t xml:space="preserve">None. IC1-IC5 are currently being worked on - e.g. NOx abatement trials, Hg and D&amp;F testing, calculation of GEE etc. All findings from MESE and NMOL have been handed to Urbaser for completion. </t>
  </si>
  <si>
    <t>Summary of any changes to the plant or operating techniques which required a variation to the permit and a summary of the resulting environmental impact.</t>
  </si>
  <si>
    <t>No variations were made to the permit in 2022. However, it should be noted that use of the waste bunker permitted by the 1996 Waste Management Licence (SL 2028) ceased under North Midlands Operations Ltd - as no attempt to transfer it was made.</t>
  </si>
  <si>
    <t>Summary of any other improvements made to the plant or planned to be made and a summary of the resulting environmental benefits.</t>
  </si>
  <si>
    <t xml:space="preserve">•  Activated carbon system refurbished to prevent fugitive emissions.
•  Commissioned reprogramming of lime abatement system shutdown sequence to ensure the system shuts down empty. This reduces the risk of fugitive emissions and reduces chemical consumption.   								
												</t>
  </si>
  <si>
    <t>Details of Public &amp; Stakeholder Liasion</t>
  </si>
  <si>
    <t>Summary of events held during the reporting year.</t>
  </si>
  <si>
    <t>Description</t>
  </si>
  <si>
    <t>Jan 22 - Oct 22</t>
  </si>
  <si>
    <t>MESE conducted monthly meetings with its core stakeholders in order discuss operational, health and safety, and environmental performance.</t>
  </si>
  <si>
    <t>Nov 22- Dec 22</t>
  </si>
  <si>
    <t>NMOL conducted monthly meetings with its core stakeholders in order discuss operational, health and safety, and environmental performance.</t>
  </si>
  <si>
    <t>List of events planned for next year</t>
  </si>
  <si>
    <t>NMOL will continue to meet with its core stakeholders on a monthly basis.</t>
  </si>
  <si>
    <t>NMOL to launch company website.</t>
  </si>
  <si>
    <t>If you wish to be involved in the public liasion programme, please contact _________________</t>
  </si>
  <si>
    <t>Residue Quality Monitoring Requirements</t>
  </si>
  <si>
    <t>Summary of monitoring undertaken and compliance</t>
  </si>
  <si>
    <t>Ash monitoring has been undertaken in line with the permit.  IBA has been sampled on a monthly basis to inform hazard assessment, while APCr has been monitored on a quarterly basis</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</si>
  <si>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</si>
  <si>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</si>
  <si>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</si>
  <si>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</si>
  <si>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</si>
  <si>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</si>
  <si>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</si>
  <si>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</si>
  <si>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</si>
  <si>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</si>
  <si>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</si>
  <si>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</si>
  <si>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</si>
  <si>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</si>
  <si>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</si>
  <si>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N/A</t>
  </si>
  <si>
    <t>Emissions to Water / Sewer</t>
  </si>
  <si>
    <t>Monitoring Frequency</t>
  </si>
  <si>
    <t>Target</t>
  </si>
  <si>
    <t>Max.</t>
  </si>
  <si>
    <t>Summary of monitoring undertaken, standards used and compliance</t>
  </si>
  <si>
    <t xml:space="preserve">Quarterly monitoring undertaken in line with permit. </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</si>
  <si>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</si>
  <si>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</si>
  <si>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</si>
  <si>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</si>
  <si>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</si>
  <si>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</si>
  <si>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</si>
  <si>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</si>
  <si>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</si>
  <si>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</si>
  <si>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</si>
  <si>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</si>
  <si>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</si>
  <si>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</si>
  <si>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</si>
  <si>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</si>
  <si>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</si>
  <si>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</si>
  <si>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</si>
  <si>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</si>
  <si>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</si>
  <si>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</si>
  <si>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</si>
  <si>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</si>
  <si>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&lt;0.0084</t>
  </si>
  <si>
    <t>&lt;0.0078</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</si>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</sst>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6">
    <font>
      <sz val="11"/>
      <color theme="1"/>
      <name val="Calibri"/>
      <family val="2"/>
      <scheme val="minor"/>
    </font>
    <font>
      <sz val="12"/>
      <color theme="1"/>
      <name val="Arial"/>
      <family val="2"/>
    </font>
    <font>
      <sz val="10"/>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b/>
      <sz val="12"/>
      <color theme="4"/>
      <name val="Arial"/>
      <family val="2"/>
    </font>
    <font>
      <i/>
      <sz val="10"/>
      <color theme="1"/>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7">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491">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1" fillId="0" borderId="0" xfId="0" applyFont="1"/>
    <xf numFmtId="0" fontId="2" fillId="0" borderId="0" xfId="0" applyFont="1" applyAlignment="1">
      <alignment horizontal="center" vertical="center"/>
    </xf>
    <xf numFmtId="0" fontId="6" fillId="0" borderId="0" xfId="0" applyFont="1" applyAlignment="1">
      <alignment horizontal="left"/>
    </xf>
    <xf numFmtId="0" fontId="2" fillId="0" borderId="0" xfId="0" applyFont="1"/>
    <xf numFmtId="2" fontId="6" fillId="5" borderId="2" xfId="0" applyNumberFormat="1" applyFont="1" applyFill="1" applyBorder="1" applyAlignment="1">
      <alignment horizontal="center"/>
    </xf>
    <xf numFmtId="168" fontId="6" fillId="5" borderId="2" xfId="0" applyNumberFormat="1" applyFont="1" applyFill="1" applyBorder="1" applyAlignment="1">
      <alignment horizontal="center"/>
    </xf>
    <xf numFmtId="1" fontId="6" fillId="5" borderId="2" xfId="0" applyNumberFormat="1" applyFont="1" applyFill="1" applyBorder="1" applyAlignment="1">
      <alignment horizontal="center"/>
    </xf>
    <xf numFmtId="0" fontId="2" fillId="5" borderId="2" xfId="0" applyFont="1" applyFill="1" applyBorder="1" applyAlignment="1">
      <alignment horizontal="center" vertical="center" wrapText="1"/>
    </xf>
    <xf numFmtId="0" fontId="2" fillId="0" borderId="9" xfId="0" applyFont="1" applyBorder="1"/>
    <xf numFmtId="0" fontId="2" fillId="0" borderId="11" xfId="0" applyFont="1" applyBorder="1"/>
    <xf numFmtId="0" fontId="2" fillId="2" borderId="12" xfId="0" applyFont="1" applyFill="1" applyBorder="1" applyAlignment="1">
      <alignment horizontal="center" vertical="center"/>
    </xf>
    <xf numFmtId="0" fontId="2" fillId="0" borderId="0" xfId="0" applyFont="1" applyAlignment="1">
      <alignment horizontal="center" vertical="center" wrapText="1"/>
    </xf>
    <xf numFmtId="2" fontId="2" fillId="0" borderId="0" xfId="0" applyNumberFormat="1" applyFont="1" applyAlignment="1">
      <alignment horizontal="center" vertical="center" wrapText="1"/>
    </xf>
    <xf numFmtId="2" fontId="6" fillId="0" borderId="2" xfId="0" applyNumberFormat="1" applyFont="1" applyBorder="1"/>
    <xf numFmtId="1" fontId="19" fillId="0" borderId="2" xfId="0" applyNumberFormat="1" applyFont="1" applyBorder="1" applyAlignment="1">
      <alignment horizontal="center"/>
    </xf>
    <xf numFmtId="1" fontId="19" fillId="5" borderId="2" xfId="0" applyNumberFormat="1" applyFont="1" applyFill="1" applyBorder="1" applyAlignment="1">
      <alignment horizontal="center"/>
    </xf>
    <xf numFmtId="0" fontId="22" fillId="0" borderId="0" xfId="0" applyFont="1" applyAlignment="1">
      <alignment horizontal="left" wrapText="1"/>
    </xf>
    <xf numFmtId="0" fontId="10" fillId="0" borderId="2" xfId="0" applyFont="1" applyBorder="1" applyAlignment="1">
      <alignment horizontal="left"/>
    </xf>
    <xf numFmtId="0" fontId="10" fillId="0" borderId="2" xfId="0" applyFont="1" applyBorder="1" applyAlignment="1">
      <alignment horizontal="left" vertical="top"/>
    </xf>
    <xf numFmtId="0" fontId="2" fillId="2" borderId="9" xfId="0" applyFont="1" applyFill="1" applyBorder="1" applyAlignment="1">
      <alignment horizontal="left" vertical="top" wrapText="1"/>
    </xf>
    <xf numFmtId="0" fontId="2" fillId="2" borderId="0" xfId="0" applyFont="1" applyFill="1" applyAlignment="1">
      <alignment horizontal="left" vertical="top" wrapText="1"/>
    </xf>
    <xf numFmtId="0" fontId="2" fillId="2" borderId="10" xfId="0" applyFont="1" applyFill="1" applyBorder="1" applyAlignment="1">
      <alignment horizontal="left" vertical="top" wrapText="1"/>
    </xf>
    <xf numFmtId="0" fontId="2" fillId="2" borderId="11" xfId="0" applyFont="1" applyFill="1" applyBorder="1" applyAlignment="1">
      <alignment horizontal="left" vertical="top" wrapText="1"/>
    </xf>
    <xf numFmtId="0" fontId="2" fillId="2" borderId="12" xfId="0" applyFont="1" applyFill="1" applyBorder="1" applyAlignment="1">
      <alignment horizontal="left" vertical="top" wrapText="1"/>
    </xf>
    <xf numFmtId="0" fontId="2" fillId="2" borderId="13" xfId="0" applyFont="1" applyFill="1" applyBorder="1" applyAlignment="1">
      <alignment horizontal="left" vertical="top" wrapText="1"/>
    </xf>
    <xf numFmtId="0" fontId="12" fillId="0" borderId="0" xfId="0" applyFont="1" applyAlignment="1">
      <alignment horizontal="left" wrapText="1"/>
    </xf>
    <xf numFmtId="0" fontId="12" fillId="0" borderId="0" xfId="0" applyFont="1" applyAlignment="1">
      <alignment horizontal="left" vertical="top" wrapText="1"/>
    </xf>
    <xf numFmtId="0" fontId="2" fillId="2" borderId="8" xfId="0" applyFont="1" applyFill="1" applyBorder="1" applyAlignment="1">
      <alignment horizontal="left" vertical="top"/>
    </xf>
    <xf numFmtId="0" fontId="2" fillId="2" borderId="11" xfId="0" applyFont="1" applyFill="1" applyBorder="1" applyAlignment="1">
      <alignment horizontal="left" vertical="top"/>
    </xf>
    <xf numFmtId="0" fontId="2" fillId="2" borderId="13" xfId="0" applyFont="1" applyFill="1" applyBorder="1" applyAlignment="1">
      <alignment horizontal="left" vertical="top"/>
    </xf>
    <xf numFmtId="0" fontId="10" fillId="0" borderId="2" xfId="0" applyFont="1" applyBorder="1" applyAlignment="1">
      <alignment vertical="center" wrapText="1"/>
    </xf>
    <xf numFmtId="0" fontId="7" fillId="0" borderId="12" xfId="0" applyFont="1" applyBorder="1" applyAlignment="1">
      <alignment horizontal="center" vertical="center"/>
    </xf>
    <xf numFmtId="0" fontId="7" fillId="0" borderId="0" xfId="0" applyFont="1" applyAlignment="1">
      <alignment horizontal="center" vertical="center"/>
    </xf>
    <xf numFmtId="0" fontId="10" fillId="0" borderId="3" xfId="0" applyFont="1" applyBorder="1" applyAlignment="1">
      <alignment horizontal="center" vertical="center" wrapText="1"/>
    </xf>
    <xf numFmtId="0" fontId="6" fillId="3" borderId="3" xfId="0" applyFont="1" applyFill="1" applyBorder="1" applyAlignment="1">
      <alignment horizontal="center" vertical="center"/>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2" fillId="2" borderId="6" xfId="0" applyFont="1" applyFill="1" applyBorder="1" applyAlignment="1">
      <alignment horizontal="left" vertical="top"/>
    </xf>
    <xf numFmtId="17" fontId="2" fillId="2" borderId="6" xfId="0" applyNumberFormat="1" applyFont="1" applyFill="1" applyBorder="1" applyAlignment="1">
      <alignment horizontal="left" vertical="top"/>
    </xf>
    <xf numFmtId="0" fontId="18" fillId="0" borderId="2" xfId="0" applyFont="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8" fillId="0" borderId="5" xfId="0" applyFont="1" applyBorder="1" applyAlignment="1">
      <alignment horizontal="center" vertical="center" wrapText="1"/>
    </xf>
    <xf numFmtId="0" fontId="23" fillId="0" borderId="0" xfId="0" applyFont="1" applyAlignment="1">
      <alignment horizontal="left" vertical="top" wrapText="1"/>
    </xf>
    <xf numFmtId="0" fontId="10" fillId="0" borderId="5" xfId="0" applyFont="1" applyBorder="1" applyAlignment="1">
      <alignment horizontal="center" vertical="center" wrapText="1"/>
    </xf>
    <xf numFmtId="0" fontId="2" fillId="2" borderId="2" xfId="0" applyFont="1" applyFill="1" applyBorder="1" applyAlignment="1">
      <alignment horizontal="left" vertical="center"/>
    </xf>
    <xf numFmtId="0" fontId="2" fillId="2" borderId="8" xfId="0" applyFont="1" applyFill="1" applyBorder="1" applyAlignment="1">
      <alignment horizontal="left" vertical="center" wrapText="1"/>
    </xf>
    <xf numFmtId="0" fontId="2" fillId="2" borderId="10" xfId="0" applyFont="1" applyFill="1" applyBorder="1" applyAlignment="1">
      <alignment horizontal="left" vertical="center" wrapText="1"/>
    </xf>
    <xf numFmtId="0" fontId="2" fillId="2" borderId="13" xfId="0" applyFont="1" applyFill="1" applyBorder="1" applyAlignment="1">
      <alignment horizontal="left" vertical="center" wrapText="1"/>
    </xf>
    <xf numFmtId="0" fontId="2" fillId="2" borderId="12" xfId="0" applyFont="1" applyFill="1" applyBorder="1" applyAlignment="1">
      <alignment horizontal="left" vertical="center" wrapText="1"/>
    </xf>
    <xf numFmtId="0" fontId="17" fillId="0" borderId="2" xfId="0" applyFont="1" applyBorder="1" applyAlignment="1">
      <alignment vertical="center" wrapText="1"/>
    </xf>
    <xf numFmtId="0" fontId="2" fillId="5" borderId="2" xfId="0" applyFont="1" applyFill="1" applyBorder="1" applyAlignment="1">
      <alignment vertical="center" wrapText="1"/>
    </xf>
    <xf numFmtId="0" fontId="10" fillId="0" borderId="2" xfId="0" applyFont="1" applyBorder="1" applyAlignment="1">
      <alignment vertical="center"/>
    </xf>
    <xf numFmtId="164" fontId="10" fillId="0" borderId="7" xfId="1" applyNumberFormat="1" applyFont="1" applyBorder="1" applyAlignment="1"/>
    <xf numFmtId="164" fontId="10" fillId="0" borderId="0" xfId="1" applyNumberFormat="1" applyFont="1" applyBorder="1" applyAlignment="1"/>
    <xf numFmtId="164" fontId="10" fillId="2" borderId="12" xfId="1" applyNumberFormat="1" applyFont="1" applyFill="1" applyBorder="1" applyAlignment="1"/>
    <xf numFmtId="164" fontId="10" fillId="0" borderId="12" xfId="1" applyNumberFormat="1" applyFont="1" applyBorder="1" applyAlignment="1"/>
    <xf numFmtId="0" fontId="10" fillId="0" borderId="7" xfId="0" applyFont="1" applyBorder="1"/>
    <xf numFmtId="164" fontId="10" fillId="0" borderId="0" xfId="1" applyNumberFormat="1" applyFont="1" applyAlignment="1"/>
    <xf numFmtId="0" fontId="18" fillId="0" borderId="2" xfId="0" applyFont="1" applyBorder="1" applyAlignment="1">
      <alignment vertical="center" wrapText="1"/>
    </xf>
    <xf numFmtId="0" fontId="10" fillId="0" borderId="3" xfId="0" applyFont="1" applyBorder="1" applyAlignment="1">
      <alignment vertical="center" wrapText="1"/>
    </xf>
    <xf numFmtId="0" fontId="10" fillId="0" borderId="5" xfId="0" applyFont="1" applyBorder="1" applyAlignment="1">
      <alignment vertical="center" wrapText="1"/>
    </xf>
    <xf numFmtId="0" fontId="18" fillId="0" borderId="3" xfId="0" applyFont="1" applyBorder="1" applyAlignment="1">
      <alignment vertical="center" wrapText="1"/>
    </xf>
    <xf numFmtId="0" fontId="18" fillId="0" borderId="4" xfId="0" applyFont="1" applyBorder="1" applyAlignment="1">
      <alignment vertical="center" wrapText="1"/>
    </xf>
    <xf numFmtId="0" fontId="7" fillId="0" borderId="12" xfId="0" applyFont="1" applyBorder="1" applyAlignment="1">
      <alignment vertical="center" wrapText="1"/>
    </xf>
    <xf numFmtId="0" fontId="10" fillId="0" borderId="7" xfId="0" applyFont="1" applyBorder="1" applyAlignment="1">
      <alignment vertical="center"/>
    </xf>
    <xf numFmtId="0" fontId="10" fillId="0" borderId="8" xfId="0" applyFont="1" applyBorder="1" applyAlignment="1">
      <alignment vertical="center"/>
    </xf>
    <xf numFmtId="0" fontId="10" fillId="0" borderId="3" xfId="0" applyFont="1" applyBorder="1" applyAlignment="1">
      <alignment vertical="center"/>
    </xf>
    <xf numFmtId="0" fontId="10" fillId="0" borderId="4" xfId="0" applyFont="1" applyBorder="1" applyAlignment="1">
      <alignment vertical="center"/>
    </xf>
    <xf numFmtId="0" fontId="10" fillId="0" borderId="5" xfId="0" applyFont="1" applyBorder="1" applyAlignment="1">
      <alignment vertical="center"/>
    </xf>
    <xf numFmtId="0" fontId="2" fillId="2" borderId="13" xfId="0" applyFont="1" applyFill="1" applyBorder="1" applyAlignment="1">
      <alignment vertical="top"/>
    </xf>
    <xf numFmtId="0" fontId="2" fillId="2" borderId="8" xfId="0" applyFont="1" applyFill="1" applyBorder="1" applyAlignment="1">
      <alignment vertical="top"/>
    </xf>
    <xf numFmtId="0" fontId="2" fillId="2" borderId="6" xfId="0" applyFont="1" applyFill="1" applyBorder="1" applyAlignment="1">
      <alignment vertical="top"/>
    </xf>
    <xf numFmtId="0" fontId="2" fillId="2" borderId="7" xfId="0" applyFont="1" applyFill="1" applyBorder="1" applyAlignment="1">
      <alignment vertical="top"/>
    </xf>
    <xf numFmtId="0" fontId="2" fillId="2" borderId="11" xfId="0" applyFont="1" applyFill="1" applyBorder="1" applyAlignment="1">
      <alignment vertical="top"/>
    </xf>
    <xf numFmtId="0" fontId="2" fillId="2" borderId="12" xfId="0" applyFont="1" applyFill="1" applyBorder="1" applyAlignment="1">
      <alignment vertical="top"/>
    </xf>
    <xf numFmtId="0" fontId="6" fillId="3" borderId="5" xfId="0" applyFont="1" applyFill="1" applyBorder="1" applyAlignment="1">
      <alignment vertical="center"/>
    </xf>
    <xf numFmtId="0" fontId="7" fillId="0" borderId="12" xfId="0" applyFont="1" applyBorder="1" applyAlignment="1">
      <alignment vertical="center"/>
    </xf>
    <xf numFmtId="0" fontId="2" fillId="2" borderId="2" xfId="0" applyFont="1" applyFill="1" applyBorder="1" applyAlignment="1">
      <alignment vertical="center"/>
    </xf>
    <xf numFmtId="0" fontId="1" fillId="0" borderId="0" xfId="0" applyFont="1" applyAlignment="1">
      <alignment horizontal="left" vertical="top" wrapText="1"/>
    </xf>
    <xf numFmtId="0" fontId="6" fillId="3" borderId="3" xfId="0" applyFont="1" applyFill="1" applyBorder="1"/>
    <xf numFmtId="0" fontId="6" fillId="3" borderId="4" xfId="0" applyFont="1" applyFill="1" applyBorder="1"/>
    <xf numFmtId="0" fontId="6" fillId="3" borderId="5" xfId="0" applyFont="1" applyFill="1" applyBorder="1"/>
    <xf numFmtId="14" fontId="6" fillId="0" borderId="0" xfId="0" applyNumberFormat="1" applyFont="1" applyAlignment="1">
      <alignment horizontal="center"/>
    </xf>
    <xf numFmtId="14" fontId="6" fillId="0" borderId="0" xfId="0" applyNumberFormat="1" applyFont="1"/>
    <xf numFmtId="0" fontId="7" fillId="0" borderId="11" xfId="0" applyFont="1" applyBorder="1" applyAlignment="1">
      <alignment horizontal="left" vertical="center"/>
    </xf>
    <xf numFmtId="0" fontId="6" fillId="2" borderId="2" xfId="0" applyFont="1" applyFill="1" applyBorder="1" applyAlignment="1">
      <alignment horizontal="center" vertical="center"/>
    </xf>
    <xf numFmtId="0" fontId="2" fillId="2" borderId="6" xfId="0" applyFont="1" applyFill="1" applyBorder="1" applyAlignment="1">
      <alignment horizontal="left" vertical="top" wrapText="1"/>
    </xf>
    <xf numFmtId="0" fontId="2" fillId="2" borderId="7" xfId="0" applyFont="1" applyFill="1" applyBorder="1" applyAlignment="1">
      <alignment horizontal="left" vertical="top" wrapText="1"/>
    </xf>
    <xf numFmtId="0" fontId="2" fillId="2" borderId="8" xfId="0" applyFont="1" applyFill="1" applyBorder="1" applyAlignment="1">
      <alignment horizontal="left" vertical="top" wrapText="1"/>
    </xf>
    <xf numFmtId="0" fontId="2" fillId="2" borderId="7" xfId="0" applyFont="1" applyFill="1" applyBorder="1" applyAlignment="1">
      <alignment horizontal="left" vertical="top"/>
    </xf>
    <xf numFmtId="0" fontId="2" fillId="2" borderId="12" xfId="0" applyFont="1" applyFill="1" applyBorder="1" applyAlignment="1">
      <alignment horizontal="left" vertical="top"/>
    </xf>
    <xf numFmtId="0" fontId="2" fillId="2" borderId="2" xfId="0" applyFont="1" applyFill="1" applyBorder="1" applyAlignment="1">
      <alignment horizontal="left"/>
    </xf>
    <xf numFmtId="0" fontId="1" fillId="2" borderId="0" xfId="0" applyFont="1" applyFill="1" applyAlignment="1">
      <alignment horizontal="center"/>
    </xf>
    <xf numFmtId="14" fontId="1" fillId="2" borderId="0" xfId="0" applyNumberFormat="1" applyFont="1" applyFill="1" applyAlignment="1">
      <alignment horizontal="center"/>
    </xf>
    <xf numFmtId="0" fontId="8" fillId="2" borderId="0" xfId="0" applyFont="1" applyFill="1" applyAlignment="1">
      <alignment horizontal="center"/>
    </xf>
    <xf numFmtId="0" fontId="22" fillId="0" borderId="0" xfId="0" applyFont="1" applyAlignment="1">
      <alignment horizontal="left" wrapText="1"/>
    </xf>
    <xf numFmtId="0" fontId="34" fillId="2" borderId="0" xfId="0" applyFont="1" applyFill="1" applyAlignment="1">
      <alignment horizontal="center" vertical="center"/>
    </xf>
    <xf numFmtId="0" fontId="4" fillId="2" borderId="0" xfId="0" applyFont="1" applyFill="1" applyAlignment="1">
      <alignment horizontal="center" vertical="center"/>
    </xf>
    <xf numFmtId="0" fontId="7" fillId="0" borderId="2" xfId="0" applyFont="1" applyBorder="1" applyAlignment="1">
      <alignment horizontal="left"/>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2" fillId="2" borderId="6" xfId="0" applyFont="1" applyFill="1" applyBorder="1" applyAlignment="1">
      <alignment horizontal="left" vertical="top" wrapText="1"/>
    </xf>
    <xf numFmtId="0" fontId="2" fillId="2" borderId="7" xfId="0" applyFont="1" applyFill="1" applyBorder="1" applyAlignment="1">
      <alignment horizontal="left" vertical="top" wrapText="1"/>
    </xf>
    <xf numFmtId="0" fontId="2" fillId="2" borderId="8" xfId="0" applyFont="1" applyFill="1" applyBorder="1" applyAlignment="1">
      <alignment horizontal="left" vertical="top" wrapText="1"/>
    </xf>
    <xf numFmtId="0" fontId="2" fillId="2" borderId="9" xfId="0" applyFont="1" applyFill="1" applyBorder="1" applyAlignment="1">
      <alignment horizontal="left" vertical="top" wrapText="1"/>
    </xf>
    <xf numFmtId="0" fontId="2" fillId="2" borderId="0" xfId="0" applyFont="1" applyFill="1" applyAlignment="1">
      <alignment horizontal="left" vertical="top" wrapText="1"/>
    </xf>
    <xf numFmtId="0" fontId="2" fillId="2" borderId="10" xfId="0" applyFont="1" applyFill="1" applyBorder="1" applyAlignment="1">
      <alignment horizontal="left" vertical="top" wrapText="1"/>
    </xf>
    <xf numFmtId="0" fontId="2" fillId="2" borderId="11" xfId="0" applyFont="1" applyFill="1" applyBorder="1" applyAlignment="1">
      <alignment horizontal="left" vertical="top" wrapText="1"/>
    </xf>
    <xf numFmtId="0" fontId="2" fillId="2" borderId="12" xfId="0" applyFont="1" applyFill="1" applyBorder="1" applyAlignment="1">
      <alignment horizontal="left" vertical="top" wrapText="1"/>
    </xf>
    <xf numFmtId="0" fontId="2" fillId="2" borderId="13" xfId="0" applyFont="1" applyFill="1" applyBorder="1" applyAlignment="1">
      <alignment horizontal="left" vertical="top" wrapText="1"/>
    </xf>
    <xf numFmtId="0" fontId="2" fillId="2" borderId="7" xfId="0" applyFont="1" applyFill="1" applyBorder="1" applyAlignment="1">
      <alignment horizontal="left" vertical="top"/>
    </xf>
    <xf numFmtId="0" fontId="2" fillId="2" borderId="8" xfId="0" applyFont="1" applyFill="1" applyBorder="1" applyAlignment="1">
      <alignment horizontal="left" vertical="top"/>
    </xf>
    <xf numFmtId="0" fontId="2" fillId="2" borderId="9" xfId="0" applyFont="1" applyFill="1" applyBorder="1" applyAlignment="1">
      <alignment horizontal="left" vertical="top"/>
    </xf>
    <xf numFmtId="0" fontId="2" fillId="2" borderId="0" xfId="0" applyFont="1" applyFill="1" applyAlignment="1">
      <alignment horizontal="left" vertical="top"/>
    </xf>
    <xf numFmtId="0" fontId="2" fillId="2" borderId="10" xfId="0" applyFont="1" applyFill="1" applyBorder="1" applyAlignment="1">
      <alignment horizontal="left" vertical="top"/>
    </xf>
    <xf numFmtId="0" fontId="2" fillId="2" borderId="11" xfId="0" applyFont="1" applyFill="1" applyBorder="1" applyAlignment="1">
      <alignment horizontal="left" vertical="top"/>
    </xf>
    <xf numFmtId="0" fontId="2" fillId="2" borderId="12" xfId="0" applyFont="1" applyFill="1" applyBorder="1" applyAlignment="1">
      <alignment horizontal="left" vertical="top"/>
    </xf>
    <xf numFmtId="0" fontId="2" fillId="2" borderId="13" xfId="0" applyFont="1" applyFill="1" applyBorder="1" applyAlignment="1">
      <alignment horizontal="left" vertical="top"/>
    </xf>
    <xf numFmtId="0" fontId="12" fillId="2" borderId="6" xfId="0" applyFont="1" applyFill="1" applyBorder="1" applyAlignment="1">
      <alignment horizontal="left" vertical="top" wrapText="1"/>
    </xf>
    <xf numFmtId="0" fontId="12" fillId="2" borderId="7" xfId="0" applyFont="1" applyFill="1" applyBorder="1" applyAlignment="1">
      <alignment horizontal="left" vertical="top" wrapText="1"/>
    </xf>
    <xf numFmtId="0" fontId="12" fillId="2" borderId="8" xfId="0" applyFont="1" applyFill="1" applyBorder="1" applyAlignment="1">
      <alignment horizontal="left" vertical="top" wrapText="1"/>
    </xf>
    <xf numFmtId="0" fontId="12" fillId="2" borderId="9" xfId="0" applyFont="1" applyFill="1" applyBorder="1" applyAlignment="1">
      <alignment horizontal="left" vertical="top" wrapText="1"/>
    </xf>
    <xf numFmtId="0" fontId="12" fillId="2" borderId="0" xfId="0" applyFont="1" applyFill="1" applyAlignment="1">
      <alignment horizontal="left" vertical="top" wrapText="1"/>
    </xf>
    <xf numFmtId="0" fontId="12" fillId="2" borderId="10" xfId="0" applyFont="1" applyFill="1" applyBorder="1" applyAlignment="1">
      <alignment horizontal="left" vertical="top" wrapText="1"/>
    </xf>
    <xf numFmtId="0" fontId="12" fillId="2" borderId="11" xfId="0" applyFont="1" applyFill="1" applyBorder="1" applyAlignment="1">
      <alignment horizontal="left" vertical="top" wrapText="1"/>
    </xf>
    <xf numFmtId="0" fontId="12" fillId="2" borderId="12" xfId="0" applyFont="1" applyFill="1" applyBorder="1" applyAlignment="1">
      <alignment horizontal="left" vertical="top" wrapText="1"/>
    </xf>
    <xf numFmtId="0" fontId="12" fillId="2" borderId="13" xfId="0" applyFont="1" applyFill="1" applyBorder="1" applyAlignment="1">
      <alignment horizontal="left" vertical="top"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0" fontId="14" fillId="4" borderId="3" xfId="0" applyFont="1" applyFill="1" applyBorder="1" applyAlignment="1">
      <alignment horizontal="center" vertical="center" wrapText="1"/>
    </xf>
    <xf numFmtId="0" fontId="14" fillId="4" borderId="5" xfId="0" applyFont="1" applyFill="1" applyBorder="1" applyAlignment="1">
      <alignment horizontal="center" vertical="center" wrapText="1"/>
    </xf>
    <xf numFmtId="167" fontId="6" fillId="2" borderId="0" xfId="0" applyNumberFormat="1" applyFont="1" applyFill="1" applyAlignment="1">
      <alignment horizontal="center" vertical="top"/>
    </xf>
    <xf numFmtId="0" fontId="10" fillId="0" borderId="3" xfId="0" applyFont="1" applyBorder="1" applyAlignment="1">
      <alignment horizontal="left" vertical="center" wrapText="1"/>
    </xf>
    <xf numFmtId="0" fontId="10" fillId="0" borderId="5" xfId="0" applyFont="1" applyBorder="1" applyAlignment="1">
      <alignment horizontal="left" vertical="center" wrapText="1"/>
    </xf>
    <xf numFmtId="0" fontId="10" fillId="0" borderId="3"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center" vertical="top"/>
    </xf>
    <xf numFmtId="0" fontId="14" fillId="4" borderId="4" xfId="0" applyFont="1" applyFill="1" applyBorder="1" applyAlignment="1">
      <alignment horizontal="center" vertical="center" wrapText="1"/>
    </xf>
    <xf numFmtId="167" fontId="6" fillId="0" borderId="0" xfId="0" applyNumberFormat="1" applyFont="1" applyAlignment="1">
      <alignment horizontal="center"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2" fillId="2" borderId="6" xfId="0" applyFont="1" applyFill="1" applyBorder="1" applyAlignment="1">
      <alignment horizontal="center" vertical="top" wrapText="1"/>
    </xf>
    <xf numFmtId="0" fontId="2" fillId="2" borderId="7" xfId="0" applyFont="1" applyFill="1" applyBorder="1" applyAlignment="1">
      <alignment horizontal="center" vertical="top" wrapText="1"/>
    </xf>
    <xf numFmtId="0" fontId="2" fillId="2" borderId="8" xfId="0" applyFont="1" applyFill="1" applyBorder="1" applyAlignment="1">
      <alignment horizontal="center" vertical="top" wrapText="1"/>
    </xf>
    <xf numFmtId="0" fontId="2" fillId="2" borderId="9" xfId="0" applyFont="1" applyFill="1" applyBorder="1" applyAlignment="1">
      <alignment horizontal="center" vertical="top" wrapText="1"/>
    </xf>
    <xf numFmtId="0" fontId="2" fillId="2" borderId="0" xfId="0" applyFont="1" applyFill="1" applyAlignment="1">
      <alignment horizontal="center" vertical="top" wrapText="1"/>
    </xf>
    <xf numFmtId="0" fontId="2" fillId="2" borderId="10" xfId="0" applyFont="1" applyFill="1" applyBorder="1" applyAlignment="1">
      <alignment horizontal="center" vertical="top" wrapText="1"/>
    </xf>
    <xf numFmtId="0" fontId="2" fillId="2" borderId="11" xfId="0" applyFont="1" applyFill="1" applyBorder="1" applyAlignment="1">
      <alignment horizontal="center" vertical="top" wrapText="1"/>
    </xf>
    <xf numFmtId="0" fontId="2" fillId="2" borderId="12" xfId="0" applyFont="1" applyFill="1" applyBorder="1" applyAlignment="1">
      <alignment horizontal="center" vertical="top" wrapText="1"/>
    </xf>
    <xf numFmtId="0" fontId="2" fillId="2" borderId="13" xfId="0" applyFont="1" applyFill="1" applyBorder="1" applyAlignment="1">
      <alignment horizontal="center" vertical="top" wrapText="1"/>
    </xf>
    <xf numFmtId="0" fontId="10" fillId="0" borderId="2" xfId="0" applyFont="1" applyBorder="1" applyAlignment="1">
      <alignment horizontal="center" vertical="center" wrapText="1"/>
    </xf>
    <xf numFmtId="0" fontId="2" fillId="2" borderId="2" xfId="0" applyFont="1" applyFill="1" applyBorder="1" applyAlignment="1">
      <alignment horizontal="left"/>
    </xf>
    <xf numFmtId="0" fontId="2" fillId="2" borderId="2" xfId="0" applyFont="1" applyFill="1" applyBorder="1" applyAlignment="1">
      <alignment horizontal="left" vertical="center"/>
    </xf>
    <xf numFmtId="0" fontId="2" fillId="2" borderId="2" xfId="0" applyFont="1" applyFill="1" applyBorder="1" applyAlignment="1">
      <alignment horizontal="left" vertical="center" wrapText="1"/>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2" fillId="2" borderId="6" xfId="0" applyFont="1" applyFill="1" applyBorder="1" applyAlignment="1">
      <alignment horizontal="left" vertical="center" wrapText="1"/>
    </xf>
    <xf numFmtId="0" fontId="2" fillId="2" borderId="7" xfId="0" applyFont="1" applyFill="1" applyBorder="1" applyAlignment="1">
      <alignment horizontal="left" vertical="center" wrapText="1"/>
    </xf>
    <xf numFmtId="0" fontId="2" fillId="2" borderId="8" xfId="0" applyFont="1" applyFill="1" applyBorder="1" applyAlignment="1">
      <alignment horizontal="left" vertical="center" wrapText="1"/>
    </xf>
    <xf numFmtId="0" fontId="2" fillId="2" borderId="9"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10" xfId="0" applyFont="1" applyFill="1" applyBorder="1" applyAlignment="1">
      <alignment horizontal="left" vertical="center" wrapText="1"/>
    </xf>
    <xf numFmtId="0" fontId="2" fillId="2" borderId="11" xfId="0" applyFont="1" applyFill="1" applyBorder="1" applyAlignment="1">
      <alignment horizontal="left" vertical="center" wrapText="1"/>
    </xf>
    <xf numFmtId="0" fontId="2" fillId="2" borderId="12" xfId="0" applyFont="1" applyFill="1" applyBorder="1" applyAlignment="1">
      <alignment horizontal="left" vertical="center" wrapText="1"/>
    </xf>
    <xf numFmtId="0" fontId="2" fillId="2" borderId="13" xfId="0" applyFont="1" applyFill="1" applyBorder="1" applyAlignment="1">
      <alignment horizontal="left" vertical="center" wrapText="1"/>
    </xf>
    <xf numFmtId="0" fontId="10" fillId="0" borderId="7" xfId="0" applyFont="1" applyBorder="1" applyAlignment="1">
      <alignment horizontal="center" wrapText="1"/>
    </xf>
    <xf numFmtId="0" fontId="2"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5" xfId="0" applyFont="1" applyFill="1" applyBorder="1" applyAlignment="1">
      <alignment horizontal="left" vertical="center" wrapText="1"/>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7" fillId="0" borderId="3" xfId="0" applyFont="1" applyBorder="1" applyAlignment="1">
      <alignment horizontal="center" vertical="center" wrapText="1"/>
    </xf>
    <xf numFmtId="0" fontId="7" fillId="0" borderId="5" xfId="0" applyFont="1" applyBorder="1" applyAlignment="1">
      <alignment horizontal="center" vertical="center" wrapText="1"/>
    </xf>
    <xf numFmtId="10" fontId="2" fillId="2" borderId="3" xfId="0" applyNumberFormat="1" applyFont="1" applyFill="1" applyBorder="1" applyAlignment="1">
      <alignment horizontal="center" vertical="center"/>
    </xf>
    <xf numFmtId="10" fontId="2" fillId="2" borderId="4" xfId="0" applyNumberFormat="1" applyFont="1" applyFill="1" applyBorder="1" applyAlignment="1">
      <alignment horizontal="center" vertical="center"/>
    </xf>
    <xf numFmtId="10" fontId="2" fillId="2" borderId="5" xfId="0" applyNumberFormat="1" applyFont="1" applyFill="1" applyBorder="1" applyAlignment="1">
      <alignment horizontal="center" vertical="center"/>
    </xf>
    <xf numFmtId="0" fontId="10" fillId="0" borderId="4" xfId="0" applyFont="1" applyBorder="1" applyAlignment="1">
      <alignment horizontal="center" vertical="center" wrapText="1"/>
    </xf>
    <xf numFmtId="10" fontId="2" fillId="2" borderId="3" xfId="0" applyNumberFormat="1" applyFont="1" applyFill="1" applyBorder="1" applyAlignment="1">
      <alignment horizontal="center" vertical="center" wrapText="1"/>
    </xf>
    <xf numFmtId="10" fontId="2" fillId="2" borderId="4" xfId="0" applyNumberFormat="1" applyFont="1" applyFill="1" applyBorder="1" applyAlignment="1">
      <alignment horizontal="center" vertical="center" wrapText="1"/>
    </xf>
    <xf numFmtId="10" fontId="2" fillId="2" borderId="5" xfId="0" applyNumberFormat="1" applyFont="1" applyFill="1" applyBorder="1" applyAlignment="1">
      <alignment horizontal="center"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6" fillId="7" borderId="3" xfId="0" applyFont="1" applyFill="1" applyBorder="1" applyAlignment="1">
      <alignment horizontal="center" vertical="center"/>
    </xf>
    <xf numFmtId="0" fontId="6" fillId="7" borderId="5" xfId="0" applyFont="1" applyFill="1" applyBorder="1" applyAlignment="1">
      <alignment horizontal="center" vertical="center"/>
    </xf>
    <xf numFmtId="0" fontId="2" fillId="2" borderId="6"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2" fillId="2" borderId="0" xfId="0" applyFont="1" applyFill="1" applyAlignment="1">
      <alignment horizontal="center" vertical="center" wrapText="1"/>
    </xf>
    <xf numFmtId="0" fontId="2" fillId="2" borderId="10"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2" fillId="2" borderId="12" xfId="0" applyFont="1" applyFill="1" applyBorder="1" applyAlignment="1">
      <alignment horizontal="center" vertical="center" wrapText="1"/>
    </xf>
    <xf numFmtId="0" fontId="2" fillId="2" borderId="13"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7" fillId="3" borderId="4" xfId="0" applyFont="1" applyFill="1" applyBorder="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2" fillId="0" borderId="2" xfId="0" applyFont="1" applyBorder="1" applyAlignment="1">
      <alignment horizontal="left" vertical="center" wrapText="1"/>
    </xf>
    <xf numFmtId="0" fontId="18" fillId="0" borderId="2" xfId="0" applyFont="1" applyBorder="1" applyAlignment="1">
      <alignment horizontal="left" vertical="center" wrapText="1"/>
    </xf>
    <xf numFmtId="0" fontId="18" fillId="0" borderId="3" xfId="0" applyFont="1" applyBorder="1" applyAlignment="1">
      <alignment horizontal="left" vertical="center" wrapText="1"/>
    </xf>
    <xf numFmtId="0" fontId="18" fillId="0" borderId="4" xfId="0" applyFont="1" applyBorder="1" applyAlignment="1">
      <alignment horizontal="left" vertical="center" wrapText="1"/>
    </xf>
    <xf numFmtId="0" fontId="18" fillId="0" borderId="5" xfId="0" applyFont="1" applyBorder="1" applyAlignment="1">
      <alignment horizontal="left" vertical="center" wrapText="1"/>
    </xf>
    <xf numFmtId="0" fontId="10" fillId="0" borderId="1" xfId="0" applyFont="1" applyBorder="1" applyAlignment="1">
      <alignment horizontal="left" vertical="center" wrapText="1"/>
    </xf>
    <xf numFmtId="0" fontId="10" fillId="0" borderId="14" xfId="0" applyFont="1" applyBorder="1" applyAlignment="1">
      <alignment horizontal="left"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3" xfId="0" applyFont="1" applyBorder="1" applyAlignment="1">
      <alignment horizontal="center" vertical="center"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23" fillId="0" borderId="0" xfId="0" applyFont="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17" fontId="1" fillId="0" borderId="0" xfId="0" applyNumberFormat="1" applyFont="1"/>
    <xf numFmtId="0" fontId="1" fillId="2" borderId="0" xfId="0" applyFont="1" applyFill="1" applyAlignment="1">
      <alignment vertical="center"/>
    </xf>
    <xf numFmtId="0" fontId="1" fillId="2" borderId="0" xfId="0" applyFont="1" applyFill="1"/>
    <xf numFmtId="0" fontId="1" fillId="0" borderId="0" xfId="0" applyFont="1" applyAlignment="1">
      <alignment horizontal="left"/>
    </xf>
    <xf numFmtId="0" fontId="1" fillId="0" borderId="4" xfId="0" applyFont="1" applyBorder="1"/>
    <xf numFmtId="0" fontId="1" fillId="0" borderId="5" xfId="0" applyFont="1" applyBorder="1"/>
    <xf numFmtId="0" fontId="2" fillId="2" borderId="2" xfId="0" applyFont="1" applyFill="1" applyBorder="1" applyAlignment="1">
      <alignment horizontal="center"/>
    </xf>
    <xf numFmtId="0" fontId="2" fillId="2" borderId="2" xfId="0" applyFont="1" applyFill="1" applyBorder="1" applyAlignment="1">
      <alignment horizontal="center" vertical="top"/>
    </xf>
    <xf numFmtId="0" fontId="2" fillId="2" borderId="2" xfId="0" applyFont="1" applyFill="1" applyBorder="1" applyAlignment="1">
      <alignment horizontal="left" vertical="top"/>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 fillId="0" borderId="9" xfId="0" applyFont="1" applyBorder="1" applyAlignment="1">
      <alignment horizontal="left" vertical="top" wrapText="1"/>
    </xf>
    <xf numFmtId="0" fontId="2" fillId="0" borderId="0" xfId="0" applyFont="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0" fontId="2" fillId="0" borderId="12" xfId="0" applyFont="1" applyBorder="1" applyAlignment="1">
      <alignment horizontal="left" vertical="top" wrapText="1"/>
    </xf>
    <xf numFmtId="0" fontId="2" fillId="0" borderId="13" xfId="0" applyFont="1" applyBorder="1" applyAlignment="1">
      <alignment horizontal="left" vertical="top" wrapText="1"/>
    </xf>
    <xf numFmtId="14" fontId="1" fillId="0" borderId="0" xfId="0" applyNumberFormat="1" applyFont="1"/>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2" fillId="0" borderId="0" xfId="0" applyFont="1" applyAlignment="1">
      <alignment horizontal="center"/>
    </xf>
    <xf numFmtId="164" fontId="6" fillId="2" borderId="7" xfId="1" applyNumberFormat="1" applyFont="1" applyFill="1" applyBorder="1" applyAlignment="1"/>
    <xf numFmtId="0" fontId="2" fillId="0" borderId="3" xfId="0" applyFont="1" applyBorder="1"/>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vertical="center"/>
    </xf>
    <xf numFmtId="0" fontId="2" fillId="0" borderId="7" xfId="0" applyFont="1" applyBorder="1" applyAlignment="1">
      <alignment horizontal="center" vertical="center" textRotation="90"/>
    </xf>
    <xf numFmtId="164" fontId="2" fillId="2" borderId="7" xfId="1" applyNumberFormat="1" applyFont="1" applyFill="1" applyBorder="1" applyAlignment="1"/>
    <xf numFmtId="165" fontId="2" fillId="0" borderId="8" xfId="2" applyNumberFormat="1" applyFont="1" applyBorder="1" applyAlignment="1"/>
    <xf numFmtId="0" fontId="2" fillId="0" borderId="9" xfId="0" applyFont="1" applyBorder="1" applyAlignment="1">
      <alignment vertical="center"/>
    </xf>
    <xf numFmtId="0" fontId="2" fillId="0" borderId="0" xfId="0" applyFont="1" applyAlignment="1">
      <alignment horizontal="center" vertical="center" textRotation="90"/>
    </xf>
    <xf numFmtId="164" fontId="2" fillId="2" borderId="0" xfId="1" applyNumberFormat="1" applyFont="1" applyFill="1" applyBorder="1" applyAlignment="1"/>
    <xf numFmtId="165" fontId="2" fillId="0" borderId="10" xfId="2" applyNumberFormat="1" applyFont="1" applyBorder="1" applyAlignment="1"/>
    <xf numFmtId="0" fontId="2" fillId="0" borderId="0" xfId="0" applyFont="1" applyAlignment="1">
      <alignment vertical="center" textRotation="90"/>
    </xf>
    <xf numFmtId="165" fontId="2" fillId="0" borderId="10" xfId="2" applyNumberFormat="1" applyFont="1" applyFill="1" applyBorder="1" applyAlignment="1"/>
    <xf numFmtId="0" fontId="2" fillId="0" borderId="12" xfId="0" applyFont="1" applyBorder="1" applyAlignment="1">
      <alignment vertical="center" textRotation="90"/>
    </xf>
    <xf numFmtId="165" fontId="2" fillId="0" borderId="13" xfId="2" applyNumberFormat="1" applyFont="1" applyBorder="1" applyAlignment="1"/>
    <xf numFmtId="0" fontId="2" fillId="0" borderId="7" xfId="0" applyFont="1" applyBorder="1"/>
    <xf numFmtId="0" fontId="2" fillId="0" borderId="8" xfId="0" applyFont="1" applyBorder="1"/>
    <xf numFmtId="0" fontId="2" fillId="0" borderId="6" xfId="0" applyFont="1" applyBorder="1"/>
    <xf numFmtId="164" fontId="2" fillId="0" borderId="8" xfId="0" applyNumberFormat="1" applyFont="1" applyBorder="1"/>
    <xf numFmtId="164" fontId="2" fillId="2" borderId="0" xfId="1" applyNumberFormat="1" applyFont="1" applyFill="1" applyAlignment="1"/>
    <xf numFmtId="164" fontId="2" fillId="0" borderId="10" xfId="0" applyNumberFormat="1" applyFont="1" applyBorder="1"/>
    <xf numFmtId="165" fontId="2" fillId="0" borderId="0" xfId="2" applyNumberFormat="1" applyFont="1" applyAlignment="1">
      <alignment horizontal="center" vertical="center"/>
    </xf>
    <xf numFmtId="164" fontId="2" fillId="0" borderId="10" xfId="0" applyNumberFormat="1" applyFont="1" applyBorder="1" applyAlignment="1">
      <alignment horizontal="center"/>
    </xf>
    <xf numFmtId="0" fontId="2" fillId="0" borderId="0" xfId="0" applyFont="1" applyAlignment="1">
      <alignment horizontal="center" textRotation="90"/>
    </xf>
    <xf numFmtId="164" fontId="2" fillId="2" borderId="0" xfId="1" applyNumberFormat="1" applyFont="1" applyFill="1" applyAlignment="1">
      <alignment horizontal="center"/>
    </xf>
    <xf numFmtId="0" fontId="2" fillId="0" borderId="12" xfId="0" applyFont="1" applyBorder="1"/>
    <xf numFmtId="43" fontId="2" fillId="2" borderId="12" xfId="1" applyFont="1" applyFill="1" applyBorder="1" applyAlignment="1">
      <alignment horizontal="center"/>
    </xf>
    <xf numFmtId="166" fontId="2" fillId="2" borderId="12" xfId="0" applyNumberFormat="1" applyFont="1" applyFill="1" applyBorder="1" applyAlignment="1">
      <alignment horizontal="center"/>
    </xf>
    <xf numFmtId="166" fontId="2" fillId="2" borderId="13" xfId="0" applyNumberFormat="1" applyFont="1" applyFill="1" applyBorder="1" applyAlignment="1">
      <alignment horizontal="center"/>
    </xf>
    <xf numFmtId="0" fontId="2" fillId="0" borderId="6" xfId="0" applyFont="1" applyBorder="1" applyAlignment="1">
      <alignment horizontal="center" vertical="center"/>
    </xf>
    <xf numFmtId="0" fontId="2" fillId="0" borderId="7" xfId="0" applyFont="1" applyBorder="1" applyAlignment="1">
      <alignment horizontal="center"/>
    </xf>
    <xf numFmtId="0" fontId="2" fillId="0" borderId="8" xfId="0" quotePrefix="1" applyFont="1" applyBorder="1" applyAlignment="1">
      <alignment horizontal="center"/>
    </xf>
    <xf numFmtId="164" fontId="2" fillId="2" borderId="7" xfId="1" applyNumberFormat="1" applyFont="1" applyFill="1" applyBorder="1" applyAlignment="1">
      <alignment horizontal="center"/>
    </xf>
    <xf numFmtId="165" fontId="2" fillId="0" borderId="8" xfId="2" applyNumberFormat="1" applyFont="1" applyBorder="1" applyAlignment="1">
      <alignment horizontal="center"/>
    </xf>
    <xf numFmtId="164" fontId="2" fillId="2" borderId="0" xfId="1" applyNumberFormat="1" applyFont="1" applyFill="1" applyBorder="1" applyAlignment="1">
      <alignment horizontal="center"/>
    </xf>
    <xf numFmtId="165" fontId="2" fillId="0" borderId="10" xfId="2" applyNumberFormat="1" applyFont="1" applyBorder="1" applyAlignment="1">
      <alignment horizontal="center"/>
    </xf>
    <xf numFmtId="0" fontId="2" fillId="0" borderId="12" xfId="0" applyFont="1" applyBorder="1" applyAlignment="1">
      <alignment horizontal="center" vertical="center" textRotation="90"/>
    </xf>
    <xf numFmtId="164" fontId="2" fillId="2" borderId="12" xfId="1" applyNumberFormat="1" applyFont="1" applyFill="1" applyBorder="1" applyAlignment="1">
      <alignment horizontal="center"/>
    </xf>
    <xf numFmtId="165" fontId="2" fillId="0" borderId="13" xfId="2" applyNumberFormat="1" applyFont="1" applyBorder="1" applyAlignment="1">
      <alignment horizontal="center"/>
    </xf>
    <xf numFmtId="0" fontId="2" fillId="0" borderId="3" xfId="0" applyFont="1" applyBorder="1" applyAlignment="1">
      <alignment horizontal="center" vertical="center"/>
    </xf>
    <xf numFmtId="0" fontId="2" fillId="0" borderId="8" xfId="0" applyFont="1" applyBorder="1" applyAlignment="1">
      <alignment horizontal="center"/>
    </xf>
    <xf numFmtId="43" fontId="2" fillId="0" borderId="10" xfId="0" applyNumberFormat="1" applyFont="1" applyBorder="1" applyAlignment="1">
      <alignment horizontal="center" vertical="center"/>
    </xf>
    <xf numFmtId="43" fontId="2" fillId="0" borderId="13" xfId="0" applyNumberFormat="1" applyFont="1" applyBorder="1" applyAlignment="1">
      <alignment horizontal="center" vertical="center"/>
    </xf>
    <xf numFmtId="0" fontId="2" fillId="0" borderId="6" xfId="0" applyFont="1" applyBorder="1" applyAlignment="1">
      <alignment horizontal="center"/>
    </xf>
    <xf numFmtId="0" fontId="2" fillId="0" borderId="6" xfId="0" applyFont="1" applyBorder="1" applyAlignment="1">
      <alignment horizontal="left" vertical="center" wrapText="1"/>
    </xf>
    <xf numFmtId="0" fontId="2" fillId="0" borderId="9" xfId="0" applyFont="1" applyBorder="1" applyAlignment="1">
      <alignment horizontal="left" vertical="center" wrapText="1"/>
    </xf>
    <xf numFmtId="165" fontId="2" fillId="0" borderId="10" xfId="2" quotePrefix="1" applyNumberFormat="1" applyFont="1" applyBorder="1" applyAlignment="1">
      <alignment horizontal="center"/>
    </xf>
    <xf numFmtId="10" fontId="2" fillId="0" borderId="10" xfId="2" applyNumberFormat="1" applyFont="1" applyBorder="1" applyAlignment="1">
      <alignment horizontal="center"/>
    </xf>
    <xf numFmtId="0" fontId="2" fillId="0" borderId="12" xfId="0" applyFont="1" applyBorder="1" applyAlignment="1">
      <alignment horizontal="center"/>
    </xf>
    <xf numFmtId="164" fontId="2" fillId="0" borderId="13" xfId="0" applyNumberFormat="1" applyFont="1" applyBorder="1" applyAlignment="1">
      <alignment horizontal="center"/>
    </xf>
    <xf numFmtId="0" fontId="1" fillId="0" borderId="0" xfId="0" applyFont="1" applyAlignment="1">
      <alignment vertical="top" wrapText="1"/>
    </xf>
    <xf numFmtId="0" fontId="1" fillId="0" borderId="0" xfId="0" applyFont="1" applyAlignment="1">
      <alignment horizontal="left" vertical="top" wrapText="1"/>
    </xf>
    <xf numFmtId="0" fontId="2" fillId="0" borderId="3" xfId="0" applyFont="1" applyBorder="1" applyAlignment="1">
      <alignment horizontal="center" vertical="center" wrapText="1"/>
    </xf>
    <xf numFmtId="0" fontId="2" fillId="0" borderId="5" xfId="0" applyFont="1" applyBorder="1" applyAlignment="1">
      <alignment horizontal="center" vertical="center" wrapText="1"/>
    </xf>
    <xf numFmtId="0" fontId="2" fillId="0" borderId="3" xfId="0" applyFont="1" applyBorder="1" applyAlignment="1">
      <alignment horizontal="left" vertical="center" wrapText="1"/>
    </xf>
    <xf numFmtId="0" fontId="2" fillId="0" borderId="5" xfId="0" applyFont="1" applyBorder="1" applyAlignment="1">
      <alignment horizontal="left" vertical="center" wrapText="1"/>
    </xf>
    <xf numFmtId="165" fontId="2" fillId="0" borderId="3" xfId="2" applyNumberFormat="1" applyFont="1" applyBorder="1" applyAlignment="1">
      <alignment horizontal="center" vertical="center" wrapText="1"/>
    </xf>
    <xf numFmtId="165" fontId="2" fillId="0" borderId="5" xfId="2" applyNumberFormat="1" applyFont="1" applyBorder="1" applyAlignment="1">
      <alignment horizontal="center" vertical="center" wrapText="1"/>
    </xf>
    <xf numFmtId="0" fontId="2" fillId="0" borderId="3" xfId="0" applyFont="1" applyBorder="1" applyAlignment="1">
      <alignment horizontal="left" vertical="center" wrapText="1"/>
    </xf>
    <xf numFmtId="0" fontId="2" fillId="0" borderId="4" xfId="0" applyFont="1" applyBorder="1" applyAlignment="1">
      <alignment vertical="center" wrapText="1"/>
    </xf>
    <xf numFmtId="4" fontId="2" fillId="0" borderId="4" xfId="0" applyNumberFormat="1" applyFont="1" applyBorder="1" applyAlignment="1">
      <alignment vertical="center" wrapText="1"/>
    </xf>
    <xf numFmtId="0" fontId="2" fillId="0" borderId="5" xfId="0" applyFont="1" applyBorder="1" applyAlignment="1">
      <alignment horizontal="center" vertical="center" wrapText="1"/>
    </xf>
    <xf numFmtId="0" fontId="2" fillId="0" borderId="0" xfId="0" applyFont="1" applyAlignment="1">
      <alignment vertical="center"/>
    </xf>
    <xf numFmtId="0" fontId="2" fillId="0" borderId="4" xfId="0" applyFont="1" applyBorder="1" applyAlignment="1">
      <alignment horizontal="left" vertical="center" wrapText="1"/>
    </xf>
    <xf numFmtId="4" fontId="2" fillId="0" borderId="2" xfId="0" applyNumberFormat="1" applyFont="1" applyBorder="1" applyAlignment="1">
      <alignment horizontal="center" vertical="center" wrapText="1"/>
    </xf>
    <xf numFmtId="4" fontId="2" fillId="0" borderId="3" xfId="0" applyNumberFormat="1" applyFont="1" applyBorder="1" applyAlignment="1">
      <alignment horizontal="center" vertical="center" wrapText="1"/>
    </xf>
    <xf numFmtId="4" fontId="2" fillId="0" borderId="5" xfId="0" applyNumberFormat="1" applyFont="1" applyBorder="1" applyAlignment="1">
      <alignment horizontal="center" vertical="center" wrapText="1"/>
    </xf>
    <xf numFmtId="4" fontId="2" fillId="2" borderId="2" xfId="0" applyNumberFormat="1" applyFont="1" applyFill="1" applyBorder="1" applyAlignment="1">
      <alignment horizontal="center" vertical="center" wrapText="1"/>
    </xf>
    <xf numFmtId="4" fontId="2" fillId="2" borderId="3" xfId="0" applyNumberFormat="1" applyFont="1" applyFill="1" applyBorder="1" applyAlignment="1">
      <alignment horizontal="center" vertical="center" wrapText="1"/>
    </xf>
    <xf numFmtId="4" fontId="2" fillId="2" borderId="5" xfId="0" applyNumberFormat="1" applyFont="1" applyFill="1" applyBorder="1" applyAlignment="1">
      <alignment horizontal="center" vertical="center" wrapText="1"/>
    </xf>
    <xf numFmtId="0" fontId="2" fillId="2" borderId="2" xfId="0" applyFont="1" applyFill="1" applyBorder="1" applyAlignment="1">
      <alignment horizontal="center" vertical="center" wrapText="1"/>
    </xf>
    <xf numFmtId="0" fontId="1" fillId="2" borderId="2" xfId="0" applyFont="1" applyFill="1" applyBorder="1" applyAlignment="1">
      <alignment horizontal="center"/>
    </xf>
    <xf numFmtId="0" fontId="1" fillId="2" borderId="2" xfId="0" applyFont="1" applyFill="1" applyBorder="1"/>
    <xf numFmtId="0" fontId="2" fillId="0" borderId="4" xfId="0" applyFont="1" applyBorder="1" applyAlignment="1">
      <alignment horizontal="center" vertical="center" wrapText="1"/>
    </xf>
    <xf numFmtId="3" fontId="2" fillId="0" borderId="3" xfId="0" applyNumberFormat="1" applyFont="1" applyBorder="1" applyAlignment="1">
      <alignment horizontal="center" vertical="center" wrapText="1"/>
    </xf>
    <xf numFmtId="3" fontId="2" fillId="0" borderId="5" xfId="0" applyNumberFormat="1" applyFont="1" applyBorder="1" applyAlignment="1">
      <alignment horizontal="center" vertical="center" wrapText="1"/>
    </xf>
    <xf numFmtId="0" fontId="2" fillId="0" borderId="2" xfId="0" applyFont="1" applyBorder="1" applyAlignment="1">
      <alignment horizontal="center" vertical="center" wrapText="1"/>
    </xf>
    <xf numFmtId="1" fontId="2" fillId="0" borderId="3" xfId="0" applyNumberFormat="1" applyFont="1" applyBorder="1" applyAlignment="1">
      <alignment horizontal="center" vertical="center"/>
    </xf>
    <xf numFmtId="1" fontId="2" fillId="0" borderId="4" xfId="0" applyNumberFormat="1" applyFont="1" applyBorder="1" applyAlignment="1">
      <alignment horizontal="center" vertical="center"/>
    </xf>
    <xf numFmtId="1" fontId="2" fillId="0" borderId="5" xfId="0" applyNumberFormat="1" applyFont="1" applyBorder="1" applyAlignment="1">
      <alignment horizontal="center" vertical="center"/>
    </xf>
    <xf numFmtId="14" fontId="2" fillId="2" borderId="2" xfId="0" applyNumberFormat="1" applyFont="1" applyFill="1" applyBorder="1" applyAlignment="1">
      <alignment horizontal="left" vertical="center"/>
    </xf>
    <xf numFmtId="0" fontId="2" fillId="2" borderId="3" xfId="0" applyFont="1" applyFill="1" applyBorder="1" applyAlignment="1">
      <alignment horizontal="left" vertical="center"/>
    </xf>
    <xf numFmtId="0" fontId="2" fillId="2" borderId="3" xfId="0" applyFont="1" applyFill="1" applyBorder="1" applyAlignment="1">
      <alignment horizontal="left" vertical="center"/>
    </xf>
    <xf numFmtId="0" fontId="2" fillId="2" borderId="3" xfId="0" applyFont="1" applyFill="1" applyBorder="1" applyAlignment="1">
      <alignment horizontal="left"/>
    </xf>
    <xf numFmtId="0" fontId="2" fillId="2" borderId="6" xfId="0" applyFont="1" applyFill="1" applyBorder="1" applyAlignment="1">
      <alignment horizontal="left" vertical="top"/>
    </xf>
    <xf numFmtId="0" fontId="1" fillId="0" borderId="0" xfId="0" applyFont="1" applyAlignment="1">
      <alignment vertical="center" wrapText="1"/>
    </xf>
    <xf numFmtId="0" fontId="2" fillId="2" borderId="8" xfId="0" applyFont="1" applyFill="1" applyBorder="1" applyAlignment="1">
      <alignment vertical="top" wrapText="1"/>
    </xf>
    <xf numFmtId="0" fontId="2" fillId="2" borderId="13" xfId="0" applyFont="1" applyFill="1" applyBorder="1" applyAlignment="1">
      <alignment vertical="top" wrapText="1"/>
    </xf>
    <xf numFmtId="9" fontId="2" fillId="0" borderId="2" xfId="0" applyNumberFormat="1" applyFont="1" applyBorder="1" applyAlignment="1">
      <alignment horizontal="center" vertical="center" wrapText="1"/>
    </xf>
    <xf numFmtId="0" fontId="2" fillId="5" borderId="2" xfId="0" applyFont="1" applyFill="1" applyBorder="1" applyAlignment="1">
      <alignment horizontal="center" vertical="center" wrapText="1"/>
    </xf>
    <xf numFmtId="0" fontId="2" fillId="6" borderId="15" xfId="0" applyFont="1" applyFill="1" applyBorder="1" applyAlignment="1">
      <alignment horizontal="center" vertical="center" wrapText="1"/>
    </xf>
    <xf numFmtId="0" fontId="2" fillId="6" borderId="16"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2" fillId="2" borderId="7" xfId="0" applyFont="1" applyFill="1" applyBorder="1" applyAlignment="1">
      <alignment vertical="top" wrapText="1"/>
    </xf>
    <xf numFmtId="0" fontId="2" fillId="2" borderId="12" xfId="0" applyFont="1" applyFill="1" applyBorder="1" applyAlignment="1">
      <alignment vertical="top" wrapText="1"/>
    </xf>
    <xf numFmtId="0" fontId="2" fillId="5" borderId="6" xfId="0" applyFont="1" applyFill="1" applyBorder="1" applyAlignment="1">
      <alignment horizontal="left" vertical="center" wrapText="1"/>
    </xf>
    <xf numFmtId="0" fontId="2" fillId="5" borderId="7" xfId="0" applyFont="1" applyFill="1" applyBorder="1" applyAlignment="1">
      <alignment vertical="center" wrapText="1"/>
    </xf>
    <xf numFmtId="0" fontId="2" fillId="5" borderId="8" xfId="0" applyFont="1" applyFill="1" applyBorder="1" applyAlignment="1">
      <alignment vertical="center" wrapText="1"/>
    </xf>
    <xf numFmtId="0" fontId="2" fillId="5" borderId="3" xfId="0" applyFont="1" applyFill="1" applyBorder="1" applyAlignment="1">
      <alignment vertical="center" wrapText="1"/>
    </xf>
    <xf numFmtId="0" fontId="2" fillId="5" borderId="4" xfId="0" applyFont="1" applyFill="1" applyBorder="1" applyAlignment="1">
      <alignment vertical="center" wrapText="1"/>
    </xf>
    <xf numFmtId="0" fontId="2" fillId="5" borderId="5" xfId="0" applyFont="1" applyFill="1" applyBorder="1" applyAlignment="1">
      <alignment vertical="center" wrapText="1"/>
    </xf>
    <xf numFmtId="0" fontId="2" fillId="5" borderId="6" xfId="0" applyFont="1" applyFill="1" applyBorder="1" applyAlignment="1">
      <alignment horizontal="left" vertical="center" wrapText="1"/>
    </xf>
    <xf numFmtId="0" fontId="2" fillId="5" borderId="7" xfId="0" applyFont="1" applyFill="1" applyBorder="1" applyAlignment="1">
      <alignment horizontal="left" vertical="center" wrapText="1"/>
    </xf>
    <xf numFmtId="0" fontId="2" fillId="5" borderId="8" xfId="0" applyFont="1" applyFill="1" applyBorder="1" applyAlignment="1">
      <alignment horizontal="left" vertical="center" wrapText="1"/>
    </xf>
    <xf numFmtId="0" fontId="2" fillId="5" borderId="3" xfId="0" applyFont="1" applyFill="1" applyBorder="1" applyAlignment="1">
      <alignment horizontal="left" vertical="center" wrapText="1"/>
    </xf>
    <xf numFmtId="0" fontId="2" fillId="5" borderId="4" xfId="0" applyFont="1" applyFill="1" applyBorder="1" applyAlignment="1">
      <alignment horizontal="left" vertical="center" wrapText="1"/>
    </xf>
    <xf numFmtId="0" fontId="2" fillId="5" borderId="5" xfId="0" applyFont="1" applyFill="1" applyBorder="1" applyAlignment="1">
      <alignment horizontal="left" vertical="center" wrapText="1"/>
    </xf>
    <xf numFmtId="0" fontId="2" fillId="5" borderId="2" xfId="0" applyFont="1" applyFill="1" applyBorder="1" applyAlignment="1">
      <alignment horizontal="left" vertical="center" wrapText="1"/>
    </xf>
    <xf numFmtId="0" fontId="2" fillId="0" borderId="2" xfId="0" applyFont="1" applyBorder="1" applyAlignment="1">
      <alignment horizontal="center"/>
    </xf>
    <xf numFmtId="0" fontId="2" fillId="0" borderId="2" xfId="0" applyFont="1" applyBorder="1" applyAlignment="1">
      <alignment horizontal="center" vertical="center" wrapText="1"/>
    </xf>
    <xf numFmtId="0" fontId="2" fillId="0" borderId="1" xfId="0" applyFont="1" applyBorder="1" applyAlignment="1">
      <alignment horizontal="left" vertical="center" wrapText="1"/>
    </xf>
    <xf numFmtId="0" fontId="2" fillId="0" borderId="2" xfId="0" applyFont="1" applyBorder="1" applyAlignment="1">
      <alignment vertical="center" wrapText="1"/>
    </xf>
    <xf numFmtId="2" fontId="2" fillId="5" borderId="2" xfId="0" applyNumberFormat="1" applyFont="1" applyFill="1" applyBorder="1" applyAlignment="1">
      <alignment horizontal="center" vertical="center" wrapText="1"/>
    </xf>
    <xf numFmtId="0" fontId="2" fillId="0" borderId="14" xfId="0" applyFont="1" applyBorder="1" applyAlignment="1">
      <alignment horizontal="left"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2" fontId="2" fillId="5" borderId="1" xfId="0" applyNumberFormat="1" applyFont="1" applyFill="1" applyBorder="1" applyAlignment="1">
      <alignment horizontal="center" vertical="center" wrapText="1"/>
    </xf>
    <xf numFmtId="0" fontId="2" fillId="5" borderId="1" xfId="0" applyFont="1" applyFill="1" applyBorder="1" applyAlignment="1">
      <alignment horizontal="center" vertical="center" wrapText="1"/>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5</c:v>
                </c:pt>
                <c:pt idx="1">
                  <c:v>4.5</c:v>
                </c:pt>
                <c:pt idx="2">
                  <c:v>7.5</c:v>
                </c:pt>
                <c:pt idx="3">
                  <c:v>7</c:v>
                </c:pt>
                <c:pt idx="4">
                  <c:v>6</c:v>
                </c:pt>
                <c:pt idx="5">
                  <c:v>7</c:v>
                </c:pt>
                <c:pt idx="6">
                  <c:v>6.5</c:v>
                </c:pt>
                <c:pt idx="7">
                  <c:v>6</c:v>
                </c:pt>
                <c:pt idx="8">
                  <c:v>7</c:v>
                </c:pt>
                <c:pt idx="9">
                  <c:v>7</c:v>
                </c:pt>
                <c:pt idx="10">
                  <c:v>5.5</c:v>
                </c:pt>
                <c:pt idx="11">
                  <c:v>6</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30</c:v>
                </c:pt>
                <c:pt idx="1">
                  <c:v>51</c:v>
                </c:pt>
                <c:pt idx="2">
                  <c:v>44</c:v>
                </c:pt>
                <c:pt idx="3">
                  <c:v>67</c:v>
                </c:pt>
                <c:pt idx="4">
                  <c:v>41</c:v>
                </c:pt>
                <c:pt idx="5">
                  <c:v>46</c:v>
                </c:pt>
                <c:pt idx="6">
                  <c:v>58</c:v>
                </c:pt>
                <c:pt idx="7">
                  <c:v>67</c:v>
                </c:pt>
                <c:pt idx="8">
                  <c:v>71</c:v>
                </c:pt>
                <c:pt idx="9">
                  <c:v>113</c:v>
                </c:pt>
                <c:pt idx="10">
                  <c:v>73</c:v>
                </c:pt>
                <c:pt idx="11">
                  <c:v>78</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c:formatCode>
                <c:ptCount val="12"/>
                <c:pt idx="0">
                  <c:v>4.87</c:v>
                </c:pt>
                <c:pt idx="1">
                  <c:v>4.835</c:v>
                </c:pt>
                <c:pt idx="2">
                  <c:v>7.1400000000000006</c:v>
                </c:pt>
                <c:pt idx="3">
                  <c:v>6.8650000000000002</c:v>
                </c:pt>
                <c:pt idx="4">
                  <c:v>5.8100000000000005</c:v>
                </c:pt>
                <c:pt idx="5">
                  <c:v>6.5950000000000006</c:v>
                </c:pt>
                <c:pt idx="6">
                  <c:v>6.625</c:v>
                </c:pt>
                <c:pt idx="7">
                  <c:v>6.415</c:v>
                </c:pt>
                <c:pt idx="8">
                  <c:v>6.74</c:v>
                </c:pt>
                <c:pt idx="9">
                  <c:v>7.0250000000000004</c:v>
                </c:pt>
                <c:pt idx="10">
                  <c:v>5.3849999999999998</c:v>
                </c:pt>
                <c:pt idx="11">
                  <c:v>6.49</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9</c:v>
                </c:pt>
                <c:pt idx="1">
                  <c:v>7</c:v>
                </c:pt>
                <c:pt idx="2">
                  <c:v>10</c:v>
                </c:pt>
                <c:pt idx="3">
                  <c:v>11</c:v>
                </c:pt>
                <c:pt idx="4">
                  <c:v>7</c:v>
                </c:pt>
                <c:pt idx="5">
                  <c:v>8</c:v>
                </c:pt>
                <c:pt idx="6">
                  <c:v>9</c:v>
                </c:pt>
                <c:pt idx="7">
                  <c:v>8</c:v>
                </c:pt>
                <c:pt idx="8">
                  <c:v>9</c:v>
                </c:pt>
                <c:pt idx="9">
                  <c:v>13</c:v>
                </c:pt>
                <c:pt idx="10">
                  <c:v>8</c:v>
                </c:pt>
                <c:pt idx="11">
                  <c:v>12</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11390368"/>
        <c:axId val="311390760"/>
      </c:lineChart>
      <c:catAx>
        <c:axId val="311390368"/>
        <c:scaling>
          <c:orientation val="minMax"/>
        </c:scaling>
        <c:delete val="0"/>
        <c:axPos val="b"/>
        <c:numFmt formatCode="General" sourceLinked="1"/>
        <c:majorTickMark val="out"/>
        <c:minorTickMark val="none"/>
        <c:tickLblPos val="nextTo"/>
        <c:crossAx val="311390760"/>
        <c:crosses val="autoZero"/>
        <c:auto val="1"/>
        <c:lblAlgn val="ctr"/>
        <c:lblOffset val="100"/>
        <c:noMultiLvlLbl val="0"/>
      </c:catAx>
      <c:valAx>
        <c:axId val="3113907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036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23</c:v>
                </c:pt>
                <c:pt idx="1">
                  <c:v>25</c:v>
                </c:pt>
                <c:pt idx="2">
                  <c:v>13.5</c:v>
                </c:pt>
                <c:pt idx="3">
                  <c:v>15.5</c:v>
                </c:pt>
                <c:pt idx="4">
                  <c:v>14.5</c:v>
                </c:pt>
                <c:pt idx="5">
                  <c:v>12.5</c:v>
                </c:pt>
                <c:pt idx="6">
                  <c:v>5.5</c:v>
                </c:pt>
                <c:pt idx="7">
                  <c:v>4</c:v>
                </c:pt>
                <c:pt idx="8">
                  <c:v>4.5</c:v>
                </c:pt>
                <c:pt idx="9">
                  <c:v>3.5</c:v>
                </c:pt>
                <c:pt idx="10">
                  <c:v>4</c:v>
                </c:pt>
                <c:pt idx="11">
                  <c:v>6.5</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184</c:v>
                </c:pt>
                <c:pt idx="1">
                  <c:v>184</c:v>
                </c:pt>
                <c:pt idx="2">
                  <c:v>132</c:v>
                </c:pt>
                <c:pt idx="3">
                  <c:v>286</c:v>
                </c:pt>
                <c:pt idx="4">
                  <c:v>93</c:v>
                </c:pt>
                <c:pt idx="5">
                  <c:v>94</c:v>
                </c:pt>
                <c:pt idx="6">
                  <c:v>128</c:v>
                </c:pt>
                <c:pt idx="7">
                  <c:v>270</c:v>
                </c:pt>
                <c:pt idx="8">
                  <c:v>79</c:v>
                </c:pt>
                <c:pt idx="9">
                  <c:v>90</c:v>
                </c:pt>
                <c:pt idx="10">
                  <c:v>49</c:v>
                </c:pt>
                <c:pt idx="11">
                  <c:v>184</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c:formatCode>
                <c:ptCount val="12"/>
                <c:pt idx="0">
                  <c:v>23.268387096774195</c:v>
                </c:pt>
                <c:pt idx="1">
                  <c:v>25.515714285714289</c:v>
                </c:pt>
                <c:pt idx="2">
                  <c:v>13.158709677419356</c:v>
                </c:pt>
                <c:pt idx="3">
                  <c:v>15.03</c:v>
                </c:pt>
                <c:pt idx="4">
                  <c:v>12.23</c:v>
                </c:pt>
                <c:pt idx="5">
                  <c:v>12.524999999999999</c:v>
                </c:pt>
                <c:pt idx="6">
                  <c:v>5.2434615384615384</c:v>
                </c:pt>
                <c:pt idx="7">
                  <c:v>4.3666666666666671</c:v>
                </c:pt>
                <c:pt idx="8">
                  <c:v>4.3721428571428573</c:v>
                </c:pt>
                <c:pt idx="9">
                  <c:v>3.27</c:v>
                </c:pt>
                <c:pt idx="10">
                  <c:v>3.8833333333333337</c:v>
                </c:pt>
                <c:pt idx="11">
                  <c:v>6.762142857142857</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49</c:v>
                </c:pt>
                <c:pt idx="1">
                  <c:v>41</c:v>
                </c:pt>
                <c:pt idx="2">
                  <c:v>31</c:v>
                </c:pt>
                <c:pt idx="3">
                  <c:v>32</c:v>
                </c:pt>
                <c:pt idx="4">
                  <c:v>22</c:v>
                </c:pt>
                <c:pt idx="5">
                  <c:v>29</c:v>
                </c:pt>
                <c:pt idx="6">
                  <c:v>12</c:v>
                </c:pt>
                <c:pt idx="7">
                  <c:v>18</c:v>
                </c:pt>
                <c:pt idx="8">
                  <c:v>16</c:v>
                </c:pt>
                <c:pt idx="9">
                  <c:v>7</c:v>
                </c:pt>
                <c:pt idx="10">
                  <c:v>12</c:v>
                </c:pt>
                <c:pt idx="11">
                  <c:v>28</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1391936"/>
        <c:axId val="311392328"/>
      </c:lineChart>
      <c:catAx>
        <c:axId val="311391936"/>
        <c:scaling>
          <c:orientation val="minMax"/>
        </c:scaling>
        <c:delete val="0"/>
        <c:axPos val="b"/>
        <c:numFmt formatCode="General" sourceLinked="1"/>
        <c:majorTickMark val="out"/>
        <c:minorTickMark val="none"/>
        <c:tickLblPos val="nextTo"/>
        <c:crossAx val="311392328"/>
        <c:crosses val="autoZero"/>
        <c:auto val="1"/>
        <c:lblAlgn val="ctr"/>
        <c:lblOffset val="100"/>
        <c:noMultiLvlLbl val="0"/>
      </c:catAx>
      <c:valAx>
        <c:axId val="31139232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193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c:formatCode>
                <c:ptCount val="12"/>
                <c:pt idx="0">
                  <c:v>180.5</c:v>
                </c:pt>
                <c:pt idx="1">
                  <c:v>179.5</c:v>
                </c:pt>
                <c:pt idx="2">
                  <c:v>179</c:v>
                </c:pt>
                <c:pt idx="3">
                  <c:v>181</c:v>
                </c:pt>
                <c:pt idx="4">
                  <c:v>179.5</c:v>
                </c:pt>
                <c:pt idx="5">
                  <c:v>180</c:v>
                </c:pt>
                <c:pt idx="6">
                  <c:v>180</c:v>
                </c:pt>
                <c:pt idx="7">
                  <c:v>166</c:v>
                </c:pt>
                <c:pt idx="8">
                  <c:v>179</c:v>
                </c:pt>
                <c:pt idx="9">
                  <c:v>180</c:v>
                </c:pt>
                <c:pt idx="10">
                  <c:v>180.5</c:v>
                </c:pt>
                <c:pt idx="11">
                  <c:v>178</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0</c:formatCode>
                <c:ptCount val="12"/>
                <c:pt idx="0">
                  <c:v>552</c:v>
                </c:pt>
                <c:pt idx="1">
                  <c:v>275</c:v>
                </c:pt>
                <c:pt idx="2">
                  <c:v>409</c:v>
                </c:pt>
                <c:pt idx="3">
                  <c:v>420</c:v>
                </c:pt>
                <c:pt idx="4">
                  <c:v>295</c:v>
                </c:pt>
                <c:pt idx="5">
                  <c:v>265</c:v>
                </c:pt>
                <c:pt idx="6">
                  <c:v>303</c:v>
                </c:pt>
                <c:pt idx="7">
                  <c:v>273</c:v>
                </c:pt>
                <c:pt idx="8">
                  <c:v>358</c:v>
                </c:pt>
                <c:pt idx="9">
                  <c:v>304</c:v>
                </c:pt>
                <c:pt idx="10">
                  <c:v>342</c:v>
                </c:pt>
                <c:pt idx="11">
                  <c:v>319</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0</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c:formatCode>
                <c:ptCount val="12"/>
                <c:pt idx="0">
                  <c:v>180</c:v>
                </c:pt>
                <c:pt idx="1">
                  <c:v>179.5</c:v>
                </c:pt>
                <c:pt idx="2">
                  <c:v>177</c:v>
                </c:pt>
                <c:pt idx="3">
                  <c:v>180</c:v>
                </c:pt>
                <c:pt idx="4">
                  <c:v>180</c:v>
                </c:pt>
                <c:pt idx="5">
                  <c:v>180</c:v>
                </c:pt>
                <c:pt idx="6">
                  <c:v>179.5</c:v>
                </c:pt>
                <c:pt idx="7">
                  <c:v>169.5</c:v>
                </c:pt>
                <c:pt idx="8">
                  <c:v>179.5</c:v>
                </c:pt>
                <c:pt idx="9">
                  <c:v>180</c:v>
                </c:pt>
                <c:pt idx="10">
                  <c:v>180</c:v>
                </c:pt>
                <c:pt idx="11">
                  <c:v>178</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196</c:v>
                </c:pt>
                <c:pt idx="1">
                  <c:v>184</c:v>
                </c:pt>
                <c:pt idx="2">
                  <c:v>189</c:v>
                </c:pt>
                <c:pt idx="3">
                  <c:v>189</c:v>
                </c:pt>
                <c:pt idx="4">
                  <c:v>187</c:v>
                </c:pt>
                <c:pt idx="5">
                  <c:v>182</c:v>
                </c:pt>
                <c:pt idx="6">
                  <c:v>183</c:v>
                </c:pt>
                <c:pt idx="7">
                  <c:v>181</c:v>
                </c:pt>
                <c:pt idx="8">
                  <c:v>187</c:v>
                </c:pt>
                <c:pt idx="9">
                  <c:v>183</c:v>
                </c:pt>
                <c:pt idx="10">
                  <c:v>196</c:v>
                </c:pt>
                <c:pt idx="11">
                  <c:v>187</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1393504"/>
        <c:axId val="315846440"/>
      </c:lineChart>
      <c:catAx>
        <c:axId val="311393504"/>
        <c:scaling>
          <c:orientation val="minMax"/>
        </c:scaling>
        <c:delete val="0"/>
        <c:axPos val="b"/>
        <c:numFmt formatCode="General" sourceLinked="1"/>
        <c:majorTickMark val="out"/>
        <c:minorTickMark val="none"/>
        <c:tickLblPos val="nextTo"/>
        <c:crossAx val="315846440"/>
        <c:crosses val="autoZero"/>
        <c:auto val="1"/>
        <c:lblAlgn val="ctr"/>
        <c:lblOffset val="100"/>
        <c:noMultiLvlLbl val="0"/>
      </c:catAx>
      <c:valAx>
        <c:axId val="315846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13935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0.5</c:v>
                </c:pt>
                <c:pt idx="1">
                  <c:v>1</c:v>
                </c:pt>
                <c:pt idx="2">
                  <c:v>1</c:v>
                </c:pt>
                <c:pt idx="3">
                  <c:v>1</c:v>
                </c:pt>
                <c:pt idx="4">
                  <c:v>0.5</c:v>
                </c:pt>
                <c:pt idx="5">
                  <c:v>1</c:v>
                </c:pt>
                <c:pt idx="6">
                  <c:v>1</c:v>
                </c:pt>
                <c:pt idx="7">
                  <c:v>1</c:v>
                </c:pt>
                <c:pt idx="8">
                  <c:v>1</c:v>
                </c:pt>
                <c:pt idx="9">
                  <c:v>1</c:v>
                </c:pt>
                <c:pt idx="10">
                  <c:v>1</c:v>
                </c:pt>
                <c:pt idx="11">
                  <c:v>1</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51</c:v>
                </c:pt>
                <c:pt idx="1">
                  <c:v>14</c:v>
                </c:pt>
                <c:pt idx="2">
                  <c:v>7</c:v>
                </c:pt>
                <c:pt idx="3">
                  <c:v>6</c:v>
                </c:pt>
                <c:pt idx="4">
                  <c:v>11</c:v>
                </c:pt>
                <c:pt idx="5">
                  <c:v>7</c:v>
                </c:pt>
                <c:pt idx="6">
                  <c:v>8</c:v>
                </c:pt>
                <c:pt idx="7">
                  <c:v>20</c:v>
                </c:pt>
                <c:pt idx="8">
                  <c:v>16</c:v>
                </c:pt>
                <c:pt idx="9">
                  <c:v>23</c:v>
                </c:pt>
                <c:pt idx="10">
                  <c:v>29</c:v>
                </c:pt>
                <c:pt idx="11">
                  <c:v>6</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2</c:v>
                </c:pt>
                <c:pt idx="1">
                  <c:v>2</c:v>
                </c:pt>
                <c:pt idx="2">
                  <c:v>1</c:v>
                </c:pt>
                <c:pt idx="3">
                  <c:v>1</c:v>
                </c:pt>
                <c:pt idx="4">
                  <c:v>2</c:v>
                </c:pt>
                <c:pt idx="5">
                  <c:v>1</c:v>
                </c:pt>
                <c:pt idx="6">
                  <c:v>2</c:v>
                </c:pt>
                <c:pt idx="7">
                  <c:v>2</c:v>
                </c:pt>
                <c:pt idx="8">
                  <c:v>2</c:v>
                </c:pt>
                <c:pt idx="9">
                  <c:v>2</c:v>
                </c:pt>
                <c:pt idx="10">
                  <c:v>2</c:v>
                </c:pt>
                <c:pt idx="11">
                  <c:v>2</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5849184"/>
        <c:axId val="315849576"/>
      </c:lineChart>
      <c:catAx>
        <c:axId val="315849184"/>
        <c:scaling>
          <c:orientation val="minMax"/>
        </c:scaling>
        <c:delete val="0"/>
        <c:axPos val="b"/>
        <c:numFmt formatCode="General" sourceLinked="1"/>
        <c:majorTickMark val="out"/>
        <c:minorTickMark val="none"/>
        <c:tickLblPos val="nextTo"/>
        <c:crossAx val="315849576"/>
        <c:crosses val="autoZero"/>
        <c:auto val="1"/>
        <c:lblAlgn val="ctr"/>
        <c:lblOffset val="100"/>
        <c:noMultiLvlLbl val="0"/>
      </c:catAx>
      <c:valAx>
        <c:axId val="31584957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4918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c:formatCode>
                <c:ptCount val="12"/>
                <c:pt idx="0">
                  <c:v>1</c:v>
                </c:pt>
                <c:pt idx="1">
                  <c:v>0.5</c:v>
                </c:pt>
                <c:pt idx="2">
                  <c:v>1</c:v>
                </c:pt>
                <c:pt idx="3">
                  <c:v>0.5</c:v>
                </c:pt>
                <c:pt idx="4">
                  <c:v>0.5</c:v>
                </c:pt>
                <c:pt idx="5">
                  <c:v>0.5</c:v>
                </c:pt>
                <c:pt idx="6">
                  <c:v>0.5</c:v>
                </c:pt>
                <c:pt idx="7">
                  <c:v>0.5</c:v>
                </c:pt>
                <c:pt idx="8">
                  <c:v>0.5</c:v>
                </c:pt>
                <c:pt idx="9">
                  <c:v>1</c:v>
                </c:pt>
                <c:pt idx="10">
                  <c:v>1.5</c:v>
                </c:pt>
                <c:pt idx="11">
                  <c:v>2</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0</c:formatCode>
                <c:ptCount val="12"/>
                <c:pt idx="0">
                  <c:v>7</c:v>
                </c:pt>
                <c:pt idx="1">
                  <c:v>6</c:v>
                </c:pt>
                <c:pt idx="2">
                  <c:v>28</c:v>
                </c:pt>
                <c:pt idx="3">
                  <c:v>27</c:v>
                </c:pt>
                <c:pt idx="4">
                  <c:v>7</c:v>
                </c:pt>
                <c:pt idx="5">
                  <c:v>2</c:v>
                </c:pt>
                <c:pt idx="6">
                  <c:v>3</c:v>
                </c:pt>
                <c:pt idx="7">
                  <c:v>18</c:v>
                </c:pt>
                <c:pt idx="8">
                  <c:v>2</c:v>
                </c:pt>
                <c:pt idx="9">
                  <c:v>4</c:v>
                </c:pt>
                <c:pt idx="10">
                  <c:v>5</c:v>
                </c:pt>
                <c:pt idx="11">
                  <c:v>45</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0</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c:formatCode>
                <c:ptCount val="12"/>
                <c:pt idx="0">
                  <c:v>0.65</c:v>
                </c:pt>
                <c:pt idx="1">
                  <c:v>0.5892857142857143</c:v>
                </c:pt>
                <c:pt idx="2">
                  <c:v>0.69354838709677424</c:v>
                </c:pt>
                <c:pt idx="3">
                  <c:v>0.58333333333333337</c:v>
                </c:pt>
                <c:pt idx="4">
                  <c:v>0.55555555555555558</c:v>
                </c:pt>
                <c:pt idx="5">
                  <c:v>0.5</c:v>
                </c:pt>
                <c:pt idx="6">
                  <c:v>0.5</c:v>
                </c:pt>
                <c:pt idx="7">
                  <c:v>1.0149999999999999</c:v>
                </c:pt>
                <c:pt idx="8">
                  <c:v>0.5</c:v>
                </c:pt>
                <c:pt idx="9">
                  <c:v>1</c:v>
                </c:pt>
                <c:pt idx="10">
                  <c:v>1.27</c:v>
                </c:pt>
                <c:pt idx="11">
                  <c:v>1.5090909090909093</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0</c:formatCode>
                <c:ptCount val="12"/>
                <c:pt idx="0">
                  <c:v>2</c:v>
                </c:pt>
                <c:pt idx="1">
                  <c:v>1</c:v>
                </c:pt>
                <c:pt idx="2">
                  <c:v>2</c:v>
                </c:pt>
                <c:pt idx="3">
                  <c:v>2</c:v>
                </c:pt>
                <c:pt idx="4">
                  <c:v>1</c:v>
                </c:pt>
                <c:pt idx="5">
                  <c:v>2</c:v>
                </c:pt>
                <c:pt idx="6">
                  <c:v>2</c:v>
                </c:pt>
                <c:pt idx="7">
                  <c:v>3</c:v>
                </c:pt>
                <c:pt idx="8">
                  <c:v>2</c:v>
                </c:pt>
                <c:pt idx="9">
                  <c:v>3</c:v>
                </c:pt>
                <c:pt idx="10">
                  <c:v>2</c:v>
                </c:pt>
                <c:pt idx="11">
                  <c:v>7</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5851144"/>
        <c:axId val="315851536"/>
      </c:lineChart>
      <c:catAx>
        <c:axId val="315851144"/>
        <c:scaling>
          <c:orientation val="minMax"/>
        </c:scaling>
        <c:delete val="0"/>
        <c:axPos val="b"/>
        <c:numFmt formatCode="General" sourceLinked="1"/>
        <c:majorTickMark val="out"/>
        <c:minorTickMark val="none"/>
        <c:tickLblPos val="nextTo"/>
        <c:crossAx val="315851536"/>
        <c:crosses val="autoZero"/>
        <c:auto val="1"/>
        <c:lblAlgn val="ctr"/>
        <c:lblOffset val="100"/>
        <c:noMultiLvlLbl val="0"/>
      </c:catAx>
      <c:valAx>
        <c:axId val="3158515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511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0</c:formatCode>
                <c:ptCount val="12"/>
                <c:pt idx="0">
                  <c:v>14.58</c:v>
                </c:pt>
                <c:pt idx="1">
                  <c:v>18.75</c:v>
                </c:pt>
                <c:pt idx="2">
                  <c:v>11.56</c:v>
                </c:pt>
                <c:pt idx="3">
                  <c:v>10.08</c:v>
                </c:pt>
                <c:pt idx="4">
                  <c:v>20.32</c:v>
                </c:pt>
                <c:pt idx="5">
                  <c:v>12.01</c:v>
                </c:pt>
                <c:pt idx="6">
                  <c:v>9.81</c:v>
                </c:pt>
                <c:pt idx="7">
                  <c:v>10.029999999999999</c:v>
                </c:pt>
                <c:pt idx="8">
                  <c:v>15.6</c:v>
                </c:pt>
                <c:pt idx="9">
                  <c:v>20.65</c:v>
                </c:pt>
                <c:pt idx="10">
                  <c:v>107.21</c:v>
                </c:pt>
                <c:pt idx="11">
                  <c:v>40.409999999999997</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0</c:formatCode>
                <c:ptCount val="12"/>
                <c:pt idx="0">
                  <c:v>28</c:v>
                </c:pt>
                <c:pt idx="1">
                  <c:v>54</c:v>
                </c:pt>
                <c:pt idx="2">
                  <c:v>18</c:v>
                </c:pt>
                <c:pt idx="3">
                  <c:v>15</c:v>
                </c:pt>
                <c:pt idx="4">
                  <c:v>81</c:v>
                </c:pt>
                <c:pt idx="5">
                  <c:v>43</c:v>
                </c:pt>
                <c:pt idx="6">
                  <c:v>18</c:v>
                </c:pt>
                <c:pt idx="7">
                  <c:v>30</c:v>
                </c:pt>
                <c:pt idx="8">
                  <c:v>160</c:v>
                </c:pt>
                <c:pt idx="9">
                  <c:v>777</c:v>
                </c:pt>
                <c:pt idx="10">
                  <c:v>724</c:v>
                </c:pt>
                <c:pt idx="11">
                  <c:v>133</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0</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0</c:formatCode>
                <c:ptCount val="12"/>
                <c:pt idx="0">
                  <c:v>9.7808676307007794</c:v>
                </c:pt>
                <c:pt idx="1">
                  <c:v>9.178571428571427</c:v>
                </c:pt>
                <c:pt idx="2">
                  <c:v>6.435483870967742</c:v>
                </c:pt>
                <c:pt idx="3">
                  <c:v>6.4499999999999993</c:v>
                </c:pt>
                <c:pt idx="4">
                  <c:v>9.4</c:v>
                </c:pt>
                <c:pt idx="5">
                  <c:v>7.6444444444444439</c:v>
                </c:pt>
                <c:pt idx="6">
                  <c:v>5.9617682198327362</c:v>
                </c:pt>
                <c:pt idx="7">
                  <c:v>5.9166666666666661</c:v>
                </c:pt>
                <c:pt idx="8">
                  <c:v>9.6212643678160923</c:v>
                </c:pt>
                <c:pt idx="9">
                  <c:v>11.771724137931034</c:v>
                </c:pt>
                <c:pt idx="10">
                  <c:v>17.060000000000002</c:v>
                </c:pt>
                <c:pt idx="11">
                  <c:v>10.183441558441558</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0</c:formatCode>
                <c:ptCount val="12"/>
                <c:pt idx="0">
                  <c:v>52</c:v>
                </c:pt>
                <c:pt idx="1">
                  <c:v>23</c:v>
                </c:pt>
                <c:pt idx="2">
                  <c:v>12</c:v>
                </c:pt>
                <c:pt idx="3">
                  <c:v>17</c:v>
                </c:pt>
                <c:pt idx="4">
                  <c:v>18</c:v>
                </c:pt>
                <c:pt idx="5">
                  <c:v>29</c:v>
                </c:pt>
                <c:pt idx="6">
                  <c:v>11</c:v>
                </c:pt>
                <c:pt idx="7">
                  <c:v>51</c:v>
                </c:pt>
                <c:pt idx="8">
                  <c:v>46</c:v>
                </c:pt>
                <c:pt idx="9">
                  <c:v>90</c:v>
                </c:pt>
                <c:pt idx="10">
                  <c:v>122</c:v>
                </c:pt>
                <c:pt idx="11">
                  <c:v>46</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847616"/>
        <c:axId val="315852712"/>
      </c:lineChart>
      <c:catAx>
        <c:axId val="315847616"/>
        <c:scaling>
          <c:orientation val="minMax"/>
        </c:scaling>
        <c:delete val="0"/>
        <c:axPos val="b"/>
        <c:numFmt formatCode="General" sourceLinked="1"/>
        <c:majorTickMark val="out"/>
        <c:minorTickMark val="none"/>
        <c:tickLblPos val="nextTo"/>
        <c:crossAx val="315852712"/>
        <c:crosses val="autoZero"/>
        <c:auto val="1"/>
        <c:lblAlgn val="ctr"/>
        <c:lblOffset val="100"/>
        <c:noMultiLvlLbl val="0"/>
      </c:catAx>
      <c:valAx>
        <c:axId val="31585271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47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2.5</c:v>
                </c:pt>
                <c:pt idx="1">
                  <c:v>3.5</c:v>
                </c:pt>
                <c:pt idx="2">
                  <c:v>4</c:v>
                </c:pt>
                <c:pt idx="3">
                  <c:v>5</c:v>
                </c:pt>
                <c:pt idx="4">
                  <c:v>7.5</c:v>
                </c:pt>
                <c:pt idx="5">
                  <c:v>6</c:v>
                </c:pt>
                <c:pt idx="6">
                  <c:v>5</c:v>
                </c:pt>
                <c:pt idx="7">
                  <c:v>5.5</c:v>
                </c:pt>
                <c:pt idx="8">
                  <c:v>6.5</c:v>
                </c:pt>
                <c:pt idx="9">
                  <c:v>6.5</c:v>
                </c:pt>
                <c:pt idx="10">
                  <c:v>7</c:v>
                </c:pt>
                <c:pt idx="11">
                  <c:v>4</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172</c:v>
                </c:pt>
                <c:pt idx="1">
                  <c:v>50</c:v>
                </c:pt>
                <c:pt idx="2">
                  <c:v>108</c:v>
                </c:pt>
                <c:pt idx="3">
                  <c:v>56</c:v>
                </c:pt>
                <c:pt idx="4">
                  <c:v>129</c:v>
                </c:pt>
                <c:pt idx="5">
                  <c:v>40</c:v>
                </c:pt>
                <c:pt idx="6">
                  <c:v>50</c:v>
                </c:pt>
                <c:pt idx="7">
                  <c:v>57</c:v>
                </c:pt>
                <c:pt idx="8">
                  <c:v>216</c:v>
                </c:pt>
                <c:pt idx="9">
                  <c:v>202</c:v>
                </c:pt>
                <c:pt idx="10">
                  <c:v>224</c:v>
                </c:pt>
                <c:pt idx="11">
                  <c:v>64</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c:formatCode>
                <c:ptCount val="12"/>
                <c:pt idx="0">
                  <c:v>2.4627363737486094</c:v>
                </c:pt>
                <c:pt idx="1">
                  <c:v>3.0892857142857144</c:v>
                </c:pt>
                <c:pt idx="2">
                  <c:v>4.112903225806452</c:v>
                </c:pt>
                <c:pt idx="3">
                  <c:v>4.8499999999999996</c:v>
                </c:pt>
                <c:pt idx="4">
                  <c:v>5.7784090909090908</c:v>
                </c:pt>
                <c:pt idx="5">
                  <c:v>5.4499999999999993</c:v>
                </c:pt>
                <c:pt idx="6">
                  <c:v>4.9068100358422937</c:v>
                </c:pt>
                <c:pt idx="7">
                  <c:v>5.3666666666666671</c:v>
                </c:pt>
                <c:pt idx="8">
                  <c:v>6.4214285714285717</c:v>
                </c:pt>
                <c:pt idx="9">
                  <c:v>5.7816091954022983</c:v>
                </c:pt>
                <c:pt idx="10">
                  <c:v>6.9941666666666666</c:v>
                </c:pt>
                <c:pt idx="11">
                  <c:v>4.0113636363636367</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8</c:v>
                </c:pt>
                <c:pt idx="1">
                  <c:v>7</c:v>
                </c:pt>
                <c:pt idx="2">
                  <c:v>9</c:v>
                </c:pt>
                <c:pt idx="3">
                  <c:v>10</c:v>
                </c:pt>
                <c:pt idx="4">
                  <c:v>13</c:v>
                </c:pt>
                <c:pt idx="5">
                  <c:v>9</c:v>
                </c:pt>
                <c:pt idx="6">
                  <c:v>7</c:v>
                </c:pt>
                <c:pt idx="7">
                  <c:v>9</c:v>
                </c:pt>
                <c:pt idx="8">
                  <c:v>15</c:v>
                </c:pt>
                <c:pt idx="9">
                  <c:v>18</c:v>
                </c:pt>
                <c:pt idx="10">
                  <c:v>23</c:v>
                </c:pt>
                <c:pt idx="11">
                  <c:v>8</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5853888"/>
        <c:axId val="317518896"/>
      </c:lineChart>
      <c:catAx>
        <c:axId val="315853888"/>
        <c:scaling>
          <c:orientation val="minMax"/>
        </c:scaling>
        <c:delete val="0"/>
        <c:axPos val="b"/>
        <c:numFmt formatCode="General" sourceLinked="1"/>
        <c:majorTickMark val="out"/>
        <c:minorTickMark val="none"/>
        <c:tickLblPos val="nextTo"/>
        <c:crossAx val="317518896"/>
        <c:crosses val="autoZero"/>
        <c:auto val="1"/>
        <c:lblAlgn val="ctr"/>
        <c:lblOffset val="100"/>
        <c:noMultiLvlLbl val="0"/>
      </c:catAx>
      <c:valAx>
        <c:axId val="3175188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8538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11430</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view="pageBreakPreview" zoomScale="60" zoomScaleNormal="100" workbookViewId="0">
      <selection activeCell="C54" sqref="C54"/>
    </sheetView>
  </sheetViews>
  <sheetFormatPr defaultColWidth="9.28515625" defaultRowHeight="15"/>
  <cols>
    <col min="1" max="1" width="9.28515625" style="2" customWidth="1"/>
    <col min="2" max="2" width="14.5703125" style="2" bestFit="1" customWidth="1"/>
    <col min="3" max="4" width="9.28515625" style="2"/>
    <col min="5" max="5" width="22.5703125" style="2" customWidth="1"/>
    <col min="6" max="8" width="9.28515625" style="2"/>
    <col min="9" max="9" width="16.85546875" style="2" customWidth="1"/>
    <col min="10" max="10" width="11.5703125" style="2" customWidth="1"/>
    <col min="11" max="14" width="9.28515625" style="2"/>
    <col min="15" max="15" width="9.28515625" style="2" customWidth="1"/>
    <col min="16" max="16384" width="9.28515625" style="2"/>
  </cols>
  <sheetData>
    <row r="1" spans="2:16">
      <c r="B1" s="91"/>
      <c r="C1" s="91"/>
      <c r="D1" s="190" t="s">
        <v>0</v>
      </c>
      <c r="E1" s="191"/>
      <c r="F1" s="191"/>
      <c r="G1" s="191"/>
      <c r="H1" s="91"/>
      <c r="I1" s="91"/>
      <c r="J1" s="91"/>
      <c r="K1" s="91"/>
      <c r="L1" s="91"/>
      <c r="M1" s="91"/>
      <c r="N1" s="91"/>
      <c r="O1" s="91"/>
      <c r="P1" s="91"/>
    </row>
    <row r="2" spans="2:16">
      <c r="B2" s="91"/>
      <c r="C2" s="91"/>
      <c r="D2" s="191"/>
      <c r="E2" s="191"/>
      <c r="F2" s="191"/>
      <c r="G2" s="191"/>
      <c r="H2" s="91"/>
      <c r="I2" s="91"/>
      <c r="J2" s="91"/>
      <c r="K2" s="91"/>
      <c r="L2" s="91"/>
      <c r="M2" s="91"/>
      <c r="N2" s="91" t="s">
        <v>1</v>
      </c>
      <c r="O2" s="91"/>
      <c r="P2" s="346"/>
    </row>
    <row r="3" spans="2:16">
      <c r="B3" s="91"/>
      <c r="C3" s="91"/>
      <c r="D3" s="191"/>
      <c r="E3" s="191"/>
      <c r="F3" s="191"/>
      <c r="G3" s="191"/>
      <c r="H3" s="91"/>
      <c r="I3" s="91"/>
      <c r="J3" s="91"/>
      <c r="K3" s="91"/>
      <c r="L3" s="91"/>
      <c r="M3" s="91"/>
      <c r="N3" s="346"/>
      <c r="O3" s="91"/>
      <c r="P3" s="91"/>
    </row>
    <row r="4" spans="2:16">
      <c r="B4" s="91"/>
      <c r="C4" s="91"/>
      <c r="D4" s="191"/>
      <c r="E4" s="191"/>
      <c r="F4" s="191"/>
      <c r="G4" s="191"/>
      <c r="H4" s="91"/>
      <c r="I4" s="91"/>
      <c r="J4" s="91"/>
      <c r="K4" s="91"/>
      <c r="L4" s="91"/>
      <c r="M4" s="91"/>
      <c r="N4" s="91"/>
      <c r="O4" s="91"/>
      <c r="P4" s="91"/>
    </row>
    <row r="5" spans="2:16">
      <c r="B5" s="91"/>
      <c r="C5" s="91"/>
      <c r="D5" s="191"/>
      <c r="E5" s="191"/>
      <c r="F5" s="191"/>
      <c r="G5" s="191"/>
      <c r="H5" s="91"/>
      <c r="I5" s="91"/>
      <c r="J5" s="91"/>
      <c r="K5" s="91"/>
      <c r="L5" s="91"/>
      <c r="M5" s="91"/>
      <c r="N5" s="91"/>
      <c r="O5" s="91"/>
      <c r="P5" s="91"/>
    </row>
    <row r="6" spans="2:16">
      <c r="B6" s="91"/>
      <c r="C6" s="91"/>
      <c r="D6" s="191"/>
      <c r="E6" s="191"/>
      <c r="F6" s="191"/>
      <c r="G6" s="191"/>
      <c r="H6" s="91"/>
      <c r="I6" s="91"/>
      <c r="J6" s="91"/>
      <c r="K6" s="91"/>
      <c r="L6" s="91"/>
      <c r="M6" s="91"/>
      <c r="N6" s="91"/>
      <c r="O6" s="91"/>
      <c r="P6" s="91"/>
    </row>
    <row r="8" spans="2:16" ht="15.75" customHeight="1">
      <c r="B8" s="347" t="s">
        <v>2</v>
      </c>
      <c r="C8" s="347"/>
      <c r="D8" s="347"/>
      <c r="E8" s="347"/>
      <c r="F8" s="347"/>
      <c r="G8" s="347"/>
      <c r="H8" s="347"/>
      <c r="I8" s="347"/>
      <c r="J8" s="91"/>
      <c r="K8" s="91"/>
      <c r="L8" s="91"/>
      <c r="M8" s="91"/>
      <c r="N8" s="71"/>
      <c r="O8" s="91"/>
      <c r="P8" s="91"/>
    </row>
    <row r="9" spans="2:16">
      <c r="B9" s="347"/>
      <c r="C9" s="347"/>
      <c r="D9" s="347"/>
      <c r="E9" s="347"/>
      <c r="F9" s="347"/>
      <c r="G9" s="347"/>
      <c r="H9" s="347"/>
      <c r="I9" s="347"/>
      <c r="J9" s="91"/>
      <c r="K9" s="91"/>
      <c r="L9" s="91"/>
      <c r="M9" s="91"/>
      <c r="N9" s="91"/>
      <c r="O9" s="91"/>
      <c r="P9" s="91"/>
    </row>
    <row r="10" spans="2:16">
      <c r="B10" s="347"/>
      <c r="C10" s="347"/>
      <c r="D10" s="347"/>
      <c r="E10" s="347"/>
      <c r="F10" s="347"/>
      <c r="G10" s="347"/>
      <c r="H10" s="347"/>
      <c r="I10" s="347"/>
      <c r="J10" s="91"/>
      <c r="K10" s="91"/>
      <c r="L10" s="91"/>
      <c r="M10" s="91"/>
      <c r="N10" s="91"/>
      <c r="O10" s="91"/>
      <c r="P10" s="91"/>
    </row>
    <row r="11" spans="2:16">
      <c r="B11" s="347"/>
      <c r="C11" s="347"/>
      <c r="D11" s="347"/>
      <c r="E11" s="347"/>
      <c r="F11" s="347"/>
      <c r="G11" s="347"/>
      <c r="H11" s="347"/>
      <c r="I11" s="347"/>
      <c r="J11" s="91"/>
      <c r="K11" s="91"/>
      <c r="L11" s="91"/>
      <c r="M11" s="91"/>
      <c r="N11" s="91"/>
      <c r="O11" s="91"/>
      <c r="P11" s="91"/>
    </row>
    <row r="12" spans="2:16">
      <c r="B12" s="347"/>
      <c r="C12" s="347"/>
      <c r="D12" s="347"/>
      <c r="E12" s="347"/>
      <c r="F12" s="347"/>
      <c r="G12" s="347"/>
      <c r="H12" s="347"/>
      <c r="I12" s="347"/>
      <c r="J12" s="91"/>
      <c r="K12" s="91"/>
      <c r="L12" s="91"/>
      <c r="M12" s="91"/>
      <c r="N12" s="91"/>
      <c r="O12" s="91"/>
      <c r="P12" s="91"/>
    </row>
    <row r="13" spans="2:16" ht="15.6">
      <c r="B13" s="347"/>
      <c r="C13" s="347"/>
      <c r="D13" s="347"/>
      <c r="E13" s="347"/>
      <c r="F13" s="347"/>
      <c r="G13" s="347"/>
      <c r="H13" s="347"/>
      <c r="I13" s="347"/>
      <c r="J13" s="91"/>
      <c r="K13" s="91"/>
      <c r="L13" s="91"/>
      <c r="M13" s="91"/>
      <c r="N13" s="75" t="s">
        <v>3</v>
      </c>
      <c r="O13" s="73"/>
      <c r="P13" s="73"/>
    </row>
    <row r="14" spans="2:16" ht="15.6" customHeight="1">
      <c r="B14" s="347"/>
      <c r="C14" s="347"/>
      <c r="D14" s="347"/>
      <c r="E14" s="347"/>
      <c r="F14" s="347"/>
      <c r="G14" s="347"/>
      <c r="H14" s="347"/>
      <c r="I14" s="347"/>
      <c r="J14" s="91"/>
      <c r="K14" s="91"/>
      <c r="L14" s="91"/>
      <c r="M14" s="91"/>
      <c r="N14" s="189" t="s">
        <v>4</v>
      </c>
      <c r="O14" s="189"/>
      <c r="P14" s="189"/>
    </row>
    <row r="15" spans="2:16">
      <c r="B15" s="347"/>
      <c r="C15" s="347"/>
      <c r="D15" s="347"/>
      <c r="E15" s="347"/>
      <c r="F15" s="347"/>
      <c r="G15" s="347"/>
      <c r="H15" s="347"/>
      <c r="I15" s="347"/>
      <c r="J15" s="91"/>
      <c r="K15" s="91"/>
      <c r="L15" s="91"/>
      <c r="M15" s="91"/>
      <c r="N15" s="189"/>
      <c r="O15" s="189"/>
      <c r="P15" s="189"/>
    </row>
    <row r="16" spans="2:16">
      <c r="B16" s="347"/>
      <c r="C16" s="347"/>
      <c r="D16" s="347"/>
      <c r="E16" s="347"/>
      <c r="F16" s="347"/>
      <c r="G16" s="347"/>
      <c r="H16" s="347"/>
      <c r="I16" s="347"/>
      <c r="J16" s="91"/>
      <c r="K16" s="91"/>
      <c r="L16" s="91"/>
      <c r="M16" s="91"/>
      <c r="N16" s="189"/>
      <c r="O16" s="189"/>
      <c r="P16" s="189"/>
    </row>
    <row r="17" spans="2:16">
      <c r="B17" s="347"/>
      <c r="C17" s="347"/>
      <c r="D17" s="347"/>
      <c r="E17" s="347"/>
      <c r="F17" s="347"/>
      <c r="G17" s="347"/>
      <c r="H17" s="347"/>
      <c r="I17" s="347"/>
      <c r="J17" s="91"/>
      <c r="K17" s="91"/>
      <c r="L17" s="91"/>
      <c r="M17" s="91"/>
      <c r="N17" s="189"/>
      <c r="O17" s="189"/>
      <c r="P17" s="189"/>
    </row>
    <row r="18" spans="2:16">
      <c r="B18" s="347"/>
      <c r="C18" s="347"/>
      <c r="D18" s="347"/>
      <c r="E18" s="347"/>
      <c r="F18" s="347"/>
      <c r="G18" s="347"/>
      <c r="H18" s="347"/>
      <c r="I18" s="347"/>
      <c r="J18" s="91"/>
      <c r="K18" s="91"/>
      <c r="L18" s="91"/>
      <c r="M18" s="91"/>
      <c r="N18" s="189"/>
      <c r="O18" s="189"/>
      <c r="P18" s="189"/>
    </row>
    <row r="19" spans="2:16">
      <c r="B19" s="347"/>
      <c r="C19" s="347"/>
      <c r="D19" s="347"/>
      <c r="E19" s="347"/>
      <c r="F19" s="347"/>
      <c r="G19" s="347"/>
      <c r="H19" s="347"/>
      <c r="I19" s="347"/>
      <c r="J19" s="91"/>
      <c r="K19" s="91"/>
      <c r="L19" s="91"/>
      <c r="M19" s="91"/>
      <c r="N19" s="189"/>
      <c r="O19" s="189"/>
      <c r="P19" s="189"/>
    </row>
    <row r="20" spans="2:16">
      <c r="B20" s="347"/>
      <c r="C20" s="347"/>
      <c r="D20" s="347"/>
      <c r="E20" s="347"/>
      <c r="F20" s="347"/>
      <c r="G20" s="347"/>
      <c r="H20" s="347"/>
      <c r="I20" s="347"/>
      <c r="J20" s="91"/>
      <c r="K20" s="91"/>
      <c r="L20" s="91"/>
      <c r="M20" s="91"/>
      <c r="N20" s="91"/>
      <c r="O20" s="91"/>
      <c r="P20" s="91"/>
    </row>
    <row r="21" spans="2:16">
      <c r="B21" s="347"/>
      <c r="C21" s="347"/>
      <c r="D21" s="347"/>
      <c r="E21" s="347"/>
      <c r="F21" s="347"/>
      <c r="G21" s="347"/>
      <c r="H21" s="347"/>
      <c r="I21" s="347"/>
      <c r="J21" s="91"/>
      <c r="K21" s="91"/>
      <c r="L21" s="91"/>
      <c r="M21" s="91"/>
      <c r="N21" s="91"/>
      <c r="O21" s="91"/>
      <c r="P21" s="91"/>
    </row>
    <row r="22" spans="2:16">
      <c r="B22" s="347"/>
      <c r="C22" s="347"/>
      <c r="D22" s="347"/>
      <c r="E22" s="347"/>
      <c r="F22" s="347"/>
      <c r="G22" s="347"/>
      <c r="H22" s="347"/>
      <c r="I22" s="347"/>
      <c r="J22" s="91"/>
      <c r="K22" s="91"/>
      <c r="L22" s="91"/>
      <c r="M22" s="91"/>
      <c r="N22" s="91"/>
      <c r="O22" s="91"/>
      <c r="P22" s="91"/>
    </row>
    <row r="23" spans="2:16">
      <c r="B23" s="347"/>
      <c r="C23" s="347"/>
      <c r="D23" s="347"/>
      <c r="E23" s="347"/>
      <c r="F23" s="347"/>
      <c r="G23" s="347"/>
      <c r="H23" s="347"/>
      <c r="I23" s="347"/>
      <c r="J23" s="91"/>
      <c r="K23" s="91"/>
      <c r="L23" s="91"/>
      <c r="M23" s="91"/>
      <c r="N23" s="91"/>
      <c r="O23" s="91"/>
      <c r="P23" s="91"/>
    </row>
    <row r="24" spans="2:16">
      <c r="B24" s="347"/>
      <c r="C24" s="347"/>
      <c r="D24" s="347"/>
      <c r="E24" s="347"/>
      <c r="F24" s="347"/>
      <c r="G24" s="347"/>
      <c r="H24" s="347"/>
      <c r="I24" s="347"/>
      <c r="J24" s="91"/>
      <c r="K24" s="91"/>
      <c r="L24" s="91"/>
      <c r="M24" s="91"/>
      <c r="N24" s="91"/>
      <c r="O24" s="91"/>
      <c r="P24" s="91"/>
    </row>
    <row r="29" spans="2:16" ht="17.45">
      <c r="B29" s="188" t="s">
        <v>5</v>
      </c>
      <c r="C29" s="188"/>
      <c r="D29" s="188"/>
      <c r="E29" s="188"/>
      <c r="F29" s="188"/>
      <c r="G29" s="188"/>
      <c r="H29" s="188"/>
      <c r="I29" s="188"/>
      <c r="J29" s="91"/>
      <c r="K29" s="91"/>
      <c r="L29" s="91"/>
      <c r="M29" s="91"/>
      <c r="N29" s="91"/>
      <c r="O29" s="91"/>
      <c r="P29" s="91"/>
    </row>
    <row r="30" spans="2:16" ht="17.45">
      <c r="B30" s="91"/>
      <c r="C30" s="7"/>
      <c r="D30" s="8"/>
      <c r="E30" s="8"/>
      <c r="F30" s="8"/>
      <c r="G30" s="8"/>
      <c r="H30" s="8"/>
      <c r="I30" s="8"/>
      <c r="J30" s="91"/>
      <c r="K30" s="91"/>
      <c r="L30" s="91"/>
      <c r="M30" s="91"/>
      <c r="N30" s="91"/>
      <c r="O30" s="91"/>
      <c r="P30" s="91"/>
    </row>
    <row r="31" spans="2:16" ht="17.45">
      <c r="B31" s="188" t="s">
        <v>6</v>
      </c>
      <c r="C31" s="188"/>
      <c r="D31" s="188"/>
      <c r="E31" s="188"/>
      <c r="F31" s="188"/>
      <c r="G31" s="188"/>
      <c r="H31" s="188"/>
      <c r="I31" s="188"/>
      <c r="J31" s="91"/>
      <c r="K31" s="91"/>
      <c r="L31" s="91"/>
      <c r="M31" s="91"/>
      <c r="N31" s="91"/>
      <c r="O31" s="91"/>
      <c r="P31" s="91"/>
    </row>
    <row r="32" spans="2:16" ht="17.45">
      <c r="B32" s="91"/>
      <c r="C32" s="7"/>
      <c r="D32" s="8"/>
      <c r="E32" s="8"/>
      <c r="F32" s="8"/>
      <c r="G32" s="8"/>
      <c r="H32" s="8"/>
      <c r="I32" s="8"/>
      <c r="J32" s="91"/>
      <c r="K32" s="91"/>
      <c r="L32" s="91"/>
      <c r="M32" s="91"/>
      <c r="N32" s="91"/>
      <c r="O32" s="91"/>
      <c r="P32" s="91"/>
    </row>
    <row r="33" spans="2:9" ht="17.45">
      <c r="B33" s="188" t="s">
        <v>7</v>
      </c>
      <c r="C33" s="188"/>
      <c r="D33" s="188"/>
      <c r="E33" s="188"/>
      <c r="F33" s="188"/>
      <c r="G33" s="188"/>
      <c r="H33" s="188"/>
      <c r="I33" s="188"/>
    </row>
    <row r="34" spans="2:9" ht="17.45">
      <c r="B34" s="91"/>
      <c r="C34" s="7"/>
      <c r="D34" s="8"/>
      <c r="E34" s="8"/>
      <c r="F34" s="8"/>
      <c r="G34" s="8"/>
      <c r="H34" s="8"/>
      <c r="I34" s="8"/>
    </row>
    <row r="35" spans="2:9" ht="17.45">
      <c r="B35" s="188" t="s">
        <v>0</v>
      </c>
      <c r="C35" s="188"/>
      <c r="D35" s="188"/>
      <c r="E35" s="188"/>
      <c r="F35" s="188"/>
      <c r="G35" s="188"/>
      <c r="H35" s="188"/>
      <c r="I35" s="188"/>
    </row>
    <row r="37" spans="2:9" ht="17.45">
      <c r="B37" s="188"/>
      <c r="C37" s="188"/>
      <c r="D37" s="188"/>
      <c r="E37" s="188"/>
      <c r="F37" s="188"/>
      <c r="G37" s="188"/>
      <c r="H37" s="188"/>
      <c r="I37" s="188"/>
    </row>
    <row r="39" spans="2:9">
      <c r="B39" s="91" t="s">
        <v>8</v>
      </c>
      <c r="C39" s="348">
        <v>2022</v>
      </c>
      <c r="D39" s="91"/>
      <c r="E39" s="91"/>
      <c r="F39" s="91"/>
      <c r="G39" s="91"/>
      <c r="H39" s="91"/>
      <c r="I39" s="91"/>
    </row>
    <row r="40" spans="2:9" ht="14.25" customHeight="1">
      <c r="B40" s="91"/>
      <c r="C40" s="91"/>
      <c r="D40" s="91"/>
      <c r="E40" s="91"/>
      <c r="F40" s="91"/>
      <c r="G40" s="91"/>
      <c r="H40" s="91"/>
      <c r="I40" s="91"/>
    </row>
    <row r="41" spans="2:9">
      <c r="B41" s="349" t="s">
        <v>9</v>
      </c>
      <c r="C41" s="186" t="s">
        <v>10</v>
      </c>
      <c r="D41" s="186"/>
      <c r="E41" s="186"/>
      <c r="F41" s="186"/>
      <c r="G41" s="186"/>
      <c r="H41" s="186"/>
      <c r="I41" s="186"/>
    </row>
    <row r="42" spans="2:9">
      <c r="B42" s="349"/>
      <c r="C42" s="91"/>
      <c r="D42" s="91"/>
      <c r="E42" s="91"/>
      <c r="F42" s="91"/>
      <c r="G42" s="91"/>
      <c r="H42" s="91"/>
      <c r="I42" s="91"/>
    </row>
    <row r="43" spans="2:9">
      <c r="B43" s="349" t="s">
        <v>11</v>
      </c>
      <c r="C43" s="186" t="s">
        <v>12</v>
      </c>
      <c r="D43" s="186"/>
      <c r="E43" s="186"/>
      <c r="F43" s="91"/>
      <c r="G43" s="91"/>
      <c r="H43" s="91"/>
      <c r="I43" s="91"/>
    </row>
    <row r="44" spans="2:9">
      <c r="B44" s="349"/>
      <c r="C44" s="91"/>
      <c r="D44" s="91"/>
      <c r="E44" s="91"/>
      <c r="F44" s="91"/>
      <c r="G44" s="91"/>
      <c r="H44" s="91"/>
      <c r="I44" s="91"/>
    </row>
    <row r="45" spans="2:9">
      <c r="B45" s="349" t="s">
        <v>13</v>
      </c>
      <c r="C45" s="186" t="s">
        <v>14</v>
      </c>
      <c r="D45" s="186"/>
      <c r="E45" s="186"/>
      <c r="F45" s="91"/>
      <c r="G45" s="91"/>
      <c r="H45" s="91"/>
      <c r="I45" s="91"/>
    </row>
    <row r="46" spans="2:9">
      <c r="B46" s="349"/>
      <c r="C46" s="91"/>
      <c r="D46" s="91"/>
      <c r="E46" s="91"/>
      <c r="F46" s="91"/>
      <c r="G46" s="91"/>
      <c r="H46" s="91"/>
      <c r="I46" s="91"/>
    </row>
    <row r="47" spans="2:9">
      <c r="B47" s="349" t="s">
        <v>15</v>
      </c>
      <c r="C47" s="186" t="s">
        <v>16</v>
      </c>
      <c r="D47" s="186"/>
      <c r="E47" s="91"/>
      <c r="F47" s="91" t="s">
        <v>17</v>
      </c>
      <c r="G47" s="186" t="s">
        <v>18</v>
      </c>
      <c r="H47" s="186"/>
      <c r="I47" s="186"/>
    </row>
    <row r="48" spans="2:9">
      <c r="B48" s="349"/>
      <c r="C48" s="91"/>
      <c r="D48" s="91"/>
      <c r="E48" s="91"/>
      <c r="F48" s="91"/>
      <c r="G48" s="91"/>
      <c r="H48" s="91"/>
      <c r="I48" s="91"/>
    </row>
    <row r="49" spans="2:9">
      <c r="B49" s="349" t="s">
        <v>19</v>
      </c>
      <c r="C49" s="186" t="s">
        <v>20</v>
      </c>
      <c r="D49" s="186"/>
      <c r="E49" s="91"/>
      <c r="F49" s="91" t="s">
        <v>17</v>
      </c>
      <c r="G49" s="186" t="s">
        <v>21</v>
      </c>
      <c r="H49" s="186"/>
      <c r="I49" s="186"/>
    </row>
    <row r="50" spans="2:9">
      <c r="B50" s="349"/>
      <c r="C50" s="91"/>
      <c r="D50" s="91"/>
      <c r="E50" s="91"/>
      <c r="F50" s="91"/>
      <c r="G50" s="91"/>
      <c r="H50" s="91"/>
      <c r="I50" s="91"/>
    </row>
    <row r="51" spans="2:9">
      <c r="B51" s="349" t="s">
        <v>22</v>
      </c>
      <c r="C51" s="348">
        <v>1</v>
      </c>
      <c r="D51" s="91"/>
      <c r="E51" s="91"/>
      <c r="F51" s="91"/>
      <c r="G51" s="91"/>
      <c r="H51" s="91"/>
      <c r="I51" s="91"/>
    </row>
    <row r="52" spans="2:9">
      <c r="B52" s="349"/>
      <c r="C52" s="91"/>
      <c r="D52" s="91"/>
      <c r="E52" s="91"/>
      <c r="F52" s="91"/>
      <c r="G52" s="91"/>
      <c r="H52" s="91"/>
      <c r="I52" s="91"/>
    </row>
    <row r="53" spans="2:9">
      <c r="B53" s="349" t="s">
        <v>23</v>
      </c>
      <c r="C53" s="187">
        <v>44957</v>
      </c>
      <c r="D53" s="186"/>
      <c r="E53" s="91"/>
      <c r="F53" s="91"/>
      <c r="G53" s="91"/>
      <c r="H53" s="91"/>
      <c r="I53" s="91"/>
    </row>
  </sheetData>
  <mergeCells count="15">
    <mergeCell ref="N14:P19"/>
    <mergeCell ref="B35:I35"/>
    <mergeCell ref="D1:G6"/>
    <mergeCell ref="B29:I29"/>
    <mergeCell ref="B31:I31"/>
    <mergeCell ref="B33:I33"/>
    <mergeCell ref="C49:D49"/>
    <mergeCell ref="G49:I49"/>
    <mergeCell ref="C53:D53"/>
    <mergeCell ref="B37:I37"/>
    <mergeCell ref="C41:I41"/>
    <mergeCell ref="C43:E43"/>
    <mergeCell ref="C45:E45"/>
    <mergeCell ref="C47:D47"/>
    <mergeCell ref="G47:I47"/>
  </mergeCells>
  <pageMargins left="1.0899999999999999" right="0.7" top="0.75" bottom="0.75" header="0.3" footer="0.3"/>
  <pageSetup scale="70" orientation="portrait" r:id="rId1"/>
  <headerFooter differentFirst="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5"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4"/>
  <sheetViews>
    <sheetView showGridLines="0" view="pageBreakPreview" zoomScale="60" zoomScaleNormal="100" workbookViewId="0">
      <selection activeCell="C54" sqref="C54"/>
    </sheetView>
  </sheetViews>
  <sheetFormatPr defaultColWidth="9.28515625" defaultRowHeight="15"/>
  <cols>
    <col min="1" max="1" width="9.28515625" style="2" customWidth="1"/>
    <col min="2" max="2" width="14.5703125" style="2" bestFit="1" customWidth="1"/>
    <col min="3" max="8" width="9.28515625" style="2"/>
    <col min="9" max="9" width="14.28515625" style="2" customWidth="1"/>
    <col min="10" max="10" width="11.5703125" style="2" customWidth="1"/>
    <col min="11" max="16384" width="9.28515625" style="2"/>
  </cols>
  <sheetData>
    <row r="1" spans="1:15">
      <c r="A1" s="91" t="str">
        <f>+'Cover Page'!$B$29</f>
        <v>Annual Performance Report 2022</v>
      </c>
      <c r="B1" s="91"/>
      <c r="C1" s="91"/>
      <c r="D1" s="91"/>
      <c r="E1" s="91" t="str">
        <f>+'Cover Page'!$B$33</f>
        <v>Dudley Energy from Waste Facility</v>
      </c>
      <c r="F1" s="91"/>
      <c r="G1" s="91"/>
      <c r="H1" s="91"/>
      <c r="I1" s="91"/>
      <c r="J1" s="91"/>
      <c r="K1" s="91"/>
      <c r="L1" s="91"/>
      <c r="M1" s="91"/>
      <c r="N1" s="91"/>
      <c r="O1" s="91"/>
    </row>
    <row r="3" spans="1:15" ht="15.6">
      <c r="A3" s="53" t="s">
        <v>24</v>
      </c>
      <c r="B3" s="350"/>
      <c r="C3" s="350"/>
      <c r="D3" s="350"/>
      <c r="E3" s="350"/>
      <c r="F3" s="350"/>
      <c r="G3" s="350"/>
      <c r="H3" s="351"/>
      <c r="I3" s="91"/>
      <c r="J3" s="91"/>
      <c r="K3" s="75" t="s">
        <v>3</v>
      </c>
      <c r="L3" s="91"/>
      <c r="M3" s="91"/>
      <c r="N3" s="91"/>
      <c r="O3" s="91"/>
    </row>
    <row r="4" spans="1:15" ht="15.6">
      <c r="A4" s="5" t="s">
        <v>25</v>
      </c>
      <c r="B4" s="192" t="s">
        <v>26</v>
      </c>
      <c r="C4" s="192"/>
      <c r="D4" s="192"/>
      <c r="E4" s="192"/>
      <c r="F4" s="192"/>
      <c r="G4" s="192"/>
      <c r="H4" s="6" t="s">
        <v>27</v>
      </c>
      <c r="I4" s="91"/>
      <c r="J4" s="91"/>
      <c r="K4" s="73" t="s">
        <v>28</v>
      </c>
      <c r="L4" s="91"/>
      <c r="M4" s="91"/>
      <c r="N4" s="91"/>
      <c r="O4" s="91"/>
    </row>
    <row r="5" spans="1:15" ht="15.6" customHeight="1">
      <c r="A5" s="4"/>
      <c r="B5" s="193" t="s">
        <v>29</v>
      </c>
      <c r="C5" s="194"/>
      <c r="D5" s="194"/>
      <c r="E5" s="194"/>
      <c r="F5" s="194"/>
      <c r="G5" s="195"/>
      <c r="H5" s="4">
        <v>4</v>
      </c>
      <c r="I5" s="91"/>
      <c r="J5" s="91"/>
      <c r="K5" s="107" t="s">
        <v>30</v>
      </c>
      <c r="L5" s="107"/>
      <c r="M5" s="107"/>
      <c r="N5" s="107"/>
      <c r="O5" s="107"/>
    </row>
    <row r="6" spans="1:15" ht="15" customHeight="1">
      <c r="A6" s="4"/>
      <c r="B6" s="193" t="s">
        <v>31</v>
      </c>
      <c r="C6" s="194"/>
      <c r="D6" s="194"/>
      <c r="E6" s="194"/>
      <c r="F6" s="194"/>
      <c r="G6" s="195"/>
      <c r="H6" s="4">
        <v>6</v>
      </c>
      <c r="I6" s="91"/>
      <c r="J6" s="91"/>
      <c r="K6" s="107"/>
      <c r="L6" s="107"/>
      <c r="M6" s="107"/>
      <c r="N6" s="107"/>
      <c r="O6" s="107"/>
    </row>
    <row r="7" spans="1:15" ht="15.75" customHeight="1">
      <c r="A7" s="4"/>
      <c r="B7" s="193" t="s">
        <v>32</v>
      </c>
      <c r="C7" s="194"/>
      <c r="D7" s="194"/>
      <c r="E7" s="194"/>
      <c r="F7" s="194"/>
      <c r="G7" s="195"/>
      <c r="H7" s="4">
        <v>5</v>
      </c>
      <c r="I7" s="91"/>
      <c r="J7" s="91"/>
      <c r="K7" s="107"/>
      <c r="L7" s="107"/>
      <c r="M7" s="107"/>
      <c r="N7" s="107"/>
      <c r="O7" s="107"/>
    </row>
    <row r="8" spans="1:15" ht="15" customHeight="1">
      <c r="A8" s="4"/>
      <c r="B8" s="193" t="s">
        <v>33</v>
      </c>
      <c r="C8" s="194"/>
      <c r="D8" s="194"/>
      <c r="E8" s="194"/>
      <c r="F8" s="194"/>
      <c r="G8" s="195"/>
      <c r="H8" s="179">
        <v>7</v>
      </c>
      <c r="I8" s="91"/>
      <c r="J8" s="91"/>
      <c r="K8" s="107"/>
      <c r="L8" s="107"/>
      <c r="M8" s="107"/>
      <c r="N8" s="107"/>
      <c r="O8" s="107"/>
    </row>
    <row r="9" spans="1:15">
      <c r="A9" s="4"/>
      <c r="B9" s="193" t="s">
        <v>34</v>
      </c>
      <c r="C9" s="194"/>
      <c r="D9" s="194"/>
      <c r="E9" s="194"/>
      <c r="F9" s="194"/>
      <c r="G9" s="195"/>
      <c r="H9" s="179">
        <v>8</v>
      </c>
      <c r="I9" s="91"/>
      <c r="J9" s="91"/>
      <c r="K9" s="91"/>
      <c r="L9" s="91"/>
      <c r="M9" s="91"/>
      <c r="N9" s="91"/>
      <c r="O9" s="91"/>
    </row>
    <row r="10" spans="1:15">
      <c r="A10" s="4"/>
      <c r="B10" s="193" t="s">
        <v>35</v>
      </c>
      <c r="C10" s="194"/>
      <c r="D10" s="194"/>
      <c r="E10" s="194"/>
      <c r="F10" s="194"/>
      <c r="G10" s="195"/>
      <c r="H10" s="179">
        <v>9</v>
      </c>
      <c r="I10" s="91"/>
      <c r="J10" s="91"/>
      <c r="K10" s="91"/>
      <c r="L10" s="91"/>
      <c r="M10" s="91"/>
      <c r="N10" s="91"/>
      <c r="O10" s="91"/>
    </row>
    <row r="11" spans="1:15">
      <c r="A11" s="4"/>
      <c r="B11" s="193" t="s">
        <v>36</v>
      </c>
      <c r="C11" s="194"/>
      <c r="D11" s="194"/>
      <c r="E11" s="194"/>
      <c r="F11" s="194"/>
      <c r="G11" s="195"/>
      <c r="H11" s="179">
        <v>11</v>
      </c>
      <c r="I11" s="91"/>
      <c r="J11" s="91"/>
      <c r="K11" s="91"/>
      <c r="L11" s="91"/>
      <c r="M11" s="91"/>
      <c r="N11" s="91"/>
      <c r="O11" s="91"/>
    </row>
    <row r="12" spans="1:15">
      <c r="A12" s="4"/>
      <c r="B12" s="193" t="s">
        <v>37</v>
      </c>
      <c r="C12" s="194"/>
      <c r="D12" s="194"/>
      <c r="E12" s="194"/>
      <c r="F12" s="194"/>
      <c r="G12" s="195"/>
      <c r="H12" s="179">
        <v>12</v>
      </c>
      <c r="I12" s="91"/>
      <c r="J12" s="91"/>
      <c r="K12" s="91"/>
      <c r="L12" s="91"/>
      <c r="M12" s="91"/>
      <c r="N12" s="91"/>
      <c r="O12" s="91"/>
    </row>
    <row r="13" spans="1:15">
      <c r="A13" s="4"/>
      <c r="B13" s="193" t="s">
        <v>38</v>
      </c>
      <c r="C13" s="194"/>
      <c r="D13" s="194"/>
      <c r="E13" s="194"/>
      <c r="F13" s="194"/>
      <c r="G13" s="195"/>
      <c r="H13" s="179">
        <v>13</v>
      </c>
      <c r="I13" s="91"/>
      <c r="J13" s="91"/>
      <c r="K13" s="91"/>
      <c r="L13" s="91"/>
      <c r="M13" s="91"/>
      <c r="N13" s="91"/>
      <c r="O13" s="91"/>
    </row>
    <row r="14" spans="1:15">
      <c r="A14" s="4"/>
      <c r="B14" s="193" t="s">
        <v>39</v>
      </c>
      <c r="C14" s="194"/>
      <c r="D14" s="194"/>
      <c r="E14" s="194"/>
      <c r="F14" s="194"/>
      <c r="G14" s="195"/>
      <c r="H14" s="179">
        <v>14</v>
      </c>
      <c r="I14" s="91"/>
      <c r="J14" s="91"/>
      <c r="K14" s="91"/>
      <c r="L14" s="91"/>
      <c r="M14" s="91"/>
      <c r="N14" s="91"/>
      <c r="O14" s="91"/>
    </row>
    <row r="15" spans="1:15">
      <c r="A15" s="4"/>
      <c r="B15" s="193" t="s">
        <v>40</v>
      </c>
      <c r="C15" s="194"/>
      <c r="D15" s="194"/>
      <c r="E15" s="194"/>
      <c r="F15" s="194"/>
      <c r="G15" s="195"/>
      <c r="H15" s="179">
        <v>15</v>
      </c>
      <c r="I15" s="91"/>
      <c r="J15" s="91"/>
      <c r="K15" s="91"/>
      <c r="L15" s="91"/>
      <c r="M15" s="91"/>
      <c r="N15" s="91"/>
      <c r="O15" s="91"/>
    </row>
    <row r="16" spans="1:15">
      <c r="A16" s="4"/>
      <c r="B16" s="193" t="s">
        <v>41</v>
      </c>
      <c r="C16" s="194"/>
      <c r="D16" s="194"/>
      <c r="E16" s="194"/>
      <c r="F16" s="194"/>
      <c r="G16" s="195"/>
      <c r="H16" s="179">
        <v>16</v>
      </c>
      <c r="I16" s="91"/>
      <c r="J16" s="91"/>
      <c r="K16" s="91"/>
      <c r="L16" s="91"/>
      <c r="M16" s="91"/>
      <c r="N16" s="91"/>
      <c r="O16" s="91"/>
    </row>
    <row r="17" spans="1:8">
      <c r="A17" s="4"/>
      <c r="B17" s="193" t="s">
        <v>42</v>
      </c>
      <c r="C17" s="194"/>
      <c r="D17" s="194"/>
      <c r="E17" s="194"/>
      <c r="F17" s="194"/>
      <c r="G17" s="195"/>
      <c r="H17" s="179">
        <v>17</v>
      </c>
    </row>
    <row r="18" spans="1:8">
      <c r="A18" s="4"/>
      <c r="B18" s="193" t="s">
        <v>43</v>
      </c>
      <c r="C18" s="194"/>
      <c r="D18" s="194"/>
      <c r="E18" s="194"/>
      <c r="F18" s="194"/>
      <c r="G18" s="195"/>
      <c r="H18" s="179">
        <v>18</v>
      </c>
    </row>
    <row r="19" spans="1:8">
      <c r="A19" s="4"/>
      <c r="B19" s="193" t="s">
        <v>44</v>
      </c>
      <c r="C19" s="194"/>
      <c r="D19" s="194"/>
      <c r="E19" s="194"/>
      <c r="F19" s="194"/>
      <c r="G19" s="195"/>
      <c r="H19" s="179">
        <v>19</v>
      </c>
    </row>
    <row r="20" spans="1:8">
      <c r="A20" s="4"/>
      <c r="B20" s="193" t="s">
        <v>45</v>
      </c>
      <c r="C20" s="194"/>
      <c r="D20" s="194"/>
      <c r="E20" s="194"/>
      <c r="F20" s="194"/>
      <c r="G20" s="195"/>
      <c r="H20" s="179">
        <v>20</v>
      </c>
    </row>
    <row r="21" spans="1:8">
      <c r="A21" s="4"/>
      <c r="B21" s="193" t="s">
        <v>46</v>
      </c>
      <c r="C21" s="194"/>
      <c r="D21" s="194"/>
      <c r="E21" s="194"/>
      <c r="F21" s="194"/>
      <c r="G21" s="195"/>
      <c r="H21" s="179">
        <v>21</v>
      </c>
    </row>
    <row r="22" spans="1:8">
      <c r="A22" s="4"/>
      <c r="B22" s="173" t="s">
        <v>47</v>
      </c>
      <c r="C22" s="174"/>
      <c r="D22" s="174"/>
      <c r="E22" s="174"/>
      <c r="F22" s="174"/>
      <c r="G22" s="175"/>
      <c r="H22" s="179">
        <v>22</v>
      </c>
    </row>
    <row r="23" spans="1:8">
      <c r="A23" s="4"/>
      <c r="B23" s="173" t="s">
        <v>48</v>
      </c>
      <c r="C23" s="174"/>
      <c r="D23" s="174"/>
      <c r="E23" s="174"/>
      <c r="F23" s="174"/>
      <c r="G23" s="175"/>
      <c r="H23" s="179">
        <v>23</v>
      </c>
    </row>
    <row r="25" spans="1:8">
      <c r="A25" s="52" t="s">
        <v>49</v>
      </c>
      <c r="B25" s="350"/>
      <c r="C25" s="350"/>
      <c r="D25" s="350"/>
      <c r="E25" s="350"/>
      <c r="F25" s="350"/>
      <c r="G25" s="350"/>
      <c r="H25" s="351"/>
    </row>
    <row r="26" spans="1:8">
      <c r="A26" s="10" t="s">
        <v>25</v>
      </c>
      <c r="B26" s="108" t="s">
        <v>50</v>
      </c>
      <c r="C26" s="108"/>
      <c r="D26" s="108"/>
      <c r="E26" s="108"/>
      <c r="F26" s="108"/>
      <c r="G26" s="108"/>
      <c r="H26" s="11" t="s">
        <v>51</v>
      </c>
    </row>
    <row r="27" spans="1:8">
      <c r="A27" s="352"/>
      <c r="B27" s="185"/>
      <c r="C27" s="185"/>
      <c r="D27" s="185"/>
      <c r="E27" s="185"/>
      <c r="F27" s="185"/>
      <c r="G27" s="185"/>
      <c r="H27" s="352"/>
    </row>
    <row r="28" spans="1:8">
      <c r="A28" s="352"/>
      <c r="B28" s="185"/>
      <c r="C28" s="185"/>
      <c r="D28" s="185"/>
      <c r="E28" s="185"/>
      <c r="F28" s="185"/>
      <c r="G28" s="185"/>
      <c r="H28" s="352"/>
    </row>
    <row r="29" spans="1:8">
      <c r="A29" s="352"/>
      <c r="B29" s="185"/>
      <c r="C29" s="185"/>
      <c r="D29" s="185"/>
      <c r="E29" s="185"/>
      <c r="F29" s="185"/>
      <c r="G29" s="185"/>
      <c r="H29" s="352"/>
    </row>
    <row r="30" spans="1:8">
      <c r="A30" s="352"/>
      <c r="B30" s="185"/>
      <c r="C30" s="185"/>
      <c r="D30" s="185"/>
      <c r="E30" s="185"/>
      <c r="F30" s="185"/>
      <c r="G30" s="185"/>
      <c r="H30" s="352"/>
    </row>
    <row r="31" spans="1:8">
      <c r="A31" s="352"/>
      <c r="B31" s="185"/>
      <c r="C31" s="185"/>
      <c r="D31" s="185"/>
      <c r="E31" s="185"/>
      <c r="F31" s="185"/>
      <c r="G31" s="185"/>
      <c r="H31" s="352"/>
    </row>
    <row r="33" spans="1:10" ht="14.25" customHeight="1">
      <c r="A33" s="52" t="s">
        <v>52</v>
      </c>
      <c r="B33" s="350"/>
      <c r="C33" s="350"/>
      <c r="D33" s="350"/>
      <c r="E33" s="350"/>
      <c r="F33" s="350"/>
      <c r="G33" s="350"/>
      <c r="H33" s="351"/>
      <c r="I33" s="91"/>
      <c r="J33" s="91"/>
    </row>
    <row r="34" spans="1:10">
      <c r="A34" s="13" t="s">
        <v>53</v>
      </c>
      <c r="B34" s="109" t="s">
        <v>54</v>
      </c>
      <c r="C34" s="109"/>
      <c r="D34" s="109"/>
      <c r="E34" s="109"/>
      <c r="F34" s="109"/>
      <c r="G34" s="109"/>
      <c r="H34" s="14" t="s">
        <v>55</v>
      </c>
      <c r="I34" s="91"/>
      <c r="J34" s="91"/>
    </row>
    <row r="35" spans="1:10">
      <c r="A35" s="353"/>
      <c r="B35" s="354"/>
      <c r="C35" s="354"/>
      <c r="D35" s="354"/>
      <c r="E35" s="354"/>
      <c r="F35" s="354"/>
      <c r="G35" s="354"/>
      <c r="H35" s="353"/>
      <c r="I35" s="91"/>
      <c r="J35" s="91"/>
    </row>
    <row r="36" spans="1:10">
      <c r="A36" s="353"/>
      <c r="B36" s="354"/>
      <c r="C36" s="354"/>
      <c r="D36" s="354"/>
      <c r="E36" s="354"/>
      <c r="F36" s="354"/>
      <c r="G36" s="354"/>
      <c r="H36" s="353"/>
      <c r="I36" s="91"/>
      <c r="J36" s="91"/>
    </row>
    <row r="37" spans="1:10">
      <c r="A37" s="353"/>
      <c r="B37" s="354"/>
      <c r="C37" s="354"/>
      <c r="D37" s="354"/>
      <c r="E37" s="354"/>
      <c r="F37" s="354"/>
      <c r="G37" s="354"/>
      <c r="H37" s="353"/>
      <c r="I37" s="91"/>
      <c r="J37" s="91"/>
    </row>
    <row r="38" spans="1:10">
      <c r="A38" s="353"/>
      <c r="B38" s="354"/>
      <c r="C38" s="354"/>
      <c r="D38" s="354"/>
      <c r="E38" s="354"/>
      <c r="F38" s="354"/>
      <c r="G38" s="354"/>
      <c r="H38" s="353"/>
      <c r="I38" s="91"/>
      <c r="J38" s="91"/>
    </row>
    <row r="39" spans="1:10">
      <c r="A39" s="353"/>
      <c r="B39" s="354"/>
      <c r="C39" s="354"/>
      <c r="D39" s="354"/>
      <c r="E39" s="354"/>
      <c r="F39" s="354"/>
      <c r="G39" s="354"/>
      <c r="H39" s="353"/>
      <c r="I39" s="91"/>
      <c r="J39" s="91"/>
    </row>
    <row r="40" spans="1:10">
      <c r="A40" s="353"/>
      <c r="B40" s="354"/>
      <c r="C40" s="354"/>
      <c r="D40" s="354"/>
      <c r="E40" s="354"/>
      <c r="F40" s="354"/>
      <c r="G40" s="354"/>
      <c r="H40" s="353"/>
      <c r="I40" s="91"/>
      <c r="J40" s="91"/>
    </row>
    <row r="41" spans="1:10">
      <c r="A41" s="353"/>
      <c r="B41" s="354"/>
      <c r="C41" s="354"/>
      <c r="D41" s="354"/>
      <c r="E41" s="354"/>
      <c r="F41" s="354"/>
      <c r="G41" s="354"/>
      <c r="H41" s="353"/>
      <c r="I41" s="91"/>
      <c r="J41" s="91"/>
    </row>
    <row r="43" spans="1:10" ht="15" customHeight="1">
      <c r="A43" s="355"/>
      <c r="B43" s="356"/>
      <c r="C43" s="356"/>
      <c r="D43" s="356"/>
      <c r="E43" s="356"/>
      <c r="F43" s="356"/>
      <c r="G43" s="356"/>
      <c r="H43" s="356"/>
      <c r="I43" s="356"/>
      <c r="J43" s="357"/>
    </row>
    <row r="44" spans="1:10">
      <c r="A44" s="358"/>
      <c r="B44" s="359"/>
      <c r="C44" s="359"/>
      <c r="D44" s="359"/>
      <c r="E44" s="359"/>
      <c r="F44" s="359"/>
      <c r="G44" s="359"/>
      <c r="H44" s="359"/>
      <c r="I44" s="359"/>
      <c r="J44" s="360"/>
    </row>
    <row r="45" spans="1:10">
      <c r="A45" s="358"/>
      <c r="B45" s="359"/>
      <c r="C45" s="359"/>
      <c r="D45" s="359"/>
      <c r="E45" s="359"/>
      <c r="F45" s="359"/>
      <c r="G45" s="359"/>
      <c r="H45" s="359"/>
      <c r="I45" s="359"/>
      <c r="J45" s="360"/>
    </row>
    <row r="46" spans="1:10">
      <c r="A46" s="361"/>
      <c r="B46" s="362"/>
      <c r="C46" s="362"/>
      <c r="D46" s="362"/>
      <c r="E46" s="362"/>
      <c r="F46" s="362"/>
      <c r="G46" s="362"/>
      <c r="H46" s="362"/>
      <c r="I46" s="362"/>
      <c r="J46" s="363"/>
    </row>
    <row r="52" spans="3:6">
      <c r="C52" s="364"/>
      <c r="D52" s="91"/>
      <c r="E52" s="91"/>
      <c r="F52" s="91"/>
    </row>
    <row r="64" spans="3:6">
      <c r="C64" s="91"/>
      <c r="D64" s="91"/>
      <c r="E64" s="91"/>
      <c r="F64" s="3"/>
    </row>
  </sheetData>
  <mergeCells count="18">
    <mergeCell ref="B19:G19"/>
    <mergeCell ref="B20:G20"/>
    <mergeCell ref="B21:G21"/>
    <mergeCell ref="B14:G14"/>
    <mergeCell ref="B15:G15"/>
    <mergeCell ref="B16:G16"/>
    <mergeCell ref="B17:G17"/>
    <mergeCell ref="B18:G18"/>
    <mergeCell ref="B9:G9"/>
    <mergeCell ref="B10:G10"/>
    <mergeCell ref="B11:G11"/>
    <mergeCell ref="B12:G12"/>
    <mergeCell ref="B13:G13"/>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82"/>
  <sheetViews>
    <sheetView showGridLines="0" view="pageBreakPreview" zoomScale="60" zoomScaleNormal="100" workbookViewId="0">
      <selection activeCell="C54" sqref="C54"/>
    </sheetView>
  </sheetViews>
  <sheetFormatPr defaultColWidth="9.28515625" defaultRowHeight="15"/>
  <cols>
    <col min="1" max="1" width="9.28515625" style="2" customWidth="1"/>
    <col min="2" max="2" width="14.5703125" style="2" bestFit="1" customWidth="1"/>
    <col min="3" max="8" width="9.28515625" style="2"/>
    <col min="9" max="9" width="14.28515625" style="2" customWidth="1"/>
    <col min="10" max="10" width="11.5703125" style="2" customWidth="1"/>
    <col min="11" max="16384" width="9.28515625" style="2"/>
  </cols>
  <sheetData>
    <row r="1" spans="1:14">
      <c r="A1" s="91" t="str">
        <f>+'Cover Page'!$B$29</f>
        <v>Annual Performance Report 2022</v>
      </c>
      <c r="B1" s="91"/>
      <c r="C1" s="91"/>
      <c r="D1" s="91"/>
      <c r="E1" s="91" t="str">
        <f>+'Cover Page'!$B$33</f>
        <v>Dudley Energy from Waste Facility</v>
      </c>
      <c r="F1" s="91"/>
      <c r="G1" s="91"/>
      <c r="H1" s="91"/>
      <c r="I1" s="91"/>
      <c r="J1" s="91"/>
      <c r="K1" s="91"/>
      <c r="L1" s="91"/>
      <c r="M1" s="91"/>
      <c r="N1" s="91"/>
    </row>
    <row r="3" spans="1:14" ht="15.6">
      <c r="A3" s="51" t="s">
        <v>56</v>
      </c>
      <c r="B3" s="365"/>
      <c r="C3" s="365"/>
      <c r="D3" s="365"/>
      <c r="E3" s="365"/>
      <c r="F3" s="365"/>
      <c r="G3" s="365"/>
      <c r="H3" s="365"/>
      <c r="I3" s="366"/>
      <c r="J3" s="91"/>
      <c r="K3" s="81" t="s">
        <v>3</v>
      </c>
      <c r="L3" s="91"/>
      <c r="M3" s="91"/>
      <c r="N3" s="91"/>
    </row>
    <row r="4" spans="1:14">
      <c r="A4" s="367"/>
      <c r="B4" s="368"/>
      <c r="C4" s="368"/>
      <c r="D4" s="368"/>
      <c r="E4" s="368"/>
      <c r="F4" s="368"/>
      <c r="G4" s="368"/>
      <c r="H4" s="368"/>
      <c r="I4" s="369"/>
      <c r="J4" s="91"/>
      <c r="K4" s="91"/>
      <c r="L4" s="91"/>
      <c r="M4" s="91"/>
      <c r="N4" s="91"/>
    </row>
    <row r="5" spans="1:14" ht="15.75" customHeight="1">
      <c r="A5" s="196" t="s">
        <v>57</v>
      </c>
      <c r="B5" s="197"/>
      <c r="C5" s="197"/>
      <c r="D5" s="197"/>
      <c r="E5" s="197"/>
      <c r="F5" s="197"/>
      <c r="G5" s="197"/>
      <c r="H5" s="197"/>
      <c r="I5" s="198"/>
      <c r="J5" s="91"/>
      <c r="K5" s="172" t="s">
        <v>58</v>
      </c>
      <c r="L5" s="172"/>
      <c r="M5" s="172"/>
      <c r="N5" s="172"/>
    </row>
    <row r="6" spans="1:14">
      <c r="A6" s="199"/>
      <c r="B6" s="200"/>
      <c r="C6" s="200"/>
      <c r="D6" s="200"/>
      <c r="E6" s="200"/>
      <c r="F6" s="200"/>
      <c r="G6" s="200"/>
      <c r="H6" s="200"/>
      <c r="I6" s="201"/>
      <c r="J6" s="91"/>
      <c r="K6" s="172"/>
      <c r="L6" s="172"/>
      <c r="M6" s="172"/>
      <c r="N6" s="172"/>
    </row>
    <row r="7" spans="1:14">
      <c r="A7" s="199"/>
      <c r="B7" s="200"/>
      <c r="C7" s="200"/>
      <c r="D7" s="200"/>
      <c r="E7" s="200"/>
      <c r="F7" s="200"/>
      <c r="G7" s="200"/>
      <c r="H7" s="200"/>
      <c r="I7" s="201"/>
      <c r="J7" s="91"/>
      <c r="K7" s="172"/>
      <c r="L7" s="172"/>
      <c r="M7" s="172"/>
      <c r="N7" s="172"/>
    </row>
    <row r="8" spans="1:14" ht="15.75" customHeight="1">
      <c r="A8" s="199"/>
      <c r="B8" s="200"/>
      <c r="C8" s="200"/>
      <c r="D8" s="200"/>
      <c r="E8" s="200"/>
      <c r="F8" s="200"/>
      <c r="G8" s="200"/>
      <c r="H8" s="200"/>
      <c r="I8" s="201"/>
      <c r="J8" s="91"/>
      <c r="K8" s="172"/>
      <c r="L8" s="172"/>
      <c r="M8" s="172"/>
      <c r="N8" s="172"/>
    </row>
    <row r="9" spans="1:14">
      <c r="A9" s="199"/>
      <c r="B9" s="200"/>
      <c r="C9" s="200"/>
      <c r="D9" s="200"/>
      <c r="E9" s="200"/>
      <c r="F9" s="200"/>
      <c r="G9" s="200"/>
      <c r="H9" s="200"/>
      <c r="I9" s="201"/>
      <c r="J9" s="91"/>
      <c r="K9" s="172"/>
      <c r="L9" s="172"/>
      <c r="M9" s="172"/>
      <c r="N9" s="172"/>
    </row>
    <row r="10" spans="1:14">
      <c r="A10" s="199"/>
      <c r="B10" s="200"/>
      <c r="C10" s="200"/>
      <c r="D10" s="200"/>
      <c r="E10" s="200"/>
      <c r="F10" s="200"/>
      <c r="G10" s="200"/>
      <c r="H10" s="200"/>
      <c r="I10" s="201"/>
      <c r="J10" s="91"/>
      <c r="K10" s="172"/>
      <c r="L10" s="172"/>
      <c r="M10" s="172"/>
      <c r="N10" s="172"/>
    </row>
    <row r="11" spans="1:14">
      <c r="A11" s="199"/>
      <c r="B11" s="200"/>
      <c r="C11" s="200"/>
      <c r="D11" s="200"/>
      <c r="E11" s="200"/>
      <c r="F11" s="200"/>
      <c r="G11" s="200"/>
      <c r="H11" s="200"/>
      <c r="I11" s="201"/>
      <c r="J11" s="91"/>
      <c r="K11" s="172"/>
      <c r="L11" s="172"/>
      <c r="M11" s="172"/>
      <c r="N11" s="172"/>
    </row>
    <row r="12" spans="1:14">
      <c r="A12" s="199"/>
      <c r="B12" s="200"/>
      <c r="C12" s="200"/>
      <c r="D12" s="200"/>
      <c r="E12" s="200"/>
      <c r="F12" s="200"/>
      <c r="G12" s="200"/>
      <c r="H12" s="200"/>
      <c r="I12" s="201"/>
      <c r="J12" s="91"/>
      <c r="K12" s="172"/>
      <c r="L12" s="172"/>
      <c r="M12" s="172"/>
      <c r="N12" s="172"/>
    </row>
    <row r="13" spans="1:14">
      <c r="A13" s="199"/>
      <c r="B13" s="200"/>
      <c r="C13" s="200"/>
      <c r="D13" s="200"/>
      <c r="E13" s="200"/>
      <c r="F13" s="200"/>
      <c r="G13" s="200"/>
      <c r="H13" s="200"/>
      <c r="I13" s="201"/>
      <c r="J13" s="91"/>
      <c r="K13" s="172"/>
      <c r="L13" s="172"/>
      <c r="M13" s="172"/>
      <c r="N13" s="172"/>
    </row>
    <row r="14" spans="1:14">
      <c r="A14" s="199"/>
      <c r="B14" s="200"/>
      <c r="C14" s="200"/>
      <c r="D14" s="200"/>
      <c r="E14" s="200"/>
      <c r="F14" s="200"/>
      <c r="G14" s="200"/>
      <c r="H14" s="200"/>
      <c r="I14" s="201"/>
      <c r="J14" s="91"/>
      <c r="K14" s="172"/>
      <c r="L14" s="172"/>
      <c r="M14" s="172"/>
      <c r="N14" s="172"/>
    </row>
    <row r="15" spans="1:14">
      <c r="A15" s="199"/>
      <c r="B15" s="200"/>
      <c r="C15" s="200"/>
      <c r="D15" s="200"/>
      <c r="E15" s="200"/>
      <c r="F15" s="200"/>
      <c r="G15" s="200"/>
      <c r="H15" s="200"/>
      <c r="I15" s="201"/>
      <c r="J15" s="91"/>
      <c r="K15" s="91"/>
      <c r="L15" s="91"/>
      <c r="M15" s="91"/>
      <c r="N15" s="91"/>
    </row>
    <row r="16" spans="1:14">
      <c r="A16" s="199"/>
      <c r="B16" s="200"/>
      <c r="C16" s="200"/>
      <c r="D16" s="200"/>
      <c r="E16" s="200"/>
      <c r="F16" s="200"/>
      <c r="G16" s="200"/>
      <c r="H16" s="200"/>
      <c r="I16" s="201"/>
      <c r="J16" s="91"/>
      <c r="K16" s="91"/>
      <c r="L16" s="91"/>
      <c r="M16" s="91"/>
      <c r="N16" s="91"/>
    </row>
    <row r="17" spans="1:14">
      <c r="A17" s="199"/>
      <c r="B17" s="200"/>
      <c r="C17" s="200"/>
      <c r="D17" s="200"/>
      <c r="E17" s="200"/>
      <c r="F17" s="200"/>
      <c r="G17" s="200"/>
      <c r="H17" s="200"/>
      <c r="I17" s="201"/>
      <c r="J17" s="91"/>
      <c r="K17" s="91"/>
      <c r="L17" s="91"/>
      <c r="M17" s="91"/>
      <c r="N17" s="91"/>
    </row>
    <row r="18" spans="1:14" ht="45" customHeight="1">
      <c r="A18" s="202"/>
      <c r="B18" s="203"/>
      <c r="C18" s="203"/>
      <c r="D18" s="203"/>
      <c r="E18" s="203"/>
      <c r="F18" s="203"/>
      <c r="G18" s="203"/>
      <c r="H18" s="203"/>
      <c r="I18" s="204"/>
      <c r="J18" s="91"/>
      <c r="K18" s="91"/>
      <c r="L18" s="91"/>
      <c r="M18" s="91"/>
      <c r="N18" s="91"/>
    </row>
    <row r="20" spans="1:14">
      <c r="A20" s="51" t="s">
        <v>59</v>
      </c>
      <c r="B20" s="365"/>
      <c r="C20" s="365"/>
      <c r="D20" s="365"/>
      <c r="E20" s="365"/>
      <c r="F20" s="365"/>
      <c r="G20" s="365"/>
      <c r="H20" s="365"/>
      <c r="I20" s="366"/>
      <c r="J20" s="91"/>
      <c r="K20" s="91"/>
      <c r="L20" s="91"/>
      <c r="M20" s="91"/>
      <c r="N20" s="91"/>
    </row>
    <row r="21" spans="1:14">
      <c r="A21" s="367"/>
      <c r="B21" s="368"/>
      <c r="C21" s="368"/>
      <c r="D21" s="368"/>
      <c r="E21" s="368"/>
      <c r="F21" s="368"/>
      <c r="G21" s="368"/>
      <c r="H21" s="368"/>
      <c r="I21" s="369"/>
      <c r="J21" s="91"/>
      <c r="K21" s="91"/>
      <c r="L21" s="91"/>
      <c r="M21" s="91"/>
      <c r="N21" s="91"/>
    </row>
    <row r="22" spans="1:14" ht="15" customHeight="1">
      <c r="A22" s="196" t="s">
        <v>60</v>
      </c>
      <c r="B22" s="197"/>
      <c r="C22" s="197"/>
      <c r="D22" s="197"/>
      <c r="E22" s="197"/>
      <c r="F22" s="197"/>
      <c r="G22" s="197"/>
      <c r="H22" s="197"/>
      <c r="I22" s="198"/>
      <c r="J22" s="91"/>
      <c r="K22" s="172" t="s">
        <v>61</v>
      </c>
      <c r="L22" s="172"/>
      <c r="M22" s="172"/>
      <c r="N22" s="172"/>
    </row>
    <row r="23" spans="1:14">
      <c r="A23" s="199"/>
      <c r="B23" s="200"/>
      <c r="C23" s="200"/>
      <c r="D23" s="200"/>
      <c r="E23" s="200"/>
      <c r="F23" s="200"/>
      <c r="G23" s="200"/>
      <c r="H23" s="200"/>
      <c r="I23" s="201"/>
      <c r="J23" s="91"/>
      <c r="K23" s="172"/>
      <c r="L23" s="172"/>
      <c r="M23" s="172"/>
      <c r="N23" s="172"/>
    </row>
    <row r="24" spans="1:14">
      <c r="A24" s="199"/>
      <c r="B24" s="200"/>
      <c r="C24" s="200"/>
      <c r="D24" s="200"/>
      <c r="E24" s="200"/>
      <c r="F24" s="200"/>
      <c r="G24" s="200"/>
      <c r="H24" s="200"/>
      <c r="I24" s="201"/>
      <c r="J24" s="91"/>
      <c r="K24" s="172"/>
      <c r="L24" s="172"/>
      <c r="M24" s="172"/>
      <c r="N24" s="172"/>
    </row>
    <row r="25" spans="1:14">
      <c r="A25" s="199"/>
      <c r="B25" s="200"/>
      <c r="C25" s="200"/>
      <c r="D25" s="200"/>
      <c r="E25" s="200"/>
      <c r="F25" s="200"/>
      <c r="G25" s="200"/>
      <c r="H25" s="200"/>
      <c r="I25" s="201"/>
      <c r="J25" s="91"/>
      <c r="K25" s="172"/>
      <c r="L25" s="172"/>
      <c r="M25" s="172"/>
      <c r="N25" s="172"/>
    </row>
    <row r="26" spans="1:14">
      <c r="A26" s="199"/>
      <c r="B26" s="200"/>
      <c r="C26" s="200"/>
      <c r="D26" s="200"/>
      <c r="E26" s="200"/>
      <c r="F26" s="200"/>
      <c r="G26" s="200"/>
      <c r="H26" s="200"/>
      <c r="I26" s="201"/>
      <c r="J26" s="91"/>
      <c r="K26" s="172"/>
      <c r="L26" s="172"/>
      <c r="M26" s="172"/>
      <c r="N26" s="172"/>
    </row>
    <row r="27" spans="1:14">
      <c r="A27" s="199"/>
      <c r="B27" s="200"/>
      <c r="C27" s="200"/>
      <c r="D27" s="200"/>
      <c r="E27" s="200"/>
      <c r="F27" s="200"/>
      <c r="G27" s="200"/>
      <c r="H27" s="200"/>
      <c r="I27" s="201"/>
      <c r="J27" s="91"/>
      <c r="K27" s="172"/>
      <c r="L27" s="172"/>
      <c r="M27" s="172"/>
      <c r="N27" s="172"/>
    </row>
    <row r="28" spans="1:14">
      <c r="A28" s="199"/>
      <c r="B28" s="200"/>
      <c r="C28" s="200"/>
      <c r="D28" s="200"/>
      <c r="E28" s="200"/>
      <c r="F28" s="200"/>
      <c r="G28" s="200"/>
      <c r="H28" s="200"/>
      <c r="I28" s="201"/>
      <c r="J28" s="91"/>
      <c r="K28" s="172"/>
      <c r="L28" s="172"/>
      <c r="M28" s="172"/>
      <c r="N28" s="172"/>
    </row>
    <row r="29" spans="1:14">
      <c r="A29" s="199"/>
      <c r="B29" s="200"/>
      <c r="C29" s="200"/>
      <c r="D29" s="200"/>
      <c r="E29" s="200"/>
      <c r="F29" s="200"/>
      <c r="G29" s="200"/>
      <c r="H29" s="200"/>
      <c r="I29" s="201"/>
      <c r="J29" s="91"/>
      <c r="K29" s="172"/>
      <c r="L29" s="172"/>
      <c r="M29" s="172"/>
      <c r="N29" s="172"/>
    </row>
    <row r="30" spans="1:14">
      <c r="A30" s="199"/>
      <c r="B30" s="200"/>
      <c r="C30" s="200"/>
      <c r="D30" s="200"/>
      <c r="E30" s="200"/>
      <c r="F30" s="200"/>
      <c r="G30" s="200"/>
      <c r="H30" s="200"/>
      <c r="I30" s="201"/>
      <c r="J30" s="91"/>
      <c r="K30" s="172"/>
      <c r="L30" s="172"/>
      <c r="M30" s="172"/>
      <c r="N30" s="172"/>
    </row>
    <row r="31" spans="1:14">
      <c r="A31" s="199"/>
      <c r="B31" s="200"/>
      <c r="C31" s="200"/>
      <c r="D31" s="200"/>
      <c r="E31" s="200"/>
      <c r="F31" s="200"/>
      <c r="G31" s="200"/>
      <c r="H31" s="200"/>
      <c r="I31" s="201"/>
      <c r="J31" s="91"/>
      <c r="K31" s="172"/>
      <c r="L31" s="172"/>
      <c r="M31" s="172"/>
      <c r="N31" s="172"/>
    </row>
    <row r="32" spans="1:14">
      <c r="A32" s="199"/>
      <c r="B32" s="200"/>
      <c r="C32" s="200"/>
      <c r="D32" s="200"/>
      <c r="E32" s="200"/>
      <c r="F32" s="200"/>
      <c r="G32" s="200"/>
      <c r="H32" s="200"/>
      <c r="I32" s="201"/>
      <c r="J32" s="91"/>
      <c r="K32" s="91"/>
      <c r="L32" s="91"/>
      <c r="M32" s="91"/>
      <c r="N32" s="91"/>
    </row>
    <row r="33" spans="1:9">
      <c r="A33" s="199"/>
      <c r="B33" s="200"/>
      <c r="C33" s="200"/>
      <c r="D33" s="200"/>
      <c r="E33" s="200"/>
      <c r="F33" s="200"/>
      <c r="G33" s="200"/>
      <c r="H33" s="200"/>
      <c r="I33" s="201"/>
    </row>
    <row r="34" spans="1:9">
      <c r="A34" s="199"/>
      <c r="B34" s="200"/>
      <c r="C34" s="200"/>
      <c r="D34" s="200"/>
      <c r="E34" s="200"/>
      <c r="F34" s="200"/>
      <c r="G34" s="200"/>
      <c r="H34" s="200"/>
      <c r="I34" s="201"/>
    </row>
    <row r="35" spans="1:9">
      <c r="A35" s="199"/>
      <c r="B35" s="200"/>
      <c r="C35" s="200"/>
      <c r="D35" s="200"/>
      <c r="E35" s="200"/>
      <c r="F35" s="200"/>
      <c r="G35" s="200"/>
      <c r="H35" s="200"/>
      <c r="I35" s="201"/>
    </row>
    <row r="36" spans="1:9">
      <c r="A36" s="199"/>
      <c r="B36" s="200"/>
      <c r="C36" s="200"/>
      <c r="D36" s="200"/>
      <c r="E36" s="200"/>
      <c r="F36" s="200"/>
      <c r="G36" s="200"/>
      <c r="H36" s="200"/>
      <c r="I36" s="201"/>
    </row>
    <row r="37" spans="1:9">
      <c r="A37" s="199"/>
      <c r="B37" s="200"/>
      <c r="C37" s="200"/>
      <c r="D37" s="200"/>
      <c r="E37" s="200"/>
      <c r="F37" s="200"/>
      <c r="G37" s="200"/>
      <c r="H37" s="200"/>
      <c r="I37" s="201"/>
    </row>
    <row r="38" spans="1:9">
      <c r="A38" s="199"/>
      <c r="B38" s="200"/>
      <c r="C38" s="200"/>
      <c r="D38" s="200"/>
      <c r="E38" s="200"/>
      <c r="F38" s="200"/>
      <c r="G38" s="200"/>
      <c r="H38" s="200"/>
      <c r="I38" s="201"/>
    </row>
    <row r="39" spans="1:9">
      <c r="A39" s="199"/>
      <c r="B39" s="200"/>
      <c r="C39" s="200"/>
      <c r="D39" s="200"/>
      <c r="E39" s="200"/>
      <c r="F39" s="200"/>
      <c r="G39" s="200"/>
      <c r="H39" s="200"/>
      <c r="I39" s="201"/>
    </row>
    <row r="40" spans="1:9" ht="14.25" customHeight="1">
      <c r="A40" s="199"/>
      <c r="B40" s="200"/>
      <c r="C40" s="200"/>
      <c r="D40" s="200"/>
      <c r="E40" s="200"/>
      <c r="F40" s="200"/>
      <c r="G40" s="200"/>
      <c r="H40" s="200"/>
      <c r="I40" s="201"/>
    </row>
    <row r="41" spans="1:9">
      <c r="A41" s="199"/>
      <c r="B41" s="200"/>
      <c r="C41" s="200"/>
      <c r="D41" s="200"/>
      <c r="E41" s="200"/>
      <c r="F41" s="200"/>
      <c r="G41" s="200"/>
      <c r="H41" s="200"/>
      <c r="I41" s="201"/>
    </row>
    <row r="42" spans="1:9">
      <c r="A42" s="199"/>
      <c r="B42" s="200"/>
      <c r="C42" s="200"/>
      <c r="D42" s="200"/>
      <c r="E42" s="200"/>
      <c r="F42" s="200"/>
      <c r="G42" s="200"/>
      <c r="H42" s="200"/>
      <c r="I42" s="201"/>
    </row>
    <row r="43" spans="1:9">
      <c r="A43" s="199"/>
      <c r="B43" s="200"/>
      <c r="C43" s="200"/>
      <c r="D43" s="200"/>
      <c r="E43" s="200"/>
      <c r="F43" s="200"/>
      <c r="G43" s="200"/>
      <c r="H43" s="200"/>
      <c r="I43" s="201"/>
    </row>
    <row r="44" spans="1:9">
      <c r="A44" s="199"/>
      <c r="B44" s="200"/>
      <c r="C44" s="200"/>
      <c r="D44" s="200"/>
      <c r="E44" s="200"/>
      <c r="F44" s="200"/>
      <c r="G44" s="200"/>
      <c r="H44" s="200"/>
      <c r="I44" s="201"/>
    </row>
    <row r="45" spans="1:9">
      <c r="A45" s="199"/>
      <c r="B45" s="200"/>
      <c r="C45" s="200"/>
      <c r="D45" s="200"/>
      <c r="E45" s="200"/>
      <c r="F45" s="200"/>
      <c r="G45" s="200"/>
      <c r="H45" s="200"/>
      <c r="I45" s="201"/>
    </row>
    <row r="46" spans="1:9">
      <c r="A46" s="199"/>
      <c r="B46" s="200"/>
      <c r="C46" s="200"/>
      <c r="D46" s="200"/>
      <c r="E46" s="200"/>
      <c r="F46" s="200"/>
      <c r="G46" s="200"/>
      <c r="H46" s="200"/>
      <c r="I46" s="201"/>
    </row>
    <row r="47" spans="1:9">
      <c r="A47" s="199"/>
      <c r="B47" s="200"/>
      <c r="C47" s="200"/>
      <c r="D47" s="200"/>
      <c r="E47" s="200"/>
      <c r="F47" s="200"/>
      <c r="G47" s="200"/>
      <c r="H47" s="200"/>
      <c r="I47" s="201"/>
    </row>
    <row r="48" spans="1:9">
      <c r="A48" s="199"/>
      <c r="B48" s="200"/>
      <c r="C48" s="200"/>
      <c r="D48" s="200"/>
      <c r="E48" s="200"/>
      <c r="F48" s="200"/>
      <c r="G48" s="200"/>
      <c r="H48" s="200"/>
      <c r="I48" s="201"/>
    </row>
    <row r="49" spans="1:9">
      <c r="A49" s="199"/>
      <c r="B49" s="200"/>
      <c r="C49" s="200"/>
      <c r="D49" s="200"/>
      <c r="E49" s="200"/>
      <c r="F49" s="200"/>
      <c r="G49" s="200"/>
      <c r="H49" s="200"/>
      <c r="I49" s="201"/>
    </row>
    <row r="50" spans="1:9">
      <c r="A50" s="199"/>
      <c r="B50" s="200"/>
      <c r="C50" s="200"/>
      <c r="D50" s="200"/>
      <c r="E50" s="200"/>
      <c r="F50" s="200"/>
      <c r="G50" s="200"/>
      <c r="H50" s="200"/>
      <c r="I50" s="201"/>
    </row>
    <row r="51" spans="1:9">
      <c r="A51" s="199"/>
      <c r="B51" s="200"/>
      <c r="C51" s="200"/>
      <c r="D51" s="200"/>
      <c r="E51" s="200"/>
      <c r="F51" s="200"/>
      <c r="G51" s="200"/>
      <c r="H51" s="200"/>
      <c r="I51" s="201"/>
    </row>
    <row r="52" spans="1:9">
      <c r="A52" s="199"/>
      <c r="B52" s="200"/>
      <c r="C52" s="200"/>
      <c r="D52" s="200"/>
      <c r="E52" s="200"/>
      <c r="F52" s="200"/>
      <c r="G52" s="200"/>
      <c r="H52" s="200"/>
      <c r="I52" s="201"/>
    </row>
    <row r="53" spans="1:9">
      <c r="A53" s="199"/>
      <c r="B53" s="200"/>
      <c r="C53" s="200"/>
      <c r="D53" s="200"/>
      <c r="E53" s="200"/>
      <c r="F53" s="200"/>
      <c r="G53" s="200"/>
      <c r="H53" s="200"/>
      <c r="I53" s="201"/>
    </row>
    <row r="54" spans="1:9">
      <c r="A54" s="199"/>
      <c r="B54" s="200"/>
      <c r="C54" s="200"/>
      <c r="D54" s="200"/>
      <c r="E54" s="200"/>
      <c r="F54" s="200"/>
      <c r="G54" s="200"/>
      <c r="H54" s="200"/>
      <c r="I54" s="201"/>
    </row>
    <row r="55" spans="1:9">
      <c r="A55" s="199"/>
      <c r="B55" s="200"/>
      <c r="C55" s="200"/>
      <c r="D55" s="200"/>
      <c r="E55" s="200"/>
      <c r="F55" s="200"/>
      <c r="G55" s="200"/>
      <c r="H55" s="200"/>
      <c r="I55" s="201"/>
    </row>
    <row r="56" spans="1:9">
      <c r="A56" s="199"/>
      <c r="B56" s="200"/>
      <c r="C56" s="200"/>
      <c r="D56" s="200"/>
      <c r="E56" s="200"/>
      <c r="F56" s="200"/>
      <c r="G56" s="200"/>
      <c r="H56" s="200"/>
      <c r="I56" s="201"/>
    </row>
    <row r="57" spans="1:9">
      <c r="A57" s="199"/>
      <c r="B57" s="200"/>
      <c r="C57" s="200"/>
      <c r="D57" s="200"/>
      <c r="E57" s="200"/>
      <c r="F57" s="200"/>
      <c r="G57" s="200"/>
      <c r="H57" s="200"/>
      <c r="I57" s="201"/>
    </row>
    <row r="58" spans="1:9">
      <c r="A58" s="199"/>
      <c r="B58" s="200"/>
      <c r="C58" s="200"/>
      <c r="D58" s="200"/>
      <c r="E58" s="200"/>
      <c r="F58" s="200"/>
      <c r="G58" s="200"/>
      <c r="H58" s="200"/>
      <c r="I58" s="201"/>
    </row>
    <row r="59" spans="1:9">
      <c r="A59" s="199"/>
      <c r="B59" s="200"/>
      <c r="C59" s="200"/>
      <c r="D59" s="200"/>
      <c r="E59" s="200"/>
      <c r="F59" s="200"/>
      <c r="G59" s="200"/>
      <c r="H59" s="200"/>
      <c r="I59" s="201"/>
    </row>
    <row r="60" spans="1:9">
      <c r="A60" s="199"/>
      <c r="B60" s="200"/>
      <c r="C60" s="200"/>
      <c r="D60" s="200"/>
      <c r="E60" s="200"/>
      <c r="F60" s="200"/>
      <c r="G60" s="200"/>
      <c r="H60" s="200"/>
      <c r="I60" s="201"/>
    </row>
    <row r="61" spans="1:9">
      <c r="A61" s="199"/>
      <c r="B61" s="200"/>
      <c r="C61" s="200"/>
      <c r="D61" s="200"/>
      <c r="E61" s="200"/>
      <c r="F61" s="200"/>
      <c r="G61" s="200"/>
      <c r="H61" s="200"/>
      <c r="I61" s="201"/>
    </row>
    <row r="62" spans="1:9">
      <c r="A62" s="199"/>
      <c r="B62" s="200"/>
      <c r="C62" s="200"/>
      <c r="D62" s="200"/>
      <c r="E62" s="200"/>
      <c r="F62" s="200"/>
      <c r="G62" s="200"/>
      <c r="H62" s="200"/>
      <c r="I62" s="201"/>
    </row>
    <row r="63" spans="1:9">
      <c r="A63" s="199"/>
      <c r="B63" s="200"/>
      <c r="C63" s="200"/>
      <c r="D63" s="200"/>
      <c r="E63" s="200"/>
      <c r="F63" s="200"/>
      <c r="G63" s="200"/>
      <c r="H63" s="200"/>
      <c r="I63" s="201"/>
    </row>
    <row r="64" spans="1:9">
      <c r="A64" s="199"/>
      <c r="B64" s="200"/>
      <c r="C64" s="200"/>
      <c r="D64" s="200"/>
      <c r="E64" s="200"/>
      <c r="F64" s="200"/>
      <c r="G64" s="200"/>
      <c r="H64" s="200"/>
      <c r="I64" s="201"/>
    </row>
    <row r="65" spans="1:9">
      <c r="A65" s="199"/>
      <c r="B65" s="200"/>
      <c r="C65" s="200"/>
      <c r="D65" s="200"/>
      <c r="E65" s="200"/>
      <c r="F65" s="200"/>
      <c r="G65" s="200"/>
      <c r="H65" s="200"/>
      <c r="I65" s="201"/>
    </row>
    <row r="66" spans="1:9">
      <c r="A66" s="199"/>
      <c r="B66" s="200"/>
      <c r="C66" s="200"/>
      <c r="D66" s="200"/>
      <c r="E66" s="200"/>
      <c r="F66" s="200"/>
      <c r="G66" s="200"/>
      <c r="H66" s="200"/>
      <c r="I66" s="201"/>
    </row>
    <row r="67" spans="1:9">
      <c r="A67" s="199"/>
      <c r="B67" s="200"/>
      <c r="C67" s="200"/>
      <c r="D67" s="200"/>
      <c r="E67" s="200"/>
      <c r="F67" s="200"/>
      <c r="G67" s="200"/>
      <c r="H67" s="200"/>
      <c r="I67" s="201"/>
    </row>
    <row r="68" spans="1:9">
      <c r="A68" s="199"/>
      <c r="B68" s="200"/>
      <c r="C68" s="200"/>
      <c r="D68" s="200"/>
      <c r="E68" s="200"/>
      <c r="F68" s="200"/>
      <c r="G68" s="200"/>
      <c r="H68" s="200"/>
      <c r="I68" s="201"/>
    </row>
    <row r="69" spans="1:9">
      <c r="A69" s="199"/>
      <c r="B69" s="200"/>
      <c r="C69" s="200"/>
      <c r="D69" s="200"/>
      <c r="E69" s="200"/>
      <c r="F69" s="200"/>
      <c r="G69" s="200"/>
      <c r="H69" s="200"/>
      <c r="I69" s="201"/>
    </row>
    <row r="70" spans="1:9">
      <c r="A70" s="199"/>
      <c r="B70" s="200"/>
      <c r="C70" s="200"/>
      <c r="D70" s="200"/>
      <c r="E70" s="200"/>
      <c r="F70" s="200"/>
      <c r="G70" s="200"/>
      <c r="H70" s="200"/>
      <c r="I70" s="201"/>
    </row>
    <row r="71" spans="1:9">
      <c r="A71" s="199"/>
      <c r="B71" s="200"/>
      <c r="C71" s="200"/>
      <c r="D71" s="200"/>
      <c r="E71" s="200"/>
      <c r="F71" s="200"/>
      <c r="G71" s="200"/>
      <c r="H71" s="200"/>
      <c r="I71" s="201"/>
    </row>
    <row r="72" spans="1:9">
      <c r="A72" s="199"/>
      <c r="B72" s="200"/>
      <c r="C72" s="200"/>
      <c r="D72" s="200"/>
      <c r="E72" s="200"/>
      <c r="F72" s="200"/>
      <c r="G72" s="200"/>
      <c r="H72" s="200"/>
      <c r="I72" s="201"/>
    </row>
    <row r="73" spans="1:9">
      <c r="A73" s="199"/>
      <c r="B73" s="200"/>
      <c r="C73" s="200"/>
      <c r="D73" s="200"/>
      <c r="E73" s="200"/>
      <c r="F73" s="200"/>
      <c r="G73" s="200"/>
      <c r="H73" s="200"/>
      <c r="I73" s="201"/>
    </row>
    <row r="74" spans="1:9">
      <c r="A74" s="199"/>
      <c r="B74" s="200"/>
      <c r="C74" s="200"/>
      <c r="D74" s="200"/>
      <c r="E74" s="200"/>
      <c r="F74" s="200"/>
      <c r="G74" s="200"/>
      <c r="H74" s="200"/>
      <c r="I74" s="201"/>
    </row>
    <row r="75" spans="1:9">
      <c r="A75" s="110"/>
      <c r="B75" s="111"/>
      <c r="C75" s="111"/>
      <c r="D75" s="111"/>
      <c r="E75" s="111"/>
      <c r="F75" s="111"/>
      <c r="G75" s="111"/>
      <c r="H75" s="111"/>
      <c r="I75" s="112"/>
    </row>
    <row r="76" spans="1:9">
      <c r="A76" s="110"/>
      <c r="B76" s="111"/>
      <c r="C76" s="111"/>
      <c r="D76" s="111"/>
      <c r="E76" s="111"/>
      <c r="F76" s="111"/>
      <c r="G76" s="111"/>
      <c r="H76" s="111"/>
      <c r="I76" s="112"/>
    </row>
    <row r="77" spans="1:9">
      <c r="A77" s="110"/>
      <c r="B77" s="111"/>
      <c r="C77" s="111"/>
      <c r="D77" s="111"/>
      <c r="E77" s="111"/>
      <c r="F77" s="111"/>
      <c r="G77" s="111"/>
      <c r="H77" s="111"/>
      <c r="I77" s="112"/>
    </row>
    <row r="78" spans="1:9">
      <c r="A78" s="110"/>
      <c r="B78" s="111"/>
      <c r="C78" s="111"/>
      <c r="D78" s="111"/>
      <c r="E78" s="111"/>
      <c r="F78" s="111"/>
      <c r="G78" s="111"/>
      <c r="H78" s="111"/>
      <c r="I78" s="112"/>
    </row>
    <row r="79" spans="1:9">
      <c r="A79" s="110"/>
      <c r="B79" s="111"/>
      <c r="C79" s="111"/>
      <c r="D79" s="111"/>
      <c r="E79" s="111"/>
      <c r="F79" s="111"/>
      <c r="G79" s="111"/>
      <c r="H79" s="111"/>
      <c r="I79" s="112"/>
    </row>
    <row r="80" spans="1:9">
      <c r="A80" s="110"/>
      <c r="B80" s="111"/>
      <c r="C80" s="111"/>
      <c r="D80" s="111"/>
      <c r="E80" s="111"/>
      <c r="F80" s="111"/>
      <c r="G80" s="111"/>
      <c r="H80" s="111"/>
      <c r="I80" s="112"/>
    </row>
    <row r="81" spans="1:9">
      <c r="A81" s="110"/>
      <c r="B81" s="111"/>
      <c r="C81" s="111"/>
      <c r="D81" s="111"/>
      <c r="E81" s="111"/>
      <c r="F81" s="111"/>
      <c r="G81" s="111"/>
      <c r="H81" s="111"/>
      <c r="I81" s="112"/>
    </row>
    <row r="82" spans="1:9">
      <c r="A82" s="113"/>
      <c r="B82" s="114"/>
      <c r="C82" s="114"/>
      <c r="D82" s="114"/>
      <c r="E82" s="114"/>
      <c r="F82" s="114"/>
      <c r="G82" s="114"/>
      <c r="H82" s="114"/>
      <c r="I82" s="115"/>
    </row>
  </sheetData>
  <mergeCells count="2">
    <mergeCell ref="A5:I18"/>
    <mergeCell ref="A22:I74"/>
  </mergeCells>
  <pageMargins left="0.7" right="0.7" top="0.75" bottom="0.75" header="0.3" footer="0.3"/>
  <pageSetup paperSize="9" scale="65"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1"/>
  <sheetViews>
    <sheetView showGridLines="0" tabSelected="1" view="pageBreakPreview" topLeftCell="A3" zoomScale="60" zoomScaleNormal="100" workbookViewId="0">
      <selection activeCell="C54" sqref="C54"/>
    </sheetView>
  </sheetViews>
  <sheetFormatPr defaultColWidth="9.28515625" defaultRowHeight="15"/>
  <cols>
    <col min="1" max="1" width="28.42578125" style="2" customWidth="1"/>
    <col min="2" max="2" width="8.28515625" style="12" customWidth="1"/>
    <col min="3" max="3" width="9.7109375" style="12" bestFit="1" customWidth="1"/>
    <col min="4" max="5" width="9.7109375" style="12" customWidth="1"/>
    <col min="6" max="6" width="11.42578125" style="12" bestFit="1" customWidth="1"/>
    <col min="7" max="7" width="11.28515625" style="15" customWidth="1"/>
    <col min="8" max="8" width="11.5703125" style="16" customWidth="1"/>
    <col min="9" max="9" width="14.28515625" style="2" customWidth="1"/>
    <col min="10" max="10" width="9.28515625" style="2"/>
    <col min="11" max="11" width="38.42578125" style="2" customWidth="1"/>
    <col min="12" max="16384" width="9.28515625" style="2"/>
  </cols>
  <sheetData>
    <row r="1" spans="1:11">
      <c r="A1" s="91" t="str">
        <f>+'Cover Page'!$B$29</f>
        <v>Annual Performance Report 2022</v>
      </c>
      <c r="B1" s="91"/>
      <c r="C1" s="91"/>
      <c r="D1" s="91"/>
      <c r="E1" s="91" t="s">
        <v>62</v>
      </c>
      <c r="F1" s="91"/>
      <c r="G1" s="91"/>
      <c r="H1" s="91"/>
      <c r="I1" s="91"/>
      <c r="J1" s="91"/>
      <c r="K1" s="91"/>
    </row>
    <row r="3" spans="1:11" ht="15.6">
      <c r="A3" s="1" t="s">
        <v>32</v>
      </c>
      <c r="B3" s="94"/>
      <c r="C3" s="94"/>
      <c r="D3" s="94"/>
      <c r="E3" s="94"/>
      <c r="F3" s="94"/>
      <c r="H3" s="370"/>
      <c r="I3" s="91"/>
      <c r="J3" s="91"/>
      <c r="K3" s="81" t="s">
        <v>3</v>
      </c>
    </row>
    <row r="4" spans="1:11">
      <c r="A4" s="18" t="s">
        <v>63</v>
      </c>
      <c r="B4" s="371">
        <v>105000</v>
      </c>
      <c r="C4" s="371"/>
      <c r="D4" s="20" t="s">
        <v>64</v>
      </c>
      <c r="E4" s="19"/>
      <c r="F4" s="20" t="s">
        <v>65</v>
      </c>
      <c r="G4" s="19">
        <v>7.14</v>
      </c>
      <c r="H4" s="70" t="s">
        <v>66</v>
      </c>
      <c r="I4" s="91"/>
      <c r="J4" s="91"/>
      <c r="K4" s="17" t="s">
        <v>67</v>
      </c>
    </row>
    <row r="5" spans="1:11">
      <c r="A5" s="21" t="s">
        <v>68</v>
      </c>
      <c r="B5" s="22">
        <v>2</v>
      </c>
      <c r="C5" s="23"/>
      <c r="D5" s="23" t="s">
        <v>69</v>
      </c>
      <c r="E5" s="23"/>
      <c r="F5" s="24">
        <v>1</v>
      </c>
      <c r="G5" s="25"/>
      <c r="H5" s="26"/>
      <c r="I5" s="91"/>
      <c r="J5" s="91"/>
      <c r="K5" s="17" t="s">
        <v>70</v>
      </c>
    </row>
    <row r="6" spans="1:11" ht="15" customHeight="1">
      <c r="A6" s="3"/>
      <c r="B6" s="94"/>
      <c r="C6" s="94"/>
      <c r="D6" s="94"/>
      <c r="E6" s="94"/>
      <c r="F6" s="94"/>
      <c r="H6" s="370"/>
      <c r="I6" s="91"/>
      <c r="J6" s="91"/>
      <c r="K6" s="116" t="s">
        <v>71</v>
      </c>
    </row>
    <row r="7" spans="1:11">
      <c r="A7" s="9" t="s">
        <v>72</v>
      </c>
      <c r="B7" s="372" t="s">
        <v>73</v>
      </c>
      <c r="C7" s="373" t="s">
        <v>74</v>
      </c>
      <c r="D7" s="373" t="s">
        <v>75</v>
      </c>
      <c r="E7" s="373" t="s">
        <v>76</v>
      </c>
      <c r="F7" s="373" t="s">
        <v>77</v>
      </c>
      <c r="G7" s="27" t="s">
        <v>78</v>
      </c>
      <c r="H7" s="374" t="s">
        <v>79</v>
      </c>
      <c r="I7" s="91"/>
      <c r="J7" s="91"/>
      <c r="K7" s="116"/>
    </row>
    <row r="8" spans="1:11" ht="15.75" customHeight="1">
      <c r="A8" s="375" t="s">
        <v>80</v>
      </c>
      <c r="B8" s="376" t="s">
        <v>81</v>
      </c>
      <c r="C8" s="377">
        <v>21278</v>
      </c>
      <c r="D8" s="377">
        <v>20580</v>
      </c>
      <c r="E8" s="377">
        <v>20544</v>
      </c>
      <c r="F8" s="377">
        <v>20686</v>
      </c>
      <c r="G8" s="146">
        <f>SUM(C8:F8)</f>
        <v>83088</v>
      </c>
      <c r="H8" s="378">
        <f t="shared" ref="H8:H14" si="0">IF(G8&gt;0,G8/$G$15,"-")</f>
        <v>0.87097078524481897</v>
      </c>
      <c r="I8" s="91"/>
      <c r="J8" s="91"/>
      <c r="K8" s="117" t="s">
        <v>82</v>
      </c>
    </row>
    <row r="9" spans="1:11">
      <c r="A9" s="379" t="s">
        <v>83</v>
      </c>
      <c r="B9" s="380"/>
      <c r="C9" s="381">
        <v>3789</v>
      </c>
      <c r="D9" s="381">
        <v>2746</v>
      </c>
      <c r="E9" s="381">
        <v>3790</v>
      </c>
      <c r="F9" s="381">
        <v>1984</v>
      </c>
      <c r="G9" s="147">
        <f t="shared" ref="G9:G14" si="1">SUM(C9:F9)</f>
        <v>12309</v>
      </c>
      <c r="H9" s="382">
        <f t="shared" si="0"/>
        <v>0.12902921475518098</v>
      </c>
      <c r="I9" s="91"/>
      <c r="J9" s="91"/>
      <c r="K9" s="117"/>
    </row>
    <row r="10" spans="1:11">
      <c r="A10" s="379" t="s">
        <v>84</v>
      </c>
      <c r="B10" s="380"/>
      <c r="C10" s="381">
        <v>0</v>
      </c>
      <c r="D10" s="381">
        <v>0</v>
      </c>
      <c r="E10" s="381">
        <v>0</v>
      </c>
      <c r="F10" s="381">
        <v>0</v>
      </c>
      <c r="G10" s="147">
        <f t="shared" si="1"/>
        <v>0</v>
      </c>
      <c r="H10" s="382" t="str">
        <f t="shared" si="0"/>
        <v>-</v>
      </c>
      <c r="I10" s="91"/>
      <c r="J10" s="91"/>
      <c r="K10" s="117"/>
    </row>
    <row r="11" spans="1:11">
      <c r="A11" s="379" t="s">
        <v>85</v>
      </c>
      <c r="B11" s="380"/>
      <c r="C11" s="381">
        <v>0</v>
      </c>
      <c r="D11" s="381">
        <v>0</v>
      </c>
      <c r="E11" s="381">
        <v>0</v>
      </c>
      <c r="F11" s="381">
        <v>0</v>
      </c>
      <c r="G11" s="147">
        <f t="shared" si="1"/>
        <v>0</v>
      </c>
      <c r="H11" s="382" t="str">
        <f t="shared" si="0"/>
        <v>-</v>
      </c>
      <c r="I11" s="91"/>
      <c r="J11" s="91"/>
      <c r="K11" s="117"/>
    </row>
    <row r="12" spans="1:11">
      <c r="A12" s="379" t="s">
        <v>86</v>
      </c>
      <c r="B12" s="380"/>
      <c r="C12" s="381">
        <v>0</v>
      </c>
      <c r="D12" s="381">
        <v>0</v>
      </c>
      <c r="E12" s="381">
        <v>0</v>
      </c>
      <c r="F12" s="381">
        <v>0</v>
      </c>
      <c r="G12" s="147">
        <f t="shared" si="1"/>
        <v>0</v>
      </c>
      <c r="H12" s="382" t="str">
        <f t="shared" si="0"/>
        <v>-</v>
      </c>
      <c r="I12" s="91"/>
      <c r="J12" s="91"/>
      <c r="K12" s="117"/>
    </row>
    <row r="13" spans="1:11">
      <c r="A13" s="379" t="s">
        <v>87</v>
      </c>
      <c r="B13" s="380"/>
      <c r="C13" s="381">
        <v>0</v>
      </c>
      <c r="D13" s="381">
        <v>0</v>
      </c>
      <c r="E13" s="381">
        <v>0</v>
      </c>
      <c r="F13" s="381">
        <v>0</v>
      </c>
      <c r="G13" s="147">
        <f t="shared" ref="G13" si="2">SUM(C13:F13)</f>
        <v>0</v>
      </c>
      <c r="H13" s="382" t="str">
        <f t="shared" si="0"/>
        <v>-</v>
      </c>
      <c r="I13" s="91"/>
      <c r="J13" s="91"/>
      <c r="K13" s="117"/>
    </row>
    <row r="14" spans="1:11">
      <c r="A14" s="379" t="s">
        <v>88</v>
      </c>
      <c r="B14" s="380"/>
      <c r="C14" s="381">
        <v>0</v>
      </c>
      <c r="D14" s="381">
        <v>0</v>
      </c>
      <c r="E14" s="381">
        <v>0</v>
      </c>
      <c r="F14" s="381">
        <v>0</v>
      </c>
      <c r="G14" s="147">
        <f t="shared" si="1"/>
        <v>0</v>
      </c>
      <c r="H14" s="382" t="str">
        <f t="shared" si="0"/>
        <v>-</v>
      </c>
      <c r="I14" s="91"/>
      <c r="J14" s="91"/>
      <c r="K14" s="117"/>
    </row>
    <row r="15" spans="1:11">
      <c r="A15" s="89" t="s">
        <v>89</v>
      </c>
      <c r="B15" s="383"/>
      <c r="C15" s="147">
        <f>SUM(C8:C14)</f>
        <v>25067</v>
      </c>
      <c r="D15" s="147">
        <f>SUM(D8:D14)</f>
        <v>23326</v>
      </c>
      <c r="E15" s="147">
        <f>SUM(E8:E14)</f>
        <v>24334</v>
      </c>
      <c r="F15" s="147">
        <f>SUM(F8:F14)</f>
        <v>22670</v>
      </c>
      <c r="G15" s="147">
        <f>SUM(G8:G14)</f>
        <v>95397</v>
      </c>
      <c r="H15" s="384">
        <v>1</v>
      </c>
      <c r="I15" s="91"/>
      <c r="J15" s="91"/>
      <c r="K15" s="117"/>
    </row>
    <row r="16" spans="1:11">
      <c r="A16" s="379" t="s">
        <v>90</v>
      </c>
      <c r="B16" s="383"/>
      <c r="C16" s="381"/>
      <c r="D16" s="381"/>
      <c r="E16" s="381"/>
      <c r="F16" s="381"/>
      <c r="G16" s="147">
        <f t="shared" ref="G16" si="3">SUM(C16:F16)</f>
        <v>0</v>
      </c>
      <c r="H16" s="382" t="str">
        <f t="shared" ref="H16" si="4">IF(G16&gt;0,G16/$G$15,"-")</f>
        <v>-</v>
      </c>
      <c r="I16" s="91"/>
      <c r="J16" s="91"/>
      <c r="K16" s="117"/>
    </row>
    <row r="17" spans="1:12">
      <c r="A17" s="379" t="s">
        <v>91</v>
      </c>
      <c r="B17" s="383"/>
      <c r="C17" s="381"/>
      <c r="D17" s="381"/>
      <c r="E17" s="381"/>
      <c r="F17" s="381"/>
      <c r="G17" s="147">
        <f t="shared" ref="G17" si="5">SUM(C17:F17)</f>
        <v>0</v>
      </c>
      <c r="H17" s="382" t="str">
        <f>IF(G17&gt;0,G17/$G$15,"-")</f>
        <v>-</v>
      </c>
      <c r="I17" s="91"/>
      <c r="J17" s="91"/>
      <c r="K17" s="91"/>
      <c r="L17" s="91"/>
    </row>
    <row r="18" spans="1:12">
      <c r="A18" s="90" t="s">
        <v>92</v>
      </c>
      <c r="B18" s="385"/>
      <c r="C18" s="148">
        <v>25609</v>
      </c>
      <c r="D18" s="148">
        <v>21117</v>
      </c>
      <c r="E18" s="148">
        <v>24233</v>
      </c>
      <c r="F18" s="148">
        <v>2342</v>
      </c>
      <c r="G18" s="149">
        <f>SUM(C18:F18)</f>
        <v>73301</v>
      </c>
      <c r="H18" s="386">
        <f>IF(G18&gt;0,G18/$G$15,"-")</f>
        <v>0.76837846053859138</v>
      </c>
      <c r="I18" s="91"/>
      <c r="J18" s="91"/>
      <c r="K18" s="91"/>
      <c r="L18" s="91"/>
    </row>
    <row r="19" spans="1:12">
      <c r="A19" s="3"/>
      <c r="B19" s="94"/>
      <c r="C19" s="94"/>
      <c r="D19" s="94"/>
      <c r="E19" s="94"/>
      <c r="F19" s="94"/>
      <c r="H19" s="94"/>
      <c r="I19" s="91"/>
      <c r="J19" s="91"/>
      <c r="K19" s="91"/>
      <c r="L19" s="91"/>
    </row>
    <row r="20" spans="1:12">
      <c r="A20" s="9" t="s">
        <v>93</v>
      </c>
      <c r="B20" s="372" t="s">
        <v>73</v>
      </c>
      <c r="C20" s="387" t="s">
        <v>74</v>
      </c>
      <c r="D20" s="387" t="s">
        <v>75</v>
      </c>
      <c r="E20" s="387" t="s">
        <v>76</v>
      </c>
      <c r="F20" s="387" t="s">
        <v>77</v>
      </c>
      <c r="G20" s="150" t="s">
        <v>78</v>
      </c>
      <c r="H20" s="388" t="s">
        <v>94</v>
      </c>
      <c r="I20" s="91"/>
      <c r="J20" s="91"/>
      <c r="K20" s="91"/>
      <c r="L20" s="91"/>
    </row>
    <row r="21" spans="1:12" ht="15" customHeight="1">
      <c r="A21" s="389" t="s">
        <v>95</v>
      </c>
      <c r="B21" s="376" t="s">
        <v>96</v>
      </c>
      <c r="C21" s="377">
        <v>12532</v>
      </c>
      <c r="D21" s="377">
        <v>9248</v>
      </c>
      <c r="E21" s="377">
        <v>10045</v>
      </c>
      <c r="F21" s="377">
        <v>9037</v>
      </c>
      <c r="G21" s="146">
        <f t="shared" ref="G21:G24" si="6">SUM(C21:F21)</f>
        <v>40862</v>
      </c>
      <c r="H21" s="390">
        <f>IF(G21&gt;0,G21*1000/$G$18,"-")</f>
        <v>557.45487783249882</v>
      </c>
      <c r="I21" s="91"/>
      <c r="J21" s="91"/>
      <c r="K21" s="91"/>
      <c r="L21" s="91"/>
    </row>
    <row r="22" spans="1:12">
      <c r="A22" s="99" t="s">
        <v>97</v>
      </c>
      <c r="B22" s="380"/>
      <c r="C22" s="391">
        <v>10372</v>
      </c>
      <c r="D22" s="391">
        <v>7654</v>
      </c>
      <c r="E22" s="391">
        <v>8314</v>
      </c>
      <c r="F22" s="391">
        <v>7479</v>
      </c>
      <c r="G22" s="151">
        <f>SUM(C22:F22)</f>
        <v>33819</v>
      </c>
      <c r="H22" s="392">
        <f>IF(G22&gt;0,G22*1000/$G$18,"-")</f>
        <v>461.37160475300476</v>
      </c>
      <c r="I22" s="91"/>
      <c r="J22" s="91"/>
      <c r="K22" s="91"/>
      <c r="L22" s="91"/>
    </row>
    <row r="23" spans="1:12">
      <c r="A23" s="99" t="s">
        <v>98</v>
      </c>
      <c r="B23" s="380"/>
      <c r="C23" s="391">
        <v>2160</v>
      </c>
      <c r="D23" s="391">
        <v>1594</v>
      </c>
      <c r="E23" s="391">
        <v>1731</v>
      </c>
      <c r="F23" s="391">
        <v>1557</v>
      </c>
      <c r="G23" s="151">
        <f>SUM(C23:F23)</f>
        <v>7042</v>
      </c>
      <c r="H23" s="392">
        <f>IF(G23&gt;0,G23*1000/$G$18,"-")</f>
        <v>96.069630700808986</v>
      </c>
      <c r="I23" s="91"/>
      <c r="J23" s="91"/>
      <c r="K23" s="91"/>
      <c r="L23" s="91"/>
    </row>
    <row r="24" spans="1:12">
      <c r="A24" s="99" t="s">
        <v>99</v>
      </c>
      <c r="B24" s="380"/>
      <c r="C24" s="391">
        <v>16</v>
      </c>
      <c r="D24" s="391">
        <v>114</v>
      </c>
      <c r="E24" s="391">
        <v>11</v>
      </c>
      <c r="F24" s="391">
        <v>92</v>
      </c>
      <c r="G24" s="151">
        <f t="shared" si="6"/>
        <v>233</v>
      </c>
      <c r="H24" s="392">
        <f>IF(G24&gt;0,G24*1000/$G$18,"-")</f>
        <v>3.1786742336393772</v>
      </c>
      <c r="I24" s="91"/>
      <c r="J24" s="91"/>
      <c r="K24" s="91"/>
      <c r="L24" s="91"/>
    </row>
    <row r="25" spans="1:12">
      <c r="A25" s="99" t="s">
        <v>100</v>
      </c>
      <c r="B25" s="92" t="s">
        <v>79</v>
      </c>
      <c r="C25" s="393">
        <f>IF(C21&gt;0,1-C22/(C21+C24),"-")</f>
        <v>0.173414089894804</v>
      </c>
      <c r="D25" s="393">
        <f>IF(D21&gt;0,1-D22/(D21+D24),"-")</f>
        <v>0.18243964964751125</v>
      </c>
      <c r="E25" s="393">
        <f>IF(E21&gt;0,1-E22/(E21+E24),"-")</f>
        <v>0.1732299124900557</v>
      </c>
      <c r="F25" s="393">
        <f>IF(F21&gt;0,1-F22/(F21+F24),"-")</f>
        <v>0.18074268813670724</v>
      </c>
      <c r="G25" s="393">
        <f>IF(G21&gt;0,1-G22/(G21+G24),"-")</f>
        <v>0.17705316948533889</v>
      </c>
      <c r="H25" s="394"/>
      <c r="I25" s="91"/>
      <c r="J25" s="91"/>
      <c r="K25" s="91"/>
      <c r="L25" s="91"/>
    </row>
    <row r="26" spans="1:12" ht="15" customHeight="1">
      <c r="A26" s="99" t="s">
        <v>101</v>
      </c>
      <c r="B26" s="395" t="s">
        <v>96</v>
      </c>
      <c r="C26" s="396"/>
      <c r="D26" s="396"/>
      <c r="E26" s="396"/>
      <c r="F26" s="396"/>
      <c r="G26" s="29">
        <f t="shared" ref="G26:G27" si="7">SUM(C26:F26)</f>
        <v>0</v>
      </c>
      <c r="H26" s="394" t="str">
        <f>IF(G26&gt;0,G26*1000/$G$18,"-")</f>
        <v>-</v>
      </c>
      <c r="I26" s="91"/>
      <c r="J26" s="91"/>
      <c r="K26" s="91"/>
      <c r="L26" s="91"/>
    </row>
    <row r="27" spans="1:12">
      <c r="A27" s="99" t="s">
        <v>102</v>
      </c>
      <c r="B27" s="395"/>
      <c r="C27" s="396"/>
      <c r="D27" s="396"/>
      <c r="E27" s="396"/>
      <c r="F27" s="396"/>
      <c r="G27" s="29">
        <f t="shared" si="7"/>
        <v>0</v>
      </c>
      <c r="H27" s="394" t="str">
        <f>IF(G27&gt;0,G27*1000/$G$18,"-")</f>
        <v>-</v>
      </c>
      <c r="I27" s="91"/>
      <c r="J27" s="91"/>
      <c r="K27" s="17"/>
      <c r="L27" s="17"/>
    </row>
    <row r="28" spans="1:12">
      <c r="A28" s="100" t="s">
        <v>103</v>
      </c>
      <c r="B28" s="397"/>
      <c r="C28" s="398"/>
      <c r="D28" s="398"/>
      <c r="E28" s="398"/>
      <c r="F28" s="398"/>
      <c r="G28" s="399" t="s">
        <v>104</v>
      </c>
      <c r="H28" s="400"/>
      <c r="I28" s="91"/>
      <c r="J28" s="91"/>
      <c r="K28" s="91"/>
      <c r="L28" s="17"/>
    </row>
    <row r="29" spans="1:12">
      <c r="A29" s="3"/>
      <c r="B29" s="94"/>
      <c r="C29" s="370"/>
      <c r="D29" s="370"/>
      <c r="E29" s="370"/>
      <c r="F29" s="370"/>
      <c r="G29" s="31"/>
      <c r="H29" s="370"/>
      <c r="I29" s="91"/>
      <c r="J29" s="91"/>
      <c r="K29" s="91"/>
      <c r="L29" s="17"/>
    </row>
    <row r="30" spans="1:12">
      <c r="A30" s="9" t="s">
        <v>105</v>
      </c>
      <c r="B30" s="401" t="s">
        <v>73</v>
      </c>
      <c r="C30" s="402" t="s">
        <v>74</v>
      </c>
      <c r="D30" s="402" t="s">
        <v>75</v>
      </c>
      <c r="E30" s="402" t="s">
        <v>76</v>
      </c>
      <c r="F30" s="402" t="s">
        <v>77</v>
      </c>
      <c r="G30" s="32" t="s">
        <v>78</v>
      </c>
      <c r="H30" s="403" t="s">
        <v>106</v>
      </c>
      <c r="I30" s="91"/>
      <c r="J30" s="91"/>
      <c r="K30" s="91"/>
      <c r="L30" s="17"/>
    </row>
    <row r="31" spans="1:12" ht="15" customHeight="1">
      <c r="A31" s="389" t="s">
        <v>107</v>
      </c>
      <c r="B31" s="376" t="s">
        <v>81</v>
      </c>
      <c r="C31" s="404">
        <v>789</v>
      </c>
      <c r="D31" s="404">
        <v>722</v>
      </c>
      <c r="E31" s="404">
        <v>871</v>
      </c>
      <c r="F31" s="404">
        <v>727</v>
      </c>
      <c r="G31" s="28">
        <f t="shared" ref="G31:G32" si="8">SUM(C31:F31)</f>
        <v>3109</v>
      </c>
      <c r="H31" s="405">
        <f>IF(G31&gt;0,G31/$G$15,"-")</f>
        <v>3.2590123379141904E-2</v>
      </c>
      <c r="I31" s="91"/>
      <c r="J31" s="91"/>
      <c r="K31" s="17"/>
      <c r="L31" s="17"/>
    </row>
    <row r="32" spans="1:12" ht="15" customHeight="1">
      <c r="A32" s="99" t="s">
        <v>108</v>
      </c>
      <c r="B32" s="380"/>
      <c r="C32" s="406">
        <v>4289</v>
      </c>
      <c r="D32" s="406">
        <v>3675</v>
      </c>
      <c r="E32" s="406">
        <v>4402</v>
      </c>
      <c r="F32" s="406">
        <v>3647</v>
      </c>
      <c r="G32" s="88">
        <f t="shared" si="8"/>
        <v>16013</v>
      </c>
      <c r="H32" s="407">
        <f>IF(G32&gt;0,G32/$G$15,"-")</f>
        <v>0.1678564315439689</v>
      </c>
      <c r="I32" s="91"/>
      <c r="J32" s="91"/>
      <c r="K32" s="17"/>
      <c r="L32" s="17"/>
    </row>
    <row r="33" spans="1:8" ht="15" customHeight="1">
      <c r="A33" s="100" t="s">
        <v>109</v>
      </c>
      <c r="B33" s="408"/>
      <c r="C33" s="409">
        <v>521</v>
      </c>
      <c r="D33" s="409">
        <v>308</v>
      </c>
      <c r="E33" s="409">
        <v>370</v>
      </c>
      <c r="F33" s="409">
        <v>429</v>
      </c>
      <c r="G33" s="30">
        <f t="shared" ref="G33" si="9">SUM(C33:F33)</f>
        <v>1628</v>
      </c>
      <c r="H33" s="410">
        <f>IF(G33&gt;0,G33/$G$15,"-")</f>
        <v>1.7065526169586044E-2</v>
      </c>
    </row>
    <row r="34" spans="1:8">
      <c r="A34" s="94"/>
      <c r="B34" s="94"/>
      <c r="C34" s="370"/>
      <c r="D34" s="370"/>
      <c r="E34" s="370"/>
      <c r="F34" s="370"/>
      <c r="G34" s="31"/>
      <c r="H34" s="370"/>
    </row>
    <row r="35" spans="1:8">
      <c r="A35" s="9" t="s">
        <v>110</v>
      </c>
      <c r="B35" s="411" t="s">
        <v>73</v>
      </c>
      <c r="C35" s="373" t="s">
        <v>74</v>
      </c>
      <c r="D35" s="373" t="s">
        <v>75</v>
      </c>
      <c r="E35" s="373" t="s">
        <v>76</v>
      </c>
      <c r="F35" s="373" t="s">
        <v>77</v>
      </c>
      <c r="G35" s="27" t="s">
        <v>78</v>
      </c>
      <c r="H35" s="412" t="s">
        <v>111</v>
      </c>
    </row>
    <row r="36" spans="1:8" ht="15.6" customHeight="1">
      <c r="A36" s="389" t="s">
        <v>112</v>
      </c>
      <c r="B36" s="92" t="s">
        <v>113</v>
      </c>
      <c r="C36" s="404">
        <v>14258</v>
      </c>
      <c r="D36" s="404">
        <v>15633</v>
      </c>
      <c r="E36" s="404">
        <v>19832</v>
      </c>
      <c r="F36" s="404">
        <v>19908</v>
      </c>
      <c r="G36" s="28">
        <f t="shared" ref="G36:G47" si="10">SUM(C36:F36)</f>
        <v>69631</v>
      </c>
      <c r="H36" s="413">
        <f>IF(G36&gt;0,G36/$G$15,"-")</f>
        <v>0.7299076490874975</v>
      </c>
    </row>
    <row r="37" spans="1:8">
      <c r="A37" s="99" t="s">
        <v>114</v>
      </c>
      <c r="B37" s="92" t="s">
        <v>115</v>
      </c>
      <c r="C37" s="396">
        <v>0</v>
      </c>
      <c r="D37" s="396">
        <v>0</v>
      </c>
      <c r="E37" s="396">
        <v>0</v>
      </c>
      <c r="F37" s="396">
        <v>0</v>
      </c>
      <c r="G37" s="29">
        <f t="shared" si="10"/>
        <v>0</v>
      </c>
      <c r="H37" s="413" t="str">
        <f>IF(G37&gt;0,G37/$G$15,"-")</f>
        <v>-</v>
      </c>
    </row>
    <row r="38" spans="1:8" ht="15.6" customHeight="1">
      <c r="A38" s="99" t="s">
        <v>116</v>
      </c>
      <c r="B38" s="92" t="s">
        <v>117</v>
      </c>
      <c r="C38" s="396">
        <v>0</v>
      </c>
      <c r="D38" s="396">
        <v>0</v>
      </c>
      <c r="E38" s="396">
        <v>0</v>
      </c>
      <c r="F38" s="396">
        <v>0</v>
      </c>
      <c r="G38" s="29">
        <f t="shared" si="10"/>
        <v>0</v>
      </c>
      <c r="H38" s="413" t="str">
        <f>IF(G38&gt;0,G38/$G$15,"-")</f>
        <v>-</v>
      </c>
    </row>
    <row r="39" spans="1:8" ht="15.6" customHeight="1">
      <c r="A39" s="99" t="s">
        <v>118</v>
      </c>
      <c r="B39" s="92" t="s">
        <v>117</v>
      </c>
      <c r="C39" s="396">
        <v>52000</v>
      </c>
      <c r="D39" s="396">
        <v>42000</v>
      </c>
      <c r="E39" s="396">
        <v>42000</v>
      </c>
      <c r="F39" s="396">
        <v>33000</v>
      </c>
      <c r="G39" s="29">
        <f t="shared" ref="G39" si="11">SUM(C39:F39)</f>
        <v>169000</v>
      </c>
      <c r="H39" s="413">
        <f>IF(G39&gt;0,G39/$G$15,"-")</f>
        <v>1.7715441785381092</v>
      </c>
    </row>
    <row r="40" spans="1:8">
      <c r="A40" s="99" t="s">
        <v>119</v>
      </c>
      <c r="B40" s="92" t="s">
        <v>117</v>
      </c>
      <c r="C40" s="396">
        <v>3000</v>
      </c>
      <c r="D40" s="396">
        <v>3000</v>
      </c>
      <c r="E40" s="396">
        <v>3000</v>
      </c>
      <c r="F40" s="396">
        <v>2500</v>
      </c>
      <c r="G40" s="29">
        <f t="shared" si="10"/>
        <v>11500</v>
      </c>
      <c r="H40" s="413">
        <f t="shared" ref="H40:H47" si="12">IF(G40&gt;0,G40/$G$15,"-")</f>
        <v>0.12054886422004885</v>
      </c>
    </row>
    <row r="41" spans="1:8">
      <c r="A41" s="99" t="s">
        <v>120</v>
      </c>
      <c r="B41" s="92" t="s">
        <v>117</v>
      </c>
      <c r="C41" s="396">
        <v>226200</v>
      </c>
      <c r="D41" s="396">
        <v>253300</v>
      </c>
      <c r="E41" s="396">
        <v>273500</v>
      </c>
      <c r="F41" s="396">
        <v>222020</v>
      </c>
      <c r="G41" s="29">
        <f t="shared" si="10"/>
        <v>975020</v>
      </c>
      <c r="H41" s="413">
        <f t="shared" si="12"/>
        <v>10.220656834072351</v>
      </c>
    </row>
    <row r="42" spans="1:8">
      <c r="A42" s="99" t="s">
        <v>121</v>
      </c>
      <c r="B42" s="92" t="s">
        <v>115</v>
      </c>
      <c r="C42" s="396">
        <v>8810</v>
      </c>
      <c r="D42" s="396">
        <v>29518</v>
      </c>
      <c r="E42" s="396">
        <v>2840</v>
      </c>
      <c r="F42" s="396">
        <v>13441616</v>
      </c>
      <c r="G42" s="29">
        <f t="shared" si="10"/>
        <v>13482784</v>
      </c>
      <c r="H42" s="413">
        <f t="shared" si="12"/>
        <v>141.3334171934128</v>
      </c>
    </row>
    <row r="43" spans="1:8">
      <c r="A43" s="99" t="s">
        <v>122</v>
      </c>
      <c r="B43" s="92" t="s">
        <v>123</v>
      </c>
      <c r="C43" s="396"/>
      <c r="D43" s="396">
        <v>0</v>
      </c>
      <c r="E43" s="396">
        <v>0</v>
      </c>
      <c r="F43" s="396">
        <v>0</v>
      </c>
      <c r="G43" s="29">
        <f t="shared" si="10"/>
        <v>0</v>
      </c>
      <c r="H43" s="413" t="str">
        <f t="shared" si="12"/>
        <v>-</v>
      </c>
    </row>
    <row r="44" spans="1:8">
      <c r="A44" s="99" t="s">
        <v>124</v>
      </c>
      <c r="B44" s="92" t="s">
        <v>115</v>
      </c>
      <c r="C44" s="396">
        <v>3830</v>
      </c>
      <c r="D44" s="396">
        <v>4510</v>
      </c>
      <c r="E44" s="396">
        <v>10180</v>
      </c>
      <c r="F44" s="396">
        <v>9790</v>
      </c>
      <c r="G44" s="29">
        <f t="shared" si="10"/>
        <v>28310</v>
      </c>
      <c r="H44" s="413">
        <f t="shared" si="12"/>
        <v>0.29675985617996375</v>
      </c>
    </row>
    <row r="45" spans="1:8">
      <c r="A45" s="99" t="s">
        <v>125</v>
      </c>
      <c r="B45" s="92" t="s">
        <v>126</v>
      </c>
      <c r="C45" s="396">
        <v>4560</v>
      </c>
      <c r="D45" s="396">
        <v>6665</v>
      </c>
      <c r="E45" s="396">
        <v>10345</v>
      </c>
      <c r="F45" s="396">
        <v>9246</v>
      </c>
      <c r="G45" s="29">
        <f t="shared" si="10"/>
        <v>30816</v>
      </c>
      <c r="H45" s="413">
        <f t="shared" si="12"/>
        <v>0.32302902607000222</v>
      </c>
    </row>
    <row r="46" spans="1:8">
      <c r="A46" s="94" t="s">
        <v>127</v>
      </c>
      <c r="B46" s="92" t="s">
        <v>126</v>
      </c>
      <c r="C46" s="396">
        <v>583</v>
      </c>
      <c r="D46" s="396">
        <v>455</v>
      </c>
      <c r="E46" s="396">
        <v>903</v>
      </c>
      <c r="F46" s="396">
        <v>340</v>
      </c>
      <c r="G46" s="29">
        <f t="shared" si="10"/>
        <v>2281</v>
      </c>
      <c r="H46" s="413">
        <f t="shared" si="12"/>
        <v>2.3910605155298383E-2</v>
      </c>
    </row>
    <row r="47" spans="1:8">
      <c r="A47" s="100" t="s">
        <v>128</v>
      </c>
      <c r="B47" s="101" t="s">
        <v>126</v>
      </c>
      <c r="C47" s="409">
        <v>135</v>
      </c>
      <c r="D47" s="409">
        <v>61</v>
      </c>
      <c r="E47" s="409">
        <v>370</v>
      </c>
      <c r="F47" s="409">
        <v>580</v>
      </c>
      <c r="G47" s="30">
        <f t="shared" si="10"/>
        <v>1146</v>
      </c>
      <c r="H47" s="414">
        <f t="shared" si="12"/>
        <v>1.2012956382276173E-2</v>
      </c>
    </row>
    <row r="48" spans="1:8">
      <c r="A48" s="94"/>
      <c r="B48" s="94"/>
      <c r="C48" s="370">
        <v>1</v>
      </c>
      <c r="D48" s="370"/>
      <c r="E48" s="370"/>
      <c r="F48" s="370"/>
      <c r="G48" s="31"/>
      <c r="H48" s="370"/>
    </row>
    <row r="49" spans="1:10">
      <c r="A49" s="9" t="s">
        <v>129</v>
      </c>
      <c r="B49" s="415" t="s">
        <v>130</v>
      </c>
      <c r="C49" s="402" t="s">
        <v>20</v>
      </c>
      <c r="D49" s="402" t="s">
        <v>75</v>
      </c>
      <c r="E49" s="402" t="s">
        <v>76</v>
      </c>
      <c r="F49" s="402" t="s">
        <v>77</v>
      </c>
      <c r="G49" s="32" t="s">
        <v>78</v>
      </c>
      <c r="H49" s="412"/>
      <c r="I49" s="91"/>
      <c r="J49" s="86" t="s">
        <v>131</v>
      </c>
    </row>
    <row r="50" spans="1:10" ht="14.25" customHeight="1">
      <c r="A50" s="416" t="s">
        <v>132</v>
      </c>
      <c r="B50" s="402">
        <v>1</v>
      </c>
      <c r="C50" s="404">
        <v>2129.5</v>
      </c>
      <c r="D50" s="404">
        <v>1716.25</v>
      </c>
      <c r="E50" s="404">
        <v>2202.5</v>
      </c>
      <c r="F50" s="404">
        <v>1935</v>
      </c>
      <c r="G50" s="28">
        <f t="shared" ref="G50:G58" si="13">SUM(C50:F50)</f>
        <v>7983.25</v>
      </c>
      <c r="H50" s="405">
        <f>(G50)/J50</f>
        <v>0.91132990867579911</v>
      </c>
      <c r="I50" s="91"/>
      <c r="J50" s="87">
        <v>8760</v>
      </c>
    </row>
    <row r="51" spans="1:10" ht="14.25" customHeight="1">
      <c r="A51" s="417"/>
      <c r="B51" s="370">
        <v>2</v>
      </c>
      <c r="C51" s="406">
        <v>2156</v>
      </c>
      <c r="D51" s="406">
        <v>1807.25</v>
      </c>
      <c r="E51" s="406">
        <v>2109.5</v>
      </c>
      <c r="F51" s="406">
        <v>2012.05</v>
      </c>
      <c r="G51" s="29">
        <f>SUM(C51:F51)</f>
        <v>8084.8</v>
      </c>
      <c r="H51" s="407">
        <f>(G51)/J50</f>
        <v>0.92292237442922376</v>
      </c>
      <c r="I51" s="91"/>
      <c r="J51" s="91"/>
    </row>
    <row r="52" spans="1:10" ht="14.25" customHeight="1">
      <c r="A52" s="99" t="s">
        <v>133</v>
      </c>
      <c r="B52" s="370"/>
      <c r="C52" s="29">
        <f t="shared" ref="C52:F52" si="14">AVERAGE(C50:C51)</f>
        <v>2142.75</v>
      </c>
      <c r="D52" s="29">
        <f t="shared" si="14"/>
        <v>1761.75</v>
      </c>
      <c r="E52" s="29">
        <f t="shared" si="14"/>
        <v>2156</v>
      </c>
      <c r="F52" s="29">
        <f t="shared" si="14"/>
        <v>1973.5250000000001</v>
      </c>
      <c r="G52" s="29">
        <f>AVERAGE(G50:G51)</f>
        <v>8034.0249999999996</v>
      </c>
      <c r="H52" s="407">
        <f>(G52)/J50</f>
        <v>0.91712614155251138</v>
      </c>
      <c r="I52" s="91"/>
      <c r="J52" s="91"/>
    </row>
    <row r="53" spans="1:10" ht="14.25" customHeight="1">
      <c r="A53" s="99" t="s">
        <v>134</v>
      </c>
      <c r="B53" s="370">
        <v>1</v>
      </c>
      <c r="C53" s="406">
        <v>44957</v>
      </c>
      <c r="D53" s="406">
        <v>1854</v>
      </c>
      <c r="E53" s="406">
        <v>2192.5</v>
      </c>
      <c r="F53" s="406">
        <v>2012.75</v>
      </c>
      <c r="G53" s="29">
        <f t="shared" si="13"/>
        <v>51016.25</v>
      </c>
      <c r="H53" s="407">
        <f>G53/J50</f>
        <v>5.8237728310502286</v>
      </c>
      <c r="I53" s="91"/>
      <c r="J53" s="91"/>
    </row>
    <row r="54" spans="1:10">
      <c r="A54" s="99" t="s">
        <v>135</v>
      </c>
      <c r="B54" s="370"/>
      <c r="C54" s="396"/>
      <c r="D54" s="396"/>
      <c r="E54" s="396"/>
      <c r="F54" s="396"/>
      <c r="G54" s="29">
        <f t="shared" si="13"/>
        <v>0</v>
      </c>
      <c r="H54" s="407" t="str">
        <f>IF(B54&gt;0,#REF!/J50,"n/a")</f>
        <v>n/a</v>
      </c>
      <c r="I54" s="91"/>
      <c r="J54" s="91"/>
    </row>
    <row r="55" spans="1:10">
      <c r="A55" s="99" t="s">
        <v>136</v>
      </c>
      <c r="B55" s="370" t="s">
        <v>137</v>
      </c>
      <c r="C55" s="396">
        <v>24.5</v>
      </c>
      <c r="D55" s="396">
        <v>24.5</v>
      </c>
      <c r="E55" s="396">
        <v>24.38</v>
      </c>
      <c r="F55" s="396">
        <v>24.13</v>
      </c>
      <c r="G55" s="29"/>
      <c r="H55" s="418" t="s">
        <v>138</v>
      </c>
      <c r="I55" s="91"/>
      <c r="J55" s="91"/>
    </row>
    <row r="56" spans="1:10">
      <c r="A56" s="99" t="s">
        <v>139</v>
      </c>
      <c r="B56" s="370" t="s">
        <v>140</v>
      </c>
      <c r="C56" s="396">
        <v>1</v>
      </c>
      <c r="D56" s="396">
        <v>0</v>
      </c>
      <c r="E56" s="396">
        <v>0</v>
      </c>
      <c r="F56" s="396">
        <v>0</v>
      </c>
      <c r="G56" s="29">
        <f t="shared" si="13"/>
        <v>1</v>
      </c>
      <c r="H56" s="394" t="str">
        <f>IF(G56&gt;0,"yes","no")</f>
        <v>yes</v>
      </c>
      <c r="I56" s="91"/>
      <c r="J56" s="91"/>
    </row>
    <row r="57" spans="1:10">
      <c r="A57" s="99" t="s">
        <v>141</v>
      </c>
      <c r="B57" s="370" t="s">
        <v>142</v>
      </c>
      <c r="C57" s="396">
        <v>1</v>
      </c>
      <c r="D57" s="396">
        <v>0</v>
      </c>
      <c r="E57" s="396">
        <v>0</v>
      </c>
      <c r="F57" s="396">
        <v>0</v>
      </c>
      <c r="G57" s="29">
        <f t="shared" si="13"/>
        <v>1</v>
      </c>
      <c r="H57" s="419">
        <f>+(G57)/J50</f>
        <v>1.1415525114155251E-4</v>
      </c>
      <c r="I57" s="91"/>
      <c r="J57" s="91"/>
    </row>
    <row r="58" spans="1:10">
      <c r="A58" s="100" t="s">
        <v>143</v>
      </c>
      <c r="B58" s="420" t="s">
        <v>140</v>
      </c>
      <c r="C58" s="409">
        <v>4</v>
      </c>
      <c r="D58" s="409">
        <v>4</v>
      </c>
      <c r="E58" s="409">
        <v>3</v>
      </c>
      <c r="F58" s="409">
        <v>13</v>
      </c>
      <c r="G58" s="30">
        <f t="shared" si="13"/>
        <v>24</v>
      </c>
      <c r="H58" s="421" t="str">
        <f>IF(G58&gt;0,"yes","no")</f>
        <v>yes</v>
      </c>
      <c r="I58" s="91"/>
      <c r="J58" s="91"/>
    </row>
    <row r="71" spans="6:6">
      <c r="F71" s="3"/>
    </row>
  </sheetData>
  <mergeCells count="7">
    <mergeCell ref="B31:B33"/>
    <mergeCell ref="C28:F28"/>
    <mergeCell ref="G28:H28"/>
    <mergeCell ref="B4:C4"/>
    <mergeCell ref="A50:A51"/>
    <mergeCell ref="B21:B24"/>
    <mergeCell ref="B8:B14"/>
  </mergeCells>
  <phoneticPr fontId="25" type="noConversion"/>
  <pageMargins left="0.7" right="0.7" top="0.75" bottom="0.75" header="0.3" footer="0.3"/>
  <pageSetup paperSize="9" scale="83" orientation="portrait" r:id="rId1"/>
  <headerFooter scaleWithDoc="0">
    <oddFooter>&amp;C&amp;"Arial,Regular"Page &amp;P</oddFooter>
  </headerFooter>
  <ignoredErrors>
    <ignoredError sqref="G53 G51"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view="pageBreakPreview" zoomScale="60" zoomScaleNormal="100" workbookViewId="0">
      <selection activeCell="C54" sqref="C54"/>
    </sheetView>
  </sheetViews>
  <sheetFormatPr defaultColWidth="9.28515625" defaultRowHeight="15"/>
  <cols>
    <col min="1" max="1" width="9.28515625" style="2" customWidth="1"/>
    <col min="2" max="2" width="14.5703125" style="2" bestFit="1" customWidth="1"/>
    <col min="3" max="8" width="9.28515625" style="2"/>
    <col min="9" max="9" width="14.28515625" style="2" customWidth="1"/>
    <col min="10" max="10" width="11.5703125" style="2" customWidth="1"/>
    <col min="11" max="16384" width="9.28515625" style="2"/>
  </cols>
  <sheetData>
    <row r="1" spans="1:14">
      <c r="A1" s="91" t="str">
        <f>+'Cover Page'!$B$29</f>
        <v>Annual Performance Report 2022</v>
      </c>
      <c r="B1" s="91"/>
      <c r="C1" s="91"/>
      <c r="D1" s="91"/>
      <c r="E1" s="91" t="str">
        <f>'Operational Data'!E1</f>
        <v>Dudley EfW</v>
      </c>
      <c r="F1" s="91"/>
      <c r="G1" s="91"/>
      <c r="H1" s="91"/>
      <c r="I1" s="91"/>
      <c r="J1" s="91"/>
      <c r="K1" s="91"/>
      <c r="L1" s="91"/>
      <c r="M1" s="91"/>
      <c r="N1" s="91"/>
    </row>
    <row r="3" spans="1:14" ht="15.6">
      <c r="A3" s="51" t="s">
        <v>144</v>
      </c>
      <c r="B3" s="365"/>
      <c r="C3" s="365"/>
      <c r="D3" s="365"/>
      <c r="E3" s="365"/>
      <c r="F3" s="365"/>
      <c r="G3" s="365"/>
      <c r="H3" s="365"/>
      <c r="I3" s="366"/>
      <c r="J3" s="91"/>
      <c r="K3" s="81" t="s">
        <v>3</v>
      </c>
      <c r="L3" s="91"/>
      <c r="M3" s="91"/>
      <c r="N3" s="91"/>
    </row>
    <row r="4" spans="1:14">
      <c r="A4" s="367"/>
      <c r="B4" s="368"/>
      <c r="C4" s="368"/>
      <c r="D4" s="368"/>
      <c r="E4" s="368"/>
      <c r="F4" s="368"/>
      <c r="G4" s="368"/>
      <c r="H4" s="368"/>
      <c r="I4" s="369"/>
      <c r="J4" s="91"/>
      <c r="K4" s="91"/>
      <c r="L4" s="91"/>
      <c r="M4" s="91"/>
      <c r="N4" s="91"/>
    </row>
    <row r="5" spans="1:14" ht="15.75" customHeight="1">
      <c r="A5" s="213" t="s">
        <v>145</v>
      </c>
      <c r="B5" s="214"/>
      <c r="C5" s="214"/>
      <c r="D5" s="214"/>
      <c r="E5" s="214"/>
      <c r="F5" s="214"/>
      <c r="G5" s="214"/>
      <c r="H5" s="214"/>
      <c r="I5" s="215"/>
      <c r="J5" s="91"/>
      <c r="K5" s="172" t="s">
        <v>146</v>
      </c>
      <c r="L5" s="172"/>
      <c r="M5" s="172"/>
      <c r="N5" s="172"/>
    </row>
    <row r="6" spans="1:14">
      <c r="A6" s="216"/>
      <c r="B6" s="217"/>
      <c r="C6" s="217"/>
      <c r="D6" s="217"/>
      <c r="E6" s="217"/>
      <c r="F6" s="217"/>
      <c r="G6" s="217"/>
      <c r="H6" s="217"/>
      <c r="I6" s="218"/>
      <c r="J6" s="91"/>
      <c r="K6" s="172"/>
      <c r="L6" s="172"/>
      <c r="M6" s="172"/>
      <c r="N6" s="172"/>
    </row>
    <row r="7" spans="1:14">
      <c r="A7" s="216"/>
      <c r="B7" s="217"/>
      <c r="C7" s="217"/>
      <c r="D7" s="217"/>
      <c r="E7" s="217"/>
      <c r="F7" s="217"/>
      <c r="G7" s="217"/>
      <c r="H7" s="217"/>
      <c r="I7" s="218"/>
      <c r="J7" s="91"/>
      <c r="K7" s="172"/>
      <c r="L7" s="172"/>
      <c r="M7" s="172"/>
      <c r="N7" s="172"/>
    </row>
    <row r="8" spans="1:14" ht="15.75" customHeight="1">
      <c r="A8" s="216"/>
      <c r="B8" s="217"/>
      <c r="C8" s="217"/>
      <c r="D8" s="217"/>
      <c r="E8" s="217"/>
      <c r="F8" s="217"/>
      <c r="G8" s="217"/>
      <c r="H8" s="217"/>
      <c r="I8" s="218"/>
      <c r="J8" s="91"/>
      <c r="K8" s="172"/>
      <c r="L8" s="172"/>
      <c r="M8" s="172"/>
      <c r="N8" s="172"/>
    </row>
    <row r="9" spans="1:14" ht="15.75" customHeight="1">
      <c r="A9" s="216"/>
      <c r="B9" s="217"/>
      <c r="C9" s="217"/>
      <c r="D9" s="217"/>
      <c r="E9" s="217"/>
      <c r="F9" s="217"/>
      <c r="G9" s="217"/>
      <c r="H9" s="217"/>
      <c r="I9" s="218"/>
      <c r="J9" s="91"/>
      <c r="K9" s="172"/>
      <c r="L9" s="172"/>
      <c r="M9" s="172"/>
      <c r="N9" s="172"/>
    </row>
    <row r="10" spans="1:14" ht="15.75" customHeight="1">
      <c r="A10" s="216"/>
      <c r="B10" s="217"/>
      <c r="C10" s="217"/>
      <c r="D10" s="217"/>
      <c r="E10" s="217"/>
      <c r="F10" s="217"/>
      <c r="G10" s="217"/>
      <c r="H10" s="217"/>
      <c r="I10" s="218"/>
      <c r="J10" s="91"/>
      <c r="K10" s="172"/>
      <c r="L10" s="172"/>
      <c r="M10" s="172"/>
      <c r="N10" s="172"/>
    </row>
    <row r="11" spans="1:14" ht="15.75" customHeight="1">
      <c r="A11" s="216"/>
      <c r="B11" s="217"/>
      <c r="C11" s="217"/>
      <c r="D11" s="217"/>
      <c r="E11" s="217"/>
      <c r="F11" s="217"/>
      <c r="G11" s="217"/>
      <c r="H11" s="217"/>
      <c r="I11" s="218"/>
      <c r="J11" s="91"/>
      <c r="K11" s="172"/>
      <c r="L11" s="172"/>
      <c r="M11" s="172"/>
      <c r="N11" s="172"/>
    </row>
    <row r="12" spans="1:14" ht="15.75" customHeight="1">
      <c r="A12" s="216"/>
      <c r="B12" s="217"/>
      <c r="C12" s="217"/>
      <c r="D12" s="217"/>
      <c r="E12" s="217"/>
      <c r="F12" s="217"/>
      <c r="G12" s="217"/>
      <c r="H12" s="217"/>
      <c r="I12" s="218"/>
      <c r="J12" s="91"/>
      <c r="K12" s="172"/>
      <c r="L12" s="172"/>
      <c r="M12" s="172"/>
      <c r="N12" s="172"/>
    </row>
    <row r="13" spans="1:14" ht="15.75" customHeight="1">
      <c r="A13" s="216"/>
      <c r="B13" s="217"/>
      <c r="C13" s="217"/>
      <c r="D13" s="217"/>
      <c r="E13" s="217"/>
      <c r="F13" s="217"/>
      <c r="G13" s="217"/>
      <c r="H13" s="217"/>
      <c r="I13" s="218"/>
      <c r="J13" s="91"/>
      <c r="K13" s="172"/>
      <c r="L13" s="172"/>
      <c r="M13" s="172"/>
      <c r="N13" s="172"/>
    </row>
    <row r="14" spans="1:14" ht="15.75" customHeight="1">
      <c r="A14" s="216"/>
      <c r="B14" s="217"/>
      <c r="C14" s="217"/>
      <c r="D14" s="217"/>
      <c r="E14" s="217"/>
      <c r="F14" s="217"/>
      <c r="G14" s="217"/>
      <c r="H14" s="217"/>
      <c r="I14" s="218"/>
      <c r="J14" s="91"/>
      <c r="K14" s="172"/>
      <c r="L14" s="172"/>
      <c r="M14" s="172"/>
      <c r="N14" s="172"/>
    </row>
    <row r="15" spans="1:14" ht="15.75" customHeight="1">
      <c r="A15" s="216"/>
      <c r="B15" s="217"/>
      <c r="C15" s="217"/>
      <c r="D15" s="217"/>
      <c r="E15" s="217"/>
      <c r="F15" s="217"/>
      <c r="G15" s="217"/>
      <c r="H15" s="217"/>
      <c r="I15" s="218"/>
      <c r="J15" s="91"/>
      <c r="K15" s="91"/>
      <c r="L15" s="91"/>
      <c r="M15" s="91"/>
      <c r="N15" s="91"/>
    </row>
    <row r="16" spans="1:14" ht="15.75" customHeight="1">
      <c r="A16" s="216"/>
      <c r="B16" s="217"/>
      <c r="C16" s="217"/>
      <c r="D16" s="217"/>
      <c r="E16" s="217"/>
      <c r="F16" s="217"/>
      <c r="G16" s="217"/>
      <c r="H16" s="217"/>
      <c r="I16" s="218"/>
      <c r="J16" s="91"/>
      <c r="K16" s="91"/>
      <c r="L16" s="91"/>
      <c r="M16" s="91"/>
      <c r="N16" s="91"/>
    </row>
    <row r="17" spans="1:14" ht="15.75" customHeight="1">
      <c r="A17" s="216"/>
      <c r="B17" s="217"/>
      <c r="C17" s="217"/>
      <c r="D17" s="217"/>
      <c r="E17" s="217"/>
      <c r="F17" s="217"/>
      <c r="G17" s="217"/>
      <c r="H17" s="217"/>
      <c r="I17" s="218"/>
      <c r="J17" s="91"/>
      <c r="K17" s="91"/>
      <c r="L17" s="91"/>
      <c r="M17" s="91"/>
      <c r="N17" s="91"/>
    </row>
    <row r="18" spans="1:14">
      <c r="A18" s="216"/>
      <c r="B18" s="217"/>
      <c r="C18" s="217"/>
      <c r="D18" s="217"/>
      <c r="E18" s="217"/>
      <c r="F18" s="217"/>
      <c r="G18" s="217"/>
      <c r="H18" s="217"/>
      <c r="I18" s="218"/>
      <c r="J18" s="91"/>
      <c r="K18" s="91"/>
      <c r="L18" s="91"/>
      <c r="M18" s="91"/>
      <c r="N18" s="91"/>
    </row>
    <row r="19" spans="1:14">
      <c r="A19" s="216"/>
      <c r="B19" s="217"/>
      <c r="C19" s="217"/>
      <c r="D19" s="217"/>
      <c r="E19" s="217"/>
      <c r="F19" s="217"/>
      <c r="G19" s="217"/>
      <c r="H19" s="217"/>
      <c r="I19" s="218"/>
      <c r="J19" s="91"/>
      <c r="K19" s="91"/>
      <c r="L19" s="91"/>
      <c r="M19" s="91"/>
      <c r="N19" s="91"/>
    </row>
    <row r="20" spans="1:14">
      <c r="A20" s="216"/>
      <c r="B20" s="217"/>
      <c r="C20" s="217"/>
      <c r="D20" s="217"/>
      <c r="E20" s="217"/>
      <c r="F20" s="217"/>
      <c r="G20" s="217"/>
      <c r="H20" s="217"/>
      <c r="I20" s="218"/>
      <c r="J20" s="91"/>
      <c r="K20" s="91"/>
      <c r="L20" s="91"/>
      <c r="M20" s="91"/>
      <c r="N20" s="91"/>
    </row>
    <row r="21" spans="1:14">
      <c r="A21" s="216"/>
      <c r="B21" s="217"/>
      <c r="C21" s="217"/>
      <c r="D21" s="217"/>
      <c r="E21" s="217"/>
      <c r="F21" s="217"/>
      <c r="G21" s="217"/>
      <c r="H21" s="217"/>
      <c r="I21" s="218"/>
      <c r="J21" s="91"/>
      <c r="K21" s="91"/>
      <c r="L21" s="91"/>
      <c r="M21" s="91"/>
      <c r="N21" s="91"/>
    </row>
    <row r="22" spans="1:14" ht="15.4" customHeight="1">
      <c r="A22" s="216"/>
      <c r="B22" s="217"/>
      <c r="C22" s="217"/>
      <c r="D22" s="217"/>
      <c r="E22" s="217"/>
      <c r="F22" s="217"/>
      <c r="G22" s="217"/>
      <c r="H22" s="217"/>
      <c r="I22" s="218"/>
      <c r="J22" s="91"/>
      <c r="K22" s="422"/>
      <c r="L22" s="422"/>
      <c r="M22" s="422"/>
      <c r="N22" s="422"/>
    </row>
    <row r="23" spans="1:14">
      <c r="A23" s="216"/>
      <c r="B23" s="217"/>
      <c r="C23" s="217"/>
      <c r="D23" s="217"/>
      <c r="E23" s="217"/>
      <c r="F23" s="217"/>
      <c r="G23" s="217"/>
      <c r="H23" s="217"/>
      <c r="I23" s="218"/>
      <c r="J23" s="91"/>
      <c r="K23" s="422"/>
      <c r="L23" s="422"/>
      <c r="M23" s="422"/>
      <c r="N23" s="422"/>
    </row>
    <row r="24" spans="1:14">
      <c r="A24" s="216"/>
      <c r="B24" s="217"/>
      <c r="C24" s="217"/>
      <c r="D24" s="217"/>
      <c r="E24" s="217"/>
      <c r="F24" s="217"/>
      <c r="G24" s="217"/>
      <c r="H24" s="217"/>
      <c r="I24" s="218"/>
      <c r="J24" s="91"/>
      <c r="K24" s="422"/>
      <c r="L24" s="422"/>
      <c r="M24" s="422"/>
      <c r="N24" s="422"/>
    </row>
    <row r="25" spans="1:14">
      <c r="A25" s="216"/>
      <c r="B25" s="217"/>
      <c r="C25" s="217"/>
      <c r="D25" s="217"/>
      <c r="E25" s="217"/>
      <c r="F25" s="217"/>
      <c r="G25" s="217"/>
      <c r="H25" s="217"/>
      <c r="I25" s="218"/>
      <c r="J25" s="91"/>
      <c r="K25" s="422"/>
      <c r="L25" s="422"/>
      <c r="M25" s="422"/>
      <c r="N25" s="422"/>
    </row>
    <row r="26" spans="1:14">
      <c r="A26" s="216"/>
      <c r="B26" s="217"/>
      <c r="C26" s="217"/>
      <c r="D26" s="217"/>
      <c r="E26" s="217"/>
      <c r="F26" s="217"/>
      <c r="G26" s="217"/>
      <c r="H26" s="217"/>
      <c r="I26" s="218"/>
      <c r="J26" s="91"/>
      <c r="K26" s="422"/>
      <c r="L26" s="422"/>
      <c r="M26" s="422"/>
      <c r="N26" s="422"/>
    </row>
    <row r="27" spans="1:14">
      <c r="A27" s="219"/>
      <c r="B27" s="220"/>
      <c r="C27" s="220"/>
      <c r="D27" s="220"/>
      <c r="E27" s="220"/>
      <c r="F27" s="220"/>
      <c r="G27" s="220"/>
      <c r="H27" s="220"/>
      <c r="I27" s="221"/>
      <c r="J27" s="91"/>
      <c r="K27" s="422"/>
      <c r="L27" s="422"/>
      <c r="M27" s="422"/>
      <c r="N27" s="422"/>
    </row>
    <row r="28" spans="1:14">
      <c r="A28" s="91"/>
      <c r="B28" s="91"/>
      <c r="C28" s="91"/>
      <c r="D28" s="91"/>
      <c r="E28" s="91"/>
      <c r="F28" s="91"/>
      <c r="G28" s="91"/>
      <c r="H28" s="91"/>
      <c r="I28" s="91"/>
      <c r="J28" s="91"/>
      <c r="K28" s="422"/>
      <c r="L28" s="422"/>
      <c r="M28" s="422"/>
      <c r="N28" s="422"/>
    </row>
    <row r="29" spans="1:14">
      <c r="A29" s="51" t="s">
        <v>147</v>
      </c>
      <c r="B29" s="365"/>
      <c r="C29" s="365"/>
      <c r="D29" s="365"/>
      <c r="E29" s="365"/>
      <c r="F29" s="365"/>
      <c r="G29" s="365"/>
      <c r="H29" s="365"/>
      <c r="I29" s="366"/>
      <c r="J29" s="91"/>
      <c r="K29" s="422"/>
      <c r="L29" s="422"/>
      <c r="M29" s="422"/>
      <c r="N29" s="422"/>
    </row>
    <row r="30" spans="1:14">
      <c r="A30" s="367"/>
      <c r="B30" s="368"/>
      <c r="C30" s="368"/>
      <c r="D30" s="368"/>
      <c r="E30" s="368"/>
      <c r="F30" s="368"/>
      <c r="G30" s="368"/>
      <c r="H30" s="368"/>
      <c r="I30" s="369"/>
      <c r="J30" s="91"/>
      <c r="K30" s="422"/>
      <c r="L30" s="422"/>
      <c r="M30" s="422"/>
      <c r="N30" s="422"/>
    </row>
    <row r="31" spans="1:14">
      <c r="A31" s="196" t="s">
        <v>148</v>
      </c>
      <c r="B31" s="205"/>
      <c r="C31" s="205"/>
      <c r="D31" s="205"/>
      <c r="E31" s="205"/>
      <c r="F31" s="205"/>
      <c r="G31" s="205"/>
      <c r="H31" s="205"/>
      <c r="I31" s="206"/>
      <c r="J31" s="91"/>
      <c r="K31" s="423" t="s">
        <v>149</v>
      </c>
      <c r="L31" s="423"/>
      <c r="M31" s="423"/>
      <c r="N31" s="423"/>
    </row>
    <row r="32" spans="1:14">
      <c r="A32" s="207"/>
      <c r="B32" s="208"/>
      <c r="C32" s="208"/>
      <c r="D32" s="208"/>
      <c r="E32" s="208"/>
      <c r="F32" s="208"/>
      <c r="G32" s="208"/>
      <c r="H32" s="208"/>
      <c r="I32" s="209"/>
      <c r="J32" s="91"/>
      <c r="K32" s="423"/>
      <c r="L32" s="423"/>
      <c r="M32" s="423"/>
      <c r="N32" s="423"/>
    </row>
    <row r="33" spans="1:14">
      <c r="A33" s="207"/>
      <c r="B33" s="208"/>
      <c r="C33" s="208"/>
      <c r="D33" s="208"/>
      <c r="E33" s="208"/>
      <c r="F33" s="208"/>
      <c r="G33" s="208"/>
      <c r="H33" s="208"/>
      <c r="I33" s="209"/>
      <c r="J33" s="91"/>
      <c r="K33" s="423"/>
      <c r="L33" s="423"/>
      <c r="M33" s="423"/>
      <c r="N33" s="423"/>
    </row>
    <row r="34" spans="1:14">
      <c r="A34" s="207"/>
      <c r="B34" s="208"/>
      <c r="C34" s="208"/>
      <c r="D34" s="208"/>
      <c r="E34" s="208"/>
      <c r="F34" s="208"/>
      <c r="G34" s="208"/>
      <c r="H34" s="208"/>
      <c r="I34" s="209"/>
      <c r="J34" s="91"/>
      <c r="K34" s="423"/>
      <c r="L34" s="423"/>
      <c r="M34" s="423"/>
      <c r="N34" s="423"/>
    </row>
    <row r="35" spans="1:14">
      <c r="A35" s="207"/>
      <c r="B35" s="208"/>
      <c r="C35" s="208"/>
      <c r="D35" s="208"/>
      <c r="E35" s="208"/>
      <c r="F35" s="208"/>
      <c r="G35" s="208"/>
      <c r="H35" s="208"/>
      <c r="I35" s="209"/>
      <c r="J35" s="91"/>
      <c r="K35" s="423"/>
      <c r="L35" s="423"/>
      <c r="M35" s="423"/>
      <c r="N35" s="423"/>
    </row>
    <row r="36" spans="1:14">
      <c r="A36" s="207"/>
      <c r="B36" s="208"/>
      <c r="C36" s="208"/>
      <c r="D36" s="208"/>
      <c r="E36" s="208"/>
      <c r="F36" s="208"/>
      <c r="G36" s="208"/>
      <c r="H36" s="208"/>
      <c r="I36" s="209"/>
      <c r="J36" s="91"/>
      <c r="K36" s="423"/>
      <c r="L36" s="423"/>
      <c r="M36" s="423"/>
      <c r="N36" s="423"/>
    </row>
    <row r="37" spans="1:14">
      <c r="A37" s="207"/>
      <c r="B37" s="208"/>
      <c r="C37" s="208"/>
      <c r="D37" s="208"/>
      <c r="E37" s="208"/>
      <c r="F37" s="208"/>
      <c r="G37" s="208"/>
      <c r="H37" s="208"/>
      <c r="I37" s="209"/>
      <c r="J37" s="91"/>
      <c r="K37" s="423"/>
      <c r="L37" s="423"/>
      <c r="M37" s="423"/>
      <c r="N37" s="423"/>
    </row>
    <row r="38" spans="1:14" ht="14.25" customHeight="1">
      <c r="A38" s="207"/>
      <c r="B38" s="208"/>
      <c r="C38" s="208"/>
      <c r="D38" s="208"/>
      <c r="E38" s="208"/>
      <c r="F38" s="208"/>
      <c r="G38" s="208"/>
      <c r="H38" s="208"/>
      <c r="I38" s="209"/>
      <c r="J38" s="91"/>
      <c r="K38" s="423"/>
      <c r="L38" s="423"/>
      <c r="M38" s="423"/>
      <c r="N38" s="423"/>
    </row>
    <row r="39" spans="1:14">
      <c r="A39" s="207"/>
      <c r="B39" s="208"/>
      <c r="C39" s="208"/>
      <c r="D39" s="208"/>
      <c r="E39" s="208"/>
      <c r="F39" s="208"/>
      <c r="G39" s="208"/>
      <c r="H39" s="208"/>
      <c r="I39" s="209"/>
      <c r="J39" s="91"/>
      <c r="K39" s="423"/>
      <c r="L39" s="423"/>
      <c r="M39" s="423"/>
      <c r="N39" s="423"/>
    </row>
    <row r="40" spans="1:14">
      <c r="A40" s="207"/>
      <c r="B40" s="208"/>
      <c r="C40" s="208"/>
      <c r="D40" s="208"/>
      <c r="E40" s="208"/>
      <c r="F40" s="208"/>
      <c r="G40" s="208"/>
      <c r="H40" s="208"/>
      <c r="I40" s="209"/>
      <c r="J40" s="91"/>
      <c r="K40" s="423"/>
      <c r="L40" s="423"/>
      <c r="M40" s="423"/>
      <c r="N40" s="423"/>
    </row>
    <row r="41" spans="1:14">
      <c r="A41" s="207"/>
      <c r="B41" s="208"/>
      <c r="C41" s="208"/>
      <c r="D41" s="208"/>
      <c r="E41" s="208"/>
      <c r="F41" s="208"/>
      <c r="G41" s="208"/>
      <c r="H41" s="208"/>
      <c r="I41" s="209"/>
      <c r="J41" s="91"/>
      <c r="K41" s="91"/>
      <c r="L41" s="91"/>
      <c r="M41" s="91"/>
      <c r="N41" s="91"/>
    </row>
    <row r="42" spans="1:14">
      <c r="A42" s="207"/>
      <c r="B42" s="208"/>
      <c r="C42" s="208"/>
      <c r="D42" s="208"/>
      <c r="E42" s="208"/>
      <c r="F42" s="208"/>
      <c r="G42" s="208"/>
      <c r="H42" s="208"/>
      <c r="I42" s="209"/>
      <c r="J42" s="91"/>
      <c r="K42" s="91"/>
      <c r="L42" s="91"/>
      <c r="M42" s="91"/>
      <c r="N42" s="91"/>
    </row>
    <row r="43" spans="1:14">
      <c r="A43" s="207"/>
      <c r="B43" s="208"/>
      <c r="C43" s="208"/>
      <c r="D43" s="208"/>
      <c r="E43" s="208"/>
      <c r="F43" s="208"/>
      <c r="G43" s="208"/>
      <c r="H43" s="208"/>
      <c r="I43" s="209"/>
      <c r="J43" s="91"/>
      <c r="K43" s="91"/>
      <c r="L43" s="91"/>
      <c r="M43" s="91"/>
      <c r="N43" s="91"/>
    </row>
    <row r="44" spans="1:14">
      <c r="A44" s="207"/>
      <c r="B44" s="208"/>
      <c r="C44" s="208"/>
      <c r="D44" s="208"/>
      <c r="E44" s="208"/>
      <c r="F44" s="208"/>
      <c r="G44" s="208"/>
      <c r="H44" s="208"/>
      <c r="I44" s="209"/>
      <c r="J44" s="91"/>
      <c r="K44" s="91"/>
      <c r="L44" s="91"/>
      <c r="M44" s="91"/>
      <c r="N44" s="91"/>
    </row>
    <row r="45" spans="1:14">
      <c r="A45" s="207"/>
      <c r="B45" s="208"/>
      <c r="C45" s="208"/>
      <c r="D45" s="208"/>
      <c r="E45" s="208"/>
      <c r="F45" s="208"/>
      <c r="G45" s="208"/>
      <c r="H45" s="208"/>
      <c r="I45" s="209"/>
      <c r="J45" s="91"/>
      <c r="K45" s="91"/>
      <c r="L45" s="91"/>
      <c r="M45" s="91"/>
      <c r="N45" s="91"/>
    </row>
    <row r="46" spans="1:14">
      <c r="A46" s="207"/>
      <c r="B46" s="208"/>
      <c r="C46" s="208"/>
      <c r="D46" s="208"/>
      <c r="E46" s="208"/>
      <c r="F46" s="208"/>
      <c r="G46" s="208"/>
      <c r="H46" s="208"/>
      <c r="I46" s="209"/>
      <c r="J46" s="91"/>
      <c r="K46" s="91"/>
      <c r="L46" s="91"/>
      <c r="M46" s="91"/>
      <c r="N46" s="91"/>
    </row>
    <row r="47" spans="1:14">
      <c r="A47" s="207"/>
      <c r="B47" s="208"/>
      <c r="C47" s="208"/>
      <c r="D47" s="208"/>
      <c r="E47" s="208"/>
      <c r="F47" s="208"/>
      <c r="G47" s="208"/>
      <c r="H47" s="208"/>
      <c r="I47" s="209"/>
      <c r="J47" s="91"/>
      <c r="K47" s="91"/>
      <c r="L47" s="91"/>
      <c r="M47" s="91"/>
      <c r="N47" s="91"/>
    </row>
    <row r="48" spans="1:14">
      <c r="A48" s="207"/>
      <c r="B48" s="208"/>
      <c r="C48" s="208"/>
      <c r="D48" s="208"/>
      <c r="E48" s="208"/>
      <c r="F48" s="208"/>
      <c r="G48" s="208"/>
      <c r="H48" s="208"/>
      <c r="I48" s="209"/>
      <c r="J48" s="91"/>
      <c r="K48" s="91"/>
      <c r="L48" s="91"/>
      <c r="M48" s="91"/>
      <c r="N48" s="91"/>
    </row>
    <row r="49" spans="1:9">
      <c r="A49" s="207"/>
      <c r="B49" s="208"/>
      <c r="C49" s="208"/>
      <c r="D49" s="208"/>
      <c r="E49" s="208"/>
      <c r="F49" s="208"/>
      <c r="G49" s="208"/>
      <c r="H49" s="208"/>
      <c r="I49" s="209"/>
    </row>
    <row r="50" spans="1:9">
      <c r="A50" s="207"/>
      <c r="B50" s="208"/>
      <c r="C50" s="208"/>
      <c r="D50" s="208"/>
      <c r="E50" s="208"/>
      <c r="F50" s="208"/>
      <c r="G50" s="208"/>
      <c r="H50" s="208"/>
      <c r="I50" s="209"/>
    </row>
    <row r="51" spans="1:9">
      <c r="A51" s="207"/>
      <c r="B51" s="208"/>
      <c r="C51" s="208"/>
      <c r="D51" s="208"/>
      <c r="E51" s="208"/>
      <c r="F51" s="208"/>
      <c r="G51" s="208"/>
      <c r="H51" s="208"/>
      <c r="I51" s="209"/>
    </row>
    <row r="52" spans="1:9">
      <c r="A52" s="210"/>
      <c r="B52" s="211"/>
      <c r="C52" s="211"/>
      <c r="D52" s="211"/>
      <c r="E52" s="211"/>
      <c r="F52" s="211"/>
      <c r="G52" s="211"/>
      <c r="H52" s="211"/>
      <c r="I52" s="212"/>
    </row>
    <row r="53" spans="1:9">
      <c r="A53" s="91"/>
      <c r="B53" s="91"/>
      <c r="C53" s="364"/>
      <c r="D53" s="91"/>
      <c r="E53" s="91"/>
      <c r="F53" s="91"/>
      <c r="G53" s="91"/>
      <c r="H53" s="91"/>
      <c r="I53" s="91"/>
    </row>
    <row r="66" spans="6:6">
      <c r="F66" s="3"/>
    </row>
  </sheetData>
  <mergeCells count="3">
    <mergeCell ref="A31:I52"/>
    <mergeCell ref="K31:N40"/>
    <mergeCell ref="A5:I27"/>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0"/>
  <sheetViews>
    <sheetView showGridLines="0" view="pageBreakPreview" zoomScale="60" zoomScaleNormal="100" workbookViewId="0">
      <selection activeCell="C54" sqref="C54"/>
    </sheetView>
  </sheetViews>
  <sheetFormatPr defaultColWidth="9.28515625" defaultRowHeight="15"/>
  <cols>
    <col min="1" max="8" width="9.28515625" style="2"/>
    <col min="9" max="9" width="14.28515625" style="2" customWidth="1"/>
    <col min="10" max="16384" width="9.28515625" style="2"/>
  </cols>
  <sheetData>
    <row r="1" spans="1:10" ht="15.6">
      <c r="A1" s="33">
        <f>+'Cover Page'!C39</f>
        <v>2022</v>
      </c>
      <c r="B1" s="34" t="s">
        <v>150</v>
      </c>
      <c r="C1" s="34"/>
      <c r="D1" s="34"/>
      <c r="E1" s="34"/>
      <c r="F1" s="34"/>
      <c r="G1" s="34"/>
      <c r="H1" s="34"/>
      <c r="I1" s="34"/>
      <c r="J1" s="34"/>
    </row>
    <row r="2" spans="1:10" ht="8.25" customHeight="1">
      <c r="A2" s="91"/>
      <c r="B2" s="91"/>
      <c r="C2" s="91"/>
      <c r="D2" s="91"/>
      <c r="E2" s="91"/>
      <c r="F2" s="91"/>
      <c r="G2" s="91"/>
      <c r="H2" s="91"/>
      <c r="I2" s="91"/>
      <c r="J2" s="91"/>
    </row>
    <row r="3" spans="1:10" s="3" customFormat="1" ht="13.9">
      <c r="A3" s="230" t="str">
        <f>+'Cover Page'!B31</f>
        <v>Permit EPR/HP3247QS</v>
      </c>
      <c r="B3" s="230"/>
      <c r="C3" s="230"/>
      <c r="D3" s="230"/>
      <c r="E3" s="230"/>
      <c r="F3" s="3" t="s">
        <v>151</v>
      </c>
      <c r="G3" s="231">
        <f>+'Cover Page'!B37:I37</f>
        <v>0</v>
      </c>
      <c r="H3" s="231"/>
      <c r="I3" s="231"/>
    </row>
    <row r="4" spans="1:10" s="3" customFormat="1" ht="13.9">
      <c r="A4" s="3" t="s">
        <v>152</v>
      </c>
      <c r="B4" s="230" t="str">
        <f>+'Cover Page'!B33:I33</f>
        <v>Dudley Energy from Waste Facility</v>
      </c>
      <c r="C4" s="230"/>
      <c r="D4" s="230"/>
      <c r="E4" s="230"/>
      <c r="F4" s="3" t="s">
        <v>153</v>
      </c>
      <c r="G4" s="3" t="s">
        <v>154</v>
      </c>
    </row>
    <row r="5" spans="1:10" s="3" customFormat="1" ht="6.75" customHeight="1"/>
    <row r="6" spans="1:10" s="3" customFormat="1" ht="15.75" customHeight="1">
      <c r="A6" s="3" t="s">
        <v>155</v>
      </c>
      <c r="D6" s="234">
        <v>44562</v>
      </c>
      <c r="E6" s="234"/>
      <c r="F6" s="35" t="s">
        <v>156</v>
      </c>
      <c r="G6" s="234">
        <v>44926</v>
      </c>
      <c r="H6" s="234"/>
    </row>
    <row r="7" spans="1:10" s="3" customFormat="1" ht="7.5" customHeight="1"/>
    <row r="8" spans="1:10" s="3" customFormat="1" ht="15.6">
      <c r="A8" s="9">
        <f>+A1</f>
        <v>2022</v>
      </c>
      <c r="B8" s="34" t="s">
        <v>157</v>
      </c>
      <c r="C8"/>
      <c r="D8"/>
      <c r="E8"/>
      <c r="F8"/>
      <c r="G8"/>
    </row>
    <row r="9" spans="1:10" s="3" customFormat="1" ht="28.5" customHeight="1">
      <c r="A9" s="232" t="s">
        <v>158</v>
      </c>
      <c r="B9" s="233"/>
      <c r="C9" s="232" t="s">
        <v>159</v>
      </c>
      <c r="D9" s="233"/>
      <c r="E9" s="232" t="s">
        <v>160</v>
      </c>
      <c r="F9" s="233"/>
      <c r="G9" s="232" t="s">
        <v>161</v>
      </c>
      <c r="H9" s="233"/>
      <c r="I9" s="232" t="s">
        <v>162</v>
      </c>
      <c r="J9" s="233"/>
    </row>
    <row r="10" spans="1:10" s="3" customFormat="1" ht="21.6" customHeight="1">
      <c r="A10" s="424" t="s">
        <v>163</v>
      </c>
      <c r="B10" s="425"/>
      <c r="C10" s="424"/>
      <c r="D10" s="425"/>
      <c r="E10" s="424"/>
      <c r="F10" s="425"/>
      <c r="G10" s="424"/>
      <c r="H10" s="425"/>
      <c r="I10" s="424"/>
      <c r="J10" s="425"/>
    </row>
    <row r="11" spans="1:10" s="3" customFormat="1" ht="14.25" customHeight="1">
      <c r="A11" s="426" t="s">
        <v>164</v>
      </c>
      <c r="B11" s="427"/>
      <c r="C11" s="424"/>
      <c r="D11" s="425"/>
      <c r="E11" s="424">
        <f>'Operational Data'!G31</f>
        <v>3109</v>
      </c>
      <c r="F11" s="425"/>
      <c r="G11" s="424">
        <v>0</v>
      </c>
      <c r="H11" s="425"/>
      <c r="I11" s="428">
        <f>IF((E11+G11)&gt;0,(E11+G11)/'Operational Data'!$G$18, "-")</f>
        <v>4.2414155332123712E-2</v>
      </c>
      <c r="J11" s="429"/>
    </row>
    <row r="12" spans="1:10" s="3" customFormat="1" ht="14.25" customHeight="1">
      <c r="A12" s="426" t="s">
        <v>165</v>
      </c>
      <c r="B12" s="427"/>
      <c r="C12" s="424"/>
      <c r="D12" s="425"/>
      <c r="E12" s="424">
        <v>0</v>
      </c>
      <c r="F12" s="425"/>
      <c r="G12" s="424">
        <v>0</v>
      </c>
      <c r="H12" s="425"/>
      <c r="I12" s="428" t="str">
        <f>IF((E12+G12)&gt;0,(E12+G12)/'Operational Data'!$G$18, "-")</f>
        <v>-</v>
      </c>
      <c r="J12" s="429"/>
    </row>
    <row r="13" spans="1:10" s="3" customFormat="1" ht="24.6" customHeight="1">
      <c r="A13" s="426" t="s">
        <v>166</v>
      </c>
      <c r="B13" s="427"/>
      <c r="C13" s="424"/>
      <c r="D13" s="425"/>
      <c r="E13" s="424">
        <f>SUM(E11:F12)</f>
        <v>3109</v>
      </c>
      <c r="F13" s="425"/>
      <c r="G13" s="424">
        <f>SUM(G11:H12)</f>
        <v>0</v>
      </c>
      <c r="H13" s="425"/>
      <c r="I13" s="428">
        <f>IF((E13+G13)&gt;0,(E13+G13)/'Operational Data'!$G$18, "-")</f>
        <v>4.2414155332123712E-2</v>
      </c>
      <c r="J13" s="429"/>
    </row>
    <row r="14" spans="1:10" s="3" customFormat="1" ht="14.25" customHeight="1">
      <c r="A14" s="430"/>
      <c r="B14" s="431"/>
      <c r="C14" s="431"/>
      <c r="D14" s="431"/>
      <c r="E14" s="432"/>
      <c r="F14" s="432"/>
      <c r="G14" s="432"/>
      <c r="H14" s="432"/>
      <c r="I14" s="431"/>
      <c r="J14" s="433"/>
    </row>
    <row r="15" spans="1:10" s="3" customFormat="1" ht="14.25" customHeight="1">
      <c r="A15" s="426" t="s">
        <v>167</v>
      </c>
      <c r="B15" s="427"/>
      <c r="C15" s="424"/>
      <c r="D15" s="425"/>
      <c r="E15" s="424"/>
      <c r="F15" s="425"/>
      <c r="G15" s="424"/>
      <c r="H15" s="425"/>
      <c r="I15" s="424"/>
      <c r="J15" s="425"/>
    </row>
    <row r="16" spans="1:10" ht="14.25" customHeight="1">
      <c r="A16" s="426" t="s">
        <v>165</v>
      </c>
      <c r="B16" s="427"/>
      <c r="C16" s="424"/>
      <c r="D16" s="425"/>
      <c r="E16" s="424">
        <v>0</v>
      </c>
      <c r="F16" s="425"/>
      <c r="G16" s="424">
        <f>'Operational Data'!G32</f>
        <v>16013</v>
      </c>
      <c r="H16" s="425"/>
      <c r="I16" s="428">
        <f>IF((E16+G16)&gt;0,(E16+G16)/'Operational Data'!$G$18, "-")</f>
        <v>0.2184554098852676</v>
      </c>
      <c r="J16" s="429"/>
    </row>
    <row r="17" spans="1:10" s="3" customFormat="1" ht="14.25" customHeight="1">
      <c r="A17" s="426" t="s">
        <v>168</v>
      </c>
      <c r="B17" s="427"/>
      <c r="C17" s="424"/>
      <c r="D17" s="425"/>
      <c r="E17" s="424">
        <v>0</v>
      </c>
      <c r="F17" s="425"/>
      <c r="G17" s="424">
        <f>'Operational Data'!G33</f>
        <v>1628</v>
      </c>
      <c r="H17" s="425"/>
      <c r="I17" s="428">
        <f>IF((E17+G17)&gt;0,(E17+G17)/'Operational Data'!$G$18, "-")</f>
        <v>2.2209792499420199E-2</v>
      </c>
      <c r="J17" s="429"/>
    </row>
    <row r="18" spans="1:10" s="3" customFormat="1" ht="14.25" customHeight="1">
      <c r="A18" s="426" t="s">
        <v>169</v>
      </c>
      <c r="B18" s="427"/>
      <c r="C18" s="424"/>
      <c r="D18" s="425"/>
      <c r="E18" s="424">
        <v>0</v>
      </c>
      <c r="F18" s="425"/>
      <c r="G18" s="424">
        <v>0</v>
      </c>
      <c r="H18" s="425"/>
      <c r="I18" s="428" t="str">
        <f>IF((E18+G18)&gt;0,(E18+G18)/'Operational Data'!$G$18, "-")</f>
        <v>-</v>
      </c>
      <c r="J18" s="429"/>
    </row>
    <row r="19" spans="1:10" s="3" customFormat="1" ht="14.25" customHeight="1">
      <c r="A19" s="426"/>
      <c r="B19" s="427"/>
      <c r="C19" s="424"/>
      <c r="D19" s="425"/>
      <c r="E19" s="424"/>
      <c r="F19" s="425"/>
      <c r="G19" s="424"/>
      <c r="H19" s="425"/>
      <c r="I19" s="428" t="str">
        <f>IF((E19+G19)&gt;0,(E19+G19)/'Operational Data'!$G$18, "-")</f>
        <v>-</v>
      </c>
      <c r="J19" s="429"/>
    </row>
    <row r="20" spans="1:10" s="3" customFormat="1" ht="14.25" customHeight="1">
      <c r="A20" s="426"/>
      <c r="B20" s="427"/>
      <c r="C20" s="424"/>
      <c r="D20" s="425"/>
      <c r="E20" s="424"/>
      <c r="F20" s="425"/>
      <c r="G20" s="424"/>
      <c r="H20" s="425"/>
      <c r="I20" s="428" t="str">
        <f>IF((E20+G20)&gt;0,(E20+G20)/'Operational Data'!$G$18, "-")</f>
        <v>-</v>
      </c>
      <c r="J20" s="429"/>
    </row>
    <row r="21" spans="1:10" s="3" customFormat="1" ht="27.6" customHeight="1">
      <c r="A21" s="426" t="s">
        <v>170</v>
      </c>
      <c r="B21" s="427"/>
      <c r="C21" s="424"/>
      <c r="D21" s="425"/>
      <c r="E21" s="424">
        <f>SUM(E16:F20)</f>
        <v>0</v>
      </c>
      <c r="F21" s="425"/>
      <c r="G21" s="424">
        <f>SUM(G16:H20)</f>
        <v>17641</v>
      </c>
      <c r="H21" s="425"/>
      <c r="I21" s="428">
        <f>IF((E21+G21)&gt;0,(E21+G21)/'Operational Data'!$G$18, "-")</f>
        <v>0.2406652023846878</v>
      </c>
      <c r="J21" s="429"/>
    </row>
    <row r="22" spans="1:10" s="3" customFormat="1" ht="14.25" customHeight="1">
      <c r="A22" s="235" t="s">
        <v>171</v>
      </c>
      <c r="B22" s="236"/>
      <c r="C22" s="237"/>
      <c r="D22" s="238"/>
      <c r="E22" s="424">
        <f>+E21+E13</f>
        <v>3109</v>
      </c>
      <c r="F22" s="425"/>
      <c r="G22" s="424">
        <f>+G21+G13</f>
        <v>17641</v>
      </c>
      <c r="H22" s="425"/>
      <c r="I22" s="428">
        <f>IF((E22+G22)&gt;0,(E22+G22)/'Operational Data'!$G$18, "-")</f>
        <v>0.28307935771681153</v>
      </c>
      <c r="J22" s="429"/>
    </row>
    <row r="23" spans="1:10" s="3" customFormat="1" ht="8.25" customHeight="1">
      <c r="A23" s="434"/>
      <c r="B23"/>
      <c r="C23"/>
      <c r="D23"/>
      <c r="E23"/>
      <c r="F23"/>
      <c r="G23"/>
    </row>
    <row r="24" spans="1:10" s="3" customFormat="1" ht="14.25" customHeight="1">
      <c r="A24" s="222" t="s">
        <v>172</v>
      </c>
      <c r="B24" s="222"/>
      <c r="C24" s="222"/>
      <c r="D24" s="222"/>
      <c r="E24" s="222"/>
      <c r="F24" s="222"/>
      <c r="G24" s="222"/>
      <c r="H24" s="222"/>
      <c r="I24" s="222"/>
      <c r="J24" s="222"/>
    </row>
    <row r="25" spans="1:10" s="3" customFormat="1" ht="14.25" customHeight="1">
      <c r="A25" s="223"/>
      <c r="B25" s="223"/>
      <c r="C25" s="223"/>
      <c r="D25" s="223"/>
      <c r="E25" s="223"/>
      <c r="F25" s="223"/>
      <c r="G25" s="223"/>
      <c r="H25" s="223"/>
      <c r="I25" s="223"/>
      <c r="J25" s="223"/>
    </row>
    <row r="26" spans="1:10" s="3" customFormat="1" ht="14.25" customHeight="1">
      <c r="A26" s="223"/>
      <c r="B26" s="223"/>
      <c r="C26" s="223"/>
      <c r="D26" s="223"/>
      <c r="E26" s="223"/>
      <c r="F26" s="223"/>
      <c r="G26" s="223"/>
      <c r="H26" s="223"/>
      <c r="I26" s="223"/>
      <c r="J26" s="223"/>
    </row>
    <row r="27" spans="1:10" s="3" customFormat="1" ht="14.25" customHeight="1">
      <c r="A27" s="223"/>
      <c r="B27" s="223"/>
      <c r="C27" s="223"/>
      <c r="D27" s="223"/>
      <c r="E27" s="223"/>
      <c r="F27" s="223"/>
      <c r="G27" s="223"/>
      <c r="H27" s="223"/>
      <c r="I27" s="223"/>
      <c r="J27" s="223"/>
    </row>
    <row r="28" spans="1:10" s="3" customFormat="1" ht="14.25" customHeight="1">
      <c r="A28" s="434"/>
      <c r="B28"/>
      <c r="C28"/>
      <c r="D28"/>
      <c r="E28"/>
      <c r="F28"/>
      <c r="G28"/>
    </row>
    <row r="29" spans="1:10" s="3" customFormat="1" ht="14.25" customHeight="1">
      <c r="A29" s="1">
        <f>+A1</f>
        <v>2022</v>
      </c>
      <c r="B29" s="34" t="s">
        <v>173</v>
      </c>
      <c r="C29" s="34"/>
      <c r="D29" s="34"/>
      <c r="E29" s="34"/>
      <c r="F29" s="34"/>
    </row>
    <row r="30" spans="1:10" s="3" customFormat="1" ht="24.75" customHeight="1">
      <c r="A30" s="225" t="s">
        <v>174</v>
      </c>
      <c r="B30" s="226"/>
      <c r="C30" s="226"/>
      <c r="D30" s="227"/>
      <c r="E30" s="38" t="s">
        <v>175</v>
      </c>
      <c r="F30" s="39"/>
      <c r="G30" s="40" t="s">
        <v>73</v>
      </c>
      <c r="H30" s="228" t="s">
        <v>176</v>
      </c>
      <c r="I30" s="229"/>
      <c r="J30" s="41" t="s">
        <v>73</v>
      </c>
    </row>
    <row r="31" spans="1:10" s="3" customFormat="1" ht="14.25" customHeight="1">
      <c r="A31" s="426" t="s">
        <v>112</v>
      </c>
      <c r="B31" s="435"/>
      <c r="C31" s="435"/>
      <c r="D31" s="427"/>
      <c r="E31" s="424">
        <f>+'Operational Data'!G36</f>
        <v>69631</v>
      </c>
      <c r="F31" s="425"/>
      <c r="G31" s="436" t="s">
        <v>177</v>
      </c>
      <c r="H31" s="437">
        <f>IF(E31&gt;0,E31/'Operational Data'!$G$18,"-")</f>
        <v>0.94993247022550853</v>
      </c>
      <c r="I31" s="438"/>
      <c r="J31" s="436" t="s">
        <v>178</v>
      </c>
    </row>
    <row r="32" spans="1:10" s="3" customFormat="1" ht="14.25" customHeight="1">
      <c r="A32" s="426" t="s">
        <v>179</v>
      </c>
      <c r="B32" s="435"/>
      <c r="C32" s="435"/>
      <c r="D32" s="427"/>
      <c r="E32" s="424">
        <f>+'Operational Data'!G37+'Operational Data'!G36</f>
        <v>69631</v>
      </c>
      <c r="F32" s="425"/>
      <c r="G32" s="436" t="s">
        <v>177</v>
      </c>
      <c r="H32" s="437">
        <f>IF(E32&gt;0,E32/'Operational Data'!$G$18,"-")</f>
        <v>0.94993247022550853</v>
      </c>
      <c r="I32" s="438"/>
      <c r="J32" s="436" t="s">
        <v>178</v>
      </c>
    </row>
    <row r="33" spans="1:10" s="3" customFormat="1" ht="14.25" customHeight="1">
      <c r="A33" s="426" t="s">
        <v>180</v>
      </c>
      <c r="B33" s="435"/>
      <c r="C33" s="435"/>
      <c r="D33" s="427"/>
      <c r="E33" s="424">
        <f>'Operational Data'!G39</f>
        <v>169000</v>
      </c>
      <c r="F33" s="425"/>
      <c r="G33" s="436" t="s">
        <v>181</v>
      </c>
      <c r="H33" s="437">
        <f>IF(E33&gt;0,E33/'Operational Data'!$G$18,"-")</f>
        <v>2.3055619977899346</v>
      </c>
      <c r="I33" s="438"/>
      <c r="J33" s="436" t="s">
        <v>182</v>
      </c>
    </row>
    <row r="34" spans="1:10" s="3" customFormat="1" ht="14.25" customHeight="1">
      <c r="A34" s="426" t="s">
        <v>119</v>
      </c>
      <c r="B34" s="435"/>
      <c r="C34" s="435"/>
      <c r="D34" s="427"/>
      <c r="E34" s="424">
        <f>+'Operational Data'!G40</f>
        <v>11500</v>
      </c>
      <c r="F34" s="425"/>
      <c r="G34" s="436" t="s">
        <v>181</v>
      </c>
      <c r="H34" s="437">
        <f>IF(E34&gt;0,E34/'Operational Data'!$G$18,"-")</f>
        <v>0.15688735487919675</v>
      </c>
      <c r="I34" s="438"/>
      <c r="J34" s="436" t="s">
        <v>182</v>
      </c>
    </row>
    <row r="35" spans="1:10" s="3" customFormat="1" ht="14.25" customHeight="1">
      <c r="A35" s="426" t="s">
        <v>183</v>
      </c>
      <c r="B35" s="435"/>
      <c r="C35" s="435"/>
      <c r="D35" s="427"/>
      <c r="E35" s="424">
        <f>+'Operational Data'!G41</f>
        <v>975020</v>
      </c>
      <c r="F35" s="425"/>
      <c r="G35" s="436" t="s">
        <v>181</v>
      </c>
      <c r="H35" s="437">
        <f>IF(E35&gt;0,E35/'Operational Data'!$G$18,"-")</f>
        <v>13.301592065592557</v>
      </c>
      <c r="I35" s="438"/>
      <c r="J35" s="436" t="s">
        <v>182</v>
      </c>
    </row>
    <row r="36" spans="1:10" s="3" customFormat="1" ht="14.25" customHeight="1">
      <c r="A36" s="271"/>
      <c r="B36" s="272"/>
      <c r="C36" s="272"/>
      <c r="D36" s="273"/>
      <c r="E36" s="274"/>
      <c r="F36" s="298"/>
      <c r="G36" s="439"/>
      <c r="H36" s="440"/>
      <c r="I36" s="441"/>
      <c r="J36" s="439"/>
    </row>
    <row r="37" spans="1:10" s="3" customFormat="1" ht="14.25" customHeight="1">
      <c r="A37" s="222" t="s">
        <v>172</v>
      </c>
      <c r="B37" s="222"/>
      <c r="C37" s="222"/>
      <c r="D37" s="222"/>
      <c r="E37" s="222"/>
      <c r="F37" s="222"/>
      <c r="G37" s="222"/>
      <c r="H37" s="222"/>
      <c r="I37" s="222"/>
      <c r="J37" s="222"/>
    </row>
    <row r="38" spans="1:10" s="3" customFormat="1" ht="14.25" customHeight="1">
      <c r="A38" s="223"/>
      <c r="B38" s="223"/>
      <c r="C38" s="223"/>
      <c r="D38" s="223"/>
      <c r="E38" s="223"/>
      <c r="F38" s="223"/>
      <c r="G38" s="223"/>
      <c r="H38" s="223"/>
      <c r="I38" s="223"/>
      <c r="J38" s="223"/>
    </row>
    <row r="39" spans="1:10" s="3" customFormat="1" ht="14.25" customHeight="1">
      <c r="A39" s="223"/>
      <c r="B39" s="223"/>
      <c r="C39" s="223"/>
      <c r="D39" s="223"/>
      <c r="E39" s="223"/>
      <c r="F39" s="223"/>
      <c r="G39" s="223"/>
      <c r="H39" s="223"/>
      <c r="I39" s="223"/>
      <c r="J39" s="223"/>
    </row>
    <row r="40" spans="1:10" s="3" customFormat="1" ht="14.25" customHeight="1">
      <c r="A40" s="42"/>
      <c r="B40" s="42"/>
      <c r="C40" s="42"/>
      <c r="D40" s="42"/>
      <c r="E40" s="42"/>
      <c r="F40" s="42"/>
      <c r="G40" s="42"/>
      <c r="H40" s="42"/>
      <c r="I40" s="42"/>
      <c r="J40" s="42"/>
    </row>
    <row r="41" spans="1:10" s="3" customFormat="1" ht="14.25" customHeight="1">
      <c r="A41" s="34">
        <f>+A29</f>
        <v>2022</v>
      </c>
      <c r="B41" s="34" t="s">
        <v>184</v>
      </c>
      <c r="C41" s="34"/>
      <c r="D41" s="34"/>
      <c r="E41" s="34"/>
      <c r="F41" s="34"/>
      <c r="G41" s="91"/>
    </row>
    <row r="42" spans="1:10" ht="14.25" customHeight="1">
      <c r="A42" s="224" t="s">
        <v>185</v>
      </c>
      <c r="B42" s="224"/>
      <c r="C42" s="224" t="s">
        <v>186</v>
      </c>
      <c r="D42" s="224"/>
      <c r="E42" s="224"/>
      <c r="F42" s="224"/>
      <c r="G42" s="224"/>
      <c r="H42" s="224"/>
      <c r="I42" s="224"/>
      <c r="J42" s="224"/>
    </row>
    <row r="43" spans="1:10" ht="14.25" customHeight="1">
      <c r="A43" s="43"/>
      <c r="B43" s="43"/>
      <c r="C43" s="36" t="s">
        <v>187</v>
      </c>
      <c r="D43" s="36" t="s">
        <v>188</v>
      </c>
      <c r="E43" s="36"/>
      <c r="F43" s="36"/>
      <c r="G43" s="36"/>
      <c r="H43" s="36"/>
      <c r="I43" s="36" t="s">
        <v>189</v>
      </c>
      <c r="J43" s="36"/>
    </row>
    <row r="44" spans="1:10" ht="31.5" customHeight="1">
      <c r="A44" s="308" t="s">
        <v>190</v>
      </c>
      <c r="B44" s="308"/>
      <c r="C44" s="442">
        <f>'Operational Data'!G50</f>
        <v>7983.25</v>
      </c>
      <c r="D44" s="442">
        <f>'Operational Data'!G51</f>
        <v>8084.8</v>
      </c>
      <c r="E44" s="442"/>
      <c r="F44" s="443"/>
      <c r="G44" s="443"/>
      <c r="H44" s="443"/>
      <c r="I44" s="443">
        <f>'Operational Data'!G53</f>
        <v>51016.25</v>
      </c>
      <c r="J44" s="444"/>
    </row>
    <row r="45" spans="1:10" ht="43.5" customHeight="1">
      <c r="A45" s="308" t="s">
        <v>191</v>
      </c>
      <c r="B45" s="308"/>
      <c r="C45" s="442">
        <v>1</v>
      </c>
      <c r="D45" s="442">
        <v>1</v>
      </c>
      <c r="E45" s="442"/>
      <c r="F45" s="443"/>
      <c r="G45" s="443"/>
      <c r="H45" s="443"/>
      <c r="I45" s="443"/>
      <c r="J45" s="444"/>
    </row>
    <row r="46" spans="1:10" ht="42.75" customHeight="1">
      <c r="A46" s="308" t="s">
        <v>192</v>
      </c>
      <c r="B46" s="308"/>
      <c r="C46" s="442">
        <v>0.5</v>
      </c>
      <c r="D46" s="442">
        <v>0.5</v>
      </c>
      <c r="E46" s="442"/>
      <c r="F46" s="443"/>
      <c r="G46" s="443"/>
      <c r="H46" s="443"/>
      <c r="I46" s="443"/>
      <c r="J46" s="444"/>
    </row>
    <row r="47" spans="1:10" ht="8.25" customHeight="1">
      <c r="A47" s="91"/>
      <c r="B47" s="91"/>
      <c r="C47" s="91"/>
      <c r="D47" s="91"/>
      <c r="E47" s="91"/>
      <c r="F47" s="91"/>
      <c r="G47" s="91"/>
      <c r="H47" s="91"/>
      <c r="I47" s="91"/>
      <c r="J47" s="91"/>
    </row>
    <row r="48" spans="1:10">
      <c r="A48" s="222" t="s">
        <v>172</v>
      </c>
      <c r="B48" s="222"/>
      <c r="C48" s="222"/>
      <c r="D48" s="222"/>
      <c r="E48" s="222"/>
      <c r="F48" s="222"/>
      <c r="G48" s="222"/>
      <c r="H48" s="222"/>
      <c r="I48" s="222"/>
      <c r="J48" s="222"/>
    </row>
    <row r="49" spans="1:10">
      <c r="A49" s="223"/>
      <c r="B49" s="223"/>
      <c r="C49" s="223"/>
      <c r="D49" s="223"/>
      <c r="E49" s="223"/>
      <c r="F49" s="223"/>
      <c r="G49" s="223"/>
      <c r="H49" s="223"/>
      <c r="I49" s="223"/>
      <c r="J49" s="223"/>
    </row>
    <row r="50" spans="1:10">
      <c r="A50" s="223"/>
      <c r="B50" s="223"/>
      <c r="C50" s="223"/>
      <c r="D50" s="223"/>
      <c r="E50" s="223"/>
      <c r="F50" s="223"/>
      <c r="G50" s="223"/>
      <c r="H50" s="223"/>
      <c r="I50" s="223"/>
      <c r="J50" s="223"/>
    </row>
    <row r="51" spans="1:10">
      <c r="A51" s="91"/>
      <c r="B51" s="91"/>
      <c r="C51" s="364"/>
      <c r="D51" s="91"/>
      <c r="E51" s="91"/>
      <c r="F51" s="91"/>
      <c r="G51" s="91"/>
      <c r="H51" s="91"/>
      <c r="I51" s="91"/>
      <c r="J51" s="91"/>
    </row>
    <row r="52" spans="1:10">
      <c r="A52" s="3" t="s">
        <v>193</v>
      </c>
      <c r="B52" s="44"/>
      <c r="C52" s="44"/>
      <c r="D52" s="44"/>
      <c r="E52" s="44"/>
      <c r="F52" s="3"/>
      <c r="G52" s="3" t="s">
        <v>194</v>
      </c>
      <c r="H52" s="44"/>
      <c r="I52" s="44"/>
      <c r="J52" s="91"/>
    </row>
    <row r="60" spans="1:10">
      <c r="A60" s="91"/>
      <c r="B60" s="91"/>
      <c r="C60" s="91"/>
      <c r="D60" s="91"/>
      <c r="E60" s="91"/>
      <c r="F60" s="3"/>
      <c r="G60" s="91"/>
      <c r="H60" s="91"/>
      <c r="I60" s="91"/>
      <c r="J60" s="91"/>
    </row>
  </sheetData>
  <mergeCells count="101">
    <mergeCell ref="I11:J11"/>
    <mergeCell ref="I12:J12"/>
    <mergeCell ref="I13:J13"/>
    <mergeCell ref="I15:J15"/>
    <mergeCell ref="I16:J16"/>
    <mergeCell ref="I22:J22"/>
    <mergeCell ref="I17:J17"/>
    <mergeCell ref="I18:J18"/>
    <mergeCell ref="I19:J19"/>
    <mergeCell ref="I20:J20"/>
    <mergeCell ref="I21:J21"/>
    <mergeCell ref="E17:F17"/>
    <mergeCell ref="E18:F18"/>
    <mergeCell ref="E19:F19"/>
    <mergeCell ref="E20:F20"/>
    <mergeCell ref="E21:F21"/>
    <mergeCell ref="E22:F22"/>
    <mergeCell ref="C21:D21"/>
    <mergeCell ref="C22:D22"/>
    <mergeCell ref="G9:H9"/>
    <mergeCell ref="G10:H10"/>
    <mergeCell ref="G11:H11"/>
    <mergeCell ref="G12:H12"/>
    <mergeCell ref="G13:H13"/>
    <mergeCell ref="G15:H15"/>
    <mergeCell ref="G16:H16"/>
    <mergeCell ref="G17:H17"/>
    <mergeCell ref="G18:H18"/>
    <mergeCell ref="G19:H19"/>
    <mergeCell ref="G20:H20"/>
    <mergeCell ref="G21:H21"/>
    <mergeCell ref="G22:H22"/>
    <mergeCell ref="A22:B22"/>
    <mergeCell ref="C15:D15"/>
    <mergeCell ref="C16:D16"/>
    <mergeCell ref="C17:D17"/>
    <mergeCell ref="C18:D18"/>
    <mergeCell ref="C19:D19"/>
    <mergeCell ref="C20:D20"/>
    <mergeCell ref="A17:B17"/>
    <mergeCell ref="A18:B18"/>
    <mergeCell ref="A19:B19"/>
    <mergeCell ref="A20:B20"/>
    <mergeCell ref="A21:B21"/>
    <mergeCell ref="C11:D11"/>
    <mergeCell ref="C12:D12"/>
    <mergeCell ref="C13:D13"/>
    <mergeCell ref="E11:F11"/>
    <mergeCell ref="E12:F12"/>
    <mergeCell ref="E13:F13"/>
    <mergeCell ref="A15:B15"/>
    <mergeCell ref="A16:B16"/>
    <mergeCell ref="E15:F15"/>
    <mergeCell ref="E16:F16"/>
    <mergeCell ref="A11:B11"/>
    <mergeCell ref="A12:B12"/>
    <mergeCell ref="A13:B13"/>
    <mergeCell ref="A3:E3"/>
    <mergeCell ref="G3:I3"/>
    <mergeCell ref="B4:E4"/>
    <mergeCell ref="A9:B9"/>
    <mergeCell ref="A10:B10"/>
    <mergeCell ref="E9:F9"/>
    <mergeCell ref="E10:F10"/>
    <mergeCell ref="I9:J9"/>
    <mergeCell ref="I10:J10"/>
    <mergeCell ref="D6:E6"/>
    <mergeCell ref="G6:H6"/>
    <mergeCell ref="C9:D9"/>
    <mergeCell ref="C10:D10"/>
    <mergeCell ref="A32:D32"/>
    <mergeCell ref="E32:F32"/>
    <mergeCell ref="H32:I32"/>
    <mergeCell ref="A24:J24"/>
    <mergeCell ref="A25:J27"/>
    <mergeCell ref="A30:D30"/>
    <mergeCell ref="H30:I30"/>
    <mergeCell ref="A31:D31"/>
    <mergeCell ref="E31:F31"/>
    <mergeCell ref="H31:I31"/>
    <mergeCell ref="A35:D35"/>
    <mergeCell ref="E35:F35"/>
    <mergeCell ref="H35:I35"/>
    <mergeCell ref="A36:D36"/>
    <mergeCell ref="E36:F36"/>
    <mergeCell ref="H36:I36"/>
    <mergeCell ref="A33:D33"/>
    <mergeCell ref="E33:F33"/>
    <mergeCell ref="H33:I33"/>
    <mergeCell ref="A34:D34"/>
    <mergeCell ref="E34:F34"/>
    <mergeCell ref="H34:I34"/>
    <mergeCell ref="A46:B46"/>
    <mergeCell ref="A48:J48"/>
    <mergeCell ref="A49:J50"/>
    <mergeCell ref="A37:J37"/>
    <mergeCell ref="A38:J39"/>
    <mergeCell ref="A42:B42"/>
    <mergeCell ref="C42:J42"/>
    <mergeCell ref="A44:B44"/>
    <mergeCell ref="A45:B45"/>
  </mergeCells>
  <pageMargins left="0.7" right="0.7" top="0.75" bottom="0.75" header="0.3" footer="0.3"/>
  <pageSetup paperSize="9" scale="84"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view="pageBreakPreview" zoomScale="60" zoomScaleNormal="100" workbookViewId="0">
      <selection activeCell="C54" sqref="C54"/>
    </sheetView>
  </sheetViews>
  <sheetFormatPr defaultColWidth="9.28515625" defaultRowHeight="15"/>
  <cols>
    <col min="1" max="1" width="9.42578125" style="2" bestFit="1" customWidth="1"/>
    <col min="2" max="8" width="9.28515625" style="2"/>
    <col min="9" max="9" width="14.28515625" style="2" customWidth="1"/>
    <col min="10" max="16384" width="9.28515625" style="2"/>
  </cols>
  <sheetData>
    <row r="1" spans="1:10" ht="15.6">
      <c r="A1" s="33">
        <f>+'Cover Page'!C39</f>
        <v>2022</v>
      </c>
      <c r="B1" s="34" t="s">
        <v>195</v>
      </c>
      <c r="C1" s="34"/>
      <c r="D1" s="34"/>
      <c r="E1" s="34"/>
      <c r="F1" s="34"/>
      <c r="G1" s="34"/>
      <c r="H1" s="34"/>
      <c r="I1" s="34"/>
      <c r="J1" s="34"/>
    </row>
    <row r="3" spans="1:10" s="3" customFormat="1" ht="15" customHeight="1">
      <c r="A3" s="3" t="str">
        <f>+'Cover Page'!B31</f>
        <v>Permit EPR/HP3247QS</v>
      </c>
      <c r="F3" s="3" t="s">
        <v>151</v>
      </c>
      <c r="G3" s="239">
        <f>+'Cover Page'!B37:I37</f>
        <v>0</v>
      </c>
      <c r="H3" s="239"/>
      <c r="I3" s="239"/>
    </row>
    <row r="4" spans="1:10" s="3" customFormat="1" ht="13.9"/>
    <row r="5" spans="1:10" s="3" customFormat="1" ht="13.9">
      <c r="A5" s="3" t="s">
        <v>152</v>
      </c>
      <c r="B5" s="230" t="str">
        <f>+'Cover Page'!B33:I33</f>
        <v>Dudley Energy from Waste Facility</v>
      </c>
      <c r="C5" s="230"/>
      <c r="D5" s="230"/>
      <c r="E5" s="230"/>
      <c r="F5" s="3" t="s">
        <v>153</v>
      </c>
      <c r="G5" s="3" t="s">
        <v>196</v>
      </c>
    </row>
    <row r="6" spans="1:10" s="3" customFormat="1" ht="13.9"/>
    <row r="7" spans="1:10" s="3" customFormat="1" ht="15.75" customHeight="1">
      <c r="A7" s="3" t="s">
        <v>155</v>
      </c>
      <c r="D7" s="241">
        <f>+'Perf. Form 1'!D6:E6</f>
        <v>44562</v>
      </c>
      <c r="E7" s="241"/>
      <c r="F7" s="35" t="s">
        <v>156</v>
      </c>
      <c r="G7" s="241">
        <f>+'Perf. Form 1'!G6:H6</f>
        <v>44926</v>
      </c>
      <c r="H7" s="241"/>
    </row>
    <row r="8" spans="1:10" s="3" customFormat="1" ht="14.45">
      <c r="B8"/>
      <c r="C8"/>
      <c r="D8"/>
    </row>
    <row r="9" spans="1:10" s="3" customFormat="1" ht="37.5" customHeight="1">
      <c r="A9" s="232" t="s">
        <v>197</v>
      </c>
      <c r="B9" s="240"/>
      <c r="C9" s="233"/>
      <c r="D9" s="232" t="s">
        <v>198</v>
      </c>
      <c r="E9" s="233"/>
      <c r="F9" s="43" t="s">
        <v>73</v>
      </c>
      <c r="G9" s="232" t="s">
        <v>199</v>
      </c>
      <c r="H9" s="240"/>
      <c r="I9" s="233"/>
    </row>
    <row r="10" spans="1:10" s="3" customFormat="1" ht="24.75" customHeight="1">
      <c r="A10" s="424" t="s">
        <v>200</v>
      </c>
      <c r="B10" s="445"/>
      <c r="C10" s="425"/>
      <c r="D10" s="446">
        <f>+'Operational Data'!G21</f>
        <v>40862</v>
      </c>
      <c r="E10" s="447"/>
      <c r="F10" s="448" t="s">
        <v>96</v>
      </c>
      <c r="G10" s="449">
        <f>+'Operational Data'!H21</f>
        <v>557.45487783249882</v>
      </c>
      <c r="H10" s="450"/>
      <c r="I10" s="451"/>
    </row>
    <row r="11" spans="1:10" s="3" customFormat="1" ht="24.75" customHeight="1">
      <c r="A11" s="424" t="s">
        <v>201</v>
      </c>
      <c r="B11" s="445"/>
      <c r="C11" s="425"/>
      <c r="D11" s="446">
        <f>+'Operational Data'!G24</f>
        <v>233</v>
      </c>
      <c r="E11" s="447"/>
      <c r="F11" s="448" t="s">
        <v>96</v>
      </c>
      <c r="G11" s="449">
        <f>+'Operational Data'!H24</f>
        <v>3.1786742336393772</v>
      </c>
      <c r="H11" s="450"/>
      <c r="I11" s="451"/>
    </row>
    <row r="12" spans="1:10" s="3" customFormat="1" ht="24.75" customHeight="1">
      <c r="A12" s="424" t="s">
        <v>202</v>
      </c>
      <c r="B12" s="445"/>
      <c r="C12" s="425"/>
      <c r="D12" s="446">
        <f>+'Operational Data'!G22</f>
        <v>33819</v>
      </c>
      <c r="E12" s="447"/>
      <c r="F12" s="448" t="s">
        <v>96</v>
      </c>
      <c r="G12" s="449">
        <f>+'Operational Data'!H22</f>
        <v>461.37160475300476</v>
      </c>
      <c r="H12" s="450"/>
      <c r="I12" s="451"/>
    </row>
    <row r="13" spans="1:10" s="3" customFormat="1" ht="24.75" customHeight="1">
      <c r="A13" s="424" t="s">
        <v>203</v>
      </c>
      <c r="B13" s="445"/>
      <c r="C13" s="425"/>
      <c r="D13" s="446"/>
      <c r="E13" s="447"/>
      <c r="F13" s="448" t="s">
        <v>81</v>
      </c>
      <c r="G13" s="449"/>
      <c r="H13" s="450"/>
      <c r="I13" s="451"/>
    </row>
    <row r="14" spans="1:10" s="3" customFormat="1" ht="24.75" customHeight="1">
      <c r="A14" s="424" t="s">
        <v>204</v>
      </c>
      <c r="B14" s="445"/>
      <c r="C14" s="425"/>
      <c r="D14" s="446">
        <f>+'Operational Data'!G27</f>
        <v>0</v>
      </c>
      <c r="E14" s="447"/>
      <c r="F14" s="448" t="s">
        <v>205</v>
      </c>
      <c r="G14" s="449" t="str">
        <f>+'Operational Data'!H27</f>
        <v>-</v>
      </c>
      <c r="H14" s="450"/>
      <c r="I14" s="451"/>
    </row>
    <row r="15" spans="1:10" s="3" customFormat="1" ht="24.75" customHeight="1">
      <c r="A15" s="289"/>
      <c r="B15" s="290"/>
      <c r="C15" s="290"/>
      <c r="D15" s="290"/>
      <c r="E15" s="290"/>
      <c r="F15" s="290"/>
      <c r="G15" s="290"/>
      <c r="H15" s="290"/>
      <c r="I15" s="291"/>
    </row>
    <row r="16" spans="1:10" s="3" customFormat="1" ht="24.75" customHeight="1">
      <c r="A16" s="295"/>
      <c r="B16" s="296"/>
      <c r="C16" s="296"/>
      <c r="D16" s="296"/>
      <c r="E16" s="296"/>
      <c r="F16" s="296"/>
      <c r="G16" s="296"/>
      <c r="H16" s="296"/>
      <c r="I16" s="297"/>
    </row>
    <row r="17" spans="1:9" s="3" customFormat="1" ht="14.45">
      <c r="A17" s="45"/>
      <c r="B17"/>
      <c r="C17"/>
      <c r="D17"/>
    </row>
    <row r="18" spans="1:9" s="3" customFormat="1" ht="24" customHeight="1">
      <c r="A18" s="242" t="s">
        <v>172</v>
      </c>
      <c r="B18" s="243"/>
      <c r="C18" s="243"/>
      <c r="D18" s="243"/>
      <c r="E18" s="243"/>
      <c r="F18" s="243"/>
      <c r="G18" s="243"/>
      <c r="H18" s="243"/>
      <c r="I18" s="244"/>
    </row>
    <row r="19" spans="1:9" s="3" customFormat="1" ht="13.9">
      <c r="A19" s="245"/>
      <c r="B19" s="246"/>
      <c r="C19" s="246"/>
      <c r="D19" s="246"/>
      <c r="E19" s="246"/>
      <c r="F19" s="246"/>
      <c r="G19" s="246"/>
      <c r="H19" s="246"/>
      <c r="I19" s="247"/>
    </row>
    <row r="20" spans="1:9" s="3" customFormat="1" ht="13.9">
      <c r="A20" s="248"/>
      <c r="B20" s="249"/>
      <c r="C20" s="249"/>
      <c r="D20" s="249"/>
      <c r="E20" s="249"/>
      <c r="F20" s="249"/>
      <c r="G20" s="249"/>
      <c r="H20" s="249"/>
      <c r="I20" s="250"/>
    </row>
    <row r="21" spans="1:9" s="3" customFormat="1" ht="13.9">
      <c r="A21" s="248"/>
      <c r="B21" s="249"/>
      <c r="C21" s="249"/>
      <c r="D21" s="249"/>
      <c r="E21" s="249"/>
      <c r="F21" s="249"/>
      <c r="G21" s="249"/>
      <c r="H21" s="249"/>
      <c r="I21" s="250"/>
    </row>
    <row r="22" spans="1:9" s="3" customFormat="1" ht="13.9">
      <c r="A22" s="248"/>
      <c r="B22" s="249"/>
      <c r="C22" s="249"/>
      <c r="D22" s="249"/>
      <c r="E22" s="249"/>
      <c r="F22" s="249"/>
      <c r="G22" s="249"/>
      <c r="H22" s="249"/>
      <c r="I22" s="250"/>
    </row>
    <row r="23" spans="1:9" s="3" customFormat="1" ht="13.9">
      <c r="A23" s="248"/>
      <c r="B23" s="249"/>
      <c r="C23" s="249"/>
      <c r="D23" s="249"/>
      <c r="E23" s="249"/>
      <c r="F23" s="249"/>
      <c r="G23" s="249"/>
      <c r="H23" s="249"/>
      <c r="I23" s="250"/>
    </row>
    <row r="24" spans="1:9" s="3" customFormat="1" ht="13.9">
      <c r="A24" s="248"/>
      <c r="B24" s="249"/>
      <c r="C24" s="249"/>
      <c r="D24" s="249"/>
      <c r="E24" s="249"/>
      <c r="F24" s="249"/>
      <c r="G24" s="249"/>
      <c r="H24" s="249"/>
      <c r="I24" s="250"/>
    </row>
    <row r="25" spans="1:9" s="3" customFormat="1" ht="13.9">
      <c r="A25" s="251"/>
      <c r="B25" s="252"/>
      <c r="C25" s="252"/>
      <c r="D25" s="252"/>
      <c r="E25" s="252"/>
      <c r="F25" s="252"/>
      <c r="G25" s="252"/>
      <c r="H25" s="252"/>
      <c r="I25" s="253"/>
    </row>
    <row r="26" spans="1:9" s="3" customFormat="1" ht="13.9">
      <c r="A26" s="42"/>
      <c r="B26" s="42"/>
      <c r="C26" s="42"/>
      <c r="D26" s="42"/>
      <c r="E26" s="42"/>
      <c r="F26" s="42"/>
      <c r="G26" s="42"/>
      <c r="H26" s="42"/>
      <c r="I26" s="42"/>
    </row>
    <row r="27" spans="1:9" s="3" customFormat="1" ht="13.9"/>
    <row r="28" spans="1:9" s="3" customFormat="1" ht="13.9"/>
    <row r="29" spans="1:9" s="3" customFormat="1" ht="13.9">
      <c r="A29" s="3" t="s">
        <v>193</v>
      </c>
      <c r="B29" s="44"/>
      <c r="C29" s="44"/>
      <c r="D29" s="44"/>
      <c r="E29" s="44"/>
      <c r="G29" s="3" t="s">
        <v>194</v>
      </c>
      <c r="H29" s="44"/>
      <c r="I29" s="44"/>
    </row>
    <row r="30" spans="1:9" s="3" customFormat="1" ht="13.9"/>
    <row r="31" spans="1:9" ht="14.25" customHeight="1">
      <c r="A31" s="3"/>
      <c r="B31" s="3"/>
      <c r="C31" s="3"/>
      <c r="D31" s="3"/>
      <c r="E31" s="3"/>
      <c r="F31" s="3"/>
      <c r="G31" s="3"/>
      <c r="H31" s="3"/>
      <c r="I31" s="3"/>
    </row>
    <row r="32" spans="1:9" s="3" customFormat="1" ht="13.9"/>
    <row r="33" spans="1:9" s="3" customFormat="1" ht="13.9"/>
    <row r="34" spans="1:9" s="3" customFormat="1">
      <c r="A34" s="91"/>
      <c r="B34" s="91"/>
      <c r="C34" s="91"/>
      <c r="D34" s="91"/>
      <c r="E34" s="91"/>
      <c r="F34" s="91"/>
      <c r="G34" s="91"/>
      <c r="H34" s="91"/>
      <c r="I34" s="91"/>
    </row>
    <row r="35" spans="1:9" s="3" customFormat="1" ht="13.9"/>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49" spans="3:7">
      <c r="C49" s="91" t="s">
        <v>20</v>
      </c>
      <c r="D49" s="91"/>
      <c r="E49" s="91"/>
      <c r="F49" s="91"/>
      <c r="G49" s="91" t="s">
        <v>21</v>
      </c>
    </row>
    <row r="53" spans="3:7">
      <c r="C53" s="364">
        <v>44957</v>
      </c>
      <c r="D53" s="91"/>
      <c r="E53" s="91"/>
      <c r="F53" s="91"/>
      <c r="G53" s="91"/>
    </row>
    <row r="64" spans="3:7">
      <c r="C64" s="91"/>
      <c r="D64" s="91"/>
      <c r="E64" s="91"/>
      <c r="F64" s="3"/>
      <c r="G64" s="91"/>
    </row>
  </sheetData>
  <mergeCells count="25">
    <mergeCell ref="A18:I18"/>
    <mergeCell ref="A19:I25"/>
    <mergeCell ref="A15:I16"/>
    <mergeCell ref="A12:C12"/>
    <mergeCell ref="A13:C13"/>
    <mergeCell ref="A14:C14"/>
    <mergeCell ref="D14:E14"/>
    <mergeCell ref="D12:E12"/>
    <mergeCell ref="D13:E13"/>
    <mergeCell ref="G12:I12"/>
    <mergeCell ref="G13:I13"/>
    <mergeCell ref="G14:I14"/>
    <mergeCell ref="G3:I3"/>
    <mergeCell ref="B5:E5"/>
    <mergeCell ref="A9:C9"/>
    <mergeCell ref="A10:C10"/>
    <mergeCell ref="A11:C11"/>
    <mergeCell ref="G9:I9"/>
    <mergeCell ref="G10:I10"/>
    <mergeCell ref="G11:I11"/>
    <mergeCell ref="D7:E7"/>
    <mergeCell ref="G7:H7"/>
    <mergeCell ref="D9:E9"/>
    <mergeCell ref="D10:E10"/>
    <mergeCell ref="D11:E11"/>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87"/>
  <sheetViews>
    <sheetView showGridLines="0" view="pageBreakPreview" topLeftCell="A9" zoomScale="60" zoomScaleNormal="100" workbookViewId="0">
      <selection activeCell="C54" sqref="C54"/>
    </sheetView>
  </sheetViews>
  <sheetFormatPr defaultColWidth="9.28515625" defaultRowHeight="15"/>
  <cols>
    <col min="1" max="1" width="12.28515625" style="2" customWidth="1"/>
    <col min="2" max="2" width="11.7109375" style="2" customWidth="1"/>
    <col min="3" max="3" width="18.28515625" style="2" bestFit="1" customWidth="1"/>
    <col min="4" max="4" width="10" style="2" customWidth="1"/>
    <col min="5" max="5" width="3.28515625" style="2" customWidth="1"/>
    <col min="6" max="8" width="9.28515625" style="2"/>
    <col min="9" max="9" width="14.28515625" style="2" customWidth="1"/>
    <col min="10" max="10" width="9.28515625" style="2" hidden="1" customWidth="1"/>
    <col min="11" max="11" width="10.7109375" style="2" bestFit="1" customWidth="1"/>
    <col min="12" max="12" width="31.7109375" style="2" customWidth="1"/>
    <col min="13" max="16384" width="9.28515625" style="2"/>
  </cols>
  <sheetData>
    <row r="1" spans="1:15">
      <c r="A1" s="91" t="str">
        <f>+'Cover Page'!$B$29</f>
        <v>Annual Performance Report 2022</v>
      </c>
      <c r="B1" s="91"/>
      <c r="C1" s="91"/>
      <c r="D1" s="91"/>
      <c r="E1" s="91" t="str">
        <f>+'Cover Page'!$B$33</f>
        <v>Dudley Energy from Waste Facility</v>
      </c>
      <c r="F1" s="91"/>
      <c r="G1" s="91"/>
      <c r="H1" s="91"/>
      <c r="I1" s="91"/>
      <c r="J1" s="91"/>
      <c r="K1" s="91"/>
      <c r="L1" s="91"/>
      <c r="M1" s="91"/>
      <c r="N1" s="91"/>
      <c r="O1" s="91"/>
    </row>
    <row r="3" spans="1:15" ht="15.6">
      <c r="A3" s="1" t="s">
        <v>206</v>
      </c>
      <c r="B3" s="91"/>
      <c r="C3" s="91"/>
      <c r="D3" s="91"/>
      <c r="E3" s="91"/>
      <c r="F3" s="91"/>
      <c r="G3" s="91"/>
      <c r="H3" s="91"/>
      <c r="I3" s="91"/>
      <c r="J3" s="91"/>
      <c r="K3" s="91"/>
      <c r="L3" s="91"/>
      <c r="M3" s="91"/>
      <c r="N3" s="91"/>
      <c r="O3" s="91"/>
    </row>
    <row r="4" spans="1:15" ht="15.6">
      <c r="A4" s="1"/>
      <c r="B4" s="91"/>
      <c r="C4" s="91"/>
      <c r="D4" s="91"/>
      <c r="E4" s="91"/>
      <c r="F4" s="91"/>
      <c r="G4" s="91"/>
      <c r="H4" s="91"/>
      <c r="I4" s="91"/>
      <c r="J4" s="91"/>
      <c r="K4" s="91"/>
      <c r="L4" s="91"/>
      <c r="M4" s="91"/>
      <c r="N4" s="91"/>
      <c r="O4" s="91"/>
    </row>
    <row r="5" spans="1:15">
      <c r="A5" s="9" t="s">
        <v>207</v>
      </c>
      <c r="B5" s="91"/>
      <c r="C5" s="91"/>
      <c r="D5" s="91"/>
      <c r="E5" s="91"/>
      <c r="F5" s="91"/>
      <c r="G5" s="91"/>
      <c r="H5" s="91"/>
      <c r="I5" s="91"/>
      <c r="J5" s="91"/>
      <c r="K5" s="91"/>
      <c r="L5" s="91"/>
      <c r="M5" s="91"/>
      <c r="N5" s="91"/>
      <c r="O5" s="91"/>
    </row>
    <row r="6" spans="1:15">
      <c r="A6" s="9"/>
      <c r="B6" s="91"/>
      <c r="C6" s="91"/>
      <c r="D6" s="91"/>
      <c r="E6" s="91"/>
      <c r="F6" s="91"/>
      <c r="G6" s="91"/>
      <c r="H6" s="91"/>
      <c r="I6" s="91"/>
      <c r="J6" s="91"/>
      <c r="K6" s="91"/>
      <c r="L6" s="91"/>
      <c r="M6" s="91"/>
      <c r="N6" s="91"/>
      <c r="O6" s="91"/>
    </row>
    <row r="7" spans="1:15">
      <c r="A7" s="94" t="s">
        <v>208</v>
      </c>
      <c r="B7" s="91"/>
      <c r="C7" s="91"/>
      <c r="D7" s="91"/>
      <c r="E7" s="91"/>
      <c r="F7" s="91"/>
      <c r="G7" s="91"/>
      <c r="H7" s="91"/>
      <c r="I7" s="91"/>
      <c r="J7" s="91"/>
      <c r="K7" s="91"/>
      <c r="L7" s="91"/>
      <c r="M7" s="91"/>
      <c r="N7" s="91"/>
      <c r="O7" s="91"/>
    </row>
    <row r="8" spans="1:15" s="3" customFormat="1" ht="25.5" customHeight="1">
      <c r="A8" s="285" t="s">
        <v>209</v>
      </c>
      <c r="B8" s="286"/>
      <c r="C8" s="285" t="s">
        <v>210</v>
      </c>
      <c r="D8" s="299"/>
      <c r="E8" s="299"/>
      <c r="F8" s="299"/>
      <c r="G8" s="299"/>
      <c r="H8" s="299"/>
      <c r="I8" s="286"/>
      <c r="L8" s="81" t="s">
        <v>3</v>
      </c>
    </row>
    <row r="9" spans="1:15" s="3" customFormat="1" ht="22.5" customHeight="1">
      <c r="A9" s="125"/>
      <c r="B9" s="169"/>
      <c r="C9" s="285" t="s">
        <v>211</v>
      </c>
      <c r="D9" s="299"/>
      <c r="E9" s="286"/>
      <c r="F9" s="285" t="s">
        <v>212</v>
      </c>
      <c r="G9" s="299"/>
      <c r="H9" s="299"/>
      <c r="I9" s="286"/>
      <c r="L9" s="172" t="s">
        <v>213</v>
      </c>
      <c r="M9" s="172"/>
      <c r="N9" s="172"/>
      <c r="O9" s="172"/>
    </row>
    <row r="10" spans="1:15" s="3" customFormat="1" ht="22.5" customHeight="1">
      <c r="A10" s="276" t="s">
        <v>214</v>
      </c>
      <c r="B10" s="277"/>
      <c r="C10" s="278">
        <v>1</v>
      </c>
      <c r="D10" s="279"/>
      <c r="E10" s="280"/>
      <c r="F10" s="278">
        <v>1</v>
      </c>
      <c r="G10" s="279"/>
      <c r="H10" s="279"/>
      <c r="I10" s="280"/>
      <c r="L10" s="172"/>
      <c r="M10" s="172"/>
      <c r="N10" s="172"/>
      <c r="O10" s="172"/>
    </row>
    <row r="11" spans="1:15" s="3" customFormat="1" ht="22.5" customHeight="1">
      <c r="A11" s="276" t="s">
        <v>215</v>
      </c>
      <c r="B11" s="277"/>
      <c r="C11" s="278">
        <v>0.99980000000000002</v>
      </c>
      <c r="D11" s="279"/>
      <c r="E11" s="280"/>
      <c r="F11" s="278">
        <v>1</v>
      </c>
      <c r="G11" s="279"/>
      <c r="H11" s="279"/>
      <c r="I11" s="280"/>
      <c r="L11" s="172"/>
      <c r="M11" s="172"/>
      <c r="N11" s="172"/>
      <c r="O11" s="172"/>
    </row>
    <row r="12" spans="1:15" s="3" customFormat="1" ht="22.5" customHeight="1">
      <c r="A12" s="276" t="s">
        <v>216</v>
      </c>
      <c r="B12" s="277"/>
      <c r="C12" s="278">
        <v>0.99980000000000002</v>
      </c>
      <c r="D12" s="279"/>
      <c r="E12" s="280"/>
      <c r="F12" s="278">
        <v>1</v>
      </c>
      <c r="G12" s="279"/>
      <c r="H12" s="279"/>
      <c r="I12" s="280"/>
      <c r="L12" s="172"/>
      <c r="M12" s="172"/>
      <c r="N12" s="172"/>
      <c r="O12" s="172"/>
    </row>
    <row r="13" spans="1:15" s="3" customFormat="1" ht="22.5" customHeight="1">
      <c r="A13" s="276" t="s">
        <v>217</v>
      </c>
      <c r="B13" s="277"/>
      <c r="C13" s="282">
        <v>0.99919999999999998</v>
      </c>
      <c r="D13" s="283"/>
      <c r="E13" s="284"/>
      <c r="F13" s="278">
        <v>0.98899999999999999</v>
      </c>
      <c r="G13" s="279"/>
      <c r="H13" s="279"/>
      <c r="I13" s="280"/>
      <c r="L13" s="172"/>
      <c r="M13" s="172"/>
      <c r="N13" s="172"/>
      <c r="O13" s="172"/>
    </row>
    <row r="14" spans="1:15" s="3" customFormat="1" ht="22.5" customHeight="1">
      <c r="A14" s="276" t="s">
        <v>218</v>
      </c>
      <c r="B14" s="277"/>
      <c r="C14" s="278">
        <v>0.99990000000000001</v>
      </c>
      <c r="D14" s="279"/>
      <c r="E14" s="280"/>
      <c r="F14" s="278">
        <v>1</v>
      </c>
      <c r="G14" s="279"/>
      <c r="H14" s="279"/>
      <c r="I14" s="280"/>
      <c r="L14" s="172"/>
      <c r="M14" s="172"/>
      <c r="N14" s="172"/>
      <c r="O14" s="172"/>
    </row>
    <row r="15" spans="1:15" s="3" customFormat="1" ht="22.5" customHeight="1">
      <c r="A15" s="276" t="s">
        <v>219</v>
      </c>
      <c r="B15" s="277"/>
      <c r="C15" s="282">
        <v>0.99950000000000006</v>
      </c>
      <c r="D15" s="283"/>
      <c r="E15" s="284"/>
      <c r="F15" s="278">
        <v>0.99180000000000001</v>
      </c>
      <c r="G15" s="279"/>
      <c r="H15" s="279"/>
      <c r="I15" s="280"/>
      <c r="L15" s="172"/>
      <c r="M15" s="172"/>
      <c r="N15" s="172"/>
      <c r="O15" s="172"/>
    </row>
    <row r="16" spans="1:15" s="3" customFormat="1" ht="22.5" customHeight="1">
      <c r="A16" s="276" t="s">
        <v>220</v>
      </c>
      <c r="B16" s="277"/>
      <c r="C16" s="282">
        <v>1</v>
      </c>
      <c r="D16" s="283"/>
      <c r="E16" s="284"/>
      <c r="F16" s="278">
        <v>1</v>
      </c>
      <c r="G16" s="279"/>
      <c r="H16" s="279"/>
      <c r="I16" s="280"/>
      <c r="L16" s="172"/>
      <c r="M16" s="172"/>
      <c r="N16" s="172"/>
      <c r="O16" s="172"/>
    </row>
    <row r="17" spans="1:15" s="3" customFormat="1" ht="22.5" customHeight="1">
      <c r="A17" s="287" t="s">
        <v>221</v>
      </c>
      <c r="B17" s="288"/>
      <c r="C17" s="282">
        <v>0.99980000000000002</v>
      </c>
      <c r="D17" s="283"/>
      <c r="E17" s="284"/>
      <c r="F17" s="278">
        <v>0.99729999999999996</v>
      </c>
      <c r="G17" s="279"/>
      <c r="H17" s="279"/>
      <c r="I17" s="280"/>
      <c r="L17" s="172"/>
      <c r="M17" s="172"/>
      <c r="N17" s="172"/>
      <c r="O17" s="172"/>
    </row>
    <row r="18" spans="1:15" s="3" customFormat="1" ht="13.9" customHeight="1">
      <c r="L18" s="172"/>
      <c r="M18" s="172"/>
      <c r="N18" s="172"/>
      <c r="O18" s="172"/>
    </row>
    <row r="19" spans="1:15" s="45" customFormat="1" ht="21.75" customHeight="1">
      <c r="A19" s="178" t="s">
        <v>222</v>
      </c>
      <c r="B19" s="170"/>
      <c r="C19" s="170"/>
      <c r="D19" s="170"/>
      <c r="E19" s="170"/>
      <c r="F19" s="170"/>
      <c r="G19" s="170"/>
      <c r="H19" s="170"/>
      <c r="I19" s="170"/>
      <c r="J19" s="122"/>
      <c r="K19" s="123"/>
    </row>
    <row r="20" spans="1:15" s="3" customFormat="1" ht="38.25" customHeight="1">
      <c r="A20" s="46" t="s">
        <v>51</v>
      </c>
      <c r="B20" s="237" t="s">
        <v>223</v>
      </c>
      <c r="C20" s="281"/>
      <c r="D20" s="238"/>
      <c r="E20" s="237" t="s">
        <v>224</v>
      </c>
      <c r="F20" s="281"/>
      <c r="G20" s="238"/>
      <c r="H20" s="237" t="s">
        <v>225</v>
      </c>
      <c r="I20" s="238"/>
      <c r="J20" s="124"/>
      <c r="K20" s="72"/>
    </row>
    <row r="21" spans="1:15" s="3" customFormat="1" ht="13.9" customHeight="1">
      <c r="A21" s="452">
        <v>44574</v>
      </c>
      <c r="B21" s="171" t="s">
        <v>226</v>
      </c>
      <c r="C21" s="171"/>
      <c r="D21" s="171"/>
      <c r="E21" s="289" t="s">
        <v>227</v>
      </c>
      <c r="F21" s="290"/>
      <c r="G21" s="291"/>
      <c r="H21" s="289" t="s">
        <v>228</v>
      </c>
      <c r="I21" s="290"/>
      <c r="J21" s="139"/>
      <c r="K21" s="72"/>
    </row>
    <row r="22" spans="1:15" s="3" customFormat="1" ht="13.9">
      <c r="A22" s="452">
        <v>44574</v>
      </c>
      <c r="B22" s="171" t="s">
        <v>229</v>
      </c>
      <c r="C22" s="171"/>
      <c r="D22" s="171"/>
      <c r="E22" s="292"/>
      <c r="F22" s="293"/>
      <c r="G22" s="294"/>
      <c r="H22" s="292"/>
      <c r="I22" s="293"/>
      <c r="J22" s="140"/>
      <c r="K22" s="72"/>
    </row>
    <row r="23" spans="1:15" s="3" customFormat="1" ht="13.9">
      <c r="A23" s="452">
        <v>44574</v>
      </c>
      <c r="B23" s="171" t="s">
        <v>230</v>
      </c>
      <c r="C23" s="171"/>
      <c r="D23" s="171"/>
      <c r="E23" s="295"/>
      <c r="F23" s="296"/>
      <c r="G23" s="297"/>
      <c r="H23" s="295"/>
      <c r="I23" s="296"/>
      <c r="J23" s="141"/>
      <c r="K23" s="72"/>
    </row>
    <row r="24" spans="1:15" s="3" customFormat="1" ht="13.15" customHeight="1">
      <c r="A24" s="452">
        <v>44629</v>
      </c>
      <c r="B24" s="171" t="s">
        <v>231</v>
      </c>
      <c r="C24" s="171"/>
      <c r="D24" s="171"/>
      <c r="E24" s="171" t="s">
        <v>232</v>
      </c>
      <c r="F24" s="171"/>
      <c r="G24" s="171"/>
      <c r="H24" s="171" t="s">
        <v>233</v>
      </c>
      <c r="I24" s="171"/>
      <c r="J24" s="453"/>
      <c r="K24" s="72"/>
    </row>
    <row r="25" spans="1:15" s="3" customFormat="1" ht="55.9" customHeight="1">
      <c r="A25" s="452">
        <v>44653</v>
      </c>
      <c r="B25" s="138" t="s">
        <v>234</v>
      </c>
      <c r="C25" s="138"/>
      <c r="D25" s="138"/>
      <c r="E25" s="138" t="s">
        <v>235</v>
      </c>
      <c r="F25" s="138"/>
      <c r="G25" s="138"/>
      <c r="H25" s="274" t="s">
        <v>236</v>
      </c>
      <c r="I25" s="298"/>
      <c r="J25" s="453"/>
      <c r="K25" s="72"/>
    </row>
    <row r="26" spans="1:15" s="3" customFormat="1" ht="25.15" customHeight="1">
      <c r="A26" s="452">
        <v>44658</v>
      </c>
      <c r="B26" s="256" t="s">
        <v>237</v>
      </c>
      <c r="C26" s="256"/>
      <c r="D26" s="256"/>
      <c r="E26" s="256" t="s">
        <v>235</v>
      </c>
      <c r="F26" s="256"/>
      <c r="G26" s="256"/>
      <c r="H26" s="257" t="s">
        <v>238</v>
      </c>
      <c r="I26" s="257"/>
      <c r="J26" s="453"/>
      <c r="K26" s="72"/>
    </row>
    <row r="27" spans="1:15" s="3" customFormat="1" ht="61.9" customHeight="1">
      <c r="A27" s="452">
        <v>44663</v>
      </c>
      <c r="B27" s="256" t="s">
        <v>239</v>
      </c>
      <c r="C27" s="256"/>
      <c r="D27" s="256"/>
      <c r="E27" s="257" t="s">
        <v>240</v>
      </c>
      <c r="F27" s="257"/>
      <c r="G27" s="257"/>
      <c r="H27" s="257" t="s">
        <v>241</v>
      </c>
      <c r="I27" s="257"/>
      <c r="J27" s="453"/>
      <c r="K27" s="72"/>
    </row>
    <row r="28" spans="1:15" s="3" customFormat="1" ht="13.9">
      <c r="A28" s="452">
        <v>44666</v>
      </c>
      <c r="B28" s="256" t="s">
        <v>242</v>
      </c>
      <c r="C28" s="256"/>
      <c r="D28" s="256"/>
      <c r="E28" s="261" t="s">
        <v>235</v>
      </c>
      <c r="F28" s="262"/>
      <c r="G28" s="263"/>
      <c r="H28" s="261" t="s">
        <v>243</v>
      </c>
      <c r="I28" s="263"/>
      <c r="J28" s="453"/>
      <c r="K28" s="72"/>
    </row>
    <row r="29" spans="1:15" s="3" customFormat="1" ht="13.9">
      <c r="A29" s="452">
        <v>44790</v>
      </c>
      <c r="B29" s="256" t="s">
        <v>244</v>
      </c>
      <c r="C29" s="256"/>
      <c r="D29" s="256"/>
      <c r="E29" s="264"/>
      <c r="F29" s="265"/>
      <c r="G29" s="266"/>
      <c r="H29" s="264"/>
      <c r="I29" s="266"/>
      <c r="J29" s="453"/>
      <c r="K29" s="72"/>
    </row>
    <row r="30" spans="1:15" s="3" customFormat="1" ht="13.9">
      <c r="A30" s="452">
        <v>44790</v>
      </c>
      <c r="B30" s="256" t="s">
        <v>245</v>
      </c>
      <c r="C30" s="256"/>
      <c r="D30" s="256"/>
      <c r="E30" s="267"/>
      <c r="F30" s="268"/>
      <c r="G30" s="269"/>
      <c r="H30" s="267"/>
      <c r="I30" s="269"/>
      <c r="J30" s="453"/>
      <c r="K30" s="72"/>
    </row>
    <row r="31" spans="1:15" s="3" customFormat="1" ht="59.45" customHeight="1">
      <c r="A31" s="452">
        <v>44792</v>
      </c>
      <c r="B31" s="256" t="s">
        <v>246</v>
      </c>
      <c r="C31" s="256"/>
      <c r="D31" s="256"/>
      <c r="E31" s="257" t="s">
        <v>247</v>
      </c>
      <c r="F31" s="257"/>
      <c r="G31" s="257"/>
      <c r="H31" s="257" t="s">
        <v>248</v>
      </c>
      <c r="I31" s="257"/>
      <c r="J31" s="453"/>
      <c r="K31" s="72"/>
    </row>
    <row r="32" spans="1:15" s="3" customFormat="1" ht="28.15" customHeight="1">
      <c r="A32" s="452">
        <v>44821</v>
      </c>
      <c r="B32" s="256" t="s">
        <v>249</v>
      </c>
      <c r="C32" s="256"/>
      <c r="D32" s="256"/>
      <c r="E32" s="256" t="s">
        <v>235</v>
      </c>
      <c r="F32" s="256"/>
      <c r="G32" s="256"/>
      <c r="H32" s="257" t="s">
        <v>238</v>
      </c>
      <c r="I32" s="257"/>
      <c r="J32" s="453"/>
      <c r="K32" s="72"/>
    </row>
    <row r="33" spans="1:11" s="3" customFormat="1" ht="49.9" customHeight="1">
      <c r="A33" s="452">
        <v>44852</v>
      </c>
      <c r="B33" s="256" t="s">
        <v>250</v>
      </c>
      <c r="C33" s="256"/>
      <c r="D33" s="256"/>
      <c r="E33" s="256" t="s">
        <v>251</v>
      </c>
      <c r="F33" s="256"/>
      <c r="G33" s="256"/>
      <c r="H33" s="257" t="s">
        <v>252</v>
      </c>
      <c r="I33" s="257"/>
      <c r="J33" s="453"/>
      <c r="K33" s="72"/>
    </row>
    <row r="34" spans="1:11" s="3" customFormat="1" ht="13.9">
      <c r="A34" s="452">
        <v>44858</v>
      </c>
      <c r="B34" s="256" t="s">
        <v>253</v>
      </c>
      <c r="C34" s="256"/>
      <c r="D34" s="256"/>
      <c r="E34" s="261" t="s">
        <v>254</v>
      </c>
      <c r="F34" s="262"/>
      <c r="G34" s="263"/>
      <c r="H34" s="261" t="s">
        <v>255</v>
      </c>
      <c r="I34" s="262"/>
      <c r="J34" s="263"/>
      <c r="K34" s="72"/>
    </row>
    <row r="35" spans="1:11" s="3" customFormat="1" ht="13.9">
      <c r="A35" s="452">
        <v>44858</v>
      </c>
      <c r="B35" s="256" t="s">
        <v>256</v>
      </c>
      <c r="C35" s="256"/>
      <c r="D35" s="256"/>
      <c r="E35" s="264"/>
      <c r="F35" s="265"/>
      <c r="G35" s="266"/>
      <c r="H35" s="264"/>
      <c r="I35" s="265"/>
      <c r="J35" s="266"/>
      <c r="K35" s="72"/>
    </row>
    <row r="36" spans="1:11" s="3" customFormat="1" ht="13.9">
      <c r="A36" s="452">
        <v>44859</v>
      </c>
      <c r="B36" s="256" t="s">
        <v>256</v>
      </c>
      <c r="C36" s="256"/>
      <c r="D36" s="256"/>
      <c r="E36" s="264"/>
      <c r="F36" s="265"/>
      <c r="G36" s="266"/>
      <c r="H36" s="264"/>
      <c r="I36" s="265"/>
      <c r="J36" s="266"/>
      <c r="K36" s="72"/>
    </row>
    <row r="37" spans="1:11" s="3" customFormat="1" ht="13.9">
      <c r="A37" s="452">
        <v>44859</v>
      </c>
      <c r="B37" s="256" t="s">
        <v>257</v>
      </c>
      <c r="C37" s="256"/>
      <c r="D37" s="256"/>
      <c r="E37" s="264"/>
      <c r="F37" s="265"/>
      <c r="G37" s="266"/>
      <c r="H37" s="264"/>
      <c r="I37" s="265"/>
      <c r="J37" s="266"/>
      <c r="K37" s="72"/>
    </row>
    <row r="38" spans="1:11" s="3" customFormat="1" ht="13.9">
      <c r="A38" s="452">
        <v>44863</v>
      </c>
      <c r="B38" s="138" t="s">
        <v>258</v>
      </c>
      <c r="C38" s="138"/>
      <c r="D38" s="138"/>
      <c r="E38" s="267"/>
      <c r="F38" s="268"/>
      <c r="G38" s="269"/>
      <c r="H38" s="267"/>
      <c r="I38" s="268"/>
      <c r="J38" s="269"/>
      <c r="K38" s="72"/>
    </row>
    <row r="39" spans="1:11" s="3" customFormat="1" ht="66.599999999999994" customHeight="1">
      <c r="A39" s="452">
        <v>44859</v>
      </c>
      <c r="B39" s="257" t="s">
        <v>259</v>
      </c>
      <c r="C39" s="257"/>
      <c r="D39" s="257"/>
      <c r="E39" s="271" t="s">
        <v>260</v>
      </c>
      <c r="F39" s="272"/>
      <c r="G39" s="273"/>
      <c r="H39" s="274" t="s">
        <v>261</v>
      </c>
      <c r="I39" s="275"/>
      <c r="J39" s="142"/>
      <c r="K39" s="72"/>
    </row>
    <row r="40" spans="1:11" s="3" customFormat="1" ht="15.6" customHeight="1">
      <c r="A40" s="452">
        <v>44867</v>
      </c>
      <c r="B40" s="256" t="s">
        <v>262</v>
      </c>
      <c r="C40" s="256"/>
      <c r="D40" s="256"/>
      <c r="E40" s="256" t="s">
        <v>235</v>
      </c>
      <c r="F40" s="256"/>
      <c r="G40" s="256"/>
      <c r="H40" s="256" t="s">
        <v>263</v>
      </c>
      <c r="I40" s="256"/>
      <c r="J40" s="454"/>
      <c r="K40" s="72"/>
    </row>
    <row r="41" spans="1:11" s="3" customFormat="1" ht="30.6" customHeight="1">
      <c r="A41" s="452">
        <v>44912</v>
      </c>
      <c r="B41" s="256" t="s">
        <v>264</v>
      </c>
      <c r="C41" s="256"/>
      <c r="D41" s="256"/>
      <c r="E41" s="257" t="s">
        <v>265</v>
      </c>
      <c r="F41" s="257"/>
      <c r="G41" s="257"/>
      <c r="H41" s="257" t="s">
        <v>266</v>
      </c>
      <c r="I41" s="257"/>
      <c r="J41" s="271"/>
      <c r="K41" s="72"/>
    </row>
    <row r="42" spans="1:11" s="3" customFormat="1" ht="14.45" customHeight="1">
      <c r="A42" s="452">
        <v>44913</v>
      </c>
      <c r="B42" s="256" t="s">
        <v>267</v>
      </c>
      <c r="C42" s="256"/>
      <c r="D42" s="256"/>
      <c r="E42" s="261" t="s">
        <v>268</v>
      </c>
      <c r="F42" s="262"/>
      <c r="G42" s="263"/>
      <c r="H42" s="261" t="s">
        <v>269</v>
      </c>
      <c r="I42" s="262"/>
      <c r="J42" s="263"/>
      <c r="K42" s="72"/>
    </row>
    <row r="43" spans="1:11" s="3" customFormat="1" ht="13.9">
      <c r="A43" s="452">
        <v>44914</v>
      </c>
      <c r="B43" s="256" t="s">
        <v>270</v>
      </c>
      <c r="C43" s="256"/>
      <c r="D43" s="256"/>
      <c r="E43" s="264"/>
      <c r="F43" s="265"/>
      <c r="G43" s="266"/>
      <c r="H43" s="264"/>
      <c r="I43" s="265"/>
      <c r="J43" s="266"/>
      <c r="K43" s="72"/>
    </row>
    <row r="44" spans="1:11" s="3" customFormat="1" ht="13.9">
      <c r="A44" s="452">
        <v>44914</v>
      </c>
      <c r="B44" s="256" t="s">
        <v>271</v>
      </c>
      <c r="C44" s="256"/>
      <c r="D44" s="256"/>
      <c r="E44" s="267"/>
      <c r="F44" s="268"/>
      <c r="G44" s="269"/>
      <c r="H44" s="267"/>
      <c r="I44" s="268"/>
      <c r="J44" s="269"/>
      <c r="K44" s="72"/>
    </row>
    <row r="45" spans="1:11" s="3" customFormat="1" ht="33" customHeight="1">
      <c r="A45" s="452">
        <v>44926</v>
      </c>
      <c r="B45" s="256" t="s">
        <v>272</v>
      </c>
      <c r="C45" s="256"/>
      <c r="D45" s="256"/>
      <c r="E45" s="257" t="s">
        <v>273</v>
      </c>
      <c r="F45" s="257"/>
      <c r="G45" s="257"/>
      <c r="H45" s="256" t="s">
        <v>274</v>
      </c>
      <c r="I45" s="256"/>
      <c r="J45" s="454"/>
      <c r="K45" s="72"/>
    </row>
    <row r="46" spans="1:11" s="3" customFormat="1" ht="13.9"/>
    <row r="47" spans="1:11" s="45" customFormat="1" ht="22.5" customHeight="1">
      <c r="A47" s="258" t="s">
        <v>275</v>
      </c>
      <c r="B47" s="259"/>
      <c r="C47" s="259"/>
      <c r="D47" s="259"/>
      <c r="E47" s="259"/>
      <c r="F47" s="259"/>
      <c r="G47" s="259"/>
      <c r="H47" s="259"/>
      <c r="I47" s="259"/>
      <c r="J47" s="259"/>
      <c r="K47" s="260"/>
    </row>
    <row r="48" spans="1:11" s="3" customFormat="1" ht="39" customHeight="1">
      <c r="A48" s="46" t="s">
        <v>51</v>
      </c>
      <c r="B48" s="254" t="s">
        <v>276</v>
      </c>
      <c r="C48" s="254"/>
      <c r="D48" s="254"/>
      <c r="E48" s="254" t="s">
        <v>277</v>
      </c>
      <c r="F48" s="254"/>
      <c r="G48" s="254"/>
      <c r="H48" s="254" t="s">
        <v>225</v>
      </c>
      <c r="I48" s="254"/>
      <c r="J48" s="237"/>
      <c r="K48" s="72"/>
    </row>
    <row r="49" spans="1:11" s="3" customFormat="1" ht="13.9">
      <c r="A49" s="185"/>
      <c r="B49" s="255" t="s">
        <v>278</v>
      </c>
      <c r="C49" s="255"/>
      <c r="D49" s="255"/>
      <c r="E49" s="255"/>
      <c r="F49" s="255"/>
      <c r="G49" s="255"/>
      <c r="H49" s="255"/>
      <c r="I49" s="255"/>
      <c r="J49" s="455"/>
      <c r="K49" s="72"/>
    </row>
    <row r="50" spans="1:11" s="3" customFormat="1" ht="13.9">
      <c r="A50" s="185"/>
      <c r="B50" s="255"/>
      <c r="C50" s="255"/>
      <c r="D50" s="255"/>
      <c r="E50" s="255"/>
      <c r="F50" s="255"/>
      <c r="G50" s="255"/>
      <c r="H50" s="255"/>
      <c r="I50" s="255"/>
      <c r="J50" s="455"/>
      <c r="K50" s="72"/>
    </row>
    <row r="51" spans="1:11" ht="14.25" customHeight="1">
      <c r="A51" s="185"/>
      <c r="B51" s="255"/>
      <c r="C51" s="255"/>
      <c r="D51" s="255"/>
      <c r="E51" s="255"/>
      <c r="F51" s="255"/>
      <c r="G51" s="255"/>
      <c r="H51" s="255"/>
      <c r="I51" s="255"/>
      <c r="J51" s="455"/>
      <c r="K51" s="72"/>
    </row>
    <row r="52" spans="1:11" s="3" customFormat="1" ht="13.9">
      <c r="A52" s="185"/>
      <c r="B52" s="255"/>
      <c r="C52" s="255"/>
      <c r="D52" s="255"/>
      <c r="E52" s="255"/>
      <c r="F52" s="255"/>
      <c r="G52" s="255"/>
      <c r="H52" s="255"/>
      <c r="I52" s="255"/>
      <c r="J52" s="455"/>
      <c r="K52" s="72"/>
    </row>
    <row r="53" spans="1:11" s="3" customFormat="1" ht="13.9">
      <c r="A53" s="185"/>
      <c r="B53" s="255"/>
      <c r="C53" s="255"/>
      <c r="D53" s="255"/>
      <c r="E53" s="255"/>
      <c r="F53" s="255"/>
      <c r="G53" s="255"/>
      <c r="H53" s="255"/>
      <c r="I53" s="255"/>
      <c r="J53" s="455"/>
      <c r="K53" s="72"/>
    </row>
    <row r="54" spans="1:11" s="3" customFormat="1" ht="29.25" customHeight="1">
      <c r="A54" s="94"/>
      <c r="C54" s="177"/>
      <c r="E54" s="270" t="s">
        <v>279</v>
      </c>
      <c r="F54" s="270"/>
      <c r="G54" s="270"/>
      <c r="H54" s="270"/>
      <c r="I54" s="270"/>
      <c r="J54" s="94"/>
    </row>
    <row r="87" spans="6:6">
      <c r="F87" s="3"/>
    </row>
  </sheetData>
  <mergeCells count="97">
    <mergeCell ref="A8:B8"/>
    <mergeCell ref="A17:B17"/>
    <mergeCell ref="E21:G23"/>
    <mergeCell ref="H21:I23"/>
    <mergeCell ref="H25:I25"/>
    <mergeCell ref="F14:I14"/>
    <mergeCell ref="F15:I15"/>
    <mergeCell ref="F16:I16"/>
    <mergeCell ref="F17:I17"/>
    <mergeCell ref="C8:I8"/>
    <mergeCell ref="C9:E9"/>
    <mergeCell ref="F9:I9"/>
    <mergeCell ref="C10:E10"/>
    <mergeCell ref="C11:E11"/>
    <mergeCell ref="C12:E12"/>
    <mergeCell ref="F10:I10"/>
    <mergeCell ref="F11:I11"/>
    <mergeCell ref="F12:I12"/>
    <mergeCell ref="B20:D20"/>
    <mergeCell ref="E20:G20"/>
    <mergeCell ref="H20:I20"/>
    <mergeCell ref="A15:B15"/>
    <mergeCell ref="A16:B16"/>
    <mergeCell ref="C13:E13"/>
    <mergeCell ref="C14:E14"/>
    <mergeCell ref="C15:E15"/>
    <mergeCell ref="C16:E16"/>
    <mergeCell ref="C17:E17"/>
    <mergeCell ref="F13:I13"/>
    <mergeCell ref="A10:B10"/>
    <mergeCell ref="A11:B11"/>
    <mergeCell ref="A12:B12"/>
    <mergeCell ref="A13:B13"/>
    <mergeCell ref="A14:B14"/>
    <mergeCell ref="E40:G40"/>
    <mergeCell ref="E41:G41"/>
    <mergeCell ref="H40:J40"/>
    <mergeCell ref="H41:J41"/>
    <mergeCell ref="B39:D39"/>
    <mergeCell ref="E39:G39"/>
    <mergeCell ref="H39:I39"/>
    <mergeCell ref="E54:I54"/>
    <mergeCell ref="B26:D26"/>
    <mergeCell ref="H26:I26"/>
    <mergeCell ref="H27:I27"/>
    <mergeCell ref="E26:G26"/>
    <mergeCell ref="E27:G27"/>
    <mergeCell ref="E32:G32"/>
    <mergeCell ref="E33:G33"/>
    <mergeCell ref="H28:I30"/>
    <mergeCell ref="E28:G30"/>
    <mergeCell ref="B32:D32"/>
    <mergeCell ref="B33:D33"/>
    <mergeCell ref="B34:D34"/>
    <mergeCell ref="B35:D35"/>
    <mergeCell ref="B37:D37"/>
    <mergeCell ref="B36:D36"/>
    <mergeCell ref="B53:D53"/>
    <mergeCell ref="E53:G53"/>
    <mergeCell ref="H53:J53"/>
    <mergeCell ref="B50:D50"/>
    <mergeCell ref="E50:G50"/>
    <mergeCell ref="H50:J50"/>
    <mergeCell ref="B51:D51"/>
    <mergeCell ref="E51:G51"/>
    <mergeCell ref="H51:J51"/>
    <mergeCell ref="B52:D52"/>
    <mergeCell ref="E52:G52"/>
    <mergeCell ref="H52:J52"/>
    <mergeCell ref="A47:K47"/>
    <mergeCell ref="B27:D27"/>
    <mergeCell ref="B28:D28"/>
    <mergeCell ref="B29:D29"/>
    <mergeCell ref="B30:D30"/>
    <mergeCell ref="E34:G38"/>
    <mergeCell ref="H34:J38"/>
    <mergeCell ref="H32:I32"/>
    <mergeCell ref="H33:I33"/>
    <mergeCell ref="B31:D31"/>
    <mergeCell ref="H31:I31"/>
    <mergeCell ref="E31:G31"/>
    <mergeCell ref="E42:G44"/>
    <mergeCell ref="H42:J44"/>
    <mergeCell ref="B40:D40"/>
    <mergeCell ref="B41:D41"/>
    <mergeCell ref="B44:D44"/>
    <mergeCell ref="B45:D45"/>
    <mergeCell ref="E45:G45"/>
    <mergeCell ref="H45:J45"/>
    <mergeCell ref="B42:D42"/>
    <mergeCell ref="B43:D43"/>
    <mergeCell ref="B48:D48"/>
    <mergeCell ref="E48:G48"/>
    <mergeCell ref="H48:J48"/>
    <mergeCell ref="B49:D49"/>
    <mergeCell ref="E49:G49"/>
    <mergeCell ref="H49:J49"/>
  </mergeCells>
  <pageMargins left="0.7" right="0.7" top="0.75" bottom="0.75" header="0.3" footer="0.3"/>
  <pageSetup paperSize="9" scale="87" orientation="portrait" r:id="rId1"/>
  <headerFooter scaleWithDoc="0">
    <oddFooter>&amp;C&amp;"Arial,Regular"Page &amp;P</oddFooter>
  </headerFooter>
  <rowBreaks count="1" manualBreakCount="1">
    <brk id="33" max="9"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view="pageBreakPreview" zoomScale="60" zoomScaleNormal="100" workbookViewId="0">
      <selection activeCell="C54" sqref="C54"/>
    </sheetView>
  </sheetViews>
  <sheetFormatPr defaultColWidth="9.28515625" defaultRowHeight="15"/>
  <cols>
    <col min="1" max="1" width="9.28515625" style="2" customWidth="1"/>
    <col min="2" max="2" width="14.5703125" style="2" bestFit="1" customWidth="1"/>
    <col min="3" max="8" width="9.28515625" style="2"/>
    <col min="9" max="9" width="14.28515625" style="2" customWidth="1"/>
    <col min="10" max="10" width="11.5703125" style="2" customWidth="1"/>
    <col min="11" max="16384" width="9.28515625" style="2"/>
  </cols>
  <sheetData>
    <row r="1" spans="1:10">
      <c r="A1" s="91" t="str">
        <f>+'Cover Page'!$B$29</f>
        <v>Annual Performance Report 2022</v>
      </c>
      <c r="B1" s="91"/>
      <c r="C1" s="91"/>
      <c r="D1" s="91"/>
      <c r="E1" s="91" t="str">
        <f>+'Cover Page'!$B$33</f>
        <v>Dudley Energy from Waste Facility</v>
      </c>
      <c r="F1" s="91"/>
      <c r="G1" s="91"/>
      <c r="H1" s="91"/>
      <c r="I1" s="91"/>
      <c r="J1" s="91"/>
    </row>
    <row r="3" spans="1:10" ht="15.6">
      <c r="A3" s="1" t="s">
        <v>280</v>
      </c>
      <c r="B3" s="91"/>
      <c r="C3" s="91"/>
      <c r="D3" s="91"/>
      <c r="E3" s="91"/>
      <c r="F3" s="91"/>
      <c r="G3" s="91"/>
      <c r="H3" s="91"/>
      <c r="I3" s="91"/>
      <c r="J3" s="91"/>
    </row>
    <row r="4" spans="1:10" ht="15.6">
      <c r="A4" s="1"/>
      <c r="B4" s="91"/>
      <c r="C4" s="91"/>
      <c r="D4" s="91"/>
      <c r="E4" s="91"/>
      <c r="F4" s="91"/>
      <c r="G4" s="91"/>
      <c r="H4" s="91"/>
      <c r="I4" s="91"/>
      <c r="J4" s="91"/>
    </row>
    <row r="5" spans="1:10" s="3" customFormat="1" ht="13.9">
      <c r="A5" s="303" t="s">
        <v>281</v>
      </c>
      <c r="B5" s="304"/>
      <c r="C5" s="304"/>
      <c r="D5" s="304"/>
      <c r="E5" s="304"/>
      <c r="F5" s="304"/>
      <c r="G5" s="304"/>
      <c r="H5" s="304"/>
      <c r="I5" s="304"/>
      <c r="J5" s="305"/>
    </row>
    <row r="6" spans="1:10" s="3" customFormat="1" ht="15.75" customHeight="1">
      <c r="A6" s="196" t="s">
        <v>282</v>
      </c>
      <c r="B6" s="197"/>
      <c r="C6" s="197"/>
      <c r="D6" s="197"/>
      <c r="E6" s="197"/>
      <c r="F6" s="197"/>
      <c r="G6" s="197"/>
      <c r="H6" s="197"/>
      <c r="I6" s="197"/>
      <c r="J6" s="198"/>
    </row>
    <row r="7" spans="1:10" s="3" customFormat="1" ht="15.75" customHeight="1">
      <c r="A7" s="199"/>
      <c r="B7" s="200"/>
      <c r="C7" s="200"/>
      <c r="D7" s="200"/>
      <c r="E7" s="200"/>
      <c r="F7" s="200"/>
      <c r="G7" s="200"/>
      <c r="H7" s="200"/>
      <c r="I7" s="200"/>
      <c r="J7" s="201"/>
    </row>
    <row r="8" spans="1:10" s="3" customFormat="1" ht="15.75" customHeight="1">
      <c r="A8" s="199"/>
      <c r="B8" s="200"/>
      <c r="C8" s="200"/>
      <c r="D8" s="200"/>
      <c r="E8" s="200"/>
      <c r="F8" s="200"/>
      <c r="G8" s="200"/>
      <c r="H8" s="200"/>
      <c r="I8" s="200"/>
      <c r="J8" s="201"/>
    </row>
    <row r="9" spans="1:10" s="3" customFormat="1" ht="15.75" customHeight="1">
      <c r="A9" s="199"/>
      <c r="B9" s="200"/>
      <c r="C9" s="200"/>
      <c r="D9" s="200"/>
      <c r="E9" s="200"/>
      <c r="F9" s="200"/>
      <c r="G9" s="200"/>
      <c r="H9" s="200"/>
      <c r="I9" s="200"/>
      <c r="J9" s="201"/>
    </row>
    <row r="10" spans="1:10" s="3" customFormat="1" ht="15.75" customHeight="1">
      <c r="A10" s="199"/>
      <c r="B10" s="200"/>
      <c r="C10" s="200"/>
      <c r="D10" s="200"/>
      <c r="E10" s="200"/>
      <c r="F10" s="200"/>
      <c r="G10" s="200"/>
      <c r="H10" s="200"/>
      <c r="I10" s="200"/>
      <c r="J10" s="201"/>
    </row>
    <row r="11" spans="1:10" s="3" customFormat="1" ht="15.75" customHeight="1">
      <c r="A11" s="199"/>
      <c r="B11" s="200"/>
      <c r="C11" s="200"/>
      <c r="D11" s="200"/>
      <c r="E11" s="200"/>
      <c r="F11" s="200"/>
      <c r="G11" s="200"/>
      <c r="H11" s="200"/>
      <c r="I11" s="200"/>
      <c r="J11" s="201"/>
    </row>
    <row r="12" spans="1:10" s="3" customFormat="1" ht="15.75" customHeight="1">
      <c r="A12" s="199"/>
      <c r="B12" s="200"/>
      <c r="C12" s="200"/>
      <c r="D12" s="200"/>
      <c r="E12" s="200"/>
      <c r="F12" s="200"/>
      <c r="G12" s="200"/>
      <c r="H12" s="200"/>
      <c r="I12" s="200"/>
      <c r="J12" s="201"/>
    </row>
    <row r="13" spans="1:10" s="3" customFormat="1" ht="15.75" customHeight="1">
      <c r="A13" s="199"/>
      <c r="B13" s="200"/>
      <c r="C13" s="200"/>
      <c r="D13" s="200"/>
      <c r="E13" s="200"/>
      <c r="F13" s="200"/>
      <c r="G13" s="200"/>
      <c r="H13" s="200"/>
      <c r="I13" s="200"/>
      <c r="J13" s="201"/>
    </row>
    <row r="14" spans="1:10" s="3" customFormat="1" ht="15.75" customHeight="1">
      <c r="A14" s="202"/>
      <c r="B14" s="203"/>
      <c r="C14" s="203"/>
      <c r="D14" s="203"/>
      <c r="E14" s="203"/>
      <c r="F14" s="203"/>
      <c r="G14" s="203"/>
      <c r="H14" s="203"/>
      <c r="I14" s="203"/>
      <c r="J14" s="204"/>
    </row>
    <row r="15" spans="1:10" s="3" customFormat="1" ht="13.9"/>
    <row r="16" spans="1:10" s="47" customFormat="1" ht="33.75" customHeight="1">
      <c r="A16" s="300" t="s">
        <v>283</v>
      </c>
      <c r="B16" s="301"/>
      <c r="C16" s="301"/>
      <c r="D16" s="301"/>
      <c r="E16" s="301"/>
      <c r="F16" s="301"/>
      <c r="G16" s="301"/>
      <c r="H16" s="301"/>
      <c r="I16" s="301"/>
      <c r="J16" s="302"/>
    </row>
    <row r="17" spans="1:10" ht="15.75" customHeight="1">
      <c r="A17" s="196" t="s">
        <v>284</v>
      </c>
      <c r="B17" s="197"/>
      <c r="C17" s="197"/>
      <c r="D17" s="197"/>
      <c r="E17" s="197"/>
      <c r="F17" s="197"/>
      <c r="G17" s="197"/>
      <c r="H17" s="197"/>
      <c r="I17" s="197"/>
      <c r="J17" s="198"/>
    </row>
    <row r="18" spans="1:10" ht="15.75" customHeight="1">
      <c r="A18" s="199"/>
      <c r="B18" s="200"/>
      <c r="C18" s="200"/>
      <c r="D18" s="200"/>
      <c r="E18" s="200"/>
      <c r="F18" s="200"/>
      <c r="G18" s="200"/>
      <c r="H18" s="200"/>
      <c r="I18" s="200"/>
      <c r="J18" s="201"/>
    </row>
    <row r="19" spans="1:10" ht="15.75" customHeight="1">
      <c r="A19" s="199"/>
      <c r="B19" s="200"/>
      <c r="C19" s="200"/>
      <c r="D19" s="200"/>
      <c r="E19" s="200"/>
      <c r="F19" s="200"/>
      <c r="G19" s="200"/>
      <c r="H19" s="200"/>
      <c r="I19" s="200"/>
      <c r="J19" s="201"/>
    </row>
    <row r="20" spans="1:10" ht="15.75" customHeight="1">
      <c r="A20" s="199"/>
      <c r="B20" s="200"/>
      <c r="C20" s="200"/>
      <c r="D20" s="200"/>
      <c r="E20" s="200"/>
      <c r="F20" s="200"/>
      <c r="G20" s="200"/>
      <c r="H20" s="200"/>
      <c r="I20" s="200"/>
      <c r="J20" s="201"/>
    </row>
    <row r="21" spans="1:10" ht="15.75" customHeight="1">
      <c r="A21" s="199"/>
      <c r="B21" s="200"/>
      <c r="C21" s="200"/>
      <c r="D21" s="200"/>
      <c r="E21" s="200"/>
      <c r="F21" s="200"/>
      <c r="G21" s="200"/>
      <c r="H21" s="200"/>
      <c r="I21" s="200"/>
      <c r="J21" s="201"/>
    </row>
    <row r="22" spans="1:10" ht="15.75" customHeight="1">
      <c r="A22" s="199"/>
      <c r="B22" s="200"/>
      <c r="C22" s="200"/>
      <c r="D22" s="200"/>
      <c r="E22" s="200"/>
      <c r="F22" s="200"/>
      <c r="G22" s="200"/>
      <c r="H22" s="200"/>
      <c r="I22" s="200"/>
      <c r="J22" s="201"/>
    </row>
    <row r="23" spans="1:10" ht="15.75" customHeight="1">
      <c r="A23" s="199"/>
      <c r="B23" s="200"/>
      <c r="C23" s="200"/>
      <c r="D23" s="200"/>
      <c r="E23" s="200"/>
      <c r="F23" s="200"/>
      <c r="G23" s="200"/>
      <c r="H23" s="200"/>
      <c r="I23" s="200"/>
      <c r="J23" s="201"/>
    </row>
    <row r="24" spans="1:10" ht="15.75" customHeight="1">
      <c r="A24" s="199"/>
      <c r="B24" s="200"/>
      <c r="C24" s="200"/>
      <c r="D24" s="200"/>
      <c r="E24" s="200"/>
      <c r="F24" s="200"/>
      <c r="G24" s="200"/>
      <c r="H24" s="200"/>
      <c r="I24" s="200"/>
      <c r="J24" s="201"/>
    </row>
    <row r="25" spans="1:10" ht="15.75" customHeight="1">
      <c r="A25" s="202"/>
      <c r="B25" s="203"/>
      <c r="C25" s="203"/>
      <c r="D25" s="203"/>
      <c r="E25" s="203"/>
      <c r="F25" s="203"/>
      <c r="G25" s="203"/>
      <c r="H25" s="203"/>
      <c r="I25" s="203"/>
      <c r="J25" s="204"/>
    </row>
    <row r="26" spans="1:10" ht="15.6">
      <c r="A26" s="1"/>
      <c r="B26" s="91"/>
      <c r="C26" s="91"/>
      <c r="D26" s="91"/>
      <c r="E26" s="91"/>
      <c r="F26" s="91"/>
      <c r="G26" s="91"/>
      <c r="H26" s="91"/>
      <c r="I26" s="91"/>
      <c r="J26" s="91"/>
    </row>
    <row r="27" spans="1:10" ht="36.75" customHeight="1">
      <c r="A27" s="300" t="s">
        <v>285</v>
      </c>
      <c r="B27" s="301"/>
      <c r="C27" s="301"/>
      <c r="D27" s="301"/>
      <c r="E27" s="301"/>
      <c r="F27" s="301"/>
      <c r="G27" s="301"/>
      <c r="H27" s="301"/>
      <c r="I27" s="301"/>
      <c r="J27" s="302"/>
    </row>
    <row r="28" spans="1:10" ht="15.75" customHeight="1">
      <c r="A28" s="196" t="s">
        <v>286</v>
      </c>
      <c r="B28" s="197"/>
      <c r="C28" s="197"/>
      <c r="D28" s="197"/>
      <c r="E28" s="197"/>
      <c r="F28" s="197"/>
      <c r="G28" s="197"/>
      <c r="H28" s="197"/>
      <c r="I28" s="197"/>
      <c r="J28" s="198"/>
    </row>
    <row r="29" spans="1:10" ht="15.75" customHeight="1">
      <c r="A29" s="199"/>
      <c r="B29" s="200"/>
      <c r="C29" s="200"/>
      <c r="D29" s="200"/>
      <c r="E29" s="200"/>
      <c r="F29" s="200"/>
      <c r="G29" s="200"/>
      <c r="H29" s="200"/>
      <c r="I29" s="200"/>
      <c r="J29" s="201"/>
    </row>
    <row r="30" spans="1:10" ht="15.75" customHeight="1">
      <c r="A30" s="199"/>
      <c r="B30" s="200"/>
      <c r="C30" s="200"/>
      <c r="D30" s="200"/>
      <c r="E30" s="200"/>
      <c r="F30" s="200"/>
      <c r="G30" s="200"/>
      <c r="H30" s="200"/>
      <c r="I30" s="200"/>
      <c r="J30" s="201"/>
    </row>
    <row r="31" spans="1:10" ht="15.75" customHeight="1">
      <c r="A31" s="199"/>
      <c r="B31" s="200"/>
      <c r="C31" s="200"/>
      <c r="D31" s="200"/>
      <c r="E31" s="200"/>
      <c r="F31" s="200"/>
      <c r="G31" s="200"/>
      <c r="H31" s="200"/>
      <c r="I31" s="200"/>
      <c r="J31" s="201"/>
    </row>
    <row r="32" spans="1:10" ht="15.75" customHeight="1">
      <c r="A32" s="199"/>
      <c r="B32" s="200"/>
      <c r="C32" s="200"/>
      <c r="D32" s="200"/>
      <c r="E32" s="200"/>
      <c r="F32" s="200"/>
      <c r="G32" s="200"/>
      <c r="H32" s="200"/>
      <c r="I32" s="200"/>
      <c r="J32" s="201"/>
    </row>
    <row r="33" spans="1:10" ht="15.75" customHeight="1">
      <c r="A33" s="199"/>
      <c r="B33" s="200"/>
      <c r="C33" s="200"/>
      <c r="D33" s="200"/>
      <c r="E33" s="200"/>
      <c r="F33" s="200"/>
      <c r="G33" s="200"/>
      <c r="H33" s="200"/>
      <c r="I33" s="200"/>
      <c r="J33" s="201"/>
    </row>
    <row r="34" spans="1:10" ht="15.75" customHeight="1">
      <c r="A34" s="199"/>
      <c r="B34" s="200"/>
      <c r="C34" s="200"/>
      <c r="D34" s="200"/>
      <c r="E34" s="200"/>
      <c r="F34" s="200"/>
      <c r="G34" s="200"/>
      <c r="H34" s="200"/>
      <c r="I34" s="200"/>
      <c r="J34" s="201"/>
    </row>
    <row r="35" spans="1:10" ht="15.75" customHeight="1">
      <c r="A35" s="199"/>
      <c r="B35" s="200"/>
      <c r="C35" s="200"/>
      <c r="D35" s="200"/>
      <c r="E35" s="200"/>
      <c r="F35" s="200"/>
      <c r="G35" s="200"/>
      <c r="H35" s="200"/>
      <c r="I35" s="200"/>
      <c r="J35" s="201"/>
    </row>
    <row r="36" spans="1:10" ht="15.75" customHeight="1">
      <c r="A36" s="202"/>
      <c r="B36" s="203"/>
      <c r="C36" s="203"/>
      <c r="D36" s="203"/>
      <c r="E36" s="203"/>
      <c r="F36" s="203"/>
      <c r="G36" s="203"/>
      <c r="H36" s="203"/>
      <c r="I36" s="203"/>
      <c r="J36" s="204"/>
    </row>
    <row r="38" spans="1:10" ht="33" customHeight="1">
      <c r="A38" s="300" t="s">
        <v>287</v>
      </c>
      <c r="B38" s="301"/>
      <c r="C38" s="301"/>
      <c r="D38" s="301"/>
      <c r="E38" s="301"/>
      <c r="F38" s="301"/>
      <c r="G38" s="301"/>
      <c r="H38" s="301"/>
      <c r="I38" s="301"/>
      <c r="J38" s="302"/>
    </row>
    <row r="39" spans="1:10" ht="15.75" customHeight="1">
      <c r="A39" s="196" t="s">
        <v>288</v>
      </c>
      <c r="B39" s="205"/>
      <c r="C39" s="205"/>
      <c r="D39" s="205"/>
      <c r="E39" s="205"/>
      <c r="F39" s="205"/>
      <c r="G39" s="205"/>
      <c r="H39" s="205"/>
      <c r="I39" s="205"/>
      <c r="J39" s="206"/>
    </row>
    <row r="40" spans="1:10" ht="15.75" customHeight="1">
      <c r="A40" s="207"/>
      <c r="B40" s="208"/>
      <c r="C40" s="208"/>
      <c r="D40" s="208"/>
      <c r="E40" s="208"/>
      <c r="F40" s="208"/>
      <c r="G40" s="208"/>
      <c r="H40" s="208"/>
      <c r="I40" s="208"/>
      <c r="J40" s="209"/>
    </row>
    <row r="41" spans="1:10" ht="15.75" customHeight="1">
      <c r="A41" s="207"/>
      <c r="B41" s="208"/>
      <c r="C41" s="208"/>
      <c r="D41" s="208"/>
      <c r="E41" s="208"/>
      <c r="F41" s="208"/>
      <c r="G41" s="208"/>
      <c r="H41" s="208"/>
      <c r="I41" s="208"/>
      <c r="J41" s="209"/>
    </row>
    <row r="42" spans="1:10" ht="15.75" customHeight="1">
      <c r="A42" s="207"/>
      <c r="B42" s="208"/>
      <c r="C42" s="208"/>
      <c r="D42" s="208"/>
      <c r="E42" s="208"/>
      <c r="F42" s="208"/>
      <c r="G42" s="208"/>
      <c r="H42" s="208"/>
      <c r="I42" s="208"/>
      <c r="J42" s="209"/>
    </row>
    <row r="43" spans="1:10" ht="15.75" customHeight="1">
      <c r="A43" s="207"/>
      <c r="B43" s="208"/>
      <c r="C43" s="208"/>
      <c r="D43" s="208"/>
      <c r="E43" s="208"/>
      <c r="F43" s="208"/>
      <c r="G43" s="208"/>
      <c r="H43" s="208"/>
      <c r="I43" s="208"/>
      <c r="J43" s="209"/>
    </row>
    <row r="44" spans="1:10" ht="15.75" customHeight="1">
      <c r="A44" s="207"/>
      <c r="B44" s="208"/>
      <c r="C44" s="208"/>
      <c r="D44" s="208"/>
      <c r="E44" s="208"/>
      <c r="F44" s="208"/>
      <c r="G44" s="208"/>
      <c r="H44" s="208"/>
      <c r="I44" s="208"/>
      <c r="J44" s="209"/>
    </row>
    <row r="45" spans="1:10" ht="15.75" customHeight="1">
      <c r="A45" s="207"/>
      <c r="B45" s="208"/>
      <c r="C45" s="208"/>
      <c r="D45" s="208"/>
      <c r="E45" s="208"/>
      <c r="F45" s="208"/>
      <c r="G45" s="208"/>
      <c r="H45" s="208"/>
      <c r="I45" s="208"/>
      <c r="J45" s="209"/>
    </row>
    <row r="46" spans="1:10" ht="15.75" customHeight="1">
      <c r="A46" s="207"/>
      <c r="B46" s="208"/>
      <c r="C46" s="208"/>
      <c r="D46" s="208"/>
      <c r="E46" s="208"/>
      <c r="F46" s="208"/>
      <c r="G46" s="208"/>
      <c r="H46" s="208"/>
      <c r="I46" s="208"/>
      <c r="J46" s="209"/>
    </row>
    <row r="47" spans="1:10" ht="15.75" customHeight="1">
      <c r="A47" s="207"/>
      <c r="B47" s="208"/>
      <c r="C47" s="208"/>
      <c r="D47" s="208"/>
      <c r="E47" s="208"/>
      <c r="F47" s="208"/>
      <c r="G47" s="208"/>
      <c r="H47" s="208"/>
      <c r="I47" s="208"/>
      <c r="J47" s="209"/>
    </row>
    <row r="48" spans="1:10" ht="15.75" customHeight="1">
      <c r="A48" s="210"/>
      <c r="B48" s="211"/>
      <c r="C48" s="211"/>
      <c r="D48" s="211"/>
      <c r="E48" s="211"/>
      <c r="F48" s="211"/>
      <c r="G48" s="211"/>
      <c r="H48" s="211"/>
      <c r="I48" s="211"/>
      <c r="J48" s="212"/>
    </row>
    <row r="53" spans="3:3">
      <c r="C53" s="364"/>
    </row>
    <row r="66" spans="6:6">
      <c r="F66" s="3"/>
    </row>
  </sheetData>
  <mergeCells count="8">
    <mergeCell ref="A38:J38"/>
    <mergeCell ref="A39:J48"/>
    <mergeCell ref="A5:J5"/>
    <mergeCell ref="A27:J27"/>
    <mergeCell ref="A28:J36"/>
    <mergeCell ref="A6:J14"/>
    <mergeCell ref="A16:J16"/>
    <mergeCell ref="A17:J25"/>
  </mergeCells>
  <pageMargins left="0.7" right="0.7" top="0.75" bottom="0.75" header="0.3" footer="0.3"/>
  <pageSetup paperSize="9" scale="82"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view="pageBreakPreview" zoomScale="60" zoomScaleNormal="100" workbookViewId="0">
      <selection activeCell="C54" sqref="C54"/>
    </sheetView>
  </sheetViews>
  <sheetFormatPr defaultColWidth="9.28515625" defaultRowHeight="15"/>
  <cols>
    <col min="1" max="1" width="9.28515625" style="2" customWidth="1"/>
    <col min="2" max="2" width="14.5703125" style="2" bestFit="1" customWidth="1"/>
    <col min="3" max="8" width="9.28515625" style="2"/>
    <col min="9" max="9" width="14.28515625" style="2" customWidth="1"/>
    <col min="10" max="10" width="11.5703125" style="2" customWidth="1"/>
    <col min="11" max="16384" width="9.28515625" style="2"/>
  </cols>
  <sheetData>
    <row r="1" spans="1:10">
      <c r="A1" s="91" t="str">
        <f>+'Cover Page'!$B$29</f>
        <v>Annual Performance Report 2022</v>
      </c>
      <c r="B1" s="91"/>
      <c r="C1" s="91"/>
      <c r="D1" s="91"/>
      <c r="E1" s="91" t="str">
        <f>+'Cover Page'!$B$33</f>
        <v>Dudley Energy from Waste Facility</v>
      </c>
      <c r="F1" s="91"/>
      <c r="G1" s="91"/>
      <c r="H1" s="91"/>
      <c r="I1" s="91"/>
      <c r="J1" s="91"/>
    </row>
    <row r="3" spans="1:10" ht="15.6">
      <c r="A3" s="1" t="s">
        <v>289</v>
      </c>
      <c r="B3" s="91"/>
      <c r="C3" s="91"/>
      <c r="D3" s="91"/>
      <c r="E3" s="91"/>
      <c r="F3" s="91"/>
      <c r="G3" s="91"/>
      <c r="H3" s="91"/>
      <c r="I3" s="91"/>
      <c r="J3" s="91"/>
    </row>
    <row r="4" spans="1:10" ht="15.6">
      <c r="A4" s="1"/>
      <c r="B4" s="91"/>
      <c r="C4" s="91"/>
      <c r="D4" s="91"/>
      <c r="E4" s="91"/>
      <c r="F4" s="91"/>
      <c r="G4" s="91"/>
      <c r="H4" s="91"/>
      <c r="I4" s="91"/>
      <c r="J4" s="91"/>
    </row>
    <row r="5" spans="1:10" s="3" customFormat="1" ht="28.5" customHeight="1">
      <c r="A5" s="48" t="s">
        <v>290</v>
      </c>
      <c r="B5" s="49"/>
      <c r="C5" s="49"/>
      <c r="D5" s="49"/>
      <c r="E5" s="49"/>
      <c r="F5" s="49"/>
      <c r="G5" s="49"/>
      <c r="H5" s="49"/>
      <c r="I5" s="49"/>
      <c r="J5" s="50"/>
    </row>
    <row r="6" spans="1:10" s="3" customFormat="1" ht="15.75" customHeight="1">
      <c r="A6" s="126" t="s">
        <v>51</v>
      </c>
      <c r="B6" s="128"/>
      <c r="C6" s="126" t="s">
        <v>291</v>
      </c>
      <c r="D6" s="127"/>
      <c r="E6" s="127"/>
      <c r="F6" s="127"/>
      <c r="G6" s="127"/>
      <c r="H6" s="127"/>
      <c r="I6" s="127"/>
      <c r="J6" s="128"/>
    </row>
    <row r="7" spans="1:10" s="3" customFormat="1" ht="15.75" customHeight="1">
      <c r="A7" s="129" t="s">
        <v>292</v>
      </c>
      <c r="B7" s="118"/>
      <c r="C7" s="196" t="s">
        <v>293</v>
      </c>
      <c r="D7" s="197"/>
      <c r="E7" s="197"/>
      <c r="F7" s="197"/>
      <c r="G7" s="197"/>
      <c r="H7" s="197"/>
      <c r="I7" s="197"/>
      <c r="J7" s="198"/>
    </row>
    <row r="8" spans="1:10" s="3" customFormat="1" ht="15.75" customHeight="1">
      <c r="A8" s="119"/>
      <c r="B8" s="163"/>
      <c r="C8" s="202"/>
      <c r="D8" s="203"/>
      <c r="E8" s="203"/>
      <c r="F8" s="203"/>
      <c r="G8" s="203"/>
      <c r="H8" s="203"/>
      <c r="I8" s="203"/>
      <c r="J8" s="204"/>
    </row>
    <row r="9" spans="1:10" s="3" customFormat="1" ht="15.75" customHeight="1">
      <c r="A9" s="130" t="s">
        <v>294</v>
      </c>
      <c r="B9" s="164"/>
      <c r="C9" s="196" t="s">
        <v>295</v>
      </c>
      <c r="D9" s="197"/>
      <c r="E9" s="197"/>
      <c r="F9" s="197"/>
      <c r="G9" s="197"/>
      <c r="H9" s="197"/>
      <c r="I9" s="197"/>
      <c r="J9" s="198"/>
    </row>
    <row r="10" spans="1:10" s="3" customFormat="1" ht="15.75" customHeight="1">
      <c r="A10" s="119"/>
      <c r="B10" s="163"/>
      <c r="C10" s="202"/>
      <c r="D10" s="203"/>
      <c r="E10" s="203"/>
      <c r="F10" s="203"/>
      <c r="G10" s="203"/>
      <c r="H10" s="203"/>
      <c r="I10" s="203"/>
      <c r="J10" s="204"/>
    </row>
    <row r="11" spans="1:10" s="3" customFormat="1" ht="15.75" customHeight="1">
      <c r="A11" s="129"/>
      <c r="B11" s="164"/>
      <c r="C11" s="165"/>
      <c r="D11" s="166"/>
      <c r="E11" s="166"/>
      <c r="F11" s="166"/>
      <c r="G11" s="166"/>
      <c r="H11" s="166"/>
      <c r="I11" s="166"/>
      <c r="J11" s="118"/>
    </row>
    <row r="12" spans="1:10" s="3" customFormat="1" ht="15.75" customHeight="1">
      <c r="A12" s="119"/>
      <c r="B12" s="163"/>
      <c r="C12" s="167"/>
      <c r="D12" s="168"/>
      <c r="E12" s="168"/>
      <c r="F12" s="168"/>
      <c r="G12" s="168"/>
      <c r="H12" s="168"/>
      <c r="I12" s="168"/>
      <c r="J12" s="120"/>
    </row>
    <row r="13" spans="1:10" s="3" customFormat="1" ht="15.75" customHeight="1">
      <c r="A13" s="129"/>
      <c r="B13" s="164"/>
      <c r="C13" s="165"/>
      <c r="D13" s="166"/>
      <c r="E13" s="166"/>
      <c r="F13" s="166"/>
      <c r="G13" s="166"/>
      <c r="H13" s="166"/>
      <c r="I13" s="166"/>
      <c r="J13" s="118"/>
    </row>
    <row r="14" spans="1:10" s="3" customFormat="1" ht="15.75" customHeight="1">
      <c r="A14" s="119"/>
      <c r="B14" s="163"/>
      <c r="C14" s="167"/>
      <c r="D14" s="168"/>
      <c r="E14" s="168"/>
      <c r="F14" s="168"/>
      <c r="G14" s="168"/>
      <c r="H14" s="168"/>
      <c r="I14" s="168"/>
      <c r="J14" s="120"/>
    </row>
    <row r="15" spans="1:10" s="3" customFormat="1" ht="13.9"/>
    <row r="16" spans="1:10" s="47" customFormat="1" ht="33.75" customHeight="1">
      <c r="A16" s="300" t="s">
        <v>296</v>
      </c>
      <c r="B16" s="301"/>
      <c r="C16" s="301"/>
      <c r="D16" s="301"/>
      <c r="E16" s="301"/>
      <c r="F16" s="301"/>
      <c r="G16" s="301"/>
      <c r="H16" s="301"/>
      <c r="I16" s="301"/>
      <c r="J16" s="302"/>
    </row>
    <row r="17" spans="1:10" ht="15.75" customHeight="1">
      <c r="A17" s="126" t="s">
        <v>51</v>
      </c>
      <c r="B17" s="50"/>
      <c r="C17" s="48" t="s">
        <v>291</v>
      </c>
      <c r="D17" s="49"/>
      <c r="E17" s="49"/>
      <c r="F17" s="49"/>
      <c r="G17" s="49"/>
      <c r="H17" s="49"/>
      <c r="I17" s="49"/>
      <c r="J17" s="127"/>
    </row>
    <row r="18" spans="1:10" ht="15.75" customHeight="1">
      <c r="A18" s="129">
        <v>2023</v>
      </c>
      <c r="B18" s="164"/>
      <c r="C18" s="165" t="s">
        <v>297</v>
      </c>
      <c r="D18" s="166"/>
      <c r="E18" s="166"/>
      <c r="F18" s="166"/>
      <c r="G18" s="166"/>
      <c r="H18" s="166"/>
      <c r="I18" s="166"/>
      <c r="J18" s="118"/>
    </row>
    <row r="19" spans="1:10" ht="15.75" customHeight="1">
      <c r="A19" s="119"/>
      <c r="B19" s="163"/>
      <c r="C19" s="167"/>
      <c r="D19" s="168"/>
      <c r="E19" s="168"/>
      <c r="F19" s="168"/>
      <c r="G19" s="168"/>
      <c r="H19" s="168"/>
      <c r="I19" s="168"/>
      <c r="J19" s="120"/>
    </row>
    <row r="20" spans="1:10" ht="15.75" customHeight="1">
      <c r="A20" s="129">
        <v>2023</v>
      </c>
      <c r="B20" s="164"/>
      <c r="C20" s="165" t="s">
        <v>298</v>
      </c>
      <c r="D20" s="166"/>
      <c r="E20" s="166"/>
      <c r="F20" s="166"/>
      <c r="G20" s="166"/>
      <c r="H20" s="166"/>
      <c r="I20" s="166"/>
      <c r="J20" s="118"/>
    </row>
    <row r="21" spans="1:10" ht="15.75" customHeight="1">
      <c r="A21" s="119"/>
      <c r="B21" s="163"/>
      <c r="C21" s="167"/>
      <c r="D21" s="168"/>
      <c r="E21" s="168"/>
      <c r="F21" s="168"/>
      <c r="G21" s="168"/>
      <c r="H21" s="168"/>
      <c r="I21" s="168"/>
      <c r="J21" s="120"/>
    </row>
    <row r="22" spans="1:10" ht="15.75" customHeight="1">
      <c r="A22" s="129"/>
      <c r="B22" s="164"/>
      <c r="C22" s="165"/>
      <c r="D22" s="166"/>
      <c r="E22" s="166"/>
      <c r="F22" s="166"/>
      <c r="G22" s="166"/>
      <c r="H22" s="166"/>
      <c r="I22" s="166"/>
      <c r="J22" s="118"/>
    </row>
    <row r="23" spans="1:10" ht="15.75" customHeight="1">
      <c r="A23" s="119"/>
      <c r="B23" s="163"/>
      <c r="C23" s="167"/>
      <c r="D23" s="168"/>
      <c r="E23" s="168"/>
      <c r="F23" s="168"/>
      <c r="G23" s="168"/>
      <c r="H23" s="168"/>
      <c r="I23" s="168"/>
      <c r="J23" s="120"/>
    </row>
    <row r="24" spans="1:10" ht="15.75" customHeight="1">
      <c r="A24" s="129"/>
      <c r="B24" s="164"/>
      <c r="C24" s="165"/>
      <c r="D24" s="166"/>
      <c r="E24" s="166"/>
      <c r="F24" s="166"/>
      <c r="G24" s="166"/>
      <c r="H24" s="166"/>
      <c r="I24" s="166"/>
      <c r="J24" s="118"/>
    </row>
    <row r="25" spans="1:10" ht="15.75" customHeight="1">
      <c r="A25" s="119"/>
      <c r="B25" s="120"/>
      <c r="C25" s="119"/>
      <c r="D25" s="184"/>
      <c r="E25" s="184"/>
      <c r="F25" s="184"/>
      <c r="G25" s="184"/>
      <c r="H25" s="184"/>
      <c r="I25" s="184"/>
      <c r="J25" s="120"/>
    </row>
    <row r="26" spans="1:10" ht="15.75" customHeight="1">
      <c r="A26" s="456"/>
      <c r="B26" s="206"/>
      <c r="C26" s="456"/>
      <c r="D26" s="205"/>
      <c r="E26" s="205"/>
      <c r="F26" s="205"/>
      <c r="G26" s="205"/>
      <c r="H26" s="205"/>
      <c r="I26" s="205"/>
      <c r="J26" s="206"/>
    </row>
    <row r="27" spans="1:10" ht="15.75" customHeight="1">
      <c r="A27" s="210"/>
      <c r="B27" s="212"/>
      <c r="C27" s="210"/>
      <c r="D27" s="211"/>
      <c r="E27" s="211"/>
      <c r="F27" s="211"/>
      <c r="G27" s="211"/>
      <c r="H27" s="211"/>
      <c r="I27" s="211"/>
      <c r="J27" s="212"/>
    </row>
    <row r="28" spans="1:10" ht="15.6">
      <c r="A28" s="1"/>
      <c r="B28" s="91"/>
      <c r="C28" s="91"/>
      <c r="D28" s="91"/>
      <c r="E28" s="91"/>
      <c r="F28" s="91"/>
      <c r="G28" s="91"/>
      <c r="H28" s="91"/>
      <c r="I28" s="91"/>
      <c r="J28" s="91"/>
    </row>
    <row r="29" spans="1:10" ht="36.75" customHeight="1">
      <c r="A29" s="300" t="s">
        <v>299</v>
      </c>
      <c r="B29" s="301"/>
      <c r="C29" s="301"/>
      <c r="D29" s="301"/>
      <c r="E29" s="301"/>
      <c r="F29" s="301"/>
      <c r="G29" s="301"/>
      <c r="H29" s="301"/>
      <c r="I29" s="301"/>
      <c r="J29" s="302"/>
    </row>
    <row r="49" spans="3:7">
      <c r="C49" s="91" t="s">
        <v>20</v>
      </c>
      <c r="D49" s="91"/>
      <c r="E49" s="91"/>
      <c r="F49" s="91"/>
      <c r="G49" s="91" t="s">
        <v>21</v>
      </c>
    </row>
    <row r="53" spans="3:7">
      <c r="C53" s="364">
        <v>44957</v>
      </c>
      <c r="D53" s="91"/>
      <c r="E53" s="91"/>
      <c r="F53" s="91"/>
      <c r="G53" s="91"/>
    </row>
    <row r="66" spans="6:6">
      <c r="F66" s="3"/>
    </row>
  </sheetData>
  <mergeCells count="6">
    <mergeCell ref="A26:B27"/>
    <mergeCell ref="C26:J27"/>
    <mergeCell ref="A29:J29"/>
    <mergeCell ref="A16:J16"/>
    <mergeCell ref="C7:J8"/>
    <mergeCell ref="C9:J10"/>
  </mergeCells>
  <pageMargins left="0.7" right="0.7" top="0.75" bottom="0.75" header="0.3" footer="0.3"/>
  <pageSetup paperSize="9" scale="75"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view="pageBreakPreview" zoomScale="60" zoomScaleNormal="100" workbookViewId="0">
      <selection activeCell="C54" sqref="C54"/>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8" width="9.28515625" style="2"/>
    <col min="9" max="9" width="14.28515625" style="2" customWidth="1"/>
    <col min="10" max="16384" width="9.28515625" style="2"/>
  </cols>
  <sheetData>
    <row r="1" spans="1:9">
      <c r="A1" s="91" t="str">
        <f>+'Cover Page'!$B$29</f>
        <v>Annual Performance Report 2022</v>
      </c>
      <c r="B1" s="91"/>
      <c r="C1" s="91"/>
      <c r="D1" s="91"/>
      <c r="E1" s="91" t="str">
        <f>+'Cover Page'!$B$33</f>
        <v>Dudley Energy from Waste Facility</v>
      </c>
      <c r="F1" s="91"/>
      <c r="G1" s="91"/>
      <c r="H1" s="91"/>
      <c r="I1" s="91"/>
    </row>
    <row r="3" spans="1:9" ht="15.6">
      <c r="A3" s="1" t="s">
        <v>300</v>
      </c>
      <c r="B3" s="91"/>
      <c r="C3" s="91"/>
      <c r="D3" s="91"/>
      <c r="E3" s="91"/>
      <c r="F3" s="91"/>
      <c r="G3" s="91"/>
      <c r="H3" s="91"/>
      <c r="I3" s="91"/>
    </row>
    <row r="4" spans="1:9" ht="15.6">
      <c r="A4" s="1"/>
      <c r="B4" s="91"/>
      <c r="C4" s="91"/>
      <c r="D4" s="91"/>
      <c r="E4" s="91"/>
      <c r="F4" s="91"/>
      <c r="G4" s="91"/>
      <c r="H4" s="91"/>
      <c r="I4" s="91"/>
    </row>
    <row r="5" spans="1:9" s="3" customFormat="1" ht="21.75" customHeight="1">
      <c r="A5" s="48" t="s">
        <v>301</v>
      </c>
      <c r="B5" s="49"/>
      <c r="C5" s="49"/>
      <c r="D5" s="49"/>
      <c r="E5" s="49"/>
      <c r="F5" s="49"/>
      <c r="G5" s="50"/>
    </row>
    <row r="6" spans="1:9" s="3" customFormat="1" ht="15.75" customHeight="1">
      <c r="A6" s="196" t="s">
        <v>302</v>
      </c>
      <c r="B6" s="197"/>
      <c r="C6" s="197"/>
      <c r="D6" s="197"/>
      <c r="E6" s="197"/>
      <c r="F6" s="197"/>
      <c r="G6" s="198"/>
    </row>
    <row r="7" spans="1:9" s="3" customFormat="1" ht="15.75" customHeight="1">
      <c r="A7" s="199"/>
      <c r="B7" s="200"/>
      <c r="C7" s="200"/>
      <c r="D7" s="200"/>
      <c r="E7" s="200"/>
      <c r="F7" s="200"/>
      <c r="G7" s="201"/>
    </row>
    <row r="8" spans="1:9" s="3" customFormat="1" ht="15.75" customHeight="1">
      <c r="A8" s="199"/>
      <c r="B8" s="200"/>
      <c r="C8" s="200"/>
      <c r="D8" s="200"/>
      <c r="E8" s="200"/>
      <c r="F8" s="200"/>
      <c r="G8" s="201"/>
    </row>
    <row r="9" spans="1:9" s="3" customFormat="1" ht="15.75" customHeight="1">
      <c r="A9" s="199"/>
      <c r="B9" s="200"/>
      <c r="C9" s="200"/>
      <c r="D9" s="200"/>
      <c r="E9" s="200"/>
      <c r="F9" s="200"/>
      <c r="G9" s="201"/>
    </row>
    <row r="10" spans="1:9" s="3" customFormat="1" ht="15.75" customHeight="1">
      <c r="A10" s="199"/>
      <c r="B10" s="200"/>
      <c r="C10" s="200"/>
      <c r="D10" s="200"/>
      <c r="E10" s="200"/>
      <c r="F10" s="200"/>
      <c r="G10" s="201"/>
    </row>
    <row r="11" spans="1:9" s="3" customFormat="1" ht="15.75" customHeight="1">
      <c r="A11" s="202"/>
      <c r="B11" s="203"/>
      <c r="C11" s="203"/>
      <c r="D11" s="203"/>
      <c r="E11" s="203"/>
      <c r="F11" s="203"/>
      <c r="G11" s="204"/>
    </row>
    <row r="12" spans="1:9" s="3" customFormat="1" ht="13.9"/>
    <row r="13" spans="1:9" s="47" customFormat="1" ht="33.75" customHeight="1">
      <c r="A13" s="300" t="s">
        <v>303</v>
      </c>
      <c r="B13" s="301"/>
      <c r="C13" s="301"/>
      <c r="D13" s="301"/>
      <c r="E13" s="301"/>
      <c r="F13" s="301"/>
      <c r="G13" s="302"/>
      <c r="H13" s="457"/>
      <c r="I13" s="457"/>
    </row>
    <row r="14" spans="1:9" ht="15.75" customHeight="1">
      <c r="A14" s="126" t="s">
        <v>304</v>
      </c>
      <c r="B14" s="50"/>
      <c r="C14" s="48" t="s">
        <v>291</v>
      </c>
      <c r="D14" s="49"/>
      <c r="E14" s="49"/>
      <c r="F14" s="49"/>
      <c r="G14" s="49"/>
      <c r="H14" s="91"/>
      <c r="I14" s="91"/>
    </row>
    <row r="15" spans="1:9" ht="15.75" customHeight="1">
      <c r="A15" s="180"/>
      <c r="B15" s="458"/>
      <c r="C15" s="165"/>
      <c r="D15" s="166"/>
      <c r="E15" s="166"/>
      <c r="F15" s="166"/>
      <c r="G15" s="164"/>
      <c r="H15" s="91"/>
      <c r="I15" s="91"/>
    </row>
    <row r="16" spans="1:9" ht="15.75" customHeight="1">
      <c r="A16" s="113"/>
      <c r="B16" s="459"/>
      <c r="C16" s="167"/>
      <c r="D16" s="168"/>
      <c r="E16" s="168"/>
      <c r="F16" s="168"/>
      <c r="G16" s="163"/>
      <c r="H16" s="91"/>
      <c r="I16" s="91"/>
    </row>
    <row r="17" spans="1:11" ht="15.75" customHeight="1">
      <c r="A17" s="129"/>
      <c r="B17" s="164"/>
      <c r="C17" s="165"/>
      <c r="D17" s="166"/>
      <c r="E17" s="166"/>
      <c r="F17" s="166"/>
      <c r="G17" s="164"/>
      <c r="H17" s="91"/>
      <c r="I17" s="91"/>
      <c r="J17" s="91"/>
      <c r="K17" s="91"/>
    </row>
    <row r="18" spans="1:11" ht="15.75" customHeight="1">
      <c r="A18" s="119"/>
      <c r="B18" s="163"/>
      <c r="C18" s="167"/>
      <c r="D18" s="168"/>
      <c r="E18" s="168"/>
      <c r="F18" s="168"/>
      <c r="G18" s="163"/>
      <c r="H18" s="91"/>
      <c r="I18" s="91"/>
      <c r="J18" s="91"/>
      <c r="K18" s="91"/>
    </row>
    <row r="19" spans="1:11" ht="15.75" customHeight="1">
      <c r="A19" s="129"/>
      <c r="B19" s="164"/>
      <c r="C19" s="165"/>
      <c r="D19" s="166"/>
      <c r="E19" s="166"/>
      <c r="F19" s="166"/>
      <c r="G19" s="164"/>
      <c r="H19" s="91"/>
      <c r="I19" s="91"/>
      <c r="J19" s="91"/>
      <c r="K19" s="91"/>
    </row>
    <row r="20" spans="1:11" ht="15.75" customHeight="1">
      <c r="A20" s="119"/>
      <c r="B20" s="163"/>
      <c r="C20" s="167"/>
      <c r="D20" s="168"/>
      <c r="E20" s="168"/>
      <c r="F20" s="168"/>
      <c r="G20" s="163"/>
      <c r="H20" s="91"/>
      <c r="I20" s="91"/>
      <c r="J20" s="91"/>
      <c r="K20" s="91"/>
    </row>
    <row r="21" spans="1:11" ht="15.75" customHeight="1">
      <c r="A21" s="129"/>
      <c r="B21" s="164"/>
      <c r="C21" s="165"/>
      <c r="D21" s="166"/>
      <c r="E21" s="166"/>
      <c r="F21" s="166"/>
      <c r="G21" s="164"/>
      <c r="H21" s="91"/>
      <c r="I21" s="91"/>
      <c r="J21" s="91"/>
      <c r="K21" s="91"/>
    </row>
    <row r="22" spans="1:11" ht="15.75" customHeight="1">
      <c r="A22" s="119"/>
      <c r="B22" s="163"/>
      <c r="C22" s="167"/>
      <c r="D22" s="168"/>
      <c r="E22" s="168"/>
      <c r="F22" s="168"/>
      <c r="G22" s="163"/>
      <c r="H22" s="91"/>
      <c r="I22" s="91"/>
      <c r="J22" s="91"/>
      <c r="K22" s="91"/>
    </row>
    <row r="23" spans="1:11" ht="15.75" customHeight="1">
      <c r="A23" s="129"/>
      <c r="B23" s="164"/>
      <c r="C23" s="165"/>
      <c r="D23" s="166"/>
      <c r="E23" s="166"/>
      <c r="F23" s="166"/>
      <c r="G23" s="164"/>
      <c r="H23" s="91"/>
      <c r="I23" s="91"/>
      <c r="J23" s="91"/>
      <c r="K23" s="91"/>
    </row>
    <row r="24" spans="1:11" ht="15.75" customHeight="1">
      <c r="A24" s="119"/>
      <c r="B24" s="163"/>
      <c r="C24" s="167"/>
      <c r="D24" s="168"/>
      <c r="E24" s="168"/>
      <c r="F24" s="168"/>
      <c r="G24" s="163"/>
      <c r="H24" s="91"/>
      <c r="I24" s="91"/>
      <c r="J24" s="91"/>
      <c r="K24" s="91"/>
    </row>
    <row r="26" spans="1:11">
      <c r="A26" s="94"/>
      <c r="B26" s="94"/>
      <c r="C26" s="94"/>
      <c r="D26" s="94"/>
      <c r="E26" s="94"/>
      <c r="F26" s="94"/>
      <c r="G26" s="94"/>
      <c r="H26" s="91"/>
      <c r="I26" s="91"/>
      <c r="J26" s="91"/>
      <c r="K26" s="91"/>
    </row>
    <row r="27" spans="1:11" s="56" customFormat="1" ht="16.5" customHeight="1">
      <c r="A27" s="309" t="s">
        <v>305</v>
      </c>
      <c r="B27" s="309"/>
      <c r="C27" s="309"/>
      <c r="D27" s="309"/>
      <c r="E27" s="309"/>
      <c r="F27" s="309"/>
      <c r="G27" s="309"/>
    </row>
    <row r="28" spans="1:11" s="12" customFormat="1" ht="17.25" customHeight="1">
      <c r="A28" s="307" t="s">
        <v>306</v>
      </c>
      <c r="B28" s="307"/>
      <c r="C28" s="254" t="s">
        <v>307</v>
      </c>
      <c r="D28" s="254" t="s">
        <v>308</v>
      </c>
      <c r="E28" s="254"/>
      <c r="F28" s="254"/>
      <c r="G28" s="254"/>
      <c r="H28" s="94"/>
      <c r="I28" s="94"/>
      <c r="J28" s="94"/>
      <c r="K28" s="94"/>
    </row>
    <row r="29" spans="1:11" s="12" customFormat="1" ht="17.25" customHeight="1">
      <c r="A29" s="307"/>
      <c r="B29" s="307"/>
      <c r="C29" s="254"/>
      <c r="D29" s="254" t="s">
        <v>309</v>
      </c>
      <c r="E29" s="254"/>
      <c r="F29" s="254" t="s">
        <v>164</v>
      </c>
      <c r="G29" s="254"/>
      <c r="H29" s="94"/>
      <c r="I29" s="94"/>
      <c r="J29" s="94"/>
      <c r="K29" s="94"/>
    </row>
    <row r="30" spans="1:11" s="37" customFormat="1" ht="38.1" customHeight="1">
      <c r="A30" s="308" t="s">
        <v>310</v>
      </c>
      <c r="B30" s="308"/>
      <c r="C30" s="460" t="s">
        <v>311</v>
      </c>
      <c r="D30" s="461">
        <v>7.28</v>
      </c>
      <c r="E30" s="461"/>
      <c r="F30" s="462"/>
      <c r="G30" s="463"/>
      <c r="H30" s="434"/>
      <c r="I30" s="434"/>
      <c r="J30" s="94"/>
      <c r="K30" s="94"/>
    </row>
    <row r="31" spans="1:11" s="37" customFormat="1" ht="38.1" customHeight="1">
      <c r="A31" s="308" t="s">
        <v>312</v>
      </c>
      <c r="B31" s="308"/>
      <c r="C31" s="448" t="s">
        <v>313</v>
      </c>
      <c r="D31" s="461">
        <v>1.03</v>
      </c>
      <c r="E31" s="461"/>
      <c r="F31" s="462"/>
      <c r="G31" s="463"/>
      <c r="H31" s="434"/>
      <c r="I31" s="434"/>
      <c r="J31" s="94"/>
      <c r="K31" s="94"/>
    </row>
    <row r="32" spans="1:11" s="37" customFormat="1" ht="38.1" customHeight="1">
      <c r="A32" s="308" t="s">
        <v>314</v>
      </c>
      <c r="B32" s="308"/>
      <c r="C32" s="448" t="s">
        <v>315</v>
      </c>
      <c r="D32" s="461">
        <v>6</v>
      </c>
      <c r="E32" s="461"/>
      <c r="F32" s="464">
        <v>4</v>
      </c>
      <c r="G32" s="465"/>
      <c r="H32" s="434"/>
      <c r="I32" s="434"/>
      <c r="J32" s="94"/>
      <c r="K32" s="94"/>
    </row>
    <row r="33" spans="1:7" s="37" customFormat="1" ht="38.1" customHeight="1">
      <c r="A33" s="308" t="s">
        <v>316</v>
      </c>
      <c r="B33" s="308"/>
      <c r="C33" s="448" t="s">
        <v>315</v>
      </c>
      <c r="D33" s="461">
        <v>0</v>
      </c>
      <c r="E33" s="461"/>
      <c r="F33" s="462"/>
      <c r="G33" s="463"/>
    </row>
    <row r="35" spans="1:7">
      <c r="A35" s="222" t="s">
        <v>317</v>
      </c>
      <c r="B35" s="222"/>
      <c r="C35" s="222"/>
      <c r="D35" s="222"/>
      <c r="E35" s="222"/>
      <c r="F35" s="222"/>
      <c r="G35" s="222"/>
    </row>
    <row r="36" spans="1:7">
      <c r="A36" s="306"/>
      <c r="B36" s="306"/>
      <c r="C36" s="306"/>
      <c r="D36" s="306"/>
      <c r="E36" s="306"/>
      <c r="F36" s="306"/>
      <c r="G36" s="306"/>
    </row>
    <row r="37" spans="1:7">
      <c r="A37" s="306"/>
      <c r="B37" s="306"/>
      <c r="C37" s="306"/>
      <c r="D37" s="306"/>
      <c r="E37" s="306"/>
      <c r="F37" s="306"/>
      <c r="G37" s="306"/>
    </row>
    <row r="38" spans="1:7">
      <c r="A38" s="306"/>
      <c r="B38" s="306"/>
      <c r="C38" s="306"/>
      <c r="D38" s="306"/>
      <c r="E38" s="306"/>
      <c r="F38" s="306"/>
      <c r="G38" s="306"/>
    </row>
    <row r="39" spans="1:7">
      <c r="A39" s="306"/>
      <c r="B39" s="306"/>
      <c r="C39" s="306"/>
      <c r="D39" s="306"/>
      <c r="E39" s="306"/>
      <c r="F39" s="306"/>
      <c r="G39" s="306"/>
    </row>
    <row r="40" spans="1:7">
      <c r="A40" s="306"/>
      <c r="B40" s="306"/>
      <c r="C40" s="306"/>
      <c r="D40" s="306"/>
      <c r="E40" s="306"/>
      <c r="F40" s="306"/>
      <c r="G40" s="306"/>
    </row>
    <row r="41" spans="1:7">
      <c r="A41" s="306"/>
      <c r="B41" s="306"/>
      <c r="C41" s="306"/>
      <c r="D41" s="306"/>
      <c r="E41" s="306"/>
      <c r="F41" s="306"/>
      <c r="G41" s="306"/>
    </row>
    <row r="49" spans="3:7">
      <c r="C49" s="91" t="s">
        <v>20</v>
      </c>
      <c r="D49" s="91"/>
      <c r="E49" s="91"/>
      <c r="F49" s="91"/>
      <c r="G49" s="91" t="s">
        <v>21</v>
      </c>
    </row>
    <row r="53" spans="3:7">
      <c r="C53" s="364">
        <v>44957</v>
      </c>
      <c r="D53" s="91"/>
      <c r="E53" s="91"/>
      <c r="F53" s="91"/>
      <c r="G53" s="91"/>
    </row>
    <row r="56" spans="3:7">
      <c r="C56" s="91"/>
      <c r="D56" s="91"/>
      <c r="E56" s="91"/>
      <c r="F56" s="3"/>
      <c r="G56" s="91"/>
    </row>
  </sheetData>
  <mergeCells count="22">
    <mergeCell ref="D29:E29"/>
    <mergeCell ref="F29:G29"/>
    <mergeCell ref="D28:G28"/>
    <mergeCell ref="A27:G27"/>
    <mergeCell ref="A6:G11"/>
    <mergeCell ref="A13:G13"/>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D32:E32"/>
    <mergeCell ref="C28:C29"/>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showGridLines="0" view="pageBreakPreview" zoomScale="60" zoomScaleNormal="100" workbookViewId="0">
      <selection activeCell="C54" sqref="C54"/>
    </sheetView>
  </sheetViews>
  <sheetFormatPr defaultColWidth="9.28515625" defaultRowHeight="15"/>
  <cols>
    <col min="1" max="1" width="9.28515625" style="2" customWidth="1"/>
    <col min="2" max="2" width="14.5703125" style="2" bestFit="1" customWidth="1"/>
    <col min="3" max="8" width="9.28515625" style="2"/>
    <col min="9" max="9" width="14.28515625" style="2" customWidth="1"/>
    <col min="10" max="10" width="11.5703125" style="2" customWidth="1"/>
    <col min="11" max="16384" width="9.28515625" style="2"/>
  </cols>
  <sheetData>
    <row r="1" spans="1:10">
      <c r="A1" s="91" t="str">
        <f>+'Cover Page'!$B$29</f>
        <v>Annual Performance Report 2022</v>
      </c>
      <c r="B1" s="91"/>
      <c r="C1" s="91"/>
      <c r="D1" s="91"/>
      <c r="E1" s="91" t="str">
        <f>+'Cover Page'!$B$33</f>
        <v>Dudley Energy from Waste Facility</v>
      </c>
      <c r="F1" s="91"/>
      <c r="G1" s="91"/>
      <c r="H1" s="91"/>
      <c r="I1" s="91"/>
      <c r="J1" s="91"/>
    </row>
    <row r="3" spans="1:10" ht="15.6">
      <c r="A3" s="1" t="s">
        <v>39</v>
      </c>
      <c r="B3" s="91"/>
      <c r="C3" s="91"/>
      <c r="D3" s="91"/>
      <c r="E3" s="91"/>
      <c r="F3" s="91"/>
      <c r="G3" s="91"/>
      <c r="H3" s="91"/>
      <c r="I3" s="91"/>
      <c r="J3" s="91"/>
    </row>
    <row r="4" spans="1:10" ht="15.6">
      <c r="A4" s="1"/>
      <c r="B4" s="91"/>
      <c r="C4" s="91"/>
      <c r="D4" s="91"/>
      <c r="E4" s="91"/>
      <c r="F4" s="91"/>
      <c r="G4" s="91"/>
      <c r="H4" s="91"/>
      <c r="I4" s="91"/>
      <c r="J4" s="91"/>
    </row>
    <row r="5" spans="1:10" s="3" customFormat="1" ht="21.75" customHeight="1">
      <c r="A5" s="48" t="s">
        <v>301</v>
      </c>
      <c r="B5" s="49"/>
      <c r="C5" s="49"/>
      <c r="D5" s="49"/>
      <c r="E5" s="49"/>
      <c r="F5" s="49"/>
      <c r="G5" s="49"/>
      <c r="H5" s="49"/>
      <c r="I5" s="49"/>
      <c r="J5" s="50"/>
    </row>
    <row r="6" spans="1:10" s="3" customFormat="1" ht="15.75" customHeight="1">
      <c r="A6" s="129" t="s">
        <v>318</v>
      </c>
      <c r="B6" s="183"/>
      <c r="C6" s="183"/>
      <c r="D6" s="183"/>
      <c r="E6" s="183"/>
      <c r="F6" s="183"/>
      <c r="G6" s="183"/>
      <c r="H6" s="183"/>
      <c r="I6" s="183"/>
      <c r="J6" s="118"/>
    </row>
    <row r="7" spans="1:10" s="3" customFormat="1" ht="15.75" customHeight="1">
      <c r="A7" s="119"/>
      <c r="B7" s="184"/>
      <c r="C7" s="184"/>
      <c r="D7" s="184"/>
      <c r="E7" s="184"/>
      <c r="F7" s="184"/>
      <c r="G7" s="184"/>
      <c r="H7" s="184"/>
      <c r="I7" s="184"/>
      <c r="J7" s="120"/>
    </row>
    <row r="8" spans="1:10" s="3" customFormat="1" ht="15.75" customHeight="1">
      <c r="A8" s="180"/>
      <c r="B8" s="466"/>
      <c r="C8" s="466"/>
      <c r="D8" s="466"/>
      <c r="E8" s="466"/>
      <c r="F8" s="466"/>
      <c r="G8" s="466"/>
      <c r="H8" s="466"/>
      <c r="I8" s="466"/>
      <c r="J8" s="182"/>
    </row>
    <row r="9" spans="1:10" s="3" customFormat="1" ht="15.75" customHeight="1">
      <c r="A9" s="113"/>
      <c r="B9" s="467"/>
      <c r="C9" s="467"/>
      <c r="D9" s="467"/>
      <c r="E9" s="467"/>
      <c r="F9" s="467"/>
      <c r="G9" s="467"/>
      <c r="H9" s="467"/>
      <c r="I9" s="467"/>
      <c r="J9" s="115"/>
    </row>
    <row r="10" spans="1:10" s="3" customFormat="1" ht="15.75" customHeight="1">
      <c r="A10" s="180"/>
      <c r="B10" s="466"/>
      <c r="C10" s="466"/>
      <c r="D10" s="466"/>
      <c r="E10" s="466"/>
      <c r="F10" s="466"/>
      <c r="G10" s="466"/>
      <c r="H10" s="466"/>
      <c r="I10" s="466"/>
      <c r="J10" s="182"/>
    </row>
    <row r="11" spans="1:10" s="3" customFormat="1" ht="15.75" customHeight="1">
      <c r="A11" s="113"/>
      <c r="B11" s="467"/>
      <c r="C11" s="467"/>
      <c r="D11" s="467"/>
      <c r="E11" s="467"/>
      <c r="F11" s="467"/>
      <c r="G11" s="467"/>
      <c r="H11" s="467"/>
      <c r="I11" s="467"/>
      <c r="J11" s="115"/>
    </row>
    <row r="12" spans="1:10" s="3" customFormat="1" ht="13.9"/>
    <row r="13" spans="1:10" s="47" customFormat="1" ht="33.75" customHeight="1">
      <c r="A13" s="300" t="s">
        <v>303</v>
      </c>
      <c r="B13" s="301"/>
      <c r="C13" s="301"/>
      <c r="D13" s="301"/>
      <c r="E13" s="301"/>
      <c r="F13" s="301"/>
      <c r="G13" s="301"/>
      <c r="H13" s="301"/>
      <c r="I13" s="301"/>
      <c r="J13" s="302"/>
    </row>
    <row r="14" spans="1:10" ht="15.75" customHeight="1">
      <c r="A14" s="126" t="s">
        <v>304</v>
      </c>
      <c r="B14" s="50"/>
      <c r="C14" s="48" t="s">
        <v>291</v>
      </c>
      <c r="D14" s="49"/>
      <c r="E14" s="49"/>
      <c r="F14" s="49"/>
      <c r="G14" s="49"/>
      <c r="H14" s="49"/>
      <c r="I14" s="49"/>
      <c r="J14" s="127"/>
    </row>
    <row r="15" spans="1:10" ht="15.75" customHeight="1">
      <c r="A15" s="180"/>
      <c r="B15" s="458"/>
      <c r="C15" s="165"/>
      <c r="D15" s="166"/>
      <c r="E15" s="166"/>
      <c r="F15" s="166"/>
      <c r="G15" s="166"/>
      <c r="H15" s="166"/>
      <c r="I15" s="166"/>
      <c r="J15" s="118"/>
    </row>
    <row r="16" spans="1:10" ht="15.75" customHeight="1">
      <c r="A16" s="113"/>
      <c r="B16" s="459"/>
      <c r="C16" s="167"/>
      <c r="D16" s="168"/>
      <c r="E16" s="168"/>
      <c r="F16" s="168"/>
      <c r="G16" s="168"/>
      <c r="H16" s="168"/>
      <c r="I16" s="168"/>
      <c r="J16" s="120"/>
    </row>
    <row r="17" spans="1:10" ht="15.75" customHeight="1">
      <c r="A17" s="129"/>
      <c r="B17" s="164"/>
      <c r="C17" s="165"/>
      <c r="D17" s="166"/>
      <c r="E17" s="166"/>
      <c r="F17" s="166"/>
      <c r="G17" s="166"/>
      <c r="H17" s="166"/>
      <c r="I17" s="166"/>
      <c r="J17" s="118"/>
    </row>
    <row r="18" spans="1:10" ht="15.75" customHeight="1">
      <c r="A18" s="119"/>
      <c r="B18" s="163"/>
      <c r="C18" s="167"/>
      <c r="D18" s="168"/>
      <c r="E18" s="168"/>
      <c r="F18" s="168"/>
      <c r="G18" s="168"/>
      <c r="H18" s="168"/>
      <c r="I18" s="168"/>
      <c r="J18" s="120"/>
    </row>
    <row r="19" spans="1:10" ht="15.75" customHeight="1">
      <c r="A19" s="129"/>
      <c r="B19" s="164"/>
      <c r="C19" s="165"/>
      <c r="D19" s="166"/>
      <c r="E19" s="166"/>
      <c r="F19" s="166"/>
      <c r="G19" s="166"/>
      <c r="H19" s="166"/>
      <c r="I19" s="166"/>
      <c r="J19" s="118"/>
    </row>
    <row r="20" spans="1:10" ht="15.75" customHeight="1">
      <c r="A20" s="119"/>
      <c r="B20" s="163"/>
      <c r="C20" s="167"/>
      <c r="D20" s="168"/>
      <c r="E20" s="168"/>
      <c r="F20" s="168"/>
      <c r="G20" s="168"/>
      <c r="H20" s="168"/>
      <c r="I20" s="168"/>
      <c r="J20" s="120"/>
    </row>
    <row r="22" spans="1:10" ht="22.5" customHeight="1">
      <c r="A22" s="132" t="s">
        <v>319</v>
      </c>
      <c r="B22" s="157"/>
      <c r="C22" s="157"/>
      <c r="D22" s="157"/>
      <c r="E22" s="157"/>
      <c r="F22" s="157"/>
      <c r="G22" s="157"/>
      <c r="H22" s="157"/>
      <c r="I22" s="157"/>
      <c r="J22" s="133"/>
    </row>
    <row r="23" spans="1:10" ht="19.5" customHeight="1">
      <c r="A23" s="134" t="s">
        <v>185</v>
      </c>
      <c r="B23" s="158"/>
      <c r="C23" s="159"/>
      <c r="D23" s="160" t="s">
        <v>320</v>
      </c>
      <c r="E23" s="161"/>
      <c r="F23" s="162"/>
      <c r="G23" s="145" t="s">
        <v>307</v>
      </c>
      <c r="H23" s="145" t="s">
        <v>321</v>
      </c>
      <c r="I23" s="145" t="s">
        <v>322</v>
      </c>
      <c r="J23" s="54" t="s">
        <v>221</v>
      </c>
    </row>
    <row r="24" spans="1:10">
      <c r="A24" s="468"/>
      <c r="B24" s="469"/>
      <c r="C24" s="470"/>
      <c r="D24" s="471"/>
      <c r="E24" s="472"/>
      <c r="F24" s="473"/>
      <c r="G24" s="144"/>
      <c r="H24" s="144"/>
      <c r="I24" s="144"/>
      <c r="J24" s="98"/>
    </row>
    <row r="25" spans="1:10">
      <c r="A25" s="474"/>
      <c r="B25" s="475"/>
      <c r="C25" s="476"/>
      <c r="D25" s="477"/>
      <c r="E25" s="478"/>
      <c r="F25" s="479"/>
      <c r="G25" s="98"/>
      <c r="H25" s="98"/>
      <c r="I25" s="98"/>
      <c r="J25" s="98"/>
    </row>
    <row r="26" spans="1:10">
      <c r="A26" s="474"/>
      <c r="B26" s="475"/>
      <c r="C26" s="476"/>
      <c r="D26" s="477"/>
      <c r="E26" s="478"/>
      <c r="F26" s="479"/>
      <c r="G26" s="98"/>
      <c r="H26" s="98"/>
      <c r="I26" s="98"/>
      <c r="J26" s="98"/>
    </row>
    <row r="27" spans="1:10">
      <c r="A27" s="474"/>
      <c r="B27" s="475"/>
      <c r="C27" s="476"/>
      <c r="D27" s="477"/>
      <c r="E27" s="478"/>
      <c r="F27" s="479"/>
      <c r="G27" s="98"/>
      <c r="H27" s="98"/>
      <c r="I27" s="98"/>
      <c r="J27" s="98"/>
    </row>
    <row r="28" spans="1:10">
      <c r="A28" s="474"/>
      <c r="B28" s="475"/>
      <c r="C28" s="476"/>
      <c r="D28" s="477"/>
      <c r="E28" s="478"/>
      <c r="F28" s="479"/>
      <c r="G28" s="98"/>
      <c r="H28" s="98"/>
      <c r="I28" s="98"/>
      <c r="J28" s="98"/>
    </row>
    <row r="29" spans="1:10">
      <c r="A29" s="474"/>
      <c r="B29" s="475"/>
      <c r="C29" s="476"/>
      <c r="D29" s="477"/>
      <c r="E29" s="478"/>
      <c r="F29" s="479"/>
      <c r="G29" s="98"/>
      <c r="H29" s="98"/>
      <c r="I29" s="98"/>
      <c r="J29" s="98"/>
    </row>
    <row r="30" spans="1:10">
      <c r="A30" s="480"/>
      <c r="B30" s="480"/>
      <c r="C30" s="480"/>
      <c r="D30" s="477"/>
      <c r="E30" s="478"/>
      <c r="F30" s="479"/>
      <c r="G30" s="98"/>
      <c r="H30" s="98"/>
      <c r="I30" s="98"/>
      <c r="J30" s="98"/>
    </row>
    <row r="31" spans="1:10">
      <c r="A31" s="94"/>
      <c r="B31" s="94"/>
      <c r="C31" s="94"/>
      <c r="D31" s="94"/>
      <c r="E31" s="94"/>
      <c r="F31" s="94"/>
      <c r="G31" s="94"/>
      <c r="H31" s="94"/>
      <c r="I31" s="94"/>
      <c r="J31" s="94"/>
    </row>
    <row r="32" spans="1:10">
      <c r="A32" s="94"/>
      <c r="B32" s="94"/>
      <c r="C32" s="94"/>
      <c r="D32" s="94"/>
      <c r="E32" s="94"/>
      <c r="F32" s="94"/>
      <c r="G32" s="94"/>
      <c r="H32" s="94"/>
      <c r="I32" s="94"/>
      <c r="J32" s="94"/>
    </row>
    <row r="33" spans="1:10">
      <c r="A33" s="94"/>
      <c r="B33" s="94"/>
      <c r="C33" s="94"/>
      <c r="D33" s="94"/>
      <c r="E33" s="94"/>
      <c r="F33" s="94"/>
      <c r="G33" s="94"/>
      <c r="H33" s="94"/>
      <c r="I33" s="94"/>
      <c r="J33" s="94"/>
    </row>
    <row r="49" spans="3:7">
      <c r="C49" s="91" t="s">
        <v>20</v>
      </c>
      <c r="D49" s="91"/>
      <c r="E49" s="91"/>
      <c r="F49" s="91"/>
      <c r="G49" s="91" t="s">
        <v>21</v>
      </c>
    </row>
    <row r="53" spans="3:7">
      <c r="C53" s="364">
        <v>44957</v>
      </c>
      <c r="D53" s="91"/>
      <c r="E53" s="91"/>
      <c r="F53" s="91"/>
      <c r="G53" s="91"/>
    </row>
    <row r="66" spans="6:6">
      <c r="F66" s="3"/>
    </row>
  </sheetData>
  <mergeCells count="13">
    <mergeCell ref="A25:C25"/>
    <mergeCell ref="D25:F25"/>
    <mergeCell ref="A26:C26"/>
    <mergeCell ref="D26:F26"/>
    <mergeCell ref="A13:J13"/>
    <mergeCell ref="A30:C30"/>
    <mergeCell ref="D30:F30"/>
    <mergeCell ref="A27:C27"/>
    <mergeCell ref="D27:F27"/>
    <mergeCell ref="A28:C28"/>
    <mergeCell ref="D28:F28"/>
    <mergeCell ref="A29:C29"/>
    <mergeCell ref="D29:F29"/>
  </mergeCells>
  <pageMargins left="0.7" right="0.7" top="0.75" bottom="0.75" header="0.3" footer="0.3"/>
  <pageSetup paperSize="9" scale="82"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showGridLines="0" view="pageBreakPreview" topLeftCell="A4" zoomScale="90" zoomScaleNormal="100" zoomScaleSheetLayoutView="90" workbookViewId="0">
      <selection activeCell="C54" sqref="C54"/>
    </sheetView>
  </sheetViews>
  <sheetFormatPr defaultColWidth="9.28515625" defaultRowHeight="15"/>
  <cols>
    <col min="1" max="1" width="9.28515625" style="2" customWidth="1"/>
    <col min="2" max="2" width="14.5703125" style="2" bestFit="1" customWidth="1"/>
    <col min="3" max="8" width="9.28515625" style="2"/>
    <col min="9" max="9" width="14.28515625" style="2" customWidth="1"/>
    <col min="10" max="10" width="10.42578125" style="2" customWidth="1"/>
    <col min="11" max="16384" width="9.28515625" style="2"/>
  </cols>
  <sheetData>
    <row r="1" spans="1:16">
      <c r="A1" s="91" t="str">
        <f>+'Cover Page'!$B$29</f>
        <v>Annual Performance Report 2022</v>
      </c>
      <c r="B1" s="91"/>
      <c r="C1" s="91"/>
      <c r="D1" s="91"/>
      <c r="E1" s="91" t="str">
        <f>+'Cover Page'!$B$33</f>
        <v>Dudley Energy from Waste Facility</v>
      </c>
      <c r="F1" s="91"/>
      <c r="G1" s="91"/>
      <c r="H1" s="91"/>
      <c r="I1" s="91"/>
      <c r="J1" s="91"/>
      <c r="K1" s="91"/>
      <c r="L1" s="91"/>
      <c r="M1" s="91"/>
      <c r="N1" s="91"/>
      <c r="O1" s="91"/>
      <c r="P1" s="91"/>
    </row>
    <row r="2" spans="1:16" ht="7.5" customHeight="1">
      <c r="A2" s="91"/>
      <c r="B2" s="91"/>
      <c r="C2" s="91"/>
      <c r="D2" s="91"/>
      <c r="E2" s="91"/>
      <c r="F2" s="91"/>
      <c r="G2" s="91"/>
      <c r="H2" s="91"/>
      <c r="I2" s="91"/>
      <c r="J2" s="91"/>
      <c r="K2" s="91"/>
      <c r="L2" s="91"/>
      <c r="M2" s="91"/>
      <c r="N2" s="91"/>
      <c r="O2" s="91"/>
      <c r="P2" s="91"/>
    </row>
    <row r="3" spans="1:16" ht="15.6">
      <c r="A3" s="1" t="s">
        <v>40</v>
      </c>
      <c r="B3" s="91"/>
      <c r="C3" s="91"/>
      <c r="D3" s="91"/>
      <c r="E3" s="91"/>
      <c r="F3" s="91"/>
      <c r="G3" s="91"/>
      <c r="H3" s="91"/>
      <c r="I3" s="91"/>
      <c r="J3" s="91"/>
      <c r="K3" s="91"/>
      <c r="L3" s="91"/>
      <c r="M3" s="91"/>
      <c r="N3" s="91"/>
      <c r="O3" s="91"/>
      <c r="P3" s="91"/>
    </row>
    <row r="4" spans="1:16" ht="9.75" customHeight="1">
      <c r="A4" s="1"/>
      <c r="B4" s="91"/>
      <c r="C4" s="91"/>
      <c r="D4" s="91"/>
      <c r="E4" s="91"/>
      <c r="F4" s="91"/>
      <c r="G4" s="91"/>
      <c r="H4" s="91"/>
      <c r="I4" s="91"/>
      <c r="J4" s="91"/>
      <c r="K4" s="91"/>
      <c r="L4" s="91"/>
      <c r="M4" s="91"/>
      <c r="N4" s="91"/>
      <c r="O4" s="91"/>
      <c r="P4" s="91"/>
    </row>
    <row r="5" spans="1:16" s="3" customFormat="1" ht="21.75" customHeight="1">
      <c r="A5" s="48" t="s">
        <v>323</v>
      </c>
      <c r="B5" s="49"/>
      <c r="C5" s="49"/>
      <c r="D5" s="49"/>
      <c r="E5" s="49"/>
      <c r="F5" s="49"/>
      <c r="G5" s="49"/>
      <c r="H5" s="49"/>
      <c r="I5" s="49"/>
      <c r="J5" s="50"/>
      <c r="M5" s="82" t="s">
        <v>3</v>
      </c>
    </row>
    <row r="6" spans="1:16" s="3" customFormat="1" ht="15.75" customHeight="1">
      <c r="A6" s="129" t="s">
        <v>324</v>
      </c>
      <c r="B6" s="183"/>
      <c r="C6" s="183"/>
      <c r="D6" s="183"/>
      <c r="E6" s="183"/>
      <c r="F6" s="183"/>
      <c r="G6" s="183"/>
      <c r="H6" s="183"/>
      <c r="I6" s="183"/>
      <c r="J6" s="118"/>
      <c r="M6" s="136" t="s">
        <v>325</v>
      </c>
      <c r="N6" s="136"/>
      <c r="O6" s="136"/>
      <c r="P6" s="136"/>
    </row>
    <row r="7" spans="1:16" s="3" customFormat="1" ht="15.75" customHeight="1">
      <c r="A7" s="119"/>
      <c r="B7" s="184"/>
      <c r="C7" s="184"/>
      <c r="D7" s="184"/>
      <c r="E7" s="184"/>
      <c r="F7" s="184"/>
      <c r="G7" s="184"/>
      <c r="H7" s="184"/>
      <c r="I7" s="184"/>
      <c r="J7" s="120"/>
      <c r="M7" s="136"/>
      <c r="N7" s="136"/>
      <c r="O7" s="136"/>
      <c r="P7" s="136"/>
    </row>
    <row r="8" spans="1:16" s="3" customFormat="1" ht="13.9" customHeight="1">
      <c r="M8" s="136"/>
      <c r="N8" s="136"/>
      <c r="O8" s="136"/>
      <c r="P8" s="136"/>
    </row>
    <row r="9" spans="1:16" s="56" customFormat="1" ht="16.5" customHeight="1">
      <c r="A9" s="310" t="s">
        <v>326</v>
      </c>
      <c r="B9" s="311"/>
      <c r="C9" s="311"/>
      <c r="D9" s="311"/>
      <c r="E9" s="311"/>
      <c r="F9" s="311"/>
      <c r="G9" s="312"/>
      <c r="H9" s="152"/>
      <c r="I9" s="152"/>
      <c r="J9" s="131"/>
      <c r="M9" s="136"/>
      <c r="N9" s="136"/>
      <c r="O9" s="136"/>
      <c r="P9" s="136"/>
    </row>
    <row r="10" spans="1:16" s="56" customFormat="1" ht="16.5" customHeight="1">
      <c r="A10" s="315" t="s">
        <v>209</v>
      </c>
      <c r="B10" s="316"/>
      <c r="C10" s="313" t="s">
        <v>327</v>
      </c>
      <c r="D10" s="315" t="s">
        <v>328</v>
      </c>
      <c r="E10" s="316"/>
      <c r="F10" s="155" t="s">
        <v>221</v>
      </c>
      <c r="G10" s="156"/>
      <c r="H10" s="156"/>
      <c r="I10" s="156"/>
      <c r="J10" s="135"/>
      <c r="M10" s="136" t="s">
        <v>329</v>
      </c>
      <c r="N10" s="136"/>
      <c r="O10" s="136"/>
      <c r="P10" s="136"/>
    </row>
    <row r="11" spans="1:16" s="12" customFormat="1" ht="17.25" customHeight="1">
      <c r="A11" s="317"/>
      <c r="B11" s="318"/>
      <c r="C11" s="314"/>
      <c r="D11" s="317"/>
      <c r="E11" s="318"/>
      <c r="F11" s="46" t="s">
        <v>187</v>
      </c>
      <c r="G11" s="46" t="s">
        <v>188</v>
      </c>
      <c r="H11" s="121"/>
      <c r="I11" s="121"/>
      <c r="J11" s="46"/>
      <c r="K11" s="94"/>
      <c r="L11" s="94"/>
      <c r="M11" s="136"/>
      <c r="N11" s="136"/>
      <c r="O11" s="136"/>
      <c r="P11" s="136"/>
    </row>
    <row r="12" spans="1:16" s="12" customFormat="1" ht="23.25" customHeight="1">
      <c r="A12" s="426" t="s">
        <v>220</v>
      </c>
      <c r="B12" s="427"/>
      <c r="C12" s="481" t="s">
        <v>330</v>
      </c>
      <c r="D12" s="424" t="s">
        <v>331</v>
      </c>
      <c r="E12" s="425"/>
      <c r="F12" s="98">
        <v>0.25</v>
      </c>
      <c r="G12" s="98">
        <v>0.25</v>
      </c>
      <c r="H12" s="144"/>
      <c r="I12" s="144"/>
      <c r="J12" s="98"/>
      <c r="K12" s="94"/>
      <c r="L12" s="94"/>
      <c r="M12" s="136"/>
      <c r="N12" s="136"/>
      <c r="O12" s="136"/>
      <c r="P12" s="136"/>
    </row>
    <row r="13" spans="1:16" s="12" customFormat="1" ht="23.25" customHeight="1">
      <c r="A13" s="426" t="s">
        <v>332</v>
      </c>
      <c r="B13" s="427"/>
      <c r="C13" s="481" t="s">
        <v>333</v>
      </c>
      <c r="D13" s="424" t="s">
        <v>334</v>
      </c>
      <c r="E13" s="425"/>
      <c r="F13" s="98">
        <v>1E-3</v>
      </c>
      <c r="G13" s="98">
        <v>1E-3</v>
      </c>
      <c r="H13" s="144"/>
      <c r="I13" s="144"/>
      <c r="J13" s="98"/>
      <c r="K13" s="94"/>
      <c r="L13" s="94"/>
      <c r="M13" s="94"/>
      <c r="N13" s="94"/>
      <c r="O13" s="94"/>
      <c r="P13" s="94"/>
    </row>
    <row r="14" spans="1:16" s="12" customFormat="1" ht="23.25" customHeight="1">
      <c r="A14" s="426" t="s">
        <v>335</v>
      </c>
      <c r="B14" s="427"/>
      <c r="C14" s="481" t="s">
        <v>333</v>
      </c>
      <c r="D14" s="424" t="s">
        <v>334</v>
      </c>
      <c r="E14" s="425"/>
      <c r="F14" s="98">
        <v>8.0000000000000002E-3</v>
      </c>
      <c r="G14" s="98">
        <v>2E-3</v>
      </c>
      <c r="H14" s="144"/>
      <c r="I14" s="144"/>
      <c r="J14" s="98"/>
      <c r="K14" s="94"/>
      <c r="L14" s="94"/>
      <c r="M14" s="94"/>
      <c r="N14" s="94"/>
      <c r="O14" s="94"/>
      <c r="P14" s="94"/>
    </row>
    <row r="15" spans="1:16" s="12" customFormat="1" ht="23.25" customHeight="1">
      <c r="A15" s="426" t="s">
        <v>336</v>
      </c>
      <c r="B15" s="427"/>
      <c r="C15" s="481" t="s">
        <v>333</v>
      </c>
      <c r="D15" s="424" t="s">
        <v>337</v>
      </c>
      <c r="E15" s="425"/>
      <c r="F15" s="98">
        <v>0.39</v>
      </c>
      <c r="G15" s="98">
        <v>7.0000000000000007E-2</v>
      </c>
      <c r="H15" s="144"/>
      <c r="I15" s="144"/>
      <c r="J15" s="98"/>
      <c r="K15" s="94"/>
      <c r="L15" s="94"/>
      <c r="M15" s="94"/>
      <c r="N15" s="94"/>
      <c r="O15" s="94"/>
      <c r="P15" s="94"/>
    </row>
    <row r="16" spans="1:16" s="12" customFormat="1" ht="23.25" customHeight="1">
      <c r="A16" s="426" t="s">
        <v>338</v>
      </c>
      <c r="B16" s="427"/>
      <c r="C16" s="481" t="s">
        <v>333</v>
      </c>
      <c r="D16" s="424" t="s">
        <v>339</v>
      </c>
      <c r="E16" s="425"/>
      <c r="F16" s="98">
        <v>0.01</v>
      </c>
      <c r="G16" s="98">
        <v>0.02</v>
      </c>
      <c r="H16" s="144"/>
      <c r="I16" s="144"/>
      <c r="J16" s="98"/>
      <c r="K16" s="94"/>
      <c r="L16" s="94"/>
      <c r="M16" s="94"/>
      <c r="N16" s="94"/>
      <c r="O16" s="94"/>
      <c r="P16" s="94"/>
    </row>
    <row r="17" spans="1:10" s="12" customFormat="1" ht="23.25" customHeight="1">
      <c r="A17" s="426" t="s">
        <v>340</v>
      </c>
      <c r="B17" s="427"/>
      <c r="C17" s="481" t="s">
        <v>333</v>
      </c>
      <c r="D17" s="424" t="s">
        <v>341</v>
      </c>
      <c r="E17" s="425"/>
      <c r="F17" s="98">
        <v>1.6000000000000001E-3</v>
      </c>
      <c r="G17" s="98">
        <v>9.5E-4</v>
      </c>
      <c r="H17" s="144"/>
      <c r="I17" s="144"/>
      <c r="J17" s="98"/>
    </row>
    <row r="18" spans="1:10" s="12" customFormat="1" ht="23.25" customHeight="1">
      <c r="A18" s="426" t="s">
        <v>342</v>
      </c>
      <c r="B18" s="427"/>
      <c r="C18" s="481" t="s">
        <v>333</v>
      </c>
      <c r="D18" s="424" t="s">
        <v>341</v>
      </c>
      <c r="E18" s="425"/>
      <c r="F18" s="98">
        <v>1E-4</v>
      </c>
      <c r="G18" s="98">
        <v>6.9999999999999994E-5</v>
      </c>
      <c r="H18" s="144"/>
      <c r="I18" s="144"/>
      <c r="J18" s="98"/>
    </row>
    <row r="19" spans="1:10" s="12" customFormat="1" ht="23.25" customHeight="1">
      <c r="A19" s="426" t="s">
        <v>343</v>
      </c>
      <c r="B19" s="427"/>
      <c r="C19" s="481" t="s">
        <v>333</v>
      </c>
      <c r="D19" s="424" t="s">
        <v>341</v>
      </c>
      <c r="E19" s="425"/>
      <c r="F19" s="98">
        <v>1.4999999999999999E-2</v>
      </c>
      <c r="G19" s="98">
        <v>2.7000000000000001E-3</v>
      </c>
      <c r="H19" s="144"/>
      <c r="I19" s="144"/>
      <c r="J19" s="98"/>
    </row>
    <row r="20" spans="1:10" s="12" customFormat="1" ht="23.25" customHeight="1">
      <c r="A20" s="426" t="s">
        <v>344</v>
      </c>
      <c r="B20" s="427"/>
      <c r="C20" s="481" t="s">
        <v>333</v>
      </c>
      <c r="D20" s="424" t="s">
        <v>341</v>
      </c>
      <c r="E20" s="425"/>
      <c r="F20" s="98">
        <v>1.0999999999999999E-2</v>
      </c>
      <c r="G20" s="98">
        <v>2.1999999999999999E-2</v>
      </c>
      <c r="H20" s="144"/>
      <c r="I20" s="144"/>
      <c r="J20" s="98"/>
    </row>
    <row r="21" spans="1:10" s="12" customFormat="1" ht="23.25" customHeight="1">
      <c r="A21" s="426" t="s">
        <v>345</v>
      </c>
      <c r="B21" s="427"/>
      <c r="C21" s="481" t="s">
        <v>333</v>
      </c>
      <c r="D21" s="424" t="s">
        <v>341</v>
      </c>
      <c r="E21" s="425"/>
      <c r="F21" s="98">
        <v>1.2999999999999999E-2</v>
      </c>
      <c r="G21" s="98">
        <v>2.5000000000000001E-2</v>
      </c>
      <c r="H21" s="144"/>
      <c r="I21" s="144"/>
      <c r="J21" s="98"/>
    </row>
    <row r="22" spans="1:10" s="12" customFormat="1" ht="23.25" customHeight="1">
      <c r="A22" s="426" t="s">
        <v>346</v>
      </c>
      <c r="B22" s="427"/>
      <c r="C22" s="481" t="s">
        <v>333</v>
      </c>
      <c r="D22" s="424" t="s">
        <v>341</v>
      </c>
      <c r="E22" s="425"/>
      <c r="F22" s="98">
        <v>0.02</v>
      </c>
      <c r="G22" s="98">
        <v>0.04</v>
      </c>
      <c r="H22" s="144"/>
      <c r="I22" s="144"/>
      <c r="J22" s="98"/>
    </row>
    <row r="23" spans="1:10" s="12" customFormat="1" ht="23.25" customHeight="1">
      <c r="A23" s="426" t="s">
        <v>347</v>
      </c>
      <c r="B23" s="427"/>
      <c r="C23" s="481" t="s">
        <v>333</v>
      </c>
      <c r="D23" s="424" t="s">
        <v>348</v>
      </c>
      <c r="E23" s="425"/>
      <c r="F23" s="144" t="s">
        <v>349</v>
      </c>
      <c r="G23" s="144" t="s">
        <v>350</v>
      </c>
      <c r="H23" s="144"/>
      <c r="I23" s="144"/>
      <c r="J23" s="98"/>
    </row>
    <row r="24" spans="1:10" s="12" customFormat="1" ht="23.25" customHeight="1">
      <c r="A24" s="426" t="s">
        <v>351</v>
      </c>
      <c r="B24" s="427"/>
      <c r="C24" s="481" t="s">
        <v>333</v>
      </c>
      <c r="D24" s="424" t="s">
        <v>348</v>
      </c>
      <c r="E24" s="425"/>
      <c r="F24" s="144" t="s">
        <v>349</v>
      </c>
      <c r="G24" s="144" t="s">
        <v>350</v>
      </c>
      <c r="H24" s="144"/>
      <c r="I24" s="144"/>
      <c r="J24" s="98"/>
    </row>
    <row r="25" spans="1:10" s="12" customFormat="1" ht="23.25" customHeight="1">
      <c r="A25" s="308" t="s">
        <v>352</v>
      </c>
      <c r="B25" s="308"/>
      <c r="C25" s="481" t="s">
        <v>333</v>
      </c>
      <c r="D25" s="482" t="s">
        <v>348</v>
      </c>
      <c r="E25" s="482"/>
      <c r="F25" s="98" t="s">
        <v>349</v>
      </c>
      <c r="G25" s="98" t="s">
        <v>350</v>
      </c>
      <c r="H25" s="98"/>
      <c r="I25" s="98"/>
      <c r="J25" s="98"/>
    </row>
    <row r="26" spans="1:10" s="12" customFormat="1" ht="23.25" customHeight="1">
      <c r="A26" s="308" t="s">
        <v>353</v>
      </c>
      <c r="B26" s="308"/>
      <c r="C26" s="481" t="s">
        <v>333</v>
      </c>
      <c r="D26" s="482" t="s">
        <v>348</v>
      </c>
      <c r="E26" s="482"/>
      <c r="F26" s="98" t="s">
        <v>349</v>
      </c>
      <c r="G26" s="98" t="s">
        <v>350</v>
      </c>
      <c r="H26" s="98"/>
      <c r="I26" s="98"/>
      <c r="J26" s="98"/>
    </row>
    <row r="27" spans="1:10" s="12" customFormat="1" ht="23.25" customHeight="1">
      <c r="A27" s="308" t="s">
        <v>354</v>
      </c>
      <c r="B27" s="308"/>
      <c r="C27" s="481" t="s">
        <v>333</v>
      </c>
      <c r="D27" s="482" t="s">
        <v>348</v>
      </c>
      <c r="E27" s="482"/>
      <c r="F27" s="98">
        <v>1.29E-2</v>
      </c>
      <c r="G27" s="98">
        <v>2.1999999999999999E-2</v>
      </c>
      <c r="H27" s="98"/>
      <c r="I27" s="98"/>
      <c r="J27" s="98"/>
    </row>
    <row r="28" spans="1:10" s="12" customFormat="1" ht="23.25" customHeight="1">
      <c r="A28" s="308" t="s">
        <v>355</v>
      </c>
      <c r="B28" s="308"/>
      <c r="C28" s="481" t="s">
        <v>333</v>
      </c>
      <c r="D28" s="482" t="s">
        <v>348</v>
      </c>
      <c r="E28" s="482"/>
      <c r="F28" s="98" t="s">
        <v>349</v>
      </c>
      <c r="G28" s="98" t="s">
        <v>350</v>
      </c>
      <c r="H28" s="98"/>
      <c r="I28" s="98"/>
      <c r="J28" s="98"/>
    </row>
    <row r="29" spans="1:10" s="12" customFormat="1" ht="23.25" customHeight="1">
      <c r="A29" s="308" t="s">
        <v>356</v>
      </c>
      <c r="B29" s="308"/>
      <c r="C29" s="481" t="s">
        <v>333</v>
      </c>
      <c r="D29" s="482" t="s">
        <v>348</v>
      </c>
      <c r="E29" s="482"/>
      <c r="F29" s="98">
        <v>9.1000000000000004E-3</v>
      </c>
      <c r="G29" s="98" t="s">
        <v>350</v>
      </c>
      <c r="H29" s="98"/>
      <c r="I29" s="98"/>
      <c r="J29" s="98"/>
    </row>
    <row r="30" spans="1:10" s="12" customFormat="1" ht="23.25" customHeight="1">
      <c r="A30" s="308" t="s">
        <v>357</v>
      </c>
      <c r="B30" s="308"/>
      <c r="C30" s="481" t="s">
        <v>333</v>
      </c>
      <c r="D30" s="482" t="s">
        <v>348</v>
      </c>
      <c r="E30" s="482"/>
      <c r="F30" s="98" t="s">
        <v>349</v>
      </c>
      <c r="G30" s="98" t="s">
        <v>350</v>
      </c>
      <c r="H30" s="98"/>
      <c r="I30" s="98"/>
      <c r="J30" s="98"/>
    </row>
    <row r="31" spans="1:10" s="12" customFormat="1" ht="23.25" customHeight="1">
      <c r="A31" s="308" t="s">
        <v>358</v>
      </c>
      <c r="B31" s="308"/>
      <c r="C31" s="481" t="s">
        <v>333</v>
      </c>
      <c r="D31" s="482" t="s">
        <v>348</v>
      </c>
      <c r="E31" s="482"/>
      <c r="F31" s="98" t="s">
        <v>349</v>
      </c>
      <c r="G31" s="98" t="s">
        <v>350</v>
      </c>
      <c r="H31" s="98"/>
      <c r="I31" s="98"/>
      <c r="J31" s="98"/>
    </row>
    <row r="32" spans="1:10" s="12" customFormat="1" ht="23.25" customHeight="1">
      <c r="A32" s="308" t="s">
        <v>359</v>
      </c>
      <c r="B32" s="308"/>
      <c r="C32" s="481" t="s">
        <v>333</v>
      </c>
      <c r="D32" s="482" t="s">
        <v>348</v>
      </c>
      <c r="E32" s="482"/>
      <c r="F32" s="98">
        <v>1.32E-2</v>
      </c>
      <c r="G32" s="98" t="s">
        <v>350</v>
      </c>
      <c r="H32" s="98"/>
      <c r="I32" s="98"/>
      <c r="J32" s="98"/>
    </row>
    <row r="33" spans="1:10" s="12" customFormat="1" ht="23.25" customHeight="1">
      <c r="A33" s="308" t="s">
        <v>360</v>
      </c>
      <c r="B33" s="308"/>
      <c r="C33" s="481" t="s">
        <v>333</v>
      </c>
      <c r="D33" s="482" t="s">
        <v>348</v>
      </c>
      <c r="E33" s="482"/>
      <c r="F33" s="98">
        <v>2.18E-2</v>
      </c>
      <c r="G33" s="98" t="s">
        <v>350</v>
      </c>
      <c r="H33" s="98"/>
      <c r="I33" s="98"/>
      <c r="J33" s="98"/>
    </row>
    <row r="34" spans="1:10" s="12" customFormat="1" ht="23.25" customHeight="1">
      <c r="A34" s="308" t="s">
        <v>361</v>
      </c>
      <c r="B34" s="308"/>
      <c r="C34" s="481" t="s">
        <v>333</v>
      </c>
      <c r="D34" s="482" t="s">
        <v>348</v>
      </c>
      <c r="E34" s="482"/>
      <c r="F34" s="98" t="s">
        <v>349</v>
      </c>
      <c r="G34" s="98" t="s">
        <v>350</v>
      </c>
      <c r="H34" s="98"/>
      <c r="I34" s="98"/>
      <c r="J34" s="98"/>
    </row>
    <row r="35" spans="1:10" s="12" customFormat="1" ht="23.25" customHeight="1">
      <c r="A35" s="308" t="s">
        <v>362</v>
      </c>
      <c r="B35" s="308"/>
      <c r="C35" s="481" t="s">
        <v>333</v>
      </c>
      <c r="D35" s="482" t="s">
        <v>348</v>
      </c>
      <c r="E35" s="482"/>
      <c r="F35" s="98" t="s">
        <v>349</v>
      </c>
      <c r="G35" s="98" t="s">
        <v>350</v>
      </c>
      <c r="H35" s="98"/>
      <c r="I35" s="98"/>
      <c r="J35" s="98"/>
    </row>
    <row r="36" spans="1:10" s="12" customFormat="1" ht="23.25" customHeight="1">
      <c r="A36" s="308" t="s">
        <v>363</v>
      </c>
      <c r="B36" s="308"/>
      <c r="C36" s="481" t="s">
        <v>333</v>
      </c>
      <c r="D36" s="482" t="s">
        <v>348</v>
      </c>
      <c r="E36" s="482"/>
      <c r="F36" s="98">
        <v>0.157</v>
      </c>
      <c r="G36" s="98">
        <v>3.7999999999999999E-2</v>
      </c>
      <c r="H36" s="98"/>
      <c r="I36" s="98"/>
      <c r="J36" s="98"/>
    </row>
    <row r="37" spans="1:10" s="12" customFormat="1" ht="23.25" customHeight="1">
      <c r="A37" s="308" t="s">
        <v>364</v>
      </c>
      <c r="B37" s="308"/>
      <c r="C37" s="481" t="s">
        <v>333</v>
      </c>
      <c r="D37" s="482" t="s">
        <v>348</v>
      </c>
      <c r="E37" s="482"/>
      <c r="F37" s="98" t="s">
        <v>349</v>
      </c>
      <c r="G37" s="98" t="s">
        <v>350</v>
      </c>
      <c r="H37" s="98"/>
      <c r="I37" s="98"/>
      <c r="J37" s="98"/>
    </row>
    <row r="38" spans="1:10" s="12" customFormat="1" ht="23.25" customHeight="1">
      <c r="A38" s="308" t="s">
        <v>365</v>
      </c>
      <c r="B38" s="308"/>
      <c r="C38" s="481" t="s">
        <v>333</v>
      </c>
      <c r="D38" s="482" t="s">
        <v>348</v>
      </c>
      <c r="E38" s="482"/>
      <c r="F38" s="98">
        <v>0.28999999999999998</v>
      </c>
      <c r="G38" s="98">
        <v>0.32</v>
      </c>
      <c r="H38" s="98"/>
      <c r="I38" s="98"/>
      <c r="J38" s="98"/>
    </row>
    <row r="39" spans="1:10">
      <c r="A39" s="222" t="s">
        <v>317</v>
      </c>
      <c r="B39" s="222"/>
      <c r="C39" s="222"/>
      <c r="D39" s="222"/>
      <c r="E39" s="222"/>
      <c r="F39" s="222"/>
      <c r="G39" s="222"/>
      <c r="H39" s="222"/>
      <c r="I39" s="222"/>
      <c r="J39" s="222"/>
    </row>
    <row r="40" spans="1:10">
      <c r="A40" s="306"/>
      <c r="B40" s="306"/>
      <c r="C40" s="306"/>
      <c r="D40" s="306"/>
      <c r="E40" s="306"/>
      <c r="F40" s="306"/>
      <c r="G40" s="306"/>
      <c r="H40" s="306"/>
      <c r="I40" s="306"/>
      <c r="J40" s="306"/>
    </row>
    <row r="41" spans="1:10">
      <c r="A41" s="306"/>
      <c r="B41" s="306"/>
      <c r="C41" s="306"/>
      <c r="D41" s="306"/>
      <c r="E41" s="306"/>
      <c r="F41" s="306"/>
      <c r="G41" s="306"/>
      <c r="H41" s="306"/>
      <c r="I41" s="306"/>
      <c r="J41" s="306"/>
    </row>
    <row r="49" spans="3:7">
      <c r="C49" s="91" t="s">
        <v>20</v>
      </c>
      <c r="D49" s="91"/>
      <c r="E49" s="91"/>
      <c r="F49" s="91"/>
      <c r="G49" s="91" t="s">
        <v>21</v>
      </c>
    </row>
    <row r="53" spans="3:7">
      <c r="C53" s="364">
        <v>44957</v>
      </c>
      <c r="D53" s="91"/>
      <c r="E53" s="91"/>
      <c r="F53" s="91"/>
      <c r="G53" s="91"/>
    </row>
    <row r="64" spans="3:7">
      <c r="C64" s="91"/>
      <c r="D64" s="91"/>
      <c r="E64" s="91"/>
      <c r="F64" s="3"/>
      <c r="G64" s="91"/>
    </row>
  </sheetData>
  <mergeCells count="60">
    <mergeCell ref="D21:E21"/>
    <mergeCell ref="D22:E22"/>
    <mergeCell ref="D23:E23"/>
    <mergeCell ref="D24:E24"/>
    <mergeCell ref="A21:B21"/>
    <mergeCell ref="A22:B22"/>
    <mergeCell ref="A23:B23"/>
    <mergeCell ref="A24:B24"/>
    <mergeCell ref="A9:G9"/>
    <mergeCell ref="C10:C11"/>
    <mergeCell ref="D10:E11"/>
    <mergeCell ref="D12:E12"/>
    <mergeCell ref="D13:E13"/>
    <mergeCell ref="A10:B11"/>
    <mergeCell ref="A12:B12"/>
    <mergeCell ref="A13:B13"/>
    <mergeCell ref="D14:E14"/>
    <mergeCell ref="D15:E15"/>
    <mergeCell ref="D16:E16"/>
    <mergeCell ref="D17:E17"/>
    <mergeCell ref="D18:E18"/>
    <mergeCell ref="D19:E19"/>
    <mergeCell ref="D20:E20"/>
    <mergeCell ref="A16:B16"/>
    <mergeCell ref="A17:B17"/>
    <mergeCell ref="A18:B18"/>
    <mergeCell ref="A19:B19"/>
    <mergeCell ref="A20:B20"/>
    <mergeCell ref="A14:B14"/>
    <mergeCell ref="A15:B15"/>
    <mergeCell ref="A25:B25"/>
    <mergeCell ref="D33:E33"/>
    <mergeCell ref="A40:J41"/>
    <mergeCell ref="A26:B26"/>
    <mergeCell ref="A27:B27"/>
    <mergeCell ref="A38:B38"/>
    <mergeCell ref="A28:B28"/>
    <mergeCell ref="A29:B29"/>
    <mergeCell ref="A30:B30"/>
    <mergeCell ref="A31:B31"/>
    <mergeCell ref="A32:B32"/>
    <mergeCell ref="A33:B33"/>
    <mergeCell ref="D38:E38"/>
    <mergeCell ref="D30:E30"/>
    <mergeCell ref="D37:E37"/>
    <mergeCell ref="A39:J39"/>
    <mergeCell ref="D35:E35"/>
    <mergeCell ref="D36:E36"/>
    <mergeCell ref="A34:B34"/>
    <mergeCell ref="A35:B35"/>
    <mergeCell ref="A36:B36"/>
    <mergeCell ref="A37:B37"/>
    <mergeCell ref="D28:E28"/>
    <mergeCell ref="D34:E34"/>
    <mergeCell ref="D25:E25"/>
    <mergeCell ref="D32:E32"/>
    <mergeCell ref="D26:E26"/>
    <mergeCell ref="D27:E27"/>
    <mergeCell ref="D29:E29"/>
    <mergeCell ref="D31:E31"/>
  </mergeCells>
  <phoneticPr fontId="25" type="noConversion"/>
  <pageMargins left="0.7" right="0.7" top="0.75" bottom="0.75" header="0.3" footer="0.3"/>
  <pageSetup paperSize="9" scale="83"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7"/>
  <sheetViews>
    <sheetView showGridLines="0" view="pageBreakPreview" zoomScale="60" zoomScaleNormal="100" workbookViewId="0">
      <selection activeCell="C54" sqref="C54"/>
    </sheetView>
  </sheetViews>
  <sheetFormatPr defaultColWidth="9.28515625" defaultRowHeight="15"/>
  <cols>
    <col min="1" max="1" width="21.28515625" style="2" customWidth="1"/>
    <col min="2" max="2" width="13.7109375" style="2" customWidth="1"/>
    <col min="3" max="3" width="16.28515625" style="2" customWidth="1"/>
    <col min="4" max="4" width="9.5703125" style="2" bestFit="1" customWidth="1"/>
    <col min="5" max="5" width="11.7109375" style="2" bestFit="1" customWidth="1"/>
    <col min="6" max="8" width="9.28515625" style="2"/>
    <col min="9" max="9" width="14.28515625" style="2" customWidth="1"/>
    <col min="10" max="12" width="9.28515625" style="2"/>
    <col min="13" max="13" width="10.42578125" style="2" customWidth="1"/>
    <col min="14" max="16384" width="9.28515625" style="2"/>
  </cols>
  <sheetData>
    <row r="1" spans="1:16">
      <c r="A1" s="91" t="str">
        <f>+'Cover Page'!$B$29</f>
        <v>Annual Performance Report 2022</v>
      </c>
      <c r="B1" s="91"/>
      <c r="C1" s="91"/>
      <c r="D1" s="91"/>
      <c r="E1" s="91"/>
      <c r="F1" s="91"/>
      <c r="G1" s="91"/>
      <c r="H1" s="91"/>
      <c r="I1" s="91" t="str">
        <f>+'Cover Page'!$B$33</f>
        <v>Dudley Energy from Waste Facility</v>
      </c>
      <c r="J1" s="91"/>
      <c r="K1" s="91"/>
      <c r="L1" s="91"/>
      <c r="M1" s="91"/>
      <c r="N1" s="91"/>
      <c r="O1" s="91"/>
      <c r="P1" s="91"/>
    </row>
    <row r="3" spans="1:16" ht="15.6">
      <c r="A3" s="1" t="s">
        <v>366</v>
      </c>
      <c r="B3" s="91"/>
      <c r="C3" s="91"/>
      <c r="D3" s="91"/>
      <c r="E3" s="91"/>
      <c r="F3" s="91"/>
      <c r="G3" s="91"/>
      <c r="H3" s="91"/>
      <c r="I3" s="91"/>
      <c r="J3" s="91"/>
      <c r="K3" s="91"/>
      <c r="L3" s="91"/>
      <c r="M3" s="91"/>
      <c r="N3" s="91"/>
      <c r="O3" s="91"/>
      <c r="P3" s="91"/>
    </row>
    <row r="4" spans="1:16" ht="15.6">
      <c r="A4" s="1"/>
      <c r="B4" s="91"/>
      <c r="C4" s="91"/>
      <c r="D4" s="91"/>
      <c r="E4" s="91"/>
      <c r="F4" s="91"/>
      <c r="G4" s="91"/>
      <c r="H4" s="91"/>
      <c r="I4" s="91"/>
      <c r="J4" s="91"/>
      <c r="K4" s="91"/>
      <c r="L4" s="91"/>
      <c r="M4" s="91"/>
      <c r="N4" s="91"/>
      <c r="O4" s="91"/>
      <c r="P4" s="73" t="s">
        <v>3</v>
      </c>
    </row>
    <row r="5" spans="1:16" s="3" customFormat="1" ht="21.75" customHeight="1">
      <c r="A5" s="48" t="s">
        <v>323</v>
      </c>
      <c r="B5" s="49"/>
      <c r="C5" s="49"/>
      <c r="D5" s="49"/>
      <c r="E5" s="49"/>
      <c r="F5" s="49"/>
      <c r="G5" s="49"/>
      <c r="H5" s="49"/>
      <c r="I5" s="49"/>
      <c r="J5" s="49"/>
      <c r="K5" s="49"/>
      <c r="L5" s="49"/>
      <c r="M5" s="50"/>
      <c r="P5" s="74" t="s">
        <v>367</v>
      </c>
    </row>
    <row r="6" spans="1:16" s="3" customFormat="1" ht="15.75" customHeight="1">
      <c r="A6" s="456"/>
      <c r="B6" s="205"/>
      <c r="C6" s="205"/>
      <c r="D6" s="205"/>
      <c r="E6" s="205"/>
      <c r="F6" s="205"/>
      <c r="G6" s="205"/>
      <c r="H6" s="205"/>
      <c r="I6" s="205"/>
      <c r="J6" s="205"/>
      <c r="K6" s="205"/>
      <c r="L6" s="205"/>
      <c r="M6" s="206"/>
      <c r="P6" s="3" t="s">
        <v>368</v>
      </c>
    </row>
    <row r="7" spans="1:16" s="3" customFormat="1" ht="15.75" customHeight="1">
      <c r="A7" s="210"/>
      <c r="B7" s="211"/>
      <c r="C7" s="211"/>
      <c r="D7" s="211"/>
      <c r="E7" s="211"/>
      <c r="F7" s="211"/>
      <c r="G7" s="211"/>
      <c r="H7" s="211"/>
      <c r="I7" s="211"/>
      <c r="J7" s="211"/>
      <c r="K7" s="211"/>
      <c r="L7" s="211"/>
      <c r="M7" s="212"/>
    </row>
    <row r="8" spans="1:16" s="3" customFormat="1" ht="15.75" customHeight="1">
      <c r="A8" s="180"/>
      <c r="B8" s="466"/>
      <c r="C8" s="466"/>
      <c r="D8" s="466"/>
      <c r="E8" s="466"/>
      <c r="F8" s="466"/>
      <c r="G8" s="466"/>
      <c r="H8" s="466"/>
      <c r="I8" s="466"/>
      <c r="J8" s="181"/>
      <c r="K8" s="181"/>
      <c r="L8" s="181"/>
      <c r="M8" s="182"/>
    </row>
    <row r="9" spans="1:16" s="3" customFormat="1" ht="15.75" customHeight="1">
      <c r="A9" s="113"/>
      <c r="B9" s="467"/>
      <c r="C9" s="467"/>
      <c r="D9" s="467"/>
      <c r="E9" s="467"/>
      <c r="F9" s="467"/>
      <c r="G9" s="467"/>
      <c r="H9" s="467"/>
      <c r="I9" s="467"/>
      <c r="J9" s="114"/>
      <c r="K9" s="114"/>
      <c r="L9" s="114"/>
      <c r="M9" s="115"/>
    </row>
    <row r="10" spans="1:16" s="3" customFormat="1" ht="13.9"/>
    <row r="11" spans="1:16" s="56" customFormat="1" ht="16.5" customHeight="1">
      <c r="A11" s="310" t="s">
        <v>369</v>
      </c>
      <c r="B11" s="311"/>
      <c r="C11" s="311"/>
      <c r="D11" s="311"/>
      <c r="E11" s="311"/>
      <c r="F11" s="311"/>
      <c r="G11" s="311"/>
      <c r="H11" s="311"/>
      <c r="I11" s="311"/>
      <c r="J11" s="311"/>
      <c r="K11" s="311"/>
      <c r="L11" s="312"/>
      <c r="M11" s="131"/>
    </row>
    <row r="12" spans="1:16" s="56" customFormat="1" ht="16.5" customHeight="1">
      <c r="A12" s="313" t="s">
        <v>209</v>
      </c>
      <c r="B12" s="313" t="s">
        <v>370</v>
      </c>
      <c r="C12" s="313" t="s">
        <v>328</v>
      </c>
      <c r="D12" s="237" t="s">
        <v>187</v>
      </c>
      <c r="E12" s="238"/>
      <c r="F12" s="237" t="s">
        <v>188</v>
      </c>
      <c r="G12" s="238"/>
      <c r="H12" s="153"/>
      <c r="I12" s="154"/>
      <c r="J12" s="124"/>
      <c r="K12" s="137"/>
      <c r="L12" s="124"/>
      <c r="M12" s="137"/>
    </row>
    <row r="13" spans="1:16" s="12" customFormat="1" ht="17.25" customHeight="1">
      <c r="A13" s="314"/>
      <c r="B13" s="314"/>
      <c r="C13" s="314"/>
      <c r="D13" s="46" t="s">
        <v>322</v>
      </c>
      <c r="E13" s="57" t="s">
        <v>371</v>
      </c>
      <c r="F13" s="46" t="s">
        <v>322</v>
      </c>
      <c r="G13" s="57" t="s">
        <v>371</v>
      </c>
      <c r="H13" s="121"/>
      <c r="I13" s="143"/>
      <c r="J13" s="46"/>
      <c r="K13" s="57"/>
      <c r="L13" s="46"/>
      <c r="M13" s="57"/>
      <c r="N13" s="94"/>
      <c r="O13" s="94"/>
      <c r="P13" s="94"/>
    </row>
    <row r="14" spans="1:16" s="12" customFormat="1" ht="23.25" customHeight="1">
      <c r="A14" s="483" t="s">
        <v>215</v>
      </c>
      <c r="B14" s="484" t="s">
        <v>372</v>
      </c>
      <c r="C14" s="448" t="s">
        <v>373</v>
      </c>
      <c r="D14" s="485">
        <f>NOx!O19</f>
        <v>196</v>
      </c>
      <c r="E14" s="485">
        <f>NOx!N19</f>
        <v>178.08333333333334</v>
      </c>
      <c r="F14" s="485">
        <f>NOx!O34</f>
        <v>196</v>
      </c>
      <c r="G14" s="485">
        <f>NOx!N34</f>
        <v>179.08333333333334</v>
      </c>
      <c r="H14" s="144"/>
      <c r="I14" s="144"/>
      <c r="J14" s="98"/>
      <c r="K14" s="98"/>
      <c r="L14" s="98"/>
      <c r="M14" s="98"/>
      <c r="N14" s="94"/>
      <c r="O14" s="94"/>
      <c r="P14" s="94"/>
    </row>
    <row r="15" spans="1:16" s="12" customFormat="1" ht="23.25" customHeight="1">
      <c r="A15" s="486"/>
      <c r="B15" s="484" t="s">
        <v>374</v>
      </c>
      <c r="C15" s="448" t="s">
        <v>375</v>
      </c>
      <c r="D15" s="485">
        <f>NOx!M19</f>
        <v>552</v>
      </c>
      <c r="E15" s="485">
        <f>NOx!L19</f>
        <v>178.25</v>
      </c>
      <c r="F15" s="485">
        <f>NOx!M34</f>
        <v>358</v>
      </c>
      <c r="G15" s="485">
        <f>NOx!L34</f>
        <v>178.91666666666666</v>
      </c>
      <c r="H15" s="144"/>
      <c r="I15" s="144"/>
      <c r="J15" s="98"/>
      <c r="K15" s="98"/>
      <c r="L15" s="98"/>
      <c r="M15" s="98"/>
      <c r="N15" s="94"/>
      <c r="O15" s="94"/>
      <c r="P15" s="94"/>
    </row>
    <row r="16" spans="1:16" s="12" customFormat="1" ht="23.25" customHeight="1">
      <c r="A16" s="483" t="s">
        <v>214</v>
      </c>
      <c r="B16" s="484" t="s">
        <v>372</v>
      </c>
      <c r="C16" s="448" t="s">
        <v>376</v>
      </c>
      <c r="D16" s="485">
        <f>Particulates!O19</f>
        <v>2</v>
      </c>
      <c r="E16" s="485">
        <f>Particulates!N19</f>
        <v>0.17763564989371441</v>
      </c>
      <c r="F16" s="485">
        <f>Particulates!O34</f>
        <v>7</v>
      </c>
      <c r="G16" s="485">
        <f>Particulates!N34</f>
        <v>1.3833333333333335</v>
      </c>
      <c r="H16" s="144"/>
      <c r="I16" s="144"/>
      <c r="J16" s="98"/>
      <c r="K16" s="98"/>
      <c r="L16" s="98"/>
      <c r="M16" s="98"/>
      <c r="N16" s="94"/>
      <c r="O16" s="94"/>
      <c r="P16" s="94"/>
    </row>
    <row r="17" spans="1:13" s="12" customFormat="1" ht="23.25" customHeight="1">
      <c r="A17" s="486"/>
      <c r="B17" s="484" t="s">
        <v>374</v>
      </c>
      <c r="C17" s="448" t="s">
        <v>377</v>
      </c>
      <c r="D17" s="485">
        <f>Particulates!M19</f>
        <v>28</v>
      </c>
      <c r="E17" s="485">
        <f>Particulates!L19</f>
        <v>0.33333333333333331</v>
      </c>
      <c r="F17" s="485">
        <f>Particulates!M34</f>
        <v>45</v>
      </c>
      <c r="G17" s="485">
        <f>Particulates!L34</f>
        <v>1.3333333333333333</v>
      </c>
      <c r="H17" s="144"/>
      <c r="I17" s="144"/>
      <c r="J17" s="98"/>
      <c r="K17" s="98"/>
      <c r="L17" s="98"/>
      <c r="M17" s="98"/>
    </row>
    <row r="18" spans="1:13" s="12" customFormat="1" ht="23.25" customHeight="1">
      <c r="A18" s="483" t="s">
        <v>378</v>
      </c>
      <c r="B18" s="484" t="s">
        <v>372</v>
      </c>
      <c r="C18" s="448" t="s">
        <v>379</v>
      </c>
      <c r="D18" s="485">
        <f>TOC!O19</f>
        <v>2</v>
      </c>
      <c r="E18" s="485">
        <f>TOC!N19</f>
        <v>1</v>
      </c>
      <c r="F18" s="485">
        <f>TOC!O34</f>
        <v>2</v>
      </c>
      <c r="G18" s="485">
        <f>TOC!N34</f>
        <v>1</v>
      </c>
      <c r="H18" s="144"/>
      <c r="I18" s="144"/>
      <c r="J18" s="98"/>
      <c r="K18" s="98"/>
      <c r="L18" s="98"/>
      <c r="M18" s="98"/>
    </row>
    <row r="19" spans="1:13" s="12" customFormat="1" ht="23.25" customHeight="1">
      <c r="A19" s="486"/>
      <c r="B19" s="484" t="s">
        <v>374</v>
      </c>
      <c r="C19" s="448" t="s">
        <v>380</v>
      </c>
      <c r="D19" s="485">
        <f>TOC!M19</f>
        <v>51</v>
      </c>
      <c r="E19" s="485">
        <f>TOC!L19</f>
        <v>0.83333333333333337</v>
      </c>
      <c r="F19" s="485">
        <f>TOC!M34</f>
        <v>29</v>
      </c>
      <c r="G19" s="485">
        <f>TOC!L34</f>
        <v>1</v>
      </c>
      <c r="H19" s="144"/>
      <c r="I19" s="144"/>
      <c r="J19" s="98"/>
      <c r="K19" s="98"/>
      <c r="L19" s="98"/>
      <c r="M19" s="98"/>
    </row>
    <row r="20" spans="1:13" s="12" customFormat="1" ht="23.25" customHeight="1">
      <c r="A20" s="483" t="s">
        <v>381</v>
      </c>
      <c r="B20" s="484" t="s">
        <v>372</v>
      </c>
      <c r="C20" s="448" t="s">
        <v>379</v>
      </c>
      <c r="D20" s="485">
        <f>HCl!O19</f>
        <v>13</v>
      </c>
      <c r="E20" s="485">
        <f>HCl!N19</f>
        <v>6.4575000000000005</v>
      </c>
      <c r="F20" s="485">
        <f>HCl!O34</f>
        <v>10</v>
      </c>
      <c r="G20" s="485">
        <f>HCl!N34</f>
        <v>6.0083333333333337</v>
      </c>
      <c r="H20" s="144"/>
      <c r="I20" s="144"/>
      <c r="J20" s="98"/>
      <c r="K20" s="98"/>
      <c r="L20" s="98"/>
      <c r="M20" s="98"/>
    </row>
    <row r="21" spans="1:13" s="12" customFormat="1" ht="23.25" customHeight="1">
      <c r="A21" s="486"/>
      <c r="B21" s="484" t="s">
        <v>374</v>
      </c>
      <c r="C21" s="448" t="s">
        <v>382</v>
      </c>
      <c r="D21" s="485">
        <f>HCl!M19</f>
        <v>113</v>
      </c>
      <c r="E21" s="485">
        <f>HCl!L19</f>
        <v>6.5</v>
      </c>
      <c r="F21" s="485">
        <f>HCl!M34</f>
        <v>67</v>
      </c>
      <c r="G21" s="485">
        <f>HCl!L34</f>
        <v>6</v>
      </c>
      <c r="H21" s="144"/>
      <c r="I21" s="144"/>
      <c r="J21" s="98"/>
      <c r="K21" s="98"/>
      <c r="L21" s="98"/>
      <c r="M21" s="98"/>
    </row>
    <row r="22" spans="1:13" s="12" customFormat="1" ht="23.25" customHeight="1">
      <c r="A22" s="483" t="s">
        <v>216</v>
      </c>
      <c r="B22" s="484" t="s">
        <v>372</v>
      </c>
      <c r="C22" s="448" t="s">
        <v>383</v>
      </c>
      <c r="D22" s="485">
        <f>'SO2'!O19</f>
        <v>49</v>
      </c>
      <c r="E22" s="485">
        <f>'SO2'!N19</f>
        <v>12.525</v>
      </c>
      <c r="F22" s="485">
        <f>'SO2'!O34</f>
        <v>33</v>
      </c>
      <c r="G22" s="485">
        <f>'SO2'!N34</f>
        <v>9.0792597187758464</v>
      </c>
      <c r="H22" s="144"/>
      <c r="I22" s="144"/>
      <c r="J22" s="98"/>
      <c r="K22" s="98"/>
      <c r="L22" s="98"/>
      <c r="M22" s="98"/>
    </row>
    <row r="23" spans="1:13" s="12" customFormat="1" ht="23.25" customHeight="1">
      <c r="A23" s="486"/>
      <c r="B23" s="484" t="s">
        <v>374</v>
      </c>
      <c r="C23" s="448" t="s">
        <v>373</v>
      </c>
      <c r="D23" s="485">
        <f>'SO2'!M19</f>
        <v>286</v>
      </c>
      <c r="E23" s="485">
        <f>'SO2'!L19</f>
        <v>12.833333333333334</v>
      </c>
      <c r="F23" s="485">
        <f>'SO2'!M34</f>
        <v>270</v>
      </c>
      <c r="G23" s="485">
        <f>'SO2'!L34</f>
        <v>9.1666666666666661</v>
      </c>
      <c r="H23" s="144"/>
      <c r="I23" s="144"/>
      <c r="J23" s="98"/>
      <c r="K23" s="98"/>
      <c r="L23" s="98"/>
      <c r="M23" s="98"/>
    </row>
    <row r="24" spans="1:13" s="12" customFormat="1" ht="23.25" customHeight="1">
      <c r="A24" s="483" t="s">
        <v>384</v>
      </c>
      <c r="B24" s="484" t="s">
        <v>372</v>
      </c>
      <c r="C24" s="448" t="s">
        <v>383</v>
      </c>
      <c r="D24" s="485">
        <f>'CO 95% 10 min'!Q19</f>
        <v>74</v>
      </c>
      <c r="E24" s="485">
        <f>'CO 95% 10 min'!P19</f>
        <v>7.4309453906617415</v>
      </c>
      <c r="F24" s="485">
        <f>'CO 95% 10 min'!Q34</f>
        <v>122</v>
      </c>
      <c r="G24" s="485">
        <f>'CO 95% 10 min'!P34</f>
        <v>10.803093330233672</v>
      </c>
      <c r="H24" s="144"/>
      <c r="I24" s="144"/>
      <c r="J24" s="98"/>
      <c r="K24" s="98"/>
      <c r="L24" s="98"/>
      <c r="M24" s="98"/>
    </row>
    <row r="25" spans="1:13" s="12" customFormat="1" ht="23.25" customHeight="1">
      <c r="A25" s="486"/>
      <c r="B25" s="98" t="s">
        <v>385</v>
      </c>
      <c r="C25" s="98" t="s">
        <v>386</v>
      </c>
      <c r="D25" s="485">
        <f>'CO 95% 10 min'!M19</f>
        <v>13.025</v>
      </c>
      <c r="E25" s="485">
        <f>'CO 95% 10 min'!N19</f>
        <v>7.5</v>
      </c>
      <c r="F25" s="485">
        <f>'CO 95% 10 min'!M34</f>
        <v>24.073333333333334</v>
      </c>
      <c r="G25" s="485">
        <f>'CO 95% 10 min'!N34</f>
        <v>12.416666666666666</v>
      </c>
      <c r="H25" s="98"/>
      <c r="I25" s="98"/>
      <c r="J25" s="98"/>
      <c r="K25" s="98"/>
      <c r="L25" s="98"/>
      <c r="M25" s="98"/>
    </row>
    <row r="26" spans="1:13" s="12" customFormat="1" ht="23.25" customHeight="1">
      <c r="A26" s="487" t="s">
        <v>387</v>
      </c>
      <c r="B26" s="488" t="s">
        <v>372</v>
      </c>
      <c r="C26" s="488" t="s">
        <v>388</v>
      </c>
      <c r="D26" s="489">
        <f>'NH3'!O19</f>
        <v>10</v>
      </c>
      <c r="E26" s="489">
        <f>'NH3'!N19</f>
        <v>5.5135737820762847</v>
      </c>
      <c r="F26" s="489">
        <f>'NH3'!O34</f>
        <v>23</v>
      </c>
      <c r="G26" s="489">
        <f>'NH3'!N34</f>
        <v>4.3573227474437148</v>
      </c>
      <c r="H26" s="490"/>
      <c r="I26" s="490"/>
      <c r="J26" s="490"/>
      <c r="K26" s="490"/>
      <c r="L26" s="490"/>
      <c r="M26" s="490"/>
    </row>
    <row r="27" spans="1:13">
      <c r="A27" s="319" t="s">
        <v>389</v>
      </c>
      <c r="B27" s="320"/>
      <c r="C27" s="320"/>
      <c r="D27" s="320"/>
      <c r="E27" s="320"/>
      <c r="F27" s="320"/>
      <c r="G27" s="320"/>
      <c r="H27" s="320"/>
      <c r="I27" s="320"/>
      <c r="J27" s="320"/>
      <c r="K27" s="320"/>
      <c r="L27" s="320"/>
      <c r="M27" s="321"/>
    </row>
    <row r="28" spans="1:13">
      <c r="A28" s="83" t="s">
        <v>317</v>
      </c>
      <c r="B28" s="84"/>
      <c r="C28" s="84"/>
      <c r="D28" s="84"/>
      <c r="E28" s="84"/>
      <c r="F28" s="84"/>
      <c r="G28" s="84"/>
      <c r="H28" s="84"/>
      <c r="I28" s="84"/>
      <c r="J28" s="84"/>
      <c r="K28" s="84"/>
      <c r="L28" s="84"/>
      <c r="M28" s="85"/>
    </row>
    <row r="29" spans="1:13">
      <c r="A29" s="322"/>
      <c r="B29" s="322"/>
      <c r="C29" s="322"/>
      <c r="D29" s="322"/>
      <c r="E29" s="322"/>
      <c r="F29" s="322"/>
      <c r="G29" s="322"/>
      <c r="H29" s="322"/>
      <c r="I29" s="322"/>
      <c r="J29" s="322"/>
      <c r="K29" s="322"/>
      <c r="L29" s="322"/>
      <c r="M29" s="322"/>
    </row>
    <row r="30" spans="1:13">
      <c r="A30" s="306"/>
      <c r="B30" s="306"/>
      <c r="C30" s="306"/>
      <c r="D30" s="306"/>
      <c r="E30" s="306"/>
      <c r="F30" s="306"/>
      <c r="G30" s="306"/>
      <c r="H30" s="306"/>
      <c r="I30" s="306"/>
      <c r="J30" s="306"/>
      <c r="K30" s="306"/>
      <c r="L30" s="306"/>
      <c r="M30" s="306"/>
    </row>
    <row r="40" spans="3:9">
      <c r="C40" s="102"/>
      <c r="D40" s="102"/>
      <c r="E40" s="103"/>
      <c r="F40" s="94"/>
      <c r="G40" s="94"/>
      <c r="H40" s="94"/>
      <c r="I40" s="94"/>
    </row>
    <row r="49" spans="3:7">
      <c r="C49" s="91" t="s">
        <v>20</v>
      </c>
      <c r="D49" s="91"/>
      <c r="E49" s="91"/>
      <c r="F49" s="91"/>
      <c r="G49" s="91" t="s">
        <v>21</v>
      </c>
    </row>
    <row r="53" spans="3:7">
      <c r="C53" s="364">
        <v>44957</v>
      </c>
      <c r="D53" s="91"/>
      <c r="E53" s="91"/>
      <c r="F53" s="91"/>
      <c r="G53" s="91"/>
    </row>
    <row r="67" spans="6:6">
      <c r="F67" s="3"/>
    </row>
  </sheetData>
  <mergeCells count="15">
    <mergeCell ref="A27:M27"/>
    <mergeCell ref="A29:M30"/>
    <mergeCell ref="A6:M7"/>
    <mergeCell ref="A11:L11"/>
    <mergeCell ref="A12:A13"/>
    <mergeCell ref="B12:B13"/>
    <mergeCell ref="C12:C13"/>
    <mergeCell ref="D12:E12"/>
    <mergeCell ref="F12:G12"/>
    <mergeCell ref="A14:A15"/>
    <mergeCell ref="A16:A17"/>
    <mergeCell ref="A18:A19"/>
    <mergeCell ref="A20:A21"/>
    <mergeCell ref="A22:A23"/>
    <mergeCell ref="A24:A25"/>
  </mergeCells>
  <pageMargins left="0.7" right="0.7" top="0.75" bottom="0.75" header="0.3" footer="0.3"/>
  <pageSetup paperSize="9" scale="84" orientation="landscape"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view="pageBreakPreview" topLeftCell="A11" zoomScale="60" zoomScaleNormal="100" workbookViewId="0">
      <selection activeCell="C54" sqref="C54"/>
    </sheetView>
  </sheetViews>
  <sheetFormatPr defaultColWidth="9.28515625" defaultRowHeight="13.9"/>
  <cols>
    <col min="1" max="1" width="14" style="3" customWidth="1"/>
    <col min="2" max="7" width="17" style="35" customWidth="1"/>
    <col min="8" max="8" width="9.28515625" style="3"/>
    <col min="9" max="9" width="14.28515625" style="3" customWidth="1"/>
    <col min="10"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1" t="str">
        <f>+'Cover Page'!$B$29</f>
        <v>Annual Performance Report 2022</v>
      </c>
      <c r="B1" s="91"/>
      <c r="C1" s="91"/>
      <c r="D1" s="91"/>
      <c r="E1" s="91" t="str">
        <f>+'Cover Page'!$B$33</f>
        <v>Dudley Energy from Waste Facility</v>
      </c>
      <c r="F1" s="91"/>
      <c r="G1" s="91"/>
    </row>
    <row r="3" spans="1:19" ht="14.45">
      <c r="A3" s="60" t="s">
        <v>390</v>
      </c>
      <c r="D3" s="76" t="s">
        <v>391</v>
      </c>
      <c r="G3" s="80" t="s">
        <v>392</v>
      </c>
      <c r="J3" s="9" t="str">
        <f>+A3</f>
        <v>Monitoring of Hydrogen Chloride emissions</v>
      </c>
      <c r="L3" s="9"/>
      <c r="N3" s="9" t="s">
        <v>393</v>
      </c>
      <c r="Q3" s="79" t="s">
        <v>3</v>
      </c>
      <c r="R3" s="74"/>
      <c r="S3" s="74"/>
    </row>
    <row r="4" spans="1:19" ht="13.9" customHeight="1">
      <c r="Q4" s="336" t="s">
        <v>394</v>
      </c>
      <c r="R4" s="336"/>
      <c r="S4" s="336"/>
    </row>
    <row r="5" spans="1:19" ht="16.149999999999999">
      <c r="A5" s="68" t="s">
        <v>395</v>
      </c>
      <c r="B5" s="326" t="s">
        <v>396</v>
      </c>
      <c r="C5" s="326"/>
      <c r="D5" s="326"/>
      <c r="E5" s="326" t="s">
        <v>397</v>
      </c>
      <c r="F5" s="326"/>
      <c r="G5" s="326"/>
      <c r="J5" s="325"/>
      <c r="K5" s="325"/>
      <c r="L5" s="325"/>
      <c r="M5" s="325"/>
      <c r="N5" s="325"/>
      <c r="O5" s="325"/>
      <c r="Q5" s="336"/>
      <c r="R5" s="336"/>
      <c r="S5" s="336"/>
    </row>
    <row r="6" spans="1:19" s="58" customFormat="1" ht="37.5" customHeight="1">
      <c r="A6" s="65">
        <f>+'Cover Page'!C39</f>
        <v>2022</v>
      </c>
      <c r="B6" s="55" t="s">
        <v>398</v>
      </c>
      <c r="C6" s="55" t="s">
        <v>399</v>
      </c>
      <c r="D6" s="55" t="s">
        <v>400</v>
      </c>
      <c r="E6" s="55" t="s">
        <v>401</v>
      </c>
      <c r="F6" s="55" t="s">
        <v>402</v>
      </c>
      <c r="G6" s="55" t="s">
        <v>403</v>
      </c>
      <c r="H6" s="59"/>
      <c r="J6" s="61">
        <f>+A6</f>
        <v>2022</v>
      </c>
      <c r="K6" s="61" t="s">
        <v>404</v>
      </c>
      <c r="L6" s="67" t="s">
        <v>399</v>
      </c>
      <c r="M6" s="67" t="s">
        <v>405</v>
      </c>
      <c r="N6" s="67" t="s">
        <v>402</v>
      </c>
      <c r="O6" s="67" t="s">
        <v>406</v>
      </c>
      <c r="Q6" s="336"/>
      <c r="R6" s="336"/>
      <c r="S6" s="336"/>
    </row>
    <row r="7" spans="1:19" ht="13.9" customHeight="1">
      <c r="A7" s="66" t="s">
        <v>407</v>
      </c>
      <c r="B7" s="63">
        <v>60</v>
      </c>
      <c r="C7" s="64">
        <f>AVERAGE(L7,L22)</f>
        <v>5</v>
      </c>
      <c r="D7" s="64">
        <f>MAX(M7,M22)</f>
        <v>30</v>
      </c>
      <c r="E7" s="63">
        <v>10</v>
      </c>
      <c r="F7" s="97">
        <f>AVERAGE(N7,N22)</f>
        <v>4.87</v>
      </c>
      <c r="G7" s="64">
        <f>MAX(O7,O22)</f>
        <v>9</v>
      </c>
      <c r="J7" s="324" t="s">
        <v>187</v>
      </c>
      <c r="K7" s="66" t="s">
        <v>407</v>
      </c>
      <c r="L7" s="64">
        <v>6</v>
      </c>
      <c r="M7" s="64">
        <v>27</v>
      </c>
      <c r="N7" s="64">
        <v>5.62</v>
      </c>
      <c r="O7" s="64">
        <v>9</v>
      </c>
      <c r="Q7" s="336"/>
      <c r="R7" s="336"/>
      <c r="S7" s="336"/>
    </row>
    <row r="8" spans="1:19">
      <c r="A8" s="66" t="s">
        <v>408</v>
      </c>
      <c r="B8" s="63">
        <v>60</v>
      </c>
      <c r="C8" s="64">
        <f t="shared" ref="C8:C18" si="0">AVERAGE(L8,L23)</f>
        <v>4.5</v>
      </c>
      <c r="D8" s="64">
        <f t="shared" ref="D8:D18" si="1">MAX(M8,M23)</f>
        <v>51</v>
      </c>
      <c r="E8" s="63">
        <v>10</v>
      </c>
      <c r="F8" s="97">
        <f t="shared" ref="F8:F18" si="2">AVERAGE(N8,N23)</f>
        <v>4.835</v>
      </c>
      <c r="G8" s="64">
        <f t="shared" ref="G8:G18" si="3">MAX(O8,O23)</f>
        <v>7</v>
      </c>
      <c r="J8" s="324"/>
      <c r="K8" s="66" t="s">
        <v>408</v>
      </c>
      <c r="L8" s="64">
        <v>5</v>
      </c>
      <c r="M8" s="64">
        <v>51</v>
      </c>
      <c r="N8" s="64">
        <v>5.35</v>
      </c>
      <c r="O8" s="64">
        <v>7</v>
      </c>
      <c r="Q8" s="336"/>
      <c r="R8" s="336"/>
      <c r="S8" s="336"/>
    </row>
    <row r="9" spans="1:19">
      <c r="A9" s="66" t="s">
        <v>409</v>
      </c>
      <c r="B9" s="63">
        <v>60</v>
      </c>
      <c r="C9" s="64">
        <f t="shared" si="0"/>
        <v>7.5</v>
      </c>
      <c r="D9" s="64">
        <f t="shared" si="1"/>
        <v>44</v>
      </c>
      <c r="E9" s="63">
        <v>10</v>
      </c>
      <c r="F9" s="97">
        <f t="shared" si="2"/>
        <v>7.1400000000000006</v>
      </c>
      <c r="G9" s="64">
        <f t="shared" si="3"/>
        <v>10</v>
      </c>
      <c r="J9" s="324"/>
      <c r="K9" s="66" t="s">
        <v>409</v>
      </c>
      <c r="L9" s="64">
        <v>8</v>
      </c>
      <c r="M9" s="64">
        <v>41</v>
      </c>
      <c r="N9" s="64">
        <v>7.67</v>
      </c>
      <c r="O9" s="64">
        <v>10</v>
      </c>
      <c r="Q9" s="78" t="s">
        <v>410</v>
      </c>
    </row>
    <row r="10" spans="1:19" ht="13.9" customHeight="1">
      <c r="A10" s="66" t="s">
        <v>411</v>
      </c>
      <c r="B10" s="63">
        <v>60</v>
      </c>
      <c r="C10" s="64">
        <f t="shared" si="0"/>
        <v>7</v>
      </c>
      <c r="D10" s="64">
        <f t="shared" si="1"/>
        <v>67</v>
      </c>
      <c r="E10" s="63">
        <v>10</v>
      </c>
      <c r="F10" s="97">
        <f t="shared" si="2"/>
        <v>6.8650000000000002</v>
      </c>
      <c r="G10" s="64">
        <f t="shared" si="3"/>
        <v>11</v>
      </c>
      <c r="J10" s="324"/>
      <c r="K10" s="66" t="s">
        <v>411</v>
      </c>
      <c r="L10" s="64">
        <v>7</v>
      </c>
      <c r="M10" s="64">
        <v>54</v>
      </c>
      <c r="N10" s="64">
        <v>7.2</v>
      </c>
      <c r="O10" s="64">
        <v>11</v>
      </c>
      <c r="Q10" s="323" t="s">
        <v>412</v>
      </c>
      <c r="R10" s="323"/>
      <c r="S10" s="323"/>
    </row>
    <row r="11" spans="1:19">
      <c r="A11" s="66" t="s">
        <v>413</v>
      </c>
      <c r="B11" s="63">
        <v>60</v>
      </c>
      <c r="C11" s="64">
        <f t="shared" si="0"/>
        <v>6</v>
      </c>
      <c r="D11" s="64">
        <f t="shared" si="1"/>
        <v>41</v>
      </c>
      <c r="E11" s="63">
        <v>10</v>
      </c>
      <c r="F11" s="97">
        <f t="shared" si="2"/>
        <v>5.8100000000000005</v>
      </c>
      <c r="G11" s="64">
        <f t="shared" si="3"/>
        <v>7</v>
      </c>
      <c r="J11" s="324"/>
      <c r="K11" s="66" t="s">
        <v>413</v>
      </c>
      <c r="L11" s="64">
        <v>6</v>
      </c>
      <c r="M11" s="64">
        <v>27</v>
      </c>
      <c r="N11" s="64">
        <v>5.55</v>
      </c>
      <c r="O11" s="64">
        <v>7</v>
      </c>
      <c r="Q11" s="323"/>
      <c r="R11" s="323"/>
      <c r="S11" s="323"/>
    </row>
    <row r="12" spans="1:19">
      <c r="A12" s="66" t="s">
        <v>414</v>
      </c>
      <c r="B12" s="63">
        <v>60</v>
      </c>
      <c r="C12" s="64">
        <f t="shared" si="0"/>
        <v>7</v>
      </c>
      <c r="D12" s="64">
        <f t="shared" si="1"/>
        <v>46</v>
      </c>
      <c r="E12" s="63">
        <v>10</v>
      </c>
      <c r="F12" s="97">
        <f t="shared" si="2"/>
        <v>6.5950000000000006</v>
      </c>
      <c r="G12" s="64">
        <f t="shared" si="3"/>
        <v>8</v>
      </c>
      <c r="J12" s="324"/>
      <c r="K12" s="66" t="s">
        <v>414</v>
      </c>
      <c r="L12" s="64">
        <v>7</v>
      </c>
      <c r="M12" s="64">
        <v>46</v>
      </c>
      <c r="N12" s="64">
        <v>6.86</v>
      </c>
      <c r="O12" s="64">
        <v>8</v>
      </c>
      <c r="Q12" s="323"/>
      <c r="R12" s="323"/>
      <c r="S12" s="323"/>
    </row>
    <row r="13" spans="1:19" ht="13.9" customHeight="1">
      <c r="A13" s="66" t="s">
        <v>415</v>
      </c>
      <c r="B13" s="63">
        <v>60</v>
      </c>
      <c r="C13" s="64">
        <f t="shared" si="0"/>
        <v>6.5</v>
      </c>
      <c r="D13" s="64">
        <f t="shared" si="1"/>
        <v>58</v>
      </c>
      <c r="E13" s="63">
        <v>10</v>
      </c>
      <c r="F13" s="97">
        <f t="shared" si="2"/>
        <v>6.625</v>
      </c>
      <c r="G13" s="64">
        <f t="shared" si="3"/>
        <v>9</v>
      </c>
      <c r="J13" s="324"/>
      <c r="K13" s="66" t="s">
        <v>415</v>
      </c>
      <c r="L13" s="64">
        <v>7</v>
      </c>
      <c r="M13" s="64">
        <v>50</v>
      </c>
      <c r="N13" s="64">
        <v>6.74</v>
      </c>
      <c r="O13" s="64">
        <v>9</v>
      </c>
      <c r="Q13" s="323" t="s">
        <v>416</v>
      </c>
      <c r="R13" s="323"/>
      <c r="S13" s="323"/>
    </row>
    <row r="14" spans="1:19">
      <c r="A14" s="66" t="s">
        <v>417</v>
      </c>
      <c r="B14" s="63">
        <v>60</v>
      </c>
      <c r="C14" s="64">
        <f t="shared" si="0"/>
        <v>6</v>
      </c>
      <c r="D14" s="64">
        <f t="shared" si="1"/>
        <v>67</v>
      </c>
      <c r="E14" s="63">
        <v>10</v>
      </c>
      <c r="F14" s="97">
        <f t="shared" si="2"/>
        <v>6.415</v>
      </c>
      <c r="G14" s="64">
        <f t="shared" si="3"/>
        <v>8</v>
      </c>
      <c r="J14" s="324"/>
      <c r="K14" s="66" t="s">
        <v>417</v>
      </c>
      <c r="L14" s="64">
        <v>6</v>
      </c>
      <c r="M14" s="64">
        <v>36</v>
      </c>
      <c r="N14" s="64">
        <v>6.5</v>
      </c>
      <c r="O14" s="64">
        <v>7</v>
      </c>
      <c r="Q14" s="323"/>
      <c r="R14" s="323"/>
      <c r="S14" s="323"/>
    </row>
    <row r="15" spans="1:19">
      <c r="A15" s="66" t="s">
        <v>418</v>
      </c>
      <c r="B15" s="63">
        <v>60</v>
      </c>
      <c r="C15" s="64">
        <f t="shared" si="0"/>
        <v>7</v>
      </c>
      <c r="D15" s="64">
        <f t="shared" si="1"/>
        <v>71</v>
      </c>
      <c r="E15" s="63">
        <v>10</v>
      </c>
      <c r="F15" s="97">
        <f t="shared" si="2"/>
        <v>6.74</v>
      </c>
      <c r="G15" s="64">
        <f t="shared" si="3"/>
        <v>9</v>
      </c>
      <c r="J15" s="324"/>
      <c r="K15" s="66" t="s">
        <v>418</v>
      </c>
      <c r="L15" s="64">
        <v>7</v>
      </c>
      <c r="M15" s="64">
        <v>71</v>
      </c>
      <c r="N15" s="64">
        <v>6.76</v>
      </c>
      <c r="O15" s="64">
        <v>9</v>
      </c>
      <c r="Q15" s="323"/>
      <c r="R15" s="323"/>
      <c r="S15" s="323"/>
    </row>
    <row r="16" spans="1:19">
      <c r="A16" s="66" t="s">
        <v>419</v>
      </c>
      <c r="B16" s="63">
        <v>60</v>
      </c>
      <c r="C16" s="64">
        <f t="shared" si="0"/>
        <v>7</v>
      </c>
      <c r="D16" s="64">
        <f t="shared" si="1"/>
        <v>113</v>
      </c>
      <c r="E16" s="63">
        <v>10</v>
      </c>
      <c r="F16" s="97">
        <f t="shared" si="2"/>
        <v>7.0250000000000004</v>
      </c>
      <c r="G16" s="64">
        <f t="shared" si="3"/>
        <v>13</v>
      </c>
      <c r="J16" s="324"/>
      <c r="K16" s="66" t="s">
        <v>419</v>
      </c>
      <c r="L16" s="64">
        <v>7</v>
      </c>
      <c r="M16" s="64">
        <v>113</v>
      </c>
      <c r="N16" s="64">
        <v>7.17</v>
      </c>
      <c r="O16" s="64">
        <v>13</v>
      </c>
      <c r="Q16" s="323"/>
      <c r="R16" s="323"/>
      <c r="S16" s="323"/>
    </row>
    <row r="17" spans="1:15">
      <c r="A17" s="66" t="s">
        <v>420</v>
      </c>
      <c r="B17" s="63">
        <v>60</v>
      </c>
      <c r="C17" s="64">
        <f t="shared" si="0"/>
        <v>5.5</v>
      </c>
      <c r="D17" s="64">
        <f t="shared" si="1"/>
        <v>73</v>
      </c>
      <c r="E17" s="63">
        <v>10</v>
      </c>
      <c r="F17" s="97">
        <f t="shared" si="2"/>
        <v>5.3849999999999998</v>
      </c>
      <c r="G17" s="64">
        <f t="shared" si="3"/>
        <v>8</v>
      </c>
      <c r="J17" s="324"/>
      <c r="K17" s="66" t="s">
        <v>420</v>
      </c>
      <c r="L17" s="64">
        <v>6</v>
      </c>
      <c r="M17" s="64">
        <v>73</v>
      </c>
      <c r="N17" s="64">
        <v>5.48</v>
      </c>
      <c r="O17" s="64">
        <v>8</v>
      </c>
    </row>
    <row r="18" spans="1:15">
      <c r="A18" s="66" t="s">
        <v>421</v>
      </c>
      <c r="B18" s="63">
        <v>60</v>
      </c>
      <c r="C18" s="64">
        <f t="shared" si="0"/>
        <v>6</v>
      </c>
      <c r="D18" s="64">
        <f t="shared" si="1"/>
        <v>78</v>
      </c>
      <c r="E18" s="63">
        <v>10</v>
      </c>
      <c r="F18" s="97">
        <f t="shared" si="2"/>
        <v>6.49</v>
      </c>
      <c r="G18" s="64">
        <f t="shared" si="3"/>
        <v>12</v>
      </c>
      <c r="J18" s="324"/>
      <c r="K18" s="66" t="s">
        <v>421</v>
      </c>
      <c r="L18" s="64">
        <v>6</v>
      </c>
      <c r="M18" s="64">
        <v>78</v>
      </c>
      <c r="N18" s="64">
        <v>6.59</v>
      </c>
      <c r="O18" s="64">
        <v>12</v>
      </c>
    </row>
    <row r="19" spans="1:15">
      <c r="B19" s="3"/>
      <c r="C19" s="3"/>
      <c r="D19" s="3"/>
      <c r="E19" s="3"/>
      <c r="F19" s="3"/>
      <c r="G19" s="3"/>
      <c r="J19" s="324"/>
      <c r="K19" s="62" t="s">
        <v>422</v>
      </c>
      <c r="L19" s="62">
        <f>AVERAGE(L7:L18)</f>
        <v>6.5</v>
      </c>
      <c r="M19" s="62">
        <f>MAX(M7:M18)</f>
        <v>113</v>
      </c>
      <c r="N19" s="104">
        <f>AVERAGE(N7:N18)</f>
        <v>6.4575000000000005</v>
      </c>
      <c r="O19" s="62">
        <f>MAX(O7:O18)</f>
        <v>13</v>
      </c>
    </row>
    <row r="20" spans="1:15">
      <c r="B20" s="3"/>
      <c r="C20" s="3"/>
      <c r="D20" s="3"/>
      <c r="E20" s="3"/>
      <c r="F20" s="3"/>
      <c r="G20" s="3"/>
    </row>
    <row r="21" spans="1:15" ht="41.45">
      <c r="B21" s="3"/>
      <c r="C21" s="3"/>
      <c r="D21" s="3"/>
      <c r="E21" s="3"/>
      <c r="F21" s="3"/>
      <c r="G21" s="3"/>
      <c r="J21" s="61">
        <f>+A6</f>
        <v>2022</v>
      </c>
      <c r="K21" s="61" t="s">
        <v>404</v>
      </c>
      <c r="L21" s="67" t="s">
        <v>399</v>
      </c>
      <c r="M21" s="67" t="s">
        <v>405</v>
      </c>
      <c r="N21" s="67" t="s">
        <v>402</v>
      </c>
      <c r="O21" s="67" t="s">
        <v>406</v>
      </c>
    </row>
    <row r="22" spans="1:15">
      <c r="B22" s="3"/>
      <c r="C22" s="3"/>
      <c r="D22" s="3"/>
      <c r="E22" s="3"/>
      <c r="F22" s="3"/>
      <c r="G22" s="3"/>
      <c r="J22" s="324" t="s">
        <v>188</v>
      </c>
      <c r="K22" s="66" t="s">
        <v>407</v>
      </c>
      <c r="L22" s="64">
        <v>4</v>
      </c>
      <c r="M22" s="64">
        <v>30</v>
      </c>
      <c r="N22" s="64">
        <v>4.12</v>
      </c>
      <c r="O22" s="64">
        <v>6</v>
      </c>
    </row>
    <row r="23" spans="1:15">
      <c r="B23" s="3"/>
      <c r="C23" s="3"/>
      <c r="D23" s="3"/>
      <c r="E23" s="3"/>
      <c r="F23" s="3"/>
      <c r="G23" s="3"/>
      <c r="J23" s="324"/>
      <c r="K23" s="66" t="s">
        <v>408</v>
      </c>
      <c r="L23" s="64">
        <v>4</v>
      </c>
      <c r="M23" s="64">
        <v>27</v>
      </c>
      <c r="N23" s="64">
        <v>4.32</v>
      </c>
      <c r="O23" s="64">
        <v>6</v>
      </c>
    </row>
    <row r="24" spans="1:15">
      <c r="B24" s="3"/>
      <c r="C24" s="3"/>
      <c r="D24" s="3"/>
      <c r="E24" s="3"/>
      <c r="F24" s="3"/>
      <c r="G24" s="3"/>
      <c r="J24" s="324"/>
      <c r="K24" s="66" t="s">
        <v>409</v>
      </c>
      <c r="L24" s="64">
        <v>7</v>
      </c>
      <c r="M24" s="64">
        <v>44</v>
      </c>
      <c r="N24" s="64">
        <v>6.61</v>
      </c>
      <c r="O24" s="64">
        <v>8</v>
      </c>
    </row>
    <row r="25" spans="1:15">
      <c r="J25" s="324"/>
      <c r="K25" s="66" t="s">
        <v>411</v>
      </c>
      <c r="L25" s="64">
        <v>7</v>
      </c>
      <c r="M25" s="64">
        <v>67</v>
      </c>
      <c r="N25" s="64">
        <v>6.53</v>
      </c>
      <c r="O25" s="64">
        <v>10</v>
      </c>
    </row>
    <row r="26" spans="1:15">
      <c r="J26" s="324"/>
      <c r="K26" s="66" t="s">
        <v>413</v>
      </c>
      <c r="L26" s="64">
        <v>6</v>
      </c>
      <c r="M26" s="64">
        <v>41</v>
      </c>
      <c r="N26" s="64">
        <v>6.07</v>
      </c>
      <c r="O26" s="64">
        <v>7</v>
      </c>
    </row>
    <row r="27" spans="1:15">
      <c r="J27" s="324"/>
      <c r="K27" s="66" t="s">
        <v>414</v>
      </c>
      <c r="L27" s="64">
        <v>7</v>
      </c>
      <c r="M27" s="64">
        <v>28</v>
      </c>
      <c r="N27" s="64">
        <v>6.33</v>
      </c>
      <c r="O27" s="64">
        <v>8</v>
      </c>
    </row>
    <row r="28" spans="1:15">
      <c r="J28" s="324"/>
      <c r="K28" s="66" t="s">
        <v>415</v>
      </c>
      <c r="L28" s="64">
        <v>6</v>
      </c>
      <c r="M28" s="64">
        <v>58</v>
      </c>
      <c r="N28" s="64">
        <v>6.51</v>
      </c>
      <c r="O28" s="64">
        <v>8</v>
      </c>
    </row>
    <row r="29" spans="1:15">
      <c r="J29" s="324"/>
      <c r="K29" s="66" t="s">
        <v>417</v>
      </c>
      <c r="L29" s="64">
        <v>6</v>
      </c>
      <c r="M29" s="64">
        <v>67</v>
      </c>
      <c r="N29" s="64">
        <v>6.33</v>
      </c>
      <c r="O29" s="64">
        <v>8</v>
      </c>
    </row>
    <row r="30" spans="1:15">
      <c r="J30" s="324"/>
      <c r="K30" s="66" t="s">
        <v>418</v>
      </c>
      <c r="L30" s="64">
        <v>7</v>
      </c>
      <c r="M30" s="64">
        <v>30</v>
      </c>
      <c r="N30" s="64">
        <v>6.72</v>
      </c>
      <c r="O30" s="64">
        <v>8</v>
      </c>
    </row>
    <row r="31" spans="1:15">
      <c r="J31" s="324"/>
      <c r="K31" s="66" t="s">
        <v>419</v>
      </c>
      <c r="L31" s="64">
        <v>7</v>
      </c>
      <c r="M31" s="64">
        <v>54</v>
      </c>
      <c r="N31" s="64">
        <v>6.88</v>
      </c>
      <c r="O31" s="64">
        <v>10</v>
      </c>
    </row>
    <row r="32" spans="1:15">
      <c r="J32" s="324"/>
      <c r="K32" s="66" t="s">
        <v>420</v>
      </c>
      <c r="L32" s="64">
        <v>5</v>
      </c>
      <c r="M32" s="64">
        <v>30</v>
      </c>
      <c r="N32" s="64">
        <v>5.29</v>
      </c>
      <c r="O32" s="64">
        <v>8</v>
      </c>
    </row>
    <row r="33" spans="1:15">
      <c r="J33" s="324"/>
      <c r="K33" s="66" t="s">
        <v>421</v>
      </c>
      <c r="L33" s="64">
        <v>6</v>
      </c>
      <c r="M33" s="64">
        <v>32</v>
      </c>
      <c r="N33" s="64">
        <v>6.39</v>
      </c>
      <c r="O33" s="64">
        <v>9</v>
      </c>
    </row>
    <row r="34" spans="1:15">
      <c r="J34" s="324"/>
      <c r="K34" s="62" t="s">
        <v>422</v>
      </c>
      <c r="L34" s="62">
        <f>AVERAGE(L22:L33)</f>
        <v>6</v>
      </c>
      <c r="M34" s="62">
        <f>MAX(M22:M33)</f>
        <v>67</v>
      </c>
      <c r="N34" s="104">
        <f>AVERAGE(N22:N33)</f>
        <v>6.0083333333333337</v>
      </c>
      <c r="O34" s="62">
        <f>MAX(O22:O33)</f>
        <v>10</v>
      </c>
    </row>
    <row r="36" spans="1:15">
      <c r="J36" s="61"/>
      <c r="K36" s="61"/>
      <c r="L36" s="67"/>
      <c r="M36" s="67"/>
      <c r="N36" s="67"/>
      <c r="O36" s="67"/>
    </row>
    <row r="37" spans="1:15">
      <c r="J37" s="324"/>
      <c r="K37" s="66"/>
      <c r="L37" s="64"/>
      <c r="M37" s="64"/>
      <c r="N37" s="64"/>
      <c r="O37" s="64"/>
    </row>
    <row r="38" spans="1:15">
      <c r="J38" s="324"/>
      <c r="K38" s="66"/>
      <c r="L38" s="64"/>
      <c r="M38" s="64"/>
      <c r="N38" s="64"/>
      <c r="O38" s="64"/>
    </row>
    <row r="39" spans="1:15">
      <c r="J39" s="324"/>
      <c r="K39" s="66"/>
      <c r="L39" s="64"/>
      <c r="M39" s="64"/>
      <c r="N39" s="64"/>
      <c r="O39" s="64"/>
    </row>
    <row r="40" spans="1:15">
      <c r="J40" s="324"/>
      <c r="K40" s="66"/>
      <c r="L40" s="64"/>
      <c r="M40" s="64"/>
      <c r="N40" s="64"/>
      <c r="O40" s="64"/>
    </row>
    <row r="41" spans="1:15">
      <c r="J41" s="324"/>
      <c r="K41" s="66"/>
      <c r="L41" s="64"/>
      <c r="M41" s="64"/>
      <c r="N41" s="64"/>
      <c r="O41" s="64"/>
    </row>
    <row r="42" spans="1:15">
      <c r="J42" s="324"/>
      <c r="K42" s="66"/>
      <c r="L42" s="64"/>
      <c r="M42" s="64"/>
      <c r="N42" s="64"/>
      <c r="O42" s="64"/>
    </row>
    <row r="43" spans="1:15">
      <c r="C43" s="35" t="s">
        <v>12</v>
      </c>
      <c r="J43" s="324"/>
      <c r="K43" s="66"/>
      <c r="L43" s="64"/>
      <c r="M43" s="64"/>
      <c r="N43" s="64"/>
      <c r="O43" s="64"/>
    </row>
    <row r="44" spans="1:15">
      <c r="J44" s="324"/>
      <c r="K44" s="66"/>
      <c r="L44" s="64"/>
      <c r="M44" s="64"/>
      <c r="N44" s="64"/>
      <c r="O44" s="64"/>
    </row>
    <row r="45" spans="1:15">
      <c r="C45" s="35" t="s">
        <v>14</v>
      </c>
      <c r="J45" s="324"/>
      <c r="K45" s="66"/>
      <c r="L45" s="64"/>
      <c r="M45" s="64"/>
      <c r="N45" s="64"/>
      <c r="O45" s="64"/>
    </row>
    <row r="46" spans="1:15">
      <c r="J46" s="324"/>
      <c r="K46" s="66"/>
      <c r="L46" s="64"/>
      <c r="M46" s="64"/>
      <c r="N46" s="64"/>
      <c r="O46" s="64"/>
    </row>
    <row r="47" spans="1:15">
      <c r="J47" s="324"/>
      <c r="K47" s="66"/>
      <c r="L47" s="64"/>
      <c r="M47" s="64"/>
      <c r="N47" s="64"/>
      <c r="O47" s="64"/>
    </row>
    <row r="48" spans="1:15">
      <c r="A48" s="242" t="s">
        <v>317</v>
      </c>
      <c r="B48" s="243"/>
      <c r="C48" s="243"/>
      <c r="D48" s="243"/>
      <c r="E48" s="243"/>
      <c r="F48" s="243"/>
      <c r="G48" s="244"/>
      <c r="J48" s="324"/>
      <c r="K48" s="66"/>
      <c r="L48" s="64"/>
      <c r="M48" s="64"/>
      <c r="N48" s="64"/>
      <c r="O48" s="64"/>
    </row>
    <row r="49" spans="1:15">
      <c r="A49" s="327"/>
      <c r="B49" s="328"/>
      <c r="C49" s="328"/>
      <c r="D49" s="328"/>
      <c r="E49" s="328"/>
      <c r="F49" s="328"/>
      <c r="G49" s="329"/>
      <c r="J49" s="324"/>
      <c r="K49" s="62"/>
      <c r="L49" s="62"/>
      <c r="M49" s="62"/>
      <c r="N49" s="62"/>
      <c r="O49" s="62"/>
    </row>
    <row r="50" spans="1:15">
      <c r="A50" s="330"/>
      <c r="B50" s="331"/>
      <c r="C50" s="331"/>
      <c r="D50" s="331"/>
      <c r="E50" s="331"/>
      <c r="F50" s="331"/>
      <c r="G50" s="332"/>
    </row>
    <row r="51" spans="1:15">
      <c r="A51" s="330"/>
      <c r="B51" s="331"/>
      <c r="C51" s="331"/>
      <c r="D51" s="331"/>
      <c r="E51" s="331"/>
      <c r="F51" s="331"/>
      <c r="G51" s="332"/>
      <c r="J51" s="61"/>
      <c r="K51" s="61"/>
      <c r="L51" s="67"/>
      <c r="M51" s="67"/>
      <c r="N51" s="67"/>
      <c r="O51" s="67"/>
    </row>
    <row r="52" spans="1:15">
      <c r="A52" s="333"/>
      <c r="B52" s="334"/>
      <c r="C52" s="334"/>
      <c r="D52" s="334"/>
      <c r="E52" s="334"/>
      <c r="F52" s="334"/>
      <c r="G52" s="335"/>
      <c r="J52" s="324"/>
      <c r="K52" s="66"/>
      <c r="L52" s="64"/>
      <c r="M52" s="64"/>
      <c r="N52" s="64"/>
      <c r="O52" s="64"/>
    </row>
    <row r="53" spans="1:15">
      <c r="C53" s="176"/>
      <c r="J53" s="324"/>
      <c r="K53" s="66"/>
      <c r="L53" s="64"/>
      <c r="M53" s="64"/>
      <c r="N53" s="64"/>
      <c r="O53" s="64"/>
    </row>
    <row r="54" spans="1:15">
      <c r="J54" s="324"/>
      <c r="K54" s="66"/>
      <c r="L54" s="64"/>
      <c r="M54" s="64"/>
      <c r="N54" s="64"/>
      <c r="O54" s="64"/>
    </row>
    <row r="55" spans="1:15">
      <c r="J55" s="324"/>
      <c r="K55" s="66"/>
      <c r="L55" s="64"/>
      <c r="M55" s="64"/>
      <c r="N55" s="64"/>
      <c r="O55" s="64"/>
    </row>
    <row r="56" spans="1:15">
      <c r="J56" s="324"/>
      <c r="K56" s="66"/>
      <c r="L56" s="64"/>
      <c r="M56" s="64"/>
      <c r="N56" s="64"/>
      <c r="O56" s="64"/>
    </row>
    <row r="57" spans="1:15">
      <c r="J57" s="324"/>
      <c r="K57" s="66"/>
      <c r="L57" s="64"/>
      <c r="M57" s="64"/>
      <c r="N57" s="64"/>
      <c r="O57" s="64"/>
    </row>
    <row r="58" spans="1:15">
      <c r="J58" s="324"/>
      <c r="K58" s="66"/>
      <c r="L58" s="64"/>
      <c r="M58" s="64"/>
      <c r="N58" s="64"/>
      <c r="O58" s="64"/>
    </row>
    <row r="59" spans="1:15">
      <c r="J59" s="324"/>
      <c r="K59" s="66"/>
      <c r="L59" s="64"/>
      <c r="M59" s="64"/>
      <c r="N59" s="64"/>
      <c r="O59" s="64"/>
    </row>
    <row r="60" spans="1:15">
      <c r="J60" s="324"/>
      <c r="K60" s="66"/>
      <c r="L60" s="64"/>
      <c r="M60" s="64"/>
      <c r="N60" s="64"/>
      <c r="O60" s="64"/>
    </row>
    <row r="61" spans="1:15">
      <c r="J61" s="324"/>
      <c r="K61" s="66"/>
      <c r="L61" s="64"/>
      <c r="M61" s="64"/>
      <c r="N61" s="64"/>
      <c r="O61" s="64"/>
    </row>
    <row r="62" spans="1:15">
      <c r="J62" s="324"/>
      <c r="K62" s="66"/>
      <c r="L62" s="64"/>
      <c r="M62" s="64"/>
      <c r="N62" s="64"/>
      <c r="O62" s="64"/>
    </row>
    <row r="63" spans="1:15">
      <c r="J63" s="324"/>
      <c r="K63" s="66"/>
      <c r="L63" s="64"/>
      <c r="M63" s="64"/>
      <c r="N63" s="64"/>
      <c r="O63" s="64"/>
    </row>
    <row r="64" spans="1:15">
      <c r="J64" s="324"/>
      <c r="K64" s="62"/>
      <c r="L64" s="62"/>
      <c r="M64" s="62"/>
      <c r="N64" s="62"/>
      <c r="O64" s="62"/>
    </row>
    <row r="66" spans="10:15">
      <c r="J66" s="61"/>
      <c r="K66" s="61"/>
      <c r="L66" s="67"/>
      <c r="M66" s="67"/>
      <c r="N66" s="67"/>
      <c r="O66" s="67"/>
    </row>
    <row r="67" spans="10:15">
      <c r="J67" s="324"/>
      <c r="K67" s="66"/>
      <c r="L67" s="64"/>
      <c r="M67" s="64"/>
      <c r="N67" s="64"/>
      <c r="O67" s="64"/>
    </row>
    <row r="68" spans="10:15">
      <c r="J68" s="324"/>
      <c r="K68" s="66"/>
      <c r="L68" s="64"/>
      <c r="M68" s="64"/>
      <c r="N68" s="64"/>
      <c r="O68" s="64"/>
    </row>
    <row r="69" spans="10:15">
      <c r="J69" s="324"/>
      <c r="K69" s="66"/>
      <c r="L69" s="64"/>
      <c r="M69" s="64"/>
      <c r="N69" s="64"/>
      <c r="O69" s="64"/>
    </row>
    <row r="70" spans="10:15">
      <c r="J70" s="324"/>
      <c r="K70" s="66"/>
      <c r="L70" s="64"/>
      <c r="M70" s="64"/>
      <c r="N70" s="64"/>
      <c r="O70" s="64"/>
    </row>
    <row r="71" spans="10:15">
      <c r="J71" s="324"/>
      <c r="K71" s="66"/>
      <c r="L71" s="64"/>
      <c r="M71" s="64"/>
      <c r="N71" s="64"/>
      <c r="O71" s="64"/>
    </row>
    <row r="72" spans="10:15">
      <c r="J72" s="324"/>
      <c r="K72" s="66"/>
      <c r="L72" s="64"/>
      <c r="M72" s="64"/>
      <c r="N72" s="64"/>
      <c r="O72" s="64"/>
    </row>
    <row r="73" spans="10:15">
      <c r="J73" s="324"/>
      <c r="K73" s="66"/>
      <c r="L73" s="64"/>
      <c r="M73" s="64"/>
      <c r="N73" s="64"/>
      <c r="O73" s="64"/>
    </row>
    <row r="74" spans="10:15">
      <c r="J74" s="324"/>
      <c r="K74" s="66"/>
      <c r="L74" s="64"/>
      <c r="M74" s="64"/>
      <c r="N74" s="64"/>
      <c r="O74" s="64"/>
    </row>
    <row r="75" spans="10:15">
      <c r="J75" s="324"/>
      <c r="K75" s="66"/>
      <c r="L75" s="64"/>
      <c r="M75" s="64"/>
      <c r="N75" s="64"/>
      <c r="O75" s="64"/>
    </row>
    <row r="76" spans="10:15">
      <c r="J76" s="324"/>
      <c r="K76" s="66"/>
      <c r="L76" s="64"/>
      <c r="M76" s="64"/>
      <c r="N76" s="64"/>
      <c r="O76" s="64"/>
    </row>
    <row r="77" spans="10:15">
      <c r="J77" s="324"/>
      <c r="K77" s="66"/>
      <c r="L77" s="64"/>
      <c r="M77" s="64"/>
      <c r="N77" s="64"/>
      <c r="O77" s="64"/>
    </row>
    <row r="78" spans="10:15">
      <c r="J78" s="324"/>
      <c r="K78" s="66"/>
      <c r="L78" s="64"/>
      <c r="M78" s="64"/>
      <c r="N78" s="64"/>
      <c r="O78" s="64"/>
    </row>
    <row r="79" spans="10:15">
      <c r="J79" s="324"/>
      <c r="K79" s="62"/>
      <c r="L79" s="62"/>
      <c r="M79" s="62"/>
      <c r="N79" s="62"/>
      <c r="O79" s="62"/>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view="pageBreakPreview" topLeftCell="F1" zoomScale="60" zoomScaleNormal="100" workbookViewId="0">
      <selection activeCell="C54" sqref="C54"/>
    </sheetView>
  </sheetViews>
  <sheetFormatPr defaultColWidth="9.28515625" defaultRowHeight="13.9"/>
  <cols>
    <col min="1" max="1" width="14" style="3" customWidth="1"/>
    <col min="2" max="4" width="17" style="35" customWidth="1"/>
    <col min="5" max="5" width="14.7109375" style="35" customWidth="1"/>
    <col min="6" max="7" width="17" style="35" customWidth="1"/>
    <col min="8" max="8" width="9.28515625" style="3"/>
    <col min="9" max="9" width="14.28515625" style="3" customWidth="1"/>
    <col min="10"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1" t="str">
        <f>+'Cover Page'!$B$29</f>
        <v>Annual Performance Report 2022</v>
      </c>
      <c r="B1" s="91"/>
      <c r="C1" s="91"/>
      <c r="D1" s="91"/>
      <c r="E1" s="91" t="str">
        <f>+'Cover Page'!$B$33</f>
        <v>Dudley Energy from Waste Facility</v>
      </c>
      <c r="F1" s="91"/>
      <c r="G1" s="91"/>
    </row>
    <row r="3" spans="1:19" ht="14.45">
      <c r="A3" s="60" t="s">
        <v>423</v>
      </c>
      <c r="D3" s="76" t="s">
        <v>391</v>
      </c>
      <c r="G3" s="80" t="s">
        <v>392</v>
      </c>
      <c r="J3" s="9" t="str">
        <f>+A3</f>
        <v>Monitoring of Sulphur dioxide emissions</v>
      </c>
      <c r="L3" s="9"/>
      <c r="N3" s="9" t="s">
        <v>393</v>
      </c>
      <c r="Q3" s="79" t="s">
        <v>3</v>
      </c>
      <c r="R3" s="74"/>
      <c r="S3" s="74"/>
    </row>
    <row r="4" spans="1:19" ht="13.9" customHeight="1">
      <c r="Q4" s="336" t="s">
        <v>394</v>
      </c>
      <c r="R4" s="336"/>
      <c r="S4" s="336"/>
    </row>
    <row r="5" spans="1:19" ht="16.149999999999999">
      <c r="A5" s="68" t="s">
        <v>395</v>
      </c>
      <c r="B5" s="326" t="s">
        <v>396</v>
      </c>
      <c r="C5" s="326"/>
      <c r="D5" s="326"/>
      <c r="E5" s="326" t="s">
        <v>397</v>
      </c>
      <c r="F5" s="326"/>
      <c r="G5" s="326"/>
      <c r="J5" s="325"/>
      <c r="K5" s="325"/>
      <c r="L5" s="325"/>
      <c r="M5" s="325"/>
      <c r="N5" s="325"/>
      <c r="O5" s="325"/>
      <c r="Q5" s="336"/>
      <c r="R5" s="336"/>
      <c r="S5" s="336"/>
    </row>
    <row r="6" spans="1:19" s="58" customFormat="1" ht="37.5" customHeight="1">
      <c r="A6" s="65">
        <f>+'Cover Page'!C39</f>
        <v>2022</v>
      </c>
      <c r="B6" s="55" t="s">
        <v>424</v>
      </c>
      <c r="C6" s="55" t="s">
        <v>399</v>
      </c>
      <c r="D6" s="55" t="s">
        <v>400</v>
      </c>
      <c r="E6" s="55" t="s">
        <v>425</v>
      </c>
      <c r="F6" s="55" t="s">
        <v>402</v>
      </c>
      <c r="G6" s="55" t="s">
        <v>403</v>
      </c>
      <c r="H6" s="59"/>
      <c r="J6" s="61">
        <f>+A6</f>
        <v>2022</v>
      </c>
      <c r="K6" s="61" t="s">
        <v>404</v>
      </c>
      <c r="L6" s="67" t="s">
        <v>399</v>
      </c>
      <c r="M6" s="67" t="s">
        <v>405</v>
      </c>
      <c r="N6" s="67" t="s">
        <v>402</v>
      </c>
      <c r="O6" s="67" t="s">
        <v>406</v>
      </c>
      <c r="Q6" s="336"/>
      <c r="R6" s="336"/>
      <c r="S6" s="336"/>
    </row>
    <row r="7" spans="1:19">
      <c r="A7" s="66" t="s">
        <v>407</v>
      </c>
      <c r="B7" s="63">
        <v>200</v>
      </c>
      <c r="C7" s="64">
        <f>AVERAGE(L7,L22)</f>
        <v>23</v>
      </c>
      <c r="D7" s="64">
        <f>MAX(M7,M22)</f>
        <v>184</v>
      </c>
      <c r="E7" s="63">
        <v>50</v>
      </c>
      <c r="F7" s="97">
        <f>AVERAGE(N7,N22)</f>
        <v>23.268387096774195</v>
      </c>
      <c r="G7" s="64">
        <f>MAX(O7,O22)</f>
        <v>49</v>
      </c>
      <c r="J7" s="324" t="s">
        <v>187</v>
      </c>
      <c r="K7" s="66" t="s">
        <v>407</v>
      </c>
      <c r="L7" s="64">
        <v>27</v>
      </c>
      <c r="M7" s="64">
        <v>184</v>
      </c>
      <c r="N7" s="64">
        <v>27.44</v>
      </c>
      <c r="O7" s="64">
        <v>49</v>
      </c>
      <c r="Q7" s="336"/>
      <c r="R7" s="336"/>
      <c r="S7" s="336"/>
    </row>
    <row r="8" spans="1:19">
      <c r="A8" s="66" t="s">
        <v>408</v>
      </c>
      <c r="B8" s="63">
        <v>200</v>
      </c>
      <c r="C8" s="64">
        <f t="shared" ref="C8:C18" si="0">AVERAGE(L8,L23)</f>
        <v>25</v>
      </c>
      <c r="D8" s="64">
        <f t="shared" ref="D8:D18" si="1">MAX(M8,M23)</f>
        <v>184</v>
      </c>
      <c r="E8" s="63">
        <v>50</v>
      </c>
      <c r="F8" s="97">
        <f t="shared" ref="F8:F18" si="2">AVERAGE(N8,N23)</f>
        <v>25.515714285714289</v>
      </c>
      <c r="G8" s="64">
        <f t="shared" ref="G8:G18" si="3">MAX(O8,O23)</f>
        <v>41</v>
      </c>
      <c r="J8" s="324"/>
      <c r="K8" s="66" t="s">
        <v>408</v>
      </c>
      <c r="L8" s="64">
        <v>31</v>
      </c>
      <c r="M8" s="64">
        <v>184</v>
      </c>
      <c r="N8" s="64">
        <v>31.46</v>
      </c>
      <c r="O8" s="64">
        <v>41</v>
      </c>
      <c r="Q8" s="336"/>
      <c r="R8" s="336"/>
      <c r="S8" s="336"/>
    </row>
    <row r="9" spans="1:19">
      <c r="A9" s="66" t="s">
        <v>409</v>
      </c>
      <c r="B9" s="63">
        <v>200</v>
      </c>
      <c r="C9" s="64">
        <f t="shared" si="0"/>
        <v>13.5</v>
      </c>
      <c r="D9" s="64">
        <f t="shared" si="1"/>
        <v>132</v>
      </c>
      <c r="E9" s="63">
        <v>50</v>
      </c>
      <c r="F9" s="97">
        <f t="shared" si="2"/>
        <v>13.158709677419356</v>
      </c>
      <c r="G9" s="64">
        <f t="shared" si="3"/>
        <v>31</v>
      </c>
      <c r="J9" s="324"/>
      <c r="K9" s="66" t="s">
        <v>409</v>
      </c>
      <c r="L9" s="64">
        <v>19</v>
      </c>
      <c r="M9" s="64">
        <v>132</v>
      </c>
      <c r="N9" s="64">
        <v>18.64</v>
      </c>
      <c r="O9" s="64">
        <v>31</v>
      </c>
      <c r="Q9" s="78" t="s">
        <v>410</v>
      </c>
    </row>
    <row r="10" spans="1:19" ht="14.25" customHeight="1">
      <c r="A10" s="66" t="s">
        <v>411</v>
      </c>
      <c r="B10" s="63">
        <v>200</v>
      </c>
      <c r="C10" s="64">
        <f t="shared" si="0"/>
        <v>15.5</v>
      </c>
      <c r="D10" s="64">
        <f t="shared" si="1"/>
        <v>286</v>
      </c>
      <c r="E10" s="63">
        <v>50</v>
      </c>
      <c r="F10" s="97">
        <f t="shared" si="2"/>
        <v>15.03</v>
      </c>
      <c r="G10" s="64">
        <f t="shared" si="3"/>
        <v>32</v>
      </c>
      <c r="J10" s="324"/>
      <c r="K10" s="66" t="s">
        <v>411</v>
      </c>
      <c r="L10" s="64">
        <v>21</v>
      </c>
      <c r="M10" s="64">
        <v>286</v>
      </c>
      <c r="N10" s="64">
        <v>20.56</v>
      </c>
      <c r="O10" s="64">
        <v>32</v>
      </c>
      <c r="Q10" s="323" t="s">
        <v>412</v>
      </c>
      <c r="R10" s="323"/>
      <c r="S10" s="323"/>
    </row>
    <row r="11" spans="1:19">
      <c r="A11" s="66" t="s">
        <v>413</v>
      </c>
      <c r="B11" s="63">
        <v>200</v>
      </c>
      <c r="C11" s="64">
        <f t="shared" si="0"/>
        <v>14.5</v>
      </c>
      <c r="D11" s="64">
        <f t="shared" si="1"/>
        <v>93</v>
      </c>
      <c r="E11" s="63">
        <v>50</v>
      </c>
      <c r="F11" s="97">
        <f t="shared" si="2"/>
        <v>12.23</v>
      </c>
      <c r="G11" s="64">
        <f t="shared" si="3"/>
        <v>22</v>
      </c>
      <c r="J11" s="324"/>
      <c r="K11" s="66" t="s">
        <v>413</v>
      </c>
      <c r="L11" s="64">
        <v>19</v>
      </c>
      <c r="M11" s="64">
        <v>93</v>
      </c>
      <c r="N11" s="64">
        <v>15.16</v>
      </c>
      <c r="O11" s="64">
        <v>22</v>
      </c>
      <c r="Q11" s="323"/>
      <c r="R11" s="323"/>
      <c r="S11" s="323"/>
    </row>
    <row r="12" spans="1:19">
      <c r="A12" s="66" t="s">
        <v>414</v>
      </c>
      <c r="B12" s="63">
        <v>200</v>
      </c>
      <c r="C12" s="64">
        <f t="shared" si="0"/>
        <v>12.5</v>
      </c>
      <c r="D12" s="64">
        <f t="shared" si="1"/>
        <v>94</v>
      </c>
      <c r="E12" s="63">
        <v>50</v>
      </c>
      <c r="F12" s="97">
        <f t="shared" si="2"/>
        <v>12.524999999999999</v>
      </c>
      <c r="G12" s="64">
        <f t="shared" si="3"/>
        <v>29</v>
      </c>
      <c r="J12" s="324"/>
      <c r="K12" s="66" t="s">
        <v>414</v>
      </c>
      <c r="L12" s="64">
        <v>13</v>
      </c>
      <c r="M12" s="64">
        <v>94</v>
      </c>
      <c r="N12" s="64">
        <v>12.93</v>
      </c>
      <c r="O12" s="64">
        <v>29</v>
      </c>
      <c r="Q12" s="323"/>
      <c r="R12" s="323"/>
      <c r="S12" s="323"/>
    </row>
    <row r="13" spans="1:19" ht="14.25" customHeight="1">
      <c r="A13" s="66" t="s">
        <v>415</v>
      </c>
      <c r="B13" s="63">
        <v>200</v>
      </c>
      <c r="C13" s="64">
        <f t="shared" si="0"/>
        <v>5.5</v>
      </c>
      <c r="D13" s="64">
        <f t="shared" si="1"/>
        <v>128</v>
      </c>
      <c r="E13" s="63">
        <v>50</v>
      </c>
      <c r="F13" s="97">
        <f t="shared" si="2"/>
        <v>5.2434615384615384</v>
      </c>
      <c r="G13" s="64">
        <f t="shared" si="3"/>
        <v>12</v>
      </c>
      <c r="J13" s="324"/>
      <c r="K13" s="66" t="s">
        <v>415</v>
      </c>
      <c r="L13" s="64">
        <v>4</v>
      </c>
      <c r="M13" s="64">
        <v>128</v>
      </c>
      <c r="N13" s="64">
        <v>4.41</v>
      </c>
      <c r="O13" s="64">
        <v>10</v>
      </c>
      <c r="Q13" s="323" t="s">
        <v>416</v>
      </c>
      <c r="R13" s="323"/>
      <c r="S13" s="323"/>
    </row>
    <row r="14" spans="1:19">
      <c r="A14" s="66" t="s">
        <v>417</v>
      </c>
      <c r="B14" s="63">
        <v>200</v>
      </c>
      <c r="C14" s="64">
        <f t="shared" si="0"/>
        <v>4</v>
      </c>
      <c r="D14" s="64">
        <f t="shared" si="1"/>
        <v>270</v>
      </c>
      <c r="E14" s="63">
        <v>50</v>
      </c>
      <c r="F14" s="97">
        <f t="shared" si="2"/>
        <v>4.3666666666666671</v>
      </c>
      <c r="G14" s="64">
        <f t="shared" si="3"/>
        <v>18</v>
      </c>
      <c r="J14" s="324"/>
      <c r="K14" s="66" t="s">
        <v>417</v>
      </c>
      <c r="L14" s="64">
        <v>5</v>
      </c>
      <c r="M14" s="64">
        <v>241</v>
      </c>
      <c r="N14" s="64">
        <v>5.4</v>
      </c>
      <c r="O14" s="64">
        <v>17</v>
      </c>
      <c r="Q14" s="323"/>
      <c r="R14" s="323"/>
      <c r="S14" s="323"/>
    </row>
    <row r="15" spans="1:19">
      <c r="A15" s="66" t="s">
        <v>418</v>
      </c>
      <c r="B15" s="63">
        <v>200</v>
      </c>
      <c r="C15" s="64">
        <f t="shared" si="0"/>
        <v>4.5</v>
      </c>
      <c r="D15" s="64">
        <f t="shared" si="1"/>
        <v>79</v>
      </c>
      <c r="E15" s="63">
        <v>50</v>
      </c>
      <c r="F15" s="97">
        <f t="shared" si="2"/>
        <v>4.3721428571428573</v>
      </c>
      <c r="G15" s="64">
        <f t="shared" si="3"/>
        <v>16</v>
      </c>
      <c r="J15" s="324"/>
      <c r="K15" s="66" t="s">
        <v>418</v>
      </c>
      <c r="L15" s="64">
        <v>5</v>
      </c>
      <c r="M15" s="64">
        <v>79</v>
      </c>
      <c r="N15" s="64">
        <v>4.53</v>
      </c>
      <c r="O15" s="64">
        <v>16</v>
      </c>
      <c r="Q15" s="323"/>
      <c r="R15" s="323"/>
      <c r="S15" s="323"/>
    </row>
    <row r="16" spans="1:19">
      <c r="A16" s="66" t="s">
        <v>419</v>
      </c>
      <c r="B16" s="63">
        <v>200</v>
      </c>
      <c r="C16" s="64">
        <f t="shared" si="0"/>
        <v>3.5</v>
      </c>
      <c r="D16" s="64">
        <f t="shared" si="1"/>
        <v>90</v>
      </c>
      <c r="E16" s="63">
        <v>50</v>
      </c>
      <c r="F16" s="97">
        <f t="shared" si="2"/>
        <v>3.27</v>
      </c>
      <c r="G16" s="64">
        <f t="shared" si="3"/>
        <v>7</v>
      </c>
      <c r="J16" s="324"/>
      <c r="K16" s="66" t="s">
        <v>419</v>
      </c>
      <c r="L16" s="64">
        <v>2</v>
      </c>
      <c r="M16" s="64">
        <v>90</v>
      </c>
      <c r="N16" s="64">
        <v>1.86</v>
      </c>
      <c r="O16" s="64">
        <v>5</v>
      </c>
      <c r="Q16" s="323"/>
      <c r="R16" s="323"/>
      <c r="S16" s="323"/>
    </row>
    <row r="17" spans="1:15">
      <c r="A17" s="66" t="s">
        <v>420</v>
      </c>
      <c r="B17" s="63">
        <v>200</v>
      </c>
      <c r="C17" s="64">
        <f t="shared" si="0"/>
        <v>4</v>
      </c>
      <c r="D17" s="64">
        <f t="shared" si="1"/>
        <v>49</v>
      </c>
      <c r="E17" s="63">
        <v>50</v>
      </c>
      <c r="F17" s="97">
        <f t="shared" si="2"/>
        <v>3.8833333333333337</v>
      </c>
      <c r="G17" s="64">
        <f t="shared" si="3"/>
        <v>12</v>
      </c>
      <c r="J17" s="324"/>
      <c r="K17" s="66" t="s">
        <v>420</v>
      </c>
      <c r="L17" s="64">
        <v>2</v>
      </c>
      <c r="M17" s="64">
        <v>44</v>
      </c>
      <c r="N17" s="64">
        <v>1.6</v>
      </c>
      <c r="O17" s="64">
        <v>8</v>
      </c>
    </row>
    <row r="18" spans="1:15">
      <c r="A18" s="66" t="s">
        <v>421</v>
      </c>
      <c r="B18" s="63">
        <v>200</v>
      </c>
      <c r="C18" s="64">
        <f t="shared" si="0"/>
        <v>6.5</v>
      </c>
      <c r="D18" s="64">
        <f t="shared" si="1"/>
        <v>184</v>
      </c>
      <c r="E18" s="63">
        <v>50</v>
      </c>
      <c r="F18" s="97">
        <f t="shared" si="2"/>
        <v>6.762142857142857</v>
      </c>
      <c r="G18" s="64">
        <f t="shared" si="3"/>
        <v>28</v>
      </c>
      <c r="J18" s="324"/>
      <c r="K18" s="66" t="s">
        <v>421</v>
      </c>
      <c r="L18" s="64">
        <v>6</v>
      </c>
      <c r="M18" s="64">
        <v>184</v>
      </c>
      <c r="N18" s="64">
        <v>6.31</v>
      </c>
      <c r="O18" s="64">
        <v>28</v>
      </c>
    </row>
    <row r="19" spans="1:15">
      <c r="B19" s="3"/>
      <c r="C19" s="3"/>
      <c r="D19" s="3"/>
      <c r="E19" s="3"/>
      <c r="F19" s="3"/>
      <c r="G19" s="3"/>
      <c r="J19" s="324"/>
      <c r="K19" s="62" t="s">
        <v>422</v>
      </c>
      <c r="L19" s="104">
        <f>AVERAGE(L7:L18)</f>
        <v>12.833333333333334</v>
      </c>
      <c r="M19" s="62">
        <f>MAX(M7:M18)</f>
        <v>286</v>
      </c>
      <c r="N19" s="104">
        <f>AVERAGE(N7:N18)</f>
        <v>12.525</v>
      </c>
      <c r="O19" s="62">
        <f>MAX(O7:O18)</f>
        <v>49</v>
      </c>
    </row>
    <row r="20" spans="1:15">
      <c r="B20" s="3"/>
      <c r="C20" s="3"/>
      <c r="D20" s="3"/>
      <c r="E20" s="3"/>
      <c r="F20" s="3"/>
      <c r="G20" s="3"/>
    </row>
    <row r="21" spans="1:15" ht="41.45">
      <c r="B21" s="3"/>
      <c r="C21" s="3"/>
      <c r="D21" s="3"/>
      <c r="E21" s="3"/>
      <c r="F21" s="3"/>
      <c r="G21" s="3"/>
      <c r="J21" s="61">
        <f>+A6</f>
        <v>2022</v>
      </c>
      <c r="K21" s="61" t="s">
        <v>404</v>
      </c>
      <c r="L21" s="67" t="s">
        <v>399</v>
      </c>
      <c r="M21" s="67" t="s">
        <v>405</v>
      </c>
      <c r="N21" s="67" t="s">
        <v>402</v>
      </c>
      <c r="O21" s="67" t="s">
        <v>406</v>
      </c>
    </row>
    <row r="22" spans="1:15">
      <c r="B22" s="3"/>
      <c r="C22" s="3"/>
      <c r="D22" s="3"/>
      <c r="E22" s="3"/>
      <c r="F22" s="3"/>
      <c r="G22" s="3"/>
      <c r="J22" s="324" t="s">
        <v>188</v>
      </c>
      <c r="K22" s="66" t="s">
        <v>407</v>
      </c>
      <c r="L22" s="64">
        <v>19</v>
      </c>
      <c r="M22" s="64">
        <v>114</v>
      </c>
      <c r="N22" s="95">
        <v>19.096774193548388</v>
      </c>
      <c r="O22" s="64">
        <v>33</v>
      </c>
    </row>
    <row r="23" spans="1:15">
      <c r="B23" s="3"/>
      <c r="C23" s="3"/>
      <c r="D23" s="3"/>
      <c r="E23" s="3"/>
      <c r="F23" s="3"/>
      <c r="G23" s="3"/>
      <c r="J23" s="324"/>
      <c r="K23" s="66" t="s">
        <v>408</v>
      </c>
      <c r="L23" s="64">
        <v>19</v>
      </c>
      <c r="M23" s="64">
        <v>116</v>
      </c>
      <c r="N23" s="95">
        <v>19.571428571428573</v>
      </c>
      <c r="O23" s="64">
        <v>30</v>
      </c>
    </row>
    <row r="24" spans="1:15">
      <c r="B24" s="3"/>
      <c r="C24" s="3"/>
      <c r="D24" s="3"/>
      <c r="E24" s="3"/>
      <c r="F24" s="3"/>
      <c r="G24" s="3"/>
      <c r="J24" s="324"/>
      <c r="K24" s="66" t="s">
        <v>409</v>
      </c>
      <c r="L24" s="64">
        <v>8</v>
      </c>
      <c r="M24" s="64">
        <v>49</v>
      </c>
      <c r="N24" s="95">
        <v>7.67741935483871</v>
      </c>
      <c r="O24" s="64">
        <v>15</v>
      </c>
    </row>
    <row r="25" spans="1:15">
      <c r="J25" s="324"/>
      <c r="K25" s="66" t="s">
        <v>411</v>
      </c>
      <c r="L25" s="64">
        <v>10</v>
      </c>
      <c r="M25" s="64">
        <v>52</v>
      </c>
      <c r="N25" s="95">
        <v>9.5</v>
      </c>
      <c r="O25" s="64">
        <v>16</v>
      </c>
    </row>
    <row r="26" spans="1:15">
      <c r="J26" s="324"/>
      <c r="K26" s="66" t="s">
        <v>413</v>
      </c>
      <c r="L26" s="64">
        <v>10</v>
      </c>
      <c r="M26" s="64">
        <v>60</v>
      </c>
      <c r="N26" s="95">
        <v>9.3000000000000007</v>
      </c>
      <c r="O26" s="64">
        <v>16</v>
      </c>
    </row>
    <row r="27" spans="1:15">
      <c r="J27" s="324"/>
      <c r="K27" s="66" t="s">
        <v>414</v>
      </c>
      <c r="L27" s="64">
        <v>12</v>
      </c>
      <c r="M27" s="64">
        <v>27</v>
      </c>
      <c r="N27" s="95">
        <v>12.12</v>
      </c>
      <c r="O27" s="64">
        <v>18</v>
      </c>
    </row>
    <row r="28" spans="1:15">
      <c r="J28" s="324"/>
      <c r="K28" s="66" t="s">
        <v>415</v>
      </c>
      <c r="L28" s="64">
        <v>7</v>
      </c>
      <c r="M28" s="64">
        <v>54</v>
      </c>
      <c r="N28" s="95">
        <v>6.0769230769230766</v>
      </c>
      <c r="O28" s="64">
        <v>12</v>
      </c>
    </row>
    <row r="29" spans="1:15">
      <c r="J29" s="324"/>
      <c r="K29" s="66" t="s">
        <v>417</v>
      </c>
      <c r="L29" s="64">
        <v>3</v>
      </c>
      <c r="M29" s="64">
        <v>270</v>
      </c>
      <c r="N29" s="95">
        <v>3.3333333333333335</v>
      </c>
      <c r="O29" s="64">
        <v>18</v>
      </c>
    </row>
    <row r="30" spans="1:15">
      <c r="J30" s="324"/>
      <c r="K30" s="66" t="s">
        <v>418</v>
      </c>
      <c r="L30" s="64">
        <v>4</v>
      </c>
      <c r="M30" s="64">
        <v>62</v>
      </c>
      <c r="N30" s="95">
        <v>4.2142857142857144</v>
      </c>
      <c r="O30" s="64">
        <v>14</v>
      </c>
    </row>
    <row r="31" spans="1:15">
      <c r="J31" s="324"/>
      <c r="K31" s="66" t="s">
        <v>419</v>
      </c>
      <c r="L31" s="64">
        <v>5</v>
      </c>
      <c r="M31" s="64">
        <v>67</v>
      </c>
      <c r="N31" s="95">
        <v>4.68</v>
      </c>
      <c r="O31" s="64">
        <v>7</v>
      </c>
    </row>
    <row r="32" spans="1:15">
      <c r="J32" s="324"/>
      <c r="K32" s="66" t="s">
        <v>420</v>
      </c>
      <c r="L32" s="64">
        <v>6</v>
      </c>
      <c r="M32" s="64">
        <v>49</v>
      </c>
      <c r="N32" s="95">
        <v>6.166666666666667</v>
      </c>
      <c r="O32" s="64">
        <v>12</v>
      </c>
    </row>
    <row r="33" spans="1:15">
      <c r="J33" s="324"/>
      <c r="K33" s="66" t="s">
        <v>421</v>
      </c>
      <c r="L33" s="64">
        <v>7</v>
      </c>
      <c r="M33" s="64">
        <v>103</v>
      </c>
      <c r="N33" s="95">
        <v>7.2142857142857144</v>
      </c>
      <c r="O33" s="64">
        <v>19</v>
      </c>
    </row>
    <row r="34" spans="1:15">
      <c r="J34" s="324"/>
      <c r="K34" s="62" t="s">
        <v>422</v>
      </c>
      <c r="L34" s="104">
        <f>AVERAGE(L22:L33)</f>
        <v>9.1666666666666661</v>
      </c>
      <c r="M34" s="62">
        <f>MAX(M22:M33)</f>
        <v>270</v>
      </c>
      <c r="N34" s="104">
        <f>AVERAGE(N22:N33)</f>
        <v>9.0792597187758464</v>
      </c>
      <c r="O34" s="62">
        <f>MAX(O22:O33)</f>
        <v>33</v>
      </c>
    </row>
    <row r="36" spans="1:15">
      <c r="J36" s="61"/>
      <c r="K36" s="61"/>
      <c r="L36" s="67"/>
      <c r="M36" s="67"/>
      <c r="N36" s="67"/>
      <c r="O36" s="67"/>
    </row>
    <row r="37" spans="1:15">
      <c r="J37" s="324"/>
      <c r="K37" s="66"/>
      <c r="L37" s="64"/>
      <c r="M37" s="64"/>
      <c r="N37" s="64"/>
      <c r="O37" s="64"/>
    </row>
    <row r="38" spans="1:15">
      <c r="J38" s="324"/>
      <c r="K38" s="66"/>
      <c r="L38" s="64"/>
      <c r="M38" s="64"/>
      <c r="N38" s="64"/>
      <c r="O38" s="64"/>
    </row>
    <row r="39" spans="1:15">
      <c r="J39" s="324"/>
      <c r="K39" s="66"/>
      <c r="L39" s="64"/>
      <c r="M39" s="64"/>
      <c r="N39" s="64"/>
      <c r="O39" s="64"/>
    </row>
    <row r="40" spans="1:15">
      <c r="J40" s="324"/>
      <c r="K40" s="66"/>
      <c r="L40" s="64"/>
      <c r="M40" s="64"/>
      <c r="N40" s="64"/>
      <c r="O40" s="64"/>
    </row>
    <row r="41" spans="1:15">
      <c r="J41" s="324"/>
      <c r="K41" s="66"/>
      <c r="L41" s="64"/>
      <c r="M41" s="64"/>
      <c r="N41" s="64"/>
      <c r="O41" s="64"/>
    </row>
    <row r="42" spans="1:15">
      <c r="J42" s="324"/>
      <c r="K42" s="66"/>
      <c r="L42" s="64"/>
      <c r="M42" s="64"/>
      <c r="N42" s="64"/>
      <c r="O42" s="64"/>
    </row>
    <row r="43" spans="1:15">
      <c r="C43" s="35" t="s">
        <v>12</v>
      </c>
      <c r="J43" s="324"/>
      <c r="K43" s="66"/>
      <c r="L43" s="64"/>
      <c r="M43" s="64"/>
      <c r="N43" s="64"/>
      <c r="O43" s="64"/>
    </row>
    <row r="44" spans="1:15">
      <c r="J44" s="324"/>
      <c r="K44" s="66"/>
      <c r="L44" s="64"/>
      <c r="M44" s="64"/>
      <c r="N44" s="64"/>
      <c r="O44" s="64"/>
    </row>
    <row r="45" spans="1:15">
      <c r="C45" s="35" t="s">
        <v>14</v>
      </c>
      <c r="J45" s="324"/>
      <c r="K45" s="66"/>
      <c r="L45" s="64"/>
      <c r="M45" s="64"/>
      <c r="N45" s="64"/>
      <c r="O45" s="64"/>
    </row>
    <row r="46" spans="1:15">
      <c r="J46" s="324"/>
      <c r="K46" s="66"/>
      <c r="L46" s="64"/>
      <c r="M46" s="64"/>
      <c r="N46" s="64"/>
      <c r="O46" s="64"/>
    </row>
    <row r="47" spans="1:15">
      <c r="J47" s="324"/>
      <c r="K47" s="66"/>
      <c r="L47" s="64"/>
      <c r="M47" s="64"/>
      <c r="N47" s="64"/>
      <c r="O47" s="64"/>
    </row>
    <row r="48" spans="1:15">
      <c r="A48" s="242" t="s">
        <v>317</v>
      </c>
      <c r="B48" s="243"/>
      <c r="C48" s="243"/>
      <c r="D48" s="243"/>
      <c r="E48" s="243"/>
      <c r="F48" s="243"/>
      <c r="G48" s="244"/>
      <c r="J48" s="324"/>
      <c r="K48" s="66"/>
      <c r="L48" s="64"/>
      <c r="M48" s="64"/>
      <c r="N48" s="64"/>
      <c r="O48" s="64"/>
    </row>
    <row r="49" spans="1:15">
      <c r="A49" s="327"/>
      <c r="B49" s="328"/>
      <c r="C49" s="328"/>
      <c r="D49" s="328"/>
      <c r="E49" s="328"/>
      <c r="F49" s="328"/>
      <c r="G49" s="329"/>
      <c r="J49" s="324"/>
      <c r="K49" s="62"/>
      <c r="L49" s="62"/>
      <c r="M49" s="62"/>
      <c r="N49" s="62"/>
      <c r="O49" s="62"/>
    </row>
    <row r="50" spans="1:15">
      <c r="A50" s="330"/>
      <c r="B50" s="331"/>
      <c r="C50" s="331"/>
      <c r="D50" s="331"/>
      <c r="E50" s="331"/>
      <c r="F50" s="331"/>
      <c r="G50" s="332"/>
    </row>
    <row r="51" spans="1:15">
      <c r="A51" s="330"/>
      <c r="B51" s="331"/>
      <c r="C51" s="331"/>
      <c r="D51" s="331"/>
      <c r="E51" s="331"/>
      <c r="F51" s="331"/>
      <c r="G51" s="332"/>
      <c r="J51" s="61"/>
      <c r="K51" s="61"/>
      <c r="L51" s="67"/>
      <c r="M51" s="67"/>
      <c r="N51" s="67"/>
      <c r="O51" s="67"/>
    </row>
    <row r="52" spans="1:15">
      <c r="A52" s="333"/>
      <c r="B52" s="334"/>
      <c r="C52" s="334"/>
      <c r="D52" s="334"/>
      <c r="E52" s="334"/>
      <c r="F52" s="334"/>
      <c r="G52" s="335"/>
      <c r="J52" s="324"/>
      <c r="K52" s="66"/>
      <c r="L52" s="64"/>
      <c r="M52" s="64"/>
      <c r="N52" s="64"/>
      <c r="O52" s="64"/>
    </row>
    <row r="53" spans="1:15">
      <c r="C53" s="176"/>
      <c r="J53" s="324"/>
      <c r="K53" s="66"/>
      <c r="L53" s="64"/>
      <c r="M53" s="64"/>
      <c r="N53" s="64"/>
      <c r="O53" s="64"/>
    </row>
    <row r="54" spans="1:15">
      <c r="J54" s="324"/>
      <c r="K54" s="66"/>
      <c r="L54" s="64"/>
      <c r="M54" s="64"/>
      <c r="N54" s="64"/>
      <c r="O54" s="64"/>
    </row>
    <row r="55" spans="1:15">
      <c r="J55" s="324"/>
      <c r="K55" s="66"/>
      <c r="L55" s="64"/>
      <c r="M55" s="64"/>
      <c r="N55" s="64"/>
      <c r="O55" s="64"/>
    </row>
    <row r="56" spans="1:15">
      <c r="J56" s="324"/>
      <c r="K56" s="66"/>
      <c r="L56" s="64"/>
      <c r="M56" s="64"/>
      <c r="N56" s="64"/>
      <c r="O56" s="64"/>
    </row>
    <row r="57" spans="1:15">
      <c r="J57" s="324"/>
      <c r="K57" s="66"/>
      <c r="L57" s="64"/>
      <c r="M57" s="64"/>
      <c r="N57" s="64"/>
      <c r="O57" s="64"/>
    </row>
    <row r="58" spans="1:15">
      <c r="J58" s="324"/>
      <c r="K58" s="66"/>
      <c r="L58" s="64"/>
      <c r="M58" s="64"/>
      <c r="N58" s="64"/>
      <c r="O58" s="64"/>
    </row>
    <row r="59" spans="1:15">
      <c r="J59" s="324"/>
      <c r="K59" s="66"/>
      <c r="L59" s="64"/>
      <c r="M59" s="64"/>
      <c r="N59" s="64"/>
      <c r="O59" s="64"/>
    </row>
    <row r="60" spans="1:15">
      <c r="J60" s="324"/>
      <c r="K60" s="66"/>
      <c r="L60" s="64"/>
      <c r="M60" s="64"/>
      <c r="N60" s="64"/>
      <c r="O60" s="64"/>
    </row>
    <row r="61" spans="1:15">
      <c r="J61" s="324"/>
      <c r="K61" s="66"/>
      <c r="L61" s="64"/>
      <c r="M61" s="64"/>
      <c r="N61" s="64"/>
      <c r="O61" s="64"/>
    </row>
    <row r="62" spans="1:15">
      <c r="J62" s="324"/>
      <c r="K62" s="66"/>
      <c r="L62" s="64"/>
      <c r="M62" s="64"/>
      <c r="N62" s="64"/>
      <c r="O62" s="64"/>
    </row>
    <row r="63" spans="1:15">
      <c r="J63" s="324"/>
      <c r="K63" s="66"/>
      <c r="L63" s="64"/>
      <c r="M63" s="64"/>
      <c r="N63" s="64"/>
      <c r="O63" s="64"/>
    </row>
    <row r="64" spans="1:15">
      <c r="J64" s="324"/>
      <c r="K64" s="62"/>
      <c r="L64" s="62"/>
      <c r="M64" s="62"/>
      <c r="N64" s="62"/>
      <c r="O64" s="62"/>
    </row>
    <row r="66" spans="10:15">
      <c r="J66" s="61"/>
      <c r="K66" s="61"/>
      <c r="L66" s="67"/>
      <c r="M66" s="67"/>
      <c r="N66" s="67"/>
      <c r="O66" s="67"/>
    </row>
    <row r="67" spans="10:15">
      <c r="J67" s="324"/>
      <c r="K67" s="66"/>
      <c r="L67" s="64"/>
      <c r="M67" s="64"/>
      <c r="N67" s="64"/>
      <c r="O67" s="64"/>
    </row>
    <row r="68" spans="10:15">
      <c r="J68" s="324"/>
      <c r="K68" s="66"/>
      <c r="L68" s="64"/>
      <c r="M68" s="64"/>
      <c r="N68" s="64"/>
      <c r="O68" s="64"/>
    </row>
    <row r="69" spans="10:15">
      <c r="J69" s="324"/>
      <c r="K69" s="66"/>
      <c r="L69" s="64"/>
      <c r="M69" s="64"/>
      <c r="N69" s="64"/>
      <c r="O69" s="64"/>
    </row>
    <row r="70" spans="10:15">
      <c r="J70" s="324"/>
      <c r="K70" s="66"/>
      <c r="L70" s="64"/>
      <c r="M70" s="64"/>
      <c r="N70" s="64"/>
      <c r="O70" s="64"/>
    </row>
    <row r="71" spans="10:15">
      <c r="J71" s="324"/>
      <c r="K71" s="66"/>
      <c r="L71" s="64"/>
      <c r="M71" s="64"/>
      <c r="N71" s="64"/>
      <c r="O71" s="64"/>
    </row>
    <row r="72" spans="10:15">
      <c r="J72" s="324"/>
      <c r="K72" s="66"/>
      <c r="L72" s="64"/>
      <c r="M72" s="64"/>
      <c r="N72" s="64"/>
      <c r="O72" s="64"/>
    </row>
    <row r="73" spans="10:15">
      <c r="J73" s="324"/>
      <c r="K73" s="66"/>
      <c r="L73" s="64"/>
      <c r="M73" s="64"/>
      <c r="N73" s="64"/>
      <c r="O73" s="64"/>
    </row>
    <row r="74" spans="10:15">
      <c r="J74" s="324"/>
      <c r="K74" s="66"/>
      <c r="L74" s="64"/>
      <c r="M74" s="64"/>
      <c r="N74" s="64"/>
      <c r="O74" s="64"/>
    </row>
    <row r="75" spans="10:15">
      <c r="J75" s="324"/>
      <c r="K75" s="66"/>
      <c r="L75" s="64"/>
      <c r="M75" s="64"/>
      <c r="N75" s="64"/>
      <c r="O75" s="64"/>
    </row>
    <row r="76" spans="10:15">
      <c r="J76" s="324"/>
      <c r="K76" s="66"/>
      <c r="L76" s="64"/>
      <c r="M76" s="64"/>
      <c r="N76" s="64"/>
      <c r="O76" s="64"/>
    </row>
    <row r="77" spans="10:15">
      <c r="J77" s="324"/>
      <c r="K77" s="66"/>
      <c r="L77" s="64"/>
      <c r="M77" s="64"/>
      <c r="N77" s="64"/>
      <c r="O77" s="64"/>
    </row>
    <row r="78" spans="10:15">
      <c r="J78" s="324"/>
      <c r="K78" s="66"/>
      <c r="L78" s="64"/>
      <c r="M78" s="64"/>
      <c r="N78" s="64"/>
      <c r="O78" s="64"/>
    </row>
    <row r="79" spans="10:15">
      <c r="J79" s="324"/>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view="pageBreakPreview" topLeftCell="A14" zoomScale="60" zoomScaleNormal="100" workbookViewId="0">
      <selection activeCell="C54" sqref="C54"/>
    </sheetView>
  </sheetViews>
  <sheetFormatPr defaultColWidth="9.28515625" defaultRowHeight="13.9"/>
  <cols>
    <col min="1" max="1" width="14" style="3" customWidth="1"/>
    <col min="2" max="4" width="17" style="35" customWidth="1"/>
    <col min="5" max="5" width="14.7109375" style="35" customWidth="1"/>
    <col min="6" max="7" width="17" style="35" customWidth="1"/>
    <col min="8" max="8" width="9.28515625" style="3"/>
    <col min="9" max="9" width="14.28515625" style="3" customWidth="1"/>
    <col min="10"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1" t="str">
        <f>+'Cover Page'!$B$29</f>
        <v>Annual Performance Report 2022</v>
      </c>
      <c r="B1" s="91"/>
      <c r="C1" s="91"/>
      <c r="D1" s="91"/>
      <c r="E1" s="91" t="str">
        <f>+'Cover Page'!$B$33</f>
        <v>Dudley Energy from Waste Facility</v>
      </c>
      <c r="F1" s="91"/>
    </row>
    <row r="3" spans="1:19" ht="14.45">
      <c r="A3" s="60" t="s">
        <v>426</v>
      </c>
      <c r="D3" s="76" t="s">
        <v>391</v>
      </c>
      <c r="G3" s="80" t="s">
        <v>392</v>
      </c>
      <c r="J3" s="9" t="str">
        <f>+A3</f>
        <v>Monitoring of Oxides of Nitrogen emissions</v>
      </c>
      <c r="L3" s="9"/>
      <c r="N3" s="9" t="s">
        <v>393</v>
      </c>
      <c r="Q3" s="79" t="s">
        <v>3</v>
      </c>
      <c r="R3" s="74"/>
      <c r="S3" s="74"/>
    </row>
    <row r="4" spans="1:19" ht="13.9" customHeight="1">
      <c r="Q4" s="336" t="s">
        <v>394</v>
      </c>
      <c r="R4" s="336"/>
      <c r="S4" s="336"/>
    </row>
    <row r="5" spans="1:19" ht="16.149999999999999">
      <c r="A5" s="68" t="s">
        <v>395</v>
      </c>
      <c r="B5" s="326" t="s">
        <v>396</v>
      </c>
      <c r="C5" s="326"/>
      <c r="D5" s="326"/>
      <c r="E5" s="326" t="s">
        <v>397</v>
      </c>
      <c r="F5" s="326"/>
      <c r="G5" s="326"/>
      <c r="J5" s="325"/>
      <c r="K5" s="325"/>
      <c r="L5" s="325"/>
      <c r="M5" s="325"/>
      <c r="N5" s="325"/>
      <c r="O5" s="325"/>
      <c r="Q5" s="336"/>
      <c r="R5" s="336"/>
      <c r="S5" s="336"/>
    </row>
    <row r="6" spans="1:19" s="58" customFormat="1" ht="37.5" customHeight="1">
      <c r="A6" s="65">
        <f>+'Cover Page'!C39</f>
        <v>2022</v>
      </c>
      <c r="B6" s="55" t="s">
        <v>427</v>
      </c>
      <c r="C6" s="55" t="s">
        <v>399</v>
      </c>
      <c r="D6" s="55" t="s">
        <v>400</v>
      </c>
      <c r="E6" s="55" t="s">
        <v>428</v>
      </c>
      <c r="F6" s="55" t="s">
        <v>402</v>
      </c>
      <c r="G6" s="55" t="s">
        <v>403</v>
      </c>
      <c r="H6" s="59"/>
      <c r="J6" s="61">
        <f>+A6</f>
        <v>2022</v>
      </c>
      <c r="K6" s="61" t="s">
        <v>404</v>
      </c>
      <c r="L6" s="67" t="s">
        <v>399</v>
      </c>
      <c r="M6" s="67" t="s">
        <v>405</v>
      </c>
      <c r="N6" s="67" t="s">
        <v>402</v>
      </c>
      <c r="O6" s="67" t="s">
        <v>406</v>
      </c>
      <c r="Q6" s="336"/>
      <c r="R6" s="336"/>
      <c r="S6" s="336"/>
    </row>
    <row r="7" spans="1:19">
      <c r="A7" s="66" t="s">
        <v>407</v>
      </c>
      <c r="B7" s="63">
        <v>400</v>
      </c>
      <c r="C7" s="97">
        <f>AVERAGE(L7,L22)</f>
        <v>180.5</v>
      </c>
      <c r="D7" s="97">
        <f>MAX(M7,M22)</f>
        <v>552</v>
      </c>
      <c r="E7" s="105">
        <v>200</v>
      </c>
      <c r="F7" s="97">
        <f>AVERAGE(N7,N22)</f>
        <v>180</v>
      </c>
      <c r="G7" s="64">
        <f>MAX(O7,O22)</f>
        <v>196</v>
      </c>
      <c r="J7" s="324" t="s">
        <v>187</v>
      </c>
      <c r="K7" s="66" t="s">
        <v>407</v>
      </c>
      <c r="L7" s="64">
        <v>180</v>
      </c>
      <c r="M7" s="64">
        <v>552</v>
      </c>
      <c r="N7" s="64">
        <v>180</v>
      </c>
      <c r="O7" s="64">
        <v>188</v>
      </c>
      <c r="Q7" s="336"/>
      <c r="R7" s="336"/>
      <c r="S7" s="336"/>
    </row>
    <row r="8" spans="1:19">
      <c r="A8" s="66" t="s">
        <v>408</v>
      </c>
      <c r="B8" s="63">
        <v>400</v>
      </c>
      <c r="C8" s="97">
        <f t="shared" ref="C8:C18" si="0">AVERAGE(L8,L23)</f>
        <v>179.5</v>
      </c>
      <c r="D8" s="97">
        <f t="shared" ref="D8:D18" si="1">MAX(M8,M23)</f>
        <v>275</v>
      </c>
      <c r="E8" s="105">
        <v>200</v>
      </c>
      <c r="F8" s="97">
        <f t="shared" ref="F8:F18" si="2">AVERAGE(N8,N23)</f>
        <v>179.5</v>
      </c>
      <c r="G8" s="64">
        <f t="shared" ref="G8:G18" si="3">MAX(O8,O23)</f>
        <v>184</v>
      </c>
      <c r="J8" s="324"/>
      <c r="K8" s="66" t="s">
        <v>408</v>
      </c>
      <c r="L8" s="64">
        <v>179</v>
      </c>
      <c r="M8" s="64">
        <v>275</v>
      </c>
      <c r="N8" s="64">
        <v>180</v>
      </c>
      <c r="O8" s="64">
        <v>184</v>
      </c>
      <c r="Q8" s="336"/>
      <c r="R8" s="336"/>
      <c r="S8" s="336"/>
    </row>
    <row r="9" spans="1:19">
      <c r="A9" s="66" t="s">
        <v>409</v>
      </c>
      <c r="B9" s="63">
        <v>400</v>
      </c>
      <c r="C9" s="97">
        <f t="shared" si="0"/>
        <v>179</v>
      </c>
      <c r="D9" s="97">
        <f t="shared" si="1"/>
        <v>409</v>
      </c>
      <c r="E9" s="105">
        <v>200</v>
      </c>
      <c r="F9" s="97">
        <f t="shared" si="2"/>
        <v>177</v>
      </c>
      <c r="G9" s="64">
        <f t="shared" si="3"/>
        <v>189</v>
      </c>
      <c r="J9" s="324"/>
      <c r="K9" s="66" t="s">
        <v>409</v>
      </c>
      <c r="L9" s="64">
        <v>178</v>
      </c>
      <c r="M9" s="64">
        <v>409</v>
      </c>
      <c r="N9" s="64">
        <v>177</v>
      </c>
      <c r="O9" s="64">
        <v>189</v>
      </c>
      <c r="Q9" s="78" t="s">
        <v>410</v>
      </c>
    </row>
    <row r="10" spans="1:19" ht="14.25" customHeight="1">
      <c r="A10" s="66" t="s">
        <v>411</v>
      </c>
      <c r="B10" s="63">
        <v>400</v>
      </c>
      <c r="C10" s="97">
        <f t="shared" si="0"/>
        <v>181</v>
      </c>
      <c r="D10" s="97">
        <f t="shared" si="1"/>
        <v>420</v>
      </c>
      <c r="E10" s="105">
        <v>200</v>
      </c>
      <c r="F10" s="97">
        <f t="shared" si="2"/>
        <v>180</v>
      </c>
      <c r="G10" s="64">
        <f t="shared" si="3"/>
        <v>189</v>
      </c>
      <c r="J10" s="324"/>
      <c r="K10" s="66" t="s">
        <v>411</v>
      </c>
      <c r="L10" s="64">
        <v>181</v>
      </c>
      <c r="M10" s="64">
        <v>420</v>
      </c>
      <c r="N10" s="64">
        <v>180</v>
      </c>
      <c r="O10" s="64">
        <v>189</v>
      </c>
      <c r="Q10" s="323" t="s">
        <v>412</v>
      </c>
      <c r="R10" s="323"/>
      <c r="S10" s="323"/>
    </row>
    <row r="11" spans="1:19">
      <c r="A11" s="66" t="s">
        <v>413</v>
      </c>
      <c r="B11" s="63">
        <v>400</v>
      </c>
      <c r="C11" s="97">
        <f t="shared" si="0"/>
        <v>179.5</v>
      </c>
      <c r="D11" s="97">
        <f t="shared" si="1"/>
        <v>295</v>
      </c>
      <c r="E11" s="105">
        <v>200</v>
      </c>
      <c r="F11" s="97">
        <f t="shared" si="2"/>
        <v>180</v>
      </c>
      <c r="G11" s="64">
        <f t="shared" si="3"/>
        <v>187</v>
      </c>
      <c r="J11" s="324"/>
      <c r="K11" s="66" t="s">
        <v>413</v>
      </c>
      <c r="L11" s="64">
        <v>180</v>
      </c>
      <c r="M11" s="64">
        <v>229</v>
      </c>
      <c r="N11" s="64">
        <v>180</v>
      </c>
      <c r="O11" s="64">
        <v>182</v>
      </c>
      <c r="Q11" s="323"/>
      <c r="R11" s="323"/>
      <c r="S11" s="323"/>
    </row>
    <row r="12" spans="1:19">
      <c r="A12" s="66" t="s">
        <v>414</v>
      </c>
      <c r="B12" s="63">
        <v>400</v>
      </c>
      <c r="C12" s="97">
        <f t="shared" si="0"/>
        <v>180</v>
      </c>
      <c r="D12" s="97">
        <f t="shared" si="1"/>
        <v>265</v>
      </c>
      <c r="E12" s="105">
        <v>200</v>
      </c>
      <c r="F12" s="97">
        <f t="shared" si="2"/>
        <v>180</v>
      </c>
      <c r="G12" s="64">
        <f t="shared" si="3"/>
        <v>182</v>
      </c>
      <c r="J12" s="324"/>
      <c r="K12" s="66" t="s">
        <v>414</v>
      </c>
      <c r="L12" s="64">
        <v>180</v>
      </c>
      <c r="M12" s="64">
        <v>265</v>
      </c>
      <c r="N12" s="64">
        <v>180</v>
      </c>
      <c r="O12" s="64">
        <v>182</v>
      </c>
      <c r="Q12" s="323"/>
      <c r="R12" s="323"/>
      <c r="S12" s="323"/>
    </row>
    <row r="13" spans="1:19" ht="14.25" customHeight="1">
      <c r="A13" s="66" t="s">
        <v>415</v>
      </c>
      <c r="B13" s="63">
        <v>400</v>
      </c>
      <c r="C13" s="97">
        <f t="shared" si="0"/>
        <v>180</v>
      </c>
      <c r="D13" s="97">
        <f t="shared" si="1"/>
        <v>303</v>
      </c>
      <c r="E13" s="105">
        <v>200</v>
      </c>
      <c r="F13" s="97">
        <f t="shared" si="2"/>
        <v>179.5</v>
      </c>
      <c r="G13" s="64">
        <f t="shared" si="3"/>
        <v>183</v>
      </c>
      <c r="J13" s="324"/>
      <c r="K13" s="66" t="s">
        <v>415</v>
      </c>
      <c r="L13" s="64">
        <v>180</v>
      </c>
      <c r="M13" s="64">
        <v>245</v>
      </c>
      <c r="N13" s="64">
        <v>179</v>
      </c>
      <c r="O13" s="64">
        <v>181</v>
      </c>
      <c r="Q13" s="323" t="s">
        <v>416</v>
      </c>
      <c r="R13" s="323"/>
      <c r="S13" s="323"/>
    </row>
    <row r="14" spans="1:19">
      <c r="A14" s="66" t="s">
        <v>417</v>
      </c>
      <c r="B14" s="63">
        <v>400</v>
      </c>
      <c r="C14" s="97">
        <f t="shared" si="0"/>
        <v>166</v>
      </c>
      <c r="D14" s="97">
        <f t="shared" si="1"/>
        <v>273</v>
      </c>
      <c r="E14" s="105">
        <v>200</v>
      </c>
      <c r="F14" s="97">
        <f t="shared" si="2"/>
        <v>169.5</v>
      </c>
      <c r="G14" s="64">
        <f t="shared" si="3"/>
        <v>181</v>
      </c>
      <c r="J14" s="324"/>
      <c r="K14" s="66" t="s">
        <v>417</v>
      </c>
      <c r="L14" s="64">
        <v>166</v>
      </c>
      <c r="M14" s="64">
        <v>248</v>
      </c>
      <c r="N14" s="64">
        <v>166</v>
      </c>
      <c r="O14" s="64">
        <v>181</v>
      </c>
      <c r="Q14" s="323"/>
      <c r="R14" s="323"/>
      <c r="S14" s="323"/>
    </row>
    <row r="15" spans="1:19">
      <c r="A15" s="66" t="s">
        <v>418</v>
      </c>
      <c r="B15" s="63">
        <v>400</v>
      </c>
      <c r="C15" s="97">
        <f t="shared" si="0"/>
        <v>179</v>
      </c>
      <c r="D15" s="97">
        <f t="shared" si="1"/>
        <v>358</v>
      </c>
      <c r="E15" s="105">
        <v>200</v>
      </c>
      <c r="F15" s="97">
        <f t="shared" si="2"/>
        <v>179.5</v>
      </c>
      <c r="G15" s="64">
        <f t="shared" si="3"/>
        <v>187</v>
      </c>
      <c r="J15" s="324"/>
      <c r="K15" s="66" t="s">
        <v>418</v>
      </c>
      <c r="L15" s="64">
        <v>180</v>
      </c>
      <c r="M15" s="64">
        <v>252</v>
      </c>
      <c r="N15" s="64">
        <v>179</v>
      </c>
      <c r="O15" s="64">
        <v>181</v>
      </c>
      <c r="Q15" s="323"/>
      <c r="R15" s="323"/>
      <c r="S15" s="323"/>
    </row>
    <row r="16" spans="1:19">
      <c r="A16" s="66" t="s">
        <v>419</v>
      </c>
      <c r="B16" s="63">
        <v>400</v>
      </c>
      <c r="C16" s="97">
        <f t="shared" si="0"/>
        <v>180</v>
      </c>
      <c r="D16" s="97">
        <f t="shared" si="1"/>
        <v>304</v>
      </c>
      <c r="E16" s="105">
        <v>200</v>
      </c>
      <c r="F16" s="97">
        <f t="shared" si="2"/>
        <v>180</v>
      </c>
      <c r="G16" s="64">
        <f t="shared" si="3"/>
        <v>183</v>
      </c>
      <c r="J16" s="324"/>
      <c r="K16" s="66" t="s">
        <v>419</v>
      </c>
      <c r="L16" s="64">
        <v>180</v>
      </c>
      <c r="M16" s="64">
        <v>195</v>
      </c>
      <c r="N16" s="64">
        <v>179</v>
      </c>
      <c r="O16" s="64">
        <v>180</v>
      </c>
      <c r="Q16" s="323"/>
      <c r="R16" s="323"/>
      <c r="S16" s="323"/>
    </row>
    <row r="17" spans="1:15">
      <c r="A17" s="66" t="s">
        <v>420</v>
      </c>
      <c r="B17" s="63">
        <v>400</v>
      </c>
      <c r="C17" s="97">
        <f t="shared" si="0"/>
        <v>180.5</v>
      </c>
      <c r="D17" s="97">
        <f t="shared" si="1"/>
        <v>342</v>
      </c>
      <c r="E17" s="105">
        <v>200</v>
      </c>
      <c r="F17" s="97">
        <f t="shared" si="2"/>
        <v>180</v>
      </c>
      <c r="G17" s="64">
        <f t="shared" si="3"/>
        <v>196</v>
      </c>
      <c r="J17" s="324"/>
      <c r="K17" s="66" t="s">
        <v>420</v>
      </c>
      <c r="L17" s="64">
        <v>180</v>
      </c>
      <c r="M17" s="64">
        <v>307</v>
      </c>
      <c r="N17" s="64">
        <v>180</v>
      </c>
      <c r="O17" s="64">
        <v>196</v>
      </c>
    </row>
    <row r="18" spans="1:15">
      <c r="A18" s="66" t="s">
        <v>421</v>
      </c>
      <c r="B18" s="63">
        <v>400</v>
      </c>
      <c r="C18" s="97">
        <f t="shared" si="0"/>
        <v>178</v>
      </c>
      <c r="D18" s="97">
        <f t="shared" si="1"/>
        <v>319</v>
      </c>
      <c r="E18" s="105">
        <v>200</v>
      </c>
      <c r="F18" s="97">
        <f t="shared" si="2"/>
        <v>178</v>
      </c>
      <c r="G18" s="64">
        <f t="shared" si="3"/>
        <v>187</v>
      </c>
      <c r="J18" s="324"/>
      <c r="K18" s="66" t="s">
        <v>421</v>
      </c>
      <c r="L18" s="64">
        <v>175</v>
      </c>
      <c r="M18" s="64">
        <v>241</v>
      </c>
      <c r="N18" s="64">
        <v>177</v>
      </c>
      <c r="O18" s="64">
        <v>180</v>
      </c>
    </row>
    <row r="19" spans="1:15">
      <c r="B19" s="3"/>
      <c r="C19" s="3"/>
      <c r="D19" s="3"/>
      <c r="E19" s="3"/>
      <c r="F19" s="3"/>
      <c r="G19" s="3"/>
      <c r="J19" s="324"/>
      <c r="K19" s="62" t="s">
        <v>422</v>
      </c>
      <c r="L19" s="62">
        <f>AVERAGE(L7:L18)</f>
        <v>178.25</v>
      </c>
      <c r="M19" s="62">
        <f>MAX(M7:M18)</f>
        <v>552</v>
      </c>
      <c r="N19" s="104">
        <f>AVERAGE(N7:N18)</f>
        <v>178.08333333333334</v>
      </c>
      <c r="O19" s="62">
        <f>MAX(O7:O18)</f>
        <v>196</v>
      </c>
    </row>
    <row r="20" spans="1:15">
      <c r="B20" s="3"/>
      <c r="C20" s="3"/>
      <c r="D20" s="3"/>
      <c r="E20" s="3"/>
      <c r="F20" s="3"/>
      <c r="G20" s="3"/>
    </row>
    <row r="21" spans="1:15" ht="41.45">
      <c r="B21" s="3"/>
      <c r="C21" s="3"/>
      <c r="D21" s="3"/>
      <c r="E21" s="3"/>
      <c r="F21" s="3"/>
      <c r="G21" s="3"/>
      <c r="J21" s="61">
        <f>+A6</f>
        <v>2022</v>
      </c>
      <c r="K21" s="61" t="s">
        <v>404</v>
      </c>
      <c r="L21" s="67" t="s">
        <v>399</v>
      </c>
      <c r="M21" s="67" t="s">
        <v>405</v>
      </c>
      <c r="N21" s="67" t="s">
        <v>402</v>
      </c>
      <c r="O21" s="67" t="s">
        <v>406</v>
      </c>
    </row>
    <row r="22" spans="1:15">
      <c r="B22" s="3"/>
      <c r="C22" s="3"/>
      <c r="D22" s="3"/>
      <c r="E22" s="3"/>
      <c r="F22" s="3"/>
      <c r="G22" s="3"/>
      <c r="J22" s="324" t="s">
        <v>188</v>
      </c>
      <c r="K22" s="66" t="s">
        <v>407</v>
      </c>
      <c r="L22" s="64">
        <v>181</v>
      </c>
      <c r="M22" s="64">
        <v>307</v>
      </c>
      <c r="N22" s="64">
        <v>180</v>
      </c>
      <c r="O22" s="64">
        <v>196</v>
      </c>
    </row>
    <row r="23" spans="1:15">
      <c r="B23" s="3"/>
      <c r="C23" s="3"/>
      <c r="D23" s="3"/>
      <c r="E23" s="3"/>
      <c r="F23" s="3"/>
      <c r="G23" s="3"/>
      <c r="J23" s="324"/>
      <c r="K23" s="66" t="s">
        <v>408</v>
      </c>
      <c r="L23" s="64">
        <v>180</v>
      </c>
      <c r="M23" s="64">
        <v>263</v>
      </c>
      <c r="N23" s="64">
        <v>179</v>
      </c>
      <c r="O23" s="64">
        <v>184</v>
      </c>
    </row>
    <row r="24" spans="1:15">
      <c r="B24" s="3"/>
      <c r="C24" s="3"/>
      <c r="D24" s="3"/>
      <c r="E24" s="3"/>
      <c r="F24" s="3"/>
      <c r="G24" s="3"/>
      <c r="J24" s="324"/>
      <c r="K24" s="66" t="s">
        <v>409</v>
      </c>
      <c r="L24" s="64">
        <v>180</v>
      </c>
      <c r="M24" s="64">
        <v>309</v>
      </c>
      <c r="N24" s="64">
        <v>177</v>
      </c>
      <c r="O24" s="64">
        <v>183</v>
      </c>
    </row>
    <row r="25" spans="1:15">
      <c r="J25" s="324"/>
      <c r="K25" s="66" t="s">
        <v>411</v>
      </c>
      <c r="L25" s="64">
        <v>181</v>
      </c>
      <c r="M25" s="64">
        <v>287</v>
      </c>
      <c r="N25" s="64">
        <v>180</v>
      </c>
      <c r="O25" s="64">
        <v>182</v>
      </c>
    </row>
    <row r="26" spans="1:15">
      <c r="J26" s="324"/>
      <c r="K26" s="66" t="s">
        <v>413</v>
      </c>
      <c r="L26" s="64">
        <v>179</v>
      </c>
      <c r="M26" s="64">
        <v>295</v>
      </c>
      <c r="N26" s="64">
        <v>180</v>
      </c>
      <c r="O26" s="64">
        <v>187</v>
      </c>
    </row>
    <row r="27" spans="1:15">
      <c r="J27" s="324"/>
      <c r="K27" s="66" t="s">
        <v>414</v>
      </c>
      <c r="L27" s="64">
        <v>180</v>
      </c>
      <c r="M27" s="64">
        <v>228</v>
      </c>
      <c r="N27" s="64">
        <v>180</v>
      </c>
      <c r="O27" s="64">
        <v>181</v>
      </c>
    </row>
    <row r="28" spans="1:15">
      <c r="J28" s="324"/>
      <c r="K28" s="66" t="s">
        <v>415</v>
      </c>
      <c r="L28" s="64">
        <v>180</v>
      </c>
      <c r="M28" s="64">
        <v>303</v>
      </c>
      <c r="N28" s="64">
        <v>180</v>
      </c>
      <c r="O28" s="64">
        <v>183</v>
      </c>
    </row>
    <row r="29" spans="1:15">
      <c r="J29" s="324"/>
      <c r="K29" s="66" t="s">
        <v>417</v>
      </c>
      <c r="L29" s="64">
        <v>166</v>
      </c>
      <c r="M29" s="64">
        <v>273</v>
      </c>
      <c r="N29" s="64">
        <v>173</v>
      </c>
      <c r="O29" s="64">
        <v>180</v>
      </c>
    </row>
    <row r="30" spans="1:15">
      <c r="J30" s="324"/>
      <c r="K30" s="66" t="s">
        <v>418</v>
      </c>
      <c r="L30" s="64">
        <v>178</v>
      </c>
      <c r="M30" s="64">
        <v>358</v>
      </c>
      <c r="N30" s="64">
        <v>180</v>
      </c>
      <c r="O30" s="64">
        <v>187</v>
      </c>
    </row>
    <row r="31" spans="1:15">
      <c r="J31" s="324"/>
      <c r="K31" s="66" t="s">
        <v>419</v>
      </c>
      <c r="L31" s="64">
        <v>180</v>
      </c>
      <c r="M31" s="64">
        <v>304</v>
      </c>
      <c r="N31" s="64">
        <v>181</v>
      </c>
      <c r="O31" s="64">
        <v>183</v>
      </c>
    </row>
    <row r="32" spans="1:15">
      <c r="J32" s="324"/>
      <c r="K32" s="66" t="s">
        <v>420</v>
      </c>
      <c r="L32" s="64">
        <v>181</v>
      </c>
      <c r="M32" s="64">
        <v>342</v>
      </c>
      <c r="N32" s="64">
        <v>180</v>
      </c>
      <c r="O32" s="64">
        <v>186</v>
      </c>
    </row>
    <row r="33" spans="1:15">
      <c r="J33" s="324"/>
      <c r="K33" s="66" t="s">
        <v>421</v>
      </c>
      <c r="L33" s="64">
        <v>181</v>
      </c>
      <c r="M33" s="64">
        <v>319</v>
      </c>
      <c r="N33" s="64">
        <v>179</v>
      </c>
      <c r="O33" s="64">
        <v>187</v>
      </c>
    </row>
    <row r="34" spans="1:15">
      <c r="J34" s="324"/>
      <c r="K34" s="62" t="s">
        <v>422</v>
      </c>
      <c r="L34" s="104">
        <f>AVERAGE(L22:L33)</f>
        <v>178.91666666666666</v>
      </c>
      <c r="M34" s="62">
        <f>MAX(M22:M33)</f>
        <v>358</v>
      </c>
      <c r="N34" s="104">
        <f>AVERAGE(N22:N33)</f>
        <v>179.08333333333334</v>
      </c>
      <c r="O34" s="62">
        <f>MAX(O22:O33)</f>
        <v>196</v>
      </c>
    </row>
    <row r="36" spans="1:15">
      <c r="J36" s="61"/>
      <c r="K36" s="61"/>
      <c r="L36" s="67"/>
      <c r="M36" s="67"/>
      <c r="N36" s="67"/>
      <c r="O36" s="67"/>
    </row>
    <row r="37" spans="1:15">
      <c r="J37" s="324"/>
      <c r="K37" s="66"/>
      <c r="L37" s="64"/>
      <c r="M37" s="64"/>
      <c r="N37" s="64"/>
      <c r="O37" s="64"/>
    </row>
    <row r="38" spans="1:15">
      <c r="J38" s="324"/>
      <c r="K38" s="66"/>
      <c r="L38" s="64"/>
      <c r="M38" s="64"/>
      <c r="N38" s="64"/>
      <c r="O38" s="64"/>
    </row>
    <row r="39" spans="1:15">
      <c r="J39" s="324"/>
      <c r="K39" s="66"/>
      <c r="L39" s="64"/>
      <c r="M39" s="64"/>
      <c r="N39" s="64"/>
      <c r="O39" s="64"/>
    </row>
    <row r="40" spans="1:15">
      <c r="J40" s="324"/>
      <c r="K40" s="66"/>
      <c r="L40" s="64"/>
      <c r="M40" s="64"/>
      <c r="N40" s="64"/>
      <c r="O40" s="64"/>
    </row>
    <row r="41" spans="1:15">
      <c r="J41" s="324"/>
      <c r="K41" s="66"/>
      <c r="L41" s="64"/>
      <c r="M41" s="64"/>
      <c r="N41" s="64"/>
      <c r="O41" s="64"/>
    </row>
    <row r="42" spans="1:15">
      <c r="J42" s="324"/>
      <c r="K42" s="66"/>
      <c r="L42" s="64"/>
      <c r="M42" s="64"/>
      <c r="N42" s="64"/>
      <c r="O42" s="64"/>
    </row>
    <row r="43" spans="1:15">
      <c r="C43" s="35" t="s">
        <v>12</v>
      </c>
      <c r="J43" s="324"/>
      <c r="K43" s="66"/>
      <c r="L43" s="64"/>
      <c r="M43" s="64"/>
      <c r="N43" s="64"/>
      <c r="O43" s="64"/>
    </row>
    <row r="44" spans="1:15">
      <c r="J44" s="324"/>
      <c r="K44" s="66"/>
      <c r="L44" s="64"/>
      <c r="M44" s="64"/>
      <c r="N44" s="64"/>
      <c r="O44" s="64"/>
    </row>
    <row r="45" spans="1:15">
      <c r="C45" s="35" t="s">
        <v>14</v>
      </c>
      <c r="J45" s="324"/>
      <c r="K45" s="66"/>
      <c r="L45" s="64"/>
      <c r="M45" s="64"/>
      <c r="N45" s="64"/>
      <c r="O45" s="64"/>
    </row>
    <row r="46" spans="1:15">
      <c r="J46" s="324"/>
      <c r="K46" s="66"/>
      <c r="L46" s="64"/>
      <c r="M46" s="64"/>
      <c r="N46" s="64"/>
      <c r="O46" s="64"/>
    </row>
    <row r="47" spans="1:15">
      <c r="J47" s="324"/>
      <c r="K47" s="66"/>
      <c r="L47" s="64"/>
      <c r="M47" s="64"/>
      <c r="N47" s="64"/>
      <c r="O47" s="64"/>
    </row>
    <row r="48" spans="1:15">
      <c r="A48" s="242" t="s">
        <v>317</v>
      </c>
      <c r="B48" s="243"/>
      <c r="C48" s="243"/>
      <c r="D48" s="243"/>
      <c r="E48" s="243"/>
      <c r="F48" s="243"/>
      <c r="G48" s="244"/>
      <c r="J48" s="324"/>
      <c r="K48" s="66"/>
      <c r="L48" s="64"/>
      <c r="M48" s="64"/>
      <c r="N48" s="64"/>
      <c r="O48" s="64"/>
    </row>
    <row r="49" spans="1:15">
      <c r="A49" s="327"/>
      <c r="B49" s="328"/>
      <c r="C49" s="328"/>
      <c r="D49" s="328"/>
      <c r="E49" s="328"/>
      <c r="F49" s="328"/>
      <c r="G49" s="329"/>
      <c r="J49" s="324"/>
      <c r="K49" s="62"/>
      <c r="L49" s="62"/>
      <c r="M49" s="62"/>
      <c r="N49" s="62"/>
      <c r="O49" s="62"/>
    </row>
    <row r="50" spans="1:15">
      <c r="A50" s="330"/>
      <c r="B50" s="331"/>
      <c r="C50" s="331"/>
      <c r="D50" s="331"/>
      <c r="E50" s="331"/>
      <c r="F50" s="331"/>
      <c r="G50" s="332"/>
    </row>
    <row r="51" spans="1:15">
      <c r="A51" s="330"/>
      <c r="B51" s="331"/>
      <c r="C51" s="331"/>
      <c r="D51" s="331"/>
      <c r="E51" s="331"/>
      <c r="F51" s="331"/>
      <c r="G51" s="332"/>
      <c r="J51" s="61"/>
      <c r="K51" s="61"/>
      <c r="L51" s="67"/>
      <c r="M51" s="67"/>
      <c r="N51" s="67"/>
      <c r="O51" s="67"/>
    </row>
    <row r="52" spans="1:15">
      <c r="A52" s="333"/>
      <c r="B52" s="334"/>
      <c r="C52" s="334"/>
      <c r="D52" s="334"/>
      <c r="E52" s="334"/>
      <c r="F52" s="334"/>
      <c r="G52" s="335"/>
      <c r="J52" s="324"/>
      <c r="K52" s="66"/>
      <c r="L52" s="64"/>
      <c r="M52" s="64"/>
      <c r="N52" s="64"/>
      <c r="O52" s="64"/>
    </row>
    <row r="53" spans="1:15">
      <c r="C53" s="176"/>
      <c r="J53" s="324"/>
      <c r="K53" s="66"/>
      <c r="L53" s="64"/>
      <c r="M53" s="64"/>
      <c r="N53" s="64"/>
      <c r="O53" s="64"/>
    </row>
    <row r="54" spans="1:15">
      <c r="J54" s="324"/>
      <c r="K54" s="66"/>
      <c r="L54" s="64"/>
      <c r="M54" s="64"/>
      <c r="N54" s="64"/>
      <c r="O54" s="64"/>
    </row>
    <row r="55" spans="1:15">
      <c r="J55" s="324"/>
      <c r="K55" s="66"/>
      <c r="L55" s="64"/>
      <c r="M55" s="64"/>
      <c r="N55" s="64"/>
      <c r="O55" s="64"/>
    </row>
    <row r="56" spans="1:15">
      <c r="J56" s="324"/>
      <c r="K56" s="66"/>
      <c r="L56" s="64"/>
      <c r="M56" s="64"/>
      <c r="N56" s="64"/>
      <c r="O56" s="64"/>
    </row>
    <row r="57" spans="1:15">
      <c r="J57" s="324"/>
      <c r="K57" s="66"/>
      <c r="L57" s="64"/>
      <c r="M57" s="64"/>
      <c r="N57" s="64"/>
      <c r="O57" s="64"/>
    </row>
    <row r="58" spans="1:15">
      <c r="J58" s="324"/>
      <c r="K58" s="66"/>
      <c r="L58" s="64"/>
      <c r="M58" s="64"/>
      <c r="N58" s="64"/>
      <c r="O58" s="64"/>
    </row>
    <row r="59" spans="1:15">
      <c r="J59" s="324"/>
      <c r="K59" s="66"/>
      <c r="L59" s="64"/>
      <c r="M59" s="64"/>
      <c r="N59" s="64"/>
      <c r="O59" s="64"/>
    </row>
    <row r="60" spans="1:15">
      <c r="J60" s="324"/>
      <c r="K60" s="66"/>
      <c r="L60" s="64"/>
      <c r="M60" s="64"/>
      <c r="N60" s="64"/>
      <c r="O60" s="64"/>
    </row>
    <row r="61" spans="1:15">
      <c r="J61" s="324"/>
      <c r="K61" s="66"/>
      <c r="L61" s="64"/>
      <c r="M61" s="64"/>
      <c r="N61" s="64"/>
      <c r="O61" s="64"/>
    </row>
    <row r="62" spans="1:15">
      <c r="J62" s="324"/>
      <c r="K62" s="66"/>
      <c r="L62" s="64"/>
      <c r="M62" s="64"/>
      <c r="N62" s="64"/>
      <c r="O62" s="64"/>
    </row>
    <row r="63" spans="1:15">
      <c r="J63" s="324"/>
      <c r="K63" s="66"/>
      <c r="L63" s="64"/>
      <c r="M63" s="64"/>
      <c r="N63" s="64"/>
      <c r="O63" s="64"/>
    </row>
    <row r="64" spans="1:15">
      <c r="J64" s="324"/>
      <c r="K64" s="62"/>
      <c r="L64" s="62"/>
      <c r="M64" s="62"/>
      <c r="N64" s="62"/>
      <c r="O64" s="62"/>
    </row>
    <row r="66" spans="10:15">
      <c r="J66" s="61"/>
      <c r="K66" s="61"/>
      <c r="L66" s="67"/>
      <c r="M66" s="67"/>
      <c r="N66" s="67"/>
      <c r="O66" s="67"/>
    </row>
    <row r="67" spans="10:15">
      <c r="J67" s="324"/>
      <c r="K67" s="66"/>
      <c r="L67" s="64"/>
      <c r="M67" s="64"/>
      <c r="N67" s="64"/>
      <c r="O67" s="64"/>
    </row>
    <row r="68" spans="10:15">
      <c r="J68" s="324"/>
      <c r="K68" s="66"/>
      <c r="L68" s="64"/>
      <c r="M68" s="64"/>
      <c r="N68" s="64"/>
      <c r="O68" s="64"/>
    </row>
    <row r="69" spans="10:15">
      <c r="J69" s="324"/>
      <c r="K69" s="66"/>
      <c r="L69" s="64"/>
      <c r="M69" s="64"/>
      <c r="N69" s="64"/>
      <c r="O69" s="64"/>
    </row>
    <row r="70" spans="10:15">
      <c r="J70" s="324"/>
      <c r="K70" s="66"/>
      <c r="L70" s="64"/>
      <c r="M70" s="64"/>
      <c r="N70" s="64"/>
      <c r="O70" s="64"/>
    </row>
    <row r="71" spans="10:15">
      <c r="J71" s="324"/>
      <c r="K71" s="66"/>
      <c r="L71" s="64"/>
      <c r="M71" s="64"/>
      <c r="N71" s="64"/>
      <c r="O71" s="64"/>
    </row>
    <row r="72" spans="10:15">
      <c r="J72" s="324"/>
      <c r="K72" s="66"/>
      <c r="L72" s="64"/>
      <c r="M72" s="64"/>
      <c r="N72" s="64"/>
      <c r="O72" s="64"/>
    </row>
    <row r="73" spans="10:15">
      <c r="J73" s="324"/>
      <c r="K73" s="66"/>
      <c r="L73" s="64"/>
      <c r="M73" s="64"/>
      <c r="N73" s="64"/>
      <c r="O73" s="64"/>
    </row>
    <row r="74" spans="10:15">
      <c r="J74" s="324"/>
      <c r="K74" s="66"/>
      <c r="L74" s="64"/>
      <c r="M74" s="64"/>
      <c r="N74" s="64"/>
      <c r="O74" s="64"/>
    </row>
    <row r="75" spans="10:15">
      <c r="J75" s="324"/>
      <c r="K75" s="66"/>
      <c r="L75" s="64"/>
      <c r="M75" s="64"/>
      <c r="N75" s="64"/>
      <c r="O75" s="64"/>
    </row>
    <row r="76" spans="10:15">
      <c r="J76" s="324"/>
      <c r="K76" s="66"/>
      <c r="L76" s="64"/>
      <c r="M76" s="64"/>
      <c r="N76" s="64"/>
      <c r="O76" s="64"/>
    </row>
    <row r="77" spans="10:15">
      <c r="J77" s="324"/>
      <c r="K77" s="66"/>
      <c r="L77" s="64"/>
      <c r="M77" s="64"/>
      <c r="N77" s="64"/>
      <c r="O77" s="64"/>
    </row>
    <row r="78" spans="10:15">
      <c r="J78" s="324"/>
      <c r="K78" s="66"/>
      <c r="L78" s="64"/>
      <c r="M78" s="64"/>
      <c r="N78" s="64"/>
      <c r="O78" s="64"/>
    </row>
    <row r="79" spans="10:15">
      <c r="J79" s="324"/>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view="pageBreakPreview" topLeftCell="A14" zoomScale="60" zoomScaleNormal="100" workbookViewId="0">
      <selection activeCell="C54" sqref="C54"/>
    </sheetView>
  </sheetViews>
  <sheetFormatPr defaultColWidth="9.28515625" defaultRowHeight="13.9"/>
  <cols>
    <col min="1" max="1" width="14" style="3" customWidth="1"/>
    <col min="2" max="4" width="17" style="35" customWidth="1"/>
    <col min="5" max="5" width="14.7109375" style="35" customWidth="1"/>
    <col min="6" max="7" width="17" style="35" customWidth="1"/>
    <col min="8" max="8" width="9.28515625" style="3"/>
    <col min="9" max="9" width="14.28515625" style="3" customWidth="1"/>
    <col min="10"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1" t="str">
        <f>+'Cover Page'!$B$29</f>
        <v>Annual Performance Report 2022</v>
      </c>
      <c r="B1" s="91"/>
      <c r="C1" s="91"/>
      <c r="D1" s="91"/>
      <c r="E1" s="91" t="str">
        <f>+'Cover Page'!$B$33</f>
        <v>Dudley Energy from Waste Facility</v>
      </c>
    </row>
    <row r="3" spans="1:19" ht="14.45">
      <c r="A3" s="60" t="s">
        <v>429</v>
      </c>
      <c r="D3" s="76" t="s">
        <v>391</v>
      </c>
      <c r="G3" s="80" t="s">
        <v>392</v>
      </c>
      <c r="J3" s="9" t="str">
        <f>+A3</f>
        <v>Monitoring of Total organic carbon emissions</v>
      </c>
      <c r="L3" s="9"/>
      <c r="N3" s="9" t="s">
        <v>393</v>
      </c>
      <c r="Q3" s="79" t="s">
        <v>3</v>
      </c>
      <c r="R3" s="74"/>
      <c r="S3" s="74"/>
    </row>
    <row r="4" spans="1:19" ht="13.9" customHeight="1">
      <c r="Q4" s="336" t="s">
        <v>394</v>
      </c>
      <c r="R4" s="336"/>
      <c r="S4" s="336"/>
    </row>
    <row r="5" spans="1:19" ht="16.149999999999999">
      <c r="A5" s="68" t="s">
        <v>395</v>
      </c>
      <c r="B5" s="326" t="s">
        <v>396</v>
      </c>
      <c r="C5" s="326"/>
      <c r="D5" s="326"/>
      <c r="E5" s="326" t="s">
        <v>397</v>
      </c>
      <c r="F5" s="326"/>
      <c r="G5" s="326"/>
      <c r="J5" s="325"/>
      <c r="K5" s="325"/>
      <c r="L5" s="325"/>
      <c r="M5" s="325"/>
      <c r="N5" s="325"/>
      <c r="O5" s="325"/>
      <c r="Q5" s="336"/>
      <c r="R5" s="336"/>
      <c r="S5" s="336"/>
    </row>
    <row r="6" spans="1:19" s="58" customFormat="1" ht="37.5" customHeight="1">
      <c r="A6" s="65">
        <f>+'Cover Page'!C39</f>
        <v>2022</v>
      </c>
      <c r="B6" s="55" t="s">
        <v>430</v>
      </c>
      <c r="C6" s="55" t="s">
        <v>399</v>
      </c>
      <c r="D6" s="55" t="s">
        <v>400</v>
      </c>
      <c r="E6" s="55" t="s">
        <v>431</v>
      </c>
      <c r="F6" s="55" t="s">
        <v>402</v>
      </c>
      <c r="G6" s="55" t="s">
        <v>403</v>
      </c>
      <c r="H6" s="59"/>
      <c r="J6" s="61">
        <f>+A6</f>
        <v>2022</v>
      </c>
      <c r="K6" s="61" t="s">
        <v>404</v>
      </c>
      <c r="L6" s="67" t="s">
        <v>399</v>
      </c>
      <c r="M6" s="67" t="s">
        <v>405</v>
      </c>
      <c r="N6" s="67" t="s">
        <v>402</v>
      </c>
      <c r="O6" s="67" t="s">
        <v>406</v>
      </c>
      <c r="Q6" s="336"/>
      <c r="R6" s="336"/>
      <c r="S6" s="336"/>
    </row>
    <row r="7" spans="1:19">
      <c r="A7" s="66" t="s">
        <v>407</v>
      </c>
      <c r="B7" s="63">
        <v>20</v>
      </c>
      <c r="C7" s="64">
        <f>AVERAGE(L7,L22)</f>
        <v>0.5</v>
      </c>
      <c r="D7" s="64">
        <f>MAX(M7,M22)</f>
        <v>51</v>
      </c>
      <c r="E7" s="63">
        <v>10</v>
      </c>
      <c r="F7" s="64">
        <f>AVERAGE(N7,N22)</f>
        <v>1</v>
      </c>
      <c r="G7" s="64">
        <f>MAX(O7,O22)</f>
        <v>2</v>
      </c>
      <c r="J7" s="324" t="s">
        <v>187</v>
      </c>
      <c r="K7" s="66" t="s">
        <v>407</v>
      </c>
      <c r="L7" s="64">
        <v>0</v>
      </c>
      <c r="M7" s="64">
        <v>51</v>
      </c>
      <c r="N7" s="64">
        <v>1</v>
      </c>
      <c r="O7" s="64">
        <v>2</v>
      </c>
      <c r="Q7" s="336"/>
      <c r="R7" s="336"/>
      <c r="S7" s="336"/>
    </row>
    <row r="8" spans="1:19">
      <c r="A8" s="66" t="s">
        <v>408</v>
      </c>
      <c r="B8" s="63">
        <v>20</v>
      </c>
      <c r="C8" s="64">
        <f t="shared" ref="C8:C18" si="0">AVERAGE(L8,L23)</f>
        <v>1</v>
      </c>
      <c r="D8" s="64">
        <f t="shared" ref="D8:D18" si="1">MAX(M8,M23)</f>
        <v>14</v>
      </c>
      <c r="E8" s="63">
        <v>10</v>
      </c>
      <c r="F8" s="64">
        <f t="shared" ref="F8:F18" si="2">AVERAGE(N8,N23)</f>
        <v>1</v>
      </c>
      <c r="G8" s="64">
        <f t="shared" ref="G8:G18" si="3">MAX(O8,O23)</f>
        <v>2</v>
      </c>
      <c r="J8" s="324"/>
      <c r="K8" s="66" t="s">
        <v>408</v>
      </c>
      <c r="L8" s="64">
        <v>1</v>
      </c>
      <c r="M8" s="64">
        <v>9</v>
      </c>
      <c r="N8" s="64">
        <v>1</v>
      </c>
      <c r="O8" s="64">
        <v>1</v>
      </c>
      <c r="Q8" s="336"/>
      <c r="R8" s="336"/>
      <c r="S8" s="336"/>
    </row>
    <row r="9" spans="1:19">
      <c r="A9" s="66" t="s">
        <v>409</v>
      </c>
      <c r="B9" s="63">
        <v>20</v>
      </c>
      <c r="C9" s="64">
        <f t="shared" si="0"/>
        <v>1</v>
      </c>
      <c r="D9" s="64">
        <f t="shared" si="1"/>
        <v>7</v>
      </c>
      <c r="E9" s="63">
        <v>10</v>
      </c>
      <c r="F9" s="64">
        <f t="shared" si="2"/>
        <v>1</v>
      </c>
      <c r="G9" s="64">
        <f t="shared" si="3"/>
        <v>1</v>
      </c>
      <c r="J9" s="324"/>
      <c r="K9" s="66" t="s">
        <v>409</v>
      </c>
      <c r="L9" s="64">
        <v>1</v>
      </c>
      <c r="M9" s="64">
        <v>7</v>
      </c>
      <c r="N9" s="64">
        <v>1</v>
      </c>
      <c r="O9" s="64">
        <v>1</v>
      </c>
      <c r="Q9" s="78" t="s">
        <v>410</v>
      </c>
    </row>
    <row r="10" spans="1:19" ht="14.25" customHeight="1">
      <c r="A10" s="66" t="s">
        <v>411</v>
      </c>
      <c r="B10" s="63">
        <v>20</v>
      </c>
      <c r="C10" s="64">
        <f t="shared" si="0"/>
        <v>1</v>
      </c>
      <c r="D10" s="64">
        <f t="shared" si="1"/>
        <v>6</v>
      </c>
      <c r="E10" s="63">
        <v>10</v>
      </c>
      <c r="F10" s="64">
        <f t="shared" si="2"/>
        <v>1</v>
      </c>
      <c r="G10" s="64">
        <f t="shared" si="3"/>
        <v>1</v>
      </c>
      <c r="J10" s="324"/>
      <c r="K10" s="66" t="s">
        <v>411</v>
      </c>
      <c r="L10" s="64">
        <v>1</v>
      </c>
      <c r="M10" s="64">
        <v>6</v>
      </c>
      <c r="N10" s="64">
        <v>1</v>
      </c>
      <c r="O10" s="64">
        <v>1</v>
      </c>
      <c r="Q10" s="323" t="s">
        <v>412</v>
      </c>
      <c r="R10" s="323"/>
      <c r="S10" s="323"/>
    </row>
    <row r="11" spans="1:19">
      <c r="A11" s="66" t="s">
        <v>413</v>
      </c>
      <c r="B11" s="63">
        <v>20</v>
      </c>
      <c r="C11" s="64">
        <f t="shared" si="0"/>
        <v>0.5</v>
      </c>
      <c r="D11" s="64">
        <f t="shared" si="1"/>
        <v>11</v>
      </c>
      <c r="E11" s="63">
        <v>10</v>
      </c>
      <c r="F11" s="64">
        <f t="shared" si="2"/>
        <v>1</v>
      </c>
      <c r="G11" s="64">
        <f t="shared" si="3"/>
        <v>2</v>
      </c>
      <c r="J11" s="324"/>
      <c r="K11" s="66" t="s">
        <v>413</v>
      </c>
      <c r="L11" s="64">
        <v>0</v>
      </c>
      <c r="M11" s="64">
        <v>11</v>
      </c>
      <c r="N11" s="64">
        <v>1</v>
      </c>
      <c r="O11" s="64">
        <v>1</v>
      </c>
      <c r="Q11" s="323"/>
      <c r="R11" s="323"/>
      <c r="S11" s="323"/>
    </row>
    <row r="12" spans="1:19">
      <c r="A12" s="66" t="s">
        <v>414</v>
      </c>
      <c r="B12" s="63">
        <v>20</v>
      </c>
      <c r="C12" s="64">
        <f t="shared" si="0"/>
        <v>1</v>
      </c>
      <c r="D12" s="64">
        <f t="shared" si="1"/>
        <v>7</v>
      </c>
      <c r="E12" s="63">
        <v>10</v>
      </c>
      <c r="F12" s="64">
        <f t="shared" si="2"/>
        <v>1</v>
      </c>
      <c r="G12" s="64">
        <f t="shared" si="3"/>
        <v>1</v>
      </c>
      <c r="J12" s="324"/>
      <c r="K12" s="66" t="s">
        <v>414</v>
      </c>
      <c r="L12" s="64">
        <v>1</v>
      </c>
      <c r="M12" s="64">
        <v>4</v>
      </c>
      <c r="N12" s="64">
        <v>1</v>
      </c>
      <c r="O12" s="64">
        <v>1</v>
      </c>
      <c r="Q12" s="323"/>
      <c r="R12" s="323"/>
      <c r="S12" s="323"/>
    </row>
    <row r="13" spans="1:19" ht="14.25" customHeight="1">
      <c r="A13" s="66" t="s">
        <v>415</v>
      </c>
      <c r="B13" s="63">
        <v>20</v>
      </c>
      <c r="C13" s="64">
        <f t="shared" si="0"/>
        <v>1</v>
      </c>
      <c r="D13" s="64">
        <f t="shared" si="1"/>
        <v>8</v>
      </c>
      <c r="E13" s="63">
        <v>10</v>
      </c>
      <c r="F13" s="64">
        <f t="shared" si="2"/>
        <v>1</v>
      </c>
      <c r="G13" s="64">
        <f t="shared" si="3"/>
        <v>2</v>
      </c>
      <c r="J13" s="324"/>
      <c r="K13" s="66" t="s">
        <v>415</v>
      </c>
      <c r="L13" s="64">
        <v>1</v>
      </c>
      <c r="M13" s="64">
        <v>8</v>
      </c>
      <c r="N13" s="64">
        <v>1</v>
      </c>
      <c r="O13" s="64">
        <v>2</v>
      </c>
      <c r="Q13" s="323" t="s">
        <v>416</v>
      </c>
      <c r="R13" s="323"/>
      <c r="S13" s="323"/>
    </row>
    <row r="14" spans="1:19">
      <c r="A14" s="66" t="s">
        <v>417</v>
      </c>
      <c r="B14" s="63">
        <v>20</v>
      </c>
      <c r="C14" s="64">
        <f t="shared" si="0"/>
        <v>1</v>
      </c>
      <c r="D14" s="64">
        <f t="shared" si="1"/>
        <v>20</v>
      </c>
      <c r="E14" s="63">
        <v>10</v>
      </c>
      <c r="F14" s="64">
        <f t="shared" si="2"/>
        <v>1</v>
      </c>
      <c r="G14" s="64">
        <f t="shared" si="3"/>
        <v>2</v>
      </c>
      <c r="J14" s="324"/>
      <c r="K14" s="66" t="s">
        <v>417</v>
      </c>
      <c r="L14" s="64">
        <v>1</v>
      </c>
      <c r="M14" s="64">
        <v>7</v>
      </c>
      <c r="N14" s="64">
        <v>1</v>
      </c>
      <c r="O14" s="64">
        <v>1</v>
      </c>
      <c r="Q14" s="323"/>
      <c r="R14" s="323"/>
      <c r="S14" s="323"/>
    </row>
    <row r="15" spans="1:19">
      <c r="A15" s="66" t="s">
        <v>418</v>
      </c>
      <c r="B15" s="63">
        <v>20</v>
      </c>
      <c r="C15" s="64">
        <f t="shared" si="0"/>
        <v>1</v>
      </c>
      <c r="D15" s="64">
        <f t="shared" si="1"/>
        <v>16</v>
      </c>
      <c r="E15" s="63">
        <v>10</v>
      </c>
      <c r="F15" s="64">
        <f t="shared" si="2"/>
        <v>1</v>
      </c>
      <c r="G15" s="64">
        <f t="shared" si="3"/>
        <v>2</v>
      </c>
      <c r="J15" s="324"/>
      <c r="K15" s="66" t="s">
        <v>418</v>
      </c>
      <c r="L15" s="64">
        <v>1</v>
      </c>
      <c r="M15" s="64">
        <v>9</v>
      </c>
      <c r="N15" s="64">
        <v>1</v>
      </c>
      <c r="O15" s="64">
        <v>1</v>
      </c>
      <c r="Q15" s="323"/>
      <c r="R15" s="323"/>
      <c r="S15" s="323"/>
    </row>
    <row r="16" spans="1:19">
      <c r="A16" s="66" t="s">
        <v>419</v>
      </c>
      <c r="B16" s="63">
        <v>20</v>
      </c>
      <c r="C16" s="64">
        <f t="shared" si="0"/>
        <v>1</v>
      </c>
      <c r="D16" s="64">
        <f t="shared" si="1"/>
        <v>23</v>
      </c>
      <c r="E16" s="63">
        <v>10</v>
      </c>
      <c r="F16" s="64">
        <f t="shared" si="2"/>
        <v>1</v>
      </c>
      <c r="G16" s="64">
        <f t="shared" si="3"/>
        <v>2</v>
      </c>
      <c r="J16" s="324"/>
      <c r="K16" s="66" t="s">
        <v>419</v>
      </c>
      <c r="L16" s="64">
        <v>1</v>
      </c>
      <c r="M16" s="64">
        <v>14</v>
      </c>
      <c r="N16" s="64">
        <v>1</v>
      </c>
      <c r="O16" s="64">
        <v>2</v>
      </c>
      <c r="Q16" s="323"/>
      <c r="R16" s="323"/>
      <c r="S16" s="323"/>
    </row>
    <row r="17" spans="1:15">
      <c r="A17" s="66" t="s">
        <v>420</v>
      </c>
      <c r="B17" s="63">
        <v>20</v>
      </c>
      <c r="C17" s="64">
        <f t="shared" si="0"/>
        <v>1</v>
      </c>
      <c r="D17" s="64">
        <f t="shared" si="1"/>
        <v>29</v>
      </c>
      <c r="E17" s="63">
        <v>10</v>
      </c>
      <c r="F17" s="64">
        <f t="shared" si="2"/>
        <v>1</v>
      </c>
      <c r="G17" s="64">
        <f t="shared" si="3"/>
        <v>2</v>
      </c>
      <c r="J17" s="324"/>
      <c r="K17" s="66" t="s">
        <v>420</v>
      </c>
      <c r="L17" s="64">
        <v>1</v>
      </c>
      <c r="M17" s="64">
        <v>14</v>
      </c>
      <c r="N17" s="64">
        <v>1</v>
      </c>
      <c r="O17" s="64">
        <v>1</v>
      </c>
    </row>
    <row r="18" spans="1:15">
      <c r="A18" s="66" t="s">
        <v>421</v>
      </c>
      <c r="B18" s="63">
        <v>20</v>
      </c>
      <c r="C18" s="64">
        <f t="shared" si="0"/>
        <v>1</v>
      </c>
      <c r="D18" s="64">
        <f t="shared" si="1"/>
        <v>6</v>
      </c>
      <c r="E18" s="63">
        <v>10</v>
      </c>
      <c r="F18" s="64">
        <f t="shared" si="2"/>
        <v>1</v>
      </c>
      <c r="G18" s="64">
        <f t="shared" si="3"/>
        <v>2</v>
      </c>
      <c r="J18" s="324"/>
      <c r="K18" s="66" t="s">
        <v>421</v>
      </c>
      <c r="L18" s="64">
        <v>1</v>
      </c>
      <c r="M18" s="64">
        <v>2</v>
      </c>
      <c r="N18" s="64">
        <v>1</v>
      </c>
      <c r="O18" s="64">
        <v>1</v>
      </c>
    </row>
    <row r="19" spans="1:15">
      <c r="B19" s="3"/>
      <c r="C19" s="3"/>
      <c r="D19" s="3"/>
      <c r="E19" s="3"/>
      <c r="F19" s="3"/>
      <c r="G19" s="3"/>
      <c r="J19" s="324"/>
      <c r="K19" s="62" t="s">
        <v>422</v>
      </c>
      <c r="L19" s="104">
        <f>AVERAGE(L7:L18)</f>
        <v>0.83333333333333337</v>
      </c>
      <c r="M19" s="62">
        <f>MAX(M7:M18)</f>
        <v>51</v>
      </c>
      <c r="N19" s="62">
        <f>AVERAGE(N7:N18)</f>
        <v>1</v>
      </c>
      <c r="O19" s="62">
        <f>MAX(O7:O18)</f>
        <v>2</v>
      </c>
    </row>
    <row r="20" spans="1:15">
      <c r="B20" s="3"/>
      <c r="C20" s="3"/>
      <c r="D20" s="3"/>
      <c r="E20" s="3"/>
      <c r="F20" s="3"/>
      <c r="G20" s="3"/>
    </row>
    <row r="21" spans="1:15" ht="41.45">
      <c r="B21" s="3"/>
      <c r="C21" s="3"/>
      <c r="D21" s="3"/>
      <c r="E21" s="3"/>
      <c r="F21" s="3"/>
      <c r="G21" s="3"/>
      <c r="J21" s="61">
        <f>+A6</f>
        <v>2022</v>
      </c>
      <c r="K21" s="61" t="s">
        <v>404</v>
      </c>
      <c r="L21" s="67" t="s">
        <v>399</v>
      </c>
      <c r="M21" s="67" t="s">
        <v>405</v>
      </c>
      <c r="N21" s="67" t="s">
        <v>402</v>
      </c>
      <c r="O21" s="67" t="s">
        <v>406</v>
      </c>
    </row>
    <row r="22" spans="1:15">
      <c r="B22" s="3"/>
      <c r="C22" s="3"/>
      <c r="D22" s="3"/>
      <c r="E22" s="3"/>
      <c r="F22" s="3"/>
      <c r="G22" s="3"/>
      <c r="J22" s="324" t="s">
        <v>188</v>
      </c>
      <c r="K22" s="66" t="s">
        <v>407</v>
      </c>
      <c r="L22" s="64">
        <v>1</v>
      </c>
      <c r="M22" s="64">
        <v>4</v>
      </c>
      <c r="N22" s="64">
        <v>1</v>
      </c>
      <c r="O22" s="64">
        <v>1</v>
      </c>
    </row>
    <row r="23" spans="1:15">
      <c r="B23" s="3"/>
      <c r="C23" s="3"/>
      <c r="D23" s="3"/>
      <c r="E23" s="3"/>
      <c r="F23" s="3"/>
      <c r="G23" s="3"/>
      <c r="J23" s="324"/>
      <c r="K23" s="66" t="s">
        <v>408</v>
      </c>
      <c r="L23" s="64">
        <v>1</v>
      </c>
      <c r="M23" s="64">
        <v>14</v>
      </c>
      <c r="N23" s="64">
        <v>1</v>
      </c>
      <c r="O23" s="64">
        <v>2</v>
      </c>
    </row>
    <row r="24" spans="1:15">
      <c r="B24" s="3"/>
      <c r="C24" s="3"/>
      <c r="D24" s="3"/>
      <c r="E24" s="3"/>
      <c r="F24" s="3"/>
      <c r="G24" s="3"/>
      <c r="J24" s="324"/>
      <c r="K24" s="66" t="s">
        <v>409</v>
      </c>
      <c r="L24" s="64">
        <v>1</v>
      </c>
      <c r="M24" s="64">
        <v>6</v>
      </c>
      <c r="N24" s="64">
        <v>1</v>
      </c>
      <c r="O24" s="64">
        <v>1</v>
      </c>
    </row>
    <row r="25" spans="1:15">
      <c r="J25" s="324"/>
      <c r="K25" s="66" t="s">
        <v>411</v>
      </c>
      <c r="L25" s="64">
        <v>1</v>
      </c>
      <c r="M25" s="64">
        <v>2</v>
      </c>
      <c r="N25" s="64">
        <v>1</v>
      </c>
      <c r="O25" s="64">
        <v>1</v>
      </c>
    </row>
    <row r="26" spans="1:15">
      <c r="J26" s="324"/>
      <c r="K26" s="66" t="s">
        <v>413</v>
      </c>
      <c r="L26" s="64">
        <v>1</v>
      </c>
      <c r="M26" s="64">
        <v>6</v>
      </c>
      <c r="N26" s="64">
        <v>1</v>
      </c>
      <c r="O26" s="64">
        <v>2</v>
      </c>
    </row>
    <row r="27" spans="1:15">
      <c r="J27" s="324"/>
      <c r="K27" s="66" t="s">
        <v>414</v>
      </c>
      <c r="L27" s="64">
        <v>1</v>
      </c>
      <c r="M27" s="64">
        <v>7</v>
      </c>
      <c r="N27" s="64">
        <v>1</v>
      </c>
      <c r="O27" s="64">
        <v>1</v>
      </c>
    </row>
    <row r="28" spans="1:15">
      <c r="J28" s="324"/>
      <c r="K28" s="66" t="s">
        <v>415</v>
      </c>
      <c r="L28" s="64">
        <v>1</v>
      </c>
      <c r="M28" s="64">
        <v>5</v>
      </c>
      <c r="N28" s="64">
        <v>1</v>
      </c>
      <c r="O28" s="64">
        <v>1</v>
      </c>
    </row>
    <row r="29" spans="1:15">
      <c r="J29" s="324"/>
      <c r="K29" s="66" t="s">
        <v>417</v>
      </c>
      <c r="L29" s="64">
        <v>1</v>
      </c>
      <c r="M29" s="64">
        <v>20</v>
      </c>
      <c r="N29" s="64">
        <v>1</v>
      </c>
      <c r="O29" s="64">
        <v>2</v>
      </c>
    </row>
    <row r="30" spans="1:15">
      <c r="J30" s="324"/>
      <c r="K30" s="66" t="s">
        <v>418</v>
      </c>
      <c r="L30" s="64">
        <v>1</v>
      </c>
      <c r="M30" s="64">
        <v>16</v>
      </c>
      <c r="N30" s="64">
        <v>1</v>
      </c>
      <c r="O30" s="64">
        <v>2</v>
      </c>
    </row>
    <row r="31" spans="1:15">
      <c r="J31" s="324"/>
      <c r="K31" s="66" t="s">
        <v>419</v>
      </c>
      <c r="L31" s="64">
        <v>1</v>
      </c>
      <c r="M31" s="64">
        <v>23</v>
      </c>
      <c r="N31" s="64">
        <v>1</v>
      </c>
      <c r="O31" s="64">
        <v>2</v>
      </c>
    </row>
    <row r="32" spans="1:15">
      <c r="J32" s="324"/>
      <c r="K32" s="66" t="s">
        <v>420</v>
      </c>
      <c r="L32" s="64">
        <v>1</v>
      </c>
      <c r="M32" s="64">
        <v>29</v>
      </c>
      <c r="N32" s="64">
        <v>1</v>
      </c>
      <c r="O32" s="64">
        <v>2</v>
      </c>
    </row>
    <row r="33" spans="1:15">
      <c r="J33" s="324"/>
      <c r="K33" s="66" t="s">
        <v>421</v>
      </c>
      <c r="L33" s="64">
        <v>1</v>
      </c>
      <c r="M33" s="64">
        <v>6</v>
      </c>
      <c r="N33" s="64">
        <v>1</v>
      </c>
      <c r="O33" s="64">
        <v>2</v>
      </c>
    </row>
    <row r="34" spans="1:15">
      <c r="J34" s="324"/>
      <c r="K34" s="62" t="s">
        <v>422</v>
      </c>
      <c r="L34" s="62">
        <f>AVERAGE(L22:L33)</f>
        <v>1</v>
      </c>
      <c r="M34" s="62">
        <f>MAX(M22:M33)</f>
        <v>29</v>
      </c>
      <c r="N34" s="62">
        <f>AVERAGE(N22:N33)</f>
        <v>1</v>
      </c>
      <c r="O34" s="62">
        <f>MAX(O22:O33)</f>
        <v>2</v>
      </c>
    </row>
    <row r="36" spans="1:15">
      <c r="J36" s="61"/>
      <c r="K36" s="61"/>
      <c r="L36" s="67"/>
      <c r="M36" s="67"/>
      <c r="N36" s="67"/>
      <c r="O36" s="67"/>
    </row>
    <row r="37" spans="1:15">
      <c r="J37" s="324"/>
      <c r="K37" s="66"/>
      <c r="L37" s="64"/>
      <c r="M37" s="64"/>
      <c r="N37" s="64"/>
      <c r="O37" s="64"/>
    </row>
    <row r="38" spans="1:15">
      <c r="J38" s="324"/>
      <c r="K38" s="66"/>
      <c r="L38" s="64"/>
      <c r="M38" s="64"/>
      <c r="N38" s="64"/>
      <c r="O38" s="64"/>
    </row>
    <row r="39" spans="1:15">
      <c r="J39" s="324"/>
      <c r="K39" s="66"/>
      <c r="L39" s="64"/>
      <c r="M39" s="64"/>
      <c r="N39" s="64"/>
      <c r="O39" s="64"/>
    </row>
    <row r="40" spans="1:15">
      <c r="J40" s="324"/>
      <c r="K40" s="66"/>
      <c r="L40" s="64"/>
      <c r="M40" s="64"/>
      <c r="N40" s="64"/>
      <c r="O40" s="64"/>
    </row>
    <row r="41" spans="1:15">
      <c r="J41" s="324"/>
      <c r="K41" s="66"/>
      <c r="L41" s="64"/>
      <c r="M41" s="64"/>
      <c r="N41" s="64"/>
      <c r="O41" s="64"/>
    </row>
    <row r="42" spans="1:15">
      <c r="J42" s="324"/>
      <c r="K42" s="66"/>
      <c r="L42" s="64"/>
      <c r="M42" s="64"/>
      <c r="N42" s="64"/>
      <c r="O42" s="64"/>
    </row>
    <row r="43" spans="1:15">
      <c r="C43" s="35" t="s">
        <v>12</v>
      </c>
      <c r="J43" s="324"/>
      <c r="K43" s="66"/>
      <c r="L43" s="64"/>
      <c r="M43" s="64"/>
      <c r="N43" s="64"/>
      <c r="O43" s="64"/>
    </row>
    <row r="44" spans="1:15">
      <c r="J44" s="324"/>
      <c r="K44" s="66"/>
      <c r="L44" s="64"/>
      <c r="M44" s="64"/>
      <c r="N44" s="64"/>
      <c r="O44" s="64"/>
    </row>
    <row r="45" spans="1:15">
      <c r="C45" s="35" t="s">
        <v>14</v>
      </c>
      <c r="J45" s="324"/>
      <c r="K45" s="66"/>
      <c r="L45" s="64"/>
      <c r="M45" s="64"/>
      <c r="N45" s="64"/>
      <c r="O45" s="64"/>
    </row>
    <row r="46" spans="1:15">
      <c r="J46" s="324"/>
      <c r="K46" s="66"/>
      <c r="L46" s="64"/>
      <c r="M46" s="64"/>
      <c r="N46" s="64"/>
      <c r="O46" s="64"/>
    </row>
    <row r="47" spans="1:15">
      <c r="J47" s="324"/>
      <c r="K47" s="66"/>
      <c r="L47" s="64"/>
      <c r="M47" s="64"/>
      <c r="N47" s="64"/>
      <c r="O47" s="64"/>
    </row>
    <row r="48" spans="1:15">
      <c r="A48" s="242" t="s">
        <v>317</v>
      </c>
      <c r="B48" s="243"/>
      <c r="C48" s="243"/>
      <c r="D48" s="243"/>
      <c r="E48" s="243"/>
      <c r="F48" s="243"/>
      <c r="G48" s="244"/>
      <c r="J48" s="324"/>
      <c r="K48" s="66"/>
      <c r="L48" s="64"/>
      <c r="M48" s="64"/>
      <c r="N48" s="64"/>
      <c r="O48" s="64"/>
    </row>
    <row r="49" spans="1:15">
      <c r="A49" s="327"/>
      <c r="B49" s="328"/>
      <c r="C49" s="328"/>
      <c r="D49" s="328"/>
      <c r="E49" s="328"/>
      <c r="F49" s="328"/>
      <c r="G49" s="329"/>
      <c r="J49" s="324"/>
      <c r="K49" s="62"/>
      <c r="L49" s="62"/>
      <c r="M49" s="62"/>
      <c r="N49" s="62"/>
      <c r="O49" s="62"/>
    </row>
    <row r="50" spans="1:15">
      <c r="A50" s="330"/>
      <c r="B50" s="331"/>
      <c r="C50" s="331"/>
      <c r="D50" s="331"/>
      <c r="E50" s="331"/>
      <c r="F50" s="331"/>
      <c r="G50" s="332"/>
    </row>
    <row r="51" spans="1:15">
      <c r="A51" s="330"/>
      <c r="B51" s="331"/>
      <c r="C51" s="331"/>
      <c r="D51" s="331"/>
      <c r="E51" s="331"/>
      <c r="F51" s="331"/>
      <c r="G51" s="332"/>
      <c r="J51" s="61"/>
      <c r="K51" s="61"/>
      <c r="L51" s="67"/>
      <c r="M51" s="67"/>
      <c r="N51" s="67"/>
      <c r="O51" s="67"/>
    </row>
    <row r="52" spans="1:15">
      <c r="A52" s="333"/>
      <c r="B52" s="334"/>
      <c r="C52" s="334"/>
      <c r="D52" s="334"/>
      <c r="E52" s="334"/>
      <c r="F52" s="334"/>
      <c r="G52" s="335"/>
      <c r="J52" s="324"/>
      <c r="K52" s="66"/>
      <c r="L52" s="64"/>
      <c r="M52" s="64"/>
      <c r="N52" s="64"/>
      <c r="O52" s="64"/>
    </row>
    <row r="53" spans="1:15">
      <c r="C53" s="176"/>
      <c r="J53" s="324"/>
      <c r="K53" s="66"/>
      <c r="L53" s="64"/>
      <c r="M53" s="64"/>
      <c r="N53" s="64"/>
      <c r="O53" s="64"/>
    </row>
    <row r="54" spans="1:15">
      <c r="J54" s="324"/>
      <c r="K54" s="66"/>
      <c r="L54" s="64"/>
      <c r="M54" s="64"/>
      <c r="N54" s="64"/>
      <c r="O54" s="64"/>
    </row>
    <row r="55" spans="1:15">
      <c r="J55" s="324"/>
      <c r="K55" s="66"/>
      <c r="L55" s="64"/>
      <c r="M55" s="64"/>
      <c r="N55" s="64"/>
      <c r="O55" s="64"/>
    </row>
    <row r="56" spans="1:15">
      <c r="J56" s="324"/>
      <c r="K56" s="66"/>
      <c r="L56" s="64"/>
      <c r="M56" s="64"/>
      <c r="N56" s="64"/>
      <c r="O56" s="64"/>
    </row>
    <row r="57" spans="1:15">
      <c r="J57" s="324"/>
      <c r="K57" s="66"/>
      <c r="L57" s="64"/>
      <c r="M57" s="64"/>
      <c r="N57" s="64"/>
      <c r="O57" s="64"/>
    </row>
    <row r="58" spans="1:15">
      <c r="J58" s="324"/>
      <c r="K58" s="66"/>
      <c r="L58" s="64"/>
      <c r="M58" s="64"/>
      <c r="N58" s="64"/>
      <c r="O58" s="64"/>
    </row>
    <row r="59" spans="1:15">
      <c r="J59" s="324"/>
      <c r="K59" s="66"/>
      <c r="L59" s="64"/>
      <c r="M59" s="64"/>
      <c r="N59" s="64"/>
      <c r="O59" s="64"/>
    </row>
    <row r="60" spans="1:15">
      <c r="J60" s="324"/>
      <c r="K60" s="66"/>
      <c r="L60" s="64"/>
      <c r="M60" s="64"/>
      <c r="N60" s="64"/>
      <c r="O60" s="64"/>
    </row>
    <row r="61" spans="1:15">
      <c r="J61" s="324"/>
      <c r="K61" s="66"/>
      <c r="L61" s="64"/>
      <c r="M61" s="64"/>
      <c r="N61" s="64"/>
      <c r="O61" s="64"/>
    </row>
    <row r="62" spans="1:15">
      <c r="J62" s="324"/>
      <c r="K62" s="66"/>
      <c r="L62" s="64"/>
      <c r="M62" s="64"/>
      <c r="N62" s="64"/>
      <c r="O62" s="64"/>
    </row>
    <row r="63" spans="1:15">
      <c r="J63" s="324"/>
      <c r="K63" s="66"/>
      <c r="L63" s="64"/>
      <c r="M63" s="64"/>
      <c r="N63" s="64"/>
      <c r="O63" s="64"/>
    </row>
    <row r="64" spans="1:15">
      <c r="J64" s="324"/>
      <c r="K64" s="62"/>
      <c r="L64" s="62"/>
      <c r="M64" s="62"/>
      <c r="N64" s="62"/>
      <c r="O64" s="62"/>
    </row>
    <row r="66" spans="10:15">
      <c r="J66" s="61"/>
      <c r="K66" s="61"/>
      <c r="L66" s="67"/>
      <c r="M66" s="67"/>
      <c r="N66" s="67"/>
      <c r="O66" s="67"/>
    </row>
    <row r="67" spans="10:15">
      <c r="J67" s="324"/>
      <c r="K67" s="66"/>
      <c r="L67" s="64"/>
      <c r="M67" s="64"/>
      <c r="N67" s="64"/>
      <c r="O67" s="64"/>
    </row>
    <row r="68" spans="10:15">
      <c r="J68" s="324"/>
      <c r="K68" s="66"/>
      <c r="L68" s="64"/>
      <c r="M68" s="64"/>
      <c r="N68" s="64"/>
      <c r="O68" s="64"/>
    </row>
    <row r="69" spans="10:15">
      <c r="J69" s="324"/>
      <c r="K69" s="66"/>
      <c r="L69" s="64"/>
      <c r="M69" s="64"/>
      <c r="N69" s="64"/>
      <c r="O69" s="64"/>
    </row>
    <row r="70" spans="10:15">
      <c r="J70" s="324"/>
      <c r="K70" s="66"/>
      <c r="L70" s="64"/>
      <c r="M70" s="64"/>
      <c r="N70" s="64"/>
      <c r="O70" s="64"/>
    </row>
    <row r="71" spans="10:15">
      <c r="J71" s="324"/>
      <c r="K71" s="66"/>
      <c r="L71" s="64"/>
      <c r="M71" s="64"/>
      <c r="N71" s="64"/>
      <c r="O71" s="64"/>
    </row>
    <row r="72" spans="10:15">
      <c r="J72" s="324"/>
      <c r="K72" s="66"/>
      <c r="L72" s="64"/>
      <c r="M72" s="64"/>
      <c r="N72" s="64"/>
      <c r="O72" s="64"/>
    </row>
    <row r="73" spans="10:15">
      <c r="J73" s="324"/>
      <c r="K73" s="66"/>
      <c r="L73" s="64"/>
      <c r="M73" s="64"/>
      <c r="N73" s="64"/>
      <c r="O73" s="64"/>
    </row>
    <row r="74" spans="10:15">
      <c r="J74" s="324"/>
      <c r="K74" s="66"/>
      <c r="L74" s="64"/>
      <c r="M74" s="64"/>
      <c r="N74" s="64"/>
      <c r="O74" s="64"/>
    </row>
    <row r="75" spans="10:15">
      <c r="J75" s="324"/>
      <c r="K75" s="66"/>
      <c r="L75" s="64"/>
      <c r="M75" s="64"/>
      <c r="N75" s="64"/>
      <c r="O75" s="64"/>
    </row>
    <row r="76" spans="10:15">
      <c r="J76" s="324"/>
      <c r="K76" s="66"/>
      <c r="L76" s="64"/>
      <c r="M76" s="64"/>
      <c r="N76" s="64"/>
      <c r="O76" s="64"/>
    </row>
    <row r="77" spans="10:15">
      <c r="J77" s="324"/>
      <c r="K77" s="66"/>
      <c r="L77" s="64"/>
      <c r="M77" s="64"/>
      <c r="N77" s="64"/>
      <c r="O77" s="64"/>
    </row>
    <row r="78" spans="10:15">
      <c r="J78" s="324"/>
      <c r="K78" s="66"/>
      <c r="L78" s="64"/>
      <c r="M78" s="64"/>
      <c r="N78" s="64"/>
      <c r="O78" s="64"/>
    </row>
    <row r="79" spans="10:15">
      <c r="J79" s="324"/>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view="pageBreakPreview" topLeftCell="A17" zoomScale="60" zoomScaleNormal="100" workbookViewId="0">
      <selection activeCell="C54" sqref="C54"/>
    </sheetView>
  </sheetViews>
  <sheetFormatPr defaultColWidth="9.28515625" defaultRowHeight="13.9"/>
  <cols>
    <col min="1" max="1" width="14" style="3" customWidth="1"/>
    <col min="2" max="4" width="17" style="35" customWidth="1"/>
    <col min="5" max="5" width="14.7109375" style="35" customWidth="1"/>
    <col min="6" max="7" width="17" style="35" customWidth="1"/>
    <col min="8" max="8" width="9.28515625" style="3"/>
    <col min="9" max="9" width="14.28515625" style="3" customWidth="1"/>
    <col min="10"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1" t="str">
        <f>+'Cover Page'!$B$29</f>
        <v>Annual Performance Report 2022</v>
      </c>
      <c r="B1" s="91"/>
      <c r="C1" s="91"/>
      <c r="D1" s="91"/>
      <c r="E1" s="91" t="str">
        <f>+'Cover Page'!$B$33</f>
        <v>Dudley Energy from Waste Facility</v>
      </c>
    </row>
    <row r="3" spans="1:19" ht="14.45">
      <c r="A3" s="60" t="s">
        <v>432</v>
      </c>
      <c r="D3" s="76" t="s">
        <v>391</v>
      </c>
      <c r="G3" s="80" t="s">
        <v>392</v>
      </c>
      <c r="J3" s="9" t="str">
        <f>+A3</f>
        <v>Monitoring of Particulate matter emissions</v>
      </c>
      <c r="L3" s="9"/>
      <c r="N3" s="9" t="s">
        <v>393</v>
      </c>
      <c r="Q3" s="79" t="s">
        <v>3</v>
      </c>
      <c r="R3" s="74"/>
      <c r="S3" s="74"/>
    </row>
    <row r="4" spans="1:19" ht="13.9" customHeight="1">
      <c r="Q4" s="336" t="s">
        <v>394</v>
      </c>
      <c r="R4" s="336"/>
      <c r="S4" s="336"/>
    </row>
    <row r="5" spans="1:19" ht="16.149999999999999">
      <c r="A5" s="68" t="s">
        <v>395</v>
      </c>
      <c r="B5" s="326" t="s">
        <v>396</v>
      </c>
      <c r="C5" s="326"/>
      <c r="D5" s="326"/>
      <c r="E5" s="326" t="s">
        <v>397</v>
      </c>
      <c r="F5" s="326"/>
      <c r="G5" s="326"/>
      <c r="J5" s="325"/>
      <c r="K5" s="325"/>
      <c r="L5" s="325"/>
      <c r="M5" s="325"/>
      <c r="N5" s="325"/>
      <c r="O5" s="325"/>
      <c r="Q5" s="336"/>
      <c r="R5" s="336"/>
      <c r="S5" s="336"/>
    </row>
    <row r="6" spans="1:19" s="58" customFormat="1" ht="37.5" customHeight="1">
      <c r="A6" s="65">
        <f>+'Cover Page'!C39</f>
        <v>2022</v>
      </c>
      <c r="B6" s="55" t="s">
        <v>433</v>
      </c>
      <c r="C6" s="55" t="s">
        <v>399</v>
      </c>
      <c r="D6" s="55" t="s">
        <v>400</v>
      </c>
      <c r="E6" s="55" t="s">
        <v>434</v>
      </c>
      <c r="F6" s="55" t="s">
        <v>402</v>
      </c>
      <c r="G6" s="55" t="s">
        <v>403</v>
      </c>
      <c r="H6" s="59"/>
      <c r="J6" s="61">
        <f>+A6</f>
        <v>2022</v>
      </c>
      <c r="K6" s="61" t="s">
        <v>404</v>
      </c>
      <c r="L6" s="67" t="s">
        <v>399</v>
      </c>
      <c r="M6" s="67" t="s">
        <v>405</v>
      </c>
      <c r="N6" s="67" t="s">
        <v>402</v>
      </c>
      <c r="O6" s="67" t="s">
        <v>406</v>
      </c>
      <c r="Q6" s="336"/>
      <c r="R6" s="336"/>
      <c r="S6" s="336"/>
    </row>
    <row r="7" spans="1:19">
      <c r="A7" s="66" t="s">
        <v>407</v>
      </c>
      <c r="B7" s="63">
        <v>30</v>
      </c>
      <c r="C7" s="97">
        <f>AVERAGE(L7,L22)</f>
        <v>1</v>
      </c>
      <c r="D7" s="97">
        <f>MAX(M7,M22)</f>
        <v>7</v>
      </c>
      <c r="E7" s="105">
        <v>10</v>
      </c>
      <c r="F7" s="97">
        <f>AVERAGE(N7,N22)</f>
        <v>0.65</v>
      </c>
      <c r="G7" s="97">
        <f>MAX(O22)</f>
        <v>2</v>
      </c>
      <c r="J7" s="324" t="s">
        <v>187</v>
      </c>
      <c r="K7" s="66" t="s">
        <v>407</v>
      </c>
      <c r="L7" s="64">
        <v>1</v>
      </c>
      <c r="M7" s="64">
        <v>7</v>
      </c>
      <c r="N7" s="64">
        <v>0.3</v>
      </c>
      <c r="O7" s="64">
        <v>2</v>
      </c>
      <c r="Q7" s="336"/>
      <c r="R7" s="336"/>
      <c r="S7" s="336"/>
    </row>
    <row r="8" spans="1:19">
      <c r="A8" s="66" t="s">
        <v>408</v>
      </c>
      <c r="B8" s="63">
        <v>30</v>
      </c>
      <c r="C8" s="97">
        <f t="shared" ref="C8:C18" si="0">AVERAGE(L8,L23)</f>
        <v>0.5</v>
      </c>
      <c r="D8" s="97">
        <f t="shared" ref="D8:D18" si="1">MAX(M8,M23)</f>
        <v>6</v>
      </c>
      <c r="E8" s="105">
        <v>10</v>
      </c>
      <c r="F8" s="97">
        <f t="shared" ref="F8:F18" si="2">AVERAGE(N8,N23)</f>
        <v>0.5892857142857143</v>
      </c>
      <c r="G8" s="97">
        <f t="shared" ref="G8:G18" si="3">MAX(O23)</f>
        <v>1</v>
      </c>
      <c r="J8" s="324"/>
      <c r="K8" s="66" t="s">
        <v>408</v>
      </c>
      <c r="L8" s="64">
        <v>0</v>
      </c>
      <c r="M8" s="64">
        <v>6</v>
      </c>
      <c r="N8" s="96">
        <v>0.17857142857142858</v>
      </c>
      <c r="O8" s="64">
        <v>1</v>
      </c>
      <c r="Q8" s="336"/>
      <c r="R8" s="336"/>
      <c r="S8" s="336"/>
    </row>
    <row r="9" spans="1:19">
      <c r="A9" s="66" t="s">
        <v>409</v>
      </c>
      <c r="B9" s="63">
        <v>30</v>
      </c>
      <c r="C9" s="97">
        <f t="shared" si="0"/>
        <v>1</v>
      </c>
      <c r="D9" s="97">
        <f t="shared" si="1"/>
        <v>28</v>
      </c>
      <c r="E9" s="105">
        <v>10</v>
      </c>
      <c r="F9" s="97">
        <f t="shared" si="2"/>
        <v>0.69354838709677424</v>
      </c>
      <c r="G9" s="97">
        <f t="shared" si="3"/>
        <v>2</v>
      </c>
      <c r="J9" s="324"/>
      <c r="K9" s="66" t="s">
        <v>409</v>
      </c>
      <c r="L9" s="64">
        <v>1</v>
      </c>
      <c r="M9" s="64">
        <v>28</v>
      </c>
      <c r="N9" s="96">
        <v>0.38709677419354838</v>
      </c>
      <c r="O9" s="64">
        <v>2</v>
      </c>
      <c r="Q9" s="78" t="s">
        <v>410</v>
      </c>
    </row>
    <row r="10" spans="1:19" ht="14.25" customHeight="1">
      <c r="A10" s="66" t="s">
        <v>411</v>
      </c>
      <c r="B10" s="63">
        <v>30</v>
      </c>
      <c r="C10" s="97">
        <f t="shared" si="0"/>
        <v>0.5</v>
      </c>
      <c r="D10" s="97">
        <f t="shared" si="1"/>
        <v>27</v>
      </c>
      <c r="E10" s="105">
        <v>10</v>
      </c>
      <c r="F10" s="97">
        <f t="shared" si="2"/>
        <v>0.58333333333333337</v>
      </c>
      <c r="G10" s="97">
        <f t="shared" si="3"/>
        <v>2</v>
      </c>
      <c r="J10" s="324"/>
      <c r="K10" s="66" t="s">
        <v>411</v>
      </c>
      <c r="L10" s="64">
        <v>0</v>
      </c>
      <c r="M10" s="64">
        <v>10</v>
      </c>
      <c r="N10" s="96">
        <v>0.16666666666666666</v>
      </c>
      <c r="O10" s="64">
        <v>1</v>
      </c>
      <c r="Q10" s="323" t="s">
        <v>412</v>
      </c>
      <c r="R10" s="323"/>
      <c r="S10" s="323"/>
    </row>
    <row r="11" spans="1:19">
      <c r="A11" s="66" t="s">
        <v>413</v>
      </c>
      <c r="B11" s="63">
        <v>30</v>
      </c>
      <c r="C11" s="97">
        <f t="shared" si="0"/>
        <v>0.5</v>
      </c>
      <c r="D11" s="97">
        <f t="shared" si="1"/>
        <v>7</v>
      </c>
      <c r="E11" s="105">
        <v>10</v>
      </c>
      <c r="F11" s="97">
        <f t="shared" si="2"/>
        <v>0.55555555555555558</v>
      </c>
      <c r="G11" s="97">
        <f t="shared" si="3"/>
        <v>1</v>
      </c>
      <c r="J11" s="324"/>
      <c r="K11" s="66" t="s">
        <v>413</v>
      </c>
      <c r="L11" s="64">
        <v>0</v>
      </c>
      <c r="M11" s="64">
        <v>5</v>
      </c>
      <c r="N11" s="96">
        <v>0.1111111111111111</v>
      </c>
      <c r="O11" s="64">
        <v>1</v>
      </c>
      <c r="Q11" s="323"/>
      <c r="R11" s="323"/>
      <c r="S11" s="323"/>
    </row>
    <row r="12" spans="1:19">
      <c r="A12" s="66" t="s">
        <v>414</v>
      </c>
      <c r="B12" s="63">
        <v>30</v>
      </c>
      <c r="C12" s="97">
        <f t="shared" si="0"/>
        <v>0.5</v>
      </c>
      <c r="D12" s="97">
        <f t="shared" si="1"/>
        <v>2</v>
      </c>
      <c r="E12" s="105">
        <v>10</v>
      </c>
      <c r="F12" s="97">
        <f t="shared" si="2"/>
        <v>0.5</v>
      </c>
      <c r="G12" s="97">
        <f t="shared" si="3"/>
        <v>2</v>
      </c>
      <c r="J12" s="324"/>
      <c r="K12" s="66" t="s">
        <v>414</v>
      </c>
      <c r="L12" s="64">
        <v>0</v>
      </c>
      <c r="M12" s="64">
        <v>1</v>
      </c>
      <c r="N12" s="64">
        <v>0</v>
      </c>
      <c r="O12" s="64">
        <v>0</v>
      </c>
      <c r="Q12" s="323"/>
      <c r="R12" s="323"/>
      <c r="S12" s="323"/>
    </row>
    <row r="13" spans="1:19" ht="14.25" customHeight="1">
      <c r="A13" s="66" t="s">
        <v>415</v>
      </c>
      <c r="B13" s="63">
        <v>30</v>
      </c>
      <c r="C13" s="97">
        <f t="shared" si="0"/>
        <v>0.5</v>
      </c>
      <c r="D13" s="97">
        <f t="shared" si="1"/>
        <v>3</v>
      </c>
      <c r="E13" s="105">
        <v>10</v>
      </c>
      <c r="F13" s="97">
        <f t="shared" si="2"/>
        <v>0.5</v>
      </c>
      <c r="G13" s="97">
        <f t="shared" si="3"/>
        <v>2</v>
      </c>
      <c r="J13" s="324"/>
      <c r="K13" s="66" t="s">
        <v>415</v>
      </c>
      <c r="L13" s="64">
        <v>0</v>
      </c>
      <c r="M13" s="64">
        <v>0</v>
      </c>
      <c r="N13" s="64">
        <v>0</v>
      </c>
      <c r="O13" s="64">
        <v>0</v>
      </c>
      <c r="Q13" s="323" t="s">
        <v>416</v>
      </c>
      <c r="R13" s="323"/>
      <c r="S13" s="323"/>
    </row>
    <row r="14" spans="1:19">
      <c r="A14" s="66" t="s">
        <v>417</v>
      </c>
      <c r="B14" s="63">
        <v>30</v>
      </c>
      <c r="C14" s="97">
        <f t="shared" si="0"/>
        <v>0.5</v>
      </c>
      <c r="D14" s="97">
        <f t="shared" si="1"/>
        <v>18</v>
      </c>
      <c r="E14" s="105">
        <v>10</v>
      </c>
      <c r="F14" s="97">
        <f t="shared" si="2"/>
        <v>1.0149999999999999</v>
      </c>
      <c r="G14" s="97">
        <f t="shared" si="3"/>
        <v>3</v>
      </c>
      <c r="J14" s="324"/>
      <c r="K14" s="66" t="s">
        <v>417</v>
      </c>
      <c r="L14" s="64">
        <v>0</v>
      </c>
      <c r="M14" s="64">
        <v>5</v>
      </c>
      <c r="N14" s="64">
        <v>0.03</v>
      </c>
      <c r="O14" s="64">
        <v>1</v>
      </c>
      <c r="Q14" s="323"/>
      <c r="R14" s="323"/>
      <c r="S14" s="323"/>
    </row>
    <row r="15" spans="1:19">
      <c r="A15" s="66" t="s">
        <v>418</v>
      </c>
      <c r="B15" s="63">
        <v>30</v>
      </c>
      <c r="C15" s="97">
        <f t="shared" si="0"/>
        <v>0.5</v>
      </c>
      <c r="D15" s="97">
        <f t="shared" si="1"/>
        <v>2</v>
      </c>
      <c r="E15" s="105">
        <v>10</v>
      </c>
      <c r="F15" s="97">
        <f t="shared" si="2"/>
        <v>0.5</v>
      </c>
      <c r="G15" s="97">
        <f t="shared" si="3"/>
        <v>2</v>
      </c>
      <c r="J15" s="324"/>
      <c r="K15" s="66" t="s">
        <v>418</v>
      </c>
      <c r="L15" s="64">
        <v>0</v>
      </c>
      <c r="M15" s="64">
        <v>1</v>
      </c>
      <c r="N15" s="64">
        <v>0</v>
      </c>
      <c r="O15" s="64">
        <v>0</v>
      </c>
      <c r="Q15" s="323"/>
      <c r="R15" s="323"/>
      <c r="S15" s="323"/>
    </row>
    <row r="16" spans="1:19">
      <c r="A16" s="66" t="s">
        <v>419</v>
      </c>
      <c r="B16" s="63">
        <v>30</v>
      </c>
      <c r="C16" s="97">
        <f t="shared" si="0"/>
        <v>1</v>
      </c>
      <c r="D16" s="97">
        <f t="shared" si="1"/>
        <v>4</v>
      </c>
      <c r="E16" s="105">
        <v>10</v>
      </c>
      <c r="F16" s="97">
        <f t="shared" si="2"/>
        <v>1</v>
      </c>
      <c r="G16" s="97">
        <f t="shared" si="3"/>
        <v>3</v>
      </c>
      <c r="J16" s="324"/>
      <c r="K16" s="66" t="s">
        <v>419</v>
      </c>
      <c r="L16" s="64">
        <v>0</v>
      </c>
      <c r="M16" s="64">
        <v>1</v>
      </c>
      <c r="N16" s="64">
        <v>0</v>
      </c>
      <c r="O16" s="64">
        <v>0</v>
      </c>
      <c r="Q16" s="323"/>
      <c r="R16" s="323"/>
      <c r="S16" s="323"/>
    </row>
    <row r="17" spans="1:15">
      <c r="A17" s="66" t="s">
        <v>420</v>
      </c>
      <c r="B17" s="63">
        <v>30</v>
      </c>
      <c r="C17" s="97">
        <f t="shared" si="0"/>
        <v>1.5</v>
      </c>
      <c r="D17" s="97">
        <f t="shared" si="1"/>
        <v>5</v>
      </c>
      <c r="E17" s="105">
        <v>10</v>
      </c>
      <c r="F17" s="97">
        <f t="shared" si="2"/>
        <v>1.27</v>
      </c>
      <c r="G17" s="97">
        <f t="shared" si="3"/>
        <v>2</v>
      </c>
      <c r="J17" s="324"/>
      <c r="K17" s="66" t="s">
        <v>420</v>
      </c>
      <c r="L17" s="64">
        <v>1</v>
      </c>
      <c r="M17" s="64">
        <v>5</v>
      </c>
      <c r="N17" s="96">
        <v>0.64</v>
      </c>
      <c r="O17" s="64">
        <v>2</v>
      </c>
    </row>
    <row r="18" spans="1:15">
      <c r="A18" s="66" t="s">
        <v>421</v>
      </c>
      <c r="B18" s="63">
        <v>30</v>
      </c>
      <c r="C18" s="97">
        <f t="shared" si="0"/>
        <v>2</v>
      </c>
      <c r="D18" s="97">
        <f t="shared" si="1"/>
        <v>45</v>
      </c>
      <c r="E18" s="105">
        <v>10</v>
      </c>
      <c r="F18" s="97">
        <f t="shared" si="2"/>
        <v>1.5090909090909093</v>
      </c>
      <c r="G18" s="97">
        <f t="shared" si="3"/>
        <v>7</v>
      </c>
      <c r="J18" s="324"/>
      <c r="K18" s="66" t="s">
        <v>421</v>
      </c>
      <c r="L18" s="64">
        <v>1</v>
      </c>
      <c r="M18" s="64">
        <v>4</v>
      </c>
      <c r="N18" s="96">
        <v>0.31818181818181818</v>
      </c>
      <c r="O18" s="64">
        <v>2</v>
      </c>
    </row>
    <row r="19" spans="1:15">
      <c r="B19" s="3"/>
      <c r="C19" s="3"/>
      <c r="D19" s="3"/>
      <c r="E19" s="3"/>
      <c r="F19" s="3"/>
      <c r="G19" s="3"/>
      <c r="J19" s="324"/>
      <c r="K19" s="62" t="s">
        <v>422</v>
      </c>
      <c r="L19" s="104">
        <f>AVERAGE(L7:L18)</f>
        <v>0.33333333333333331</v>
      </c>
      <c r="M19" s="62">
        <f>MAX(M7:M18)</f>
        <v>28</v>
      </c>
      <c r="N19" s="104">
        <f>AVERAGE(N7:N18)</f>
        <v>0.17763564989371441</v>
      </c>
      <c r="O19" s="62">
        <f>MAX(O7:O18)</f>
        <v>2</v>
      </c>
    </row>
    <row r="20" spans="1:15">
      <c r="B20" s="3"/>
      <c r="C20" s="3"/>
      <c r="D20" s="3"/>
      <c r="E20" s="3"/>
      <c r="F20" s="3"/>
      <c r="G20" s="3"/>
    </row>
    <row r="21" spans="1:15" ht="41.45">
      <c r="B21" s="3"/>
      <c r="C21" s="3"/>
      <c r="D21" s="3"/>
      <c r="E21" s="3"/>
      <c r="F21" s="3"/>
      <c r="G21" s="3"/>
      <c r="J21" s="61">
        <f>+A6</f>
        <v>2022</v>
      </c>
      <c r="K21" s="61" t="s">
        <v>404</v>
      </c>
      <c r="L21" s="67" t="s">
        <v>399</v>
      </c>
      <c r="M21" s="67" t="s">
        <v>405</v>
      </c>
      <c r="N21" s="67" t="s">
        <v>402</v>
      </c>
      <c r="O21" s="67" t="s">
        <v>406</v>
      </c>
    </row>
    <row r="22" spans="1:15">
      <c r="B22" s="3"/>
      <c r="C22" s="3"/>
      <c r="D22" s="3"/>
      <c r="E22" s="3"/>
      <c r="F22" s="3"/>
      <c r="G22" s="3"/>
      <c r="J22" s="324" t="s">
        <v>188</v>
      </c>
      <c r="K22" s="66" t="s">
        <v>407</v>
      </c>
      <c r="L22" s="64">
        <v>1</v>
      </c>
      <c r="M22" s="64">
        <v>7</v>
      </c>
      <c r="N22" s="64">
        <v>1</v>
      </c>
      <c r="O22" s="64">
        <v>2</v>
      </c>
    </row>
    <row r="23" spans="1:15">
      <c r="B23" s="3"/>
      <c r="C23" s="3"/>
      <c r="D23" s="3"/>
      <c r="E23" s="3"/>
      <c r="F23" s="3"/>
      <c r="G23" s="3"/>
      <c r="J23" s="324"/>
      <c r="K23" s="66" t="s">
        <v>408</v>
      </c>
      <c r="L23" s="64">
        <v>1</v>
      </c>
      <c r="M23" s="64">
        <v>4</v>
      </c>
      <c r="N23" s="64">
        <v>1</v>
      </c>
      <c r="O23" s="64">
        <v>1</v>
      </c>
    </row>
    <row r="24" spans="1:15">
      <c r="B24" s="3"/>
      <c r="C24" s="3"/>
      <c r="D24" s="3"/>
      <c r="E24" s="3"/>
      <c r="F24" s="3"/>
      <c r="G24" s="3"/>
      <c r="J24" s="324"/>
      <c r="K24" s="66" t="s">
        <v>409</v>
      </c>
      <c r="L24" s="64">
        <v>1</v>
      </c>
      <c r="M24" s="64">
        <v>17</v>
      </c>
      <c r="N24" s="64">
        <v>1</v>
      </c>
      <c r="O24" s="64">
        <v>2</v>
      </c>
    </row>
    <row r="25" spans="1:15">
      <c r="J25" s="324"/>
      <c r="K25" s="66" t="s">
        <v>411</v>
      </c>
      <c r="L25" s="64">
        <v>1</v>
      </c>
      <c r="M25" s="64">
        <v>27</v>
      </c>
      <c r="N25" s="64">
        <v>1</v>
      </c>
      <c r="O25" s="64">
        <v>2</v>
      </c>
    </row>
    <row r="26" spans="1:15">
      <c r="J26" s="324"/>
      <c r="K26" s="66" t="s">
        <v>413</v>
      </c>
      <c r="L26" s="64">
        <v>1</v>
      </c>
      <c r="M26" s="64">
        <v>7</v>
      </c>
      <c r="N26" s="64">
        <v>1</v>
      </c>
      <c r="O26" s="64">
        <v>1</v>
      </c>
    </row>
    <row r="27" spans="1:15">
      <c r="J27" s="324"/>
      <c r="K27" s="66" t="s">
        <v>414</v>
      </c>
      <c r="L27" s="64">
        <v>1</v>
      </c>
      <c r="M27" s="64">
        <v>2</v>
      </c>
      <c r="N27" s="64">
        <v>1</v>
      </c>
      <c r="O27" s="64">
        <v>2</v>
      </c>
    </row>
    <row r="28" spans="1:15">
      <c r="J28" s="324"/>
      <c r="K28" s="66" t="s">
        <v>415</v>
      </c>
      <c r="L28" s="64">
        <v>1</v>
      </c>
      <c r="M28" s="64">
        <v>3</v>
      </c>
      <c r="N28" s="64">
        <v>1</v>
      </c>
      <c r="O28" s="64">
        <v>2</v>
      </c>
    </row>
    <row r="29" spans="1:15">
      <c r="J29" s="324"/>
      <c r="K29" s="66" t="s">
        <v>417</v>
      </c>
      <c r="L29" s="64">
        <v>1</v>
      </c>
      <c r="M29" s="64">
        <v>18</v>
      </c>
      <c r="N29" s="64">
        <v>2</v>
      </c>
      <c r="O29" s="64">
        <v>3</v>
      </c>
    </row>
    <row r="30" spans="1:15">
      <c r="J30" s="324"/>
      <c r="K30" s="66" t="s">
        <v>418</v>
      </c>
      <c r="L30" s="64">
        <v>1</v>
      </c>
      <c r="M30" s="64">
        <v>2</v>
      </c>
      <c r="N30" s="64">
        <v>1</v>
      </c>
      <c r="O30" s="64">
        <v>2</v>
      </c>
    </row>
    <row r="31" spans="1:15">
      <c r="J31" s="324"/>
      <c r="K31" s="66" t="s">
        <v>419</v>
      </c>
      <c r="L31" s="64">
        <v>2</v>
      </c>
      <c r="M31" s="64">
        <v>4</v>
      </c>
      <c r="N31" s="64">
        <v>2</v>
      </c>
      <c r="O31" s="64">
        <v>3</v>
      </c>
    </row>
    <row r="32" spans="1:15">
      <c r="J32" s="324"/>
      <c r="K32" s="66" t="s">
        <v>420</v>
      </c>
      <c r="L32" s="64">
        <v>2</v>
      </c>
      <c r="M32" s="64">
        <v>3</v>
      </c>
      <c r="N32" s="64">
        <v>1.9</v>
      </c>
      <c r="O32" s="64">
        <v>2</v>
      </c>
    </row>
    <row r="33" spans="1:15">
      <c r="J33" s="324"/>
      <c r="K33" s="66" t="s">
        <v>421</v>
      </c>
      <c r="L33" s="64">
        <v>3</v>
      </c>
      <c r="M33" s="64">
        <v>45</v>
      </c>
      <c r="N33" s="64">
        <v>2.7</v>
      </c>
      <c r="O33" s="64">
        <v>7</v>
      </c>
    </row>
    <row r="34" spans="1:15">
      <c r="J34" s="324"/>
      <c r="K34" s="62" t="s">
        <v>422</v>
      </c>
      <c r="L34" s="104">
        <f>AVERAGE(L22:L33)</f>
        <v>1.3333333333333333</v>
      </c>
      <c r="M34" s="62">
        <f>MAX(M22:M33)</f>
        <v>45</v>
      </c>
      <c r="N34" s="104">
        <f>AVERAGE(N22:N33)</f>
        <v>1.3833333333333335</v>
      </c>
      <c r="O34" s="62">
        <f>MAX(O22:O33)</f>
        <v>7</v>
      </c>
    </row>
    <row r="36" spans="1:15">
      <c r="J36" s="61"/>
      <c r="K36" s="61"/>
      <c r="L36" s="67"/>
      <c r="M36" s="67"/>
      <c r="N36" s="67"/>
      <c r="O36" s="67"/>
    </row>
    <row r="37" spans="1:15">
      <c r="J37" s="324"/>
      <c r="K37" s="66"/>
      <c r="L37" s="64"/>
      <c r="M37" s="64"/>
      <c r="N37" s="64"/>
      <c r="O37" s="64"/>
    </row>
    <row r="38" spans="1:15">
      <c r="J38" s="324"/>
      <c r="K38" s="66"/>
      <c r="L38" s="64"/>
      <c r="M38" s="64"/>
      <c r="N38" s="64"/>
      <c r="O38" s="64"/>
    </row>
    <row r="39" spans="1:15">
      <c r="J39" s="324"/>
      <c r="K39" s="66"/>
      <c r="L39" s="64"/>
      <c r="M39" s="64"/>
      <c r="N39" s="64"/>
      <c r="O39" s="64"/>
    </row>
    <row r="40" spans="1:15">
      <c r="J40" s="324"/>
      <c r="K40" s="66"/>
      <c r="L40" s="64"/>
      <c r="M40" s="64"/>
      <c r="N40" s="64"/>
      <c r="O40" s="64"/>
    </row>
    <row r="41" spans="1:15">
      <c r="J41" s="324"/>
      <c r="K41" s="66"/>
      <c r="L41" s="64"/>
      <c r="M41" s="64"/>
      <c r="N41" s="64"/>
      <c r="O41" s="64"/>
    </row>
    <row r="42" spans="1:15">
      <c r="J42" s="324"/>
      <c r="K42" s="66"/>
      <c r="L42" s="64"/>
      <c r="M42" s="64"/>
      <c r="N42" s="64"/>
      <c r="O42" s="64"/>
    </row>
    <row r="43" spans="1:15">
      <c r="C43" s="35" t="s">
        <v>12</v>
      </c>
      <c r="J43" s="324"/>
      <c r="K43" s="66"/>
      <c r="L43" s="64"/>
      <c r="M43" s="64"/>
      <c r="N43" s="64"/>
      <c r="O43" s="64"/>
    </row>
    <row r="44" spans="1:15">
      <c r="J44" s="324"/>
      <c r="K44" s="66"/>
      <c r="L44" s="64"/>
      <c r="M44" s="64"/>
      <c r="N44" s="64"/>
      <c r="O44" s="64"/>
    </row>
    <row r="45" spans="1:15">
      <c r="C45" s="35" t="s">
        <v>14</v>
      </c>
      <c r="J45" s="324"/>
      <c r="K45" s="66"/>
      <c r="L45" s="64"/>
      <c r="M45" s="64"/>
      <c r="N45" s="64"/>
      <c r="O45" s="64"/>
    </row>
    <row r="46" spans="1:15">
      <c r="J46" s="324"/>
      <c r="K46" s="66"/>
      <c r="L46" s="64"/>
      <c r="M46" s="64"/>
      <c r="N46" s="64"/>
      <c r="O46" s="64"/>
    </row>
    <row r="47" spans="1:15">
      <c r="J47" s="324"/>
      <c r="K47" s="66"/>
      <c r="L47" s="64"/>
      <c r="M47" s="64"/>
      <c r="N47" s="64"/>
      <c r="O47" s="64"/>
    </row>
    <row r="48" spans="1:15">
      <c r="A48" s="242" t="s">
        <v>317</v>
      </c>
      <c r="B48" s="243"/>
      <c r="C48" s="243"/>
      <c r="D48" s="243"/>
      <c r="E48" s="243"/>
      <c r="F48" s="243"/>
      <c r="G48" s="244"/>
      <c r="J48" s="324"/>
      <c r="K48" s="66"/>
      <c r="L48" s="64"/>
      <c r="M48" s="64"/>
      <c r="N48" s="64"/>
      <c r="O48" s="64"/>
    </row>
    <row r="49" spans="1:15">
      <c r="A49" s="327"/>
      <c r="B49" s="328"/>
      <c r="C49" s="328"/>
      <c r="D49" s="328"/>
      <c r="E49" s="328"/>
      <c r="F49" s="328"/>
      <c r="G49" s="329"/>
      <c r="J49" s="324"/>
      <c r="K49" s="62"/>
      <c r="L49" s="62"/>
      <c r="M49" s="62"/>
      <c r="N49" s="62"/>
      <c r="O49" s="62"/>
    </row>
    <row r="50" spans="1:15">
      <c r="A50" s="330"/>
      <c r="B50" s="331"/>
      <c r="C50" s="331"/>
      <c r="D50" s="331"/>
      <c r="E50" s="331"/>
      <c r="F50" s="331"/>
      <c r="G50" s="332"/>
    </row>
    <row r="51" spans="1:15">
      <c r="A51" s="330"/>
      <c r="B51" s="331"/>
      <c r="C51" s="331"/>
      <c r="D51" s="331"/>
      <c r="E51" s="331"/>
      <c r="F51" s="331"/>
      <c r="G51" s="332"/>
      <c r="J51" s="61"/>
      <c r="K51" s="61"/>
      <c r="L51" s="67"/>
      <c r="M51" s="67"/>
      <c r="N51" s="67"/>
      <c r="O51" s="67"/>
    </row>
    <row r="52" spans="1:15">
      <c r="A52" s="333"/>
      <c r="B52" s="334"/>
      <c r="C52" s="334"/>
      <c r="D52" s="334"/>
      <c r="E52" s="334"/>
      <c r="F52" s="334"/>
      <c r="G52" s="335"/>
      <c r="J52" s="324"/>
      <c r="K52" s="66"/>
      <c r="L52" s="64"/>
      <c r="M52" s="64"/>
      <c r="N52" s="64"/>
      <c r="O52" s="64"/>
    </row>
    <row r="53" spans="1:15">
      <c r="C53" s="176"/>
      <c r="J53" s="324"/>
      <c r="K53" s="66"/>
      <c r="L53" s="64"/>
      <c r="M53" s="64"/>
      <c r="N53" s="64"/>
      <c r="O53" s="64"/>
    </row>
    <row r="54" spans="1:15">
      <c r="J54" s="324"/>
      <c r="K54" s="66"/>
      <c r="L54" s="64"/>
      <c r="M54" s="64"/>
      <c r="N54" s="64"/>
      <c r="O54" s="64"/>
    </row>
    <row r="55" spans="1:15">
      <c r="J55" s="324"/>
      <c r="K55" s="66"/>
      <c r="L55" s="64"/>
      <c r="M55" s="64"/>
      <c r="N55" s="64"/>
      <c r="O55" s="64"/>
    </row>
    <row r="56" spans="1:15">
      <c r="J56" s="324"/>
      <c r="K56" s="66"/>
      <c r="L56" s="64"/>
      <c r="M56" s="64"/>
      <c r="N56" s="64"/>
      <c r="O56" s="64"/>
    </row>
    <row r="57" spans="1:15">
      <c r="J57" s="324"/>
      <c r="K57" s="66"/>
      <c r="L57" s="64"/>
      <c r="M57" s="64"/>
      <c r="N57" s="64"/>
      <c r="O57" s="64"/>
    </row>
    <row r="58" spans="1:15">
      <c r="J58" s="324"/>
      <c r="K58" s="66"/>
      <c r="L58" s="64"/>
      <c r="M58" s="64"/>
      <c r="N58" s="64"/>
      <c r="O58" s="64"/>
    </row>
    <row r="59" spans="1:15">
      <c r="J59" s="324"/>
      <c r="K59" s="66"/>
      <c r="L59" s="64"/>
      <c r="M59" s="64"/>
      <c r="N59" s="64"/>
      <c r="O59" s="64"/>
    </row>
    <row r="60" spans="1:15">
      <c r="J60" s="324"/>
      <c r="K60" s="66"/>
      <c r="L60" s="64"/>
      <c r="M60" s="64"/>
      <c r="N60" s="64"/>
      <c r="O60" s="64"/>
    </row>
    <row r="61" spans="1:15">
      <c r="J61" s="324"/>
      <c r="K61" s="66"/>
      <c r="L61" s="64"/>
      <c r="M61" s="64"/>
      <c r="N61" s="64"/>
      <c r="O61" s="64"/>
    </row>
    <row r="62" spans="1:15">
      <c r="J62" s="324"/>
      <c r="K62" s="66"/>
      <c r="L62" s="64"/>
      <c r="M62" s="64"/>
      <c r="N62" s="64"/>
      <c r="O62" s="64"/>
    </row>
    <row r="63" spans="1:15">
      <c r="J63" s="324"/>
      <c r="K63" s="66"/>
      <c r="L63" s="64"/>
      <c r="M63" s="64"/>
      <c r="N63" s="64"/>
      <c r="O63" s="64"/>
    </row>
    <row r="64" spans="1:15">
      <c r="J64" s="324"/>
      <c r="K64" s="62"/>
      <c r="L64" s="62"/>
      <c r="M64" s="62"/>
      <c r="N64" s="62"/>
      <c r="O64" s="62"/>
    </row>
    <row r="66" spans="10:15">
      <c r="J66" s="61"/>
      <c r="K66" s="61"/>
      <c r="L66" s="67"/>
      <c r="M66" s="67"/>
      <c r="N66" s="67"/>
      <c r="O66" s="67"/>
    </row>
    <row r="67" spans="10:15">
      <c r="J67" s="324"/>
      <c r="K67" s="66"/>
      <c r="L67" s="64"/>
      <c r="M67" s="64"/>
      <c r="N67" s="64"/>
      <c r="O67" s="64"/>
    </row>
    <row r="68" spans="10:15">
      <c r="J68" s="324"/>
      <c r="K68" s="66"/>
      <c r="L68" s="64"/>
      <c r="M68" s="64"/>
      <c r="N68" s="64"/>
      <c r="O68" s="64"/>
    </row>
    <row r="69" spans="10:15">
      <c r="J69" s="324"/>
      <c r="K69" s="66"/>
      <c r="L69" s="64"/>
      <c r="M69" s="64"/>
      <c r="N69" s="64"/>
      <c r="O69" s="64"/>
    </row>
    <row r="70" spans="10:15">
      <c r="J70" s="324"/>
      <c r="K70" s="66"/>
      <c r="L70" s="64"/>
      <c r="M70" s="64"/>
      <c r="N70" s="64"/>
      <c r="O70" s="64"/>
    </row>
    <row r="71" spans="10:15">
      <c r="J71" s="324"/>
      <c r="K71" s="66"/>
      <c r="L71" s="64"/>
      <c r="M71" s="64"/>
      <c r="N71" s="64"/>
      <c r="O71" s="64"/>
    </row>
    <row r="72" spans="10:15">
      <c r="J72" s="324"/>
      <c r="K72" s="66"/>
      <c r="L72" s="64"/>
      <c r="M72" s="64"/>
      <c r="N72" s="64"/>
      <c r="O72" s="64"/>
    </row>
    <row r="73" spans="10:15">
      <c r="J73" s="324"/>
      <c r="K73" s="66"/>
      <c r="L73" s="64"/>
      <c r="M73" s="64"/>
      <c r="N73" s="64"/>
      <c r="O73" s="64"/>
    </row>
    <row r="74" spans="10:15">
      <c r="J74" s="324"/>
      <c r="K74" s="66"/>
      <c r="L74" s="64"/>
      <c r="M74" s="64"/>
      <c r="N74" s="64"/>
      <c r="O74" s="64"/>
    </row>
    <row r="75" spans="10:15">
      <c r="J75" s="324"/>
      <c r="K75" s="66"/>
      <c r="L75" s="64"/>
      <c r="M75" s="64"/>
      <c r="N75" s="64"/>
      <c r="O75" s="64"/>
    </row>
    <row r="76" spans="10:15">
      <c r="J76" s="324"/>
      <c r="K76" s="66"/>
      <c r="L76" s="64"/>
      <c r="M76" s="64"/>
      <c r="N76" s="64"/>
      <c r="O76" s="64"/>
    </row>
    <row r="77" spans="10:15">
      <c r="J77" s="324"/>
      <c r="K77" s="66"/>
      <c r="L77" s="64"/>
      <c r="M77" s="64"/>
      <c r="N77" s="64"/>
      <c r="O77" s="64"/>
    </row>
    <row r="78" spans="10:15">
      <c r="J78" s="324"/>
      <c r="K78" s="66"/>
      <c r="L78" s="64"/>
      <c r="M78" s="64"/>
      <c r="N78" s="64"/>
      <c r="O78" s="64"/>
    </row>
    <row r="79" spans="10:15">
      <c r="J79" s="324"/>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view="pageBreakPreview" topLeftCell="A14" zoomScale="60" zoomScaleNormal="100" workbookViewId="0">
      <selection activeCell="C54" sqref="C54"/>
    </sheetView>
  </sheetViews>
  <sheetFormatPr defaultColWidth="9.28515625" defaultRowHeight="13.9"/>
  <cols>
    <col min="1" max="1" width="14" style="3" customWidth="1"/>
    <col min="2" max="2" width="12.7109375" style="35" customWidth="1"/>
    <col min="3" max="3" width="15.28515625" style="35" customWidth="1"/>
    <col min="4" max="4" width="17.7109375" style="35" customWidth="1"/>
    <col min="5" max="5" width="14.7109375" style="35" customWidth="1"/>
    <col min="6" max="6" width="11.5703125" style="35" customWidth="1"/>
    <col min="7" max="7" width="15" style="35" customWidth="1"/>
    <col min="8" max="8" width="14.7109375" style="35" customWidth="1"/>
    <col min="9" max="9" width="14.28515625" style="3" customWidth="1"/>
    <col min="10"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91" t="str">
        <f>+'Cover Page'!$B$29</f>
        <v>Annual Performance Report 2022</v>
      </c>
      <c r="B1" s="91"/>
      <c r="C1" s="91"/>
      <c r="D1" s="91"/>
      <c r="E1" s="91" t="str">
        <f>+'Cover Page'!$B$33</f>
        <v>Dudley Energy from Waste Facility</v>
      </c>
    </row>
    <row r="3" spans="1:21" ht="14.45">
      <c r="A3" s="60" t="s">
        <v>435</v>
      </c>
      <c r="E3" s="76" t="s">
        <v>391</v>
      </c>
      <c r="H3" s="80" t="s">
        <v>436</v>
      </c>
      <c r="J3" s="9" t="str">
        <f>+A3</f>
        <v>Monitoring of Carbon Monoxide (10-minute avg)</v>
      </c>
      <c r="L3" s="9"/>
      <c r="O3" s="9" t="s">
        <v>393</v>
      </c>
      <c r="Q3" s="77" t="s">
        <v>3</v>
      </c>
      <c r="S3" s="79" t="s">
        <v>3</v>
      </c>
      <c r="T3" s="74"/>
      <c r="U3" s="74"/>
    </row>
    <row r="4" spans="1:21" ht="13.9" customHeight="1">
      <c r="S4" s="336" t="s">
        <v>437</v>
      </c>
      <c r="T4" s="336"/>
      <c r="U4" s="336"/>
    </row>
    <row r="5" spans="1:21" ht="16.149999999999999">
      <c r="A5" s="68" t="s">
        <v>395</v>
      </c>
      <c r="B5" s="326" t="s">
        <v>438</v>
      </c>
      <c r="C5" s="326"/>
      <c r="D5" s="326"/>
      <c r="E5" s="326"/>
      <c r="F5" s="326" t="s">
        <v>397</v>
      </c>
      <c r="G5" s="326"/>
      <c r="H5" s="326"/>
      <c r="K5" s="325"/>
      <c r="L5" s="325"/>
      <c r="M5" s="325"/>
      <c r="N5" s="325"/>
      <c r="O5" s="325"/>
      <c r="P5" s="325"/>
      <c r="Q5" s="325"/>
      <c r="S5" s="336"/>
      <c r="T5" s="336"/>
      <c r="U5" s="336"/>
    </row>
    <row r="6" spans="1:21" s="58" customFormat="1" ht="37.5" customHeight="1">
      <c r="A6" s="65">
        <f>+'Cover Page'!C39</f>
        <v>2022</v>
      </c>
      <c r="B6" s="55" t="s">
        <v>439</v>
      </c>
      <c r="C6" s="55" t="s">
        <v>440</v>
      </c>
      <c r="D6" s="55" t="s">
        <v>441</v>
      </c>
      <c r="E6" s="55" t="s">
        <v>442</v>
      </c>
      <c r="F6" s="55" t="s">
        <v>443</v>
      </c>
      <c r="G6" s="55" t="s">
        <v>402</v>
      </c>
      <c r="H6" s="55" t="s">
        <v>403</v>
      </c>
      <c r="I6" s="59"/>
      <c r="K6" s="61">
        <f>+A6</f>
        <v>2022</v>
      </c>
      <c r="L6" s="61" t="s">
        <v>404</v>
      </c>
      <c r="M6" s="55" t="s">
        <v>440</v>
      </c>
      <c r="N6" s="55" t="s">
        <v>441</v>
      </c>
      <c r="O6" s="55" t="s">
        <v>442</v>
      </c>
      <c r="P6" s="67" t="s">
        <v>402</v>
      </c>
      <c r="Q6" s="67" t="s">
        <v>406</v>
      </c>
      <c r="S6" s="336"/>
      <c r="T6" s="336"/>
      <c r="U6" s="336"/>
    </row>
    <row r="7" spans="1:21">
      <c r="A7" s="66" t="s">
        <v>407</v>
      </c>
      <c r="B7" s="69">
        <v>150</v>
      </c>
      <c r="C7" s="97">
        <f>MAX(M7,M22)</f>
        <v>14.58</v>
      </c>
      <c r="D7" s="97">
        <f>AVERAGE(N7,N22)</f>
        <v>9.5</v>
      </c>
      <c r="E7" s="97">
        <f>MAX(O7,O22)</f>
        <v>28</v>
      </c>
      <c r="F7" s="106">
        <v>50</v>
      </c>
      <c r="G7" s="97">
        <f>AVERAGE(P7,P22)</f>
        <v>9.7808676307007794</v>
      </c>
      <c r="H7" s="97">
        <f>MAX(Q7,Q22)</f>
        <v>52</v>
      </c>
      <c r="K7" s="324" t="s">
        <v>187</v>
      </c>
      <c r="L7" s="66" t="s">
        <v>407</v>
      </c>
      <c r="M7" s="96">
        <v>13.22</v>
      </c>
      <c r="N7" s="64">
        <v>10</v>
      </c>
      <c r="O7" s="64">
        <v>27</v>
      </c>
      <c r="P7" s="95">
        <v>10.206896551724139</v>
      </c>
      <c r="Q7" s="64">
        <v>52</v>
      </c>
      <c r="S7" s="336"/>
      <c r="T7" s="336"/>
      <c r="U7" s="336"/>
    </row>
    <row r="8" spans="1:21">
      <c r="A8" s="66" t="s">
        <v>408</v>
      </c>
      <c r="B8" s="63">
        <f>+B7</f>
        <v>150</v>
      </c>
      <c r="C8" s="97">
        <f t="shared" ref="C8:C18" si="0">MAX(M8,M23)</f>
        <v>18.75</v>
      </c>
      <c r="D8" s="97">
        <f t="shared" ref="D8:D18" si="1">AVERAGE(N8,N23)</f>
        <v>9.5</v>
      </c>
      <c r="E8" s="97">
        <f t="shared" ref="E8:E18" si="2">MAX(O8,O23)</f>
        <v>54</v>
      </c>
      <c r="F8" s="105">
        <f>+F7</f>
        <v>50</v>
      </c>
      <c r="G8" s="97">
        <f t="shared" ref="G8:G18" si="3">AVERAGE(P8,P23)</f>
        <v>9.178571428571427</v>
      </c>
      <c r="H8" s="97">
        <f t="shared" ref="H8:H18" si="4">MAX(Q8,Q23)</f>
        <v>23</v>
      </c>
      <c r="K8" s="324"/>
      <c r="L8" s="66" t="s">
        <v>408</v>
      </c>
      <c r="M8" s="96">
        <v>13.02</v>
      </c>
      <c r="N8" s="64">
        <v>9</v>
      </c>
      <c r="O8" s="64">
        <v>31</v>
      </c>
      <c r="P8" s="95">
        <v>8.6428571428571423</v>
      </c>
      <c r="Q8" s="64">
        <v>21</v>
      </c>
      <c r="S8" s="336"/>
      <c r="T8" s="336"/>
      <c r="U8" s="336"/>
    </row>
    <row r="9" spans="1:21">
      <c r="A9" s="66" t="s">
        <v>409</v>
      </c>
      <c r="B9" s="63">
        <f t="shared" ref="B9:B18" si="5">+B8</f>
        <v>150</v>
      </c>
      <c r="C9" s="97">
        <f t="shared" si="0"/>
        <v>11.56</v>
      </c>
      <c r="D9" s="97">
        <f t="shared" si="1"/>
        <v>6.5</v>
      </c>
      <c r="E9" s="97">
        <f t="shared" si="2"/>
        <v>18</v>
      </c>
      <c r="F9" s="105">
        <f t="shared" ref="F9:F18" si="6">+F8</f>
        <v>50</v>
      </c>
      <c r="G9" s="97">
        <f t="shared" si="3"/>
        <v>6.435483870967742</v>
      </c>
      <c r="H9" s="97">
        <f t="shared" si="4"/>
        <v>12</v>
      </c>
      <c r="K9" s="324"/>
      <c r="L9" s="66" t="s">
        <v>409</v>
      </c>
      <c r="M9" s="96">
        <v>9.16</v>
      </c>
      <c r="N9" s="64">
        <v>5</v>
      </c>
      <c r="O9" s="64">
        <v>18</v>
      </c>
      <c r="P9" s="95">
        <v>4.903225806451613</v>
      </c>
      <c r="Q9" s="64">
        <v>12</v>
      </c>
      <c r="S9" s="78" t="s">
        <v>444</v>
      </c>
    </row>
    <row r="10" spans="1:21">
      <c r="A10" s="66" t="s">
        <v>411</v>
      </c>
      <c r="B10" s="63">
        <f t="shared" si="5"/>
        <v>150</v>
      </c>
      <c r="C10" s="97">
        <f t="shared" si="0"/>
        <v>10.08</v>
      </c>
      <c r="D10" s="97">
        <f t="shared" si="1"/>
        <v>6.5</v>
      </c>
      <c r="E10" s="97">
        <f t="shared" si="2"/>
        <v>15</v>
      </c>
      <c r="F10" s="105">
        <f t="shared" si="6"/>
        <v>50</v>
      </c>
      <c r="G10" s="97">
        <f t="shared" si="3"/>
        <v>6.4499999999999993</v>
      </c>
      <c r="H10" s="97">
        <f t="shared" si="4"/>
        <v>17</v>
      </c>
      <c r="K10" s="324"/>
      <c r="L10" s="66" t="s">
        <v>411</v>
      </c>
      <c r="M10" s="96">
        <v>8.89</v>
      </c>
      <c r="N10" s="64">
        <v>5</v>
      </c>
      <c r="O10" s="64">
        <v>14</v>
      </c>
      <c r="P10" s="95">
        <v>5.3666666666666663</v>
      </c>
      <c r="Q10" s="64">
        <v>8</v>
      </c>
      <c r="S10" s="323" t="s">
        <v>445</v>
      </c>
      <c r="T10" s="323"/>
      <c r="U10" s="323"/>
    </row>
    <row r="11" spans="1:21">
      <c r="A11" s="66" t="s">
        <v>413</v>
      </c>
      <c r="B11" s="63">
        <f t="shared" si="5"/>
        <v>150</v>
      </c>
      <c r="C11" s="97">
        <f t="shared" si="0"/>
        <v>20.32</v>
      </c>
      <c r="D11" s="97">
        <f t="shared" si="1"/>
        <v>10.5</v>
      </c>
      <c r="E11" s="97">
        <f t="shared" si="2"/>
        <v>81</v>
      </c>
      <c r="F11" s="105">
        <f t="shared" si="6"/>
        <v>50</v>
      </c>
      <c r="G11" s="97">
        <f t="shared" si="3"/>
        <v>9.4</v>
      </c>
      <c r="H11" s="97">
        <f t="shared" si="4"/>
        <v>18</v>
      </c>
      <c r="K11" s="324"/>
      <c r="L11" s="66" t="s">
        <v>413</v>
      </c>
      <c r="M11" s="96">
        <v>20.010000000000002</v>
      </c>
      <c r="N11" s="64">
        <v>10</v>
      </c>
      <c r="O11" s="64">
        <v>53</v>
      </c>
      <c r="P11" s="95">
        <v>9.8000000000000007</v>
      </c>
      <c r="Q11" s="64">
        <v>16</v>
      </c>
      <c r="S11" s="323"/>
      <c r="T11" s="323"/>
      <c r="U11" s="323"/>
    </row>
    <row r="12" spans="1:21">
      <c r="A12" s="66" t="s">
        <v>414</v>
      </c>
      <c r="B12" s="63">
        <f t="shared" si="5"/>
        <v>150</v>
      </c>
      <c r="C12" s="97">
        <f t="shared" si="0"/>
        <v>12.01</v>
      </c>
      <c r="D12" s="97">
        <f t="shared" si="1"/>
        <v>8</v>
      </c>
      <c r="E12" s="97">
        <f t="shared" si="2"/>
        <v>43</v>
      </c>
      <c r="F12" s="105">
        <f t="shared" si="6"/>
        <v>50</v>
      </c>
      <c r="G12" s="97">
        <f t="shared" si="3"/>
        <v>7.6444444444444439</v>
      </c>
      <c r="H12" s="97">
        <f t="shared" si="4"/>
        <v>29</v>
      </c>
      <c r="K12" s="324"/>
      <c r="L12" s="66" t="s">
        <v>414</v>
      </c>
      <c r="M12" s="96">
        <v>12.01</v>
      </c>
      <c r="N12" s="64">
        <v>7</v>
      </c>
      <c r="O12" s="64">
        <v>31</v>
      </c>
      <c r="P12" s="95">
        <v>6.7333333333333334</v>
      </c>
      <c r="Q12" s="64">
        <v>10</v>
      </c>
      <c r="S12" s="323"/>
      <c r="T12" s="323"/>
      <c r="U12" s="323"/>
    </row>
    <row r="13" spans="1:21">
      <c r="A13" s="66" t="s">
        <v>415</v>
      </c>
      <c r="B13" s="63">
        <f t="shared" si="5"/>
        <v>150</v>
      </c>
      <c r="C13" s="97">
        <f t="shared" si="0"/>
        <v>9.81</v>
      </c>
      <c r="D13" s="97">
        <f t="shared" si="1"/>
        <v>6.5</v>
      </c>
      <c r="E13" s="97">
        <f t="shared" si="2"/>
        <v>18</v>
      </c>
      <c r="F13" s="105">
        <f t="shared" si="6"/>
        <v>50</v>
      </c>
      <c r="G13" s="97">
        <f t="shared" si="3"/>
        <v>5.9617682198327362</v>
      </c>
      <c r="H13" s="97">
        <f t="shared" si="4"/>
        <v>11</v>
      </c>
      <c r="K13" s="324"/>
      <c r="L13" s="66" t="s">
        <v>415</v>
      </c>
      <c r="M13" s="96">
        <v>9.35</v>
      </c>
      <c r="N13" s="64">
        <v>6</v>
      </c>
      <c r="O13" s="64">
        <v>15</v>
      </c>
      <c r="P13" s="95">
        <v>5.5161290322580649</v>
      </c>
      <c r="Q13" s="64">
        <v>9</v>
      </c>
      <c r="S13" s="323" t="s">
        <v>446</v>
      </c>
      <c r="T13" s="323"/>
      <c r="U13" s="323"/>
    </row>
    <row r="14" spans="1:21">
      <c r="A14" s="66" t="s">
        <v>417</v>
      </c>
      <c r="B14" s="63">
        <f t="shared" si="5"/>
        <v>150</v>
      </c>
      <c r="C14" s="97">
        <f t="shared" si="0"/>
        <v>10.029999999999999</v>
      </c>
      <c r="D14" s="97">
        <f t="shared" si="1"/>
        <v>6</v>
      </c>
      <c r="E14" s="97">
        <f t="shared" si="2"/>
        <v>30</v>
      </c>
      <c r="F14" s="105">
        <f t="shared" si="6"/>
        <v>50</v>
      </c>
      <c r="G14" s="97">
        <f t="shared" si="3"/>
        <v>5.9166666666666661</v>
      </c>
      <c r="H14" s="97">
        <f t="shared" si="4"/>
        <v>51</v>
      </c>
      <c r="K14" s="324"/>
      <c r="L14" s="66" t="s">
        <v>417</v>
      </c>
      <c r="M14" s="96">
        <v>10.029999999999999</v>
      </c>
      <c r="N14" s="64">
        <v>6</v>
      </c>
      <c r="O14" s="64">
        <v>20</v>
      </c>
      <c r="P14" s="95">
        <v>5.5666666666666664</v>
      </c>
      <c r="Q14" s="64">
        <v>8</v>
      </c>
      <c r="S14" s="323"/>
      <c r="T14" s="323"/>
      <c r="U14" s="323"/>
    </row>
    <row r="15" spans="1:21">
      <c r="A15" s="66" t="s">
        <v>418</v>
      </c>
      <c r="B15" s="63">
        <f t="shared" si="5"/>
        <v>150</v>
      </c>
      <c r="C15" s="97">
        <f t="shared" si="0"/>
        <v>15.6</v>
      </c>
      <c r="D15" s="97">
        <f t="shared" si="1"/>
        <v>10</v>
      </c>
      <c r="E15" s="97">
        <f t="shared" si="2"/>
        <v>160</v>
      </c>
      <c r="F15" s="105">
        <f t="shared" si="6"/>
        <v>50</v>
      </c>
      <c r="G15" s="97">
        <f t="shared" si="3"/>
        <v>9.6212643678160923</v>
      </c>
      <c r="H15" s="97">
        <f t="shared" si="4"/>
        <v>46</v>
      </c>
      <c r="K15" s="324"/>
      <c r="L15" s="66" t="s">
        <v>418</v>
      </c>
      <c r="M15" s="96">
        <v>10.11</v>
      </c>
      <c r="N15" s="64">
        <v>7</v>
      </c>
      <c r="O15" s="64">
        <v>26</v>
      </c>
      <c r="P15" s="95">
        <v>6.9666666666666668</v>
      </c>
      <c r="Q15" s="64">
        <v>21</v>
      </c>
      <c r="S15" s="323"/>
      <c r="T15" s="323"/>
      <c r="U15" s="323"/>
    </row>
    <row r="16" spans="1:21">
      <c r="A16" s="66" t="s">
        <v>419</v>
      </c>
      <c r="B16" s="63">
        <f t="shared" si="5"/>
        <v>150</v>
      </c>
      <c r="C16" s="97">
        <f t="shared" si="0"/>
        <v>20.65</v>
      </c>
      <c r="D16" s="97">
        <f t="shared" si="1"/>
        <v>13.5</v>
      </c>
      <c r="E16" s="97">
        <f t="shared" si="2"/>
        <v>777</v>
      </c>
      <c r="F16" s="105">
        <f t="shared" si="6"/>
        <v>50</v>
      </c>
      <c r="G16" s="97">
        <f t="shared" si="3"/>
        <v>11.771724137931034</v>
      </c>
      <c r="H16" s="97">
        <f t="shared" si="4"/>
        <v>90</v>
      </c>
      <c r="K16" s="324"/>
      <c r="L16" s="66" t="s">
        <v>419</v>
      </c>
      <c r="M16" s="96">
        <v>10.119999999999999</v>
      </c>
      <c r="N16" s="64">
        <v>6</v>
      </c>
      <c r="O16" s="64">
        <v>23</v>
      </c>
      <c r="P16" s="95">
        <v>6.1034482758620694</v>
      </c>
      <c r="Q16" s="64">
        <v>9</v>
      </c>
      <c r="S16" s="323"/>
      <c r="T16" s="323"/>
      <c r="U16" s="323"/>
    </row>
    <row r="17" spans="1:17">
      <c r="A17" s="66" t="s">
        <v>420</v>
      </c>
      <c r="B17" s="63">
        <f t="shared" si="5"/>
        <v>150</v>
      </c>
      <c r="C17" s="97">
        <f t="shared" si="0"/>
        <v>107.21</v>
      </c>
      <c r="D17" s="97">
        <f t="shared" si="1"/>
        <v>23</v>
      </c>
      <c r="E17" s="97">
        <f t="shared" si="2"/>
        <v>724</v>
      </c>
      <c r="F17" s="105">
        <f t="shared" si="6"/>
        <v>50</v>
      </c>
      <c r="G17" s="97">
        <f t="shared" si="3"/>
        <v>17.060000000000002</v>
      </c>
      <c r="H17" s="97">
        <f t="shared" si="4"/>
        <v>122</v>
      </c>
      <c r="K17" s="324"/>
      <c r="L17" s="66" t="s">
        <v>420</v>
      </c>
      <c r="M17" s="96">
        <v>32.79</v>
      </c>
      <c r="N17" s="64">
        <v>14</v>
      </c>
      <c r="O17" s="64">
        <v>252</v>
      </c>
      <c r="P17" s="95">
        <v>14.32</v>
      </c>
      <c r="Q17" s="64">
        <v>74</v>
      </c>
    </row>
    <row r="18" spans="1:17">
      <c r="A18" s="66" t="s">
        <v>421</v>
      </c>
      <c r="B18" s="63">
        <f t="shared" si="5"/>
        <v>150</v>
      </c>
      <c r="C18" s="97">
        <f t="shared" si="0"/>
        <v>40.409999999999997</v>
      </c>
      <c r="D18" s="97">
        <f t="shared" si="1"/>
        <v>10</v>
      </c>
      <c r="E18" s="97">
        <f t="shared" si="2"/>
        <v>133</v>
      </c>
      <c r="F18" s="105">
        <f t="shared" si="6"/>
        <v>50</v>
      </c>
      <c r="G18" s="97">
        <f t="shared" si="3"/>
        <v>10.183441558441558</v>
      </c>
      <c r="H18" s="97">
        <f t="shared" si="4"/>
        <v>46</v>
      </c>
      <c r="K18" s="324"/>
      <c r="L18" s="66" t="s">
        <v>421</v>
      </c>
      <c r="M18" s="96">
        <v>7.59</v>
      </c>
      <c r="N18" s="64">
        <v>5</v>
      </c>
      <c r="O18" s="64">
        <v>33</v>
      </c>
      <c r="P18" s="95">
        <v>5.0454545454545459</v>
      </c>
      <c r="Q18" s="64">
        <v>10</v>
      </c>
    </row>
    <row r="19" spans="1:17">
      <c r="B19" s="3"/>
      <c r="C19" s="3"/>
      <c r="D19" s="3"/>
      <c r="E19" s="3"/>
      <c r="F19" s="3"/>
      <c r="G19" s="3"/>
      <c r="H19" s="3"/>
      <c r="K19" s="324"/>
      <c r="L19" s="62" t="s">
        <v>422</v>
      </c>
      <c r="M19" s="104">
        <f>AVERAGE(M7:M18)</f>
        <v>13.025</v>
      </c>
      <c r="N19" s="62">
        <f>AVERAGE(N7:N18)</f>
        <v>7.5</v>
      </c>
      <c r="O19" s="62">
        <f>MAX(O7:O18)</f>
        <v>252</v>
      </c>
      <c r="P19" s="104">
        <f>AVERAGE(P7:P18)</f>
        <v>7.4309453906617415</v>
      </c>
      <c r="Q19" s="62">
        <f>MAX(Q7:Q18)</f>
        <v>74</v>
      </c>
    </row>
    <row r="20" spans="1:17">
      <c r="B20" s="3"/>
      <c r="C20" s="3"/>
      <c r="D20" s="3"/>
      <c r="E20" s="3"/>
      <c r="F20" s="3"/>
      <c r="G20" s="3"/>
      <c r="H20" s="3"/>
    </row>
    <row r="21" spans="1:17" ht="27.6">
      <c r="B21" s="3"/>
      <c r="C21" s="3"/>
      <c r="D21" s="3"/>
      <c r="E21" s="3"/>
      <c r="F21" s="3"/>
      <c r="G21" s="3"/>
      <c r="H21" s="3"/>
      <c r="K21" s="61">
        <f>+A6</f>
        <v>2022</v>
      </c>
      <c r="L21" s="61" t="s">
        <v>404</v>
      </c>
      <c r="M21" s="55" t="s">
        <v>440</v>
      </c>
      <c r="N21" s="55" t="s">
        <v>441</v>
      </c>
      <c r="O21" s="55" t="s">
        <v>442</v>
      </c>
      <c r="P21" s="67" t="s">
        <v>402</v>
      </c>
      <c r="Q21" s="67" t="s">
        <v>406</v>
      </c>
    </row>
    <row r="22" spans="1:17">
      <c r="B22" s="3"/>
      <c r="C22" s="3"/>
      <c r="D22" s="3"/>
      <c r="E22" s="3"/>
      <c r="F22" s="3"/>
      <c r="G22" s="3"/>
      <c r="H22" s="3"/>
      <c r="K22" s="324" t="s">
        <v>188</v>
      </c>
      <c r="L22" s="66" t="s">
        <v>407</v>
      </c>
      <c r="M22" s="96">
        <v>14.58</v>
      </c>
      <c r="N22" s="64">
        <v>9</v>
      </c>
      <c r="O22" s="64">
        <v>28</v>
      </c>
      <c r="P22" s="95">
        <v>9.3548387096774199</v>
      </c>
      <c r="Q22" s="64">
        <v>18</v>
      </c>
    </row>
    <row r="23" spans="1:17">
      <c r="B23" s="3"/>
      <c r="C23" s="3"/>
      <c r="D23" s="3"/>
      <c r="E23" s="3"/>
      <c r="F23" s="3"/>
      <c r="G23" s="3"/>
      <c r="H23" s="3"/>
      <c r="K23" s="324"/>
      <c r="L23" s="66" t="s">
        <v>408</v>
      </c>
      <c r="M23" s="96">
        <v>18.75</v>
      </c>
      <c r="N23" s="64">
        <v>10</v>
      </c>
      <c r="O23" s="64">
        <v>54</v>
      </c>
      <c r="P23" s="95">
        <v>9.7142857142857135</v>
      </c>
      <c r="Q23" s="64">
        <v>23</v>
      </c>
    </row>
    <row r="24" spans="1:17">
      <c r="B24" s="3"/>
      <c r="C24" s="3"/>
      <c r="D24" s="3"/>
      <c r="E24" s="3"/>
      <c r="F24" s="3"/>
      <c r="G24" s="3"/>
      <c r="H24" s="3"/>
      <c r="K24" s="324"/>
      <c r="L24" s="66" t="s">
        <v>409</v>
      </c>
      <c r="M24" s="96">
        <v>11.56</v>
      </c>
      <c r="N24" s="64">
        <v>8</v>
      </c>
      <c r="O24" s="64">
        <v>16</v>
      </c>
      <c r="P24" s="95">
        <v>7.967741935483871</v>
      </c>
      <c r="Q24" s="64">
        <v>10</v>
      </c>
    </row>
    <row r="25" spans="1:17">
      <c r="K25" s="324"/>
      <c r="L25" s="66" t="s">
        <v>411</v>
      </c>
      <c r="M25" s="96">
        <v>10.08</v>
      </c>
      <c r="N25" s="64">
        <v>8</v>
      </c>
      <c r="O25" s="64">
        <v>15</v>
      </c>
      <c r="P25" s="95">
        <v>7.5333333333333332</v>
      </c>
      <c r="Q25" s="64">
        <v>17</v>
      </c>
    </row>
    <row r="26" spans="1:17">
      <c r="K26" s="324"/>
      <c r="L26" s="66" t="s">
        <v>413</v>
      </c>
      <c r="M26" s="96">
        <v>20.32</v>
      </c>
      <c r="N26" s="64">
        <v>11</v>
      </c>
      <c r="O26" s="64">
        <v>81</v>
      </c>
      <c r="P26" s="95">
        <v>9</v>
      </c>
      <c r="Q26" s="64">
        <v>18</v>
      </c>
    </row>
    <row r="27" spans="1:17">
      <c r="K27" s="324"/>
      <c r="L27" s="66" t="s">
        <v>414</v>
      </c>
      <c r="M27" s="96">
        <v>11.53</v>
      </c>
      <c r="N27" s="64">
        <v>9</v>
      </c>
      <c r="O27" s="64">
        <v>43</v>
      </c>
      <c r="P27" s="95">
        <v>8.5555555555555554</v>
      </c>
      <c r="Q27" s="64">
        <v>29</v>
      </c>
    </row>
    <row r="28" spans="1:17">
      <c r="K28" s="324"/>
      <c r="L28" s="66" t="s">
        <v>415</v>
      </c>
      <c r="M28" s="96">
        <v>9.81</v>
      </c>
      <c r="N28" s="64">
        <v>7</v>
      </c>
      <c r="O28" s="64">
        <v>18</v>
      </c>
      <c r="P28" s="95">
        <v>6.4074074074074074</v>
      </c>
      <c r="Q28" s="64">
        <v>11</v>
      </c>
    </row>
    <row r="29" spans="1:17">
      <c r="K29" s="324"/>
      <c r="L29" s="66" t="s">
        <v>417</v>
      </c>
      <c r="M29" s="96">
        <v>8.3800000000000008</v>
      </c>
      <c r="N29" s="64">
        <v>6</v>
      </c>
      <c r="O29" s="64">
        <v>30</v>
      </c>
      <c r="P29" s="95">
        <v>6.2666666666666666</v>
      </c>
      <c r="Q29" s="64">
        <v>51</v>
      </c>
    </row>
    <row r="30" spans="1:17">
      <c r="K30" s="324"/>
      <c r="L30" s="66" t="s">
        <v>418</v>
      </c>
      <c r="M30" s="96">
        <v>15.6</v>
      </c>
      <c r="N30" s="64">
        <v>13</v>
      </c>
      <c r="O30" s="64">
        <v>160</v>
      </c>
      <c r="P30" s="95">
        <v>12.275862068965518</v>
      </c>
      <c r="Q30" s="64">
        <v>46</v>
      </c>
    </row>
    <row r="31" spans="1:17">
      <c r="K31" s="324"/>
      <c r="L31" s="66" t="s">
        <v>419</v>
      </c>
      <c r="M31" s="96">
        <v>20.65</v>
      </c>
      <c r="N31" s="64">
        <v>21</v>
      </c>
      <c r="O31" s="64">
        <v>777</v>
      </c>
      <c r="P31" s="95">
        <v>17.440000000000001</v>
      </c>
      <c r="Q31" s="64">
        <v>90</v>
      </c>
    </row>
    <row r="32" spans="1:17">
      <c r="K32" s="324"/>
      <c r="L32" s="66" t="s">
        <v>420</v>
      </c>
      <c r="M32" s="96">
        <v>107.21</v>
      </c>
      <c r="N32" s="64">
        <v>32</v>
      </c>
      <c r="O32" s="64">
        <v>724</v>
      </c>
      <c r="P32" s="95">
        <v>19.8</v>
      </c>
      <c r="Q32" s="64">
        <v>122</v>
      </c>
    </row>
    <row r="33" spans="1:17">
      <c r="K33" s="324"/>
      <c r="L33" s="66" t="s">
        <v>421</v>
      </c>
      <c r="M33" s="96">
        <v>40.409999999999997</v>
      </c>
      <c r="N33" s="64">
        <v>15</v>
      </c>
      <c r="O33" s="64">
        <v>133</v>
      </c>
      <c r="P33" s="95">
        <v>15.321428571428571</v>
      </c>
      <c r="Q33" s="64">
        <v>46</v>
      </c>
    </row>
    <row r="34" spans="1:17">
      <c r="K34" s="324"/>
      <c r="L34" s="62" t="s">
        <v>422</v>
      </c>
      <c r="M34" s="104">
        <f>AVERAGE(M22:M33)</f>
        <v>24.073333333333334</v>
      </c>
      <c r="N34" s="104">
        <f>AVERAGE(N22:N33)</f>
        <v>12.416666666666666</v>
      </c>
      <c r="O34" s="62">
        <f>MAX(O22:O33)</f>
        <v>777</v>
      </c>
      <c r="P34" s="104">
        <f>AVERAGE(P22:P33)</f>
        <v>10.803093330233672</v>
      </c>
      <c r="Q34" s="62">
        <f>MAX(Q22:Q33)</f>
        <v>122</v>
      </c>
    </row>
    <row r="36" spans="1:17" ht="27.6">
      <c r="K36" s="61"/>
      <c r="L36" s="61"/>
      <c r="M36" s="55"/>
      <c r="N36" s="55"/>
      <c r="O36" s="55"/>
      <c r="P36" s="67"/>
      <c r="Q36" s="67" t="s">
        <v>406</v>
      </c>
    </row>
    <row r="37" spans="1:17">
      <c r="K37" s="324"/>
      <c r="L37" s="66"/>
      <c r="M37" s="64"/>
      <c r="N37" s="64"/>
      <c r="O37" s="64"/>
      <c r="P37" s="64"/>
      <c r="Q37" s="64"/>
    </row>
    <row r="38" spans="1:17">
      <c r="K38" s="324"/>
      <c r="L38" s="66"/>
      <c r="M38" s="64"/>
      <c r="N38" s="64"/>
      <c r="O38" s="64"/>
      <c r="P38" s="64"/>
      <c r="Q38" s="64"/>
    </row>
    <row r="39" spans="1:17">
      <c r="K39" s="324"/>
      <c r="L39" s="66"/>
      <c r="M39" s="64"/>
      <c r="N39" s="64"/>
      <c r="O39" s="64"/>
      <c r="P39" s="64"/>
      <c r="Q39" s="64"/>
    </row>
    <row r="40" spans="1:17">
      <c r="K40" s="324"/>
      <c r="L40" s="66"/>
      <c r="M40" s="64"/>
      <c r="N40" s="64"/>
      <c r="O40" s="64"/>
      <c r="P40" s="64"/>
      <c r="Q40" s="64"/>
    </row>
    <row r="41" spans="1:17">
      <c r="H41" s="3"/>
      <c r="K41" s="324"/>
      <c r="L41" s="66"/>
      <c r="M41" s="64"/>
      <c r="N41" s="64"/>
      <c r="O41" s="64"/>
      <c r="P41" s="64"/>
      <c r="Q41" s="64"/>
    </row>
    <row r="42" spans="1:17">
      <c r="K42" s="324"/>
      <c r="L42" s="66"/>
      <c r="M42" s="64"/>
      <c r="N42" s="64"/>
      <c r="O42" s="64"/>
      <c r="P42" s="64"/>
      <c r="Q42" s="64"/>
    </row>
    <row r="43" spans="1:17">
      <c r="C43" s="35" t="s">
        <v>12</v>
      </c>
      <c r="K43" s="324"/>
      <c r="L43" s="66"/>
      <c r="M43" s="64"/>
      <c r="N43" s="64"/>
      <c r="O43" s="64"/>
      <c r="P43" s="64"/>
      <c r="Q43" s="64"/>
    </row>
    <row r="44" spans="1:17">
      <c r="K44" s="324"/>
      <c r="L44" s="66"/>
      <c r="M44" s="64"/>
      <c r="N44" s="64"/>
      <c r="O44" s="64"/>
      <c r="P44" s="64"/>
      <c r="Q44" s="64"/>
    </row>
    <row r="45" spans="1:17">
      <c r="C45" s="35" t="s">
        <v>14</v>
      </c>
      <c r="K45" s="324"/>
      <c r="L45" s="66"/>
      <c r="M45" s="64"/>
      <c r="N45" s="64"/>
      <c r="O45" s="64"/>
      <c r="P45" s="64"/>
      <c r="Q45" s="64"/>
    </row>
    <row r="46" spans="1:17">
      <c r="K46" s="324"/>
      <c r="L46" s="66"/>
      <c r="M46" s="64"/>
      <c r="N46" s="64"/>
      <c r="O46" s="64"/>
      <c r="P46" s="64"/>
      <c r="Q46" s="64"/>
    </row>
    <row r="47" spans="1:17">
      <c r="K47" s="324"/>
      <c r="L47" s="66"/>
      <c r="M47" s="64"/>
      <c r="N47" s="64"/>
      <c r="O47" s="64"/>
      <c r="P47" s="64"/>
      <c r="Q47" s="64"/>
    </row>
    <row r="48" spans="1:17">
      <c r="A48" s="242" t="s">
        <v>317</v>
      </c>
      <c r="B48" s="243"/>
      <c r="C48" s="243"/>
      <c r="D48" s="243"/>
      <c r="E48" s="243"/>
      <c r="F48" s="243"/>
      <c r="G48" s="243"/>
      <c r="H48" s="244"/>
      <c r="K48" s="324"/>
      <c r="L48" s="66"/>
      <c r="M48" s="64"/>
      <c r="N48" s="64"/>
      <c r="O48" s="64"/>
      <c r="P48" s="64"/>
      <c r="Q48" s="64"/>
    </row>
    <row r="49" spans="1:17">
      <c r="A49" s="337" t="s">
        <v>447</v>
      </c>
      <c r="B49" s="338"/>
      <c r="C49" s="338"/>
      <c r="D49" s="338"/>
      <c r="E49" s="338"/>
      <c r="F49" s="338"/>
      <c r="G49" s="338"/>
      <c r="H49" s="339"/>
      <c r="K49" s="324"/>
      <c r="L49" s="62"/>
      <c r="M49" s="62"/>
      <c r="N49" s="62"/>
      <c r="O49" s="62"/>
      <c r="P49" s="62"/>
      <c r="Q49" s="62">
        <f>MAX(Q37:Q48)</f>
        <v>0</v>
      </c>
    </row>
    <row r="50" spans="1:17">
      <c r="A50" s="340"/>
      <c r="B50" s="341"/>
      <c r="C50" s="341"/>
      <c r="D50" s="341"/>
      <c r="E50" s="341"/>
      <c r="F50" s="341"/>
      <c r="G50" s="341"/>
      <c r="H50" s="342"/>
    </row>
    <row r="51" spans="1:17" ht="27.6">
      <c r="A51" s="340"/>
      <c r="B51" s="341"/>
      <c r="C51" s="341"/>
      <c r="D51" s="341"/>
      <c r="E51" s="341"/>
      <c r="F51" s="341"/>
      <c r="G51" s="341"/>
      <c r="H51" s="342"/>
      <c r="K51" s="61"/>
      <c r="L51" s="61"/>
      <c r="M51" s="55"/>
      <c r="N51" s="55"/>
      <c r="O51" s="55"/>
      <c r="P51" s="67"/>
      <c r="Q51" s="67" t="s">
        <v>406</v>
      </c>
    </row>
    <row r="52" spans="1:17">
      <c r="A52" s="343"/>
      <c r="B52" s="344"/>
      <c r="C52" s="344"/>
      <c r="D52" s="344"/>
      <c r="E52" s="344"/>
      <c r="F52" s="344"/>
      <c r="G52" s="344"/>
      <c r="H52" s="345"/>
      <c r="K52" s="324"/>
      <c r="L52" s="66"/>
      <c r="M52" s="64"/>
      <c r="N52" s="64"/>
      <c r="O52" s="64"/>
      <c r="P52" s="64"/>
      <c r="Q52" s="64"/>
    </row>
    <row r="53" spans="1:17">
      <c r="C53" s="176"/>
      <c r="K53" s="324"/>
      <c r="L53" s="66"/>
      <c r="M53" s="64"/>
      <c r="N53" s="64"/>
      <c r="O53" s="64"/>
      <c r="P53" s="64"/>
      <c r="Q53" s="64"/>
    </row>
    <row r="54" spans="1:17">
      <c r="K54" s="324"/>
      <c r="L54" s="66"/>
      <c r="M54" s="64"/>
      <c r="N54" s="64"/>
      <c r="O54" s="64"/>
      <c r="P54" s="64"/>
      <c r="Q54" s="64"/>
    </row>
    <row r="55" spans="1:17">
      <c r="K55" s="324"/>
      <c r="L55" s="66"/>
      <c r="M55" s="64"/>
      <c r="N55" s="64"/>
      <c r="O55" s="64"/>
      <c r="P55" s="64"/>
      <c r="Q55" s="64"/>
    </row>
    <row r="56" spans="1:17">
      <c r="K56" s="324"/>
      <c r="L56" s="66"/>
      <c r="M56" s="64"/>
      <c r="N56" s="64"/>
      <c r="O56" s="64"/>
      <c r="P56" s="64"/>
      <c r="Q56" s="64"/>
    </row>
    <row r="57" spans="1:17">
      <c r="K57" s="324"/>
      <c r="L57" s="66"/>
      <c r="M57" s="64"/>
      <c r="N57" s="64"/>
      <c r="O57" s="64"/>
      <c r="P57" s="64"/>
      <c r="Q57" s="64"/>
    </row>
    <row r="58" spans="1:17">
      <c r="K58" s="324"/>
      <c r="L58" s="66"/>
      <c r="M58" s="64"/>
      <c r="N58" s="64"/>
      <c r="O58" s="64"/>
      <c r="P58" s="64"/>
      <c r="Q58" s="64"/>
    </row>
    <row r="59" spans="1:17">
      <c r="K59" s="324"/>
      <c r="L59" s="66"/>
      <c r="M59" s="64"/>
      <c r="N59" s="64"/>
      <c r="O59" s="64"/>
      <c r="P59" s="64"/>
      <c r="Q59" s="64"/>
    </row>
    <row r="60" spans="1:17">
      <c r="K60" s="324"/>
      <c r="L60" s="66"/>
      <c r="M60" s="64"/>
      <c r="N60" s="64"/>
      <c r="O60" s="64"/>
      <c r="P60" s="64"/>
      <c r="Q60" s="64"/>
    </row>
    <row r="61" spans="1:17">
      <c r="K61" s="324"/>
      <c r="L61" s="66"/>
      <c r="M61" s="64"/>
      <c r="N61" s="64"/>
      <c r="O61" s="64"/>
      <c r="P61" s="64"/>
      <c r="Q61" s="64"/>
    </row>
    <row r="62" spans="1:17">
      <c r="K62" s="324"/>
      <c r="L62" s="66"/>
      <c r="M62" s="64"/>
      <c r="N62" s="64"/>
      <c r="O62" s="64"/>
      <c r="P62" s="64"/>
      <c r="Q62" s="64"/>
    </row>
    <row r="63" spans="1:17">
      <c r="K63" s="324"/>
      <c r="L63" s="66"/>
      <c r="M63" s="64"/>
      <c r="N63" s="64"/>
      <c r="O63" s="64"/>
      <c r="P63" s="64"/>
      <c r="Q63" s="64"/>
    </row>
    <row r="64" spans="1:17">
      <c r="K64" s="324"/>
      <c r="L64" s="62"/>
      <c r="M64" s="62"/>
      <c r="N64" s="62"/>
      <c r="O64" s="62"/>
      <c r="P64" s="62"/>
      <c r="Q64" s="62">
        <f>MAX(Q52:Q63)</f>
        <v>0</v>
      </c>
    </row>
    <row r="66" spans="11:17" ht="27.6">
      <c r="K66" s="61"/>
      <c r="L66" s="61"/>
      <c r="M66" s="55"/>
      <c r="N66" s="55"/>
      <c r="O66" s="55"/>
      <c r="P66" s="67"/>
      <c r="Q66" s="67" t="s">
        <v>406</v>
      </c>
    </row>
    <row r="67" spans="11:17">
      <c r="K67" s="324"/>
      <c r="L67" s="66"/>
      <c r="M67" s="64"/>
      <c r="N67" s="64"/>
      <c r="O67" s="64"/>
      <c r="P67" s="64"/>
      <c r="Q67" s="64"/>
    </row>
    <row r="68" spans="11:17">
      <c r="K68" s="324"/>
      <c r="L68" s="66"/>
      <c r="M68" s="64"/>
      <c r="N68" s="64"/>
      <c r="O68" s="64"/>
      <c r="P68" s="64"/>
      <c r="Q68" s="64"/>
    </row>
    <row r="69" spans="11:17">
      <c r="K69" s="324"/>
      <c r="L69" s="66"/>
      <c r="M69" s="64"/>
      <c r="N69" s="64"/>
      <c r="O69" s="64"/>
      <c r="P69" s="64"/>
      <c r="Q69" s="64"/>
    </row>
    <row r="70" spans="11:17">
      <c r="K70" s="324"/>
      <c r="L70" s="66"/>
      <c r="M70" s="64"/>
      <c r="N70" s="64"/>
      <c r="O70" s="64"/>
      <c r="P70" s="64"/>
      <c r="Q70" s="64"/>
    </row>
    <row r="71" spans="11:17">
      <c r="K71" s="324"/>
      <c r="L71" s="66"/>
      <c r="M71" s="64"/>
      <c r="N71" s="64"/>
      <c r="O71" s="64"/>
      <c r="P71" s="64"/>
      <c r="Q71" s="64"/>
    </row>
    <row r="72" spans="11:17">
      <c r="K72" s="324"/>
      <c r="L72" s="66"/>
      <c r="M72" s="64"/>
      <c r="N72" s="64"/>
      <c r="O72" s="64"/>
      <c r="P72" s="64"/>
      <c r="Q72" s="64"/>
    </row>
    <row r="73" spans="11:17">
      <c r="K73" s="324"/>
      <c r="L73" s="66"/>
      <c r="M73" s="64"/>
      <c r="N73" s="64"/>
      <c r="O73" s="64"/>
      <c r="P73" s="64"/>
      <c r="Q73" s="64"/>
    </row>
    <row r="74" spans="11:17">
      <c r="K74" s="324"/>
      <c r="L74" s="66"/>
      <c r="M74" s="64"/>
      <c r="N74" s="64"/>
      <c r="O74" s="64"/>
      <c r="P74" s="64"/>
      <c r="Q74" s="64"/>
    </row>
    <row r="75" spans="11:17">
      <c r="K75" s="324"/>
      <c r="L75" s="66"/>
      <c r="M75" s="64"/>
      <c r="N75" s="64"/>
      <c r="O75" s="64"/>
      <c r="P75" s="64"/>
      <c r="Q75" s="64"/>
    </row>
    <row r="76" spans="11:17">
      <c r="K76" s="324"/>
      <c r="L76" s="66"/>
      <c r="M76" s="64"/>
      <c r="N76" s="64"/>
      <c r="O76" s="64"/>
      <c r="P76" s="64"/>
      <c r="Q76" s="64"/>
    </row>
    <row r="77" spans="11:17">
      <c r="K77" s="324"/>
      <c r="L77" s="66"/>
      <c r="M77" s="64"/>
      <c r="N77" s="64"/>
      <c r="O77" s="64"/>
      <c r="P77" s="64"/>
      <c r="Q77" s="64"/>
    </row>
    <row r="78" spans="11:17">
      <c r="K78" s="324"/>
      <c r="L78" s="66"/>
      <c r="M78" s="64"/>
      <c r="N78" s="64"/>
      <c r="O78" s="64"/>
      <c r="P78" s="64"/>
      <c r="Q78" s="64"/>
    </row>
    <row r="79" spans="11:17">
      <c r="K79" s="324"/>
      <c r="L79" s="62"/>
      <c r="M79" s="62"/>
      <c r="N79" s="62"/>
      <c r="O79" s="62"/>
      <c r="P79" s="62"/>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view="pageBreakPreview" topLeftCell="A14" zoomScale="60" zoomScaleNormal="100" workbookViewId="0">
      <selection activeCell="C54" sqref="C54"/>
    </sheetView>
  </sheetViews>
  <sheetFormatPr defaultColWidth="9.28515625" defaultRowHeight="13.9"/>
  <cols>
    <col min="1" max="1" width="14" style="3" customWidth="1"/>
    <col min="2" max="4" width="17" style="35" customWidth="1"/>
    <col min="5" max="5" width="14.7109375" style="35" customWidth="1"/>
    <col min="6" max="7" width="17" style="35" customWidth="1"/>
    <col min="8" max="8" width="9.28515625" style="3"/>
    <col min="9" max="9" width="14.28515625" style="3" customWidth="1"/>
    <col min="10"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1" t="str">
        <f>+'Cover Page'!$B$29</f>
        <v>Annual Performance Report 2022</v>
      </c>
      <c r="B1" s="91"/>
      <c r="C1" s="91"/>
      <c r="D1" s="91"/>
      <c r="E1" s="91" t="str">
        <f>+'Cover Page'!$B$33</f>
        <v>Dudley Energy from Waste Facility</v>
      </c>
    </row>
    <row r="3" spans="1:19" ht="14.45">
      <c r="A3" s="60" t="s">
        <v>448</v>
      </c>
      <c r="D3" s="76" t="s">
        <v>391</v>
      </c>
      <c r="G3" s="80" t="s">
        <v>392</v>
      </c>
      <c r="J3" s="9" t="str">
        <f>+A3</f>
        <v xml:space="preserve">Monitoring of Ammnonia emissions </v>
      </c>
      <c r="L3" s="9"/>
      <c r="N3" s="9" t="s">
        <v>393</v>
      </c>
      <c r="Q3" s="79" t="s">
        <v>3</v>
      </c>
      <c r="R3" s="74"/>
      <c r="S3" s="74"/>
    </row>
    <row r="4" spans="1:19" ht="13.9" customHeight="1">
      <c r="Q4" s="336" t="s">
        <v>394</v>
      </c>
      <c r="R4" s="336"/>
      <c r="S4" s="336"/>
    </row>
    <row r="5" spans="1:19" ht="16.149999999999999">
      <c r="A5" s="68" t="s">
        <v>395</v>
      </c>
      <c r="B5" s="326" t="s">
        <v>396</v>
      </c>
      <c r="C5" s="326"/>
      <c r="D5" s="326"/>
      <c r="E5" s="326" t="s">
        <v>397</v>
      </c>
      <c r="F5" s="326"/>
      <c r="G5" s="326"/>
      <c r="J5" s="325"/>
      <c r="K5" s="325"/>
      <c r="L5" s="325"/>
      <c r="M5" s="325"/>
      <c r="N5" s="325"/>
      <c r="O5" s="325"/>
      <c r="Q5" s="336"/>
      <c r="R5" s="336"/>
      <c r="S5" s="336"/>
    </row>
    <row r="6" spans="1:19" s="58" customFormat="1" ht="37.5" customHeight="1">
      <c r="A6" s="65">
        <f>+'Cover Page'!C39</f>
        <v>2022</v>
      </c>
      <c r="B6" s="55" t="s">
        <v>449</v>
      </c>
      <c r="C6" s="55" t="s">
        <v>399</v>
      </c>
      <c r="D6" s="55" t="s">
        <v>400</v>
      </c>
      <c r="E6" s="55" t="s">
        <v>450</v>
      </c>
      <c r="F6" s="55" t="s">
        <v>402</v>
      </c>
      <c r="G6" s="55" t="s">
        <v>403</v>
      </c>
      <c r="H6" s="59"/>
      <c r="J6" s="61">
        <f>+A6</f>
        <v>2022</v>
      </c>
      <c r="K6" s="61" t="s">
        <v>404</v>
      </c>
      <c r="L6" s="67" t="s">
        <v>399</v>
      </c>
      <c r="M6" s="67" t="s">
        <v>405</v>
      </c>
      <c r="N6" s="67" t="s">
        <v>402</v>
      </c>
      <c r="O6" s="67" t="s">
        <v>406</v>
      </c>
      <c r="Q6" s="336"/>
      <c r="R6" s="336"/>
      <c r="S6" s="336"/>
    </row>
    <row r="7" spans="1:19">
      <c r="A7" s="66" t="s">
        <v>407</v>
      </c>
      <c r="B7" s="69">
        <v>0</v>
      </c>
      <c r="C7" s="64">
        <f>AVERAGE(L7,L22)</f>
        <v>2.5</v>
      </c>
      <c r="D7" s="64">
        <f>MAX(M7,M22)</f>
        <v>172</v>
      </c>
      <c r="E7" s="69">
        <v>10</v>
      </c>
      <c r="F7" s="97">
        <f>AVERAGE(N7,N22)</f>
        <v>2.4627363737486094</v>
      </c>
      <c r="G7" s="64">
        <f>MAX(O7,O22)</f>
        <v>8</v>
      </c>
      <c r="J7" s="324" t="s">
        <v>187</v>
      </c>
      <c r="K7" s="66" t="s">
        <v>407</v>
      </c>
      <c r="L7" s="64">
        <v>4</v>
      </c>
      <c r="M7" s="64">
        <v>172</v>
      </c>
      <c r="N7" s="96">
        <v>3.3448275862068964</v>
      </c>
      <c r="O7" s="64">
        <v>8</v>
      </c>
      <c r="Q7" s="336"/>
      <c r="R7" s="336"/>
      <c r="S7" s="336"/>
    </row>
    <row r="8" spans="1:19">
      <c r="A8" s="66" t="s">
        <v>408</v>
      </c>
      <c r="B8" s="63">
        <f>+B7</f>
        <v>0</v>
      </c>
      <c r="C8" s="64">
        <f t="shared" ref="C8:C18" si="0">AVERAGE(L8,L23)</f>
        <v>3.5</v>
      </c>
      <c r="D8" s="64">
        <f t="shared" ref="D8:D18" si="1">MAX(M8,M23)</f>
        <v>50</v>
      </c>
      <c r="E8" s="63">
        <f>+E7</f>
        <v>10</v>
      </c>
      <c r="F8" s="97">
        <f t="shared" ref="F8:F18" si="2">AVERAGE(N8,N23)</f>
        <v>3.0892857142857144</v>
      </c>
      <c r="G8" s="64">
        <f t="shared" ref="G8:G18" si="3">MAX(O8,O23)</f>
        <v>7</v>
      </c>
      <c r="J8" s="324"/>
      <c r="K8" s="66" t="s">
        <v>408</v>
      </c>
      <c r="L8" s="64">
        <v>5</v>
      </c>
      <c r="M8" s="64">
        <v>50</v>
      </c>
      <c r="N8" s="96">
        <v>4.5357142857142856</v>
      </c>
      <c r="O8" s="64">
        <v>7</v>
      </c>
      <c r="Q8" s="336"/>
      <c r="R8" s="336"/>
      <c r="S8" s="336"/>
    </row>
    <row r="9" spans="1:19">
      <c r="A9" s="66" t="s">
        <v>409</v>
      </c>
      <c r="B9" s="63">
        <f t="shared" ref="B9:B18" si="4">+B8</f>
        <v>0</v>
      </c>
      <c r="C9" s="64">
        <f t="shared" si="0"/>
        <v>4</v>
      </c>
      <c r="D9" s="64">
        <f t="shared" si="1"/>
        <v>108</v>
      </c>
      <c r="E9" s="63">
        <f t="shared" ref="E9:E18" si="5">+E8</f>
        <v>10</v>
      </c>
      <c r="F9" s="97">
        <f t="shared" si="2"/>
        <v>4.112903225806452</v>
      </c>
      <c r="G9" s="64">
        <f t="shared" si="3"/>
        <v>9</v>
      </c>
      <c r="J9" s="324"/>
      <c r="K9" s="66" t="s">
        <v>409</v>
      </c>
      <c r="L9" s="64">
        <v>6</v>
      </c>
      <c r="M9" s="64">
        <v>108</v>
      </c>
      <c r="N9" s="96">
        <v>6</v>
      </c>
      <c r="O9" s="64">
        <v>9</v>
      </c>
      <c r="Q9" s="78" t="s">
        <v>410</v>
      </c>
    </row>
    <row r="10" spans="1:19" ht="14.25" customHeight="1">
      <c r="A10" s="66" t="s">
        <v>411</v>
      </c>
      <c r="B10" s="63">
        <f t="shared" si="4"/>
        <v>0</v>
      </c>
      <c r="C10" s="64">
        <f t="shared" si="0"/>
        <v>5</v>
      </c>
      <c r="D10" s="64">
        <f t="shared" si="1"/>
        <v>56</v>
      </c>
      <c r="E10" s="63">
        <f t="shared" si="5"/>
        <v>10</v>
      </c>
      <c r="F10" s="97">
        <f t="shared" si="2"/>
        <v>4.8499999999999996</v>
      </c>
      <c r="G10" s="64">
        <f t="shared" si="3"/>
        <v>10</v>
      </c>
      <c r="J10" s="324"/>
      <c r="K10" s="66" t="s">
        <v>411</v>
      </c>
      <c r="L10" s="64">
        <v>8</v>
      </c>
      <c r="M10" s="64">
        <v>28</v>
      </c>
      <c r="N10" s="96">
        <v>7.5333333333333332</v>
      </c>
      <c r="O10" s="64">
        <v>10</v>
      </c>
      <c r="Q10" s="323" t="s">
        <v>412</v>
      </c>
      <c r="R10" s="323"/>
      <c r="S10" s="323"/>
    </row>
    <row r="11" spans="1:19">
      <c r="A11" s="66" t="s">
        <v>413</v>
      </c>
      <c r="B11" s="63">
        <f t="shared" si="4"/>
        <v>0</v>
      </c>
      <c r="C11" s="64">
        <f t="shared" si="0"/>
        <v>7.5</v>
      </c>
      <c r="D11" s="64">
        <f t="shared" si="1"/>
        <v>129</v>
      </c>
      <c r="E11" s="63">
        <f t="shared" si="5"/>
        <v>10</v>
      </c>
      <c r="F11" s="97">
        <f t="shared" si="2"/>
        <v>5.7784090909090908</v>
      </c>
      <c r="G11" s="64">
        <f t="shared" si="3"/>
        <v>13</v>
      </c>
      <c r="J11" s="324"/>
      <c r="K11" s="66" t="s">
        <v>413</v>
      </c>
      <c r="L11" s="64">
        <v>8</v>
      </c>
      <c r="M11" s="64">
        <v>47</v>
      </c>
      <c r="N11" s="96">
        <v>6.375</v>
      </c>
      <c r="O11" s="64">
        <v>10</v>
      </c>
      <c r="Q11" s="323"/>
      <c r="R11" s="323"/>
      <c r="S11" s="323"/>
    </row>
    <row r="12" spans="1:19">
      <c r="A12" s="66" t="s">
        <v>414</v>
      </c>
      <c r="B12" s="63">
        <f t="shared" si="4"/>
        <v>0</v>
      </c>
      <c r="C12" s="64">
        <f t="shared" si="0"/>
        <v>6</v>
      </c>
      <c r="D12" s="64">
        <f t="shared" si="1"/>
        <v>40</v>
      </c>
      <c r="E12" s="63">
        <f t="shared" si="5"/>
        <v>10</v>
      </c>
      <c r="F12" s="97">
        <f t="shared" si="2"/>
        <v>5.4499999999999993</v>
      </c>
      <c r="G12" s="64">
        <f t="shared" si="3"/>
        <v>9</v>
      </c>
      <c r="J12" s="324"/>
      <c r="K12" s="66" t="s">
        <v>414</v>
      </c>
      <c r="L12" s="64">
        <v>7</v>
      </c>
      <c r="M12" s="64">
        <v>34</v>
      </c>
      <c r="N12" s="96">
        <v>6.5666666666666664</v>
      </c>
      <c r="O12" s="64">
        <v>9</v>
      </c>
      <c r="Q12" s="323"/>
      <c r="R12" s="323"/>
      <c r="S12" s="323"/>
    </row>
    <row r="13" spans="1:19" ht="14.25" customHeight="1">
      <c r="A13" s="66" t="s">
        <v>415</v>
      </c>
      <c r="B13" s="63">
        <f t="shared" si="4"/>
        <v>0</v>
      </c>
      <c r="C13" s="64">
        <f t="shared" si="0"/>
        <v>5</v>
      </c>
      <c r="D13" s="64">
        <f t="shared" si="1"/>
        <v>50</v>
      </c>
      <c r="E13" s="63">
        <f t="shared" si="5"/>
        <v>10</v>
      </c>
      <c r="F13" s="97">
        <f t="shared" si="2"/>
        <v>4.9068100358422937</v>
      </c>
      <c r="G13" s="64">
        <f t="shared" si="3"/>
        <v>7</v>
      </c>
      <c r="J13" s="324"/>
      <c r="K13" s="66" t="s">
        <v>415</v>
      </c>
      <c r="L13" s="64">
        <v>5</v>
      </c>
      <c r="M13" s="64">
        <v>32</v>
      </c>
      <c r="N13" s="96">
        <v>5.258064516129032</v>
      </c>
      <c r="O13" s="64">
        <v>7</v>
      </c>
      <c r="Q13" s="323" t="s">
        <v>416</v>
      </c>
      <c r="R13" s="323"/>
      <c r="S13" s="323"/>
    </row>
    <row r="14" spans="1:19">
      <c r="A14" s="66" t="s">
        <v>417</v>
      </c>
      <c r="B14" s="63">
        <f t="shared" si="4"/>
        <v>0</v>
      </c>
      <c r="C14" s="64">
        <f t="shared" si="0"/>
        <v>5.5</v>
      </c>
      <c r="D14" s="64">
        <f t="shared" si="1"/>
        <v>57</v>
      </c>
      <c r="E14" s="63">
        <f t="shared" si="5"/>
        <v>10</v>
      </c>
      <c r="F14" s="97">
        <f t="shared" si="2"/>
        <v>5.3666666666666671</v>
      </c>
      <c r="G14" s="64">
        <f t="shared" si="3"/>
        <v>9</v>
      </c>
      <c r="J14" s="324"/>
      <c r="K14" s="66" t="s">
        <v>417</v>
      </c>
      <c r="L14" s="64">
        <v>7</v>
      </c>
      <c r="M14" s="64">
        <v>57</v>
      </c>
      <c r="N14" s="96">
        <v>6.4</v>
      </c>
      <c r="O14" s="64">
        <v>9</v>
      </c>
      <c r="Q14" s="323"/>
      <c r="R14" s="323"/>
      <c r="S14" s="323"/>
    </row>
    <row r="15" spans="1:19">
      <c r="A15" s="66" t="s">
        <v>418</v>
      </c>
      <c r="B15" s="63">
        <f t="shared" si="4"/>
        <v>0</v>
      </c>
      <c r="C15" s="64">
        <f t="shared" si="0"/>
        <v>6.5</v>
      </c>
      <c r="D15" s="64">
        <f t="shared" si="1"/>
        <v>216</v>
      </c>
      <c r="E15" s="63">
        <f t="shared" si="5"/>
        <v>10</v>
      </c>
      <c r="F15" s="97">
        <f t="shared" si="2"/>
        <v>6.4214285714285717</v>
      </c>
      <c r="G15" s="64">
        <f t="shared" si="3"/>
        <v>15</v>
      </c>
      <c r="J15" s="324"/>
      <c r="K15" s="66" t="s">
        <v>418</v>
      </c>
      <c r="L15" s="64">
        <v>7</v>
      </c>
      <c r="M15" s="64">
        <v>82</v>
      </c>
      <c r="N15" s="96">
        <v>6.7</v>
      </c>
      <c r="O15" s="64">
        <v>10</v>
      </c>
      <c r="Q15" s="323"/>
      <c r="R15" s="323"/>
      <c r="S15" s="323"/>
    </row>
    <row r="16" spans="1:19">
      <c r="A16" s="66" t="s">
        <v>419</v>
      </c>
      <c r="B16" s="63">
        <f t="shared" si="4"/>
        <v>0</v>
      </c>
      <c r="C16" s="64">
        <f t="shared" si="0"/>
        <v>6.5</v>
      </c>
      <c r="D16" s="64">
        <f t="shared" si="1"/>
        <v>202</v>
      </c>
      <c r="E16" s="63">
        <f t="shared" si="5"/>
        <v>10</v>
      </c>
      <c r="F16" s="97">
        <f t="shared" si="2"/>
        <v>5.7816091954022983</v>
      </c>
      <c r="G16" s="64">
        <f t="shared" si="3"/>
        <v>18</v>
      </c>
      <c r="J16" s="324"/>
      <c r="K16" s="66" t="s">
        <v>419</v>
      </c>
      <c r="L16" s="64">
        <v>5</v>
      </c>
      <c r="M16" s="64">
        <v>33</v>
      </c>
      <c r="N16" s="96">
        <v>4.8965517241379306</v>
      </c>
      <c r="O16" s="64">
        <v>7</v>
      </c>
      <c r="Q16" s="323"/>
      <c r="R16" s="323"/>
      <c r="S16" s="323"/>
    </row>
    <row r="17" spans="1:15">
      <c r="A17" s="66" t="s">
        <v>420</v>
      </c>
      <c r="B17" s="63">
        <f t="shared" si="4"/>
        <v>0</v>
      </c>
      <c r="C17" s="64">
        <f t="shared" si="0"/>
        <v>7</v>
      </c>
      <c r="D17" s="64">
        <f t="shared" si="1"/>
        <v>224</v>
      </c>
      <c r="E17" s="63">
        <f t="shared" si="5"/>
        <v>10</v>
      </c>
      <c r="F17" s="97">
        <f t="shared" si="2"/>
        <v>6.9941666666666666</v>
      </c>
      <c r="G17" s="64">
        <f t="shared" si="3"/>
        <v>23</v>
      </c>
      <c r="J17" s="324"/>
      <c r="K17" s="66" t="s">
        <v>420</v>
      </c>
      <c r="L17" s="64">
        <v>5</v>
      </c>
      <c r="M17" s="64">
        <v>35</v>
      </c>
      <c r="N17" s="96">
        <v>5.28</v>
      </c>
      <c r="O17" s="64">
        <v>8</v>
      </c>
    </row>
    <row r="18" spans="1:15">
      <c r="A18" s="66" t="s">
        <v>421</v>
      </c>
      <c r="B18" s="63">
        <f t="shared" si="4"/>
        <v>0</v>
      </c>
      <c r="C18" s="64">
        <f t="shared" si="0"/>
        <v>4</v>
      </c>
      <c r="D18" s="64">
        <f t="shared" si="1"/>
        <v>64</v>
      </c>
      <c r="E18" s="63">
        <f t="shared" si="5"/>
        <v>10</v>
      </c>
      <c r="F18" s="97">
        <f t="shared" si="2"/>
        <v>4.0113636363636367</v>
      </c>
      <c r="G18" s="64">
        <f t="shared" si="3"/>
        <v>8</v>
      </c>
      <c r="J18" s="324"/>
      <c r="K18" s="66" t="s">
        <v>421</v>
      </c>
      <c r="L18" s="64">
        <v>3</v>
      </c>
      <c r="M18" s="64">
        <v>11</v>
      </c>
      <c r="N18" s="96">
        <v>3.2727272727272729</v>
      </c>
      <c r="O18" s="64">
        <v>4</v>
      </c>
    </row>
    <row r="19" spans="1:15">
      <c r="B19" s="3"/>
      <c r="C19" s="3"/>
      <c r="D19" s="3"/>
      <c r="E19" s="3"/>
      <c r="F19" s="3"/>
      <c r="G19" s="3"/>
      <c r="J19" s="324"/>
      <c r="K19" s="62" t="s">
        <v>422</v>
      </c>
      <c r="L19" s="104">
        <f>AVERAGE(L7:L18)</f>
        <v>5.833333333333333</v>
      </c>
      <c r="M19" s="62">
        <f>MAX(M7:M18)</f>
        <v>172</v>
      </c>
      <c r="N19" s="104">
        <f>AVERAGE(N7:N18)</f>
        <v>5.5135737820762847</v>
      </c>
      <c r="O19" s="62">
        <f>MAX(O7:O18)</f>
        <v>10</v>
      </c>
    </row>
    <row r="20" spans="1:15">
      <c r="B20" s="3"/>
      <c r="C20" s="3"/>
      <c r="D20" s="3"/>
      <c r="E20" s="3"/>
      <c r="F20" s="3"/>
      <c r="G20" s="3"/>
    </row>
    <row r="21" spans="1:15" ht="41.45">
      <c r="B21" s="3"/>
      <c r="C21" s="3"/>
      <c r="D21" s="3"/>
      <c r="E21" s="3"/>
      <c r="F21" s="3"/>
      <c r="G21" s="3"/>
      <c r="J21" s="61">
        <f>+A6</f>
        <v>2022</v>
      </c>
      <c r="K21" s="61" t="s">
        <v>404</v>
      </c>
      <c r="L21" s="67" t="s">
        <v>399</v>
      </c>
      <c r="M21" s="67" t="s">
        <v>405</v>
      </c>
      <c r="N21" s="67" t="s">
        <v>402</v>
      </c>
      <c r="O21" s="67" t="s">
        <v>406</v>
      </c>
    </row>
    <row r="22" spans="1:15">
      <c r="B22" s="3"/>
      <c r="C22" s="3"/>
      <c r="D22" s="3"/>
      <c r="E22" s="3"/>
      <c r="F22" s="3"/>
      <c r="G22" s="3"/>
      <c r="J22" s="324" t="s">
        <v>188</v>
      </c>
      <c r="K22" s="66" t="s">
        <v>407</v>
      </c>
      <c r="L22" s="64">
        <v>1</v>
      </c>
      <c r="M22" s="64">
        <v>19</v>
      </c>
      <c r="N22" s="95">
        <v>1.5806451612903225</v>
      </c>
      <c r="O22" s="64">
        <v>3</v>
      </c>
    </row>
    <row r="23" spans="1:15">
      <c r="B23" s="3"/>
      <c r="C23" s="3"/>
      <c r="D23" s="3"/>
      <c r="E23" s="3"/>
      <c r="F23" s="3"/>
      <c r="G23" s="3"/>
      <c r="J23" s="324"/>
      <c r="K23" s="66" t="s">
        <v>408</v>
      </c>
      <c r="L23" s="64">
        <v>2</v>
      </c>
      <c r="M23" s="64">
        <v>19</v>
      </c>
      <c r="N23" s="95">
        <v>1.6428571428571428</v>
      </c>
      <c r="O23" s="64">
        <v>4</v>
      </c>
    </row>
    <row r="24" spans="1:15">
      <c r="B24" s="3"/>
      <c r="C24" s="3"/>
      <c r="D24" s="3"/>
      <c r="E24" s="3"/>
      <c r="F24" s="3"/>
      <c r="G24" s="3"/>
      <c r="J24" s="324"/>
      <c r="K24" s="66" t="s">
        <v>409</v>
      </c>
      <c r="L24" s="64">
        <v>2</v>
      </c>
      <c r="M24" s="64">
        <v>61</v>
      </c>
      <c r="N24" s="95">
        <v>2.225806451612903</v>
      </c>
      <c r="O24" s="64">
        <v>5</v>
      </c>
    </row>
    <row r="25" spans="1:15">
      <c r="J25" s="324"/>
      <c r="K25" s="66" t="s">
        <v>411</v>
      </c>
      <c r="L25" s="64">
        <v>2</v>
      </c>
      <c r="M25" s="64">
        <v>56</v>
      </c>
      <c r="N25" s="95">
        <v>2.1666666666666665</v>
      </c>
      <c r="O25" s="64">
        <v>3</v>
      </c>
    </row>
    <row r="26" spans="1:15">
      <c r="J26" s="324"/>
      <c r="K26" s="66" t="s">
        <v>413</v>
      </c>
      <c r="L26" s="64">
        <v>7</v>
      </c>
      <c r="M26" s="64">
        <v>129</v>
      </c>
      <c r="N26" s="95">
        <v>5.1818181818181817</v>
      </c>
      <c r="O26" s="64">
        <v>13</v>
      </c>
    </row>
    <row r="27" spans="1:15">
      <c r="J27" s="324"/>
      <c r="K27" s="66" t="s">
        <v>414</v>
      </c>
      <c r="L27" s="64">
        <v>5</v>
      </c>
      <c r="M27" s="64">
        <v>40</v>
      </c>
      <c r="N27" s="95">
        <v>4.333333333333333</v>
      </c>
      <c r="O27" s="64">
        <v>8</v>
      </c>
    </row>
    <row r="28" spans="1:15">
      <c r="J28" s="324"/>
      <c r="K28" s="66" t="s">
        <v>415</v>
      </c>
      <c r="L28" s="64">
        <v>5</v>
      </c>
      <c r="M28" s="64">
        <v>50</v>
      </c>
      <c r="N28" s="95">
        <v>4.5555555555555554</v>
      </c>
      <c r="O28" s="64">
        <v>7</v>
      </c>
    </row>
    <row r="29" spans="1:15">
      <c r="J29" s="324"/>
      <c r="K29" s="66" t="s">
        <v>417</v>
      </c>
      <c r="L29" s="64">
        <v>4</v>
      </c>
      <c r="M29" s="64">
        <v>56</v>
      </c>
      <c r="N29" s="95">
        <v>4.333333333333333</v>
      </c>
      <c r="O29" s="64">
        <v>7</v>
      </c>
    </row>
    <row r="30" spans="1:15">
      <c r="J30" s="324"/>
      <c r="K30" s="66" t="s">
        <v>418</v>
      </c>
      <c r="L30" s="64">
        <v>6</v>
      </c>
      <c r="M30" s="64">
        <v>216</v>
      </c>
      <c r="N30" s="95">
        <v>6.1428571428571432</v>
      </c>
      <c r="O30" s="64">
        <v>15</v>
      </c>
    </row>
    <row r="31" spans="1:15">
      <c r="J31" s="324"/>
      <c r="K31" s="66" t="s">
        <v>419</v>
      </c>
      <c r="L31" s="64">
        <v>8</v>
      </c>
      <c r="M31" s="64">
        <v>202</v>
      </c>
      <c r="N31" s="95">
        <v>6.666666666666667</v>
      </c>
      <c r="O31" s="64">
        <v>18</v>
      </c>
    </row>
    <row r="32" spans="1:15">
      <c r="J32" s="324"/>
      <c r="K32" s="66" t="s">
        <v>420</v>
      </c>
      <c r="L32" s="64">
        <v>9</v>
      </c>
      <c r="M32" s="64">
        <v>224</v>
      </c>
      <c r="N32" s="95">
        <v>8.7083333333333339</v>
      </c>
      <c r="O32" s="64">
        <v>23</v>
      </c>
    </row>
    <row r="33" spans="1:15">
      <c r="J33" s="324"/>
      <c r="K33" s="66" t="s">
        <v>421</v>
      </c>
      <c r="L33" s="64">
        <v>5</v>
      </c>
      <c r="M33" s="64">
        <v>64</v>
      </c>
      <c r="N33" s="95">
        <v>4.75</v>
      </c>
      <c r="O33" s="64">
        <v>8</v>
      </c>
    </row>
    <row r="34" spans="1:15">
      <c r="J34" s="324"/>
      <c r="K34" s="62" t="s">
        <v>422</v>
      </c>
      <c r="L34" s="104">
        <f>AVERAGE(L22:L33)</f>
        <v>4.666666666666667</v>
      </c>
      <c r="M34" s="62">
        <f>MAX(M22:M33)</f>
        <v>224</v>
      </c>
      <c r="N34" s="104">
        <f>AVERAGE(N22:N33)</f>
        <v>4.3573227474437148</v>
      </c>
      <c r="O34" s="62">
        <f>MAX(O22:O33)</f>
        <v>23</v>
      </c>
    </row>
    <row r="36" spans="1:15">
      <c r="J36" s="61"/>
      <c r="K36" s="61"/>
      <c r="L36" s="67"/>
      <c r="M36" s="67"/>
      <c r="N36" s="67"/>
      <c r="O36" s="67"/>
    </row>
    <row r="37" spans="1:15">
      <c r="J37" s="324"/>
      <c r="K37" s="66"/>
      <c r="L37" s="64"/>
      <c r="M37" s="64"/>
      <c r="N37" s="64"/>
      <c r="O37" s="64"/>
    </row>
    <row r="38" spans="1:15">
      <c r="J38" s="324"/>
      <c r="K38" s="66"/>
      <c r="L38" s="64"/>
      <c r="M38" s="64"/>
      <c r="N38" s="64"/>
      <c r="O38" s="64"/>
    </row>
    <row r="39" spans="1:15">
      <c r="J39" s="324"/>
      <c r="K39" s="66"/>
      <c r="L39" s="64"/>
      <c r="M39" s="64"/>
      <c r="N39" s="64"/>
      <c r="O39" s="64"/>
    </row>
    <row r="40" spans="1:15">
      <c r="J40" s="324"/>
      <c r="K40" s="66"/>
      <c r="L40" s="64"/>
      <c r="M40" s="64"/>
      <c r="N40" s="64"/>
      <c r="O40" s="64"/>
    </row>
    <row r="41" spans="1:15">
      <c r="E41" s="3"/>
      <c r="F41" s="3"/>
      <c r="G41" s="58"/>
      <c r="H41" s="93"/>
      <c r="I41" s="35"/>
      <c r="J41" s="324"/>
      <c r="K41" s="66"/>
      <c r="L41" s="64"/>
      <c r="M41" s="64"/>
      <c r="N41" s="64"/>
      <c r="O41" s="64"/>
    </row>
    <row r="42" spans="1:15">
      <c r="J42" s="324"/>
      <c r="K42" s="66"/>
      <c r="L42" s="64"/>
      <c r="M42" s="64"/>
      <c r="N42" s="64"/>
      <c r="O42" s="64"/>
    </row>
    <row r="43" spans="1:15">
      <c r="C43" s="35" t="s">
        <v>12</v>
      </c>
      <c r="J43" s="324"/>
      <c r="K43" s="66"/>
      <c r="L43" s="64"/>
      <c r="M43" s="64"/>
      <c r="N43" s="64"/>
      <c r="O43" s="64"/>
    </row>
    <row r="44" spans="1:15">
      <c r="J44" s="324"/>
      <c r="K44" s="66"/>
      <c r="L44" s="64"/>
      <c r="M44" s="64"/>
      <c r="N44" s="64"/>
      <c r="O44" s="64"/>
    </row>
    <row r="45" spans="1:15">
      <c r="C45" s="35" t="s">
        <v>14</v>
      </c>
      <c r="J45" s="324"/>
      <c r="K45" s="66"/>
      <c r="L45" s="64"/>
      <c r="M45" s="64"/>
      <c r="N45" s="64"/>
      <c r="O45" s="64"/>
    </row>
    <row r="46" spans="1:15">
      <c r="J46" s="324"/>
      <c r="K46" s="66"/>
      <c r="L46" s="64"/>
      <c r="M46" s="64"/>
      <c r="N46" s="64"/>
      <c r="O46" s="64"/>
    </row>
    <row r="47" spans="1:15">
      <c r="J47" s="324"/>
      <c r="K47" s="66"/>
      <c r="L47" s="64"/>
      <c r="M47" s="64"/>
      <c r="N47" s="64"/>
      <c r="O47" s="64"/>
    </row>
    <row r="48" spans="1:15">
      <c r="A48" s="242" t="s">
        <v>317</v>
      </c>
      <c r="B48" s="243"/>
      <c r="C48" s="243"/>
      <c r="D48" s="243"/>
      <c r="E48" s="243"/>
      <c r="F48" s="243"/>
      <c r="G48" s="244"/>
      <c r="J48" s="324"/>
      <c r="K48" s="66"/>
      <c r="L48" s="64"/>
      <c r="M48" s="64"/>
      <c r="N48" s="64"/>
      <c r="O48" s="64"/>
    </row>
    <row r="49" spans="1:15">
      <c r="A49" s="327" t="s">
        <v>451</v>
      </c>
      <c r="B49" s="328"/>
      <c r="C49" s="328"/>
      <c r="D49" s="328"/>
      <c r="E49" s="328"/>
      <c r="F49" s="328"/>
      <c r="G49" s="329"/>
      <c r="J49" s="324"/>
      <c r="K49" s="62"/>
      <c r="L49" s="62"/>
      <c r="M49" s="62"/>
      <c r="N49" s="62"/>
      <c r="O49" s="62"/>
    </row>
    <row r="50" spans="1:15">
      <c r="A50" s="330"/>
      <c r="B50" s="331"/>
      <c r="C50" s="331"/>
      <c r="D50" s="331"/>
      <c r="E50" s="331"/>
      <c r="F50" s="331"/>
      <c r="G50" s="332"/>
    </row>
    <row r="51" spans="1:15">
      <c r="A51" s="330"/>
      <c r="B51" s="331"/>
      <c r="C51" s="331"/>
      <c r="D51" s="331"/>
      <c r="E51" s="331"/>
      <c r="F51" s="331"/>
      <c r="G51" s="332"/>
      <c r="J51" s="61"/>
      <c r="K51" s="61"/>
      <c r="L51" s="67"/>
      <c r="M51" s="67"/>
      <c r="N51" s="67"/>
      <c r="O51" s="67"/>
    </row>
    <row r="52" spans="1:15">
      <c r="A52" s="333"/>
      <c r="B52" s="334"/>
      <c r="C52" s="334"/>
      <c r="D52" s="334"/>
      <c r="E52" s="334"/>
      <c r="F52" s="334"/>
      <c r="G52" s="335"/>
      <c r="J52" s="324"/>
      <c r="K52" s="66"/>
      <c r="L52" s="64"/>
      <c r="M52" s="64"/>
      <c r="N52" s="64"/>
      <c r="O52" s="64"/>
    </row>
    <row r="53" spans="1:15">
      <c r="C53" s="176"/>
      <c r="J53" s="324"/>
      <c r="K53" s="66"/>
      <c r="L53" s="64"/>
      <c r="M53" s="64"/>
      <c r="N53" s="64"/>
      <c r="O53" s="64"/>
    </row>
    <row r="54" spans="1:15">
      <c r="J54" s="324"/>
      <c r="K54" s="66"/>
      <c r="L54" s="64"/>
      <c r="M54" s="64"/>
      <c r="N54" s="64"/>
      <c r="O54" s="64"/>
    </row>
    <row r="55" spans="1:15">
      <c r="J55" s="324"/>
      <c r="K55" s="66"/>
      <c r="L55" s="64"/>
      <c r="M55" s="64"/>
      <c r="N55" s="64"/>
      <c r="O55" s="64"/>
    </row>
    <row r="56" spans="1:15">
      <c r="J56" s="324"/>
      <c r="K56" s="66"/>
      <c r="L56" s="64"/>
      <c r="M56" s="64"/>
      <c r="N56" s="64"/>
      <c r="O56" s="64"/>
    </row>
    <row r="57" spans="1:15">
      <c r="J57" s="324"/>
      <c r="K57" s="66"/>
      <c r="L57" s="64"/>
      <c r="M57" s="64"/>
      <c r="N57" s="64"/>
      <c r="O57" s="64"/>
    </row>
    <row r="58" spans="1:15">
      <c r="J58" s="324"/>
      <c r="K58" s="66"/>
      <c r="L58" s="64"/>
      <c r="M58" s="64"/>
      <c r="N58" s="64"/>
      <c r="O58" s="64"/>
    </row>
    <row r="59" spans="1:15">
      <c r="J59" s="324"/>
      <c r="K59" s="66"/>
      <c r="L59" s="64"/>
      <c r="M59" s="64"/>
      <c r="N59" s="64"/>
      <c r="O59" s="64"/>
    </row>
    <row r="60" spans="1:15">
      <c r="J60" s="324"/>
      <c r="K60" s="66"/>
      <c r="L60" s="64"/>
      <c r="M60" s="64"/>
      <c r="N60" s="64"/>
      <c r="O60" s="64"/>
    </row>
    <row r="61" spans="1:15">
      <c r="J61" s="324"/>
      <c r="K61" s="66"/>
      <c r="L61" s="64"/>
      <c r="M61" s="64"/>
      <c r="N61" s="64"/>
      <c r="O61" s="64"/>
    </row>
    <row r="62" spans="1:15">
      <c r="J62" s="324"/>
      <c r="K62" s="66"/>
      <c r="L62" s="64"/>
      <c r="M62" s="64"/>
      <c r="N62" s="64"/>
      <c r="O62" s="64"/>
    </row>
    <row r="63" spans="1:15">
      <c r="J63" s="324"/>
      <c r="K63" s="66"/>
      <c r="L63" s="64"/>
      <c r="M63" s="64"/>
      <c r="N63" s="64"/>
      <c r="O63" s="64"/>
    </row>
    <row r="64" spans="1:15">
      <c r="J64" s="324"/>
      <c r="K64" s="62"/>
      <c r="L64" s="62"/>
      <c r="M64" s="62"/>
      <c r="N64" s="62"/>
      <c r="O64" s="62"/>
    </row>
    <row r="66" spans="10:15">
      <c r="J66" s="61"/>
      <c r="K66" s="61"/>
      <c r="L66" s="67"/>
      <c r="M66" s="67"/>
      <c r="N66" s="67"/>
      <c r="O66" s="67"/>
    </row>
    <row r="67" spans="10:15">
      <c r="J67" s="324"/>
      <c r="K67" s="66"/>
      <c r="L67" s="64"/>
      <c r="M67" s="64"/>
      <c r="N67" s="64"/>
      <c r="O67" s="64"/>
    </row>
    <row r="68" spans="10:15">
      <c r="J68" s="324"/>
      <c r="K68" s="66"/>
      <c r="L68" s="64"/>
      <c r="M68" s="64"/>
      <c r="N68" s="64"/>
      <c r="O68" s="64"/>
    </row>
    <row r="69" spans="10:15">
      <c r="J69" s="324"/>
      <c r="K69" s="66"/>
      <c r="L69" s="64"/>
      <c r="M69" s="64"/>
      <c r="N69" s="64"/>
      <c r="O69" s="64"/>
    </row>
    <row r="70" spans="10:15">
      <c r="J70" s="324"/>
      <c r="K70" s="66"/>
      <c r="L70" s="64"/>
      <c r="M70" s="64"/>
      <c r="N70" s="64"/>
      <c r="O70" s="64"/>
    </row>
    <row r="71" spans="10:15">
      <c r="J71" s="324"/>
      <c r="K71" s="66"/>
      <c r="L71" s="64"/>
      <c r="M71" s="64"/>
      <c r="N71" s="64"/>
      <c r="O71" s="64"/>
    </row>
    <row r="72" spans="10:15">
      <c r="J72" s="324"/>
      <c r="K72" s="66"/>
      <c r="L72" s="64"/>
      <c r="M72" s="64"/>
      <c r="N72" s="64"/>
      <c r="O72" s="64"/>
    </row>
    <row r="73" spans="10:15">
      <c r="J73" s="324"/>
      <c r="K73" s="66"/>
      <c r="L73" s="64"/>
      <c r="M73" s="64"/>
      <c r="N73" s="64"/>
      <c r="O73" s="64"/>
    </row>
    <row r="74" spans="10:15">
      <c r="J74" s="324"/>
      <c r="K74" s="66"/>
      <c r="L74" s="64"/>
      <c r="M74" s="64"/>
      <c r="N74" s="64"/>
      <c r="O74" s="64"/>
    </row>
    <row r="75" spans="10:15">
      <c r="J75" s="324"/>
      <c r="K75" s="66"/>
      <c r="L75" s="64"/>
      <c r="M75" s="64"/>
      <c r="N75" s="64"/>
      <c r="O75" s="64"/>
    </row>
    <row r="76" spans="10:15">
      <c r="J76" s="324"/>
      <c r="K76" s="66"/>
      <c r="L76" s="64"/>
      <c r="M76" s="64"/>
      <c r="N76" s="64"/>
      <c r="O76" s="64"/>
    </row>
    <row r="77" spans="10:15">
      <c r="J77" s="324"/>
      <c r="K77" s="66"/>
      <c r="L77" s="64"/>
      <c r="M77" s="64"/>
      <c r="N77" s="64"/>
      <c r="O77" s="64"/>
    </row>
    <row r="78" spans="10:15">
      <c r="J78" s="324"/>
      <c r="K78" s="66"/>
      <c r="L78" s="64"/>
      <c r="M78" s="64"/>
      <c r="N78" s="64"/>
      <c r="O78" s="64"/>
    </row>
    <row r="79" spans="10:15">
      <c r="J79" s="324"/>
      <c r="K79" s="62"/>
      <c r="L79" s="62"/>
      <c r="M79" s="62"/>
      <c r="N79" s="62"/>
      <c r="O79" s="62"/>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F908D5C-68F2-4A62-B9EA-21BCADF6BBEF}"/>
</file>

<file path=customXml/itemProps2.xml><?xml version="1.0" encoding="utf-8"?>
<ds:datastoreItem xmlns:ds="http://schemas.openxmlformats.org/officeDocument/2006/customXml" ds:itemID="{03A65312-EDD8-4ED5-85CD-21EC9D2BFEF5}"/>
</file>

<file path=customXml/itemProps3.xml><?xml version="1.0" encoding="utf-8"?>
<ds:datastoreItem xmlns:ds="http://schemas.openxmlformats.org/officeDocument/2006/customXml" ds:itemID="{5635CC99-7006-4E3D-AF60-8D7C50564E24}"/>
</file>

<file path=customXml/itemProps4.xml><?xml version="1.0" encoding="utf-8"?>
<ds:datastoreItem xmlns:ds="http://schemas.openxmlformats.org/officeDocument/2006/customXml" ds:itemID="{130E79B3-286C-4594-AC93-4243D3FE78E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2023-05-12T10:17:43Z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InformationType">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ies>
</file>