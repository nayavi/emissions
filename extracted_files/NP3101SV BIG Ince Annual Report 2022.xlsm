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bigportal-my.sharepoint.com/personal/anna_whitelegg_bioenergyinfrastructure_com/Documents/INCE Docs/"/>
    </mc:Choice>
  </mc:AlternateContent>
  <xr:revisionPtr revIDLastSave="26" documentId="8_{01ACB5AE-7053-4281-8D96-B29A86BA2A40}" xr6:coauthVersionLast="47" xr6:coauthVersionMax="47" xr10:uidLastSave="{6DDD05DE-1322-4D93-9037-7E9A42F45167}"/>
  <bookViews>
    <workbookView xWindow="-110" yWindow="-110" windowWidth="19420" windowHeight="10420" tabRatio="894"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H1 (periodic)" sheetId="23" r:id="rId14"/>
    <sheet name="Air H2 (periodic)" sheetId="33" r:id="rId15"/>
    <sheet name="Air (CEMS)" sheetId="24" r:id="rId16"/>
    <sheet name="HCl" sheetId="13" r:id="rId17"/>
    <sheet name="SO2" sheetId="25" r:id="rId18"/>
    <sheet name="NOx" sheetId="26" r:id="rId19"/>
    <sheet name="TOC" sheetId="27" r:id="rId20"/>
    <sheet name="Particulates" sheetId="28" r:id="rId21"/>
    <sheet name="CO 0.5hourly" sheetId="29" r:id="rId22"/>
    <sheet name="CO 95% 10 min" sheetId="30" state="hidden" r:id="rId23"/>
    <sheet name="NH3" sheetId="31" state="hidden" r:id="rId24"/>
  </sheets>
  <definedNames>
    <definedName name="_xlnm.Print_Area" localSheetId="15">'Air (CEMS)'!$A$1:$M$31</definedName>
    <definedName name="_xlnm.Print_Area" localSheetId="13">'Air H1 (periodic)'!$A$1:$J$44</definedName>
    <definedName name="_xlnm.Print_Area" localSheetId="14">'Air H2 (periodic)'!$A$1:$J$44</definedName>
    <definedName name="_xlnm.Print_Area" localSheetId="21">'CO 0.5hourly'!$A$1:$G$52</definedName>
    <definedName name="_xlnm.Print_Area" localSheetId="22">'CO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6">HCl!$A$1:$G$52</definedName>
    <definedName name="_xlnm.Print_Area" localSheetId="8">Improvements!$A$1:$I$48</definedName>
    <definedName name="_xlnm.Print_Area" localSheetId="23">'NH3'!$A$1:$G$52</definedName>
    <definedName name="_xlnm.Print_Area" localSheetId="18">NOx!$A$1:$G$52</definedName>
    <definedName name="_xlnm.Print_Area" localSheetId="3">'Operational Data'!$A$1:$H$65</definedName>
    <definedName name="_xlnm.Print_Area" localSheetId="4">'Operational Summary'!$A$1:$I$52</definedName>
    <definedName name="_xlnm.Print_Area" localSheetId="20">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7">'SO2'!$A$1:$G$52</definedName>
    <definedName name="_xlnm.Print_Area" localSheetId="19">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2" l="1"/>
  <c r="D59" i="6" l="1"/>
  <c r="E59" i="6"/>
  <c r="F59" i="6"/>
  <c r="C59" i="6"/>
  <c r="G21" i="7"/>
  <c r="E22" i="7"/>
  <c r="F37" i="6"/>
  <c r="F20" i="6" l="1"/>
  <c r="E37" i="6" l="1"/>
  <c r="E36" i="6"/>
  <c r="E35" i="6"/>
  <c r="E34" i="6"/>
  <c r="E20" i="6"/>
  <c r="E39" i="6" s="1"/>
  <c r="D37" i="6"/>
  <c r="D36" i="6"/>
  <c r="D35" i="6"/>
  <c r="F39" i="6"/>
  <c r="C39" i="6"/>
  <c r="C20" i="6"/>
  <c r="D20" i="6"/>
  <c r="D39" i="6" s="1"/>
  <c r="C37" i="6"/>
  <c r="F8" i="29"/>
  <c r="G8" i="29"/>
  <c r="F9" i="29"/>
  <c r="G9" i="29"/>
  <c r="F10" i="29"/>
  <c r="G10" i="29"/>
  <c r="F11" i="29"/>
  <c r="G11" i="29"/>
  <c r="F12" i="29"/>
  <c r="G12" i="29"/>
  <c r="F13" i="29"/>
  <c r="G13" i="29"/>
  <c r="F14" i="29"/>
  <c r="G14" i="29"/>
  <c r="F15" i="29"/>
  <c r="G15" i="29"/>
  <c r="F16" i="29"/>
  <c r="G16" i="29"/>
  <c r="F17" i="29"/>
  <c r="G17" i="29"/>
  <c r="F18" i="29"/>
  <c r="G18" i="29"/>
  <c r="C8" i="29"/>
  <c r="D8" i="29"/>
  <c r="C9" i="29"/>
  <c r="D9" i="29"/>
  <c r="C10" i="29"/>
  <c r="D10" i="29"/>
  <c r="C11" i="29"/>
  <c r="D11" i="29"/>
  <c r="C12" i="29"/>
  <c r="D12" i="29"/>
  <c r="C13" i="29"/>
  <c r="D13" i="29"/>
  <c r="C14" i="29"/>
  <c r="D14" i="29"/>
  <c r="C15" i="29"/>
  <c r="D15" i="29"/>
  <c r="C16" i="29"/>
  <c r="D16" i="29"/>
  <c r="C17" i="29"/>
  <c r="D17" i="29"/>
  <c r="C18" i="29"/>
  <c r="D18" i="29"/>
  <c r="G7" i="29"/>
  <c r="F7" i="29"/>
  <c r="D7" i="29"/>
  <c r="C7" i="29"/>
  <c r="B8" i="29"/>
  <c r="B9" i="29" s="1"/>
  <c r="B10" i="29" s="1"/>
  <c r="B11" i="29" s="1"/>
  <c r="B12" i="29" s="1"/>
  <c r="B13" i="29" s="1"/>
  <c r="B14" i="29" s="1"/>
  <c r="B15" i="29" s="1"/>
  <c r="B16" i="29" s="1"/>
  <c r="B17" i="29" s="1"/>
  <c r="B18" i="29" s="1"/>
  <c r="F8" i="28"/>
  <c r="G8" i="28"/>
  <c r="F9" i="28"/>
  <c r="G9" i="28"/>
  <c r="F10" i="28"/>
  <c r="G10" i="28"/>
  <c r="F11" i="28"/>
  <c r="G11" i="28"/>
  <c r="F12" i="28"/>
  <c r="G12" i="28"/>
  <c r="F13" i="28"/>
  <c r="G13" i="28"/>
  <c r="F14" i="28"/>
  <c r="G14" i="28"/>
  <c r="F15" i="28"/>
  <c r="G15" i="28"/>
  <c r="F16" i="28"/>
  <c r="G16" i="28"/>
  <c r="F17" i="28"/>
  <c r="G17" i="28"/>
  <c r="F18" i="28"/>
  <c r="G18" i="28"/>
  <c r="G7" i="28"/>
  <c r="F7" i="28"/>
  <c r="C8" i="28"/>
  <c r="D8" i="28"/>
  <c r="C9" i="28"/>
  <c r="D9" i="28"/>
  <c r="C10" i="28"/>
  <c r="D10" i="28"/>
  <c r="C11" i="28"/>
  <c r="D11" i="28"/>
  <c r="C12" i="28"/>
  <c r="D12" i="28"/>
  <c r="C13" i="28"/>
  <c r="D13" i="28"/>
  <c r="C14" i="28"/>
  <c r="D14" i="28"/>
  <c r="C15" i="28"/>
  <c r="D15" i="28"/>
  <c r="C16" i="28"/>
  <c r="D16" i="28"/>
  <c r="C17" i="28"/>
  <c r="D17" i="28"/>
  <c r="C18" i="28"/>
  <c r="D18" i="28"/>
  <c r="D7" i="28"/>
  <c r="C7" i="28"/>
  <c r="E8" i="28"/>
  <c r="E9" i="28" s="1"/>
  <c r="E10" i="28" s="1"/>
  <c r="E11" i="28" s="1"/>
  <c r="E12" i="28" s="1"/>
  <c r="E13" i="28" s="1"/>
  <c r="E14" i="28" s="1"/>
  <c r="E15" i="28" s="1"/>
  <c r="E16" i="28" s="1"/>
  <c r="E17" i="28" s="1"/>
  <c r="E18" i="28" s="1"/>
  <c r="B8" i="28"/>
  <c r="B9" i="28" s="1"/>
  <c r="B10" i="28" s="1"/>
  <c r="B11" i="28" s="1"/>
  <c r="B12" i="28" s="1"/>
  <c r="B13" i="28" s="1"/>
  <c r="B14" i="28" s="1"/>
  <c r="B15" i="28" s="1"/>
  <c r="B16" i="28" s="1"/>
  <c r="B17" i="28" s="1"/>
  <c r="B18" i="28" s="1"/>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E8" i="27"/>
  <c r="E9" i="27" s="1"/>
  <c r="E10" i="27" s="1"/>
  <c r="E11" i="27" s="1"/>
  <c r="E12" i="27" s="1"/>
  <c r="E13" i="27" s="1"/>
  <c r="E14" i="27" s="1"/>
  <c r="E15" i="27" s="1"/>
  <c r="E16" i="27" s="1"/>
  <c r="E17" i="27" s="1"/>
  <c r="E18" i="27" s="1"/>
  <c r="B8" i="27"/>
  <c r="B9" i="27" s="1"/>
  <c r="B10" i="27" s="1"/>
  <c r="B11" i="27" s="1"/>
  <c r="B12" i="27" s="1"/>
  <c r="B13" i="27" s="1"/>
  <c r="B14" i="27" s="1"/>
  <c r="B15" i="27" s="1"/>
  <c r="B16" i="27" s="1"/>
  <c r="B17" i="27" s="1"/>
  <c r="B18" i="27" s="1"/>
  <c r="F8" i="26"/>
  <c r="G8" i="26"/>
  <c r="F9" i="26"/>
  <c r="G9" i="26"/>
  <c r="F10" i="26"/>
  <c r="G10" i="26"/>
  <c r="F11" i="26"/>
  <c r="G11" i="26"/>
  <c r="F12" i="26"/>
  <c r="G12" i="26"/>
  <c r="F13"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G7" i="26"/>
  <c r="F7" i="26"/>
  <c r="D7" i="26"/>
  <c r="C7" i="26"/>
  <c r="E8" i="26"/>
  <c r="E9" i="26" s="1"/>
  <c r="E10" i="26" s="1"/>
  <c r="E11" i="26" s="1"/>
  <c r="E12" i="26" s="1"/>
  <c r="E13" i="26" s="1"/>
  <c r="E14" i="26" s="1"/>
  <c r="E15" i="26" s="1"/>
  <c r="E16" i="26" s="1"/>
  <c r="E17" i="26" s="1"/>
  <c r="E18" i="26" s="1"/>
  <c r="B8" i="26"/>
  <c r="B9" i="26" s="1"/>
  <c r="B10" i="26" s="1"/>
  <c r="B11" i="26" s="1"/>
  <c r="B12" i="26" s="1"/>
  <c r="B13" i="26" s="1"/>
  <c r="B14" i="26" s="1"/>
  <c r="B15" i="26" s="1"/>
  <c r="B16" i="26" s="1"/>
  <c r="B17" i="26" s="1"/>
  <c r="B18" i="26" s="1"/>
  <c r="E8" i="25"/>
  <c r="E9" i="25" s="1"/>
  <c r="E10" i="25" s="1"/>
  <c r="E11" i="25" s="1"/>
  <c r="E12" i="25" s="1"/>
  <c r="E13" i="25" s="1"/>
  <c r="E14" i="25" s="1"/>
  <c r="E15" i="25" s="1"/>
  <c r="E16" i="25" s="1"/>
  <c r="E17" i="25" s="1"/>
  <c r="E18" i="25" s="1"/>
  <c r="B8" i="25"/>
  <c r="B9" i="25" s="1"/>
  <c r="B10" i="25" s="1"/>
  <c r="B11" i="25" s="1"/>
  <c r="B12" i="25" s="1"/>
  <c r="B13" i="25" s="1"/>
  <c r="B14" i="25" s="1"/>
  <c r="B15" i="25" s="1"/>
  <c r="B16" i="25" s="1"/>
  <c r="B17" i="25" s="1"/>
  <c r="B18" i="25" s="1"/>
  <c r="E8" i="13"/>
  <c r="E9" i="13" s="1"/>
  <c r="E10" i="13" s="1"/>
  <c r="E11" i="13" s="1"/>
  <c r="E12" i="13" s="1"/>
  <c r="E13" i="13" s="1"/>
  <c r="E14" i="13" s="1"/>
  <c r="E15" i="13" s="1"/>
  <c r="E16" i="13" s="1"/>
  <c r="E17" i="13" s="1"/>
  <c r="E18" i="13" s="1"/>
  <c r="B8" i="13"/>
  <c r="B9" i="13" s="1"/>
  <c r="B10" i="13" s="1"/>
  <c r="B11" i="13" s="1"/>
  <c r="B12" i="13" s="1"/>
  <c r="B13" i="13" s="1"/>
  <c r="B14" i="13" s="1"/>
  <c r="B15" i="13" s="1"/>
  <c r="B16" i="13" s="1"/>
  <c r="B17" i="13" s="1"/>
  <c r="B18" i="13" s="1"/>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E1" i="33"/>
  <c r="A1" i="33"/>
  <c r="G3" i="7"/>
  <c r="C1" i="32" l="1"/>
  <c r="A1" i="32"/>
  <c r="I14" i="7" l="1"/>
  <c r="C18" i="6" l="1"/>
  <c r="C21" i="6" s="1"/>
  <c r="H61" i="6" l="1"/>
  <c r="G13" i="6" l="1"/>
  <c r="H13" i="6" s="1"/>
  <c r="G45" i="6"/>
  <c r="E35" i="7" l="1"/>
  <c r="J3" i="31"/>
  <c r="J3" i="30"/>
  <c r="J3" i="29"/>
  <c r="J3" i="28"/>
  <c r="J3" i="27"/>
  <c r="J3" i="26"/>
  <c r="J3" i="25"/>
  <c r="J3" i="13"/>
  <c r="G19" i="6" l="1"/>
  <c r="G57" i="6" l="1"/>
  <c r="G59" i="6" l="1"/>
  <c r="G65" i="6"/>
  <c r="G64" i="6"/>
  <c r="G63" i="6"/>
  <c r="C47" i="7" s="1"/>
  <c r="G61" i="6"/>
  <c r="G53" i="6"/>
  <c r="G54" i="6"/>
  <c r="G55" i="6"/>
  <c r="G56" i="6"/>
  <c r="G60" i="6"/>
  <c r="G58" i="6" l="1"/>
  <c r="C46" i="7"/>
  <c r="Q11" i="9"/>
  <c r="H64" i="6"/>
  <c r="C48" i="7"/>
  <c r="D18" i="6"/>
  <c r="D21" i="6" s="1"/>
  <c r="E18" i="6"/>
  <c r="E21" i="6" s="1"/>
  <c r="F18" i="6"/>
  <c r="F21" i="6" s="1"/>
  <c r="C15" i="9" l="1"/>
  <c r="F12" i="9"/>
  <c r="C12" i="9"/>
  <c r="C10" i="9"/>
  <c r="F13" i="9"/>
  <c r="C14" i="9"/>
  <c r="F11" i="9"/>
  <c r="C13" i="9"/>
  <c r="F10" i="9"/>
  <c r="F14" i="9"/>
  <c r="C11" i="9"/>
  <c r="F15" i="9"/>
  <c r="G21" i="6"/>
  <c r="H45" i="6" s="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O79" i="29"/>
  <c r="N79" i="29"/>
  <c r="M79" i="29"/>
  <c r="L79" i="29"/>
  <c r="O64" i="29"/>
  <c r="N64" i="29"/>
  <c r="M64" i="29"/>
  <c r="L64" i="29"/>
  <c r="O49" i="29"/>
  <c r="N49" i="29"/>
  <c r="M49" i="29"/>
  <c r="L49" i="29"/>
  <c r="O34" i="29"/>
  <c r="N34" i="29"/>
  <c r="M34" i="29"/>
  <c r="L34" i="29"/>
  <c r="O19" i="29"/>
  <c r="D24" i="24" s="1"/>
  <c r="N19" i="29"/>
  <c r="E24" i="24" s="1"/>
  <c r="M19" i="29"/>
  <c r="D25" i="24" s="1"/>
  <c r="L19" i="29"/>
  <c r="E25" i="24" s="1"/>
  <c r="A6" i="29"/>
  <c r="J66" i="29" s="1"/>
  <c r="O79" i="28"/>
  <c r="N79" i="28"/>
  <c r="M79" i="28"/>
  <c r="L79" i="28"/>
  <c r="O64" i="28"/>
  <c r="N64" i="28"/>
  <c r="M64" i="28"/>
  <c r="L64" i="28"/>
  <c r="O49" i="28"/>
  <c r="N49" i="28"/>
  <c r="M49" i="28"/>
  <c r="L49" i="28"/>
  <c r="O34" i="28"/>
  <c r="N34" i="28"/>
  <c r="M34" i="28"/>
  <c r="L34" i="28"/>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D18" i="24" s="1"/>
  <c r="N19" i="27"/>
  <c r="E18" i="24" s="1"/>
  <c r="M19" i="27"/>
  <c r="D19" i="24" s="1"/>
  <c r="L19" i="27"/>
  <c r="E19" i="24" s="1"/>
  <c r="A6" i="27"/>
  <c r="J66" i="27" s="1"/>
  <c r="O79" i="26"/>
  <c r="N79" i="26"/>
  <c r="M79" i="26"/>
  <c r="L79" i="26"/>
  <c r="O64" i="26"/>
  <c r="N64" i="26"/>
  <c r="M64" i="26"/>
  <c r="L64" i="26"/>
  <c r="O49" i="26"/>
  <c r="N49" i="26"/>
  <c r="M49" i="26"/>
  <c r="L49" i="26"/>
  <c r="O34" i="26"/>
  <c r="N34" i="26"/>
  <c r="M34" i="26"/>
  <c r="L34" i="26"/>
  <c r="O19" i="26"/>
  <c r="D14" i="24" s="1"/>
  <c r="N19" i="26"/>
  <c r="E14" i="24" s="1"/>
  <c r="M19" i="26"/>
  <c r="D15" i="24" s="1"/>
  <c r="L19" i="26"/>
  <c r="E15" i="24" s="1"/>
  <c r="A6" i="26"/>
  <c r="J66" i="26" s="1"/>
  <c r="O79" i="25"/>
  <c r="N79" i="25"/>
  <c r="M79" i="25"/>
  <c r="L79" i="25"/>
  <c r="O64" i="25"/>
  <c r="N64" i="25"/>
  <c r="M64" i="25"/>
  <c r="L64" i="25"/>
  <c r="O49" i="25"/>
  <c r="N49" i="25"/>
  <c r="M49" i="25"/>
  <c r="L49" i="25"/>
  <c r="O34" i="25"/>
  <c r="N34" i="25"/>
  <c r="M34" i="25"/>
  <c r="L34" i="25"/>
  <c r="O19" i="25"/>
  <c r="D22" i="24" s="1"/>
  <c r="N19" i="25"/>
  <c r="E22" i="24" s="1"/>
  <c r="M19" i="25"/>
  <c r="D23" i="24" s="1"/>
  <c r="L19" i="25"/>
  <c r="E23" i="24" s="1"/>
  <c r="A6" i="25"/>
  <c r="J66" i="25" s="1"/>
  <c r="O79" i="13"/>
  <c r="N79" i="13"/>
  <c r="M79" i="13"/>
  <c r="L79" i="13"/>
  <c r="O64" i="13"/>
  <c r="N64" i="13"/>
  <c r="M64" i="13"/>
  <c r="L64" i="13"/>
  <c r="O49" i="13"/>
  <c r="N49" i="13"/>
  <c r="M49" i="13"/>
  <c r="L49" i="13"/>
  <c r="O34" i="13"/>
  <c r="N34" i="13"/>
  <c r="M34" i="13"/>
  <c r="L34" i="13"/>
  <c r="O19" i="13"/>
  <c r="D20" i="24" s="1"/>
  <c r="N19" i="13"/>
  <c r="E20" i="24" s="1"/>
  <c r="M19" i="13"/>
  <c r="D21" i="24" s="1"/>
  <c r="L19" i="13"/>
  <c r="E21" i="24" s="1"/>
  <c r="A6" i="13"/>
  <c r="J66" i="13" s="1"/>
  <c r="B7" i="32" l="1"/>
  <c r="I22" i="7"/>
  <c r="I21" i="7"/>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E23" i="7"/>
  <c r="G15" i="7"/>
  <c r="B4" i="7"/>
  <c r="A3" i="7"/>
  <c r="A1" i="7"/>
  <c r="A8" i="7" s="1"/>
  <c r="H65" i="6"/>
  <c r="H63" i="6"/>
  <c r="B53" i="6"/>
  <c r="G50" i="6"/>
  <c r="G49" i="6"/>
  <c r="G48" i="6"/>
  <c r="D13" i="8" s="1"/>
  <c r="G47" i="6"/>
  <c r="H47" i="6" s="1"/>
  <c r="G46" i="6"/>
  <c r="G44" i="6"/>
  <c r="H44" i="6" s="1"/>
  <c r="G43" i="6"/>
  <c r="G42" i="6"/>
  <c r="G39" i="6"/>
  <c r="G38" i="6"/>
  <c r="G37" i="6"/>
  <c r="G36" i="6"/>
  <c r="G35" i="6"/>
  <c r="G34" i="6"/>
  <c r="G30" i="6"/>
  <c r="G29" i="6"/>
  <c r="H29" i="6" s="1"/>
  <c r="G27" i="6"/>
  <c r="G26" i="6"/>
  <c r="H26" i="6" s="1"/>
  <c r="G25" i="6"/>
  <c r="B8" i="32" s="1"/>
  <c r="G24" i="6"/>
  <c r="H24" i="6" s="1"/>
  <c r="G20" i="6"/>
  <c r="G15" i="6"/>
  <c r="H15" i="6" s="1"/>
  <c r="G14" i="6"/>
  <c r="G12" i="6"/>
  <c r="G11" i="6"/>
  <c r="G10" i="6"/>
  <c r="G9" i="6"/>
  <c r="G8" i="6"/>
  <c r="H38" i="6" l="1"/>
  <c r="G19" i="7"/>
  <c r="I19" i="7" s="1"/>
  <c r="H42" i="6"/>
  <c r="E33" i="7"/>
  <c r="H43" i="6"/>
  <c r="E34" i="7"/>
  <c r="H34" i="7" s="1"/>
  <c r="H46" i="6"/>
  <c r="E36" i="7"/>
  <c r="H48" i="6"/>
  <c r="H37" i="6"/>
  <c r="G18" i="7"/>
  <c r="I18" i="7" s="1"/>
  <c r="H39" i="6"/>
  <c r="G20" i="7"/>
  <c r="H36" i="6"/>
  <c r="E13" i="7"/>
  <c r="I13" i="7" s="1"/>
  <c r="H35" i="6"/>
  <c r="E12" i="7"/>
  <c r="I12" i="7" s="1"/>
  <c r="H34" i="6"/>
  <c r="E11" i="7"/>
  <c r="D11" i="8"/>
  <c r="H27" i="6"/>
  <c r="D14" i="8"/>
  <c r="H30" i="6"/>
  <c r="D12" i="8"/>
  <c r="H25" i="6"/>
  <c r="H33" i="7"/>
  <c r="H35" i="7"/>
  <c r="E37" i="7"/>
  <c r="H37" i="7" s="1"/>
  <c r="H36" i="7"/>
  <c r="G18" i="6"/>
  <c r="H21" i="6" s="1"/>
  <c r="G28" i="6"/>
  <c r="D10" i="8"/>
  <c r="G10" i="8"/>
  <c r="A31" i="7"/>
  <c r="A43" i="7" s="1"/>
  <c r="H12" i="6" l="1"/>
  <c r="H20" i="6"/>
  <c r="I20" i="7"/>
  <c r="G23" i="7"/>
  <c r="I11" i="7"/>
  <c r="E15" i="7"/>
  <c r="H8" i="6"/>
  <c r="H19" i="6"/>
  <c r="H10" i="6"/>
  <c r="G11" i="8"/>
  <c r="G12" i="8"/>
  <c r="H14" i="6"/>
  <c r="G14" i="8"/>
  <c r="H11" i="6"/>
  <c r="H9" i="6"/>
  <c r="I23" i="7" l="1"/>
  <c r="G24" i="7"/>
  <c r="I15" i="7"/>
  <c r="E24" i="7"/>
  <c r="I24" i="7" l="1"/>
</calcChain>
</file>

<file path=xl/sharedStrings.xml><?xml version="1.0" encoding="utf-8"?>
<sst xmlns="http://schemas.openxmlformats.org/spreadsheetml/2006/main" count="1784" uniqueCount="449">
  <si>
    <t>Version 22.3  30/11/22</t>
  </si>
  <si>
    <t>Notes:</t>
  </si>
  <si>
    <t>This template may require adjustments by individual operators to meet specific reporting requirements as defined in the site Permit(s)</t>
  </si>
  <si>
    <t>Annual Performance Report 2022</t>
  </si>
  <si>
    <t>Permit EPR/NP3101SV</t>
  </si>
  <si>
    <t>Ince Bio Power</t>
  </si>
  <si>
    <t>other name of facility (if applicable)</t>
  </si>
  <si>
    <t>Bioenergy Infrastructure Services Limited</t>
  </si>
  <si>
    <t>Year:</t>
  </si>
  <si>
    <t>Address:</t>
  </si>
  <si>
    <t>Plot 9, Protos, Ince, Cheshire CH2 4LB</t>
  </si>
  <si>
    <t xml:space="preserve">Tel: </t>
  </si>
  <si>
    <t>0151 440 2007</t>
  </si>
  <si>
    <t xml:space="preserve">Email: </t>
  </si>
  <si>
    <t>stacey.wright@bioenergyinfrastructure.com</t>
  </si>
  <si>
    <t>Prepared by:</t>
  </si>
  <si>
    <t>Anna Whitelegg</t>
  </si>
  <si>
    <t>Position:</t>
  </si>
  <si>
    <t>Environmental and Regulatory Compliance Manager</t>
  </si>
  <si>
    <t>Approved by:</t>
  </si>
  <si>
    <t>Steve Comyns</t>
  </si>
  <si>
    <t>Operations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</si>
  <si>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</si>
  <si>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</si>
  <si>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</si>
  <si>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</si>
  <si>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</si>
  <si>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</si>
  <si>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</si>
  <si>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</si>
  <si>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</si>
  <si>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</si>
  <si>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</si>
  <si>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</si>
  <si>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</si>
  <si>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</si>
  <si>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</si>
  <si>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</si>
  <si>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</si>
  <si>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</si>
  <si>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</si>
  <si>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</si>
  <si>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</si>
  <si>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</si>
  <si>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</si>
  <si>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</si>
  <si>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</si>
  <si>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</si>
  <si>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</si>
  <si>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</si>
  <si>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</si>
  <si>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</si>
  <si>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</si>
  <si>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</si>
  <si>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</si>
  <si>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</si>
  <si>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</si>
  <si>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</si>
  <si>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</si>
  <si>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biomass plant can process 176,500 tonnes of waste wood per annum. The timber feed material has been prepared and shredded offsite and delivered in the pre-prepared form. The fuel is loaded onto a push floor system will load the feedstock onto a conveyor. Screening takes place by removal of ferrous metals and fines, utilising a magnetic separator screen prior to being transported to the gasifier units.
The waste wood is feed from a hopper through a screw auger into the fluidised bed gasifier operating at sub-stoichiometric combustion conditions. Recirculated flue gas is recycled into the gasifier in order to maintain the required fluidisation gas flow and to minimise the production of oxides of nitrogen. Limestone is added to the gasifier to absorb acid gases.
The syngas produced in the gasifier is combusted in the chamber in the gasifier at a minimum temperature of 850oC and a minimum residence time of two seconds. The combustion chamber is preheated with gas oil burners prior to the ignition of the waste wood. Combustion air is added at multiple stages and urea is introduced into the combustion chamber to minimise the production of oxides of nitrogen by means of Selective Non-Catalytic Reduction (SNCR).
The hot gas from the combustion chamber passes through a heat recovery boiler where the steam is produced, followed by a multicyclone where particulate matter is removed from the hot gas stream.
Following combustion, hot gases are transported to a single boiler and steam turbine allowing the production of electricity at a rate of 24.69 MWe (gross) for the national grid (and local industrial users). Further heat is recovered in an economiser where the boiler feed water is pre-heated.
The hot gas is cooled by means of water sprays in a reaction chamber where lime is added to absorb acid gas and activated carbon is added to absorb dioxins, furans and metals.
Further particulate matter, including lime and activated carbon, is removed from the gas stream in a bag filter before the cleaned gas is exhausted through an 85metre stack.
Some of the flue gas from the bag filter is recycled to the gasifier.
The process creates gasification ash and air pollution control residues that are collected and removed offsite for suitable treatment or disposal.
The steam from the boiler is fed to a turbine which is used to rotate the electrical generator. The exhaust steam from the turbine is condensed in air cooled condensers and the condensate returned to the boiler.
The process will generate gasification ash and air pollution control (APC) residues. These will be collected and taken off site for appropriate disposal.</t>
  </si>
  <si>
    <t xml:space="preserve">Include summary of plant design, design capacity, no. of combustion lines, electrical and heat capacity and any other general information that descibes the facility, its location and purpose </t>
  </si>
  <si>
    <t>Summary of Operational Processes and Procedures</t>
  </si>
  <si>
    <t>add text here, 
(alt enter to make new para)</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</si>
  <si>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</si>
  <si>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</si>
  <si>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</si>
  <si>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</si>
  <si>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</si>
  <si>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</si>
  <si>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</si>
  <si>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</si>
  <si>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</si>
  <si>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</si>
  <si>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</si>
  <si>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</si>
  <si>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</si>
  <si>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</si>
  <si>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</si>
  <si>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</si>
  <si>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</si>
  <si>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</si>
  <si>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</si>
  <si>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</si>
  <si>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</si>
  <si>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</si>
  <si>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</si>
  <si>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</si>
  <si>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</si>
  <si>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</si>
  <si>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</si>
  <si>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</si>
  <si>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</si>
  <si>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</si>
  <si>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</si>
  <si>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</si>
  <si>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</si>
  <si>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</si>
  <si>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</si>
  <si>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</si>
  <si>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</si>
  <si>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</si>
  <si>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</si>
  <si>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</si>
  <si>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</si>
  <si>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</si>
  <si>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</si>
  <si>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</si>
  <si>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</si>
  <si>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</si>
  <si>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Tramp - produced</t>
  </si>
  <si>
    <t>Non-APCr - produced</t>
  </si>
  <si>
    <t>General waste</t>
  </si>
  <si>
    <t>Ferrous metal</t>
  </si>
  <si>
    <t>Oversize wood</t>
  </si>
  <si>
    <t>Raw Material Usage</t>
  </si>
  <si>
    <t>kg or Ltr /te</t>
  </si>
  <si>
    <t>Mains Water</t>
  </si>
  <si>
    <t>ltrs</t>
  </si>
  <si>
    <t>Other Water</t>
  </si>
  <si>
    <t>Ammonia</t>
  </si>
  <si>
    <t>kgs</t>
  </si>
  <si>
    <t>Urea</t>
  </si>
  <si>
    <t>Activated Carbon</t>
  </si>
  <si>
    <t>Lime / hydrated lime</t>
  </si>
  <si>
    <t>Fuel oil</t>
  </si>
  <si>
    <t>Gas</t>
  </si>
  <si>
    <t>cf</t>
  </si>
  <si>
    <t>Other</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</si>
  <si>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</si>
  <si>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</si>
  <si>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</si>
  <si>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</si>
  <si>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</si>
  <si>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</si>
  <si>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</si>
  <si>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</si>
  <si>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</si>
  <si>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</si>
  <si>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</si>
  <si>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</si>
  <si>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</si>
  <si>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</si>
  <si>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</si>
  <si>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</si>
  <si>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</si>
  <si>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</si>
  <si>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r>
      <rPr>
        <b/>
        <sz val="10"/>
        <color theme="1"/>
        <rFont val="Arial"/>
        <family val="2"/>
      </rPr>
      <t>Overfire Flue Gas Recirculation (OFGR)</t>
    </r>
    <r>
      <rPr>
        <sz val="10"/>
        <color theme="1"/>
        <rFont val="Arial"/>
        <family val="2"/>
      </rPr>
      <t xml:space="preserve">
Ince Biopower has been constrained to running campaigns of up to 36 days due to the formation in 
slag on the ledges of the Gasifier. The slag builds up to a level which is no longer self-supporting and 
falls into the fluidised bed. Once in the bed, fluidisation is no longer sufficient to maintain 
gasification and has to be taken offline for cleaning and bed replacement.
Slag formation occurs when ash particles with an ash melting temperature of 1,200⁰C pass through 
the excessively high temperature combustion zone (&gt;1,400⁰C). This excessive temperature causes 
the particles to become sticky and band to any surface they come into contact with. 
In order to reduce the peak flame temperatures, but maintain the bulk gas temperature, RJM 
International were commissioned to design, model and install a system that would recirculate flue 
gas from the stack and reintroduce it into the three OFA levels of the Gasifier.
Following installation of the OFGR in late 2021 there has been significant in the formation of access which has led to prolongeg running periods.                                                                                                                                                                                                                                                                                                                                                                                           
</t>
    </r>
    <r>
      <rPr>
        <b/>
        <sz val="10"/>
        <color theme="1"/>
        <rFont val="Arial"/>
        <family val="2"/>
      </rPr>
      <t xml:space="preserve">
Second attemperator </t>
    </r>
    <r>
      <rPr>
        <sz val="10"/>
        <color theme="1"/>
        <rFont val="Arial"/>
        <family val="2"/>
      </rPr>
      <t xml:space="preserve">
Following historical issues with high steam temperatures resulting in numerous plant trips and 
underutilisation, Uniper were commissioned to design a second Attemperator system. The system 
was installed by Fortress Energy and is located in the superheated steam pipework between 
Superheater No2 and Superheater No3. It is designed to spray a controlled amount of Feed water 
into an expansion/ evaporation loop, resulting in a reduced steam temperature. The existing 
Attemperator has remained in place and when the temperature can no longer be controlled, the 
second Attemperator will automatically activate and reduce the superheated steam temperature.
Availability has improved in line with steam temperature control improvements detailed above.
</t>
    </r>
  </si>
  <si>
    <t xml:space="preserve">Include summary of key operational and/or mainteanance activity undertaken in the year, such as any major component upgrades and/or replacements </t>
  </si>
  <si>
    <t>Summary of Residue Handling for the reporting year</t>
  </si>
  <si>
    <r>
      <t xml:space="preserve">The process creates gasification ash and air pollution control residues that are collected and removed offsite for suitable treatment or disposal.
The steam from the boiler is fed to a turbine which is used to rotate the electrical generator. The exhaust steam from the turbine is condensed in air cooled condensers and the condensate returned to the boiler.
The process will generate gasification ash and air pollution control (APC) residues. These will be collected and taken off site for appropriate disposal.                                                                                                                                                                                                                                                                 </t>
    </r>
    <r>
      <rPr>
        <b/>
        <sz val="10"/>
        <color theme="1"/>
        <rFont val="Arial"/>
        <family val="2"/>
      </rPr>
      <t>Disposal or recovery route for IBA - TRAMP - FLY ASH                                                                                     Augean, Port Clarence Landfill Site, Off Huntsmann drive. Midlesbourough, TS2 1UE                                                                                                                       Whitemoss Landfill Limited, Whitemoss road south, Skelmersdale, Lancashire, W8N 9TH                                                                                                              Augean plc, East Northants Resource Management Facility, Stamford Road, Kings Cliff, NR Peterbourough PE86XX                                                                                                                                                                  Disposal or recovery route for APCR                                                                                                                                                     Augean, Port Clarence Landfill Site, Off Huntsmann drive. Midlesbourough, TS2 1UE</t>
    </r>
  </si>
  <si>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</si>
  <si>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</si>
  <si>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</si>
  <si>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</si>
  <si>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</si>
  <si>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</si>
  <si>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</si>
  <si>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January</t>
  </si>
  <si>
    <t>to:</t>
  </si>
  <si>
    <t>December</t>
  </si>
  <si>
    <t>Annual Reporting of Waste Disposal and Recovery</t>
  </si>
  <si>
    <t>Waste Description</t>
  </si>
  <si>
    <t>Disposal Route(s)</t>
  </si>
  <si>
    <t>Disposal Tonnes</t>
  </si>
  <si>
    <t>Recovery Tonnes</t>
  </si>
  <si>
    <t>% / tonne of waste incinerated</t>
  </si>
  <si>
    <t>1) Hazardous Wastes</t>
  </si>
  <si>
    <t>APC Residues</t>
  </si>
  <si>
    <t>Middlesborough</t>
  </si>
  <si>
    <t>IBA / Tramp</t>
  </si>
  <si>
    <t>Non-APCr</t>
  </si>
  <si>
    <t>Total Hazardous Waste</t>
  </si>
  <si>
    <t>2) Non-Hazardous Wastes</t>
  </si>
  <si>
    <t>Cheshire / Middlesborough</t>
  </si>
  <si>
    <t>Ferrous Metal</t>
  </si>
  <si>
    <t>Cheshire</t>
  </si>
  <si>
    <t>Process water</t>
  </si>
  <si>
    <t>Manchester / Cheshire</t>
  </si>
  <si>
    <t>Septic tank sludge</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</si>
  <si>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</si>
  <si>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</si>
  <si>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</si>
  <si>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</si>
  <si>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</si>
  <si>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</si>
  <si>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</si>
  <si>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</si>
  <si>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</si>
  <si>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</si>
  <si>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</si>
  <si>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</si>
  <si>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</si>
  <si>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</si>
  <si>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</si>
  <si>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</si>
  <si>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</si>
  <si>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</si>
  <si>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</si>
  <si>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</si>
  <si>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</si>
  <si>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</si>
  <si>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</si>
  <si>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</si>
  <si>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</si>
  <si>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</si>
  <si>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</si>
  <si>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</si>
  <si>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</si>
  <si>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</si>
  <si>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</si>
  <si>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</si>
  <si>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</si>
  <si>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</si>
  <si>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</si>
  <si>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</si>
  <si>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</si>
  <si>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</si>
  <si>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</si>
  <si>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</si>
  <si>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</si>
  <si>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</si>
  <si>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</si>
  <si>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</si>
  <si>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</si>
  <si>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</si>
  <si>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</si>
  <si>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</si>
  <si>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</si>
  <si>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</si>
  <si>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</si>
  <si>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</si>
  <si>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</si>
  <si>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</si>
  <si>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xx.xx %</t>
  </si>
  <si>
    <t>Summary of any notifications or non-compliances under the permit</t>
  </si>
  <si>
    <t>Summary of notification or non-compliance [including Line/Reference]</t>
  </si>
  <si>
    <t xml:space="preserve">Reason </t>
  </si>
  <si>
    <t>Measures taken to prevent reoccurrence</t>
  </si>
  <si>
    <t>3 x 1/2 hour average particulate matter exceedances</t>
  </si>
  <si>
    <t>Sudden failure of bag house filter units</t>
  </si>
  <si>
    <t>Change of instrumentation on hoppers and additional air slide supply</t>
  </si>
  <si>
    <t>Issue with the recording of TOC</t>
  </si>
  <si>
    <t>Third party quality assurance</t>
  </si>
  <si>
    <t>Review of procedures and audit of third parties</t>
  </si>
  <si>
    <t>1 x 1/2 hour average particulate matter exceedance - withdrawn following application of QAL2 calibration functions</t>
  </si>
  <si>
    <t>Notice withdrawn</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</si>
  <si>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</si>
  <si>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</si>
  <si>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</si>
  <si>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</si>
  <si>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</si>
  <si>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</si>
  <si>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 xml:space="preserve">Install of OFGR system at Ince has significantly reduced the site usage of Urea. This is a good sign of a reduction of thermal NOx inside the gasifer unit. </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</si>
  <si>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</si>
  <si>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</si>
  <si>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A Permit variation was submitted for a reduction in the vapour space temperature which is still under consideration.</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</si>
  <si>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</si>
  <si>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</si>
  <si>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</si>
  <si>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</si>
  <si>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</si>
  <si>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</si>
  <si>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</si>
  <si>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</si>
  <si>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</si>
  <si>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Tonnes</t>
  </si>
  <si>
    <t>Annual mass of carbon dioxide released per tonne of biomass burned</t>
  </si>
  <si>
    <t>Annual mass of carbon dioxide released per MWh of energy exported</t>
  </si>
  <si>
    <t>Tonnes/MWh</t>
  </si>
  <si>
    <t>Description of how annual carbon dioxide mass emission has been calculated</t>
  </si>
  <si>
    <t>Calculated from CEMS mass balance data</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</si>
  <si>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</si>
  <si>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</si>
  <si>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</si>
  <si>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</si>
  <si>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</si>
  <si>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</si>
  <si>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</si>
  <si>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</si>
  <si>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</si>
  <si>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</si>
  <si>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</si>
  <si>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</si>
  <si>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</si>
  <si>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</si>
  <si>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</si>
  <si>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Wood biomass plant</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</si>
  <si>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</si>
  <si>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</si>
  <si>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</si>
  <si>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</si>
  <si>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</si>
  <si>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</si>
  <si>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</si>
  <si>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</si>
  <si>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</si>
  <si>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</si>
  <si>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</si>
  <si>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&lt;1.0</t>
  </si>
  <si>
    <t>Total Organic Carbon (average %)</t>
  </si>
  <si>
    <t>&lt;3%</t>
  </si>
  <si>
    <t>No. of Assessments Undertaken</t>
  </si>
  <si>
    <t>---</t>
  </si>
  <si>
    <t>No. of Hazardous Results</t>
  </si>
  <si>
    <t>Comments :</t>
  </si>
  <si>
    <t>Emissions to Water / Sewer</t>
  </si>
  <si>
    <t>Monitoring Frequency</t>
  </si>
  <si>
    <t>Target</t>
  </si>
  <si>
    <t>Max.</t>
  </si>
  <si>
    <t>Average</t>
  </si>
  <si>
    <t>Summary of monitoring undertaken, standards used and compliance</t>
  </si>
  <si>
    <t>Testing undertaken by Element between 07/06/2022 and 10/06/2022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</si>
  <si>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</si>
  <si>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</si>
  <si>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</si>
  <si>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</si>
  <si>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</si>
  <si>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</si>
  <si>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t>None</t>
  </si>
  <si>
    <t>&lt;0.76</t>
  </si>
  <si>
    <t>Nitrous oxide</t>
  </si>
  <si>
    <r>
      <t>20 mg/m</t>
    </r>
    <r>
      <rPr>
        <vertAlign val="superscript"/>
        <sz val="10"/>
        <color theme="1"/>
        <rFont val="Arial"/>
        <family val="2"/>
      </rPr>
      <t>3</t>
    </r>
  </si>
  <si>
    <t>Hydrogen fluoride</t>
  </si>
  <si>
    <r>
      <t>3 mg/m</t>
    </r>
    <r>
      <rPr>
        <vertAlign val="superscript"/>
        <sz val="10"/>
        <color theme="1"/>
        <rFont val="Arial"/>
        <family val="2"/>
      </rPr>
      <t>3</t>
    </r>
  </si>
  <si>
    <t>&lt;0.051</t>
  </si>
  <si>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</si>
  <si>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</si>
  <si>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</si>
  <si>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</si>
  <si>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</si>
  <si>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</si>
  <si>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</si>
  <si>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</si>
  <si>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</si>
  <si>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</si>
  <si>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</si>
  <si>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</si>
  <si>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</si>
  <si>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</si>
  <si>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</si>
  <si>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</si>
  <si>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</si>
  <si>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&lt;0.0018</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</si>
  <si>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</si>
  <si>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</si>
  <si>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</si>
  <si>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</si>
  <si>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</si>
  <si>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</si>
  <si>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</si>
  <si>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</si>
  <si>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</si>
  <si>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</si>
  <si>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</si>
  <si>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</si>
  <si>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</si>
  <si>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</si>
  <si>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</si>
  <si>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Testing undertaken by Atesta between 29/12/2022 and 30/12/2022</t>
  </si>
  <si>
    <t>&lt;0.002</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</si>
  <si>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</si>
  <si>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</si>
  <si>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</si>
  <si>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</si>
  <si>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</si>
  <si>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</si>
  <si>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</si>
  <si>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300 mg/m</t>
    </r>
    <r>
      <rPr>
        <vertAlign val="superscript"/>
        <sz val="10"/>
        <color theme="1"/>
        <rFont val="Arial"/>
        <family val="2"/>
      </rPr>
      <t>3</t>
    </r>
    <r>
      <rPr>
        <sz val="10"/>
        <color theme="1"/>
        <rFont val="Arial"/>
        <family val="2"/>
      </rPr>
      <t xml:space="preserve"> </t>
    </r>
  </si>
  <si>
    <t>½ hourly mean</t>
  </si>
  <si>
    <r>
      <t>600 mg/m</t>
    </r>
    <r>
      <rPr>
        <vertAlign val="superscript"/>
        <sz val="10"/>
        <color theme="1"/>
        <rFont val="Arial"/>
        <family val="2"/>
      </rPr>
      <t>3</t>
    </r>
    <r>
      <rPr>
        <sz val="10"/>
        <color theme="1"/>
        <rFont val="Arial"/>
        <family val="2"/>
      </rPr>
      <t xml:space="preserve"> </t>
    </r>
  </si>
  <si>
    <r>
      <t>15 mg/m</t>
    </r>
    <r>
      <rPr>
        <vertAlign val="superscript"/>
        <sz val="10"/>
        <color theme="1"/>
        <rFont val="Arial"/>
        <family val="2"/>
      </rPr>
      <t>3</t>
    </r>
  </si>
  <si>
    <r>
      <t>45 mg/m</t>
    </r>
    <r>
      <rPr>
        <vertAlign val="superscript"/>
        <sz val="10"/>
        <color theme="1"/>
        <rFont val="Arial"/>
        <family val="2"/>
      </rPr>
      <t>3</t>
    </r>
    <r>
      <rPr>
        <sz val="10"/>
        <color theme="1"/>
        <rFont val="Arial"/>
        <family val="2"/>
      </rPr>
      <t xml:space="preserve"> </t>
    </r>
  </si>
  <si>
    <t xml:space="preserve">Total Organic Carbon </t>
  </si>
  <si>
    <r>
      <t>15 mg/m</t>
    </r>
    <r>
      <rPr>
        <vertAlign val="superscript"/>
        <sz val="10"/>
        <color theme="1"/>
        <rFont val="Arial"/>
        <family val="2"/>
      </rPr>
      <t>3</t>
    </r>
    <r>
      <rPr>
        <sz val="10"/>
        <color theme="1"/>
        <rFont val="Arial"/>
        <family val="2"/>
      </rPr>
      <t xml:space="preserve"> </t>
    </r>
  </si>
  <si>
    <r>
      <t>30 mg/m</t>
    </r>
    <r>
      <rPr>
        <vertAlign val="superscript"/>
        <sz val="10"/>
        <color theme="1"/>
        <rFont val="Arial"/>
        <family val="2"/>
      </rPr>
      <t>3</t>
    </r>
    <r>
      <rPr>
        <sz val="10"/>
        <color theme="1"/>
        <rFont val="Arial"/>
        <family val="2"/>
      </rPr>
      <t xml:space="preserve"> </t>
    </r>
  </si>
  <si>
    <t xml:space="preserve">Hydrogen chloride </t>
  </si>
  <si>
    <r>
      <t>90 mg/m</t>
    </r>
    <r>
      <rPr>
        <vertAlign val="superscript"/>
        <sz val="10"/>
        <color theme="1"/>
        <rFont val="Arial"/>
        <family val="2"/>
      </rPr>
      <t>3</t>
    </r>
    <r>
      <rPr>
        <sz val="10"/>
        <color theme="1"/>
        <rFont val="Arial"/>
        <family val="2"/>
      </rPr>
      <t xml:space="preserve"> </t>
    </r>
  </si>
  <si>
    <r>
      <t>75 mg/m</t>
    </r>
    <r>
      <rPr>
        <vertAlign val="superscript"/>
        <sz val="10"/>
        <color theme="1"/>
        <rFont val="Arial"/>
        <family val="2"/>
      </rPr>
      <t>3</t>
    </r>
    <r>
      <rPr>
        <sz val="10"/>
        <color theme="1"/>
        <rFont val="Arial"/>
        <family val="2"/>
      </rPr>
      <t xml:space="preserve"> </t>
    </r>
  </si>
  <si>
    <t xml:space="preserve">Carbon monoxide </t>
  </si>
  <si>
    <t>½ hourly mean *</t>
  </si>
  <si>
    <r>
      <t>150 mg/m</t>
    </r>
    <r>
      <rPr>
        <vertAlign val="superscript"/>
        <sz val="10"/>
        <color theme="1"/>
        <rFont val="Arial"/>
        <family val="2"/>
      </rPr>
      <t>3</t>
    </r>
    <r>
      <rPr>
        <sz val="10"/>
        <color theme="1"/>
        <rFont val="Arial"/>
        <family val="2"/>
      </rPr>
      <t xml:space="preserve"> *</t>
    </r>
  </si>
  <si>
    <t>95%ile 10-min avg *</t>
  </si>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</sst>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8">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11"/>
      <name val="Arial"/>
      <family val="2"/>
    </font>
    <font>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420">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1" fillId="0" borderId="11" xfId="0" applyFont="1" applyBorder="1"/>
    <xf numFmtId="49" fontId="15" fillId="0" borderId="12" xfId="0" applyNumberFormat="1" applyFont="1" applyBorder="1"/>
    <xf numFmtId="14" fontId="1" fillId="2" borderId="2" xfId="0" applyNumberFormat="1" applyFont="1" applyFill="1" applyBorder="1" applyAlignment="1">
      <alignment horizontal="left" vertical="top"/>
    </xf>
    <xf numFmtId="0" fontId="1" fillId="0" borderId="9" xfId="0" applyFont="1" applyBorder="1" applyAlignment="1">
      <alignment vertical="top" wrapText="1"/>
    </xf>
    <xf numFmtId="0" fontId="1" fillId="5" borderId="2" xfId="0" applyFont="1" applyFill="1" applyBorder="1" applyAlignment="1">
      <alignment horizontal="center" vertical="center" wrapText="1"/>
    </xf>
    <xf numFmtId="2" fontId="1" fillId="0" borderId="2" xfId="0" applyNumberFormat="1" applyFont="1" applyBorder="1" applyAlignment="1">
      <alignment horizontal="center" vertical="center" wrapText="1"/>
    </xf>
    <xf numFmtId="2" fontId="6" fillId="5" borderId="2" xfId="0" applyNumberFormat="1" applyFont="1" applyFill="1" applyBorder="1" applyAlignment="1">
      <alignment horizontal="center"/>
    </xf>
    <xf numFmtId="2" fontId="6" fillId="0" borderId="2" xfId="0" applyNumberFormat="1" applyFont="1" applyBorder="1" applyAlignment="1">
      <alignment horizontal="center"/>
    </xf>
    <xf numFmtId="0" fontId="1" fillId="0" borderId="9" xfId="0" applyFont="1" applyBorder="1" applyAlignment="1">
      <alignment vertical="center"/>
    </xf>
    <xf numFmtId="0" fontId="1" fillId="0" borderId="9" xfId="0" applyFont="1" applyBorder="1"/>
    <xf numFmtId="4" fontId="2" fillId="0" borderId="2" xfId="0" applyNumberFormat="1" applyFont="1" applyBorder="1" applyAlignment="1">
      <alignment horizontal="center" vertical="top"/>
    </xf>
    <xf numFmtId="4" fontId="2" fillId="0" borderId="2" xfId="0" applyNumberFormat="1" applyFont="1" applyBorder="1" applyAlignment="1">
      <alignment horizontal="center" vertical="top" wrapText="1"/>
    </xf>
    <xf numFmtId="0" fontId="1" fillId="0" borderId="1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0" xfId="0" applyFont="1"/>
    <xf numFmtId="14" fontId="15" fillId="0" borderId="12" xfId="0" applyNumberFormat="1" applyFont="1" applyBorder="1"/>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1" fillId="3" borderId="2" xfId="0" applyFont="1" applyFill="1" applyBorder="1" applyAlignment="1">
      <alignment horizontal="center" vertical="center" wrapText="1"/>
    </xf>
    <xf numFmtId="0" fontId="2" fillId="2" borderId="0" xfId="0" applyFont="1" applyFill="1" applyAlignment="1">
      <alignment horizontal="center"/>
    </xf>
    <xf numFmtId="0" fontId="8" fillId="2" borderId="0" xfId="0" applyFont="1" applyFill="1" applyAlignment="1">
      <alignment horizontal="center"/>
    </xf>
    <xf numFmtId="0" fontId="35" fillId="2" borderId="0" xfId="3"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5" borderId="6" xfId="0" applyFont="1" applyFill="1" applyBorder="1" applyAlignment="1">
      <alignment horizontal="left" vertical="top" wrapText="1"/>
    </xf>
    <xf numFmtId="0" fontId="1" fillId="5" borderId="7" xfId="0" applyFont="1" applyFill="1" applyBorder="1" applyAlignment="1">
      <alignment horizontal="left" vertical="top" wrapText="1"/>
    </xf>
    <xf numFmtId="0" fontId="1" fillId="5" borderId="8" xfId="0" applyFont="1" applyFill="1" applyBorder="1" applyAlignment="1">
      <alignment horizontal="left" vertical="top" wrapText="1"/>
    </xf>
    <xf numFmtId="0" fontId="1" fillId="5" borderId="9" xfId="0" applyFont="1" applyFill="1" applyBorder="1" applyAlignment="1">
      <alignment horizontal="left" vertical="top" wrapText="1"/>
    </xf>
    <xf numFmtId="0" fontId="1" fillId="5" borderId="0" xfId="0" applyFont="1" applyFill="1" applyAlignment="1">
      <alignment horizontal="left" vertical="top" wrapText="1"/>
    </xf>
    <xf numFmtId="0" fontId="1" fillId="5" borderId="10" xfId="0" applyFont="1" applyFill="1" applyBorder="1" applyAlignment="1">
      <alignment horizontal="left" vertical="top" wrapText="1"/>
    </xf>
    <xf numFmtId="0" fontId="1" fillId="5" borderId="11" xfId="0" applyFont="1" applyFill="1" applyBorder="1" applyAlignment="1">
      <alignment horizontal="left" vertical="top" wrapText="1"/>
    </xf>
    <xf numFmtId="0" fontId="1" fillId="5" borderId="12" xfId="0" applyFont="1" applyFill="1" applyBorder="1" applyAlignment="1">
      <alignment horizontal="left" vertical="top" wrapText="1"/>
    </xf>
    <xf numFmtId="0" fontId="1" fillId="5" borderId="13"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1" fillId="5" borderId="7" xfId="0" applyFont="1" applyFill="1" applyBorder="1" applyAlignment="1">
      <alignment horizontal="left" vertical="top"/>
    </xf>
    <xf numFmtId="0" fontId="1" fillId="5" borderId="8" xfId="0" applyFont="1" applyFill="1" applyBorder="1" applyAlignment="1">
      <alignment horizontal="left" vertical="top"/>
    </xf>
    <xf numFmtId="0" fontId="1" fillId="5" borderId="9" xfId="0" applyFont="1" applyFill="1" applyBorder="1" applyAlignment="1">
      <alignment horizontal="left" vertical="top"/>
    </xf>
    <xf numFmtId="0" fontId="1" fillId="5" borderId="0" xfId="0" applyFont="1" applyFill="1" applyAlignment="1">
      <alignment horizontal="left" vertical="top"/>
    </xf>
    <xf numFmtId="0" fontId="1" fillId="5" borderId="10" xfId="0" applyFont="1" applyFill="1" applyBorder="1" applyAlignment="1">
      <alignment horizontal="left" vertical="top"/>
    </xf>
    <xf numFmtId="0" fontId="1" fillId="5" borderId="11" xfId="0" applyFont="1" applyFill="1" applyBorder="1" applyAlignment="1">
      <alignment horizontal="left" vertical="top"/>
    </xf>
    <xf numFmtId="0" fontId="1" fillId="5" borderId="12" xfId="0" applyFont="1" applyFill="1" applyBorder="1" applyAlignment="1">
      <alignment horizontal="left" vertical="top"/>
    </xf>
    <xf numFmtId="0" fontId="1" fillId="5" borderId="13" xfId="0" applyFont="1" applyFill="1" applyBorder="1" applyAlignment="1">
      <alignment horizontal="left" vertical="top"/>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1" fillId="0" borderId="2" xfId="0" applyFont="1" applyBorder="1" applyAlignment="1">
      <alignment vertical="center" wrapText="1"/>
    </xf>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vertical="top"/>
    </xf>
    <xf numFmtId="0" fontId="1" fillId="2" borderId="2" xfId="0" applyFont="1" applyFill="1" applyBorder="1" applyAlignment="1">
      <alignment horizontal="left" vertical="top" wrapText="1"/>
    </xf>
    <xf numFmtId="0" fontId="6" fillId="7" borderId="3" xfId="0" applyFont="1" applyFill="1" applyBorder="1" applyAlignment="1">
      <alignment horizontal="center"/>
    </xf>
    <xf numFmtId="0" fontId="6" fillId="7" borderId="5" xfId="0" applyFont="1" applyFill="1" applyBorder="1" applyAlignment="1">
      <alignment horizontal="center"/>
    </xf>
    <xf numFmtId="10" fontId="1" fillId="3" borderId="2" xfId="0" applyNumberFormat="1" applyFont="1" applyFill="1" applyBorder="1" applyAlignment="1">
      <alignment horizontal="center" vertic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wrapText="1"/>
    </xf>
    <xf numFmtId="0" fontId="4" fillId="0" borderId="2" xfId="0" applyFont="1" applyBorder="1" applyAlignment="1">
      <alignment vertical="top" wrapText="1"/>
    </xf>
    <xf numFmtId="0" fontId="0" fillId="0" borderId="2" xfId="0" applyBorder="1" applyAlignment="1">
      <alignment vertical="top"/>
    </xf>
    <xf numFmtId="0" fontId="36"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6" fillId="0" borderId="2" xfId="0" applyFont="1" applyBorder="1" applyAlignment="1">
      <alignment vertical="top" wrapText="1"/>
    </xf>
    <xf numFmtId="0" fontId="37"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0" borderId="2" xfId="0" applyFont="1" applyBorder="1" applyAlignment="1">
      <alignment horizontal="center" vertical="center"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11" xfId="0" applyFont="1" applyBorder="1" applyAlignment="1">
      <alignment horizontal="left" vertical="center" wrapText="1"/>
    </xf>
    <xf numFmtId="0" fontId="10" fillId="0" borderId="13"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4" xfId="0" applyFont="1" applyBorder="1" applyAlignment="1">
      <alignment horizontal="center" vertical="center" wrapText="1"/>
    </xf>
    <xf numFmtId="0" fontId="1" fillId="0" borderId="3" xfId="0" applyFont="1" applyBorder="1" applyAlignment="1">
      <alignment horizontal="left" vertical="center" wrapText="1"/>
    </xf>
    <xf numFmtId="0" fontId="1" fillId="0" borderId="5" xfId="0" applyFont="1" applyBorder="1" applyAlignment="1">
      <alignment horizontal="left" vertical="center" wrapText="1"/>
    </xf>
    <xf numFmtId="0" fontId="1" fillId="0" borderId="11" xfId="0" applyFont="1" applyBorder="1" applyAlignment="1">
      <alignment horizontal="left" vertical="center" wrapText="1"/>
    </xf>
    <xf numFmtId="0" fontId="1" fillId="0" borderId="13"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23" fillId="0" borderId="0" xfId="0" applyFont="1" applyAlignment="1">
      <alignment horizontal="left" vertical="top" wrapText="1"/>
    </xf>
    <xf numFmtId="0" fontId="1" fillId="2" borderId="6" xfId="0" applyFont="1" applyFill="1" applyBorder="1" applyAlignment="1">
      <alignment horizontal="left" vertical="top"/>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166" fontId="1" fillId="2" borderId="13"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4" fontId="1" fillId="0" borderId="2" xfId="0" applyNumberFormat="1" applyFont="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left" vertical="top" wrapText="1"/>
    </xf>
    <xf numFmtId="0" fontId="1" fillId="2" borderId="3" xfId="0" applyFont="1" applyFill="1" applyBorder="1" applyAlignment="1">
      <alignment horizontal="left" vertical="top"/>
    </xf>
    <xf numFmtId="0" fontId="1" fillId="2" borderId="2" xfId="0" applyFont="1" applyFill="1" applyBorder="1" applyAlignment="1">
      <alignment horizontal="left"/>
    </xf>
    <xf numFmtId="0" fontId="1" fillId="2" borderId="3" xfId="0" applyFont="1" applyFill="1" applyBorder="1" applyAlignment="1">
      <alignment horizontal="left"/>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2" fillId="0" borderId="0" xfId="0" applyFont="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vertical="center"/>
    </xf>
    <xf numFmtId="0" fontId="1" fillId="0" borderId="2" xfId="0" applyFont="1" applyBorder="1" applyAlignment="1">
      <alignment horizontal="center"/>
    </xf>
    <xf numFmtId="0" fontId="1" fillId="0" borderId="1" xfId="0" applyFont="1" applyBorder="1" applyAlignment="1">
      <alignment horizontal="left" vertical="center" wrapText="1"/>
    </xf>
    <xf numFmtId="0" fontId="1" fillId="0" borderId="14" xfId="0" applyFont="1" applyBorder="1" applyAlignment="1">
      <alignment horizontal="lef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8.3000000000000007</c:v>
                </c:pt>
                <c:pt idx="1">
                  <c:v>8</c:v>
                </c:pt>
                <c:pt idx="2">
                  <c:v>7.8</c:v>
                </c:pt>
                <c:pt idx="3">
                  <c:v>7.9</c:v>
                </c:pt>
                <c:pt idx="4">
                  <c:v>8.4</c:v>
                </c:pt>
                <c:pt idx="5">
                  <c:v>7.9</c:v>
                </c:pt>
                <c:pt idx="6">
                  <c:v>8</c:v>
                </c:pt>
                <c:pt idx="7">
                  <c:v>8</c:v>
                </c:pt>
                <c:pt idx="8">
                  <c:v>7.7</c:v>
                </c:pt>
                <c:pt idx="9">
                  <c:v>0</c:v>
                </c:pt>
                <c:pt idx="10">
                  <c:v>0</c:v>
                </c:pt>
                <c:pt idx="11">
                  <c:v>10.7</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0">
                  <c:v>27.1</c:v>
                </c:pt>
                <c:pt idx="1">
                  <c:v>11.4</c:v>
                </c:pt>
                <c:pt idx="2">
                  <c:v>19.899999999999999</c:v>
                </c:pt>
                <c:pt idx="3">
                  <c:v>11.8</c:v>
                </c:pt>
                <c:pt idx="4">
                  <c:v>10.5</c:v>
                </c:pt>
                <c:pt idx="5">
                  <c:v>11.4</c:v>
                </c:pt>
                <c:pt idx="6">
                  <c:v>19.600000000000001</c:v>
                </c:pt>
                <c:pt idx="7">
                  <c:v>16.7</c:v>
                </c:pt>
                <c:pt idx="8">
                  <c:v>15.1</c:v>
                </c:pt>
                <c:pt idx="9">
                  <c:v>0</c:v>
                </c:pt>
                <c:pt idx="10">
                  <c:v>0</c:v>
                </c:pt>
                <c:pt idx="11">
                  <c:v>23.4</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8.2500000000000018</c:v>
                </c:pt>
                <c:pt idx="1">
                  <c:v>8.0894736842105264</c:v>
                </c:pt>
                <c:pt idx="2">
                  <c:v>7.9107142857142856</c:v>
                </c:pt>
                <c:pt idx="3">
                  <c:v>7.9172413793103456</c:v>
                </c:pt>
                <c:pt idx="4">
                  <c:v>8.379999999999999</c:v>
                </c:pt>
                <c:pt idx="5">
                  <c:v>7.9555555555555557</c:v>
                </c:pt>
                <c:pt idx="6">
                  <c:v>7.9799999999999995</c:v>
                </c:pt>
                <c:pt idx="7">
                  <c:v>7.977419354838708</c:v>
                </c:pt>
                <c:pt idx="8">
                  <c:v>7.7374999999999989</c:v>
                </c:pt>
                <c:pt idx="9">
                  <c:v>0</c:v>
                </c:pt>
                <c:pt idx="10">
                  <c:v>0</c:v>
                </c:pt>
                <c:pt idx="11">
                  <c:v>10.76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0">
                  <c:v>8.8000000000000007</c:v>
                </c:pt>
                <c:pt idx="1">
                  <c:v>8.6</c:v>
                </c:pt>
                <c:pt idx="2">
                  <c:v>8.6999999999999993</c:v>
                </c:pt>
                <c:pt idx="3">
                  <c:v>8.6</c:v>
                </c:pt>
                <c:pt idx="4">
                  <c:v>8.5</c:v>
                </c:pt>
                <c:pt idx="5">
                  <c:v>8.8000000000000007</c:v>
                </c:pt>
                <c:pt idx="6">
                  <c:v>8.5</c:v>
                </c:pt>
                <c:pt idx="7">
                  <c:v>8.1999999999999993</c:v>
                </c:pt>
                <c:pt idx="8">
                  <c:v>8.1999999999999993</c:v>
                </c:pt>
                <c:pt idx="9">
                  <c:v>0</c:v>
                </c:pt>
                <c:pt idx="10">
                  <c:v>0</c:v>
                </c:pt>
                <c:pt idx="11">
                  <c:v>11</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1.4</c:v>
                </c:pt>
                <c:pt idx="1">
                  <c:v>0.9</c:v>
                </c:pt>
                <c:pt idx="2">
                  <c:v>0.4</c:v>
                </c:pt>
                <c:pt idx="3">
                  <c:v>0.4</c:v>
                </c:pt>
                <c:pt idx="4">
                  <c:v>0.3</c:v>
                </c:pt>
                <c:pt idx="5">
                  <c:v>0.2</c:v>
                </c:pt>
                <c:pt idx="6">
                  <c:v>0.5</c:v>
                </c:pt>
                <c:pt idx="7">
                  <c:v>0.4</c:v>
                </c:pt>
                <c:pt idx="8">
                  <c:v>0.3</c:v>
                </c:pt>
                <c:pt idx="9">
                  <c:v>0</c:v>
                </c:pt>
                <c:pt idx="10">
                  <c:v>0</c:v>
                </c:pt>
                <c:pt idx="11">
                  <c:v>1.7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14.5</c:v>
                </c:pt>
                <c:pt idx="1">
                  <c:v>6.9</c:v>
                </c:pt>
                <c:pt idx="2">
                  <c:v>4.9000000000000004</c:v>
                </c:pt>
                <c:pt idx="3">
                  <c:v>4.7</c:v>
                </c:pt>
                <c:pt idx="4">
                  <c:v>1.3</c:v>
                </c:pt>
                <c:pt idx="5">
                  <c:v>2.7</c:v>
                </c:pt>
                <c:pt idx="6">
                  <c:v>10.6</c:v>
                </c:pt>
                <c:pt idx="7">
                  <c:v>2.1</c:v>
                </c:pt>
                <c:pt idx="8">
                  <c:v>2.4</c:v>
                </c:pt>
                <c:pt idx="9">
                  <c:v>0</c:v>
                </c:pt>
                <c:pt idx="10">
                  <c:v>0</c:v>
                </c:pt>
                <c:pt idx="11">
                  <c:v>6.5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1.3863636363636365</c:v>
                </c:pt>
                <c:pt idx="1">
                  <c:v>0.87368421052631584</c:v>
                </c:pt>
                <c:pt idx="2">
                  <c:v>0.34285714285714286</c:v>
                </c:pt>
                <c:pt idx="3">
                  <c:v>0.39655172413793099</c:v>
                </c:pt>
                <c:pt idx="4">
                  <c:v>0.31999999999999995</c:v>
                </c:pt>
                <c:pt idx="5">
                  <c:v>0.22222222222222215</c:v>
                </c:pt>
                <c:pt idx="6">
                  <c:v>0.47</c:v>
                </c:pt>
                <c:pt idx="7">
                  <c:v>0.37419354838709679</c:v>
                </c:pt>
                <c:pt idx="8">
                  <c:v>0.36249999999999999</c:v>
                </c:pt>
                <c:pt idx="9">
                  <c:v>0</c:v>
                </c:pt>
                <c:pt idx="10">
                  <c:v>0</c:v>
                </c:pt>
                <c:pt idx="11">
                  <c:v>1.76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4.4000000000000004</c:v>
                </c:pt>
                <c:pt idx="1">
                  <c:v>1.9</c:v>
                </c:pt>
                <c:pt idx="2">
                  <c:v>1.5</c:v>
                </c:pt>
                <c:pt idx="3">
                  <c:v>1.8</c:v>
                </c:pt>
                <c:pt idx="4">
                  <c:v>0.5</c:v>
                </c:pt>
                <c:pt idx="5">
                  <c:v>0.8</c:v>
                </c:pt>
                <c:pt idx="6">
                  <c:v>1.1000000000000001</c:v>
                </c:pt>
                <c:pt idx="7">
                  <c:v>0.7</c:v>
                </c:pt>
                <c:pt idx="8">
                  <c:v>1.2</c:v>
                </c:pt>
                <c:pt idx="9">
                  <c:v>0</c:v>
                </c:pt>
                <c:pt idx="10">
                  <c:v>0</c:v>
                </c:pt>
                <c:pt idx="11">
                  <c:v>2.2000000000000002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600</c:v>
                </c:pt>
                <c:pt idx="1">
                  <c:v>600</c:v>
                </c:pt>
                <c:pt idx="2">
                  <c:v>600</c:v>
                </c:pt>
                <c:pt idx="3">
                  <c:v>600</c:v>
                </c:pt>
                <c:pt idx="4">
                  <c:v>600</c:v>
                </c:pt>
                <c:pt idx="5">
                  <c:v>600</c:v>
                </c:pt>
                <c:pt idx="6">
                  <c:v>600</c:v>
                </c:pt>
                <c:pt idx="7">
                  <c:v>600</c:v>
                </c:pt>
                <c:pt idx="8">
                  <c:v>600</c:v>
                </c:pt>
                <c:pt idx="9">
                  <c:v>600</c:v>
                </c:pt>
                <c:pt idx="10">
                  <c:v>600</c:v>
                </c:pt>
                <c:pt idx="11">
                  <c:v>600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253.2</c:v>
                </c:pt>
                <c:pt idx="1">
                  <c:v>245.8</c:v>
                </c:pt>
                <c:pt idx="2">
                  <c:v>259.3</c:v>
                </c:pt>
                <c:pt idx="3">
                  <c:v>256.39999999999998</c:v>
                </c:pt>
                <c:pt idx="4">
                  <c:v>254.5</c:v>
                </c:pt>
                <c:pt idx="5">
                  <c:v>254</c:v>
                </c:pt>
                <c:pt idx="6">
                  <c:v>257.39999999999998</c:v>
                </c:pt>
                <c:pt idx="7">
                  <c:v>254.3</c:v>
                </c:pt>
                <c:pt idx="8">
                  <c:v>246.3</c:v>
                </c:pt>
                <c:pt idx="9">
                  <c:v>0</c:v>
                </c:pt>
                <c:pt idx="10">
                  <c:v>0</c:v>
                </c:pt>
                <c:pt idx="11">
                  <c:v>233.3</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0.00</c:formatCode>
                <c:ptCount val="12"/>
                <c:pt idx="0">
                  <c:v>310.3</c:v>
                </c:pt>
                <c:pt idx="1">
                  <c:v>332.5</c:v>
                </c:pt>
                <c:pt idx="2">
                  <c:v>359.1</c:v>
                </c:pt>
                <c:pt idx="3">
                  <c:v>318.60000000000002</c:v>
                </c:pt>
                <c:pt idx="4">
                  <c:v>302.3</c:v>
                </c:pt>
                <c:pt idx="5">
                  <c:v>311</c:v>
                </c:pt>
                <c:pt idx="6">
                  <c:v>292.2</c:v>
                </c:pt>
                <c:pt idx="7">
                  <c:v>287.8</c:v>
                </c:pt>
                <c:pt idx="8">
                  <c:v>295.89999999999998</c:v>
                </c:pt>
                <c:pt idx="9">
                  <c:v>0</c:v>
                </c:pt>
                <c:pt idx="10">
                  <c:v>0</c:v>
                </c:pt>
                <c:pt idx="11">
                  <c:v>322</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253.16818181818181</c:v>
                </c:pt>
                <c:pt idx="1">
                  <c:v>245.98947368421048</c:v>
                </c:pt>
                <c:pt idx="2">
                  <c:v>259.45357142857142</c:v>
                </c:pt>
                <c:pt idx="3">
                  <c:v>256.42758620689654</c:v>
                </c:pt>
                <c:pt idx="4">
                  <c:v>254.51999999999998</c:v>
                </c:pt>
                <c:pt idx="5">
                  <c:v>254.50740740740744</c:v>
                </c:pt>
                <c:pt idx="6">
                  <c:v>257.33999999999997</c:v>
                </c:pt>
                <c:pt idx="7">
                  <c:v>254.20967741935485</c:v>
                </c:pt>
                <c:pt idx="8">
                  <c:v>246.48124999999999</c:v>
                </c:pt>
                <c:pt idx="9">
                  <c:v>0</c:v>
                </c:pt>
                <c:pt idx="10">
                  <c:v>0</c:v>
                </c:pt>
                <c:pt idx="11">
                  <c:v>233.8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0.00</c:formatCode>
                <c:ptCount val="12"/>
                <c:pt idx="0">
                  <c:v>259.89999999999998</c:v>
                </c:pt>
                <c:pt idx="1">
                  <c:v>255.6</c:v>
                </c:pt>
                <c:pt idx="2">
                  <c:v>263.8</c:v>
                </c:pt>
                <c:pt idx="3">
                  <c:v>264.7</c:v>
                </c:pt>
                <c:pt idx="4">
                  <c:v>254.7</c:v>
                </c:pt>
                <c:pt idx="5">
                  <c:v>255.3</c:v>
                </c:pt>
                <c:pt idx="6">
                  <c:v>265</c:v>
                </c:pt>
                <c:pt idx="7">
                  <c:v>255.4</c:v>
                </c:pt>
                <c:pt idx="8">
                  <c:v>255.1</c:v>
                </c:pt>
                <c:pt idx="9">
                  <c:v>0</c:v>
                </c:pt>
                <c:pt idx="10">
                  <c:v>0</c:v>
                </c:pt>
                <c:pt idx="11">
                  <c:v>270.60000000000002</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c:v>
                </c:pt>
                <c:pt idx="1">
                  <c:v>0</c:v>
                </c:pt>
                <c:pt idx="2">
                  <c:v>0</c:v>
                </c:pt>
                <c:pt idx="3">
                  <c:v>0</c:v>
                </c:pt>
                <c:pt idx="4">
                  <c:v>0</c:v>
                </c:pt>
                <c:pt idx="5">
                  <c:v>0</c:v>
                </c:pt>
                <c:pt idx="6">
                  <c:v>0.1</c:v>
                </c:pt>
                <c:pt idx="7">
                  <c:v>0.3</c:v>
                </c:pt>
                <c:pt idx="8">
                  <c:v>0.2</c:v>
                </c:pt>
                <c:pt idx="9">
                  <c:v>0</c:v>
                </c:pt>
                <c:pt idx="10">
                  <c:v>0</c:v>
                </c:pt>
                <c:pt idx="11">
                  <c:v>0.7</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0</c:v>
                </c:pt>
                <c:pt idx="1">
                  <c:v>0</c:v>
                </c:pt>
                <c:pt idx="2">
                  <c:v>0</c:v>
                </c:pt>
                <c:pt idx="3">
                  <c:v>0</c:v>
                </c:pt>
                <c:pt idx="4">
                  <c:v>0</c:v>
                </c:pt>
                <c:pt idx="5">
                  <c:v>0</c:v>
                </c:pt>
                <c:pt idx="6">
                  <c:v>0.6</c:v>
                </c:pt>
                <c:pt idx="7">
                  <c:v>0.7</c:v>
                </c:pt>
                <c:pt idx="8">
                  <c:v>0.3</c:v>
                </c:pt>
                <c:pt idx="9">
                  <c:v>0</c:v>
                </c:pt>
                <c:pt idx="10">
                  <c:v>0</c:v>
                </c:pt>
                <c:pt idx="11">
                  <c:v>2.5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c:v>
                </c:pt>
                <c:pt idx="1">
                  <c:v>0</c:v>
                </c:pt>
                <c:pt idx="2">
                  <c:v>0</c:v>
                </c:pt>
                <c:pt idx="3">
                  <c:v>0</c:v>
                </c:pt>
                <c:pt idx="4">
                  <c:v>0</c:v>
                </c:pt>
                <c:pt idx="5">
                  <c:v>0</c:v>
                </c:pt>
                <c:pt idx="6">
                  <c:v>0.13</c:v>
                </c:pt>
                <c:pt idx="7">
                  <c:v>0.33</c:v>
                </c:pt>
                <c:pt idx="8">
                  <c:v>0.17</c:v>
                </c:pt>
                <c:pt idx="9">
                  <c:v>0</c:v>
                </c:pt>
                <c:pt idx="10">
                  <c:v>0</c:v>
                </c:pt>
                <c:pt idx="11">
                  <c:v>0.7</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0</c:v>
                </c:pt>
                <c:pt idx="1">
                  <c:v>0</c:v>
                </c:pt>
                <c:pt idx="2">
                  <c:v>0</c:v>
                </c:pt>
                <c:pt idx="3">
                  <c:v>0</c:v>
                </c:pt>
                <c:pt idx="4">
                  <c:v>0</c:v>
                </c:pt>
                <c:pt idx="5">
                  <c:v>0</c:v>
                </c:pt>
                <c:pt idx="6">
                  <c:v>0.5</c:v>
                </c:pt>
                <c:pt idx="7">
                  <c:v>0.6</c:v>
                </c:pt>
                <c:pt idx="8">
                  <c:v>0.2</c:v>
                </c:pt>
                <c:pt idx="9">
                  <c:v>0</c:v>
                </c:pt>
                <c:pt idx="10">
                  <c:v>0</c:v>
                </c:pt>
                <c:pt idx="11">
                  <c:v>1.3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45</c:v>
                </c:pt>
                <c:pt idx="1">
                  <c:v>45</c:v>
                </c:pt>
                <c:pt idx="2">
                  <c:v>45</c:v>
                </c:pt>
                <c:pt idx="3">
                  <c:v>45</c:v>
                </c:pt>
                <c:pt idx="4">
                  <c:v>45</c:v>
                </c:pt>
                <c:pt idx="5">
                  <c:v>45</c:v>
                </c:pt>
                <c:pt idx="6">
                  <c:v>45</c:v>
                </c:pt>
                <c:pt idx="7">
                  <c:v>45</c:v>
                </c:pt>
                <c:pt idx="8">
                  <c:v>45</c:v>
                </c:pt>
                <c:pt idx="9">
                  <c:v>45</c:v>
                </c:pt>
                <c:pt idx="10">
                  <c:v>45</c:v>
                </c:pt>
                <c:pt idx="11">
                  <c:v>45</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3</c:v>
                </c:pt>
                <c:pt idx="1">
                  <c:v>0.8</c:v>
                </c:pt>
                <c:pt idx="2">
                  <c:v>1</c:v>
                </c:pt>
                <c:pt idx="3">
                  <c:v>1.3</c:v>
                </c:pt>
                <c:pt idx="4">
                  <c:v>1.8</c:v>
                </c:pt>
                <c:pt idx="5">
                  <c:v>1.8</c:v>
                </c:pt>
                <c:pt idx="6">
                  <c:v>3.5</c:v>
                </c:pt>
                <c:pt idx="7">
                  <c:v>5.7</c:v>
                </c:pt>
                <c:pt idx="8">
                  <c:v>7.5</c:v>
                </c:pt>
                <c:pt idx="9">
                  <c:v>0</c:v>
                </c:pt>
                <c:pt idx="10">
                  <c:v>0</c:v>
                </c:pt>
                <c:pt idx="11">
                  <c:v>3.7</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0.00</c:formatCode>
                <c:ptCount val="12"/>
                <c:pt idx="0">
                  <c:v>69.099999999999994</c:v>
                </c:pt>
                <c:pt idx="1">
                  <c:v>11.4</c:v>
                </c:pt>
                <c:pt idx="2">
                  <c:v>8</c:v>
                </c:pt>
                <c:pt idx="3">
                  <c:v>4.4000000000000004</c:v>
                </c:pt>
                <c:pt idx="4">
                  <c:v>6.4</c:v>
                </c:pt>
                <c:pt idx="5">
                  <c:v>14.4</c:v>
                </c:pt>
                <c:pt idx="6">
                  <c:v>23</c:v>
                </c:pt>
                <c:pt idx="7">
                  <c:v>22.9</c:v>
                </c:pt>
                <c:pt idx="8">
                  <c:v>31.4</c:v>
                </c:pt>
                <c:pt idx="9">
                  <c:v>0</c:v>
                </c:pt>
                <c:pt idx="10">
                  <c:v>0</c:v>
                </c:pt>
                <c:pt idx="11">
                  <c:v>23.1</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2.9954545454545451</c:v>
                </c:pt>
                <c:pt idx="1">
                  <c:v>0.68421052631578971</c:v>
                </c:pt>
                <c:pt idx="2">
                  <c:v>1.0249999999999999</c:v>
                </c:pt>
                <c:pt idx="3">
                  <c:v>1.3482758620689659</c:v>
                </c:pt>
                <c:pt idx="4">
                  <c:v>1.7399999999999998</c:v>
                </c:pt>
                <c:pt idx="5">
                  <c:v>1.7629629629629633</c:v>
                </c:pt>
                <c:pt idx="6">
                  <c:v>3.53</c:v>
                </c:pt>
                <c:pt idx="7">
                  <c:v>5.67741935483871</c:v>
                </c:pt>
                <c:pt idx="8">
                  <c:v>7.3937500000000007</c:v>
                </c:pt>
                <c:pt idx="9">
                  <c:v>0</c:v>
                </c:pt>
                <c:pt idx="10">
                  <c:v>0</c:v>
                </c:pt>
                <c:pt idx="11">
                  <c:v>3.84</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0.00</c:formatCode>
                <c:ptCount val="12"/>
                <c:pt idx="0">
                  <c:v>6.6</c:v>
                </c:pt>
                <c:pt idx="1">
                  <c:v>3.6</c:v>
                </c:pt>
                <c:pt idx="2">
                  <c:v>2.8</c:v>
                </c:pt>
                <c:pt idx="3">
                  <c:v>3.3</c:v>
                </c:pt>
                <c:pt idx="4">
                  <c:v>2.2999999999999998</c:v>
                </c:pt>
                <c:pt idx="5">
                  <c:v>5</c:v>
                </c:pt>
                <c:pt idx="6">
                  <c:v>6.3</c:v>
                </c:pt>
                <c:pt idx="7">
                  <c:v>7.4</c:v>
                </c:pt>
                <c:pt idx="8">
                  <c:v>9.4</c:v>
                </c:pt>
                <c:pt idx="9">
                  <c:v>0</c:v>
                </c:pt>
                <c:pt idx="10">
                  <c:v>0</c:v>
                </c:pt>
                <c:pt idx="11">
                  <c:v>7.8</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0.00</c:formatCode>
                <c:ptCount val="12"/>
                <c:pt idx="0">
                  <c:v>3.5</c:v>
                </c:pt>
                <c:pt idx="1">
                  <c:v>3.9</c:v>
                </c:pt>
                <c:pt idx="2">
                  <c:v>14.6</c:v>
                </c:pt>
                <c:pt idx="3">
                  <c:v>13.6</c:v>
                </c:pt>
                <c:pt idx="4">
                  <c:v>16.600000000000001</c:v>
                </c:pt>
                <c:pt idx="5">
                  <c:v>11.7</c:v>
                </c:pt>
                <c:pt idx="6">
                  <c:v>14.2</c:v>
                </c:pt>
                <c:pt idx="7">
                  <c:v>13.1</c:v>
                </c:pt>
                <c:pt idx="8">
                  <c:v>12.5</c:v>
                </c:pt>
                <c:pt idx="9">
                  <c:v>0</c:v>
                </c:pt>
                <c:pt idx="10">
                  <c:v>0</c:v>
                </c:pt>
                <c:pt idx="11">
                  <c:v>10.199999999999999</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0.00</c:formatCode>
                <c:ptCount val="12"/>
                <c:pt idx="0">
                  <c:v>7</c:v>
                </c:pt>
                <c:pt idx="1">
                  <c:v>6.6</c:v>
                </c:pt>
                <c:pt idx="2">
                  <c:v>24.7</c:v>
                </c:pt>
                <c:pt idx="3">
                  <c:v>22.5</c:v>
                </c:pt>
                <c:pt idx="4">
                  <c:v>20</c:v>
                </c:pt>
                <c:pt idx="5">
                  <c:v>20.6</c:v>
                </c:pt>
                <c:pt idx="6">
                  <c:v>27</c:v>
                </c:pt>
                <c:pt idx="7">
                  <c:v>19.3</c:v>
                </c:pt>
                <c:pt idx="8">
                  <c:v>21.9</c:v>
                </c:pt>
                <c:pt idx="9">
                  <c:v>0</c:v>
                </c:pt>
                <c:pt idx="10">
                  <c:v>0</c:v>
                </c:pt>
                <c:pt idx="11">
                  <c:v>41.6</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0.00</c:formatCode>
                <c:ptCount val="12"/>
                <c:pt idx="0">
                  <c:v>3.4363636363636361</c:v>
                </c:pt>
                <c:pt idx="1">
                  <c:v>3.9473684210526314</c:v>
                </c:pt>
                <c:pt idx="2">
                  <c:v>14.753571428571428</c:v>
                </c:pt>
                <c:pt idx="3">
                  <c:v>13.679310344827584</c:v>
                </c:pt>
                <c:pt idx="4">
                  <c:v>16.54</c:v>
                </c:pt>
                <c:pt idx="5">
                  <c:v>11.796296296296298</c:v>
                </c:pt>
                <c:pt idx="6">
                  <c:v>14.243333333333331</c:v>
                </c:pt>
                <c:pt idx="7">
                  <c:v>13.067741935483875</c:v>
                </c:pt>
                <c:pt idx="8">
                  <c:v>12.625</c:v>
                </c:pt>
                <c:pt idx="9">
                  <c:v>0</c:v>
                </c:pt>
                <c:pt idx="10">
                  <c:v>0</c:v>
                </c:pt>
                <c:pt idx="11">
                  <c:v>10.29</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0.00</c:formatCode>
                <c:ptCount val="12"/>
                <c:pt idx="0">
                  <c:v>5</c:v>
                </c:pt>
                <c:pt idx="1">
                  <c:v>5.6</c:v>
                </c:pt>
                <c:pt idx="2">
                  <c:v>20.2</c:v>
                </c:pt>
                <c:pt idx="3">
                  <c:v>19.2</c:v>
                </c:pt>
                <c:pt idx="4">
                  <c:v>17.899999999999999</c:v>
                </c:pt>
                <c:pt idx="5">
                  <c:v>18.100000000000001</c:v>
                </c:pt>
                <c:pt idx="6">
                  <c:v>20.100000000000001</c:v>
                </c:pt>
                <c:pt idx="7">
                  <c:v>16.3</c:v>
                </c:pt>
                <c:pt idx="8">
                  <c:v>16.100000000000001</c:v>
                </c:pt>
                <c:pt idx="9">
                  <c:v>0</c:v>
                </c:pt>
                <c:pt idx="10">
                  <c:v>0</c:v>
                </c:pt>
                <c:pt idx="11">
                  <c:v>13</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28575</xdr:colOff>
      <xdr:row>1</xdr:row>
      <xdr:rowOff>95250</xdr:rowOff>
    </xdr:from>
    <xdr:to>
      <xdr:col>6</xdr:col>
      <xdr:colOff>457200</xdr:colOff>
      <xdr:row>3</xdr:row>
      <xdr:rowOff>185420</xdr:rowOff>
    </xdr:to>
    <xdr:pic>
      <xdr:nvPicPr>
        <xdr:cNvPr id="4" name="Picture 3" descr="Q:\Logos\RGB\Aurium_Bioenergy_RGB_72DPI.png">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38375" y="285750"/>
          <a:ext cx="2286000" cy="471170"/>
        </a:xfrm>
        <a:prstGeom prst="rect">
          <a:avLst/>
        </a:prstGeom>
        <a:noFill/>
        <a:ln>
          <a:noFill/>
        </a:ln>
      </xdr:spPr>
    </xdr:pic>
    <xdr:clientData/>
  </xdr:twoCellAnchor>
  <xdr:twoCellAnchor editAs="oneCell">
    <xdr:from>
      <xdr:col>1</xdr:col>
      <xdr:colOff>1</xdr:colOff>
      <xdr:row>7</xdr:row>
      <xdr:rowOff>0</xdr:rowOff>
    </xdr:from>
    <xdr:to>
      <xdr:col>9</xdr:col>
      <xdr:colOff>9526</xdr:colOff>
      <xdr:row>24</xdr:row>
      <xdr:rowOff>19050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619126" y="1333500"/>
          <a:ext cx="5314950" cy="3267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acey.wright@bioenergyinfrastructure.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D52" sqref="D52"/>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3"/>
      <c r="C1" s="93"/>
      <c r="D1" s="274"/>
      <c r="E1" s="274"/>
      <c r="F1" s="274"/>
      <c r="G1" s="274"/>
      <c r="H1" s="93"/>
      <c r="I1" s="93"/>
      <c r="J1" s="93"/>
      <c r="K1" s="93"/>
      <c r="L1" s="93"/>
      <c r="M1" s="93"/>
      <c r="N1" s="93"/>
      <c r="O1" s="93"/>
      <c r="P1" s="93"/>
    </row>
    <row r="2" spans="2:16">
      <c r="B2" s="93"/>
      <c r="C2" s="93"/>
      <c r="D2" s="274"/>
      <c r="E2" s="274"/>
      <c r="F2" s="274"/>
      <c r="G2" s="274"/>
      <c r="H2" s="93"/>
      <c r="I2" s="93"/>
      <c r="J2" s="93"/>
      <c r="K2" s="93"/>
      <c r="L2" s="93"/>
      <c r="M2" s="93"/>
      <c r="N2" s="93" t="s">
        <v>0</v>
      </c>
      <c r="O2" s="93"/>
      <c r="P2" s="275"/>
    </row>
    <row r="3" spans="2:16">
      <c r="B3" s="93"/>
      <c r="C3" s="93"/>
      <c r="D3" s="274"/>
      <c r="E3" s="274"/>
      <c r="F3" s="274"/>
      <c r="G3" s="274"/>
      <c r="H3" s="93"/>
      <c r="I3" s="93"/>
      <c r="J3" s="93"/>
      <c r="K3" s="93"/>
      <c r="L3" s="93"/>
      <c r="M3" s="93"/>
      <c r="N3" s="275"/>
      <c r="O3" s="93"/>
      <c r="P3" s="93"/>
    </row>
    <row r="4" spans="2:16">
      <c r="B4" s="93"/>
      <c r="C4" s="93"/>
      <c r="D4" s="274"/>
      <c r="E4" s="274"/>
      <c r="F4" s="274"/>
      <c r="G4" s="274"/>
      <c r="H4" s="93"/>
      <c r="I4" s="93"/>
      <c r="J4" s="93"/>
      <c r="K4" s="93"/>
      <c r="L4" s="93"/>
      <c r="M4" s="93"/>
      <c r="N4" s="93"/>
      <c r="O4" s="93"/>
      <c r="P4" s="93"/>
    </row>
    <row r="5" spans="2:16">
      <c r="B5" s="93"/>
      <c r="C5" s="93"/>
      <c r="D5" s="274"/>
      <c r="E5" s="274"/>
      <c r="F5" s="274"/>
      <c r="G5" s="274"/>
      <c r="H5" s="93"/>
      <c r="I5" s="93"/>
      <c r="J5" s="93"/>
      <c r="K5" s="93"/>
      <c r="L5" s="93"/>
      <c r="M5" s="93"/>
      <c r="N5" s="93"/>
      <c r="O5" s="93"/>
      <c r="P5" s="93"/>
    </row>
    <row r="6" spans="2:16">
      <c r="B6" s="93"/>
      <c r="C6" s="93"/>
      <c r="D6" s="274"/>
      <c r="E6" s="274"/>
      <c r="F6" s="274"/>
      <c r="G6" s="274"/>
      <c r="H6" s="93"/>
      <c r="I6" s="93"/>
      <c r="J6" s="93"/>
      <c r="K6" s="93"/>
      <c r="L6" s="93"/>
      <c r="M6" s="93"/>
      <c r="N6" s="93"/>
      <c r="O6" s="93"/>
      <c r="P6" s="93"/>
    </row>
    <row r="8" spans="2:16" ht="15.75" customHeight="1">
      <c r="B8" s="274"/>
      <c r="C8" s="274"/>
      <c r="D8" s="274"/>
      <c r="E8" s="274"/>
      <c r="F8" s="274"/>
      <c r="G8" s="274"/>
      <c r="H8" s="274"/>
      <c r="I8" s="274"/>
      <c r="J8" s="93"/>
      <c r="K8" s="93"/>
      <c r="L8" s="93"/>
      <c r="M8" s="93"/>
      <c r="N8" s="71"/>
      <c r="O8" s="93"/>
      <c r="P8" s="93"/>
    </row>
    <row r="9" spans="2:16">
      <c r="B9" s="274"/>
      <c r="C9" s="274"/>
      <c r="D9" s="274"/>
      <c r="E9" s="274"/>
      <c r="F9" s="274"/>
      <c r="G9" s="274"/>
      <c r="H9" s="274"/>
      <c r="I9" s="274"/>
      <c r="J9" s="93"/>
      <c r="K9" s="93"/>
      <c r="L9" s="93"/>
      <c r="M9" s="93"/>
      <c r="N9" s="93"/>
      <c r="O9" s="93"/>
      <c r="P9" s="93"/>
    </row>
    <row r="10" spans="2:16">
      <c r="B10" s="274"/>
      <c r="C10" s="274"/>
      <c r="D10" s="274"/>
      <c r="E10" s="274"/>
      <c r="F10" s="274"/>
      <c r="G10" s="274"/>
      <c r="H10" s="274"/>
      <c r="I10" s="274"/>
      <c r="J10" s="93"/>
      <c r="K10" s="93"/>
      <c r="L10" s="93"/>
      <c r="M10" s="93"/>
      <c r="N10" s="93"/>
      <c r="O10" s="93"/>
      <c r="P10" s="93"/>
    </row>
    <row r="11" spans="2:16">
      <c r="B11" s="274"/>
      <c r="C11" s="274"/>
      <c r="D11" s="274"/>
      <c r="E11" s="274"/>
      <c r="F11" s="274"/>
      <c r="G11" s="274"/>
      <c r="H11" s="274"/>
      <c r="I11" s="274"/>
      <c r="J11" s="93"/>
      <c r="K11" s="93"/>
      <c r="L11" s="93"/>
      <c r="M11" s="93"/>
      <c r="N11" s="93"/>
      <c r="O11" s="93"/>
      <c r="P11" s="93"/>
    </row>
    <row r="12" spans="2:16">
      <c r="B12" s="274"/>
      <c r="C12" s="274"/>
      <c r="D12" s="274"/>
      <c r="E12" s="274"/>
      <c r="F12" s="274"/>
      <c r="G12" s="274"/>
      <c r="H12" s="274"/>
      <c r="I12" s="274"/>
      <c r="J12" s="93"/>
      <c r="K12" s="93"/>
      <c r="L12" s="93"/>
      <c r="M12" s="93"/>
      <c r="N12" s="93"/>
      <c r="O12" s="93"/>
      <c r="P12" s="93"/>
    </row>
    <row r="13" spans="2:16">
      <c r="B13" s="274"/>
      <c r="C13" s="274"/>
      <c r="D13" s="274"/>
      <c r="E13" s="274"/>
      <c r="F13" s="274"/>
      <c r="G13" s="274"/>
      <c r="H13" s="274"/>
      <c r="I13" s="274"/>
      <c r="J13" s="93"/>
      <c r="K13" s="93"/>
      <c r="L13" s="93"/>
      <c r="M13" s="93"/>
      <c r="N13" s="75" t="s">
        <v>1</v>
      </c>
      <c r="O13" s="73"/>
      <c r="P13" s="73"/>
    </row>
    <row r="14" spans="2:16" ht="15.6" customHeight="1">
      <c r="B14" s="274"/>
      <c r="C14" s="274"/>
      <c r="D14" s="274"/>
      <c r="E14" s="274"/>
      <c r="F14" s="274"/>
      <c r="G14" s="274"/>
      <c r="H14" s="274"/>
      <c r="I14" s="274"/>
      <c r="J14" s="93"/>
      <c r="K14" s="93"/>
      <c r="L14" s="93"/>
      <c r="M14" s="93"/>
      <c r="N14" s="121" t="s">
        <v>2</v>
      </c>
      <c r="O14" s="121"/>
      <c r="P14" s="121"/>
    </row>
    <row r="15" spans="2:16">
      <c r="B15" s="274"/>
      <c r="C15" s="274"/>
      <c r="D15" s="274"/>
      <c r="E15" s="274"/>
      <c r="F15" s="274"/>
      <c r="G15" s="274"/>
      <c r="H15" s="274"/>
      <c r="I15" s="274"/>
      <c r="J15" s="93"/>
      <c r="K15" s="93"/>
      <c r="L15" s="93"/>
      <c r="M15" s="93"/>
      <c r="N15" s="121"/>
      <c r="O15" s="121"/>
      <c r="P15" s="121"/>
    </row>
    <row r="16" spans="2:16">
      <c r="B16" s="274"/>
      <c r="C16" s="274"/>
      <c r="D16" s="274"/>
      <c r="E16" s="274"/>
      <c r="F16" s="274"/>
      <c r="G16" s="274"/>
      <c r="H16" s="274"/>
      <c r="I16" s="274"/>
      <c r="J16" s="93"/>
      <c r="K16" s="93"/>
      <c r="L16" s="93"/>
      <c r="M16" s="93"/>
      <c r="N16" s="121"/>
      <c r="O16" s="121"/>
      <c r="P16" s="121"/>
    </row>
    <row r="17" spans="2:16">
      <c r="B17" s="274"/>
      <c r="C17" s="274"/>
      <c r="D17" s="274"/>
      <c r="E17" s="274"/>
      <c r="F17" s="274"/>
      <c r="G17" s="274"/>
      <c r="H17" s="274"/>
      <c r="I17" s="274"/>
      <c r="J17" s="93"/>
      <c r="K17" s="93"/>
      <c r="L17" s="93"/>
      <c r="M17" s="93"/>
      <c r="N17" s="121"/>
      <c r="O17" s="121"/>
      <c r="P17" s="121"/>
    </row>
    <row r="18" spans="2:16">
      <c r="B18" s="274"/>
      <c r="C18" s="274"/>
      <c r="D18" s="274"/>
      <c r="E18" s="274"/>
      <c r="F18" s="274"/>
      <c r="G18" s="274"/>
      <c r="H18" s="274"/>
      <c r="I18" s="274"/>
      <c r="J18" s="93"/>
      <c r="K18" s="93"/>
      <c r="L18" s="93"/>
      <c r="M18" s="93"/>
      <c r="N18" s="121"/>
      <c r="O18" s="121"/>
      <c r="P18" s="121"/>
    </row>
    <row r="19" spans="2:16">
      <c r="B19" s="274"/>
      <c r="C19" s="274"/>
      <c r="D19" s="274"/>
      <c r="E19" s="274"/>
      <c r="F19" s="274"/>
      <c r="G19" s="274"/>
      <c r="H19" s="274"/>
      <c r="I19" s="274"/>
      <c r="J19" s="93"/>
      <c r="K19" s="93"/>
      <c r="L19" s="93"/>
      <c r="M19" s="93"/>
      <c r="N19" s="121"/>
      <c r="O19" s="121"/>
      <c r="P19" s="121"/>
    </row>
    <row r="20" spans="2:16">
      <c r="B20" s="274"/>
      <c r="C20" s="274"/>
      <c r="D20" s="274"/>
      <c r="E20" s="274"/>
      <c r="F20" s="274"/>
      <c r="G20" s="274"/>
      <c r="H20" s="274"/>
      <c r="I20" s="274"/>
      <c r="J20" s="93"/>
      <c r="K20" s="93"/>
      <c r="L20" s="93"/>
      <c r="M20" s="93"/>
      <c r="N20" s="93"/>
      <c r="O20" s="93"/>
      <c r="P20" s="93"/>
    </row>
    <row r="21" spans="2:16">
      <c r="B21" s="274"/>
      <c r="C21" s="274"/>
      <c r="D21" s="274"/>
      <c r="E21" s="274"/>
      <c r="F21" s="274"/>
      <c r="G21" s="274"/>
      <c r="H21" s="274"/>
      <c r="I21" s="274"/>
      <c r="J21" s="93"/>
      <c r="K21" s="93"/>
      <c r="L21" s="93"/>
      <c r="M21" s="93"/>
      <c r="N21" s="93"/>
      <c r="O21" s="93"/>
      <c r="P21" s="93"/>
    </row>
    <row r="22" spans="2:16">
      <c r="B22" s="274"/>
      <c r="C22" s="274"/>
      <c r="D22" s="274"/>
      <c r="E22" s="274"/>
      <c r="F22" s="274"/>
      <c r="G22" s="274"/>
      <c r="H22" s="274"/>
      <c r="I22" s="274"/>
      <c r="J22" s="93"/>
      <c r="K22" s="93"/>
      <c r="L22" s="93"/>
      <c r="M22" s="93"/>
      <c r="N22" s="93"/>
      <c r="O22" s="93"/>
      <c r="P22" s="93"/>
    </row>
    <row r="23" spans="2:16">
      <c r="B23" s="274"/>
      <c r="C23" s="274"/>
      <c r="D23" s="274"/>
      <c r="E23" s="274"/>
      <c r="F23" s="274"/>
      <c r="G23" s="274"/>
      <c r="H23" s="274"/>
      <c r="I23" s="274"/>
      <c r="J23" s="93"/>
      <c r="K23" s="93"/>
      <c r="L23" s="93"/>
      <c r="M23" s="93"/>
      <c r="N23" s="93"/>
      <c r="O23" s="93"/>
      <c r="P23" s="93"/>
    </row>
    <row r="24" spans="2:16">
      <c r="B24" s="274"/>
      <c r="C24" s="274"/>
      <c r="D24" s="274"/>
      <c r="E24" s="274"/>
      <c r="F24" s="274"/>
      <c r="G24" s="274"/>
      <c r="H24" s="274"/>
      <c r="I24" s="274"/>
      <c r="J24" s="93"/>
      <c r="K24" s="93"/>
      <c r="L24" s="93"/>
      <c r="M24" s="93"/>
      <c r="N24" s="93"/>
      <c r="O24" s="93"/>
      <c r="P24" s="93"/>
    </row>
    <row r="29" spans="2:16" ht="18">
      <c r="B29" s="119" t="s">
        <v>3</v>
      </c>
      <c r="C29" s="119"/>
      <c r="D29" s="119"/>
      <c r="E29" s="119"/>
      <c r="F29" s="119"/>
      <c r="G29" s="119"/>
      <c r="H29" s="119"/>
      <c r="I29" s="119"/>
      <c r="J29" s="93"/>
      <c r="K29" s="93"/>
      <c r="L29" s="93"/>
      <c r="M29" s="93"/>
      <c r="N29" s="93"/>
      <c r="O29" s="93"/>
      <c r="P29" s="93"/>
    </row>
    <row r="30" spans="2:16" ht="18">
      <c r="B30" s="93"/>
      <c r="C30" s="7"/>
      <c r="D30" s="8"/>
      <c r="E30" s="8"/>
      <c r="F30" s="8"/>
      <c r="G30" s="8"/>
      <c r="H30" s="8"/>
      <c r="I30" s="8"/>
      <c r="J30" s="93"/>
      <c r="K30" s="93"/>
      <c r="L30" s="93"/>
      <c r="M30" s="93"/>
      <c r="N30" s="93"/>
      <c r="O30" s="93"/>
      <c r="P30" s="93"/>
    </row>
    <row r="31" spans="2:16" ht="18">
      <c r="B31" s="119" t="s">
        <v>4</v>
      </c>
      <c r="C31" s="119"/>
      <c r="D31" s="119"/>
      <c r="E31" s="119"/>
      <c r="F31" s="119"/>
      <c r="G31" s="119"/>
      <c r="H31" s="119"/>
      <c r="I31" s="119"/>
      <c r="J31" s="93"/>
      <c r="K31" s="93"/>
      <c r="L31" s="93"/>
      <c r="M31" s="93"/>
      <c r="N31" s="93"/>
      <c r="O31" s="93"/>
      <c r="P31" s="93"/>
    </row>
    <row r="32" spans="2:16" ht="18">
      <c r="B32" s="93"/>
      <c r="C32" s="7"/>
      <c r="D32" s="8"/>
      <c r="E32" s="8"/>
      <c r="F32" s="8"/>
      <c r="G32" s="8"/>
      <c r="H32" s="8"/>
      <c r="I32" s="8"/>
      <c r="J32" s="93"/>
      <c r="K32" s="93"/>
      <c r="L32" s="93"/>
      <c r="M32" s="93"/>
      <c r="N32" s="93"/>
      <c r="O32" s="93"/>
      <c r="P32" s="93"/>
    </row>
    <row r="33" spans="2:11" ht="18">
      <c r="B33" s="119" t="s">
        <v>5</v>
      </c>
      <c r="C33" s="119"/>
      <c r="D33" s="119"/>
      <c r="E33" s="119"/>
      <c r="F33" s="119"/>
      <c r="G33" s="119"/>
      <c r="H33" s="119"/>
      <c r="I33" s="119"/>
      <c r="J33" s="93"/>
      <c r="K33" s="93"/>
    </row>
    <row r="34" spans="2:11" ht="18">
      <c r="B34" s="93"/>
      <c r="C34" s="7"/>
      <c r="D34" s="8"/>
      <c r="E34" s="8"/>
      <c r="F34" s="8"/>
      <c r="G34" s="8"/>
      <c r="H34" s="8"/>
      <c r="I34" s="8"/>
      <c r="J34" s="93"/>
      <c r="K34" s="93"/>
    </row>
    <row r="35" spans="2:11" ht="18">
      <c r="B35" s="119" t="s">
        <v>6</v>
      </c>
      <c r="C35" s="119"/>
      <c r="D35" s="119"/>
      <c r="E35" s="119"/>
      <c r="F35" s="119"/>
      <c r="G35" s="119"/>
      <c r="H35" s="119"/>
      <c r="I35" s="119"/>
      <c r="J35" s="93"/>
      <c r="K35" s="93"/>
    </row>
    <row r="37" spans="2:11" ht="18">
      <c r="B37" s="119" t="s">
        <v>7</v>
      </c>
      <c r="C37" s="119"/>
      <c r="D37" s="119"/>
      <c r="E37" s="119"/>
      <c r="F37" s="119"/>
      <c r="G37" s="119"/>
      <c r="H37" s="119"/>
      <c r="I37" s="119"/>
      <c r="J37" s="93"/>
      <c r="K37" s="93"/>
    </row>
    <row r="39" spans="2:11">
      <c r="B39" s="93" t="s">
        <v>8</v>
      </c>
      <c r="C39" s="276">
        <v>2022</v>
      </c>
      <c r="D39" s="93"/>
      <c r="E39" s="93"/>
      <c r="F39" s="93"/>
      <c r="G39" s="93"/>
      <c r="H39" s="93"/>
      <c r="I39" s="93"/>
      <c r="J39" s="93"/>
      <c r="K39" s="93"/>
    </row>
    <row r="40" spans="2:11" ht="14.25" customHeight="1">
      <c r="B40" s="93"/>
      <c r="C40" s="93"/>
      <c r="D40" s="93"/>
      <c r="E40" s="93"/>
      <c r="F40" s="93"/>
      <c r="G40" s="93"/>
      <c r="H40" s="93"/>
      <c r="I40" s="93"/>
      <c r="J40" s="93"/>
      <c r="K40" s="93"/>
    </row>
    <row r="41" spans="2:11">
      <c r="B41" s="277" t="s">
        <v>9</v>
      </c>
      <c r="C41" s="118" t="s">
        <v>10</v>
      </c>
      <c r="D41" s="118"/>
      <c r="E41" s="118"/>
      <c r="F41" s="118"/>
      <c r="G41" s="118"/>
      <c r="H41" s="118"/>
      <c r="I41" s="118"/>
      <c r="J41" s="93"/>
      <c r="K41" s="93"/>
    </row>
    <row r="42" spans="2:11">
      <c r="B42" s="277"/>
      <c r="C42" s="93"/>
      <c r="D42" s="93"/>
      <c r="E42" s="93"/>
      <c r="F42" s="93"/>
      <c r="G42" s="93"/>
      <c r="H42" s="93"/>
      <c r="I42" s="93"/>
      <c r="J42" s="93"/>
      <c r="K42" s="93"/>
    </row>
    <row r="43" spans="2:11">
      <c r="B43" s="277" t="s">
        <v>11</v>
      </c>
      <c r="C43" s="118" t="s">
        <v>12</v>
      </c>
      <c r="D43" s="118"/>
      <c r="E43" s="118"/>
      <c r="F43" s="93"/>
      <c r="G43" s="93"/>
      <c r="H43" s="93"/>
      <c r="I43" s="93"/>
      <c r="J43" s="93"/>
      <c r="K43" s="93"/>
    </row>
    <row r="44" spans="2:11">
      <c r="B44" s="277"/>
      <c r="C44" s="93"/>
      <c r="D44" s="93"/>
      <c r="E44" s="93"/>
      <c r="F44" s="93"/>
      <c r="G44" s="93"/>
      <c r="H44" s="93"/>
      <c r="I44" s="93"/>
      <c r="J44" s="93"/>
      <c r="K44" s="93"/>
    </row>
    <row r="45" spans="2:11">
      <c r="B45" s="277" t="s">
        <v>13</v>
      </c>
      <c r="C45" s="120" t="s">
        <v>14</v>
      </c>
      <c r="D45" s="118"/>
      <c r="E45" s="118"/>
      <c r="F45" s="93"/>
      <c r="G45" s="93"/>
      <c r="H45" s="93"/>
      <c r="I45" s="93"/>
      <c r="J45" s="93"/>
      <c r="K45" s="93"/>
    </row>
    <row r="46" spans="2:11">
      <c r="B46" s="277"/>
      <c r="C46" s="93"/>
      <c r="D46" s="93"/>
      <c r="E46" s="93"/>
      <c r="F46" s="93"/>
      <c r="G46" s="93"/>
      <c r="H46" s="93"/>
      <c r="I46" s="93"/>
      <c r="J46" s="93"/>
      <c r="K46" s="93"/>
    </row>
    <row r="47" spans="2:11">
      <c r="B47" s="277" t="s">
        <v>15</v>
      </c>
      <c r="C47" s="118" t="s">
        <v>16</v>
      </c>
      <c r="D47" s="118"/>
      <c r="E47" s="93"/>
      <c r="F47" s="93" t="s">
        <v>17</v>
      </c>
      <c r="G47" s="118" t="s">
        <v>18</v>
      </c>
      <c r="H47" s="118"/>
      <c r="I47" s="118"/>
      <c r="J47" s="118"/>
      <c r="K47" s="118"/>
    </row>
    <row r="48" spans="2:11">
      <c r="B48" s="277"/>
      <c r="C48" s="93"/>
      <c r="D48" s="93"/>
      <c r="E48" s="93"/>
      <c r="F48" s="93"/>
      <c r="G48" s="93"/>
      <c r="H48" s="93"/>
      <c r="I48" s="93"/>
      <c r="J48" s="93"/>
      <c r="K48" s="93"/>
    </row>
    <row r="49" spans="2:9">
      <c r="B49" s="277" t="s">
        <v>19</v>
      </c>
      <c r="C49" s="118" t="s">
        <v>20</v>
      </c>
      <c r="D49" s="118"/>
      <c r="E49" s="93"/>
      <c r="F49" s="93" t="s">
        <v>17</v>
      </c>
      <c r="G49" s="118" t="s">
        <v>21</v>
      </c>
      <c r="H49" s="118"/>
      <c r="I49" s="118"/>
    </row>
    <row r="50" spans="2:9">
      <c r="B50" s="277"/>
      <c r="C50" s="93"/>
      <c r="D50" s="93"/>
      <c r="E50" s="93"/>
      <c r="F50" s="93"/>
      <c r="G50" s="93"/>
      <c r="H50" s="93"/>
      <c r="I50" s="93"/>
    </row>
    <row r="51" spans="2:9">
      <c r="B51" s="277" t="s">
        <v>22</v>
      </c>
      <c r="C51" s="276">
        <v>2</v>
      </c>
      <c r="D51" s="93"/>
      <c r="E51" s="93"/>
      <c r="F51" s="93"/>
      <c r="G51" s="93"/>
      <c r="H51" s="93"/>
      <c r="I51" s="93"/>
    </row>
    <row r="52" spans="2:9">
      <c r="B52" s="277"/>
      <c r="C52" s="93"/>
      <c r="D52" s="93"/>
      <c r="E52" s="93"/>
      <c r="F52" s="93"/>
      <c r="G52" s="93"/>
      <c r="H52" s="93"/>
      <c r="I52" s="93"/>
    </row>
    <row r="53" spans="2:9">
      <c r="B53" s="277" t="s">
        <v>23</v>
      </c>
      <c r="C53" s="278">
        <v>44957</v>
      </c>
      <c r="D53" s="118"/>
      <c r="E53" s="93"/>
      <c r="F53" s="93"/>
      <c r="G53" s="93"/>
      <c r="H53" s="93"/>
      <c r="I53" s="9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K47"/>
  </mergeCells>
  <hyperlinks>
    <hyperlink ref="C45" r:id="rId1" xr:uid="{4D7BF1B9-27F7-4E90-BEDC-3EE35BB59ADE}"/>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15" sqref="B15:G15"/>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3" t="str">
        <f>+'Cover Page'!$B$29</f>
        <v>Annual Performance Report 2022</v>
      </c>
      <c r="B1" s="93"/>
      <c r="C1" s="93"/>
      <c r="D1" s="93"/>
      <c r="E1" s="93" t="str">
        <f>+'Cover Page'!$B$33</f>
        <v>Ince Bio Power</v>
      </c>
      <c r="F1" s="93"/>
      <c r="G1" s="93"/>
      <c r="H1" s="93"/>
      <c r="I1" s="93"/>
      <c r="J1" s="93"/>
      <c r="K1" s="93"/>
      <c r="L1" s="93"/>
      <c r="M1" s="93"/>
      <c r="N1" s="93"/>
      <c r="O1" s="93"/>
    </row>
    <row r="3" spans="1:15">
      <c r="A3" s="53" t="s">
        <v>24</v>
      </c>
      <c r="B3" s="279"/>
      <c r="C3" s="279"/>
      <c r="D3" s="279"/>
      <c r="E3" s="279"/>
      <c r="F3" s="279"/>
      <c r="G3" s="279"/>
      <c r="H3" s="280"/>
      <c r="I3" s="93"/>
      <c r="J3" s="93"/>
      <c r="K3" s="75" t="s">
        <v>1</v>
      </c>
      <c r="L3" s="93"/>
      <c r="M3" s="93"/>
      <c r="N3" s="93"/>
      <c r="O3" s="93"/>
    </row>
    <row r="4" spans="1:15">
      <c r="A4" s="5" t="s">
        <v>25</v>
      </c>
      <c r="B4" s="132" t="s">
        <v>26</v>
      </c>
      <c r="C4" s="132"/>
      <c r="D4" s="132"/>
      <c r="E4" s="132"/>
      <c r="F4" s="132"/>
      <c r="G4" s="132"/>
      <c r="H4" s="6" t="s">
        <v>27</v>
      </c>
      <c r="I4" s="93"/>
      <c r="J4" s="93"/>
      <c r="K4" s="73" t="s">
        <v>28</v>
      </c>
      <c r="L4" s="93"/>
      <c r="M4" s="93"/>
      <c r="N4" s="93"/>
      <c r="O4" s="93"/>
    </row>
    <row r="5" spans="1:15" ht="15.6" customHeight="1">
      <c r="A5" s="4"/>
      <c r="B5" s="128" t="s">
        <v>29</v>
      </c>
      <c r="C5" s="128"/>
      <c r="D5" s="128"/>
      <c r="E5" s="128"/>
      <c r="F5" s="128"/>
      <c r="G5" s="128"/>
      <c r="H5" s="4"/>
      <c r="I5" s="93"/>
      <c r="J5" s="93"/>
      <c r="K5" s="121" t="s">
        <v>30</v>
      </c>
      <c r="L5" s="121"/>
      <c r="M5" s="121"/>
      <c r="N5" s="121"/>
      <c r="O5" s="121"/>
    </row>
    <row r="6" spans="1:15">
      <c r="A6" s="4"/>
      <c r="B6" s="128" t="s">
        <v>31</v>
      </c>
      <c r="C6" s="128"/>
      <c r="D6" s="128"/>
      <c r="E6" s="128"/>
      <c r="F6" s="128"/>
      <c r="G6" s="128"/>
      <c r="H6" s="4"/>
      <c r="I6" s="93"/>
      <c r="J6" s="93"/>
      <c r="K6" s="121"/>
      <c r="L6" s="121"/>
      <c r="M6" s="121"/>
      <c r="N6" s="121"/>
      <c r="O6" s="121"/>
    </row>
    <row r="7" spans="1:15" ht="15.75" customHeight="1">
      <c r="A7" s="4"/>
      <c r="B7" s="128" t="s">
        <v>32</v>
      </c>
      <c r="C7" s="128"/>
      <c r="D7" s="128"/>
      <c r="E7" s="128"/>
      <c r="F7" s="128"/>
      <c r="G7" s="128"/>
      <c r="H7" s="4"/>
      <c r="I7" s="93"/>
      <c r="J7" s="93"/>
      <c r="K7" s="121"/>
      <c r="L7" s="121"/>
      <c r="M7" s="121"/>
      <c r="N7" s="121"/>
      <c r="O7" s="121"/>
    </row>
    <row r="8" spans="1:15">
      <c r="A8" s="4"/>
      <c r="B8" s="128" t="s">
        <v>33</v>
      </c>
      <c r="C8" s="128"/>
      <c r="D8" s="128"/>
      <c r="E8" s="128"/>
      <c r="F8" s="128"/>
      <c r="G8" s="128"/>
      <c r="H8" s="4"/>
      <c r="I8" s="93"/>
      <c r="J8" s="93"/>
      <c r="K8" s="121"/>
      <c r="L8" s="121"/>
      <c r="M8" s="121"/>
      <c r="N8" s="121"/>
      <c r="O8" s="121"/>
    </row>
    <row r="9" spans="1:15">
      <c r="A9" s="4"/>
      <c r="B9" s="128" t="s">
        <v>34</v>
      </c>
      <c r="C9" s="128"/>
      <c r="D9" s="128"/>
      <c r="E9" s="128"/>
      <c r="F9" s="128"/>
      <c r="G9" s="128"/>
      <c r="H9" s="4"/>
      <c r="I9" s="93"/>
      <c r="J9" s="93"/>
      <c r="K9" s="93"/>
      <c r="L9" s="93"/>
      <c r="M9" s="93"/>
      <c r="N9" s="93"/>
      <c r="O9" s="93"/>
    </row>
    <row r="10" spans="1:15">
      <c r="A10" s="4"/>
      <c r="B10" s="128" t="s">
        <v>35</v>
      </c>
      <c r="C10" s="128"/>
      <c r="D10" s="128"/>
      <c r="E10" s="128"/>
      <c r="F10" s="128"/>
      <c r="G10" s="128"/>
      <c r="H10" s="4"/>
      <c r="I10" s="93"/>
      <c r="J10" s="93"/>
      <c r="K10" s="93"/>
      <c r="L10" s="93"/>
      <c r="M10" s="93"/>
      <c r="N10" s="93"/>
      <c r="O10" s="93"/>
    </row>
    <row r="11" spans="1:15">
      <c r="A11" s="4"/>
      <c r="B11" s="128" t="s">
        <v>36</v>
      </c>
      <c r="C11" s="128"/>
      <c r="D11" s="128"/>
      <c r="E11" s="128"/>
      <c r="F11" s="128"/>
      <c r="G11" s="128"/>
      <c r="H11" s="4"/>
      <c r="I11" s="93"/>
      <c r="J11" s="93"/>
      <c r="K11" s="93"/>
      <c r="L11" s="93"/>
      <c r="M11" s="93"/>
      <c r="N11" s="93"/>
      <c r="O11" s="93"/>
    </row>
    <row r="12" spans="1:15">
      <c r="A12" s="4"/>
      <c r="B12" s="128" t="s">
        <v>37</v>
      </c>
      <c r="C12" s="128"/>
      <c r="D12" s="128"/>
      <c r="E12" s="128"/>
      <c r="F12" s="128"/>
      <c r="G12" s="128"/>
      <c r="H12" s="4"/>
      <c r="I12" s="93"/>
      <c r="J12" s="93"/>
      <c r="K12" s="93"/>
      <c r="L12" s="93"/>
      <c r="M12" s="93"/>
      <c r="N12" s="93"/>
      <c r="O12" s="93"/>
    </row>
    <row r="13" spans="1:15">
      <c r="A13" s="4"/>
      <c r="B13" s="129" t="s">
        <v>38</v>
      </c>
      <c r="C13" s="130"/>
      <c r="D13" s="130"/>
      <c r="E13" s="130"/>
      <c r="F13" s="130"/>
      <c r="G13" s="131"/>
      <c r="H13" s="4"/>
      <c r="I13" s="93"/>
      <c r="J13" s="93"/>
      <c r="K13" s="93"/>
      <c r="L13" s="93"/>
      <c r="M13" s="93"/>
      <c r="N13" s="93"/>
      <c r="O13" s="93"/>
    </row>
    <row r="14" spans="1:15">
      <c r="A14" s="4"/>
      <c r="B14" s="128" t="s">
        <v>39</v>
      </c>
      <c r="C14" s="128"/>
      <c r="D14" s="128"/>
      <c r="E14" s="128"/>
      <c r="F14" s="128"/>
      <c r="G14" s="128"/>
      <c r="H14" s="4"/>
      <c r="I14" s="93"/>
      <c r="J14" s="93"/>
      <c r="K14" s="93"/>
      <c r="L14" s="93"/>
      <c r="M14" s="93"/>
      <c r="N14" s="93"/>
      <c r="O14" s="93"/>
    </row>
    <row r="15" spans="1:15">
      <c r="A15" s="4"/>
      <c r="B15" s="128" t="s">
        <v>40</v>
      </c>
      <c r="C15" s="128"/>
      <c r="D15" s="128"/>
      <c r="E15" s="128"/>
      <c r="F15" s="128"/>
      <c r="G15" s="128"/>
      <c r="H15" s="4"/>
      <c r="I15" s="93"/>
      <c r="J15" s="93"/>
      <c r="K15" s="93"/>
      <c r="L15" s="93"/>
      <c r="M15" s="93"/>
      <c r="N15" s="93"/>
      <c r="O15" s="93"/>
    </row>
    <row r="16" spans="1:15">
      <c r="A16" s="4"/>
      <c r="B16" s="128" t="s">
        <v>41</v>
      </c>
      <c r="C16" s="128"/>
      <c r="D16" s="128"/>
      <c r="E16" s="128"/>
      <c r="F16" s="128"/>
      <c r="G16" s="128"/>
      <c r="H16" s="4"/>
      <c r="I16" s="93"/>
      <c r="J16" s="93"/>
      <c r="K16" s="93"/>
      <c r="L16" s="93"/>
      <c r="M16" s="93"/>
      <c r="N16" s="93"/>
      <c r="O16" s="93"/>
    </row>
    <row r="17" spans="1:8">
      <c r="A17" s="4"/>
      <c r="B17" s="128" t="s">
        <v>42</v>
      </c>
      <c r="C17" s="128"/>
      <c r="D17" s="128"/>
      <c r="E17" s="128"/>
      <c r="F17" s="128"/>
      <c r="G17" s="128"/>
      <c r="H17" s="4"/>
    </row>
    <row r="18" spans="1:8">
      <c r="A18" s="4"/>
      <c r="B18" s="128" t="s">
        <v>43</v>
      </c>
      <c r="C18" s="128"/>
      <c r="D18" s="128"/>
      <c r="E18" s="128"/>
      <c r="F18" s="128"/>
      <c r="G18" s="128"/>
      <c r="H18" s="4"/>
    </row>
    <row r="19" spans="1:8">
      <c r="A19" s="4"/>
      <c r="B19" s="128" t="s">
        <v>44</v>
      </c>
      <c r="C19" s="128"/>
      <c r="D19" s="128"/>
      <c r="E19" s="128"/>
      <c r="F19" s="128"/>
      <c r="G19" s="128"/>
      <c r="H19" s="4"/>
    </row>
    <row r="20" spans="1:8">
      <c r="A20" s="4"/>
      <c r="B20" s="128" t="s">
        <v>45</v>
      </c>
      <c r="C20" s="128"/>
      <c r="D20" s="128"/>
      <c r="E20" s="128"/>
      <c r="F20" s="128"/>
      <c r="G20" s="128"/>
      <c r="H20" s="4"/>
    </row>
    <row r="21" spans="1:8">
      <c r="A21" s="4"/>
      <c r="B21" s="128" t="s">
        <v>46</v>
      </c>
      <c r="C21" s="128"/>
      <c r="D21" s="128"/>
      <c r="E21" s="128"/>
      <c r="F21" s="128"/>
      <c r="G21" s="128"/>
      <c r="H21" s="4"/>
    </row>
    <row r="22" spans="1:8">
      <c r="A22" s="4"/>
      <c r="B22" s="128" t="s">
        <v>47</v>
      </c>
      <c r="C22" s="128"/>
      <c r="D22" s="128"/>
      <c r="E22" s="128"/>
      <c r="F22" s="128"/>
      <c r="G22" s="128"/>
      <c r="H22" s="4"/>
    </row>
    <row r="23" spans="1:8">
      <c r="A23" s="4"/>
      <c r="B23" s="122" t="s">
        <v>48</v>
      </c>
      <c r="C23" s="123"/>
      <c r="D23" s="123"/>
      <c r="E23" s="123"/>
      <c r="F23" s="123"/>
      <c r="G23" s="124"/>
      <c r="H23" s="4"/>
    </row>
    <row r="24" spans="1:8">
      <c r="A24" s="4"/>
      <c r="B24" s="122" t="s">
        <v>49</v>
      </c>
      <c r="C24" s="123"/>
      <c r="D24" s="123"/>
      <c r="E24" s="123"/>
      <c r="F24" s="123"/>
      <c r="G24" s="124"/>
      <c r="H24" s="4"/>
    </row>
    <row r="25" spans="1:8">
      <c r="A25" s="4"/>
      <c r="B25" s="125"/>
      <c r="C25" s="125"/>
      <c r="D25" s="125"/>
      <c r="E25" s="125"/>
      <c r="F25" s="125"/>
      <c r="G25" s="125"/>
      <c r="H25" s="4"/>
    </row>
    <row r="27" spans="1:8">
      <c r="A27" s="52" t="s">
        <v>50</v>
      </c>
      <c r="B27" s="279"/>
      <c r="C27" s="279"/>
      <c r="D27" s="279"/>
      <c r="E27" s="279"/>
      <c r="F27" s="279"/>
      <c r="G27" s="279"/>
      <c r="H27" s="280"/>
    </row>
    <row r="28" spans="1:8">
      <c r="A28" s="10" t="s">
        <v>25</v>
      </c>
      <c r="B28" s="126" t="s">
        <v>51</v>
      </c>
      <c r="C28" s="126"/>
      <c r="D28" s="126"/>
      <c r="E28" s="126"/>
      <c r="F28" s="126"/>
      <c r="G28" s="126"/>
      <c r="H28" s="11" t="s">
        <v>52</v>
      </c>
    </row>
    <row r="29" spans="1:8">
      <c r="A29" s="281"/>
      <c r="B29" s="282"/>
      <c r="C29" s="282"/>
      <c r="D29" s="282"/>
      <c r="E29" s="282"/>
      <c r="F29" s="282"/>
      <c r="G29" s="282"/>
      <c r="H29" s="281"/>
    </row>
    <row r="30" spans="1:8">
      <c r="A30" s="281"/>
      <c r="B30" s="282"/>
      <c r="C30" s="282"/>
      <c r="D30" s="282"/>
      <c r="E30" s="282"/>
      <c r="F30" s="282"/>
      <c r="G30" s="282"/>
      <c r="H30" s="281"/>
    </row>
    <row r="31" spans="1:8">
      <c r="A31" s="281"/>
      <c r="B31" s="282"/>
      <c r="C31" s="282"/>
      <c r="D31" s="282"/>
      <c r="E31" s="282"/>
      <c r="F31" s="282"/>
      <c r="G31" s="282"/>
      <c r="H31" s="281"/>
    </row>
    <row r="32" spans="1:8">
      <c r="A32" s="281"/>
      <c r="B32" s="282"/>
      <c r="C32" s="282"/>
      <c r="D32" s="282"/>
      <c r="E32" s="282"/>
      <c r="F32" s="282"/>
      <c r="G32" s="282"/>
      <c r="H32" s="281"/>
    </row>
    <row r="33" spans="1:10">
      <c r="A33" s="281"/>
      <c r="B33" s="282"/>
      <c r="C33" s="282"/>
      <c r="D33" s="282"/>
      <c r="E33" s="282"/>
      <c r="F33" s="282"/>
      <c r="G33" s="282"/>
      <c r="H33" s="281"/>
      <c r="I33" s="93"/>
      <c r="J33" s="93"/>
    </row>
    <row r="35" spans="1:10" ht="14.25" customHeight="1">
      <c r="A35" s="52" t="s">
        <v>53</v>
      </c>
      <c r="B35" s="279"/>
      <c r="C35" s="279"/>
      <c r="D35" s="279"/>
      <c r="E35" s="279"/>
      <c r="F35" s="279"/>
      <c r="G35" s="279"/>
      <c r="H35" s="280"/>
      <c r="I35" s="93"/>
      <c r="J35" s="93"/>
    </row>
    <row r="36" spans="1:10">
      <c r="A36" s="13" t="s">
        <v>54</v>
      </c>
      <c r="B36" s="127" t="s">
        <v>55</v>
      </c>
      <c r="C36" s="127"/>
      <c r="D36" s="127"/>
      <c r="E36" s="127"/>
      <c r="F36" s="127"/>
      <c r="G36" s="127"/>
      <c r="H36" s="14" t="s">
        <v>56</v>
      </c>
      <c r="I36" s="93"/>
      <c r="J36" s="93"/>
    </row>
    <row r="37" spans="1:10">
      <c r="A37" s="283"/>
      <c r="B37" s="176"/>
      <c r="C37" s="176"/>
      <c r="D37" s="176"/>
      <c r="E37" s="176"/>
      <c r="F37" s="176"/>
      <c r="G37" s="176"/>
      <c r="H37" s="283"/>
      <c r="I37" s="93"/>
      <c r="J37" s="93"/>
    </row>
    <row r="38" spans="1:10">
      <c r="A38" s="283"/>
      <c r="B38" s="176"/>
      <c r="C38" s="176"/>
      <c r="D38" s="176"/>
      <c r="E38" s="176"/>
      <c r="F38" s="176"/>
      <c r="G38" s="176"/>
      <c r="H38" s="283"/>
      <c r="I38" s="93"/>
      <c r="J38" s="93"/>
    </row>
    <row r="39" spans="1:10">
      <c r="A39" s="283"/>
      <c r="B39" s="176"/>
      <c r="C39" s="176"/>
      <c r="D39" s="176"/>
      <c r="E39" s="176"/>
      <c r="F39" s="176"/>
      <c r="G39" s="176"/>
      <c r="H39" s="283"/>
      <c r="I39" s="93"/>
      <c r="J39" s="93"/>
    </row>
    <row r="40" spans="1:10">
      <c r="A40" s="283"/>
      <c r="B40" s="176"/>
      <c r="C40" s="176"/>
      <c r="D40" s="176"/>
      <c r="E40" s="176"/>
      <c r="F40" s="176"/>
      <c r="G40" s="176"/>
      <c r="H40" s="283"/>
      <c r="I40" s="93"/>
      <c r="J40" s="93"/>
    </row>
    <row r="41" spans="1:10">
      <c r="A41" s="283"/>
      <c r="B41" s="176"/>
      <c r="C41" s="176"/>
      <c r="D41" s="176"/>
      <c r="E41" s="176"/>
      <c r="F41" s="176"/>
      <c r="G41" s="176"/>
      <c r="H41" s="283"/>
      <c r="I41" s="93"/>
      <c r="J41" s="93"/>
    </row>
    <row r="42" spans="1:10">
      <c r="A42" s="283"/>
      <c r="B42" s="176"/>
      <c r="C42" s="176"/>
      <c r="D42" s="176"/>
      <c r="E42" s="176"/>
      <c r="F42" s="176"/>
      <c r="G42" s="176"/>
      <c r="H42" s="283"/>
      <c r="I42" s="93"/>
      <c r="J42" s="93"/>
    </row>
    <row r="43" spans="1:10">
      <c r="A43" s="283"/>
      <c r="B43" s="176"/>
      <c r="C43" s="176"/>
      <c r="D43" s="176"/>
      <c r="E43" s="176"/>
      <c r="F43" s="176"/>
      <c r="G43" s="176"/>
      <c r="H43" s="283"/>
      <c r="I43" s="93"/>
      <c r="J43" s="93"/>
    </row>
    <row r="45" spans="1:10">
      <c r="A45" s="284" t="s">
        <v>57</v>
      </c>
      <c r="B45" s="285"/>
      <c r="C45" s="285"/>
      <c r="D45" s="285"/>
      <c r="E45" s="285"/>
      <c r="F45" s="285"/>
      <c r="G45" s="285"/>
      <c r="H45" s="285"/>
      <c r="I45" s="285"/>
      <c r="J45" s="286"/>
    </row>
    <row r="46" spans="1:10">
      <c r="A46" s="287"/>
      <c r="B46" s="288"/>
      <c r="C46" s="288"/>
      <c r="D46" s="288"/>
      <c r="E46" s="288"/>
      <c r="F46" s="288"/>
      <c r="G46" s="288"/>
      <c r="H46" s="288"/>
      <c r="I46" s="288"/>
      <c r="J46" s="289"/>
    </row>
    <row r="47" spans="1:10">
      <c r="A47" s="287"/>
      <c r="B47" s="288"/>
      <c r="C47" s="288"/>
      <c r="D47" s="288"/>
      <c r="E47" s="288"/>
      <c r="F47" s="288"/>
      <c r="G47" s="288"/>
      <c r="H47" s="288"/>
      <c r="I47" s="288"/>
      <c r="J47" s="289"/>
    </row>
    <row r="48" spans="1:10">
      <c r="A48" s="290"/>
      <c r="B48" s="291"/>
      <c r="C48" s="291"/>
      <c r="D48" s="291"/>
      <c r="E48" s="291"/>
      <c r="F48" s="291"/>
      <c r="G48" s="291"/>
      <c r="H48" s="291"/>
      <c r="I48" s="291"/>
      <c r="J48" s="292"/>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O17" sqref="O17"/>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Ince Bio Power</v>
      </c>
      <c r="F1" s="93"/>
      <c r="G1" s="93"/>
      <c r="H1" s="93"/>
      <c r="I1" s="93"/>
      <c r="J1" s="93"/>
      <c r="K1" s="93"/>
      <c r="L1" s="93"/>
      <c r="M1" s="93"/>
      <c r="N1" s="93"/>
    </row>
    <row r="3" spans="1:14">
      <c r="A3" s="51" t="s">
        <v>58</v>
      </c>
      <c r="B3" s="293"/>
      <c r="C3" s="293"/>
      <c r="D3" s="293"/>
      <c r="E3" s="293"/>
      <c r="F3" s="293"/>
      <c r="G3" s="293"/>
      <c r="H3" s="293"/>
      <c r="I3" s="294"/>
      <c r="J3" s="93"/>
      <c r="K3" s="81" t="s">
        <v>1</v>
      </c>
      <c r="L3" s="93"/>
      <c r="M3" s="93"/>
      <c r="N3" s="93"/>
    </row>
    <row r="4" spans="1:14">
      <c r="A4" s="295"/>
      <c r="B4" s="296"/>
      <c r="C4" s="296"/>
      <c r="D4" s="296"/>
      <c r="E4" s="296"/>
      <c r="F4" s="296"/>
      <c r="G4" s="296"/>
      <c r="H4" s="296"/>
      <c r="I4" s="297"/>
      <c r="J4" s="93"/>
      <c r="K4" s="93"/>
      <c r="L4" s="93"/>
      <c r="M4" s="93"/>
      <c r="N4" s="93"/>
    </row>
    <row r="5" spans="1:14" ht="33.75" customHeight="1">
      <c r="A5" s="133" t="s">
        <v>59</v>
      </c>
      <c r="B5" s="134"/>
      <c r="C5" s="134"/>
      <c r="D5" s="134"/>
      <c r="E5" s="134"/>
      <c r="F5" s="134"/>
      <c r="G5" s="134"/>
      <c r="H5" s="134"/>
      <c r="I5" s="135"/>
      <c r="J5" s="93"/>
      <c r="K5" s="205" t="s">
        <v>60</v>
      </c>
      <c r="L5" s="205"/>
      <c r="M5" s="205"/>
      <c r="N5" s="205"/>
    </row>
    <row r="6" spans="1:14" ht="33.75" customHeight="1">
      <c r="A6" s="136"/>
      <c r="B6" s="137"/>
      <c r="C6" s="137"/>
      <c r="D6" s="137"/>
      <c r="E6" s="137"/>
      <c r="F6" s="137"/>
      <c r="G6" s="137"/>
      <c r="H6" s="137"/>
      <c r="I6" s="138"/>
      <c r="J6" s="93"/>
      <c r="K6" s="205"/>
      <c r="L6" s="205"/>
      <c r="M6" s="205"/>
      <c r="N6" s="205"/>
    </row>
    <row r="7" spans="1:14" ht="33.75" customHeight="1">
      <c r="A7" s="136"/>
      <c r="B7" s="137"/>
      <c r="C7" s="137"/>
      <c r="D7" s="137"/>
      <c r="E7" s="137"/>
      <c r="F7" s="137"/>
      <c r="G7" s="137"/>
      <c r="H7" s="137"/>
      <c r="I7" s="138"/>
      <c r="J7" s="93"/>
      <c r="K7" s="205"/>
      <c r="L7" s="205"/>
      <c r="M7" s="205"/>
      <c r="N7" s="205"/>
    </row>
    <row r="8" spans="1:14" ht="33.75" customHeight="1">
      <c r="A8" s="136"/>
      <c r="B8" s="137"/>
      <c r="C8" s="137"/>
      <c r="D8" s="137"/>
      <c r="E8" s="137"/>
      <c r="F8" s="137"/>
      <c r="G8" s="137"/>
      <c r="H8" s="137"/>
      <c r="I8" s="138"/>
      <c r="J8" s="93"/>
      <c r="K8" s="205"/>
      <c r="L8" s="205"/>
      <c r="M8" s="205"/>
      <c r="N8" s="205"/>
    </row>
    <row r="9" spans="1:14" ht="33.75" customHeight="1">
      <c r="A9" s="136"/>
      <c r="B9" s="137"/>
      <c r="C9" s="137"/>
      <c r="D9" s="137"/>
      <c r="E9" s="137"/>
      <c r="F9" s="137"/>
      <c r="G9" s="137"/>
      <c r="H9" s="137"/>
      <c r="I9" s="138"/>
      <c r="J9" s="93"/>
      <c r="K9" s="205"/>
      <c r="L9" s="205"/>
      <c r="M9" s="205"/>
      <c r="N9" s="205"/>
    </row>
    <row r="10" spans="1:14" ht="33.75" customHeight="1">
      <c r="A10" s="136"/>
      <c r="B10" s="137"/>
      <c r="C10" s="137"/>
      <c r="D10" s="137"/>
      <c r="E10" s="137"/>
      <c r="F10" s="137"/>
      <c r="G10" s="137"/>
      <c r="H10" s="137"/>
      <c r="I10" s="138"/>
      <c r="J10" s="93"/>
      <c r="K10" s="205"/>
      <c r="L10" s="205"/>
      <c r="M10" s="205"/>
      <c r="N10" s="205"/>
    </row>
    <row r="11" spans="1:14" ht="33.75" customHeight="1">
      <c r="A11" s="136"/>
      <c r="B11" s="137"/>
      <c r="C11" s="137"/>
      <c r="D11" s="137"/>
      <c r="E11" s="137"/>
      <c r="F11" s="137"/>
      <c r="G11" s="137"/>
      <c r="H11" s="137"/>
      <c r="I11" s="138"/>
      <c r="J11" s="93"/>
      <c r="K11" s="205"/>
      <c r="L11" s="205"/>
      <c r="M11" s="205"/>
      <c r="N11" s="205"/>
    </row>
    <row r="12" spans="1:14" ht="33.75" customHeight="1">
      <c r="A12" s="136"/>
      <c r="B12" s="137"/>
      <c r="C12" s="137"/>
      <c r="D12" s="137"/>
      <c r="E12" s="137"/>
      <c r="F12" s="137"/>
      <c r="G12" s="137"/>
      <c r="H12" s="137"/>
      <c r="I12" s="138"/>
      <c r="J12" s="93"/>
      <c r="K12" s="205"/>
      <c r="L12" s="205"/>
      <c r="M12" s="205"/>
      <c r="N12" s="205"/>
    </row>
    <row r="13" spans="1:14" ht="33.75" customHeight="1">
      <c r="A13" s="136"/>
      <c r="B13" s="137"/>
      <c r="C13" s="137"/>
      <c r="D13" s="137"/>
      <c r="E13" s="137"/>
      <c r="F13" s="137"/>
      <c r="G13" s="137"/>
      <c r="H13" s="137"/>
      <c r="I13" s="138"/>
      <c r="J13" s="93"/>
      <c r="K13" s="205"/>
      <c r="L13" s="205"/>
      <c r="M13" s="205"/>
      <c r="N13" s="205"/>
    </row>
    <row r="14" spans="1:14" ht="33.75" customHeight="1">
      <c r="A14" s="136"/>
      <c r="B14" s="137"/>
      <c r="C14" s="137"/>
      <c r="D14" s="137"/>
      <c r="E14" s="137"/>
      <c r="F14" s="137"/>
      <c r="G14" s="137"/>
      <c r="H14" s="137"/>
      <c r="I14" s="138"/>
      <c r="J14" s="93"/>
      <c r="K14" s="205"/>
      <c r="L14" s="205"/>
      <c r="M14" s="205"/>
      <c r="N14" s="205"/>
    </row>
    <row r="15" spans="1:14" ht="33.75" customHeight="1">
      <c r="A15" s="136"/>
      <c r="B15" s="137"/>
      <c r="C15" s="137"/>
      <c r="D15" s="137"/>
      <c r="E15" s="137"/>
      <c r="F15" s="137"/>
      <c r="G15" s="137"/>
      <c r="H15" s="137"/>
      <c r="I15" s="138"/>
      <c r="J15" s="93"/>
      <c r="K15" s="93"/>
      <c r="L15" s="93"/>
      <c r="M15" s="93"/>
      <c r="N15" s="93"/>
    </row>
    <row r="16" spans="1:14" ht="33.75" customHeight="1">
      <c r="A16" s="136"/>
      <c r="B16" s="137"/>
      <c r="C16" s="137"/>
      <c r="D16" s="137"/>
      <c r="E16" s="137"/>
      <c r="F16" s="137"/>
      <c r="G16" s="137"/>
      <c r="H16" s="137"/>
      <c r="I16" s="138"/>
      <c r="J16" s="93"/>
      <c r="K16" s="93"/>
      <c r="L16" s="93"/>
      <c r="M16" s="93"/>
      <c r="N16" s="93"/>
    </row>
    <row r="17" spans="1:14" ht="33.75" customHeight="1">
      <c r="A17" s="136"/>
      <c r="B17" s="137"/>
      <c r="C17" s="137"/>
      <c r="D17" s="137"/>
      <c r="E17" s="137"/>
      <c r="F17" s="137"/>
      <c r="G17" s="137"/>
      <c r="H17" s="137"/>
      <c r="I17" s="138"/>
      <c r="J17" s="93"/>
      <c r="K17" s="93"/>
      <c r="L17" s="93"/>
      <c r="M17" s="93"/>
      <c r="N17" s="93"/>
    </row>
    <row r="18" spans="1:14" ht="33.75" customHeight="1">
      <c r="A18" s="139"/>
      <c r="B18" s="140"/>
      <c r="C18" s="140"/>
      <c r="D18" s="140"/>
      <c r="E18" s="140"/>
      <c r="F18" s="140"/>
      <c r="G18" s="140"/>
      <c r="H18" s="140"/>
      <c r="I18" s="141"/>
      <c r="J18" s="93"/>
      <c r="K18" s="93"/>
      <c r="L18" s="93"/>
      <c r="M18" s="93"/>
      <c r="N18" s="93"/>
    </row>
    <row r="20" spans="1:14">
      <c r="A20" s="51" t="s">
        <v>61</v>
      </c>
      <c r="B20" s="293"/>
      <c r="C20" s="293"/>
      <c r="D20" s="293"/>
      <c r="E20" s="293"/>
      <c r="F20" s="293"/>
      <c r="G20" s="293"/>
      <c r="H20" s="293"/>
      <c r="I20" s="294"/>
      <c r="J20" s="93"/>
      <c r="K20" s="93"/>
      <c r="L20" s="93"/>
      <c r="M20" s="93"/>
      <c r="N20" s="93"/>
    </row>
    <row r="21" spans="1:14">
      <c r="A21" s="295"/>
      <c r="B21" s="296"/>
      <c r="C21" s="296"/>
      <c r="D21" s="296"/>
      <c r="E21" s="296"/>
      <c r="F21" s="296"/>
      <c r="G21" s="296"/>
      <c r="H21" s="296"/>
      <c r="I21" s="297"/>
      <c r="J21" s="93"/>
      <c r="K21" s="93"/>
      <c r="L21" s="93"/>
      <c r="M21" s="93"/>
      <c r="N21" s="93"/>
    </row>
    <row r="22" spans="1:14">
      <c r="A22" s="195" t="s">
        <v>62</v>
      </c>
      <c r="B22" s="298"/>
      <c r="C22" s="298"/>
      <c r="D22" s="298"/>
      <c r="E22" s="298"/>
      <c r="F22" s="298"/>
      <c r="G22" s="298"/>
      <c r="H22" s="298"/>
      <c r="I22" s="299"/>
      <c r="J22" s="93"/>
      <c r="K22" s="205" t="s">
        <v>63</v>
      </c>
      <c r="L22" s="205"/>
      <c r="M22" s="205"/>
      <c r="N22" s="205"/>
    </row>
    <row r="23" spans="1:14">
      <c r="A23" s="300"/>
      <c r="B23" s="301"/>
      <c r="C23" s="301"/>
      <c r="D23" s="301"/>
      <c r="E23" s="301"/>
      <c r="F23" s="301"/>
      <c r="G23" s="301"/>
      <c r="H23" s="301"/>
      <c r="I23" s="302"/>
      <c r="J23" s="93"/>
      <c r="K23" s="205"/>
      <c r="L23" s="205"/>
      <c r="M23" s="205"/>
      <c r="N23" s="205"/>
    </row>
    <row r="24" spans="1:14">
      <c r="A24" s="300"/>
      <c r="B24" s="301"/>
      <c r="C24" s="301"/>
      <c r="D24" s="301"/>
      <c r="E24" s="301"/>
      <c r="F24" s="301"/>
      <c r="G24" s="301"/>
      <c r="H24" s="301"/>
      <c r="I24" s="302"/>
      <c r="J24" s="93"/>
      <c r="K24" s="205"/>
      <c r="L24" s="205"/>
      <c r="M24" s="205"/>
      <c r="N24" s="205"/>
    </row>
    <row r="25" spans="1:14">
      <c r="A25" s="300"/>
      <c r="B25" s="301"/>
      <c r="C25" s="301"/>
      <c r="D25" s="301"/>
      <c r="E25" s="301"/>
      <c r="F25" s="301"/>
      <c r="G25" s="301"/>
      <c r="H25" s="301"/>
      <c r="I25" s="302"/>
      <c r="J25" s="93"/>
      <c r="K25" s="205"/>
      <c r="L25" s="205"/>
      <c r="M25" s="205"/>
      <c r="N25" s="205"/>
    </row>
    <row r="26" spans="1:14">
      <c r="A26" s="300"/>
      <c r="B26" s="301"/>
      <c r="C26" s="301"/>
      <c r="D26" s="301"/>
      <c r="E26" s="301"/>
      <c r="F26" s="301"/>
      <c r="G26" s="301"/>
      <c r="H26" s="301"/>
      <c r="I26" s="302"/>
      <c r="J26" s="93"/>
      <c r="K26" s="205"/>
      <c r="L26" s="205"/>
      <c r="M26" s="205"/>
      <c r="N26" s="205"/>
    </row>
    <row r="27" spans="1:14">
      <c r="A27" s="300"/>
      <c r="B27" s="301"/>
      <c r="C27" s="301"/>
      <c r="D27" s="301"/>
      <c r="E27" s="301"/>
      <c r="F27" s="301"/>
      <c r="G27" s="301"/>
      <c r="H27" s="301"/>
      <c r="I27" s="302"/>
      <c r="J27" s="93"/>
      <c r="K27" s="205"/>
      <c r="L27" s="205"/>
      <c r="M27" s="205"/>
      <c r="N27" s="205"/>
    </row>
    <row r="28" spans="1:14">
      <c r="A28" s="300"/>
      <c r="B28" s="301"/>
      <c r="C28" s="301"/>
      <c r="D28" s="301"/>
      <c r="E28" s="301"/>
      <c r="F28" s="301"/>
      <c r="G28" s="301"/>
      <c r="H28" s="301"/>
      <c r="I28" s="302"/>
      <c r="J28" s="93"/>
      <c r="K28" s="205"/>
      <c r="L28" s="205"/>
      <c r="M28" s="205"/>
      <c r="N28" s="205"/>
    </row>
    <row r="29" spans="1:14">
      <c r="A29" s="300"/>
      <c r="B29" s="301"/>
      <c r="C29" s="301"/>
      <c r="D29" s="301"/>
      <c r="E29" s="301"/>
      <c r="F29" s="301"/>
      <c r="G29" s="301"/>
      <c r="H29" s="301"/>
      <c r="I29" s="302"/>
      <c r="J29" s="93"/>
      <c r="K29" s="205"/>
      <c r="L29" s="205"/>
      <c r="M29" s="205"/>
      <c r="N29" s="205"/>
    </row>
    <row r="30" spans="1:14">
      <c r="A30" s="300"/>
      <c r="B30" s="301"/>
      <c r="C30" s="301"/>
      <c r="D30" s="301"/>
      <c r="E30" s="301"/>
      <c r="F30" s="301"/>
      <c r="G30" s="301"/>
      <c r="H30" s="301"/>
      <c r="I30" s="302"/>
      <c r="J30" s="93"/>
      <c r="K30" s="205"/>
      <c r="L30" s="205"/>
      <c r="M30" s="205"/>
      <c r="N30" s="205"/>
    </row>
    <row r="31" spans="1:14">
      <c r="A31" s="300"/>
      <c r="B31" s="301"/>
      <c r="C31" s="301"/>
      <c r="D31" s="301"/>
      <c r="E31" s="301"/>
      <c r="F31" s="301"/>
      <c r="G31" s="301"/>
      <c r="H31" s="301"/>
      <c r="I31" s="302"/>
      <c r="J31" s="93"/>
      <c r="K31" s="205"/>
      <c r="L31" s="205"/>
      <c r="M31" s="205"/>
      <c r="N31" s="205"/>
    </row>
    <row r="32" spans="1:14">
      <c r="A32" s="300"/>
      <c r="B32" s="301"/>
      <c r="C32" s="301"/>
      <c r="D32" s="301"/>
      <c r="E32" s="301"/>
      <c r="F32" s="301"/>
      <c r="G32" s="301"/>
      <c r="H32" s="301"/>
      <c r="I32" s="302"/>
      <c r="J32" s="93"/>
      <c r="K32" s="93"/>
      <c r="L32" s="93"/>
      <c r="M32" s="93"/>
      <c r="N32" s="93"/>
    </row>
    <row r="33" spans="1:9">
      <c r="A33" s="300"/>
      <c r="B33" s="301"/>
      <c r="C33" s="301"/>
      <c r="D33" s="301"/>
      <c r="E33" s="301"/>
      <c r="F33" s="301"/>
      <c r="G33" s="301"/>
      <c r="H33" s="301"/>
      <c r="I33" s="302"/>
    </row>
    <row r="34" spans="1:9">
      <c r="A34" s="300"/>
      <c r="B34" s="301"/>
      <c r="C34" s="301"/>
      <c r="D34" s="301"/>
      <c r="E34" s="301"/>
      <c r="F34" s="301"/>
      <c r="G34" s="301"/>
      <c r="H34" s="301"/>
      <c r="I34" s="302"/>
    </row>
    <row r="35" spans="1:9">
      <c r="A35" s="300"/>
      <c r="B35" s="301"/>
      <c r="C35" s="301"/>
      <c r="D35" s="301"/>
      <c r="E35" s="301"/>
      <c r="F35" s="301"/>
      <c r="G35" s="301"/>
      <c r="H35" s="301"/>
      <c r="I35" s="302"/>
    </row>
    <row r="36" spans="1:9">
      <c r="A36" s="300"/>
      <c r="B36" s="301"/>
      <c r="C36" s="301"/>
      <c r="D36" s="301"/>
      <c r="E36" s="301"/>
      <c r="F36" s="301"/>
      <c r="G36" s="301"/>
      <c r="H36" s="301"/>
      <c r="I36" s="302"/>
    </row>
    <row r="37" spans="1:9">
      <c r="A37" s="300"/>
      <c r="B37" s="301"/>
      <c r="C37" s="301"/>
      <c r="D37" s="301"/>
      <c r="E37" s="301"/>
      <c r="F37" s="301"/>
      <c r="G37" s="301"/>
      <c r="H37" s="301"/>
      <c r="I37" s="302"/>
    </row>
    <row r="38" spans="1:9">
      <c r="A38" s="300"/>
      <c r="B38" s="301"/>
      <c r="C38" s="301"/>
      <c r="D38" s="301"/>
      <c r="E38" s="301"/>
      <c r="F38" s="301"/>
      <c r="G38" s="301"/>
      <c r="H38" s="301"/>
      <c r="I38" s="302"/>
    </row>
    <row r="39" spans="1:9">
      <c r="A39" s="300"/>
      <c r="B39" s="301"/>
      <c r="C39" s="301"/>
      <c r="D39" s="301"/>
      <c r="E39" s="301"/>
      <c r="F39" s="301"/>
      <c r="G39" s="301"/>
      <c r="H39" s="301"/>
      <c r="I39" s="302"/>
    </row>
    <row r="40" spans="1:9" ht="14.25" customHeight="1">
      <c r="A40" s="300"/>
      <c r="B40" s="301"/>
      <c r="C40" s="301"/>
      <c r="D40" s="301"/>
      <c r="E40" s="301"/>
      <c r="F40" s="301"/>
      <c r="G40" s="301"/>
      <c r="H40" s="301"/>
      <c r="I40" s="302"/>
    </row>
    <row r="41" spans="1:9">
      <c r="A41" s="300"/>
      <c r="B41" s="301"/>
      <c r="C41" s="301"/>
      <c r="D41" s="301"/>
      <c r="E41" s="301"/>
      <c r="F41" s="301"/>
      <c r="G41" s="301"/>
      <c r="H41" s="301"/>
      <c r="I41" s="302"/>
    </row>
    <row r="42" spans="1:9">
      <c r="A42" s="300"/>
      <c r="B42" s="301"/>
      <c r="C42" s="301"/>
      <c r="D42" s="301"/>
      <c r="E42" s="301"/>
      <c r="F42" s="301"/>
      <c r="G42" s="301"/>
      <c r="H42" s="301"/>
      <c r="I42" s="302"/>
    </row>
    <row r="43" spans="1:9">
      <c r="A43" s="300"/>
      <c r="B43" s="301"/>
      <c r="C43" s="301"/>
      <c r="D43" s="301"/>
      <c r="E43" s="301"/>
      <c r="F43" s="301"/>
      <c r="G43" s="301"/>
      <c r="H43" s="301"/>
      <c r="I43" s="302"/>
    </row>
    <row r="44" spans="1:9">
      <c r="A44" s="300"/>
      <c r="B44" s="301"/>
      <c r="C44" s="301"/>
      <c r="D44" s="301"/>
      <c r="E44" s="301"/>
      <c r="F44" s="301"/>
      <c r="G44" s="301"/>
      <c r="H44" s="301"/>
      <c r="I44" s="302"/>
    </row>
    <row r="45" spans="1:9">
      <c r="A45" s="300"/>
      <c r="B45" s="301"/>
      <c r="C45" s="301"/>
      <c r="D45" s="301"/>
      <c r="E45" s="301"/>
      <c r="F45" s="301"/>
      <c r="G45" s="301"/>
      <c r="H45" s="301"/>
      <c r="I45" s="302"/>
    </row>
    <row r="46" spans="1:9">
      <c r="A46" s="300"/>
      <c r="B46" s="301"/>
      <c r="C46" s="301"/>
      <c r="D46" s="301"/>
      <c r="E46" s="301"/>
      <c r="F46" s="301"/>
      <c r="G46" s="301"/>
      <c r="H46" s="301"/>
      <c r="I46" s="302"/>
    </row>
    <row r="47" spans="1:9">
      <c r="A47" s="300"/>
      <c r="B47" s="301"/>
      <c r="C47" s="301"/>
      <c r="D47" s="301"/>
      <c r="E47" s="301"/>
      <c r="F47" s="301"/>
      <c r="G47" s="301"/>
      <c r="H47" s="301"/>
      <c r="I47" s="302"/>
    </row>
    <row r="48" spans="1:9">
      <c r="A48" s="300"/>
      <c r="B48" s="301"/>
      <c r="C48" s="301"/>
      <c r="D48" s="301"/>
      <c r="E48" s="301"/>
      <c r="F48" s="301"/>
      <c r="G48" s="301"/>
      <c r="H48" s="301"/>
      <c r="I48" s="302"/>
    </row>
    <row r="49" spans="1:9">
      <c r="A49" s="300"/>
      <c r="B49" s="301"/>
      <c r="C49" s="301"/>
      <c r="D49" s="301"/>
      <c r="E49" s="301"/>
      <c r="F49" s="301"/>
      <c r="G49" s="301"/>
      <c r="H49" s="301"/>
      <c r="I49" s="302"/>
    </row>
    <row r="50" spans="1:9">
      <c r="A50" s="300"/>
      <c r="B50" s="301"/>
      <c r="C50" s="301"/>
      <c r="D50" s="301"/>
      <c r="E50" s="301"/>
      <c r="F50" s="301"/>
      <c r="G50" s="301"/>
      <c r="H50" s="301"/>
      <c r="I50" s="302"/>
    </row>
    <row r="51" spans="1:9">
      <c r="A51" s="300"/>
      <c r="B51" s="301"/>
      <c r="C51" s="301"/>
      <c r="D51" s="301"/>
      <c r="E51" s="301"/>
      <c r="F51" s="301"/>
      <c r="G51" s="301"/>
      <c r="H51" s="301"/>
      <c r="I51" s="302"/>
    </row>
    <row r="52" spans="1:9">
      <c r="A52" s="300"/>
      <c r="B52" s="301"/>
      <c r="C52" s="301"/>
      <c r="D52" s="301"/>
      <c r="E52" s="301"/>
      <c r="F52" s="301"/>
      <c r="G52" s="301"/>
      <c r="H52" s="301"/>
      <c r="I52" s="302"/>
    </row>
    <row r="53" spans="1:9">
      <c r="A53" s="300"/>
      <c r="B53" s="301"/>
      <c r="C53" s="301"/>
      <c r="D53" s="301"/>
      <c r="E53" s="301"/>
      <c r="F53" s="301"/>
      <c r="G53" s="301"/>
      <c r="H53" s="301"/>
      <c r="I53" s="302"/>
    </row>
    <row r="54" spans="1:9">
      <c r="A54" s="303"/>
      <c r="B54" s="304"/>
      <c r="C54" s="304"/>
      <c r="D54" s="304"/>
      <c r="E54" s="304"/>
      <c r="F54" s="304"/>
      <c r="G54" s="304"/>
      <c r="H54" s="304"/>
      <c r="I54" s="305"/>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22" workbookViewId="0">
      <selection activeCell="K28" sqref="K28"/>
    </sheetView>
  </sheetViews>
  <sheetFormatPr defaultColWidth="9.28515625" defaultRowHeight="15.6"/>
  <cols>
    <col min="1" max="1" width="28.4257812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3" t="str">
        <f>+'Cover Page'!$B$29</f>
        <v>Annual Performance Report 2022</v>
      </c>
      <c r="B1" s="93"/>
      <c r="C1" s="93"/>
      <c r="D1" s="93"/>
      <c r="E1" s="93" t="str">
        <f>+'Cover Page'!$B$33</f>
        <v>Ince Bio Power</v>
      </c>
      <c r="F1" s="93"/>
      <c r="G1" s="93"/>
      <c r="H1" s="93"/>
      <c r="I1" s="93"/>
      <c r="J1" s="93"/>
      <c r="K1" s="93"/>
    </row>
    <row r="3" spans="1:11">
      <c r="A3" s="1" t="s">
        <v>31</v>
      </c>
      <c r="B3" s="113"/>
      <c r="C3" s="113"/>
      <c r="D3" s="113"/>
      <c r="E3" s="113"/>
      <c r="F3" s="113"/>
      <c r="H3" s="306"/>
      <c r="I3" s="93"/>
      <c r="J3" s="93"/>
      <c r="K3" s="81" t="s">
        <v>1</v>
      </c>
    </row>
    <row r="4" spans="1:11">
      <c r="A4" s="18" t="s">
        <v>64</v>
      </c>
      <c r="B4" s="307">
        <v>176000</v>
      </c>
      <c r="C4" s="307"/>
      <c r="D4" s="20" t="s">
        <v>65</v>
      </c>
      <c r="E4" s="19"/>
      <c r="F4" s="20" t="s">
        <v>66</v>
      </c>
      <c r="G4" s="19">
        <v>22</v>
      </c>
      <c r="H4" s="70" t="s">
        <v>67</v>
      </c>
      <c r="I4" s="93"/>
      <c r="J4" s="93"/>
      <c r="K4" s="17" t="s">
        <v>68</v>
      </c>
    </row>
    <row r="5" spans="1:11">
      <c r="A5" s="21" t="s">
        <v>69</v>
      </c>
      <c r="B5" s="22">
        <v>1</v>
      </c>
      <c r="C5" s="23"/>
      <c r="D5" s="23" t="s">
        <v>70</v>
      </c>
      <c r="E5" s="23"/>
      <c r="F5" s="24">
        <v>1</v>
      </c>
      <c r="G5" s="25"/>
      <c r="H5" s="26"/>
      <c r="I5" s="93"/>
      <c r="J5" s="93"/>
      <c r="K5" s="17" t="s">
        <v>71</v>
      </c>
    </row>
    <row r="6" spans="1:11">
      <c r="A6" s="3"/>
      <c r="B6" s="113"/>
      <c r="C6" s="113"/>
      <c r="D6" s="113"/>
      <c r="E6" s="113"/>
      <c r="F6" s="113"/>
      <c r="H6" s="306"/>
      <c r="I6" s="93"/>
      <c r="J6" s="93"/>
      <c r="K6" s="142" t="s">
        <v>72</v>
      </c>
    </row>
    <row r="7" spans="1:11">
      <c r="A7" s="9" t="s">
        <v>73</v>
      </c>
      <c r="B7" s="308" t="s">
        <v>74</v>
      </c>
      <c r="C7" s="309" t="s">
        <v>75</v>
      </c>
      <c r="D7" s="309" t="s">
        <v>76</v>
      </c>
      <c r="E7" s="309" t="s">
        <v>77</v>
      </c>
      <c r="F7" s="309" t="s">
        <v>78</v>
      </c>
      <c r="G7" s="27" t="s">
        <v>79</v>
      </c>
      <c r="H7" s="310" t="s">
        <v>80</v>
      </c>
      <c r="I7" s="93"/>
      <c r="J7" s="93"/>
      <c r="K7" s="142"/>
    </row>
    <row r="8" spans="1:11" ht="15.75" customHeight="1">
      <c r="A8" s="311" t="s">
        <v>81</v>
      </c>
      <c r="B8" s="312" t="s">
        <v>82</v>
      </c>
      <c r="C8" s="313"/>
      <c r="D8" s="313"/>
      <c r="E8" s="313"/>
      <c r="F8" s="313"/>
      <c r="G8" s="28">
        <f>SUM(C8:F8)</f>
        <v>0</v>
      </c>
      <c r="H8" s="314" t="str">
        <f t="shared" ref="H8:H15" si="0">IF(G8&gt;0,G8/$G$18,"-")</f>
        <v>-</v>
      </c>
      <c r="I8" s="93"/>
      <c r="J8" s="93"/>
      <c r="K8" s="143" t="s">
        <v>83</v>
      </c>
    </row>
    <row r="9" spans="1:11">
      <c r="A9" s="107" t="s">
        <v>84</v>
      </c>
      <c r="B9" s="315"/>
      <c r="C9" s="316"/>
      <c r="D9" s="316"/>
      <c r="E9" s="316"/>
      <c r="F9" s="316"/>
      <c r="G9" s="89">
        <f t="shared" ref="G9:G15" si="1">SUM(C9:F9)</f>
        <v>0</v>
      </c>
      <c r="H9" s="317" t="str">
        <f t="shared" si="0"/>
        <v>-</v>
      </c>
      <c r="I9" s="93"/>
      <c r="J9" s="93"/>
      <c r="K9" s="143"/>
    </row>
    <row r="10" spans="1:11">
      <c r="A10" s="107" t="s">
        <v>85</v>
      </c>
      <c r="B10" s="315"/>
      <c r="C10" s="316"/>
      <c r="D10" s="316"/>
      <c r="E10" s="316"/>
      <c r="F10" s="316"/>
      <c r="G10" s="89">
        <f t="shared" si="1"/>
        <v>0</v>
      </c>
      <c r="H10" s="317" t="str">
        <f t="shared" si="0"/>
        <v>-</v>
      </c>
      <c r="I10" s="93"/>
      <c r="J10" s="93"/>
      <c r="K10" s="143"/>
    </row>
    <row r="11" spans="1:11">
      <c r="A11" s="107" t="s">
        <v>86</v>
      </c>
      <c r="B11" s="315"/>
      <c r="C11" s="316"/>
      <c r="D11" s="316"/>
      <c r="E11" s="316"/>
      <c r="F11" s="316"/>
      <c r="G11" s="89">
        <f t="shared" si="1"/>
        <v>0</v>
      </c>
      <c r="H11" s="317" t="str">
        <f t="shared" si="0"/>
        <v>-</v>
      </c>
      <c r="I11" s="93"/>
      <c r="J11" s="93"/>
      <c r="K11" s="143"/>
    </row>
    <row r="12" spans="1:11">
      <c r="A12" s="107" t="s">
        <v>87</v>
      </c>
      <c r="B12" s="315"/>
      <c r="C12" s="316">
        <v>28395.19</v>
      </c>
      <c r="D12" s="316">
        <v>28073.45</v>
      </c>
      <c r="E12" s="316">
        <v>33347.870000000003</v>
      </c>
      <c r="F12" s="316">
        <v>5190.24</v>
      </c>
      <c r="G12" s="89">
        <f t="shared" si="1"/>
        <v>95006.750000000015</v>
      </c>
      <c r="H12" s="317">
        <f t="shared" si="0"/>
        <v>1</v>
      </c>
      <c r="I12" s="93"/>
      <c r="J12" s="93"/>
      <c r="K12" s="143"/>
    </row>
    <row r="13" spans="1:11">
      <c r="A13" s="107" t="s">
        <v>88</v>
      </c>
      <c r="B13" s="315"/>
      <c r="C13" s="316"/>
      <c r="D13" s="316"/>
      <c r="E13" s="316"/>
      <c r="F13" s="316"/>
      <c r="G13" s="89">
        <f t="shared" ref="G13" si="2">SUM(C13:F13)</f>
        <v>0</v>
      </c>
      <c r="H13" s="317" t="str">
        <f t="shared" si="0"/>
        <v>-</v>
      </c>
      <c r="I13" s="93"/>
      <c r="J13" s="93"/>
      <c r="K13" s="143"/>
    </row>
    <row r="14" spans="1:11">
      <c r="A14" s="107" t="s">
        <v>89</v>
      </c>
      <c r="B14" s="315"/>
      <c r="C14" s="316"/>
      <c r="D14" s="316"/>
      <c r="E14" s="316"/>
      <c r="F14" s="316"/>
      <c r="G14" s="89">
        <f t="shared" si="1"/>
        <v>0</v>
      </c>
      <c r="H14" s="317" t="str">
        <f t="shared" si="0"/>
        <v>-</v>
      </c>
      <c r="I14" s="93"/>
      <c r="J14" s="93"/>
      <c r="K14" s="143"/>
    </row>
    <row r="15" spans="1:11">
      <c r="A15" s="318" t="s">
        <v>90</v>
      </c>
      <c r="B15" s="315"/>
      <c r="C15" s="316"/>
      <c r="D15" s="316"/>
      <c r="E15" s="316"/>
      <c r="F15" s="316"/>
      <c r="G15" s="89">
        <f t="shared" si="1"/>
        <v>0</v>
      </c>
      <c r="H15" s="317" t="str">
        <f t="shared" si="0"/>
        <v>-</v>
      </c>
      <c r="I15" s="93"/>
      <c r="J15" s="93"/>
      <c r="K15" s="143"/>
    </row>
    <row r="16" spans="1:11">
      <c r="A16" s="318" t="s">
        <v>90</v>
      </c>
      <c r="B16" s="315"/>
      <c r="C16" s="316"/>
      <c r="D16" s="316"/>
      <c r="E16" s="316"/>
      <c r="F16" s="316"/>
      <c r="G16" s="89"/>
      <c r="H16" s="317"/>
      <c r="I16" s="93"/>
      <c r="J16" s="93"/>
      <c r="K16" s="143"/>
    </row>
    <row r="17" spans="1:12">
      <c r="A17" s="318" t="s">
        <v>90</v>
      </c>
      <c r="B17" s="315"/>
      <c r="C17" s="316"/>
      <c r="D17" s="316"/>
      <c r="E17" s="316"/>
      <c r="F17" s="316"/>
      <c r="G17" s="89"/>
      <c r="H17" s="317"/>
      <c r="I17" s="93"/>
      <c r="J17" s="93"/>
      <c r="K17" s="143"/>
      <c r="L17" s="93"/>
    </row>
    <row r="18" spans="1:12">
      <c r="A18" s="91" t="s">
        <v>91</v>
      </c>
      <c r="B18" s="315"/>
      <c r="C18" s="89">
        <f>SUM(C8:C17)</f>
        <v>28395.19</v>
      </c>
      <c r="D18" s="89">
        <f>SUM(D8:D17)</f>
        <v>28073.45</v>
      </c>
      <c r="E18" s="89">
        <f>SUM(E8:E17)</f>
        <v>33347.870000000003</v>
      </c>
      <c r="F18" s="89">
        <f>SUM(F8:F17)</f>
        <v>5190.24</v>
      </c>
      <c r="G18" s="89">
        <f>SUM(G8:G17)</f>
        <v>95006.750000000015</v>
      </c>
      <c r="H18" s="319">
        <v>1</v>
      </c>
      <c r="I18" s="93"/>
      <c r="J18" s="93"/>
      <c r="K18" s="143"/>
      <c r="L18" s="93"/>
    </row>
    <row r="19" spans="1:12">
      <c r="A19" s="107" t="s">
        <v>92</v>
      </c>
      <c r="B19" s="315"/>
      <c r="C19" s="316"/>
      <c r="D19" s="316"/>
      <c r="E19" s="316"/>
      <c r="F19" s="316"/>
      <c r="G19" s="89">
        <f t="shared" ref="G19" si="3">SUM(C19:F19)</f>
        <v>0</v>
      </c>
      <c r="H19" s="317" t="str">
        <f t="shared" ref="H19" si="4">IF(G19&gt;0,G19/$G$18,"-")</f>
        <v>-</v>
      </c>
      <c r="I19" s="93"/>
      <c r="J19" s="93"/>
      <c r="K19" s="143"/>
      <c r="L19" s="93"/>
    </row>
    <row r="20" spans="1:12">
      <c r="A20" s="107" t="s">
        <v>93</v>
      </c>
      <c r="B20" s="315"/>
      <c r="C20" s="316">
        <f>127.76+1512.166</f>
        <v>1639.9259999999999</v>
      </c>
      <c r="D20" s="316">
        <f>135.08+1860.02</f>
        <v>1995.1</v>
      </c>
      <c r="E20" s="316">
        <f>188.28+1299.54</f>
        <v>1487.82</v>
      </c>
      <c r="F20" s="316">
        <f>10.06+152.02</f>
        <v>162.08000000000001</v>
      </c>
      <c r="G20" s="89">
        <f t="shared" ref="G20" si="5">SUM(C20:F20)</f>
        <v>5284.9259999999995</v>
      </c>
      <c r="H20" s="317">
        <f>IF(G20&gt;0,G20/$G$18,"-")</f>
        <v>5.5626847566093977E-2</v>
      </c>
      <c r="I20" s="93"/>
      <c r="J20" s="93"/>
      <c r="K20" s="93"/>
      <c r="L20" s="93"/>
    </row>
    <row r="21" spans="1:12">
      <c r="A21" s="92" t="s">
        <v>94</v>
      </c>
      <c r="B21" s="320"/>
      <c r="C21" s="90">
        <f>C18-SUM(C19:C20)</f>
        <v>26755.263999999999</v>
      </c>
      <c r="D21" s="90">
        <f t="shared" ref="D21:F21" si="6">D18-SUM(D19:D20)</f>
        <v>26078.350000000002</v>
      </c>
      <c r="E21" s="90">
        <f t="shared" si="6"/>
        <v>31860.050000000003</v>
      </c>
      <c r="F21" s="90">
        <f t="shared" si="6"/>
        <v>5028.16</v>
      </c>
      <c r="G21" s="30">
        <f>SUM(C21:F21)</f>
        <v>89721.824000000008</v>
      </c>
      <c r="H21" s="321">
        <f>IF(G21&gt;0,G21/$G$18,"-")</f>
        <v>0.94437315243390596</v>
      </c>
      <c r="I21" s="93"/>
      <c r="J21" s="93"/>
      <c r="K21" s="93"/>
      <c r="L21" s="93"/>
    </row>
    <row r="22" spans="1:12">
      <c r="A22" s="3"/>
      <c r="B22" s="113"/>
      <c r="C22" s="306"/>
      <c r="D22" s="306"/>
      <c r="E22" s="306"/>
      <c r="F22" s="306"/>
      <c r="G22" s="31"/>
      <c r="H22" s="306"/>
      <c r="I22" s="93"/>
      <c r="J22" s="93"/>
      <c r="K22" s="93"/>
      <c r="L22" s="93"/>
    </row>
    <row r="23" spans="1:12">
      <c r="A23" s="9" t="s">
        <v>95</v>
      </c>
      <c r="B23" s="308" t="s">
        <v>74</v>
      </c>
      <c r="C23" s="322" t="s">
        <v>75</v>
      </c>
      <c r="D23" s="322" t="s">
        <v>76</v>
      </c>
      <c r="E23" s="322" t="s">
        <v>77</v>
      </c>
      <c r="F23" s="322" t="s">
        <v>78</v>
      </c>
      <c r="G23" s="32" t="s">
        <v>79</v>
      </c>
      <c r="H23" s="323" t="s">
        <v>96</v>
      </c>
      <c r="I23" s="93"/>
      <c r="J23" s="93"/>
      <c r="K23" s="93"/>
      <c r="L23" s="93"/>
    </row>
    <row r="24" spans="1:12" ht="15" customHeight="1">
      <c r="A24" s="324" t="s">
        <v>97</v>
      </c>
      <c r="B24" s="312" t="s">
        <v>98</v>
      </c>
      <c r="C24" s="313">
        <v>32434.1</v>
      </c>
      <c r="D24" s="313">
        <v>28639.9</v>
      </c>
      <c r="E24" s="313">
        <v>34705.199999999997</v>
      </c>
      <c r="F24" s="313">
        <v>4194.6000000000004</v>
      </c>
      <c r="G24" s="28">
        <f t="shared" ref="G24:G27" si="7">SUM(C24:F24)</f>
        <v>99973.8</v>
      </c>
      <c r="H24" s="325">
        <f>IF(G24&gt;0,G24*1000/$G$21,"-")</f>
        <v>1114.264016745803</v>
      </c>
      <c r="I24" s="93"/>
      <c r="J24" s="93"/>
      <c r="K24" s="93"/>
      <c r="L24" s="93"/>
    </row>
    <row r="25" spans="1:12">
      <c r="A25" s="108" t="s">
        <v>99</v>
      </c>
      <c r="B25" s="315"/>
      <c r="C25" s="326">
        <v>28105</v>
      </c>
      <c r="D25" s="326">
        <v>24939</v>
      </c>
      <c r="E25" s="326">
        <v>29868</v>
      </c>
      <c r="F25" s="326">
        <v>3632</v>
      </c>
      <c r="G25" s="29">
        <f>SUM(C25:F25)</f>
        <v>86544</v>
      </c>
      <c r="H25" s="327">
        <f>IF(G25&gt;0,G25*1000/$G$21,"-")</f>
        <v>964.5813709716823</v>
      </c>
      <c r="I25" s="93"/>
      <c r="J25" s="93"/>
      <c r="K25" s="93"/>
      <c r="L25" s="93"/>
    </row>
    <row r="26" spans="1:12">
      <c r="A26" s="108" t="s">
        <v>100</v>
      </c>
      <c r="B26" s="315"/>
      <c r="C26" s="326"/>
      <c r="D26" s="326"/>
      <c r="E26" s="326"/>
      <c r="F26" s="326"/>
      <c r="G26" s="29">
        <f>SUM(C26:F26)</f>
        <v>0</v>
      </c>
      <c r="H26" s="327" t="str">
        <f>IF(G26&gt;0,G26*1000/$G$21,"-")</f>
        <v>-</v>
      </c>
      <c r="I26" s="93"/>
      <c r="J26" s="93"/>
      <c r="K26" s="93"/>
      <c r="L26" s="93"/>
    </row>
    <row r="27" spans="1:12">
      <c r="A27" s="108" t="s">
        <v>101</v>
      </c>
      <c r="B27" s="315"/>
      <c r="C27" s="326">
        <v>310</v>
      </c>
      <c r="D27" s="326">
        <v>300</v>
      </c>
      <c r="E27" s="326">
        <v>158</v>
      </c>
      <c r="F27" s="326">
        <v>960</v>
      </c>
      <c r="G27" s="29">
        <f t="shared" si="7"/>
        <v>1728</v>
      </c>
      <c r="H27" s="327">
        <f>IF(G27&gt;0,G27*1000/$G$21,"-")</f>
        <v>19.259528205757384</v>
      </c>
      <c r="I27" s="93"/>
      <c r="J27" s="93"/>
      <c r="K27" s="93"/>
      <c r="L27" s="93"/>
    </row>
    <row r="28" spans="1:12">
      <c r="A28" s="108" t="s">
        <v>102</v>
      </c>
      <c r="B28" s="328" t="s">
        <v>80</v>
      </c>
      <c r="C28" s="329">
        <f>IF(C24&gt;0,1-C25/(C24+C27),"-")</f>
        <v>0.1416774319648425</v>
      </c>
      <c r="D28" s="329">
        <f>IF(D24&gt;0,1-D25/(D24+D27),"-")</f>
        <v>0.13824857722383288</v>
      </c>
      <c r="E28" s="329">
        <f>IF(E24&gt;0,1-E25/(E24+E27),"-")</f>
        <v>0.14328002019321229</v>
      </c>
      <c r="F28" s="329">
        <f>IF(F24&gt;0,1-F25/(F24+F27),"-")</f>
        <v>0.29538664493850153</v>
      </c>
      <c r="G28" s="329">
        <f>IF(G24&gt;0,1-G25/(G24+G27),"-")</f>
        <v>0.14904160988301096</v>
      </c>
      <c r="H28" s="327"/>
      <c r="I28" s="93"/>
      <c r="J28" s="93"/>
      <c r="K28" s="93"/>
      <c r="L28" s="93"/>
    </row>
    <row r="29" spans="1:12">
      <c r="A29" s="108" t="s">
        <v>103</v>
      </c>
      <c r="B29" s="330" t="s">
        <v>98</v>
      </c>
      <c r="C29" s="326"/>
      <c r="D29" s="326"/>
      <c r="E29" s="326"/>
      <c r="F29" s="326"/>
      <c r="G29" s="29">
        <f t="shared" ref="G29:G30" si="8">SUM(C29:F29)</f>
        <v>0</v>
      </c>
      <c r="H29" s="327" t="str">
        <f>IF(G29&gt;0,G29*1000/$G$21,"-")</f>
        <v>-</v>
      </c>
      <c r="I29" s="93"/>
      <c r="J29" s="93"/>
      <c r="K29" s="93"/>
      <c r="L29" s="93"/>
    </row>
    <row r="30" spans="1:12">
      <c r="A30" s="108" t="s">
        <v>104</v>
      </c>
      <c r="B30" s="330"/>
      <c r="C30" s="326"/>
      <c r="D30" s="326"/>
      <c r="E30" s="326"/>
      <c r="F30" s="326"/>
      <c r="G30" s="29">
        <f t="shared" si="8"/>
        <v>0</v>
      </c>
      <c r="H30" s="327" t="str">
        <f>IF(G30&gt;0,G30*1000/$G$21,"-")</f>
        <v>-</v>
      </c>
      <c r="I30" s="93"/>
      <c r="J30" s="93"/>
      <c r="K30" s="17"/>
      <c r="L30" s="17"/>
    </row>
    <row r="31" spans="1:12">
      <c r="A31" s="99" t="s">
        <v>105</v>
      </c>
      <c r="B31" s="331"/>
      <c r="C31" s="332"/>
      <c r="D31" s="332"/>
      <c r="E31" s="332"/>
      <c r="F31" s="332"/>
      <c r="G31" s="333"/>
      <c r="H31" s="334"/>
      <c r="I31" s="93"/>
      <c r="J31" s="93"/>
      <c r="K31" s="93"/>
      <c r="L31" s="17"/>
    </row>
    <row r="32" spans="1:12">
      <c r="A32" s="3"/>
      <c r="B32" s="113"/>
      <c r="C32" s="306"/>
      <c r="D32" s="306"/>
      <c r="E32" s="306"/>
      <c r="F32" s="306"/>
      <c r="G32" s="31"/>
      <c r="H32" s="306"/>
      <c r="I32" s="93"/>
      <c r="J32" s="93"/>
      <c r="K32" s="93"/>
      <c r="L32" s="17"/>
    </row>
    <row r="33" spans="1:12">
      <c r="A33" s="9" t="s">
        <v>106</v>
      </c>
      <c r="B33" s="335" t="s">
        <v>74</v>
      </c>
      <c r="C33" s="322" t="s">
        <v>75</v>
      </c>
      <c r="D33" s="322" t="s">
        <v>76</v>
      </c>
      <c r="E33" s="322" t="s">
        <v>77</v>
      </c>
      <c r="F33" s="322" t="s">
        <v>78</v>
      </c>
      <c r="G33" s="32" t="s">
        <v>79</v>
      </c>
      <c r="H33" s="336" t="s">
        <v>107</v>
      </c>
      <c r="I33" s="93"/>
      <c r="J33" s="93"/>
      <c r="K33" s="93"/>
      <c r="L33" s="17"/>
    </row>
    <row r="34" spans="1:12" ht="15" customHeight="1">
      <c r="A34" s="324" t="s">
        <v>108</v>
      </c>
      <c r="B34" s="312" t="s">
        <v>82</v>
      </c>
      <c r="C34" s="313">
        <v>662.98</v>
      </c>
      <c r="D34" s="313">
        <v>494.2</v>
      </c>
      <c r="E34" s="313">
        <f>682.34+46.8</f>
        <v>729.14</v>
      </c>
      <c r="F34" s="313">
        <v>49.72</v>
      </c>
      <c r="G34" s="28">
        <f t="shared" ref="G34:G35" si="9">SUM(C34:F34)</f>
        <v>1936.0400000000002</v>
      </c>
      <c r="H34" s="314">
        <f>IF(G34&gt;0,G34/$G$21,"-")</f>
        <v>2.1578250571455168E-2</v>
      </c>
      <c r="I34" s="93"/>
      <c r="J34" s="93"/>
      <c r="K34" s="17"/>
      <c r="L34" s="17"/>
    </row>
    <row r="35" spans="1:12" ht="15" customHeight="1">
      <c r="A35" s="108" t="s">
        <v>109</v>
      </c>
      <c r="B35" s="315"/>
      <c r="C35" s="326">
        <v>467.5</v>
      </c>
      <c r="D35" s="326">
        <f>27.24+280.24</f>
        <v>307.48</v>
      </c>
      <c r="E35" s="326">
        <f>372.06</f>
        <v>372.06</v>
      </c>
      <c r="F35" s="326">
        <v>122.02</v>
      </c>
      <c r="G35" s="29">
        <f t="shared" si="9"/>
        <v>1269.06</v>
      </c>
      <c r="H35" s="317">
        <f t="shared" ref="H35:H39" si="10">IF(G35&gt;0,G35/$G$21,"-")</f>
        <v>1.4144384759721334E-2</v>
      </c>
      <c r="I35" s="93"/>
      <c r="J35" s="93"/>
      <c r="K35" s="17"/>
      <c r="L35" s="17"/>
    </row>
    <row r="36" spans="1:12" ht="15" customHeight="1">
      <c r="A36" s="108" t="s">
        <v>110</v>
      </c>
      <c r="B36" s="315"/>
      <c r="C36" s="326">
        <v>305.95999999999998</v>
      </c>
      <c r="D36" s="326">
        <f>19.36+24.04+60.7</f>
        <v>104.1</v>
      </c>
      <c r="E36" s="326">
        <f>211.08</f>
        <v>211.08</v>
      </c>
      <c r="F36" s="326">
        <v>0</v>
      </c>
      <c r="G36" s="29">
        <f t="shared" ref="G36:G39" si="11">SUM(C36:F36)</f>
        <v>621.14</v>
      </c>
      <c r="H36" s="317">
        <f t="shared" si="10"/>
        <v>6.9229533273866559E-3</v>
      </c>
      <c r="I36" s="93"/>
      <c r="J36" s="93"/>
      <c r="K36" s="93"/>
      <c r="L36" s="93"/>
    </row>
    <row r="37" spans="1:12">
      <c r="A37" s="108" t="s">
        <v>111</v>
      </c>
      <c r="B37" s="315"/>
      <c r="C37" s="326">
        <f>7.34+14.86</f>
        <v>22.2</v>
      </c>
      <c r="D37" s="326">
        <f>2.78+7.52+3.62</f>
        <v>13.919999999999998</v>
      </c>
      <c r="E37" s="326">
        <f>0.76+17.92+5.04</f>
        <v>23.720000000000002</v>
      </c>
      <c r="F37" s="326">
        <f>7.1+1.3</f>
        <v>8.4</v>
      </c>
      <c r="G37" s="29">
        <f t="shared" ref="G37" si="12">SUM(C37:F37)</f>
        <v>68.240000000000009</v>
      </c>
      <c r="H37" s="317">
        <f t="shared" si="10"/>
        <v>7.6057303516254872E-4</v>
      </c>
      <c r="I37" s="93"/>
      <c r="J37" s="93"/>
      <c r="K37" s="93"/>
      <c r="L37" s="93"/>
    </row>
    <row r="38" spans="1:12">
      <c r="A38" s="108" t="s">
        <v>112</v>
      </c>
      <c r="B38" s="315"/>
      <c r="C38" s="326">
        <v>0</v>
      </c>
      <c r="D38" s="326">
        <v>0</v>
      </c>
      <c r="E38" s="326">
        <v>0</v>
      </c>
      <c r="F38" s="326">
        <v>0</v>
      </c>
      <c r="G38" s="29">
        <f t="shared" si="11"/>
        <v>0</v>
      </c>
      <c r="H38" s="317" t="str">
        <f t="shared" si="10"/>
        <v>-</v>
      </c>
      <c r="I38" s="93"/>
      <c r="J38" s="93"/>
      <c r="K38" s="93"/>
      <c r="L38" s="93"/>
    </row>
    <row r="39" spans="1:12">
      <c r="A39" s="99" t="s">
        <v>113</v>
      </c>
      <c r="B39" s="337"/>
      <c r="C39" s="338">
        <f>C20</f>
        <v>1639.9259999999999</v>
      </c>
      <c r="D39" s="338">
        <f>D20</f>
        <v>1995.1</v>
      </c>
      <c r="E39" s="338">
        <f>E20</f>
        <v>1487.82</v>
      </c>
      <c r="F39" s="338">
        <f>F20</f>
        <v>162.08000000000001</v>
      </c>
      <c r="G39" s="30">
        <f t="shared" si="11"/>
        <v>5284.9259999999995</v>
      </c>
      <c r="H39" s="321">
        <f t="shared" si="10"/>
        <v>5.8903461436539663E-2</v>
      </c>
      <c r="I39" s="93"/>
      <c r="J39" s="93"/>
      <c r="K39" s="93"/>
      <c r="L39" s="93"/>
    </row>
    <row r="40" spans="1:12">
      <c r="A40" s="113"/>
      <c r="B40" s="113"/>
      <c r="C40" s="306"/>
      <c r="D40" s="306"/>
      <c r="E40" s="306"/>
      <c r="F40" s="306"/>
      <c r="G40" s="31"/>
      <c r="H40" s="306"/>
      <c r="I40" s="93"/>
      <c r="J40" s="93"/>
      <c r="K40" s="93"/>
      <c r="L40" s="93"/>
    </row>
    <row r="41" spans="1:12">
      <c r="A41" s="9" t="s">
        <v>114</v>
      </c>
      <c r="B41" s="339" t="s">
        <v>74</v>
      </c>
      <c r="C41" s="309" t="s">
        <v>75</v>
      </c>
      <c r="D41" s="309" t="s">
        <v>76</v>
      </c>
      <c r="E41" s="309" t="s">
        <v>77</v>
      </c>
      <c r="F41" s="309" t="s">
        <v>78</v>
      </c>
      <c r="G41" s="27" t="s">
        <v>79</v>
      </c>
      <c r="H41" s="310" t="s">
        <v>115</v>
      </c>
      <c r="I41" s="93"/>
      <c r="J41" s="93"/>
      <c r="K41" s="93"/>
      <c r="L41" s="93"/>
    </row>
    <row r="42" spans="1:12" ht="15.6" customHeight="1">
      <c r="A42" s="324" t="s">
        <v>116</v>
      </c>
      <c r="B42" s="328" t="s">
        <v>117</v>
      </c>
      <c r="C42" s="313"/>
      <c r="D42" s="313"/>
      <c r="E42" s="313"/>
      <c r="F42" s="313"/>
      <c r="G42" s="28">
        <f t="shared" ref="G42:G50" si="13">SUM(C42:F42)</f>
        <v>0</v>
      </c>
      <c r="H42" s="340" t="str">
        <f>IF(G42&gt;0,G42/$G$21,"-")</f>
        <v>-</v>
      </c>
      <c r="I42" s="93"/>
      <c r="J42" s="93"/>
      <c r="K42" s="93"/>
      <c r="L42" s="93"/>
    </row>
    <row r="43" spans="1:12">
      <c r="A43" s="108" t="s">
        <v>118</v>
      </c>
      <c r="B43" s="328" t="s">
        <v>117</v>
      </c>
      <c r="C43" s="326"/>
      <c r="D43" s="326"/>
      <c r="E43" s="326"/>
      <c r="F43" s="326"/>
      <c r="G43" s="29">
        <f t="shared" si="13"/>
        <v>0</v>
      </c>
      <c r="H43" s="340" t="str">
        <f t="shared" ref="H43:H48" si="14">IF(G43&gt;0,G43/$G$21,"-")</f>
        <v>-</v>
      </c>
      <c r="I43" s="93"/>
      <c r="J43" s="93"/>
      <c r="K43" s="93"/>
      <c r="L43" s="93"/>
    </row>
    <row r="44" spans="1:12" ht="15.6" customHeight="1">
      <c r="A44" s="108" t="s">
        <v>119</v>
      </c>
      <c r="B44" s="328" t="s">
        <v>120</v>
      </c>
      <c r="C44" s="326">
        <v>0</v>
      </c>
      <c r="D44" s="326">
        <v>0</v>
      </c>
      <c r="E44" s="326">
        <v>0</v>
      </c>
      <c r="F44" s="326">
        <v>0</v>
      </c>
      <c r="G44" s="29">
        <f t="shared" si="13"/>
        <v>0</v>
      </c>
      <c r="H44" s="340" t="str">
        <f t="shared" si="14"/>
        <v>-</v>
      </c>
      <c r="I44" s="93"/>
      <c r="J44" s="93"/>
      <c r="K44" s="93"/>
      <c r="L44" s="93"/>
    </row>
    <row r="45" spans="1:12" ht="15.6" customHeight="1">
      <c r="A45" s="108" t="s">
        <v>121</v>
      </c>
      <c r="B45" s="328" t="s">
        <v>120</v>
      </c>
      <c r="C45" s="326">
        <v>52000</v>
      </c>
      <c r="D45" s="326">
        <v>100000</v>
      </c>
      <c r="E45" s="326">
        <v>127762</v>
      </c>
      <c r="F45" s="326">
        <v>0</v>
      </c>
      <c r="G45" s="29">
        <f t="shared" ref="G45" si="15">SUM(C45:F45)</f>
        <v>279762</v>
      </c>
      <c r="H45" s="340">
        <f t="shared" si="14"/>
        <v>3.1181042418397555</v>
      </c>
      <c r="I45" s="93"/>
      <c r="J45" s="93"/>
      <c r="K45" s="93"/>
      <c r="L45" s="93"/>
    </row>
    <row r="46" spans="1:12">
      <c r="A46" s="108" t="s">
        <v>122</v>
      </c>
      <c r="B46" s="328" t="s">
        <v>120</v>
      </c>
      <c r="C46" s="326">
        <v>0</v>
      </c>
      <c r="D46" s="326">
        <v>0</v>
      </c>
      <c r="E46" s="326">
        <v>0</v>
      </c>
      <c r="F46" s="326">
        <v>0</v>
      </c>
      <c r="G46" s="29">
        <f t="shared" si="13"/>
        <v>0</v>
      </c>
      <c r="H46" s="340" t="str">
        <f t="shared" si="14"/>
        <v>-</v>
      </c>
      <c r="I46" s="93"/>
      <c r="J46" s="93"/>
      <c r="K46" s="93"/>
      <c r="L46" s="93"/>
    </row>
    <row r="47" spans="1:12">
      <c r="A47" s="108" t="s">
        <v>123</v>
      </c>
      <c r="B47" s="328" t="s">
        <v>120</v>
      </c>
      <c r="C47" s="326">
        <v>83000</v>
      </c>
      <c r="D47" s="326">
        <v>76300</v>
      </c>
      <c r="E47" s="326">
        <v>90800</v>
      </c>
      <c r="F47" s="326">
        <v>10900</v>
      </c>
      <c r="G47" s="29">
        <f t="shared" si="13"/>
        <v>261000</v>
      </c>
      <c r="H47" s="340">
        <f t="shared" si="14"/>
        <v>2.9089912394112716</v>
      </c>
      <c r="I47" s="93"/>
      <c r="J47" s="93"/>
      <c r="K47" s="93"/>
      <c r="L47" s="93"/>
    </row>
    <row r="48" spans="1:12">
      <c r="A48" s="108" t="s">
        <v>124</v>
      </c>
      <c r="B48" s="328" t="s">
        <v>117</v>
      </c>
      <c r="C48" s="326">
        <v>260200</v>
      </c>
      <c r="D48" s="326">
        <v>480700</v>
      </c>
      <c r="E48" s="326">
        <v>242800</v>
      </c>
      <c r="F48" s="326">
        <v>285000</v>
      </c>
      <c r="G48" s="29">
        <f t="shared" si="13"/>
        <v>1268700</v>
      </c>
      <c r="H48" s="340">
        <f t="shared" si="14"/>
        <v>14.140372358011803</v>
      </c>
      <c r="I48" s="93"/>
      <c r="J48" s="93"/>
      <c r="K48" s="93"/>
      <c r="L48" s="93"/>
    </row>
    <row r="49" spans="1:10">
      <c r="A49" s="108" t="s">
        <v>125</v>
      </c>
      <c r="B49" s="328" t="s">
        <v>126</v>
      </c>
      <c r="C49" s="326">
        <v>0</v>
      </c>
      <c r="D49" s="326">
        <v>0</v>
      </c>
      <c r="E49" s="326">
        <v>0</v>
      </c>
      <c r="F49" s="326">
        <v>0</v>
      </c>
      <c r="G49" s="29">
        <f t="shared" si="13"/>
        <v>0</v>
      </c>
      <c r="H49" s="341"/>
      <c r="I49" s="93"/>
      <c r="J49" s="93"/>
    </row>
    <row r="50" spans="1:10">
      <c r="A50" s="99" t="s">
        <v>127</v>
      </c>
      <c r="B50" s="342"/>
      <c r="C50" s="338">
        <v>0</v>
      </c>
      <c r="D50" s="338">
        <v>0</v>
      </c>
      <c r="E50" s="338">
        <v>0</v>
      </c>
      <c r="F50" s="338">
        <v>0</v>
      </c>
      <c r="G50" s="30">
        <f t="shared" si="13"/>
        <v>0</v>
      </c>
      <c r="H50" s="343"/>
      <c r="I50" s="93"/>
      <c r="J50" s="93"/>
    </row>
    <row r="51" spans="1:10">
      <c r="A51" s="113"/>
      <c r="B51" s="113"/>
      <c r="C51" s="306"/>
      <c r="D51" s="306"/>
      <c r="E51" s="306"/>
      <c r="F51" s="306"/>
      <c r="G51" s="31"/>
      <c r="H51" s="306"/>
      <c r="I51" s="93"/>
      <c r="J51" s="93"/>
    </row>
    <row r="52" spans="1:10">
      <c r="A52" s="9" t="s">
        <v>128</v>
      </c>
      <c r="B52" s="344" t="s">
        <v>129</v>
      </c>
      <c r="C52" s="322" t="s">
        <v>75</v>
      </c>
      <c r="D52" s="322" t="s">
        <v>76</v>
      </c>
      <c r="E52" s="322" t="s">
        <v>77</v>
      </c>
      <c r="F52" s="322" t="s">
        <v>78</v>
      </c>
      <c r="G52" s="32" t="s">
        <v>79</v>
      </c>
      <c r="H52" s="323"/>
      <c r="I52" s="93"/>
      <c r="J52" s="86" t="s">
        <v>130</v>
      </c>
    </row>
    <row r="53" spans="1:10" ht="14.25" customHeight="1">
      <c r="A53" s="345" t="s">
        <v>131</v>
      </c>
      <c r="B53" s="322">
        <f>+B5</f>
        <v>1</v>
      </c>
      <c r="C53" s="313">
        <v>1757</v>
      </c>
      <c r="D53" s="313">
        <v>1564</v>
      </c>
      <c r="E53" s="313">
        <v>1913</v>
      </c>
      <c r="F53" s="313">
        <v>233</v>
      </c>
      <c r="G53" s="28">
        <f t="shared" ref="G53:G65" si="16">SUM(C53:F53)</f>
        <v>5467</v>
      </c>
      <c r="H53" s="314" t="s">
        <v>132</v>
      </c>
      <c r="I53" s="93"/>
      <c r="J53" s="88">
        <v>8760</v>
      </c>
    </row>
    <row r="54" spans="1:10" ht="14.25" customHeight="1">
      <c r="A54" s="346"/>
      <c r="B54" s="306">
        <v>2</v>
      </c>
      <c r="C54" s="316"/>
      <c r="D54" s="316"/>
      <c r="E54" s="316"/>
      <c r="F54" s="316"/>
      <c r="G54" s="29">
        <f t="shared" si="16"/>
        <v>0</v>
      </c>
      <c r="H54" s="317" t="s">
        <v>133</v>
      </c>
      <c r="I54" s="93"/>
      <c r="J54" s="93"/>
    </row>
    <row r="55" spans="1:10" ht="14.25" customHeight="1">
      <c r="A55" s="346"/>
      <c r="B55" s="306">
        <v>3</v>
      </c>
      <c r="C55" s="316"/>
      <c r="D55" s="316"/>
      <c r="E55" s="316"/>
      <c r="F55" s="316"/>
      <c r="G55" s="29">
        <f t="shared" si="16"/>
        <v>0</v>
      </c>
      <c r="H55" s="317" t="s">
        <v>133</v>
      </c>
      <c r="I55" s="93"/>
      <c r="J55" s="93"/>
    </row>
    <row r="56" spans="1:10" ht="14.25" customHeight="1">
      <c r="A56" s="346"/>
      <c r="B56" s="306">
        <v>4</v>
      </c>
      <c r="C56" s="316"/>
      <c r="D56" s="316"/>
      <c r="E56" s="316"/>
      <c r="F56" s="316"/>
      <c r="G56" s="29">
        <f t="shared" si="16"/>
        <v>0</v>
      </c>
      <c r="H56" s="317" t="s">
        <v>133</v>
      </c>
      <c r="I56" s="93"/>
      <c r="J56" s="93"/>
    </row>
    <row r="57" spans="1:10" ht="14.25" customHeight="1">
      <c r="A57" s="346"/>
      <c r="B57" s="306">
        <v>5</v>
      </c>
      <c r="C57" s="316"/>
      <c r="D57" s="316"/>
      <c r="E57" s="316"/>
      <c r="F57" s="316"/>
      <c r="G57" s="29">
        <f t="shared" ref="G57" si="17">SUM(C57:F57)</f>
        <v>0</v>
      </c>
      <c r="H57" s="317" t="s">
        <v>133</v>
      </c>
      <c r="I57" s="93"/>
      <c r="J57" s="93"/>
    </row>
    <row r="58" spans="1:10" ht="14.25" customHeight="1">
      <c r="A58" s="108" t="s">
        <v>134</v>
      </c>
      <c r="B58" s="306"/>
      <c r="C58" s="316"/>
      <c r="D58" s="316"/>
      <c r="E58" s="316"/>
      <c r="F58" s="316"/>
      <c r="G58" s="29">
        <f>AVERAGE(G53)</f>
        <v>5467</v>
      </c>
      <c r="H58" s="87" t="s">
        <v>133</v>
      </c>
      <c r="I58" s="93"/>
      <c r="J58" s="93"/>
    </row>
    <row r="59" spans="1:10" ht="14.25" customHeight="1">
      <c r="A59" s="108" t="s">
        <v>135</v>
      </c>
      <c r="B59" s="306">
        <v>1</v>
      </c>
      <c r="C59" s="316">
        <f>C53</f>
        <v>1757</v>
      </c>
      <c r="D59" s="316">
        <f t="shared" ref="D59:F59" si="18">D53</f>
        <v>1564</v>
      </c>
      <c r="E59" s="316">
        <f t="shared" si="18"/>
        <v>1913</v>
      </c>
      <c r="F59" s="316">
        <f t="shared" si="18"/>
        <v>233</v>
      </c>
      <c r="G59" s="29">
        <f t="shared" si="16"/>
        <v>5467</v>
      </c>
      <c r="H59" s="317" t="s">
        <v>133</v>
      </c>
      <c r="I59" s="93"/>
      <c r="J59" s="93"/>
    </row>
    <row r="60" spans="1:10">
      <c r="A60" s="108" t="s">
        <v>135</v>
      </c>
      <c r="B60" s="306">
        <v>2</v>
      </c>
      <c r="C60" s="326"/>
      <c r="D60" s="326"/>
      <c r="E60" s="326"/>
      <c r="F60" s="326"/>
      <c r="G60" s="29">
        <f t="shared" si="16"/>
        <v>0</v>
      </c>
      <c r="H60" s="317" t="s">
        <v>133</v>
      </c>
      <c r="I60" s="93"/>
      <c r="J60" s="93"/>
    </row>
    <row r="61" spans="1:10">
      <c r="A61" s="108" t="s">
        <v>136</v>
      </c>
      <c r="B61" s="306"/>
      <c r="C61" s="326"/>
      <c r="D61" s="326"/>
      <c r="E61" s="326"/>
      <c r="F61" s="326"/>
      <c r="G61" s="29">
        <f t="shared" si="16"/>
        <v>0</v>
      </c>
      <c r="H61" s="317" t="str">
        <f>IF(B61&gt;0,G60/J53,"n/a")</f>
        <v>n/a</v>
      </c>
      <c r="I61" s="93"/>
      <c r="J61" s="93"/>
    </row>
    <row r="62" spans="1:10">
      <c r="A62" s="108" t="s">
        <v>137</v>
      </c>
      <c r="B62" s="306" t="s">
        <v>138</v>
      </c>
      <c r="C62" s="326"/>
      <c r="D62" s="326"/>
      <c r="E62" s="326"/>
      <c r="F62" s="326"/>
      <c r="G62" s="29"/>
      <c r="H62" s="347" t="s">
        <v>139</v>
      </c>
      <c r="I62" s="93"/>
      <c r="J62" s="93"/>
    </row>
    <row r="63" spans="1:10">
      <c r="A63" s="108" t="s">
        <v>140</v>
      </c>
      <c r="B63" s="306" t="s">
        <v>141</v>
      </c>
      <c r="C63" s="326">
        <v>2</v>
      </c>
      <c r="D63" s="326">
        <v>0</v>
      </c>
      <c r="E63" s="326">
        <v>6</v>
      </c>
      <c r="F63" s="326">
        <v>0</v>
      </c>
      <c r="G63" s="29">
        <f t="shared" si="16"/>
        <v>8</v>
      </c>
      <c r="H63" s="327" t="str">
        <f>IF(G63&gt;0,"yes","no")</f>
        <v>yes</v>
      </c>
      <c r="I63" s="93"/>
      <c r="J63" s="93"/>
    </row>
    <row r="64" spans="1:10">
      <c r="A64" s="108" t="s">
        <v>142</v>
      </c>
      <c r="B64" s="306" t="s">
        <v>143</v>
      </c>
      <c r="C64" s="326">
        <v>5</v>
      </c>
      <c r="D64" s="326">
        <v>0</v>
      </c>
      <c r="E64" s="326">
        <v>9.5</v>
      </c>
      <c r="F64" s="326">
        <v>0</v>
      </c>
      <c r="G64" s="29">
        <f t="shared" si="16"/>
        <v>14.5</v>
      </c>
      <c r="H64" s="348">
        <f>+(G64)/J53</f>
        <v>1.6552511415525114E-3</v>
      </c>
      <c r="I64" s="93"/>
      <c r="J64" s="93"/>
    </row>
    <row r="65" spans="1:8">
      <c r="A65" s="99" t="s">
        <v>144</v>
      </c>
      <c r="B65" s="349" t="s">
        <v>141</v>
      </c>
      <c r="C65" s="338">
        <v>1</v>
      </c>
      <c r="D65" s="338">
        <v>0</v>
      </c>
      <c r="E65" s="338">
        <v>2</v>
      </c>
      <c r="F65" s="338">
        <v>0</v>
      </c>
      <c r="G65" s="30">
        <f t="shared" si="16"/>
        <v>3</v>
      </c>
      <c r="H65" s="350" t="str">
        <f>IF(G65&gt;0,"yes","no")</f>
        <v>yes</v>
      </c>
    </row>
    <row r="78" spans="1:8">
      <c r="A78" s="93"/>
      <c r="B78" s="113"/>
      <c r="C78" s="113"/>
      <c r="D78" s="113"/>
      <c r="E78" s="113"/>
      <c r="F78" s="3"/>
      <c r="H78" s="306"/>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L42" sqref="L42"/>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Ince Bio Power</v>
      </c>
      <c r="F1" s="93"/>
      <c r="G1" s="93"/>
      <c r="H1" s="93"/>
      <c r="I1" s="93"/>
      <c r="J1" s="93"/>
      <c r="K1" s="93"/>
      <c r="L1" s="93"/>
      <c r="M1" s="93"/>
      <c r="N1" s="93"/>
    </row>
    <row r="3" spans="1:14">
      <c r="A3" s="51" t="s">
        <v>145</v>
      </c>
      <c r="B3" s="293"/>
      <c r="C3" s="293"/>
      <c r="D3" s="293"/>
      <c r="E3" s="293"/>
      <c r="F3" s="293"/>
      <c r="G3" s="293"/>
      <c r="H3" s="293"/>
      <c r="I3" s="294"/>
      <c r="J3" s="93"/>
      <c r="K3" s="81" t="s">
        <v>1</v>
      </c>
      <c r="L3" s="93"/>
      <c r="M3" s="93"/>
      <c r="N3" s="93"/>
    </row>
    <row r="4" spans="1:14">
      <c r="A4" s="295"/>
      <c r="B4" s="296"/>
      <c r="C4" s="296"/>
      <c r="D4" s="296"/>
      <c r="E4" s="296"/>
      <c r="F4" s="296"/>
      <c r="G4" s="296"/>
      <c r="H4" s="296"/>
      <c r="I4" s="297"/>
      <c r="J4" s="93"/>
      <c r="K4" s="93"/>
      <c r="L4" s="93"/>
      <c r="M4" s="93"/>
      <c r="N4" s="93"/>
    </row>
    <row r="5" spans="1:14" ht="15.75" customHeight="1">
      <c r="A5" s="133" t="s">
        <v>146</v>
      </c>
      <c r="B5" s="134"/>
      <c r="C5" s="134"/>
      <c r="D5" s="134"/>
      <c r="E5" s="134"/>
      <c r="F5" s="134"/>
      <c r="G5" s="134"/>
      <c r="H5" s="134"/>
      <c r="I5" s="135"/>
      <c r="J5" s="93"/>
      <c r="K5" s="205" t="s">
        <v>147</v>
      </c>
      <c r="L5" s="205"/>
      <c r="M5" s="205"/>
      <c r="N5" s="205"/>
    </row>
    <row r="6" spans="1:14">
      <c r="A6" s="136"/>
      <c r="B6" s="137"/>
      <c r="C6" s="137"/>
      <c r="D6" s="137"/>
      <c r="E6" s="137"/>
      <c r="F6" s="137"/>
      <c r="G6" s="137"/>
      <c r="H6" s="137"/>
      <c r="I6" s="138"/>
      <c r="J6" s="93"/>
      <c r="K6" s="205"/>
      <c r="L6" s="205"/>
      <c r="M6" s="205"/>
      <c r="N6" s="205"/>
    </row>
    <row r="7" spans="1:14">
      <c r="A7" s="136"/>
      <c r="B7" s="137"/>
      <c r="C7" s="137"/>
      <c r="D7" s="137"/>
      <c r="E7" s="137"/>
      <c r="F7" s="137"/>
      <c r="G7" s="137"/>
      <c r="H7" s="137"/>
      <c r="I7" s="138"/>
      <c r="J7" s="93"/>
      <c r="K7" s="205"/>
      <c r="L7" s="205"/>
      <c r="M7" s="205"/>
      <c r="N7" s="205"/>
    </row>
    <row r="8" spans="1:14" ht="15.75" customHeight="1">
      <c r="A8" s="136"/>
      <c r="B8" s="137"/>
      <c r="C8" s="137"/>
      <c r="D8" s="137"/>
      <c r="E8" s="137"/>
      <c r="F8" s="137"/>
      <c r="G8" s="137"/>
      <c r="H8" s="137"/>
      <c r="I8" s="138"/>
      <c r="J8" s="93"/>
      <c r="K8" s="205"/>
      <c r="L8" s="205"/>
      <c r="M8" s="205"/>
      <c r="N8" s="205"/>
    </row>
    <row r="9" spans="1:14" ht="15.75" customHeight="1">
      <c r="A9" s="136"/>
      <c r="B9" s="137"/>
      <c r="C9" s="137"/>
      <c r="D9" s="137"/>
      <c r="E9" s="137"/>
      <c r="F9" s="137"/>
      <c r="G9" s="137"/>
      <c r="H9" s="137"/>
      <c r="I9" s="138"/>
      <c r="J9" s="93"/>
      <c r="K9" s="205"/>
      <c r="L9" s="205"/>
      <c r="M9" s="205"/>
      <c r="N9" s="205"/>
    </row>
    <row r="10" spans="1:14" ht="15.75" customHeight="1">
      <c r="A10" s="136"/>
      <c r="B10" s="137"/>
      <c r="C10" s="137"/>
      <c r="D10" s="137"/>
      <c r="E10" s="137"/>
      <c r="F10" s="137"/>
      <c r="G10" s="137"/>
      <c r="H10" s="137"/>
      <c r="I10" s="138"/>
      <c r="J10" s="93"/>
      <c r="K10" s="205"/>
      <c r="L10" s="205"/>
      <c r="M10" s="205"/>
      <c r="N10" s="205"/>
    </row>
    <row r="11" spans="1:14" ht="15.75" customHeight="1">
      <c r="A11" s="136"/>
      <c r="B11" s="137"/>
      <c r="C11" s="137"/>
      <c r="D11" s="137"/>
      <c r="E11" s="137"/>
      <c r="F11" s="137"/>
      <c r="G11" s="137"/>
      <c r="H11" s="137"/>
      <c r="I11" s="138"/>
      <c r="J11" s="93"/>
      <c r="K11" s="205"/>
      <c r="L11" s="205"/>
      <c r="M11" s="205"/>
      <c r="N11" s="205"/>
    </row>
    <row r="12" spans="1:14" ht="15.75" customHeight="1">
      <c r="A12" s="136"/>
      <c r="B12" s="137"/>
      <c r="C12" s="137"/>
      <c r="D12" s="137"/>
      <c r="E12" s="137"/>
      <c r="F12" s="137"/>
      <c r="G12" s="137"/>
      <c r="H12" s="137"/>
      <c r="I12" s="138"/>
      <c r="J12" s="93"/>
      <c r="K12" s="205"/>
      <c r="L12" s="205"/>
      <c r="M12" s="205"/>
      <c r="N12" s="205"/>
    </row>
    <row r="13" spans="1:14" ht="15.75" customHeight="1">
      <c r="A13" s="136"/>
      <c r="B13" s="137"/>
      <c r="C13" s="137"/>
      <c r="D13" s="137"/>
      <c r="E13" s="137"/>
      <c r="F13" s="137"/>
      <c r="G13" s="137"/>
      <c r="H13" s="137"/>
      <c r="I13" s="138"/>
      <c r="J13" s="93"/>
      <c r="K13" s="205"/>
      <c r="L13" s="205"/>
      <c r="M13" s="205"/>
      <c r="N13" s="205"/>
    </row>
    <row r="14" spans="1:14" ht="15.75" customHeight="1">
      <c r="A14" s="136"/>
      <c r="B14" s="137"/>
      <c r="C14" s="137"/>
      <c r="D14" s="137"/>
      <c r="E14" s="137"/>
      <c r="F14" s="137"/>
      <c r="G14" s="137"/>
      <c r="H14" s="137"/>
      <c r="I14" s="138"/>
      <c r="J14" s="93"/>
      <c r="K14" s="205"/>
      <c r="L14" s="205"/>
      <c r="M14" s="205"/>
      <c r="N14" s="205"/>
    </row>
    <row r="15" spans="1:14" ht="15.75" customHeight="1">
      <c r="A15" s="136"/>
      <c r="B15" s="137"/>
      <c r="C15" s="137"/>
      <c r="D15" s="137"/>
      <c r="E15" s="137"/>
      <c r="F15" s="137"/>
      <c r="G15" s="137"/>
      <c r="H15" s="137"/>
      <c r="I15" s="138"/>
      <c r="J15" s="93"/>
      <c r="K15" s="93"/>
      <c r="L15" s="93"/>
      <c r="M15" s="93"/>
      <c r="N15" s="93"/>
    </row>
    <row r="16" spans="1:14" ht="15.75" customHeight="1">
      <c r="A16" s="136"/>
      <c r="B16" s="137"/>
      <c r="C16" s="137"/>
      <c r="D16" s="137"/>
      <c r="E16" s="137"/>
      <c r="F16" s="137"/>
      <c r="G16" s="137"/>
      <c r="H16" s="137"/>
      <c r="I16" s="138"/>
      <c r="J16" s="93"/>
      <c r="K16" s="93"/>
      <c r="L16" s="93"/>
      <c r="M16" s="93"/>
      <c r="N16" s="93"/>
    </row>
    <row r="17" spans="1:14" ht="15.75" customHeight="1">
      <c r="A17" s="136"/>
      <c r="B17" s="137"/>
      <c r="C17" s="137"/>
      <c r="D17" s="137"/>
      <c r="E17" s="137"/>
      <c r="F17" s="137"/>
      <c r="G17" s="137"/>
      <c r="H17" s="137"/>
      <c r="I17" s="138"/>
      <c r="J17" s="93"/>
      <c r="K17" s="93"/>
      <c r="L17" s="93"/>
      <c r="M17" s="93"/>
      <c r="N17" s="93"/>
    </row>
    <row r="18" spans="1:14">
      <c r="A18" s="136"/>
      <c r="B18" s="137"/>
      <c r="C18" s="137"/>
      <c r="D18" s="137"/>
      <c r="E18" s="137"/>
      <c r="F18" s="137"/>
      <c r="G18" s="137"/>
      <c r="H18" s="137"/>
      <c r="I18" s="138"/>
      <c r="J18" s="93"/>
      <c r="K18" s="93"/>
      <c r="L18" s="93"/>
      <c r="M18" s="93"/>
      <c r="N18" s="93"/>
    </row>
    <row r="19" spans="1:14">
      <c r="A19" s="136"/>
      <c r="B19" s="137"/>
      <c r="C19" s="137"/>
      <c r="D19" s="137"/>
      <c r="E19" s="137"/>
      <c r="F19" s="137"/>
      <c r="G19" s="137"/>
      <c r="H19" s="137"/>
      <c r="I19" s="138"/>
      <c r="J19" s="93"/>
      <c r="K19" s="93"/>
      <c r="L19" s="93"/>
      <c r="M19" s="93"/>
      <c r="N19" s="93"/>
    </row>
    <row r="20" spans="1:14">
      <c r="A20" s="136"/>
      <c r="B20" s="137"/>
      <c r="C20" s="137"/>
      <c r="D20" s="137"/>
      <c r="E20" s="137"/>
      <c r="F20" s="137"/>
      <c r="G20" s="137"/>
      <c r="H20" s="137"/>
      <c r="I20" s="138"/>
      <c r="J20" s="93"/>
      <c r="K20" s="93"/>
      <c r="L20" s="93"/>
      <c r="M20" s="93"/>
      <c r="N20" s="93"/>
    </row>
    <row r="21" spans="1:14">
      <c r="A21" s="136"/>
      <c r="B21" s="137"/>
      <c r="C21" s="137"/>
      <c r="D21" s="137"/>
      <c r="E21" s="137"/>
      <c r="F21" s="137"/>
      <c r="G21" s="137"/>
      <c r="H21" s="137"/>
      <c r="I21" s="138"/>
      <c r="J21" s="93"/>
      <c r="K21" s="93"/>
      <c r="L21" s="93"/>
      <c r="M21" s="93"/>
      <c r="N21" s="93"/>
    </row>
    <row r="22" spans="1:14" ht="15.4" customHeight="1">
      <c r="A22" s="136"/>
      <c r="B22" s="137"/>
      <c r="C22" s="137"/>
      <c r="D22" s="137"/>
      <c r="E22" s="137"/>
      <c r="F22" s="137"/>
      <c r="G22" s="137"/>
      <c r="H22" s="137"/>
      <c r="I22" s="138"/>
      <c r="J22" s="93"/>
      <c r="K22" s="95"/>
      <c r="L22" s="95"/>
      <c r="M22" s="95"/>
      <c r="N22" s="95"/>
    </row>
    <row r="23" spans="1:14">
      <c r="A23" s="136"/>
      <c r="B23" s="137"/>
      <c r="C23" s="137"/>
      <c r="D23" s="137"/>
      <c r="E23" s="137"/>
      <c r="F23" s="137"/>
      <c r="G23" s="137"/>
      <c r="H23" s="137"/>
      <c r="I23" s="138"/>
      <c r="J23" s="93"/>
      <c r="K23" s="95"/>
      <c r="L23" s="95"/>
      <c r="M23" s="95"/>
      <c r="N23" s="95"/>
    </row>
    <row r="24" spans="1:14">
      <c r="A24" s="136"/>
      <c r="B24" s="137"/>
      <c r="C24" s="137"/>
      <c r="D24" s="137"/>
      <c r="E24" s="137"/>
      <c r="F24" s="137"/>
      <c r="G24" s="137"/>
      <c r="H24" s="137"/>
      <c r="I24" s="138"/>
      <c r="J24" s="93"/>
      <c r="K24" s="95"/>
      <c r="L24" s="95"/>
      <c r="M24" s="95"/>
      <c r="N24" s="95"/>
    </row>
    <row r="25" spans="1:14">
      <c r="A25" s="136"/>
      <c r="B25" s="137"/>
      <c r="C25" s="137"/>
      <c r="D25" s="137"/>
      <c r="E25" s="137"/>
      <c r="F25" s="137"/>
      <c r="G25" s="137"/>
      <c r="H25" s="137"/>
      <c r="I25" s="138"/>
      <c r="J25" s="93"/>
      <c r="K25" s="95"/>
      <c r="L25" s="95"/>
      <c r="M25" s="95"/>
      <c r="N25" s="95"/>
    </row>
    <row r="26" spans="1:14">
      <c r="A26" s="136"/>
      <c r="B26" s="137"/>
      <c r="C26" s="137"/>
      <c r="D26" s="137"/>
      <c r="E26" s="137"/>
      <c r="F26" s="137"/>
      <c r="G26" s="137"/>
      <c r="H26" s="137"/>
      <c r="I26" s="138"/>
      <c r="J26" s="93"/>
      <c r="K26" s="95"/>
      <c r="L26" s="95"/>
      <c r="M26" s="95"/>
      <c r="N26" s="95"/>
    </row>
    <row r="27" spans="1:14">
      <c r="A27" s="139"/>
      <c r="B27" s="140"/>
      <c r="C27" s="140"/>
      <c r="D27" s="140"/>
      <c r="E27" s="140"/>
      <c r="F27" s="140"/>
      <c r="G27" s="140"/>
      <c r="H27" s="140"/>
      <c r="I27" s="141"/>
      <c r="J27" s="93"/>
      <c r="K27" s="95"/>
      <c r="L27" s="95"/>
      <c r="M27" s="95"/>
      <c r="N27" s="95"/>
    </row>
    <row r="28" spans="1:14">
      <c r="A28" s="93"/>
      <c r="B28" s="93"/>
      <c r="C28" s="93"/>
      <c r="D28" s="93"/>
      <c r="E28" s="93"/>
      <c r="F28" s="93"/>
      <c r="G28" s="93"/>
      <c r="H28" s="93"/>
      <c r="I28" s="93"/>
      <c r="J28" s="93"/>
      <c r="K28" s="95"/>
      <c r="L28" s="95"/>
      <c r="M28" s="95"/>
      <c r="N28" s="95"/>
    </row>
    <row r="29" spans="1:14">
      <c r="A29" s="51" t="s">
        <v>148</v>
      </c>
      <c r="B29" s="293"/>
      <c r="C29" s="293"/>
      <c r="D29" s="293"/>
      <c r="E29" s="293"/>
      <c r="F29" s="293"/>
      <c r="G29" s="293"/>
      <c r="H29" s="293"/>
      <c r="I29" s="294"/>
      <c r="J29" s="93"/>
      <c r="K29" s="95"/>
      <c r="L29" s="95"/>
      <c r="M29" s="95"/>
      <c r="N29" s="95"/>
    </row>
    <row r="30" spans="1:14">
      <c r="A30" s="295"/>
      <c r="B30" s="296"/>
      <c r="C30" s="296"/>
      <c r="D30" s="296"/>
      <c r="E30" s="296"/>
      <c r="F30" s="296"/>
      <c r="G30" s="296"/>
      <c r="H30" s="296"/>
      <c r="I30" s="297"/>
      <c r="J30" s="93"/>
      <c r="K30" s="95"/>
      <c r="L30" s="95"/>
      <c r="M30" s="95"/>
      <c r="N30" s="95"/>
    </row>
    <row r="31" spans="1:14" ht="15" customHeight="1">
      <c r="A31" s="133" t="s">
        <v>149</v>
      </c>
      <c r="B31" s="144"/>
      <c r="C31" s="144"/>
      <c r="D31" s="144"/>
      <c r="E31" s="144"/>
      <c r="F31" s="144"/>
      <c r="G31" s="144"/>
      <c r="H31" s="144"/>
      <c r="I31" s="145"/>
      <c r="J31" s="93"/>
      <c r="K31" s="205" t="s">
        <v>150</v>
      </c>
      <c r="L31" s="205"/>
      <c r="M31" s="205"/>
      <c r="N31" s="205"/>
    </row>
    <row r="32" spans="1:14">
      <c r="A32" s="146"/>
      <c r="B32" s="147"/>
      <c r="C32" s="147"/>
      <c r="D32" s="147"/>
      <c r="E32" s="147"/>
      <c r="F32" s="147"/>
      <c r="G32" s="147"/>
      <c r="H32" s="147"/>
      <c r="I32" s="148"/>
      <c r="J32" s="93"/>
      <c r="K32" s="205"/>
      <c r="L32" s="205"/>
      <c r="M32" s="205"/>
      <c r="N32" s="205"/>
    </row>
    <row r="33" spans="1:14">
      <c r="A33" s="146"/>
      <c r="B33" s="147"/>
      <c r="C33" s="147"/>
      <c r="D33" s="147"/>
      <c r="E33" s="147"/>
      <c r="F33" s="147"/>
      <c r="G33" s="147"/>
      <c r="H33" s="147"/>
      <c r="I33" s="148"/>
      <c r="J33" s="93"/>
      <c r="K33" s="205"/>
      <c r="L33" s="205"/>
      <c r="M33" s="205"/>
      <c r="N33" s="205"/>
    </row>
    <row r="34" spans="1:14">
      <c r="A34" s="146"/>
      <c r="B34" s="147"/>
      <c r="C34" s="147"/>
      <c r="D34" s="147"/>
      <c r="E34" s="147"/>
      <c r="F34" s="147"/>
      <c r="G34" s="147"/>
      <c r="H34" s="147"/>
      <c r="I34" s="148"/>
      <c r="J34" s="93"/>
      <c r="K34" s="205"/>
      <c r="L34" s="205"/>
      <c r="M34" s="205"/>
      <c r="N34" s="205"/>
    </row>
    <row r="35" spans="1:14">
      <c r="A35" s="146"/>
      <c r="B35" s="147"/>
      <c r="C35" s="147"/>
      <c r="D35" s="147"/>
      <c r="E35" s="147"/>
      <c r="F35" s="147"/>
      <c r="G35" s="147"/>
      <c r="H35" s="147"/>
      <c r="I35" s="148"/>
      <c r="J35" s="93"/>
      <c r="K35" s="205"/>
      <c r="L35" s="205"/>
      <c r="M35" s="205"/>
      <c r="N35" s="205"/>
    </row>
    <row r="36" spans="1:14">
      <c r="A36" s="146"/>
      <c r="B36" s="147"/>
      <c r="C36" s="147"/>
      <c r="D36" s="147"/>
      <c r="E36" s="147"/>
      <c r="F36" s="147"/>
      <c r="G36" s="147"/>
      <c r="H36" s="147"/>
      <c r="I36" s="148"/>
      <c r="J36" s="93"/>
      <c r="K36" s="205"/>
      <c r="L36" s="205"/>
      <c r="M36" s="205"/>
      <c r="N36" s="205"/>
    </row>
    <row r="37" spans="1:14">
      <c r="A37" s="146"/>
      <c r="B37" s="147"/>
      <c r="C37" s="147"/>
      <c r="D37" s="147"/>
      <c r="E37" s="147"/>
      <c r="F37" s="147"/>
      <c r="G37" s="147"/>
      <c r="H37" s="147"/>
      <c r="I37" s="148"/>
      <c r="J37" s="93"/>
      <c r="K37" s="205"/>
      <c r="L37" s="205"/>
      <c r="M37" s="205"/>
      <c r="N37" s="205"/>
    </row>
    <row r="38" spans="1:14" ht="14.25" customHeight="1">
      <c r="A38" s="146"/>
      <c r="B38" s="147"/>
      <c r="C38" s="147"/>
      <c r="D38" s="147"/>
      <c r="E38" s="147"/>
      <c r="F38" s="147"/>
      <c r="G38" s="147"/>
      <c r="H38" s="147"/>
      <c r="I38" s="148"/>
      <c r="J38" s="93"/>
      <c r="K38" s="205"/>
      <c r="L38" s="205"/>
      <c r="M38" s="205"/>
      <c r="N38" s="205"/>
    </row>
    <row r="39" spans="1:14">
      <c r="A39" s="146"/>
      <c r="B39" s="147"/>
      <c r="C39" s="147"/>
      <c r="D39" s="147"/>
      <c r="E39" s="147"/>
      <c r="F39" s="147"/>
      <c r="G39" s="147"/>
      <c r="H39" s="147"/>
      <c r="I39" s="148"/>
      <c r="J39" s="93"/>
      <c r="K39" s="205"/>
      <c r="L39" s="205"/>
      <c r="M39" s="205"/>
      <c r="N39" s="205"/>
    </row>
    <row r="40" spans="1:14">
      <c r="A40" s="146"/>
      <c r="B40" s="147"/>
      <c r="C40" s="147"/>
      <c r="D40" s="147"/>
      <c r="E40" s="147"/>
      <c r="F40" s="147"/>
      <c r="G40" s="147"/>
      <c r="H40" s="147"/>
      <c r="I40" s="148"/>
      <c r="J40" s="93"/>
      <c r="K40" s="205"/>
      <c r="L40" s="205"/>
      <c r="M40" s="205"/>
      <c r="N40" s="205"/>
    </row>
    <row r="41" spans="1:14">
      <c r="A41" s="146"/>
      <c r="B41" s="147"/>
      <c r="C41" s="147"/>
      <c r="D41" s="147"/>
      <c r="E41" s="147"/>
      <c r="F41" s="147"/>
      <c r="G41" s="147"/>
      <c r="H41" s="147"/>
      <c r="I41" s="148"/>
      <c r="J41" s="93"/>
      <c r="K41" s="93"/>
      <c r="L41" s="93"/>
      <c r="M41" s="93"/>
      <c r="N41" s="93"/>
    </row>
    <row r="42" spans="1:14">
      <c r="A42" s="146"/>
      <c r="B42" s="147"/>
      <c r="C42" s="147"/>
      <c r="D42" s="147"/>
      <c r="E42" s="147"/>
      <c r="F42" s="147"/>
      <c r="G42" s="147"/>
      <c r="H42" s="147"/>
      <c r="I42" s="148"/>
      <c r="J42" s="93"/>
      <c r="K42" s="93"/>
      <c r="L42" s="93"/>
      <c r="M42" s="93"/>
      <c r="N42" s="93"/>
    </row>
    <row r="43" spans="1:14">
      <c r="A43" s="146"/>
      <c r="B43" s="147"/>
      <c r="C43" s="147"/>
      <c r="D43" s="147"/>
      <c r="E43" s="147"/>
      <c r="F43" s="147"/>
      <c r="G43" s="147"/>
      <c r="H43" s="147"/>
      <c r="I43" s="148"/>
      <c r="J43" s="93"/>
      <c r="K43" s="93"/>
      <c r="L43" s="93"/>
      <c r="M43" s="93"/>
      <c r="N43" s="93"/>
    </row>
    <row r="44" spans="1:14">
      <c r="A44" s="146"/>
      <c r="B44" s="147"/>
      <c r="C44" s="147"/>
      <c r="D44" s="147"/>
      <c r="E44" s="147"/>
      <c r="F44" s="147"/>
      <c r="G44" s="147"/>
      <c r="H44" s="147"/>
      <c r="I44" s="148"/>
      <c r="J44" s="93"/>
      <c r="K44" s="93"/>
      <c r="L44" s="93"/>
      <c r="M44" s="93"/>
      <c r="N44" s="93"/>
    </row>
    <row r="45" spans="1:14">
      <c r="A45" s="146"/>
      <c r="B45" s="147"/>
      <c r="C45" s="147"/>
      <c r="D45" s="147"/>
      <c r="E45" s="147"/>
      <c r="F45" s="147"/>
      <c r="G45" s="147"/>
      <c r="H45" s="147"/>
      <c r="I45" s="148"/>
      <c r="J45" s="93"/>
      <c r="K45" s="93"/>
      <c r="L45" s="93"/>
      <c r="M45" s="93"/>
      <c r="N45" s="93"/>
    </row>
    <row r="46" spans="1:14">
      <c r="A46" s="146"/>
      <c r="B46" s="147"/>
      <c r="C46" s="147"/>
      <c r="D46" s="147"/>
      <c r="E46" s="147"/>
      <c r="F46" s="147"/>
      <c r="G46" s="147"/>
      <c r="H46" s="147"/>
      <c r="I46" s="148"/>
      <c r="J46" s="93"/>
      <c r="K46" s="93"/>
      <c r="L46" s="93"/>
      <c r="M46" s="93"/>
      <c r="N46" s="93"/>
    </row>
    <row r="47" spans="1:14">
      <c r="A47" s="146"/>
      <c r="B47" s="147"/>
      <c r="C47" s="147"/>
      <c r="D47" s="147"/>
      <c r="E47" s="147"/>
      <c r="F47" s="147"/>
      <c r="G47" s="147"/>
      <c r="H47" s="147"/>
      <c r="I47" s="148"/>
      <c r="J47" s="93"/>
      <c r="K47" s="93"/>
      <c r="L47" s="93"/>
      <c r="M47" s="93"/>
      <c r="N47" s="93"/>
    </row>
    <row r="48" spans="1:14">
      <c r="A48" s="146"/>
      <c r="B48" s="147"/>
      <c r="C48" s="147"/>
      <c r="D48" s="147"/>
      <c r="E48" s="147"/>
      <c r="F48" s="147"/>
      <c r="G48" s="147"/>
      <c r="H48" s="147"/>
      <c r="I48" s="148"/>
      <c r="J48" s="93"/>
      <c r="K48" s="93"/>
      <c r="L48" s="93"/>
      <c r="M48" s="93"/>
      <c r="N48" s="93"/>
    </row>
    <row r="49" spans="1:9">
      <c r="A49" s="146"/>
      <c r="B49" s="147"/>
      <c r="C49" s="147"/>
      <c r="D49" s="147"/>
      <c r="E49" s="147"/>
      <c r="F49" s="147"/>
      <c r="G49" s="147"/>
      <c r="H49" s="147"/>
      <c r="I49" s="148"/>
    </row>
    <row r="50" spans="1:9">
      <c r="A50" s="146"/>
      <c r="B50" s="147"/>
      <c r="C50" s="147"/>
      <c r="D50" s="147"/>
      <c r="E50" s="147"/>
      <c r="F50" s="147"/>
      <c r="G50" s="147"/>
      <c r="H50" s="147"/>
      <c r="I50" s="148"/>
    </row>
    <row r="51" spans="1:9">
      <c r="A51" s="146"/>
      <c r="B51" s="147"/>
      <c r="C51" s="147"/>
      <c r="D51" s="147"/>
      <c r="E51" s="147"/>
      <c r="F51" s="147"/>
      <c r="G51" s="147"/>
      <c r="H51" s="147"/>
      <c r="I51" s="148"/>
    </row>
    <row r="52" spans="1:9">
      <c r="A52" s="149"/>
      <c r="B52" s="150"/>
      <c r="C52" s="150"/>
      <c r="D52" s="150"/>
      <c r="E52" s="150"/>
      <c r="F52" s="150"/>
      <c r="G52" s="150"/>
      <c r="H52" s="150"/>
      <c r="I52" s="151"/>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election activeCell="O29" sqref="O29"/>
    </sheetView>
  </sheetViews>
  <sheetFormatPr defaultColWidth="9.28515625" defaultRowHeight="15.6"/>
  <cols>
    <col min="1" max="7" width="9.28515625" style="2"/>
    <col min="8" max="8" width="11.28515625" style="2" bestFit="1" customWidth="1"/>
    <col min="9" max="16384" width="9.28515625" style="2"/>
  </cols>
  <sheetData>
    <row r="1" spans="1:10">
      <c r="A1" s="33">
        <f>+'Cover Page'!C39</f>
        <v>2022</v>
      </c>
      <c r="B1" s="34" t="s">
        <v>151</v>
      </c>
      <c r="C1" s="34"/>
      <c r="D1" s="34"/>
      <c r="E1" s="34"/>
      <c r="F1" s="34"/>
      <c r="G1" s="34"/>
      <c r="H1" s="34"/>
      <c r="I1" s="34"/>
      <c r="J1" s="34"/>
    </row>
    <row r="2" spans="1:10" ht="8.25" customHeight="1">
      <c r="A2" s="93"/>
      <c r="B2" s="93"/>
      <c r="C2" s="93"/>
      <c r="D2" s="93"/>
      <c r="E2" s="93"/>
      <c r="F2" s="93"/>
      <c r="G2" s="93"/>
      <c r="H2" s="93"/>
      <c r="I2" s="93"/>
      <c r="J2" s="93"/>
    </row>
    <row r="3" spans="1:10" s="3" customFormat="1" ht="14.1">
      <c r="A3" s="165" t="str">
        <f>+'Cover Page'!B31</f>
        <v>Permit EPR/NP3101SV</v>
      </c>
      <c r="B3" s="165"/>
      <c r="C3" s="165"/>
      <c r="D3" s="165"/>
      <c r="E3" s="165"/>
      <c r="F3" s="3" t="s">
        <v>152</v>
      </c>
      <c r="G3" s="166">
        <f>'Cover Page'!B37:I37</f>
        <v>0</v>
      </c>
      <c r="H3" s="166"/>
      <c r="I3" s="166"/>
    </row>
    <row r="4" spans="1:10" s="3" customFormat="1" ht="14.1">
      <c r="A4" s="3" t="s">
        <v>153</v>
      </c>
      <c r="B4" s="165" t="str">
        <f>+'Cover Page'!B33:I33</f>
        <v>Ince Bio Power</v>
      </c>
      <c r="C4" s="165"/>
      <c r="D4" s="165"/>
      <c r="E4" s="165"/>
      <c r="F4" s="3" t="s">
        <v>154</v>
      </c>
      <c r="G4" s="3" t="s">
        <v>155</v>
      </c>
    </row>
    <row r="5" spans="1:10" s="3" customFormat="1" ht="6.75" customHeight="1"/>
    <row r="6" spans="1:10" s="3" customFormat="1" ht="15.75" customHeight="1">
      <c r="A6" s="3" t="s">
        <v>156</v>
      </c>
      <c r="D6" s="167" t="s">
        <v>157</v>
      </c>
      <c r="E6" s="167"/>
      <c r="F6" s="35" t="s">
        <v>158</v>
      </c>
      <c r="G6" s="167" t="s">
        <v>159</v>
      </c>
      <c r="H6" s="167"/>
    </row>
    <row r="7" spans="1:10" s="3" customFormat="1" ht="7.5" customHeight="1"/>
    <row r="8" spans="1:10" s="3" customFormat="1">
      <c r="A8" s="9">
        <f>+A1</f>
        <v>2022</v>
      </c>
      <c r="B8" s="34" t="s">
        <v>160</v>
      </c>
      <c r="C8"/>
      <c r="D8"/>
      <c r="E8"/>
      <c r="F8"/>
      <c r="G8"/>
    </row>
    <row r="9" spans="1:10" s="3" customFormat="1" ht="28.5" customHeight="1">
      <c r="A9" s="168" t="s">
        <v>161</v>
      </c>
      <c r="B9" s="168"/>
      <c r="C9" s="168" t="s">
        <v>162</v>
      </c>
      <c r="D9" s="168"/>
      <c r="E9" s="168" t="s">
        <v>163</v>
      </c>
      <c r="F9" s="168"/>
      <c r="G9" s="168" t="s">
        <v>164</v>
      </c>
      <c r="H9" s="168"/>
      <c r="I9" s="168" t="s">
        <v>165</v>
      </c>
      <c r="J9" s="168"/>
    </row>
    <row r="10" spans="1:10" s="3" customFormat="1" ht="14.25" customHeight="1">
      <c r="A10" s="164" t="s">
        <v>166</v>
      </c>
      <c r="B10" s="164"/>
      <c r="C10" s="164"/>
      <c r="D10" s="164"/>
      <c r="E10" s="164"/>
      <c r="F10" s="164"/>
      <c r="G10" s="164"/>
      <c r="H10" s="164"/>
      <c r="I10" s="164"/>
      <c r="J10" s="164"/>
    </row>
    <row r="11" spans="1:10" s="3" customFormat="1" ht="14.25" customHeight="1">
      <c r="A11" s="164" t="s">
        <v>167</v>
      </c>
      <c r="B11" s="164"/>
      <c r="C11" s="163" t="s">
        <v>168</v>
      </c>
      <c r="D11" s="163"/>
      <c r="E11" s="163">
        <f>'Operational Data'!G34</f>
        <v>1936.0400000000002</v>
      </c>
      <c r="F11" s="163"/>
      <c r="G11" s="351"/>
      <c r="H11" s="351"/>
      <c r="I11" s="352">
        <f>IF((E11+G11)&gt;0,(E11+G11)/'Operational Data'!$G$21, "-")</f>
        <v>2.1578250571455168E-2</v>
      </c>
      <c r="J11" s="352"/>
    </row>
    <row r="12" spans="1:10" s="3" customFormat="1" ht="14.25" customHeight="1">
      <c r="A12" s="164" t="s">
        <v>169</v>
      </c>
      <c r="B12" s="164"/>
      <c r="C12" s="163" t="s">
        <v>168</v>
      </c>
      <c r="D12" s="163"/>
      <c r="E12" s="163">
        <f>'Operational Data'!G35</f>
        <v>1269.06</v>
      </c>
      <c r="F12" s="163"/>
      <c r="G12" s="351"/>
      <c r="H12" s="351"/>
      <c r="I12" s="352">
        <f>IF((E12+G12)&gt;0,(E12+G12)/'Operational Data'!$G$21, "-")</f>
        <v>1.4144384759721334E-2</v>
      </c>
      <c r="J12" s="352"/>
    </row>
    <row r="13" spans="1:10" s="3" customFormat="1" ht="14.25" customHeight="1">
      <c r="A13" s="164" t="s">
        <v>170</v>
      </c>
      <c r="B13" s="164"/>
      <c r="C13" s="163" t="s">
        <v>168</v>
      </c>
      <c r="D13" s="163"/>
      <c r="E13" s="163">
        <f>'Operational Data'!G36</f>
        <v>621.14</v>
      </c>
      <c r="F13" s="163"/>
      <c r="G13" s="351"/>
      <c r="H13" s="351"/>
      <c r="I13" s="352">
        <f>IF((E13+G13)&gt;0,(E13+G13)/'Operational Data'!$G$21, "-")</f>
        <v>6.9229533273866559E-3</v>
      </c>
      <c r="J13" s="352"/>
    </row>
    <row r="14" spans="1:10" s="3" customFormat="1" ht="14.25" customHeight="1">
      <c r="A14" s="353"/>
      <c r="B14" s="353"/>
      <c r="C14" s="163"/>
      <c r="D14" s="163"/>
      <c r="E14" s="351"/>
      <c r="F14" s="351"/>
      <c r="G14" s="351"/>
      <c r="H14" s="351"/>
      <c r="I14" s="352" t="str">
        <f>IF((E14+G14)&gt;0,(E14+G14)/'Operational Data'!$G$21, "-")</f>
        <v>-</v>
      </c>
      <c r="J14" s="352"/>
    </row>
    <row r="15" spans="1:10" s="3" customFormat="1" ht="14.25" customHeight="1">
      <c r="A15" s="354" t="s">
        <v>171</v>
      </c>
      <c r="B15" s="354"/>
      <c r="C15" s="354"/>
      <c r="D15" s="354"/>
      <c r="E15" s="355">
        <f>SUM(E11:F14)</f>
        <v>3826.2400000000002</v>
      </c>
      <c r="F15" s="355"/>
      <c r="G15" s="355">
        <f>SUM(G11:H14)</f>
        <v>0</v>
      </c>
      <c r="H15" s="355"/>
      <c r="I15" s="352">
        <f>IF((E15+G15)&gt;0,(E15+G15)/'Operational Data'!$G$21, "-")</f>
        <v>4.2645588658563161E-2</v>
      </c>
      <c r="J15" s="352"/>
    </row>
    <row r="16" spans="1:10" s="3" customFormat="1" ht="14.25" customHeight="1">
      <c r="A16" s="233"/>
      <c r="B16" s="356"/>
      <c r="C16" s="356"/>
      <c r="D16" s="356"/>
      <c r="E16" s="357"/>
      <c r="F16" s="357"/>
      <c r="G16" s="357"/>
      <c r="H16" s="357"/>
      <c r="I16" s="358"/>
      <c r="J16" s="238"/>
    </row>
    <row r="17" spans="1:10" s="3" customFormat="1" ht="14.25" customHeight="1">
      <c r="A17" s="359" t="s">
        <v>172</v>
      </c>
      <c r="B17" s="359"/>
      <c r="C17" s="359"/>
      <c r="D17" s="359"/>
      <c r="E17" s="359"/>
      <c r="F17" s="359"/>
      <c r="G17" s="359"/>
      <c r="H17" s="359"/>
      <c r="I17" s="359"/>
      <c r="J17" s="359"/>
    </row>
    <row r="18" spans="1:10" ht="14.25" customHeight="1">
      <c r="A18" s="164" t="s">
        <v>111</v>
      </c>
      <c r="B18" s="164"/>
      <c r="C18" s="163" t="s">
        <v>173</v>
      </c>
      <c r="D18" s="163"/>
      <c r="E18" s="351"/>
      <c r="F18" s="351"/>
      <c r="G18" s="163">
        <f>'Operational Data'!G37</f>
        <v>68.240000000000009</v>
      </c>
      <c r="H18" s="163"/>
      <c r="I18" s="352">
        <f>IF((E18+G18)&gt;0,(E18+G18)/'Operational Data'!$G$21, "-")</f>
        <v>7.6057303516254872E-4</v>
      </c>
      <c r="J18" s="352"/>
    </row>
    <row r="19" spans="1:10" s="3" customFormat="1" ht="14.25" customHeight="1">
      <c r="A19" s="164" t="s">
        <v>174</v>
      </c>
      <c r="B19" s="164"/>
      <c r="C19" s="163"/>
      <c r="D19" s="163"/>
      <c r="E19" s="351"/>
      <c r="F19" s="351"/>
      <c r="G19" s="163">
        <f>'Operational Data'!G38</f>
        <v>0</v>
      </c>
      <c r="H19" s="163"/>
      <c r="I19" s="352" t="str">
        <f>IF((E19+G19)&gt;0,(E19+G19)/'Operational Data'!$G$21, "-")</f>
        <v>-</v>
      </c>
      <c r="J19" s="352"/>
    </row>
    <row r="20" spans="1:10" s="3" customFormat="1" ht="14.25" customHeight="1">
      <c r="A20" s="164" t="s">
        <v>113</v>
      </c>
      <c r="B20" s="164"/>
      <c r="C20" s="163" t="s">
        <v>175</v>
      </c>
      <c r="D20" s="163"/>
      <c r="E20" s="351"/>
      <c r="F20" s="351"/>
      <c r="G20" s="163">
        <f>'Operational Data'!G39</f>
        <v>5284.9259999999995</v>
      </c>
      <c r="H20" s="163"/>
      <c r="I20" s="352">
        <f>IF((E20+G20)&gt;0,(E20+G20)/'Operational Data'!$G$21, "-")</f>
        <v>5.8903461436539663E-2</v>
      </c>
      <c r="J20" s="352"/>
    </row>
    <row r="21" spans="1:10" s="3" customFormat="1" ht="14.25" customHeight="1">
      <c r="A21" s="162" t="s">
        <v>176</v>
      </c>
      <c r="B21" s="162"/>
      <c r="C21" s="163" t="s">
        <v>177</v>
      </c>
      <c r="D21" s="163"/>
      <c r="E21" s="351"/>
      <c r="F21" s="351"/>
      <c r="G21" s="163">
        <f>381.08+325.58+437.46+52+975.627</f>
        <v>2171.7469999999998</v>
      </c>
      <c r="H21" s="163"/>
      <c r="I21" s="352">
        <f>IF((E21+G21)&gt;0,(E21+G21)/'Operational Data'!$G$21, "-")</f>
        <v>2.4205337154090845E-2</v>
      </c>
      <c r="J21" s="352"/>
    </row>
    <row r="22" spans="1:10" s="3" customFormat="1" ht="14.25" customHeight="1">
      <c r="A22" s="162" t="s">
        <v>178</v>
      </c>
      <c r="B22" s="162"/>
      <c r="C22" s="163" t="s">
        <v>175</v>
      </c>
      <c r="D22" s="163"/>
      <c r="E22" s="351">
        <f>7.08+19.64+67.32</f>
        <v>94.039999999999992</v>
      </c>
      <c r="F22" s="351"/>
      <c r="G22" s="351"/>
      <c r="H22" s="351"/>
      <c r="I22" s="352">
        <f>IF((E22+G22)&gt;0,(E22+G22)/'Operational Data'!$G$21, "-")</f>
        <v>1.0481284910123982E-3</v>
      </c>
      <c r="J22" s="352"/>
    </row>
    <row r="23" spans="1:10" s="3" customFormat="1" ht="14.25" customHeight="1">
      <c r="A23" s="162" t="s">
        <v>179</v>
      </c>
      <c r="B23" s="162"/>
      <c r="C23" s="162"/>
      <c r="D23" s="162"/>
      <c r="E23" s="355">
        <f>SUM(E18:F22)</f>
        <v>94.039999999999992</v>
      </c>
      <c r="F23" s="355"/>
      <c r="G23" s="355">
        <f>SUM(G18:H22)</f>
        <v>7524.9129999999986</v>
      </c>
      <c r="H23" s="355"/>
      <c r="I23" s="352">
        <f>IF((E23+G23)&gt;0,(E23+G23)/'Operational Data'!$G$21, "-")</f>
        <v>8.4917500116805447E-2</v>
      </c>
      <c r="J23" s="352"/>
    </row>
    <row r="24" spans="1:10" s="3" customFormat="1" ht="14.25" customHeight="1">
      <c r="A24" s="160" t="s">
        <v>180</v>
      </c>
      <c r="B24" s="160"/>
      <c r="C24" s="160"/>
      <c r="D24" s="160"/>
      <c r="E24" s="161">
        <f>+E23+E15</f>
        <v>3920.28</v>
      </c>
      <c r="F24" s="161"/>
      <c r="G24" s="161">
        <f>+G23+G15</f>
        <v>7524.9129999999986</v>
      </c>
      <c r="H24" s="161"/>
      <c r="I24" s="360">
        <f>IF((E24+G24)&gt;0,(E24+G24)/'Operational Data'!$G$21, "-")</f>
        <v>0.12756308877536862</v>
      </c>
      <c r="J24" s="360"/>
    </row>
    <row r="25" spans="1:10" s="3" customFormat="1" ht="8.25" customHeight="1">
      <c r="A25" s="361"/>
      <c r="B25"/>
      <c r="C25"/>
      <c r="D25"/>
      <c r="E25"/>
      <c r="F25"/>
      <c r="G25"/>
    </row>
    <row r="26" spans="1:10" s="3" customFormat="1" ht="14.25" customHeight="1">
      <c r="A26" s="152" t="s">
        <v>181</v>
      </c>
      <c r="B26" s="152"/>
      <c r="C26" s="152"/>
      <c r="D26" s="152"/>
      <c r="E26" s="152"/>
      <c r="F26" s="152"/>
      <c r="G26" s="152"/>
      <c r="H26" s="152"/>
      <c r="I26" s="152"/>
      <c r="J26" s="152"/>
    </row>
    <row r="27" spans="1:10" s="3" customFormat="1" ht="14.25" customHeight="1">
      <c r="A27" s="153"/>
      <c r="B27" s="153"/>
      <c r="C27" s="153"/>
      <c r="D27" s="153"/>
      <c r="E27" s="153"/>
      <c r="F27" s="153"/>
      <c r="G27" s="153"/>
      <c r="H27" s="153"/>
      <c r="I27" s="153"/>
      <c r="J27" s="153"/>
    </row>
    <row r="28" spans="1:10" s="3" customFormat="1" ht="14.25" customHeight="1">
      <c r="A28" s="153"/>
      <c r="B28" s="153"/>
      <c r="C28" s="153"/>
      <c r="D28" s="153"/>
      <c r="E28" s="153"/>
      <c r="F28" s="153"/>
      <c r="G28" s="153"/>
      <c r="H28" s="153"/>
      <c r="I28" s="153"/>
      <c r="J28" s="153"/>
    </row>
    <row r="29" spans="1:10" s="3" customFormat="1" ht="14.25" customHeight="1">
      <c r="A29" s="153"/>
      <c r="B29" s="153"/>
      <c r="C29" s="153"/>
      <c r="D29" s="153"/>
      <c r="E29" s="153"/>
      <c r="F29" s="153"/>
      <c r="G29" s="153"/>
      <c r="H29" s="153"/>
      <c r="I29" s="153"/>
      <c r="J29" s="153"/>
    </row>
    <row r="30" spans="1:10" s="3" customFormat="1" ht="14.25" customHeight="1">
      <c r="A30" s="361"/>
      <c r="B30"/>
      <c r="C30"/>
      <c r="D30"/>
      <c r="E30"/>
      <c r="F30"/>
      <c r="G30"/>
    </row>
    <row r="31" spans="1:10" s="3" customFormat="1" ht="14.25" customHeight="1">
      <c r="A31" s="1">
        <f>+A1</f>
        <v>2022</v>
      </c>
      <c r="B31" s="34" t="s">
        <v>182</v>
      </c>
      <c r="C31" s="34"/>
      <c r="D31" s="34"/>
      <c r="E31" s="34"/>
      <c r="F31" s="34"/>
    </row>
    <row r="32" spans="1:10" s="3" customFormat="1" ht="24.75" customHeight="1">
      <c r="A32" s="155" t="s">
        <v>183</v>
      </c>
      <c r="B32" s="156"/>
      <c r="C32" s="156"/>
      <c r="D32" s="157"/>
      <c r="E32" s="38" t="s">
        <v>184</v>
      </c>
      <c r="F32" s="39"/>
      <c r="G32" s="40" t="s">
        <v>74</v>
      </c>
      <c r="H32" s="158" t="s">
        <v>185</v>
      </c>
      <c r="I32" s="159"/>
      <c r="J32" s="41" t="s">
        <v>74</v>
      </c>
    </row>
    <row r="33" spans="1:10" s="3" customFormat="1" ht="14.25" customHeight="1">
      <c r="A33" s="233" t="s">
        <v>116</v>
      </c>
      <c r="B33" s="356"/>
      <c r="C33" s="356"/>
      <c r="D33" s="234"/>
      <c r="E33" s="237">
        <f>+'Operational Data'!G42/1000</f>
        <v>0</v>
      </c>
      <c r="F33" s="238"/>
      <c r="G33" s="362" t="s">
        <v>186</v>
      </c>
      <c r="H33" s="363" t="str">
        <f>IF(E33&gt;0,E33/'Operational Data'!$G$21,"-")</f>
        <v>-</v>
      </c>
      <c r="I33" s="364"/>
      <c r="J33" s="362" t="s">
        <v>187</v>
      </c>
    </row>
    <row r="34" spans="1:10" s="3" customFormat="1" ht="14.25" customHeight="1">
      <c r="A34" s="233" t="s">
        <v>188</v>
      </c>
      <c r="B34" s="356"/>
      <c r="C34" s="356"/>
      <c r="D34" s="234"/>
      <c r="E34" s="237">
        <f>(+'Operational Data'!G43+'Operational Data'!G42)/1000</f>
        <v>0</v>
      </c>
      <c r="F34" s="238"/>
      <c r="G34" s="362" t="s">
        <v>186</v>
      </c>
      <c r="H34" s="363" t="str">
        <f>IF(E34&gt;0,E34/'Operational Data'!$G$21,"-")</f>
        <v>-</v>
      </c>
      <c r="I34" s="364"/>
      <c r="J34" s="362" t="s">
        <v>187</v>
      </c>
    </row>
    <row r="35" spans="1:10" s="3" customFormat="1" ht="14.25" customHeight="1">
      <c r="A35" s="233" t="s">
        <v>189</v>
      </c>
      <c r="B35" s="356"/>
      <c r="C35" s="356"/>
      <c r="D35" s="234"/>
      <c r="E35" s="237">
        <f>'Operational Data'!G45</f>
        <v>279762</v>
      </c>
      <c r="F35" s="238"/>
      <c r="G35" s="362" t="s">
        <v>190</v>
      </c>
      <c r="H35" s="363">
        <f>IF(E35&gt;0,E35/'Operational Data'!$G$21,"-")</f>
        <v>3.1181042418397555</v>
      </c>
      <c r="I35" s="364"/>
      <c r="J35" s="362" t="s">
        <v>191</v>
      </c>
    </row>
    <row r="36" spans="1:10" s="3" customFormat="1" ht="14.25" customHeight="1">
      <c r="A36" s="233" t="s">
        <v>122</v>
      </c>
      <c r="B36" s="356"/>
      <c r="C36" s="356"/>
      <c r="D36" s="234"/>
      <c r="E36" s="237">
        <f>'Operational Data'!G46</f>
        <v>0</v>
      </c>
      <c r="F36" s="238"/>
      <c r="G36" s="362" t="s">
        <v>190</v>
      </c>
      <c r="H36" s="363" t="str">
        <f>IF(E36&gt;0,E36/'Operational Data'!$G$21,"-")</f>
        <v>-</v>
      </c>
      <c r="I36" s="364"/>
      <c r="J36" s="362" t="s">
        <v>191</v>
      </c>
    </row>
    <row r="37" spans="1:10" s="3" customFormat="1" ht="14.25" customHeight="1">
      <c r="A37" s="233" t="s">
        <v>192</v>
      </c>
      <c r="B37" s="356"/>
      <c r="C37" s="356"/>
      <c r="D37" s="234"/>
      <c r="E37" s="237">
        <f>+'Operational Data'!G47</f>
        <v>261000</v>
      </c>
      <c r="F37" s="238"/>
      <c r="G37" s="362" t="s">
        <v>190</v>
      </c>
      <c r="H37" s="363">
        <f>IF(E37&gt;0,E37/'Operational Data'!$G$21,"-")</f>
        <v>2.9089912394112716</v>
      </c>
      <c r="I37" s="364"/>
      <c r="J37" s="362" t="s">
        <v>191</v>
      </c>
    </row>
    <row r="38" spans="1:10" s="3" customFormat="1" ht="14.25" customHeight="1">
      <c r="A38" s="365"/>
      <c r="B38" s="366"/>
      <c r="C38" s="366"/>
      <c r="D38" s="367"/>
      <c r="E38" s="368"/>
      <c r="F38" s="369"/>
      <c r="G38" s="370"/>
      <c r="H38" s="371"/>
      <c r="I38" s="372"/>
      <c r="J38" s="370"/>
    </row>
    <row r="39" spans="1:10" s="3" customFormat="1" ht="14.25" customHeight="1">
      <c r="A39" s="152" t="s">
        <v>181</v>
      </c>
      <c r="B39" s="152"/>
      <c r="C39" s="152"/>
      <c r="D39" s="152"/>
      <c r="E39" s="152"/>
      <c r="F39" s="152"/>
      <c r="G39" s="152"/>
      <c r="H39" s="152"/>
      <c r="I39" s="152"/>
      <c r="J39" s="152"/>
    </row>
    <row r="40" spans="1:10" s="3" customFormat="1" ht="14.25" customHeight="1">
      <c r="A40" s="153"/>
      <c r="B40" s="153"/>
      <c r="C40" s="153"/>
      <c r="D40" s="153"/>
      <c r="E40" s="153"/>
      <c r="F40" s="153"/>
      <c r="G40" s="153"/>
      <c r="H40" s="153"/>
      <c r="I40" s="153"/>
      <c r="J40" s="153"/>
    </row>
    <row r="41" spans="1:10" s="3" customFormat="1" ht="14.25" customHeight="1">
      <c r="A41" s="153"/>
      <c r="B41" s="153"/>
      <c r="C41" s="153"/>
      <c r="D41" s="153"/>
      <c r="E41" s="153"/>
      <c r="F41" s="153"/>
      <c r="G41" s="153"/>
      <c r="H41" s="153"/>
      <c r="I41" s="153"/>
      <c r="J41" s="153"/>
    </row>
    <row r="42" spans="1:10" s="3" customFormat="1" ht="14.25" customHeight="1">
      <c r="A42" s="42"/>
      <c r="B42" s="42"/>
      <c r="C42" s="42"/>
      <c r="D42" s="42"/>
      <c r="E42" s="42"/>
      <c r="F42" s="42"/>
      <c r="G42" s="42"/>
      <c r="H42" s="42"/>
      <c r="I42" s="42"/>
      <c r="J42" s="42"/>
    </row>
    <row r="43" spans="1:10" s="3" customFormat="1" ht="14.25" customHeight="1">
      <c r="A43" s="34">
        <f>+A31</f>
        <v>2022</v>
      </c>
      <c r="B43" s="34" t="s">
        <v>193</v>
      </c>
      <c r="C43" s="34"/>
      <c r="D43" s="34"/>
      <c r="E43" s="34"/>
      <c r="F43" s="34"/>
      <c r="G43" s="93"/>
    </row>
    <row r="44" spans="1:10" ht="14.25" customHeight="1">
      <c r="A44" s="154" t="s">
        <v>194</v>
      </c>
      <c r="B44" s="154"/>
      <c r="C44" s="154" t="s">
        <v>195</v>
      </c>
      <c r="D44" s="154"/>
      <c r="E44" s="154"/>
      <c r="F44" s="154"/>
      <c r="G44" s="154"/>
      <c r="H44" s="154"/>
      <c r="I44" s="154"/>
      <c r="J44" s="154"/>
    </row>
    <row r="45" spans="1:10" ht="14.25" customHeight="1">
      <c r="A45" s="43"/>
      <c r="B45" s="43"/>
      <c r="C45" s="36" t="s">
        <v>196</v>
      </c>
      <c r="D45" s="36" t="s">
        <v>197</v>
      </c>
      <c r="E45" s="36" t="s">
        <v>198</v>
      </c>
      <c r="F45" s="36" t="s">
        <v>199</v>
      </c>
      <c r="G45" s="36" t="s">
        <v>200</v>
      </c>
      <c r="H45" s="36"/>
      <c r="I45" s="36" t="s">
        <v>201</v>
      </c>
      <c r="J45" s="36" t="s">
        <v>202</v>
      </c>
    </row>
    <row r="46" spans="1:10" ht="31.5" customHeight="1">
      <c r="A46" s="164" t="s">
        <v>203</v>
      </c>
      <c r="B46" s="164"/>
      <c r="C46" s="373">
        <f>'Operational Data'!G53</f>
        <v>5467</v>
      </c>
      <c r="D46" s="373"/>
      <c r="E46" s="373"/>
      <c r="F46" s="374"/>
      <c r="G46" s="374"/>
      <c r="H46" s="374"/>
      <c r="I46" s="374"/>
      <c r="J46" s="374"/>
    </row>
    <row r="47" spans="1:10" ht="43.5" customHeight="1">
      <c r="A47" s="164" t="s">
        <v>204</v>
      </c>
      <c r="B47" s="164"/>
      <c r="C47" s="373">
        <f>'Operational Data'!G63</f>
        <v>8</v>
      </c>
      <c r="D47" s="373"/>
      <c r="E47" s="373"/>
      <c r="F47" s="374"/>
      <c r="G47" s="374"/>
      <c r="H47" s="374"/>
      <c r="I47" s="374"/>
      <c r="J47" s="374"/>
    </row>
    <row r="48" spans="1:10" ht="42.75" customHeight="1">
      <c r="A48" s="164" t="s">
        <v>205</v>
      </c>
      <c r="B48" s="164"/>
      <c r="C48" s="373">
        <f>'Operational Data'!G64</f>
        <v>14.5</v>
      </c>
      <c r="D48" s="373"/>
      <c r="E48" s="373"/>
      <c r="F48" s="374"/>
      <c r="G48" s="374"/>
      <c r="H48" s="374"/>
      <c r="I48" s="374"/>
      <c r="J48" s="374"/>
    </row>
    <row r="49" spans="1:10" ht="8.25" customHeight="1">
      <c r="A49" s="93"/>
      <c r="B49" s="93"/>
      <c r="C49" s="93"/>
      <c r="D49" s="93"/>
      <c r="E49" s="93"/>
      <c r="F49" s="93"/>
      <c r="G49" s="93"/>
      <c r="H49" s="93"/>
      <c r="I49" s="93"/>
      <c r="J49" s="93"/>
    </row>
    <row r="50" spans="1:10">
      <c r="A50" s="152" t="s">
        <v>181</v>
      </c>
      <c r="B50" s="152"/>
      <c r="C50" s="152"/>
      <c r="D50" s="152"/>
      <c r="E50" s="152"/>
      <c r="F50" s="152"/>
      <c r="G50" s="152"/>
      <c r="H50" s="152"/>
      <c r="I50" s="152"/>
      <c r="J50" s="152"/>
    </row>
    <row r="51" spans="1:10">
      <c r="A51" s="153"/>
      <c r="B51" s="153"/>
      <c r="C51" s="153"/>
      <c r="D51" s="153"/>
      <c r="E51" s="153"/>
      <c r="F51" s="153"/>
      <c r="G51" s="153"/>
      <c r="H51" s="153"/>
      <c r="I51" s="153"/>
      <c r="J51" s="153"/>
    </row>
    <row r="52" spans="1:10">
      <c r="A52" s="153"/>
      <c r="B52" s="153"/>
      <c r="C52" s="153"/>
      <c r="D52" s="153"/>
      <c r="E52" s="153"/>
      <c r="F52" s="153"/>
      <c r="G52" s="153"/>
      <c r="H52" s="153"/>
      <c r="I52" s="153"/>
      <c r="J52" s="153"/>
    </row>
    <row r="54" spans="1:10">
      <c r="A54" s="3" t="s">
        <v>206</v>
      </c>
      <c r="B54" s="100" t="s">
        <v>20</v>
      </c>
      <c r="C54" s="44"/>
      <c r="D54" s="44"/>
      <c r="E54" s="44"/>
      <c r="F54" s="3"/>
      <c r="G54" s="3" t="s">
        <v>207</v>
      </c>
      <c r="H54" s="114">
        <v>44957</v>
      </c>
      <c r="I54" s="44"/>
      <c r="J54" s="93"/>
    </row>
    <row r="62" spans="1:10">
      <c r="A62" s="93"/>
      <c r="B62" s="93"/>
      <c r="C62" s="93"/>
      <c r="D62" s="93"/>
      <c r="E62" s="93"/>
      <c r="F62" s="3"/>
      <c r="G62" s="93"/>
      <c r="H62" s="93"/>
      <c r="I62" s="93"/>
      <c r="J62" s="9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I29" sqref="I29"/>
    </sheetView>
  </sheetViews>
  <sheetFormatPr defaultColWidth="9.28515625" defaultRowHeight="15.6"/>
  <cols>
    <col min="1" max="1" width="9.42578125" style="2" bestFit="1" customWidth="1"/>
    <col min="2" max="7" width="9.28515625" style="2"/>
    <col min="8" max="8" width="11.28515625" style="2" bestFit="1" customWidth="1"/>
    <col min="9" max="16384" width="9.28515625" style="2"/>
  </cols>
  <sheetData>
    <row r="1" spans="1:10">
      <c r="A1" s="33">
        <f>+'Cover Page'!C39</f>
        <v>2022</v>
      </c>
      <c r="B1" s="34" t="s">
        <v>208</v>
      </c>
      <c r="C1" s="34"/>
      <c r="D1" s="34"/>
      <c r="E1" s="34"/>
      <c r="F1" s="34"/>
      <c r="G1" s="34"/>
      <c r="H1" s="34"/>
      <c r="I1" s="34"/>
      <c r="J1" s="34"/>
    </row>
    <row r="3" spans="1:10" s="3" customFormat="1" ht="15" customHeight="1">
      <c r="A3" s="3" t="str">
        <f>+'Cover Page'!B31</f>
        <v>Permit EPR/NP3101SV</v>
      </c>
      <c r="F3" s="3" t="s">
        <v>152</v>
      </c>
      <c r="G3" s="169">
        <f>+'Cover Page'!B37:I37</f>
        <v>0</v>
      </c>
      <c r="H3" s="169"/>
      <c r="I3" s="169"/>
    </row>
    <row r="4" spans="1:10" s="3" customFormat="1" ht="14.1"/>
    <row r="5" spans="1:10" s="3" customFormat="1" ht="14.1">
      <c r="A5" s="3" t="s">
        <v>153</v>
      </c>
      <c r="B5" s="165" t="str">
        <f>+'Cover Page'!B33:I33</f>
        <v>Ince Bio Power</v>
      </c>
      <c r="C5" s="165"/>
      <c r="D5" s="165"/>
      <c r="E5" s="165"/>
      <c r="F5" s="3" t="s">
        <v>154</v>
      </c>
      <c r="G5" s="3" t="s">
        <v>209</v>
      </c>
    </row>
    <row r="6" spans="1:10" s="3" customFormat="1" ht="14.1"/>
    <row r="7" spans="1:10" s="3" customFormat="1" ht="15.75" customHeight="1">
      <c r="A7" s="3" t="s">
        <v>156</v>
      </c>
      <c r="D7" s="170" t="str">
        <f>+'Perf. Form 1'!D6:E6</f>
        <v>January</v>
      </c>
      <c r="E7" s="170"/>
      <c r="F7" s="35" t="s">
        <v>158</v>
      </c>
      <c r="G7" s="170" t="str">
        <f>+'Perf. Form 1'!G6:H6</f>
        <v>December</v>
      </c>
      <c r="H7" s="170"/>
    </row>
    <row r="8" spans="1:10" s="3" customFormat="1" ht="14.45">
      <c r="B8"/>
      <c r="C8"/>
      <c r="D8"/>
    </row>
    <row r="9" spans="1:10" s="3" customFormat="1" ht="37.5" customHeight="1">
      <c r="A9" s="154" t="s">
        <v>210</v>
      </c>
      <c r="B9" s="154"/>
      <c r="C9" s="154"/>
      <c r="D9" s="168" t="s">
        <v>211</v>
      </c>
      <c r="E9" s="168"/>
      <c r="F9" s="36" t="s">
        <v>74</v>
      </c>
      <c r="G9" s="154" t="s">
        <v>212</v>
      </c>
      <c r="H9" s="154"/>
      <c r="I9" s="154"/>
    </row>
    <row r="10" spans="1:10" s="3" customFormat="1" ht="24.75" customHeight="1">
      <c r="A10" s="164" t="s">
        <v>213</v>
      </c>
      <c r="B10" s="164"/>
      <c r="C10" s="164"/>
      <c r="D10" s="375">
        <f>+'Operational Data'!G24</f>
        <v>99973.8</v>
      </c>
      <c r="E10" s="375"/>
      <c r="F10" s="112" t="s">
        <v>98</v>
      </c>
      <c r="G10" s="376">
        <f>+'Operational Data'!H24</f>
        <v>1114.264016745803</v>
      </c>
      <c r="H10" s="376"/>
      <c r="I10" s="376"/>
    </row>
    <row r="11" spans="1:10" s="3" customFormat="1" ht="24.75" customHeight="1">
      <c r="A11" s="164" t="s">
        <v>214</v>
      </c>
      <c r="B11" s="164"/>
      <c r="C11" s="164"/>
      <c r="D11" s="375">
        <f>+'Operational Data'!G27</f>
        <v>1728</v>
      </c>
      <c r="E11" s="375"/>
      <c r="F11" s="112" t="s">
        <v>98</v>
      </c>
      <c r="G11" s="376">
        <f>+'Operational Data'!H27</f>
        <v>19.259528205757384</v>
      </c>
      <c r="H11" s="376"/>
      <c r="I11" s="376"/>
    </row>
    <row r="12" spans="1:10" s="3" customFormat="1" ht="24.75" customHeight="1">
      <c r="A12" s="164" t="s">
        <v>215</v>
      </c>
      <c r="B12" s="164"/>
      <c r="C12" s="164"/>
      <c r="D12" s="375">
        <f>+'Operational Data'!G25</f>
        <v>86544</v>
      </c>
      <c r="E12" s="375"/>
      <c r="F12" s="112" t="s">
        <v>98</v>
      </c>
      <c r="G12" s="376">
        <f>+'Operational Data'!H25</f>
        <v>964.5813709716823</v>
      </c>
      <c r="H12" s="376"/>
      <c r="I12" s="376"/>
    </row>
    <row r="13" spans="1:10" s="3" customFormat="1" ht="24.75" customHeight="1">
      <c r="A13" s="164" t="s">
        <v>216</v>
      </c>
      <c r="B13" s="164"/>
      <c r="C13" s="164"/>
      <c r="D13" s="377">
        <f>'Operational Data'!G48*0.00654</f>
        <v>8297.2979999999989</v>
      </c>
      <c r="E13" s="377"/>
      <c r="F13" s="112" t="s">
        <v>82</v>
      </c>
      <c r="G13" s="378"/>
      <c r="H13" s="378"/>
      <c r="I13" s="378"/>
    </row>
    <row r="14" spans="1:10" s="3" customFormat="1" ht="24.75" customHeight="1">
      <c r="A14" s="164" t="s">
        <v>217</v>
      </c>
      <c r="B14" s="164"/>
      <c r="C14" s="164"/>
      <c r="D14" s="375">
        <f>+'Operational Data'!G30</f>
        <v>0</v>
      </c>
      <c r="E14" s="375"/>
      <c r="F14" s="112" t="s">
        <v>218</v>
      </c>
      <c r="G14" s="376" t="str">
        <f>+'Operational Data'!H30</f>
        <v>-</v>
      </c>
      <c r="H14" s="376"/>
      <c r="I14" s="376"/>
    </row>
    <row r="15" spans="1:10" s="3" customFormat="1" ht="24.75" customHeight="1">
      <c r="A15" s="353"/>
      <c r="B15" s="353"/>
      <c r="C15" s="353"/>
      <c r="D15" s="353"/>
      <c r="E15" s="353"/>
      <c r="F15" s="115"/>
      <c r="G15" s="282"/>
      <c r="H15" s="282"/>
      <c r="I15" s="282"/>
    </row>
    <row r="16" spans="1:10" s="3" customFormat="1" ht="24.75" customHeight="1">
      <c r="A16" s="353"/>
      <c r="B16" s="353"/>
      <c r="C16" s="353"/>
      <c r="D16" s="353"/>
      <c r="E16" s="353"/>
      <c r="F16" s="115"/>
      <c r="G16" s="282"/>
      <c r="H16" s="282"/>
      <c r="I16" s="282"/>
    </row>
    <row r="17" spans="1:9" s="3" customFormat="1" ht="14.45">
      <c r="A17" s="45"/>
      <c r="B17"/>
      <c r="C17"/>
      <c r="D17"/>
    </row>
    <row r="18" spans="1:9" s="3" customFormat="1" ht="24" customHeight="1">
      <c r="A18" s="152" t="s">
        <v>181</v>
      </c>
      <c r="B18" s="152"/>
      <c r="C18" s="152"/>
      <c r="D18" s="152"/>
      <c r="E18" s="152"/>
      <c r="F18" s="152"/>
      <c r="G18" s="152"/>
      <c r="H18" s="152"/>
      <c r="I18" s="152"/>
    </row>
    <row r="19" spans="1:9" s="3" customFormat="1" ht="14.1">
      <c r="A19" s="177"/>
      <c r="B19" s="177"/>
      <c r="C19" s="177"/>
      <c r="D19" s="177"/>
      <c r="E19" s="177"/>
      <c r="F19" s="177"/>
      <c r="G19" s="177"/>
      <c r="H19" s="177"/>
      <c r="I19" s="177"/>
    </row>
    <row r="20" spans="1:9" s="3" customFormat="1" ht="14.1">
      <c r="A20" s="177"/>
      <c r="B20" s="177"/>
      <c r="C20" s="177"/>
      <c r="D20" s="177"/>
      <c r="E20" s="177"/>
      <c r="F20" s="177"/>
      <c r="G20" s="177"/>
      <c r="H20" s="177"/>
      <c r="I20" s="177"/>
    </row>
    <row r="21" spans="1:9" s="3" customFormat="1" ht="14.1">
      <c r="A21" s="177"/>
      <c r="B21" s="177"/>
      <c r="C21" s="177"/>
      <c r="D21" s="177"/>
      <c r="E21" s="177"/>
      <c r="F21" s="177"/>
      <c r="G21" s="177"/>
      <c r="H21" s="177"/>
      <c r="I21" s="177"/>
    </row>
    <row r="22" spans="1:9" s="3" customFormat="1" ht="14.1">
      <c r="A22" s="177"/>
      <c r="B22" s="177"/>
      <c r="C22" s="177"/>
      <c r="D22" s="177"/>
      <c r="E22" s="177"/>
      <c r="F22" s="177"/>
      <c r="G22" s="177"/>
      <c r="H22" s="177"/>
      <c r="I22" s="177"/>
    </row>
    <row r="23" spans="1:9" s="3" customFormat="1" ht="14.1">
      <c r="A23" s="177"/>
      <c r="B23" s="177"/>
      <c r="C23" s="177"/>
      <c r="D23" s="177"/>
      <c r="E23" s="177"/>
      <c r="F23" s="177"/>
      <c r="G23" s="177"/>
      <c r="H23" s="177"/>
      <c r="I23" s="177"/>
    </row>
    <row r="24" spans="1:9" s="3" customFormat="1" ht="14.1">
      <c r="A24" s="177"/>
      <c r="B24" s="177"/>
      <c r="C24" s="177"/>
      <c r="D24" s="177"/>
      <c r="E24" s="177"/>
      <c r="F24" s="177"/>
      <c r="G24" s="177"/>
      <c r="H24" s="177"/>
      <c r="I24" s="177"/>
    </row>
    <row r="25" spans="1:9" s="3" customFormat="1" ht="14.1">
      <c r="A25" s="177"/>
      <c r="B25" s="177"/>
      <c r="C25" s="177"/>
      <c r="D25" s="177"/>
      <c r="E25" s="177"/>
      <c r="F25" s="177"/>
      <c r="G25" s="177"/>
      <c r="H25" s="177"/>
      <c r="I25" s="177"/>
    </row>
    <row r="26" spans="1:9" s="3" customFormat="1" ht="14.1">
      <c r="A26" s="42"/>
      <c r="B26" s="42"/>
      <c r="C26" s="42"/>
      <c r="D26" s="42"/>
      <c r="E26" s="42"/>
      <c r="F26" s="42"/>
      <c r="G26" s="42"/>
      <c r="H26" s="42"/>
      <c r="I26" s="42"/>
    </row>
    <row r="27" spans="1:9" s="3" customFormat="1" ht="14.1"/>
    <row r="28" spans="1:9" s="3" customFormat="1" ht="14.1"/>
    <row r="29" spans="1:9" s="3" customFormat="1" ht="14.1">
      <c r="A29" s="3" t="s">
        <v>206</v>
      </c>
      <c r="B29" s="44" t="s">
        <v>20</v>
      </c>
      <c r="C29" s="44"/>
      <c r="D29" s="44"/>
      <c r="E29" s="44"/>
      <c r="G29" s="3" t="s">
        <v>207</v>
      </c>
      <c r="H29" s="114">
        <v>44957</v>
      </c>
      <c r="I29" s="44"/>
    </row>
    <row r="30" spans="1:9" s="3" customFormat="1" ht="14.1"/>
    <row r="31" spans="1:9" ht="14.25" customHeight="1">
      <c r="A31" s="3"/>
      <c r="B31" s="3"/>
      <c r="C31" s="3"/>
      <c r="D31" s="3"/>
      <c r="E31" s="3"/>
      <c r="F31" s="3"/>
      <c r="G31" s="3"/>
      <c r="H31" s="3"/>
      <c r="I31" s="3"/>
    </row>
    <row r="32" spans="1:9" s="3" customFormat="1" ht="14.1"/>
    <row r="33" spans="1:9" s="3" customFormat="1" ht="14.1"/>
    <row r="34" spans="1:9" s="3" customFormat="1">
      <c r="A34" s="93"/>
      <c r="B34" s="93"/>
      <c r="C34" s="93"/>
      <c r="D34" s="93"/>
      <c r="E34" s="93"/>
      <c r="F34" s="93"/>
      <c r="G34" s="93"/>
      <c r="H34" s="93"/>
      <c r="I34" s="93"/>
    </row>
    <row r="35" spans="1:9" s="3" customFormat="1" ht="14.1"/>
    <row r="36" spans="1:9" s="3" customFormat="1" ht="14.1"/>
    <row r="37" spans="1:9" s="3" customFormat="1" ht="14.1"/>
    <row r="38" spans="1:9" s="3" customFormat="1" ht="14.1"/>
    <row r="39" spans="1:9" s="3" customFormat="1" ht="14.1"/>
    <row r="40" spans="1:9" s="3" customFormat="1" ht="14.1"/>
    <row r="41" spans="1:9" s="3" customFormat="1" ht="14.1"/>
    <row r="42" spans="1:9" s="3" customFormat="1" ht="14.1"/>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Q67"/>
  <sheetViews>
    <sheetView workbookViewId="0">
      <selection activeCell="L20" sqref="L20"/>
    </sheetView>
  </sheetViews>
  <sheetFormatPr defaultColWidth="9.28515625" defaultRowHeight="15.6"/>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7">
      <c r="A1" s="93" t="str">
        <f>+'Cover Page'!$B$29</f>
        <v>Annual Performance Report 2022</v>
      </c>
      <c r="B1" s="93"/>
      <c r="C1" s="93"/>
      <c r="D1" s="93"/>
      <c r="E1" s="93" t="str">
        <f>+'Cover Page'!$B$33</f>
        <v>Ince Bio Power</v>
      </c>
      <c r="F1" s="93"/>
      <c r="G1" s="93"/>
      <c r="H1" s="93"/>
      <c r="I1" s="93"/>
      <c r="J1" s="93"/>
      <c r="K1" s="93"/>
      <c r="L1" s="93"/>
      <c r="M1" s="93"/>
      <c r="N1" s="93"/>
      <c r="O1" s="93"/>
      <c r="P1" s="93"/>
      <c r="Q1" s="93"/>
    </row>
    <row r="3" spans="1:17">
      <c r="A3" s="1" t="s">
        <v>219</v>
      </c>
      <c r="B3" s="93"/>
      <c r="C3" s="93"/>
      <c r="D3" s="93"/>
      <c r="E3" s="93"/>
      <c r="F3" s="93"/>
      <c r="G3" s="93"/>
      <c r="H3" s="93"/>
      <c r="I3" s="93"/>
      <c r="J3" s="93"/>
      <c r="K3" s="93"/>
      <c r="L3" s="93"/>
      <c r="M3" s="93"/>
      <c r="N3" s="93"/>
      <c r="O3" s="93"/>
      <c r="P3" s="93"/>
      <c r="Q3" s="93"/>
    </row>
    <row r="4" spans="1:17">
      <c r="A4" s="1"/>
      <c r="B4" s="93"/>
      <c r="C4" s="93"/>
      <c r="D4" s="93"/>
      <c r="E4" s="93"/>
      <c r="F4" s="93"/>
      <c r="G4" s="93"/>
      <c r="H4" s="93"/>
      <c r="I4" s="93"/>
      <c r="J4" s="93"/>
      <c r="K4" s="93"/>
      <c r="L4" s="93"/>
      <c r="M4" s="93"/>
      <c r="N4" s="93"/>
      <c r="O4" s="93"/>
      <c r="P4" s="93"/>
      <c r="Q4" s="93"/>
    </row>
    <row r="5" spans="1:17">
      <c r="A5" s="9" t="s">
        <v>220</v>
      </c>
      <c r="B5" s="93"/>
      <c r="C5" s="93"/>
      <c r="D5" s="93"/>
      <c r="E5" s="93"/>
      <c r="F5" s="93"/>
      <c r="G5" s="93"/>
      <c r="H5" s="93"/>
      <c r="I5" s="93"/>
      <c r="J5" s="93"/>
      <c r="K5" s="93"/>
      <c r="L5" s="93"/>
      <c r="M5" s="93"/>
      <c r="N5" s="93"/>
      <c r="O5" s="93"/>
      <c r="P5" s="93"/>
      <c r="Q5" s="93"/>
    </row>
    <row r="6" spans="1:17">
      <c r="A6" s="9"/>
      <c r="B6" s="93"/>
      <c r="C6" s="93"/>
      <c r="D6" s="93"/>
      <c r="E6" s="93"/>
      <c r="F6" s="93"/>
      <c r="G6" s="93"/>
      <c r="H6" s="93"/>
      <c r="I6" s="93"/>
      <c r="J6" s="93"/>
      <c r="K6" s="93"/>
      <c r="L6" s="93"/>
      <c r="M6" s="93"/>
      <c r="N6" s="93"/>
      <c r="O6" s="93"/>
      <c r="P6" s="93"/>
      <c r="Q6" s="93"/>
    </row>
    <row r="7" spans="1:17">
      <c r="A7" s="113" t="s">
        <v>221</v>
      </c>
      <c r="B7" s="93"/>
      <c r="C7" s="93"/>
      <c r="D7" s="93"/>
      <c r="E7" s="93"/>
      <c r="F7" s="93"/>
      <c r="G7" s="93"/>
      <c r="H7" s="93"/>
      <c r="I7" s="93"/>
      <c r="J7" s="93"/>
      <c r="K7" s="93"/>
      <c r="L7" s="93"/>
      <c r="M7" s="93"/>
      <c r="N7" s="93"/>
      <c r="O7" s="93"/>
      <c r="P7" s="93"/>
      <c r="Q7" s="93"/>
    </row>
    <row r="8" spans="1:17" s="3" customFormat="1" ht="25.5" customHeight="1">
      <c r="A8" s="182" t="s">
        <v>222</v>
      </c>
      <c r="B8" s="183"/>
      <c r="C8" s="182" t="s">
        <v>223</v>
      </c>
      <c r="D8" s="184"/>
      <c r="E8" s="184"/>
      <c r="F8" s="184"/>
      <c r="G8" s="184"/>
      <c r="H8" s="184"/>
      <c r="I8" s="183"/>
      <c r="L8" s="81" t="s">
        <v>1</v>
      </c>
    </row>
    <row r="9" spans="1:17" s="3" customFormat="1" ht="22.5" customHeight="1">
      <c r="A9" s="185"/>
      <c r="B9" s="186"/>
      <c r="C9" s="187" t="s">
        <v>224</v>
      </c>
      <c r="D9" s="187"/>
      <c r="E9" s="187"/>
      <c r="F9" s="187" t="s">
        <v>225</v>
      </c>
      <c r="G9" s="187"/>
      <c r="H9" s="187"/>
      <c r="I9" s="187"/>
      <c r="L9" s="205" t="s">
        <v>226</v>
      </c>
      <c r="M9" s="205"/>
      <c r="N9" s="205"/>
      <c r="O9" s="205"/>
    </row>
    <row r="10" spans="1:17" s="3" customFormat="1" ht="22.5" customHeight="1">
      <c r="A10" s="181" t="s">
        <v>227</v>
      </c>
      <c r="B10" s="181"/>
      <c r="C10" s="180">
        <f>(((365*48)*Q11)-3)/((365*48)*Q11)</f>
        <v>0.9997256264861899</v>
      </c>
      <c r="D10" s="180"/>
      <c r="E10" s="180"/>
      <c r="F10" s="180">
        <f>((365*$Q$11))/((365*$Q$11))</f>
        <v>1</v>
      </c>
      <c r="G10" s="180"/>
      <c r="H10" s="180"/>
      <c r="I10" s="180"/>
      <c r="L10" s="205"/>
      <c r="M10" s="205"/>
      <c r="N10" s="205"/>
      <c r="O10" s="205"/>
    </row>
    <row r="11" spans="1:17" s="3" customFormat="1" ht="22.5" customHeight="1">
      <c r="A11" s="181" t="s">
        <v>228</v>
      </c>
      <c r="B11" s="181"/>
      <c r="C11" s="180">
        <f>((365*48)*$Q$11)/((365*48)*$Q$11)</f>
        <v>1</v>
      </c>
      <c r="D11" s="180"/>
      <c r="E11" s="180"/>
      <c r="F11" s="180">
        <f t="shared" ref="F11:F15" si="0">((365*$Q$11))/((365*$Q$11))</f>
        <v>1</v>
      </c>
      <c r="G11" s="180"/>
      <c r="H11" s="180"/>
      <c r="I11" s="180"/>
      <c r="L11" s="205"/>
      <c r="M11" s="205"/>
      <c r="N11" s="205"/>
      <c r="O11" s="205"/>
      <c r="Q11" s="3">
        <f>'Operational Data'!G53/'Operational Data'!J53</f>
        <v>0.62408675799086755</v>
      </c>
    </row>
    <row r="12" spans="1:17" s="3" customFormat="1" ht="22.5" customHeight="1">
      <c r="A12" s="181" t="s">
        <v>229</v>
      </c>
      <c r="B12" s="181"/>
      <c r="C12" s="180">
        <f t="shared" ref="C12:C15" si="1">((365*48)*$Q$11)/((365*48)*$Q$11)</f>
        <v>1</v>
      </c>
      <c r="D12" s="180"/>
      <c r="E12" s="180"/>
      <c r="F12" s="180">
        <f t="shared" si="0"/>
        <v>1</v>
      </c>
      <c r="G12" s="180"/>
      <c r="H12" s="180"/>
      <c r="I12" s="180"/>
      <c r="L12" s="205"/>
      <c r="M12" s="205"/>
      <c r="N12" s="205"/>
      <c r="O12" s="205"/>
    </row>
    <row r="13" spans="1:17" s="3" customFormat="1" ht="22.5" customHeight="1">
      <c r="A13" s="181" t="s">
        <v>230</v>
      </c>
      <c r="B13" s="181"/>
      <c r="C13" s="180">
        <f t="shared" si="1"/>
        <v>1</v>
      </c>
      <c r="D13" s="180"/>
      <c r="E13" s="180"/>
      <c r="F13" s="180">
        <f t="shared" si="0"/>
        <v>1</v>
      </c>
      <c r="G13" s="180"/>
      <c r="H13" s="180"/>
      <c r="I13" s="180"/>
      <c r="L13" s="205"/>
      <c r="M13" s="205"/>
      <c r="N13" s="205"/>
      <c r="O13" s="205"/>
    </row>
    <row r="14" spans="1:17" s="3" customFormat="1" ht="22.5" customHeight="1">
      <c r="A14" s="181" t="s">
        <v>231</v>
      </c>
      <c r="B14" s="181"/>
      <c r="C14" s="180">
        <f t="shared" si="1"/>
        <v>1</v>
      </c>
      <c r="D14" s="180"/>
      <c r="E14" s="180"/>
      <c r="F14" s="180">
        <f t="shared" si="0"/>
        <v>1</v>
      </c>
      <c r="G14" s="180"/>
      <c r="H14" s="180"/>
      <c r="I14" s="180"/>
      <c r="L14" s="205"/>
      <c r="M14" s="205"/>
      <c r="N14" s="205"/>
      <c r="O14" s="205"/>
    </row>
    <row r="15" spans="1:17" s="3" customFormat="1" ht="22.5" customHeight="1">
      <c r="A15" s="181" t="s">
        <v>232</v>
      </c>
      <c r="B15" s="181"/>
      <c r="C15" s="180">
        <f t="shared" si="1"/>
        <v>1</v>
      </c>
      <c r="D15" s="180"/>
      <c r="E15" s="180"/>
      <c r="F15" s="180">
        <f t="shared" si="0"/>
        <v>1</v>
      </c>
      <c r="G15" s="180"/>
      <c r="H15" s="180"/>
      <c r="I15" s="180"/>
      <c r="L15" s="205"/>
      <c r="M15" s="205"/>
      <c r="N15" s="205"/>
      <c r="O15" s="205"/>
    </row>
    <row r="16" spans="1:17" s="3" customFormat="1" ht="22.5" customHeight="1">
      <c r="A16" s="178"/>
      <c r="B16" s="179"/>
      <c r="C16" s="379" t="s">
        <v>233</v>
      </c>
      <c r="D16" s="379"/>
      <c r="E16" s="379"/>
      <c r="F16" s="379" t="s">
        <v>233</v>
      </c>
      <c r="G16" s="379"/>
      <c r="H16" s="379"/>
      <c r="I16" s="379"/>
      <c r="L16" s="205"/>
      <c r="M16" s="205"/>
      <c r="N16" s="205"/>
      <c r="O16" s="205"/>
    </row>
    <row r="17" spans="1:15" s="3" customFormat="1" ht="22.5" customHeight="1">
      <c r="A17" s="178"/>
      <c r="B17" s="179"/>
      <c r="C17" s="379" t="s">
        <v>233</v>
      </c>
      <c r="D17" s="379"/>
      <c r="E17" s="379"/>
      <c r="F17" s="379" t="s">
        <v>233</v>
      </c>
      <c r="G17" s="379"/>
      <c r="H17" s="379"/>
      <c r="I17" s="379"/>
      <c r="L17" s="205"/>
      <c r="M17" s="205"/>
      <c r="N17" s="205"/>
      <c r="O17" s="205"/>
    </row>
    <row r="18" spans="1:15" s="3" customFormat="1" ht="14.1">
      <c r="L18" s="205"/>
      <c r="M18" s="205"/>
      <c r="N18" s="205"/>
      <c r="O18" s="205"/>
    </row>
    <row r="19" spans="1:15" s="45" customFormat="1" ht="21.75" customHeight="1">
      <c r="A19" s="171" t="s">
        <v>234</v>
      </c>
      <c r="B19" s="172"/>
      <c r="C19" s="172"/>
      <c r="D19" s="172"/>
      <c r="E19" s="172"/>
      <c r="F19" s="172"/>
      <c r="G19" s="172"/>
      <c r="H19" s="172"/>
      <c r="I19" s="172"/>
      <c r="J19" s="172"/>
      <c r="K19" s="173"/>
    </row>
    <row r="20" spans="1:15" s="3" customFormat="1" ht="38.25" customHeight="1">
      <c r="A20" s="46" t="s">
        <v>52</v>
      </c>
      <c r="B20" s="174" t="s">
        <v>235</v>
      </c>
      <c r="C20" s="174"/>
      <c r="D20" s="174"/>
      <c r="E20" s="174" t="s">
        <v>236</v>
      </c>
      <c r="F20" s="174"/>
      <c r="G20" s="174"/>
      <c r="H20" s="174" t="s">
        <v>237</v>
      </c>
      <c r="I20" s="174"/>
      <c r="J20" s="175"/>
      <c r="K20" s="72"/>
    </row>
    <row r="21" spans="1:15" s="3" customFormat="1" ht="49.5" customHeight="1">
      <c r="A21" s="101">
        <v>44573</v>
      </c>
      <c r="B21" s="177" t="s">
        <v>238</v>
      </c>
      <c r="C21" s="177"/>
      <c r="D21" s="177"/>
      <c r="E21" s="177" t="s">
        <v>239</v>
      </c>
      <c r="F21" s="177"/>
      <c r="G21" s="177"/>
      <c r="H21" s="177" t="s">
        <v>240</v>
      </c>
      <c r="I21" s="177"/>
      <c r="J21" s="380"/>
      <c r="K21" s="72"/>
    </row>
    <row r="22" spans="1:15" s="3" customFormat="1" ht="41.25" customHeight="1">
      <c r="A22" s="101">
        <v>44746</v>
      </c>
      <c r="B22" s="176" t="s">
        <v>241</v>
      </c>
      <c r="C22" s="176"/>
      <c r="D22" s="176"/>
      <c r="E22" s="177" t="s">
        <v>242</v>
      </c>
      <c r="F22" s="177"/>
      <c r="G22" s="177"/>
      <c r="H22" s="177" t="s">
        <v>243</v>
      </c>
      <c r="I22" s="177"/>
      <c r="J22" s="380"/>
      <c r="K22" s="72"/>
    </row>
    <row r="23" spans="1:15" s="3" customFormat="1" ht="39.75" customHeight="1">
      <c r="A23" s="101">
        <v>44822</v>
      </c>
      <c r="B23" s="177" t="s">
        <v>244</v>
      </c>
      <c r="C23" s="177"/>
      <c r="D23" s="177"/>
      <c r="E23" s="176" t="s">
        <v>245</v>
      </c>
      <c r="F23" s="176"/>
      <c r="G23" s="176"/>
      <c r="H23" s="176"/>
      <c r="I23" s="176"/>
      <c r="J23" s="381"/>
      <c r="K23" s="72"/>
    </row>
    <row r="24" spans="1:15" s="3" customFormat="1" ht="14.1">
      <c r="A24" s="382"/>
      <c r="B24" s="282"/>
      <c r="C24" s="282"/>
      <c r="D24" s="282"/>
      <c r="E24" s="282"/>
      <c r="F24" s="282"/>
      <c r="G24" s="282"/>
      <c r="H24" s="282"/>
      <c r="I24" s="282"/>
      <c r="J24" s="383"/>
      <c r="K24" s="72"/>
    </row>
    <row r="25" spans="1:15" s="3" customFormat="1" ht="14.1">
      <c r="A25" s="382"/>
      <c r="B25" s="282"/>
      <c r="C25" s="282"/>
      <c r="D25" s="282"/>
      <c r="E25" s="282"/>
      <c r="F25" s="282"/>
      <c r="G25" s="282"/>
      <c r="H25" s="282"/>
      <c r="I25" s="282"/>
      <c r="J25" s="383"/>
      <c r="K25" s="72"/>
    </row>
    <row r="26" spans="1:15" s="3" customFormat="1" ht="14.1"/>
    <row r="27" spans="1:15" s="45" customFormat="1" ht="22.5" customHeight="1">
      <c r="A27" s="171" t="s">
        <v>246</v>
      </c>
      <c r="B27" s="172"/>
      <c r="C27" s="172"/>
      <c r="D27" s="172"/>
      <c r="E27" s="172"/>
      <c r="F27" s="172"/>
      <c r="G27" s="172"/>
      <c r="H27" s="172"/>
      <c r="I27" s="172"/>
      <c r="J27" s="172"/>
      <c r="K27" s="173"/>
    </row>
    <row r="28" spans="1:15" s="3" customFormat="1" ht="39" customHeight="1">
      <c r="A28" s="46" t="s">
        <v>52</v>
      </c>
      <c r="B28" s="174" t="s">
        <v>247</v>
      </c>
      <c r="C28" s="174"/>
      <c r="D28" s="174"/>
      <c r="E28" s="174" t="s">
        <v>248</v>
      </c>
      <c r="F28" s="174"/>
      <c r="G28" s="174"/>
      <c r="H28" s="174" t="s">
        <v>237</v>
      </c>
      <c r="I28" s="174"/>
      <c r="J28" s="175"/>
      <c r="K28" s="72"/>
    </row>
    <row r="29" spans="1:15" s="3" customFormat="1" ht="14.1">
      <c r="A29" s="382"/>
      <c r="B29" s="282"/>
      <c r="C29" s="282"/>
      <c r="D29" s="282"/>
      <c r="E29" s="282"/>
      <c r="F29" s="282"/>
      <c r="G29" s="282"/>
      <c r="H29" s="282"/>
      <c r="I29" s="282"/>
      <c r="J29" s="383"/>
      <c r="K29" s="72"/>
    </row>
    <row r="30" spans="1:15" s="3" customFormat="1" ht="14.1">
      <c r="A30" s="382"/>
      <c r="B30" s="282"/>
      <c r="C30" s="282"/>
      <c r="D30" s="282"/>
      <c r="E30" s="282"/>
      <c r="F30" s="282"/>
      <c r="G30" s="282"/>
      <c r="H30" s="282"/>
      <c r="I30" s="282"/>
      <c r="J30" s="383"/>
      <c r="K30" s="72"/>
    </row>
    <row r="31" spans="1:15" ht="14.25" customHeight="1">
      <c r="A31" s="382"/>
      <c r="B31" s="282"/>
      <c r="C31" s="282"/>
      <c r="D31" s="282"/>
      <c r="E31" s="282"/>
      <c r="F31" s="282"/>
      <c r="G31" s="282"/>
      <c r="H31" s="282"/>
      <c r="I31" s="282"/>
      <c r="J31" s="383"/>
      <c r="K31" s="72"/>
      <c r="L31" s="93"/>
      <c r="M31" s="93"/>
      <c r="N31" s="93"/>
      <c r="O31" s="93"/>
    </row>
    <row r="32" spans="1:15" s="3" customFormat="1" ht="14.1">
      <c r="A32" s="382"/>
      <c r="B32" s="282"/>
      <c r="C32" s="282"/>
      <c r="D32" s="282"/>
      <c r="E32" s="282"/>
      <c r="F32" s="282"/>
      <c r="G32" s="282"/>
      <c r="H32" s="282"/>
      <c r="I32" s="282"/>
      <c r="J32" s="383"/>
      <c r="K32" s="72"/>
    </row>
    <row r="33" spans="1:11" s="3" customFormat="1" ht="14.1">
      <c r="A33" s="382"/>
      <c r="B33" s="282"/>
      <c r="C33" s="282"/>
      <c r="D33" s="282"/>
      <c r="E33" s="282"/>
      <c r="F33" s="282"/>
      <c r="G33" s="282"/>
      <c r="H33" s="282"/>
      <c r="I33" s="282"/>
      <c r="J33" s="383"/>
      <c r="K33" s="72"/>
    </row>
    <row r="34" spans="1:11" s="3" customFormat="1" ht="29.25" customHeight="1">
      <c r="A34" s="113"/>
      <c r="E34" s="188" t="s">
        <v>249</v>
      </c>
      <c r="F34" s="188"/>
      <c r="G34" s="188"/>
      <c r="H34" s="188"/>
      <c r="I34" s="188"/>
      <c r="J34" s="113"/>
    </row>
    <row r="67" spans="6:6">
      <c r="F67"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workbookViewId="0">
      <selection activeCell="L27" sqref="L27"/>
    </sheetView>
  </sheetViews>
  <sheetFormatPr defaultColWidth="9.28515625" defaultRowHeight="15.6"/>
  <cols>
    <col min="1" max="1" width="9.28515625" style="2" customWidth="1"/>
    <col min="2" max="2" width="14.5703125" style="2" bestFit="1" customWidth="1"/>
    <col min="3" max="8" width="9.28515625" style="2"/>
    <col min="9" max="9" width="11.5703125" style="2" customWidth="1"/>
    <col min="10" max="16384" width="9.28515625" style="2"/>
  </cols>
  <sheetData>
    <row r="1" spans="1:10">
      <c r="A1" s="93" t="str">
        <f>+'Cover Page'!$B$29</f>
        <v>Annual Performance Report 2022</v>
      </c>
      <c r="B1" s="93"/>
      <c r="C1" s="93"/>
      <c r="D1" s="93"/>
      <c r="E1" s="93" t="str">
        <f>+'Cover Page'!$B$33</f>
        <v>Ince Bio Power</v>
      </c>
      <c r="F1" s="93"/>
      <c r="G1" s="93"/>
      <c r="H1" s="93"/>
      <c r="I1" s="93"/>
      <c r="J1" s="93"/>
    </row>
    <row r="3" spans="1:10">
      <c r="A3" s="1" t="s">
        <v>250</v>
      </c>
      <c r="B3" s="93"/>
      <c r="C3" s="93"/>
      <c r="D3" s="93"/>
      <c r="E3" s="93"/>
      <c r="F3" s="93"/>
      <c r="G3" s="93"/>
      <c r="H3" s="93"/>
      <c r="I3" s="93"/>
      <c r="J3" s="93"/>
    </row>
    <row r="4" spans="1:10">
      <c r="A4" s="1"/>
      <c r="B4" s="93"/>
      <c r="C4" s="93"/>
      <c r="D4" s="93"/>
      <c r="E4" s="93"/>
      <c r="F4" s="93"/>
      <c r="G4" s="93"/>
      <c r="H4" s="93"/>
      <c r="I4" s="93"/>
      <c r="J4" s="93"/>
    </row>
    <row r="5" spans="1:10" s="3" customFormat="1" ht="14.1">
      <c r="A5" s="192" t="s">
        <v>251</v>
      </c>
      <c r="B5" s="193"/>
      <c r="C5" s="193"/>
      <c r="D5" s="193"/>
      <c r="E5" s="193"/>
      <c r="F5" s="193"/>
      <c r="G5" s="193"/>
      <c r="H5" s="193"/>
      <c r="I5" s="194"/>
    </row>
    <row r="6" spans="1:10" s="3" customFormat="1" ht="15.75" customHeight="1">
      <c r="A6" s="195" t="s">
        <v>252</v>
      </c>
      <c r="B6" s="384"/>
      <c r="C6" s="384"/>
      <c r="D6" s="384"/>
      <c r="E6" s="384"/>
      <c r="F6" s="384"/>
      <c r="G6" s="384"/>
      <c r="H6" s="384"/>
      <c r="I6" s="385"/>
      <c r="J6" s="102"/>
    </row>
    <row r="7" spans="1:10" s="3" customFormat="1" ht="15.75" customHeight="1">
      <c r="A7" s="386"/>
      <c r="B7" s="387"/>
      <c r="C7" s="387"/>
      <c r="D7" s="387"/>
      <c r="E7" s="387"/>
      <c r="F7" s="387"/>
      <c r="G7" s="387"/>
      <c r="H7" s="387"/>
      <c r="I7" s="388"/>
      <c r="J7" s="102"/>
    </row>
    <row r="8" spans="1:10" s="3" customFormat="1" ht="15.75" customHeight="1">
      <c r="A8" s="386"/>
      <c r="B8" s="387"/>
      <c r="C8" s="387"/>
      <c r="D8" s="387"/>
      <c r="E8" s="387"/>
      <c r="F8" s="387"/>
      <c r="G8" s="387"/>
      <c r="H8" s="387"/>
      <c r="I8" s="388"/>
      <c r="J8" s="102"/>
    </row>
    <row r="9" spans="1:10" s="3" customFormat="1" ht="15.75" customHeight="1">
      <c r="A9" s="386"/>
      <c r="B9" s="387"/>
      <c r="C9" s="387"/>
      <c r="D9" s="387"/>
      <c r="E9" s="387"/>
      <c r="F9" s="387"/>
      <c r="G9" s="387"/>
      <c r="H9" s="387"/>
      <c r="I9" s="388"/>
      <c r="J9" s="102"/>
    </row>
    <row r="10" spans="1:10" s="3" customFormat="1" ht="15.75" customHeight="1">
      <c r="A10" s="386"/>
      <c r="B10" s="387"/>
      <c r="C10" s="387"/>
      <c r="D10" s="387"/>
      <c r="E10" s="387"/>
      <c r="F10" s="387"/>
      <c r="G10" s="387"/>
      <c r="H10" s="387"/>
      <c r="I10" s="388"/>
      <c r="J10" s="102"/>
    </row>
    <row r="11" spans="1:10" s="3" customFormat="1" ht="15.75" customHeight="1">
      <c r="A11" s="386"/>
      <c r="B11" s="387"/>
      <c r="C11" s="387"/>
      <c r="D11" s="387"/>
      <c r="E11" s="387"/>
      <c r="F11" s="387"/>
      <c r="G11" s="387"/>
      <c r="H11" s="387"/>
      <c r="I11" s="388"/>
      <c r="J11" s="102"/>
    </row>
    <row r="12" spans="1:10" s="3" customFormat="1" ht="15.75" customHeight="1">
      <c r="A12" s="386"/>
      <c r="B12" s="387"/>
      <c r="C12" s="387"/>
      <c r="D12" s="387"/>
      <c r="E12" s="387"/>
      <c r="F12" s="387"/>
      <c r="G12" s="387"/>
      <c r="H12" s="387"/>
      <c r="I12" s="388"/>
      <c r="J12" s="102"/>
    </row>
    <row r="13" spans="1:10" s="3" customFormat="1" ht="15.75" customHeight="1">
      <c r="A13" s="386"/>
      <c r="B13" s="387"/>
      <c r="C13" s="387"/>
      <c r="D13" s="387"/>
      <c r="E13" s="387"/>
      <c r="F13" s="387"/>
      <c r="G13" s="387"/>
      <c r="H13" s="387"/>
      <c r="I13" s="388"/>
      <c r="J13" s="102"/>
    </row>
    <row r="14" spans="1:10" s="3" customFormat="1" ht="15.75" customHeight="1">
      <c r="A14" s="389"/>
      <c r="B14" s="390"/>
      <c r="C14" s="390"/>
      <c r="D14" s="390"/>
      <c r="E14" s="390"/>
      <c r="F14" s="390"/>
      <c r="G14" s="390"/>
      <c r="H14" s="390"/>
      <c r="I14" s="391"/>
      <c r="J14" s="102"/>
    </row>
    <row r="15" spans="1:10" s="3" customFormat="1" ht="14.1"/>
    <row r="16" spans="1:10" s="47" customFormat="1" ht="33.75" customHeight="1">
      <c r="A16" s="189" t="s">
        <v>253</v>
      </c>
      <c r="B16" s="190"/>
      <c r="C16" s="190"/>
      <c r="D16" s="190"/>
      <c r="E16" s="190"/>
      <c r="F16" s="190"/>
      <c r="G16" s="190"/>
      <c r="H16" s="190"/>
      <c r="I16" s="191"/>
      <c r="J16" s="392"/>
    </row>
    <row r="17" spans="1:9" ht="15.75" customHeight="1">
      <c r="A17" s="242"/>
      <c r="B17" s="298"/>
      <c r="C17" s="298"/>
      <c r="D17" s="298"/>
      <c r="E17" s="298"/>
      <c r="F17" s="298"/>
      <c r="G17" s="298"/>
      <c r="H17" s="298"/>
      <c r="I17" s="299"/>
    </row>
    <row r="18" spans="1:9" ht="15.75" customHeight="1">
      <c r="A18" s="300"/>
      <c r="B18" s="301"/>
      <c r="C18" s="301"/>
      <c r="D18" s="301"/>
      <c r="E18" s="301"/>
      <c r="F18" s="301"/>
      <c r="G18" s="301"/>
      <c r="H18" s="301"/>
      <c r="I18" s="302"/>
    </row>
    <row r="19" spans="1:9" ht="15.75" customHeight="1">
      <c r="A19" s="300"/>
      <c r="B19" s="301"/>
      <c r="C19" s="301"/>
      <c r="D19" s="301"/>
      <c r="E19" s="301"/>
      <c r="F19" s="301"/>
      <c r="G19" s="301"/>
      <c r="H19" s="301"/>
      <c r="I19" s="302"/>
    </row>
    <row r="20" spans="1:9" ht="15.75" customHeight="1">
      <c r="A20" s="300"/>
      <c r="B20" s="301"/>
      <c r="C20" s="301"/>
      <c r="D20" s="301"/>
      <c r="E20" s="301"/>
      <c r="F20" s="301"/>
      <c r="G20" s="301"/>
      <c r="H20" s="301"/>
      <c r="I20" s="302"/>
    </row>
    <row r="21" spans="1:9" ht="15.75" customHeight="1">
      <c r="A21" s="300"/>
      <c r="B21" s="301"/>
      <c r="C21" s="301"/>
      <c r="D21" s="301"/>
      <c r="E21" s="301"/>
      <c r="F21" s="301"/>
      <c r="G21" s="301"/>
      <c r="H21" s="301"/>
      <c r="I21" s="302"/>
    </row>
    <row r="22" spans="1:9" ht="15.75" customHeight="1">
      <c r="A22" s="300"/>
      <c r="B22" s="301"/>
      <c r="C22" s="301"/>
      <c r="D22" s="301"/>
      <c r="E22" s="301"/>
      <c r="F22" s="301"/>
      <c r="G22" s="301"/>
      <c r="H22" s="301"/>
      <c r="I22" s="302"/>
    </row>
    <row r="23" spans="1:9" ht="15.75" customHeight="1">
      <c r="A23" s="300"/>
      <c r="B23" s="301"/>
      <c r="C23" s="301"/>
      <c r="D23" s="301"/>
      <c r="E23" s="301"/>
      <c r="F23" s="301"/>
      <c r="G23" s="301"/>
      <c r="H23" s="301"/>
      <c r="I23" s="302"/>
    </row>
    <row r="24" spans="1:9" ht="15.75" customHeight="1">
      <c r="A24" s="300"/>
      <c r="B24" s="301"/>
      <c r="C24" s="301"/>
      <c r="D24" s="301"/>
      <c r="E24" s="301"/>
      <c r="F24" s="301"/>
      <c r="G24" s="301"/>
      <c r="H24" s="301"/>
      <c r="I24" s="302"/>
    </row>
    <row r="25" spans="1:9" ht="15.75" customHeight="1">
      <c r="A25" s="303"/>
      <c r="B25" s="304"/>
      <c r="C25" s="304"/>
      <c r="D25" s="304"/>
      <c r="E25" s="304"/>
      <c r="F25" s="304"/>
      <c r="G25" s="304"/>
      <c r="H25" s="304"/>
      <c r="I25" s="305"/>
    </row>
    <row r="26" spans="1:9">
      <c r="A26" s="1"/>
      <c r="B26" s="93"/>
      <c r="C26" s="93"/>
      <c r="D26" s="93"/>
      <c r="E26" s="93"/>
      <c r="F26" s="93"/>
      <c r="G26" s="93"/>
      <c r="H26" s="93"/>
      <c r="I26" s="93"/>
    </row>
    <row r="27" spans="1:9" ht="36.75" customHeight="1">
      <c r="A27" s="189" t="s">
        <v>254</v>
      </c>
      <c r="B27" s="190"/>
      <c r="C27" s="190"/>
      <c r="D27" s="190"/>
      <c r="E27" s="190"/>
      <c r="F27" s="190"/>
      <c r="G27" s="190"/>
      <c r="H27" s="190"/>
      <c r="I27" s="191"/>
    </row>
    <row r="28" spans="1:9" ht="15.75" customHeight="1">
      <c r="A28" s="195" t="s">
        <v>255</v>
      </c>
      <c r="B28" s="384"/>
      <c r="C28" s="384"/>
      <c r="D28" s="384"/>
      <c r="E28" s="384"/>
      <c r="F28" s="384"/>
      <c r="G28" s="384"/>
      <c r="H28" s="384"/>
      <c r="I28" s="385"/>
    </row>
    <row r="29" spans="1:9" ht="15.75" customHeight="1">
      <c r="A29" s="386"/>
      <c r="B29" s="387"/>
      <c r="C29" s="387"/>
      <c r="D29" s="387"/>
      <c r="E29" s="387"/>
      <c r="F29" s="387"/>
      <c r="G29" s="387"/>
      <c r="H29" s="387"/>
      <c r="I29" s="388"/>
    </row>
    <row r="30" spans="1:9" ht="15.75" customHeight="1">
      <c r="A30" s="386"/>
      <c r="B30" s="387"/>
      <c r="C30" s="387"/>
      <c r="D30" s="387"/>
      <c r="E30" s="387"/>
      <c r="F30" s="387"/>
      <c r="G30" s="387"/>
      <c r="H30" s="387"/>
      <c r="I30" s="388"/>
    </row>
    <row r="31" spans="1:9" ht="15.75" customHeight="1">
      <c r="A31" s="386"/>
      <c r="B31" s="387"/>
      <c r="C31" s="387"/>
      <c r="D31" s="387"/>
      <c r="E31" s="387"/>
      <c r="F31" s="387"/>
      <c r="G31" s="387"/>
      <c r="H31" s="387"/>
      <c r="I31" s="388"/>
    </row>
    <row r="32" spans="1:9" ht="15.75" customHeight="1">
      <c r="A32" s="386"/>
      <c r="B32" s="387"/>
      <c r="C32" s="387"/>
      <c r="D32" s="387"/>
      <c r="E32" s="387"/>
      <c r="F32" s="387"/>
      <c r="G32" s="387"/>
      <c r="H32" s="387"/>
      <c r="I32" s="388"/>
    </row>
    <row r="33" spans="1:9" ht="15.75" customHeight="1">
      <c r="A33" s="386"/>
      <c r="B33" s="387"/>
      <c r="C33" s="387"/>
      <c r="D33" s="387"/>
      <c r="E33" s="387"/>
      <c r="F33" s="387"/>
      <c r="G33" s="387"/>
      <c r="H33" s="387"/>
      <c r="I33" s="388"/>
    </row>
    <row r="34" spans="1:9" ht="15.75" customHeight="1">
      <c r="A34" s="386"/>
      <c r="B34" s="387"/>
      <c r="C34" s="387"/>
      <c r="D34" s="387"/>
      <c r="E34" s="387"/>
      <c r="F34" s="387"/>
      <c r="G34" s="387"/>
      <c r="H34" s="387"/>
      <c r="I34" s="388"/>
    </row>
    <row r="35" spans="1:9" ht="15.75" customHeight="1">
      <c r="A35" s="386"/>
      <c r="B35" s="387"/>
      <c r="C35" s="387"/>
      <c r="D35" s="387"/>
      <c r="E35" s="387"/>
      <c r="F35" s="387"/>
      <c r="G35" s="387"/>
      <c r="H35" s="387"/>
      <c r="I35" s="388"/>
    </row>
    <row r="36" spans="1:9" ht="15.75" customHeight="1">
      <c r="A36" s="389"/>
      <c r="B36" s="390"/>
      <c r="C36" s="390"/>
      <c r="D36" s="390"/>
      <c r="E36" s="390"/>
      <c r="F36" s="390"/>
      <c r="G36" s="390"/>
      <c r="H36" s="390"/>
      <c r="I36" s="391"/>
    </row>
    <row r="38" spans="1:9" ht="33" customHeight="1">
      <c r="A38" s="189" t="s">
        <v>256</v>
      </c>
      <c r="B38" s="190"/>
      <c r="C38" s="190"/>
      <c r="D38" s="190"/>
      <c r="E38" s="190"/>
      <c r="F38" s="190"/>
      <c r="G38" s="190"/>
      <c r="H38" s="190"/>
      <c r="I38" s="191"/>
    </row>
    <row r="39" spans="1:9" ht="15.75" customHeight="1">
      <c r="A39" s="393"/>
      <c r="B39" s="394"/>
      <c r="C39" s="394"/>
      <c r="D39" s="394"/>
      <c r="E39" s="394"/>
      <c r="F39" s="394"/>
      <c r="G39" s="394"/>
      <c r="H39" s="394"/>
      <c r="I39" s="395"/>
    </row>
    <row r="40" spans="1:9" ht="15.75" customHeight="1">
      <c r="A40" s="396"/>
      <c r="B40" s="397"/>
      <c r="C40" s="397"/>
      <c r="D40" s="397"/>
      <c r="E40" s="397"/>
      <c r="F40" s="397"/>
      <c r="G40" s="397"/>
      <c r="H40" s="397"/>
      <c r="I40" s="398"/>
    </row>
    <row r="41" spans="1:9" ht="15.75" customHeight="1">
      <c r="A41" s="396"/>
      <c r="B41" s="397"/>
      <c r="C41" s="397"/>
      <c r="D41" s="397"/>
      <c r="E41" s="397"/>
      <c r="F41" s="397"/>
      <c r="G41" s="397"/>
      <c r="H41" s="397"/>
      <c r="I41" s="398"/>
    </row>
    <row r="42" spans="1:9" ht="15.75" customHeight="1">
      <c r="A42" s="396"/>
      <c r="B42" s="397"/>
      <c r="C42" s="397"/>
      <c r="D42" s="397"/>
      <c r="E42" s="397"/>
      <c r="F42" s="397"/>
      <c r="G42" s="397"/>
      <c r="H42" s="397"/>
      <c r="I42" s="398"/>
    </row>
    <row r="43" spans="1:9" ht="15.75" customHeight="1">
      <c r="A43" s="396"/>
      <c r="B43" s="397"/>
      <c r="C43" s="397"/>
      <c r="D43" s="397"/>
      <c r="E43" s="397"/>
      <c r="F43" s="397"/>
      <c r="G43" s="397"/>
      <c r="H43" s="397"/>
      <c r="I43" s="398"/>
    </row>
    <row r="44" spans="1:9" ht="15.75" customHeight="1">
      <c r="A44" s="396"/>
      <c r="B44" s="397"/>
      <c r="C44" s="397"/>
      <c r="D44" s="397"/>
      <c r="E44" s="397"/>
      <c r="F44" s="397"/>
      <c r="G44" s="397"/>
      <c r="H44" s="397"/>
      <c r="I44" s="398"/>
    </row>
    <row r="45" spans="1:9" ht="15.75" customHeight="1">
      <c r="A45" s="396"/>
      <c r="B45" s="397"/>
      <c r="C45" s="397"/>
      <c r="D45" s="397"/>
      <c r="E45" s="397"/>
      <c r="F45" s="397"/>
      <c r="G45" s="397"/>
      <c r="H45" s="397"/>
      <c r="I45" s="398"/>
    </row>
    <row r="46" spans="1:9" ht="15.75" customHeight="1">
      <c r="A46" s="396"/>
      <c r="B46" s="397"/>
      <c r="C46" s="397"/>
      <c r="D46" s="397"/>
      <c r="E46" s="397"/>
      <c r="F46" s="397"/>
      <c r="G46" s="397"/>
      <c r="H46" s="397"/>
      <c r="I46" s="398"/>
    </row>
    <row r="47" spans="1:9" ht="15.75" customHeight="1">
      <c r="A47" s="396"/>
      <c r="B47" s="397"/>
      <c r="C47" s="397"/>
      <c r="D47" s="397"/>
      <c r="E47" s="397"/>
      <c r="F47" s="397"/>
      <c r="G47" s="397"/>
      <c r="H47" s="397"/>
      <c r="I47" s="398"/>
    </row>
    <row r="48" spans="1:9" ht="15.75" customHeight="1">
      <c r="A48" s="399"/>
      <c r="B48" s="400"/>
      <c r="C48" s="400"/>
      <c r="D48" s="400"/>
      <c r="E48" s="400"/>
      <c r="F48" s="400"/>
      <c r="G48" s="400"/>
      <c r="H48" s="400"/>
      <c r="I48" s="401"/>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L16" sqref="L16"/>
    </sheetView>
  </sheetViews>
  <sheetFormatPr defaultColWidth="9.28515625" defaultRowHeight="15.6"/>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Ince Bio Power</v>
      </c>
      <c r="F1" s="93"/>
      <c r="G1" s="93"/>
      <c r="H1" s="93"/>
      <c r="I1" s="93"/>
    </row>
    <row r="3" spans="1:9">
      <c r="A3" s="1" t="s">
        <v>257</v>
      </c>
      <c r="B3" s="93"/>
      <c r="C3" s="93"/>
      <c r="D3" s="93"/>
      <c r="E3" s="93"/>
      <c r="F3" s="93"/>
      <c r="G3" s="93"/>
      <c r="H3" s="93"/>
      <c r="I3" s="93"/>
    </row>
    <row r="4" spans="1:9">
      <c r="A4" s="1"/>
      <c r="B4" s="93"/>
      <c r="C4" s="93"/>
      <c r="D4" s="93"/>
      <c r="E4" s="93"/>
      <c r="F4" s="93"/>
      <c r="G4" s="93"/>
      <c r="H4" s="93"/>
      <c r="I4" s="93"/>
    </row>
    <row r="5" spans="1:9" s="3" customFormat="1" ht="28.5" customHeight="1">
      <c r="A5" s="48" t="s">
        <v>258</v>
      </c>
      <c r="B5" s="49"/>
      <c r="C5" s="49"/>
      <c r="D5" s="49"/>
      <c r="E5" s="49"/>
      <c r="F5" s="49"/>
      <c r="G5" s="49"/>
      <c r="H5" s="49"/>
      <c r="I5" s="50"/>
    </row>
    <row r="6" spans="1:9" s="3" customFormat="1" ht="15.75" customHeight="1">
      <c r="A6" s="192" t="s">
        <v>52</v>
      </c>
      <c r="B6" s="194"/>
      <c r="C6" s="192" t="s">
        <v>259</v>
      </c>
      <c r="D6" s="193"/>
      <c r="E6" s="193"/>
      <c r="F6" s="193"/>
      <c r="G6" s="193"/>
      <c r="H6" s="193"/>
      <c r="I6" s="194"/>
    </row>
    <row r="7" spans="1:9" s="3" customFormat="1" ht="15.75" customHeight="1">
      <c r="A7" s="242"/>
      <c r="B7" s="299"/>
      <c r="C7" s="242"/>
      <c r="D7" s="298"/>
      <c r="E7" s="298"/>
      <c r="F7" s="298"/>
      <c r="G7" s="298"/>
      <c r="H7" s="298"/>
      <c r="I7" s="299"/>
    </row>
    <row r="8" spans="1:9" s="3" customFormat="1" ht="15.75" customHeight="1">
      <c r="A8" s="303"/>
      <c r="B8" s="305"/>
      <c r="C8" s="303"/>
      <c r="D8" s="304"/>
      <c r="E8" s="304"/>
      <c r="F8" s="304"/>
      <c r="G8" s="304"/>
      <c r="H8" s="304"/>
      <c r="I8" s="305"/>
    </row>
    <row r="9" spans="1:9" s="3" customFormat="1" ht="15.75" customHeight="1">
      <c r="A9" s="242"/>
      <c r="B9" s="299"/>
      <c r="C9" s="242"/>
      <c r="D9" s="298"/>
      <c r="E9" s="298"/>
      <c r="F9" s="298"/>
      <c r="G9" s="298"/>
      <c r="H9" s="298"/>
      <c r="I9" s="299"/>
    </row>
    <row r="10" spans="1:9" s="3" customFormat="1" ht="15.75" customHeight="1">
      <c r="A10" s="303"/>
      <c r="B10" s="305"/>
      <c r="C10" s="303"/>
      <c r="D10" s="304"/>
      <c r="E10" s="304"/>
      <c r="F10" s="304"/>
      <c r="G10" s="304"/>
      <c r="H10" s="304"/>
      <c r="I10" s="305"/>
    </row>
    <row r="11" spans="1:9" s="3" customFormat="1" ht="15.75" customHeight="1">
      <c r="A11" s="242"/>
      <c r="B11" s="299"/>
      <c r="C11" s="242"/>
      <c r="D11" s="298"/>
      <c r="E11" s="298"/>
      <c r="F11" s="298"/>
      <c r="G11" s="298"/>
      <c r="H11" s="298"/>
      <c r="I11" s="299"/>
    </row>
    <row r="12" spans="1:9" s="3" customFormat="1" ht="15.75" customHeight="1">
      <c r="A12" s="303"/>
      <c r="B12" s="305"/>
      <c r="C12" s="303"/>
      <c r="D12" s="304"/>
      <c r="E12" s="304"/>
      <c r="F12" s="304"/>
      <c r="G12" s="304"/>
      <c r="H12" s="304"/>
      <c r="I12" s="305"/>
    </row>
    <row r="13" spans="1:9" s="3" customFormat="1" ht="15.75" customHeight="1">
      <c r="A13" s="242"/>
      <c r="B13" s="299"/>
      <c r="C13" s="242"/>
      <c r="D13" s="298"/>
      <c r="E13" s="298"/>
      <c r="F13" s="298"/>
      <c r="G13" s="298"/>
      <c r="H13" s="298"/>
      <c r="I13" s="299"/>
    </row>
    <row r="14" spans="1:9" s="3" customFormat="1" ht="15.75" customHeight="1">
      <c r="A14" s="303"/>
      <c r="B14" s="305"/>
      <c r="C14" s="303"/>
      <c r="D14" s="304"/>
      <c r="E14" s="304"/>
      <c r="F14" s="304"/>
      <c r="G14" s="304"/>
      <c r="H14" s="304"/>
      <c r="I14" s="305"/>
    </row>
    <row r="15" spans="1:9" s="3" customFormat="1" ht="14.1"/>
    <row r="16" spans="1:9" s="47" customFormat="1" ht="33.75" customHeight="1">
      <c r="A16" s="189" t="s">
        <v>260</v>
      </c>
      <c r="B16" s="190"/>
      <c r="C16" s="190"/>
      <c r="D16" s="190"/>
      <c r="E16" s="190"/>
      <c r="F16" s="190"/>
      <c r="G16" s="190"/>
      <c r="H16" s="190"/>
      <c r="I16" s="191"/>
    </row>
    <row r="17" spans="1:9" ht="15.75" customHeight="1">
      <c r="A17" s="192" t="s">
        <v>52</v>
      </c>
      <c r="B17" s="194"/>
      <c r="C17" s="192" t="s">
        <v>259</v>
      </c>
      <c r="D17" s="193"/>
      <c r="E17" s="193"/>
      <c r="F17" s="193"/>
      <c r="G17" s="193"/>
      <c r="H17" s="193"/>
      <c r="I17" s="193"/>
    </row>
    <row r="18" spans="1:9" ht="15.75" customHeight="1">
      <c r="A18" s="242"/>
      <c r="B18" s="299"/>
      <c r="C18" s="242"/>
      <c r="D18" s="298"/>
      <c r="E18" s="298"/>
      <c r="F18" s="298"/>
      <c r="G18" s="298"/>
      <c r="H18" s="298"/>
      <c r="I18" s="299"/>
    </row>
    <row r="19" spans="1:9" ht="15.75" customHeight="1">
      <c r="A19" s="303"/>
      <c r="B19" s="305"/>
      <c r="C19" s="303"/>
      <c r="D19" s="304"/>
      <c r="E19" s="304"/>
      <c r="F19" s="304"/>
      <c r="G19" s="304"/>
      <c r="H19" s="304"/>
      <c r="I19" s="305"/>
    </row>
    <row r="20" spans="1:9" ht="15.75" customHeight="1">
      <c r="A20" s="242"/>
      <c r="B20" s="299"/>
      <c r="C20" s="242"/>
      <c r="D20" s="298"/>
      <c r="E20" s="298"/>
      <c r="F20" s="298"/>
      <c r="G20" s="298"/>
      <c r="H20" s="298"/>
      <c r="I20" s="299"/>
    </row>
    <row r="21" spans="1:9" ht="15.75" customHeight="1">
      <c r="A21" s="303"/>
      <c r="B21" s="305"/>
      <c r="C21" s="303"/>
      <c r="D21" s="304"/>
      <c r="E21" s="304"/>
      <c r="F21" s="304"/>
      <c r="G21" s="304"/>
      <c r="H21" s="304"/>
      <c r="I21" s="305"/>
    </row>
    <row r="22" spans="1:9" ht="15.75" customHeight="1">
      <c r="A22" s="242"/>
      <c r="B22" s="299"/>
      <c r="C22" s="242"/>
      <c r="D22" s="298"/>
      <c r="E22" s="298"/>
      <c r="F22" s="298"/>
      <c r="G22" s="298"/>
      <c r="H22" s="298"/>
      <c r="I22" s="299"/>
    </row>
    <row r="23" spans="1:9" ht="15.75" customHeight="1">
      <c r="A23" s="303"/>
      <c r="B23" s="305"/>
      <c r="C23" s="303"/>
      <c r="D23" s="304"/>
      <c r="E23" s="304"/>
      <c r="F23" s="304"/>
      <c r="G23" s="304"/>
      <c r="H23" s="304"/>
      <c r="I23" s="305"/>
    </row>
    <row r="24" spans="1:9" ht="15.75" customHeight="1">
      <c r="A24" s="242"/>
      <c r="B24" s="299"/>
      <c r="C24" s="242"/>
      <c r="D24" s="298"/>
      <c r="E24" s="298"/>
      <c r="F24" s="298"/>
      <c r="G24" s="298"/>
      <c r="H24" s="298"/>
      <c r="I24" s="299"/>
    </row>
    <row r="25" spans="1:9" ht="15.75" customHeight="1">
      <c r="A25" s="303"/>
      <c r="B25" s="305"/>
      <c r="C25" s="303"/>
      <c r="D25" s="304"/>
      <c r="E25" s="304"/>
      <c r="F25" s="304"/>
      <c r="G25" s="304"/>
      <c r="H25" s="304"/>
      <c r="I25" s="305"/>
    </row>
    <row r="26" spans="1:9" ht="15.75" customHeight="1">
      <c r="A26" s="242"/>
      <c r="B26" s="299"/>
      <c r="C26" s="242"/>
      <c r="D26" s="298"/>
      <c r="E26" s="298"/>
      <c r="F26" s="298"/>
      <c r="G26" s="298"/>
      <c r="H26" s="298"/>
      <c r="I26" s="299"/>
    </row>
    <row r="27" spans="1:9" ht="15.75" customHeight="1">
      <c r="A27" s="303"/>
      <c r="B27" s="305"/>
      <c r="C27" s="303"/>
      <c r="D27" s="304"/>
      <c r="E27" s="304"/>
      <c r="F27" s="304"/>
      <c r="G27" s="304"/>
      <c r="H27" s="304"/>
      <c r="I27" s="305"/>
    </row>
    <row r="28" spans="1:9">
      <c r="A28" s="1"/>
      <c r="B28" s="93"/>
      <c r="C28" s="93"/>
      <c r="D28" s="93"/>
      <c r="E28" s="93"/>
      <c r="F28" s="93"/>
      <c r="G28" s="93"/>
      <c r="H28" s="93"/>
      <c r="I28" s="93"/>
    </row>
    <row r="29" spans="1:9" ht="36.75" customHeight="1">
      <c r="A29" s="189" t="s">
        <v>261</v>
      </c>
      <c r="B29" s="190"/>
      <c r="C29" s="190"/>
      <c r="D29" s="190"/>
      <c r="E29" s="190"/>
      <c r="F29" s="190"/>
      <c r="G29" s="190"/>
      <c r="H29" s="190"/>
      <c r="I29" s="191"/>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workbookViewId="0">
      <selection activeCell="B13" sqref="B13:C13"/>
    </sheetView>
  </sheetViews>
  <sheetFormatPr defaultColWidth="8.85546875" defaultRowHeight="15.6"/>
  <cols>
    <col min="1" max="1" width="36.7109375" style="93" customWidth="1"/>
    <col min="2" max="2" width="17.7109375" style="93" customWidth="1"/>
    <col min="3" max="3" width="37.28515625" style="93" customWidth="1"/>
    <col min="4" max="14" width="8.85546875" style="93"/>
    <col min="15" max="15" width="9" style="93" customWidth="1"/>
    <col min="16" max="16384" width="8.85546875" style="93"/>
  </cols>
  <sheetData>
    <row r="1" spans="1:15">
      <c r="A1" s="93" t="str">
        <f>+'Cover Page'!$B$29</f>
        <v>Annual Performance Report 2022</v>
      </c>
      <c r="C1" s="93" t="str">
        <f>+'Cover Page'!$B$33</f>
        <v>Ince Bio Power</v>
      </c>
    </row>
    <row r="2" spans="1:15" ht="10.15" customHeight="1"/>
    <row r="3" spans="1:15">
      <c r="A3" s="1" t="s">
        <v>262</v>
      </c>
      <c r="E3" s="81" t="s">
        <v>1</v>
      </c>
    </row>
    <row r="4" spans="1:15" ht="9.4" customHeight="1"/>
    <row r="5" spans="1:15">
      <c r="A5" s="196" t="s">
        <v>263</v>
      </c>
      <c r="B5" s="197"/>
      <c r="C5" s="197"/>
    </row>
    <row r="6" spans="1:15" ht="30.95">
      <c r="A6" s="94" t="s">
        <v>264</v>
      </c>
      <c r="B6" s="109">
        <v>133994.56299999999</v>
      </c>
      <c r="C6" s="97" t="s">
        <v>265</v>
      </c>
    </row>
    <row r="7" spans="1:15" ht="46.5">
      <c r="A7" s="94" t="s">
        <v>266</v>
      </c>
      <c r="B7" s="98">
        <f>B6/'Operational Data'!G21</f>
        <v>1.4934444823591637</v>
      </c>
      <c r="C7" s="97" t="s">
        <v>265</v>
      </c>
    </row>
    <row r="8" spans="1:15" ht="46.5">
      <c r="A8" s="94" t="s">
        <v>267</v>
      </c>
      <c r="B8" s="98">
        <f>B6/'Operational Data'!G25</f>
        <v>1.5482825268071732</v>
      </c>
      <c r="C8" s="97" t="s">
        <v>268</v>
      </c>
    </row>
    <row r="9" spans="1:15" ht="89.45" customHeight="1">
      <c r="A9" s="94" t="s">
        <v>269</v>
      </c>
      <c r="B9" s="198" t="s">
        <v>270</v>
      </c>
      <c r="C9" s="199"/>
      <c r="E9" s="207" t="s">
        <v>271</v>
      </c>
      <c r="F9" s="206"/>
      <c r="G9" s="206"/>
      <c r="H9" s="206"/>
      <c r="I9" s="206"/>
      <c r="J9" s="206"/>
      <c r="K9" s="206"/>
      <c r="L9" s="206"/>
      <c r="M9" s="206"/>
      <c r="N9" s="206"/>
      <c r="O9" s="206"/>
    </row>
    <row r="10" spans="1:15" ht="8.65" customHeight="1">
      <c r="A10" s="95"/>
      <c r="B10" s="96"/>
      <c r="C10" s="96"/>
    </row>
    <row r="11" spans="1:15">
      <c r="A11" s="200" t="s">
        <v>272</v>
      </c>
      <c r="B11" s="197"/>
      <c r="C11" s="197"/>
    </row>
    <row r="12" spans="1:15" ht="33.4" customHeight="1">
      <c r="A12" s="94" t="s">
        <v>273</v>
      </c>
      <c r="B12" s="98">
        <v>2.27</v>
      </c>
      <c r="C12" s="97" t="s">
        <v>265</v>
      </c>
    </row>
    <row r="13" spans="1:15" ht="101.45" customHeight="1">
      <c r="A13" s="94" t="s">
        <v>274</v>
      </c>
      <c r="B13" s="201" t="s">
        <v>270</v>
      </c>
      <c r="C13" s="202"/>
      <c r="E13" s="205" t="s">
        <v>275</v>
      </c>
      <c r="F13" s="206"/>
      <c r="G13" s="206"/>
      <c r="H13" s="206"/>
      <c r="I13" s="206"/>
      <c r="J13" s="206"/>
      <c r="K13" s="206"/>
      <c r="L13" s="206"/>
      <c r="M13" s="206"/>
      <c r="N13" s="206"/>
      <c r="O13" s="206"/>
    </row>
    <row r="14" spans="1:15" ht="58.9" customHeight="1">
      <c r="A14" s="94" t="s">
        <v>276</v>
      </c>
      <c r="B14" s="110">
        <f>B6+(B12*298)</f>
        <v>134671.02299999999</v>
      </c>
      <c r="C14" s="97" t="s">
        <v>277</v>
      </c>
    </row>
    <row r="15" spans="1:15" ht="6.4" customHeight="1">
      <c r="A15" s="95"/>
      <c r="B15" s="96"/>
      <c r="C15" s="96"/>
    </row>
    <row r="16" spans="1:15" ht="39" customHeight="1">
      <c r="A16" s="196" t="s">
        <v>278</v>
      </c>
      <c r="B16" s="197"/>
      <c r="C16" s="197"/>
    </row>
    <row r="17" spans="1:15" ht="49.15" customHeight="1">
      <c r="A17" s="94" t="s">
        <v>279</v>
      </c>
      <c r="B17" s="98" t="s">
        <v>133</v>
      </c>
      <c r="C17" s="97"/>
    </row>
    <row r="18" spans="1:15" ht="103.15" customHeight="1">
      <c r="A18" s="94" t="s">
        <v>280</v>
      </c>
      <c r="B18" s="203"/>
      <c r="C18" s="204"/>
      <c r="E18" s="205" t="s">
        <v>281</v>
      </c>
      <c r="F18" s="206"/>
      <c r="G18" s="206"/>
      <c r="H18" s="206"/>
      <c r="I18" s="206"/>
      <c r="J18" s="206"/>
      <c r="K18" s="206"/>
      <c r="L18" s="206"/>
      <c r="M18" s="206"/>
      <c r="N18" s="206"/>
      <c r="O18" s="206"/>
    </row>
    <row r="19" spans="1:15" ht="34.15" customHeight="1">
      <c r="A19" s="94" t="s">
        <v>282</v>
      </c>
      <c r="B19" s="98" t="s">
        <v>133</v>
      </c>
      <c r="C19" s="97"/>
    </row>
    <row r="20" spans="1:15" ht="92.45" customHeight="1">
      <c r="A20" s="94" t="s">
        <v>283</v>
      </c>
      <c r="B20" s="203"/>
      <c r="C20" s="204"/>
      <c r="E20" s="205" t="s">
        <v>284</v>
      </c>
      <c r="F20" s="206"/>
      <c r="G20" s="206"/>
      <c r="H20" s="206"/>
      <c r="I20" s="206"/>
      <c r="J20" s="206"/>
      <c r="K20" s="206"/>
      <c r="L20" s="206"/>
      <c r="M20" s="206"/>
      <c r="N20" s="206"/>
      <c r="O20" s="206"/>
    </row>
    <row r="21" spans="1:15" ht="10.15" customHeight="1"/>
    <row r="22" spans="1:15">
      <c r="A22" s="93" t="s">
        <v>285</v>
      </c>
    </row>
    <row r="23" spans="1:15">
      <c r="A23" s="177" t="s">
        <v>286</v>
      </c>
      <c r="B23" s="177"/>
      <c r="C23" s="177"/>
    </row>
    <row r="24" spans="1:15" ht="64.900000000000006" customHeight="1">
      <c r="A24" s="177"/>
      <c r="B24" s="177"/>
      <c r="C24" s="177"/>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J31" sqref="J31"/>
    </sheetView>
  </sheetViews>
  <sheetFormatPr defaultColWidth="9.28515625" defaultRowHeight="15.6"/>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3" t="str">
        <f>+'Cover Page'!$B$29</f>
        <v>Annual Performance Report 2022</v>
      </c>
      <c r="B1" s="93"/>
      <c r="C1" s="93"/>
      <c r="D1" s="93"/>
      <c r="E1" s="93" t="str">
        <f>+'Cover Page'!$B$33</f>
        <v>Ince Bio Power</v>
      </c>
      <c r="F1" s="93"/>
      <c r="G1" s="93"/>
    </row>
    <row r="3" spans="1:7">
      <c r="A3" s="1" t="s">
        <v>287</v>
      </c>
      <c r="B3" s="93"/>
      <c r="C3" s="93"/>
      <c r="D3" s="93"/>
      <c r="E3" s="93"/>
      <c r="F3" s="93"/>
      <c r="G3" s="93"/>
    </row>
    <row r="4" spans="1:7">
      <c r="A4" s="1"/>
      <c r="B4" s="93"/>
      <c r="C4" s="93"/>
      <c r="D4" s="93"/>
      <c r="E4" s="93"/>
      <c r="F4" s="93"/>
      <c r="G4" s="93"/>
    </row>
    <row r="5" spans="1:7" s="3" customFormat="1" ht="21.75" customHeight="1">
      <c r="A5" s="48" t="s">
        <v>288</v>
      </c>
      <c r="B5" s="49"/>
      <c r="C5" s="49"/>
      <c r="D5" s="49"/>
      <c r="E5" s="49"/>
      <c r="F5" s="49"/>
      <c r="G5" s="50"/>
    </row>
    <row r="6" spans="1:7" s="3" customFormat="1" ht="15.75" customHeight="1">
      <c r="A6" s="242"/>
      <c r="B6" s="298"/>
      <c r="C6" s="298"/>
      <c r="D6" s="298"/>
      <c r="E6" s="298"/>
      <c r="F6" s="298"/>
      <c r="G6" s="299"/>
    </row>
    <row r="7" spans="1:7" s="3" customFormat="1" ht="15.75" customHeight="1">
      <c r="A7" s="303"/>
      <c r="B7" s="304"/>
      <c r="C7" s="304"/>
      <c r="D7" s="304"/>
      <c r="E7" s="304"/>
      <c r="F7" s="304"/>
      <c r="G7" s="305"/>
    </row>
    <row r="8" spans="1:7" s="3" customFormat="1" ht="15.75" customHeight="1">
      <c r="A8" s="195"/>
      <c r="B8" s="384"/>
      <c r="C8" s="384"/>
      <c r="D8" s="384"/>
      <c r="E8" s="384"/>
      <c r="F8" s="384"/>
      <c r="G8" s="385"/>
    </row>
    <row r="9" spans="1:7" s="3" customFormat="1" ht="15.75" customHeight="1">
      <c r="A9" s="389"/>
      <c r="B9" s="390"/>
      <c r="C9" s="390"/>
      <c r="D9" s="390"/>
      <c r="E9" s="390"/>
      <c r="F9" s="390"/>
      <c r="G9" s="391"/>
    </row>
    <row r="10" spans="1:7" s="3" customFormat="1" ht="15.75" customHeight="1">
      <c r="A10" s="195"/>
      <c r="B10" s="384"/>
      <c r="C10" s="384"/>
      <c r="D10" s="384"/>
      <c r="E10" s="384"/>
      <c r="F10" s="384"/>
      <c r="G10" s="385"/>
    </row>
    <row r="11" spans="1:7" s="3" customFormat="1" ht="15.75" customHeight="1">
      <c r="A11" s="389"/>
      <c r="B11" s="390"/>
      <c r="C11" s="390"/>
      <c r="D11" s="390"/>
      <c r="E11" s="390"/>
      <c r="F11" s="390"/>
      <c r="G11" s="391"/>
    </row>
    <row r="12" spans="1:7" s="3" customFormat="1" ht="14.1"/>
    <row r="13" spans="1:7" s="47" customFormat="1" ht="33.75" customHeight="1">
      <c r="A13" s="189" t="s">
        <v>289</v>
      </c>
      <c r="B13" s="190"/>
      <c r="C13" s="190"/>
      <c r="D13" s="190"/>
      <c r="E13" s="190"/>
      <c r="F13" s="190"/>
      <c r="G13" s="191"/>
    </row>
    <row r="14" spans="1:7" ht="15.75" customHeight="1">
      <c r="A14" s="192" t="s">
        <v>290</v>
      </c>
      <c r="B14" s="194"/>
      <c r="C14" s="192" t="s">
        <v>259</v>
      </c>
      <c r="D14" s="193"/>
      <c r="E14" s="193"/>
      <c r="F14" s="193"/>
      <c r="G14" s="193"/>
    </row>
    <row r="15" spans="1:7" ht="15.75" customHeight="1">
      <c r="A15" s="195"/>
      <c r="B15" s="385"/>
      <c r="C15" s="242"/>
      <c r="D15" s="298"/>
      <c r="E15" s="298"/>
      <c r="F15" s="298"/>
      <c r="G15" s="299"/>
    </row>
    <row r="16" spans="1:7" ht="15.75" customHeight="1">
      <c r="A16" s="389"/>
      <c r="B16" s="391"/>
      <c r="C16" s="303"/>
      <c r="D16" s="304"/>
      <c r="E16" s="304"/>
      <c r="F16" s="304"/>
      <c r="G16" s="305"/>
    </row>
    <row r="17" spans="1:11" ht="15.75" customHeight="1">
      <c r="A17" s="242"/>
      <c r="B17" s="299"/>
      <c r="C17" s="242"/>
      <c r="D17" s="298"/>
      <c r="E17" s="298"/>
      <c r="F17" s="298"/>
      <c r="G17" s="299"/>
      <c r="H17" s="93"/>
      <c r="I17" s="93"/>
      <c r="J17" s="93"/>
      <c r="K17" s="93"/>
    </row>
    <row r="18" spans="1:11" ht="15.75" customHeight="1">
      <c r="A18" s="303"/>
      <c r="B18" s="305"/>
      <c r="C18" s="303"/>
      <c r="D18" s="304"/>
      <c r="E18" s="304"/>
      <c r="F18" s="304"/>
      <c r="G18" s="305"/>
      <c r="H18" s="93"/>
      <c r="I18" s="93"/>
      <c r="J18" s="93"/>
      <c r="K18" s="93"/>
    </row>
    <row r="19" spans="1:11" ht="15.75" customHeight="1">
      <c r="A19" s="242"/>
      <c r="B19" s="299"/>
      <c r="C19" s="242"/>
      <c r="D19" s="298"/>
      <c r="E19" s="298"/>
      <c r="F19" s="298"/>
      <c r="G19" s="299"/>
      <c r="H19" s="93"/>
      <c r="I19" s="93"/>
      <c r="J19" s="93"/>
      <c r="K19" s="93"/>
    </row>
    <row r="20" spans="1:11" ht="15.75" customHeight="1">
      <c r="A20" s="303"/>
      <c r="B20" s="305"/>
      <c r="C20" s="303"/>
      <c r="D20" s="304"/>
      <c r="E20" s="304"/>
      <c r="F20" s="304"/>
      <c r="G20" s="305"/>
      <c r="H20" s="93"/>
      <c r="I20" s="93"/>
      <c r="J20" s="93"/>
      <c r="K20" s="93"/>
    </row>
    <row r="21" spans="1:11" ht="15.75" customHeight="1">
      <c r="A21" s="242"/>
      <c r="B21" s="299"/>
      <c r="C21" s="242"/>
      <c r="D21" s="298"/>
      <c r="E21" s="298"/>
      <c r="F21" s="298"/>
      <c r="G21" s="299"/>
      <c r="H21" s="93"/>
      <c r="I21" s="93"/>
      <c r="J21" s="93"/>
      <c r="K21" s="93"/>
    </row>
    <row r="22" spans="1:11" ht="15.75" customHeight="1">
      <c r="A22" s="303"/>
      <c r="B22" s="305"/>
      <c r="C22" s="303"/>
      <c r="D22" s="304"/>
      <c r="E22" s="304"/>
      <c r="F22" s="304"/>
      <c r="G22" s="305"/>
      <c r="H22" s="93"/>
      <c r="I22" s="93"/>
      <c r="J22" s="93"/>
      <c r="K22" s="93"/>
    </row>
    <row r="23" spans="1:11" ht="15.75" customHeight="1">
      <c r="A23" s="242"/>
      <c r="B23" s="299"/>
      <c r="C23" s="242"/>
      <c r="D23" s="298"/>
      <c r="E23" s="298"/>
      <c r="F23" s="298"/>
      <c r="G23" s="299"/>
      <c r="H23" s="93"/>
      <c r="I23" s="93"/>
      <c r="J23" s="93"/>
      <c r="K23" s="93"/>
    </row>
    <row r="24" spans="1:11" ht="15.75" customHeight="1">
      <c r="A24" s="303"/>
      <c r="B24" s="305"/>
      <c r="C24" s="303"/>
      <c r="D24" s="304"/>
      <c r="E24" s="304"/>
      <c r="F24" s="304"/>
      <c r="G24" s="305"/>
      <c r="H24" s="93"/>
      <c r="I24" s="93"/>
      <c r="J24" s="93"/>
      <c r="K24" s="93"/>
    </row>
    <row r="26" spans="1:11">
      <c r="A26" s="113"/>
      <c r="B26" s="113"/>
      <c r="C26" s="113"/>
      <c r="D26" s="113"/>
      <c r="E26" s="113"/>
      <c r="F26" s="113"/>
      <c r="G26" s="113"/>
      <c r="H26" s="93"/>
      <c r="I26" s="93"/>
      <c r="J26" s="93"/>
      <c r="K26" s="93"/>
    </row>
    <row r="27" spans="1:11" s="56" customFormat="1" ht="16.5" customHeight="1">
      <c r="A27" s="211" t="s">
        <v>291</v>
      </c>
      <c r="B27" s="211"/>
      <c r="C27" s="211"/>
      <c r="D27" s="211"/>
      <c r="E27" s="211"/>
      <c r="F27" s="211"/>
      <c r="G27" s="211"/>
    </row>
    <row r="28" spans="1:11" s="12" customFormat="1" ht="17.25" customHeight="1">
      <c r="A28" s="209" t="s">
        <v>292</v>
      </c>
      <c r="B28" s="209"/>
      <c r="C28" s="174" t="s">
        <v>293</v>
      </c>
      <c r="D28" s="174" t="s">
        <v>294</v>
      </c>
      <c r="E28" s="174"/>
      <c r="F28" s="174"/>
      <c r="G28" s="174"/>
      <c r="H28" s="113"/>
      <c r="I28" s="113"/>
      <c r="J28" s="113"/>
      <c r="K28" s="113"/>
    </row>
    <row r="29" spans="1:11" s="12" customFormat="1" ht="17.25" customHeight="1">
      <c r="A29" s="209"/>
      <c r="B29" s="209"/>
      <c r="C29" s="174"/>
      <c r="D29" s="174" t="s">
        <v>295</v>
      </c>
      <c r="E29" s="174"/>
      <c r="F29" s="174" t="s">
        <v>167</v>
      </c>
      <c r="G29" s="174"/>
      <c r="H29" s="113"/>
      <c r="I29" s="113"/>
      <c r="J29" s="113"/>
      <c r="K29" s="113"/>
    </row>
    <row r="30" spans="1:11" s="37" customFormat="1" ht="38.1" customHeight="1">
      <c r="A30" s="164" t="s">
        <v>296</v>
      </c>
      <c r="B30" s="164"/>
      <c r="C30" s="402" t="s">
        <v>297</v>
      </c>
      <c r="D30" s="210" t="s">
        <v>298</v>
      </c>
      <c r="E30" s="210"/>
      <c r="F30" s="403"/>
      <c r="G30" s="404"/>
      <c r="H30" s="361"/>
      <c r="I30" s="361"/>
      <c r="J30" s="113"/>
      <c r="K30" s="113"/>
    </row>
    <row r="31" spans="1:11" s="37" customFormat="1" ht="38.1" customHeight="1">
      <c r="A31" s="164" t="s">
        <v>299</v>
      </c>
      <c r="B31" s="164"/>
      <c r="C31" s="112" t="s">
        <v>300</v>
      </c>
      <c r="D31" s="210">
        <v>0.11</v>
      </c>
      <c r="E31" s="210"/>
      <c r="F31" s="403"/>
      <c r="G31" s="404"/>
      <c r="H31" s="361"/>
      <c r="I31" s="361"/>
      <c r="J31" s="113"/>
      <c r="K31" s="113"/>
    </row>
    <row r="32" spans="1:11" s="37" customFormat="1" ht="38.1" customHeight="1">
      <c r="A32" s="164" t="s">
        <v>301</v>
      </c>
      <c r="B32" s="164"/>
      <c r="C32" s="112" t="s">
        <v>302</v>
      </c>
      <c r="D32" s="210">
        <v>6</v>
      </c>
      <c r="E32" s="210"/>
      <c r="F32" s="405">
        <v>4</v>
      </c>
      <c r="G32" s="406"/>
      <c r="H32" s="361"/>
      <c r="I32" s="361"/>
      <c r="J32" s="113"/>
      <c r="K32" s="113"/>
    </row>
    <row r="33" spans="1:7" s="37" customFormat="1" ht="38.1" customHeight="1">
      <c r="A33" s="164" t="s">
        <v>303</v>
      </c>
      <c r="B33" s="164"/>
      <c r="C33" s="112" t="s">
        <v>302</v>
      </c>
      <c r="D33" s="210">
        <v>6</v>
      </c>
      <c r="E33" s="210"/>
      <c r="F33" s="403"/>
      <c r="G33" s="404"/>
    </row>
    <row r="35" spans="1:7">
      <c r="A35" s="152" t="s">
        <v>304</v>
      </c>
      <c r="B35" s="152"/>
      <c r="C35" s="152"/>
      <c r="D35" s="152"/>
      <c r="E35" s="152"/>
      <c r="F35" s="152"/>
      <c r="G35" s="152"/>
    </row>
    <row r="36" spans="1:7">
      <c r="A36" s="208"/>
      <c r="B36" s="208"/>
      <c r="C36" s="208"/>
      <c r="D36" s="208"/>
      <c r="E36" s="208"/>
      <c r="F36" s="208"/>
      <c r="G36" s="208"/>
    </row>
    <row r="37" spans="1:7">
      <c r="A37" s="208"/>
      <c r="B37" s="208"/>
      <c r="C37" s="208"/>
      <c r="D37" s="208"/>
      <c r="E37" s="208"/>
      <c r="F37" s="208"/>
      <c r="G37" s="208"/>
    </row>
    <row r="38" spans="1:7">
      <c r="A38" s="208"/>
      <c r="B38" s="208"/>
      <c r="C38" s="208"/>
      <c r="D38" s="208"/>
      <c r="E38" s="208"/>
      <c r="F38" s="208"/>
      <c r="G38" s="208"/>
    </row>
    <row r="39" spans="1:7">
      <c r="A39" s="208"/>
      <c r="B39" s="208"/>
      <c r="C39" s="208"/>
      <c r="D39" s="208"/>
      <c r="E39" s="208"/>
      <c r="F39" s="208"/>
      <c r="G39" s="208"/>
    </row>
    <row r="40" spans="1:7">
      <c r="A40" s="208"/>
      <c r="B40" s="208"/>
      <c r="C40" s="208"/>
      <c r="D40" s="208"/>
      <c r="E40" s="208"/>
      <c r="F40" s="208"/>
      <c r="G40" s="208"/>
    </row>
    <row r="41" spans="1:7">
      <c r="A41" s="208"/>
      <c r="B41" s="208"/>
      <c r="C41" s="208"/>
      <c r="D41" s="208"/>
      <c r="E41" s="208"/>
      <c r="F41" s="208"/>
      <c r="G41" s="208"/>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heetViews>
  <sheetFormatPr defaultColWidth="9.28515625" defaultRowHeight="15.6"/>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Ince Bio Power</v>
      </c>
      <c r="F1" s="93"/>
      <c r="G1" s="93"/>
      <c r="H1" s="93"/>
      <c r="I1" s="93"/>
    </row>
    <row r="3" spans="1:9">
      <c r="A3" s="1" t="s">
        <v>40</v>
      </c>
      <c r="B3" s="93"/>
      <c r="C3" s="93"/>
      <c r="D3" s="93"/>
      <c r="E3" s="93"/>
      <c r="F3" s="93"/>
      <c r="G3" s="93"/>
      <c r="H3" s="93"/>
      <c r="I3" s="93"/>
    </row>
    <row r="4" spans="1:9">
      <c r="A4" s="1"/>
      <c r="B4" s="93"/>
      <c r="C4" s="93"/>
      <c r="D4" s="93"/>
      <c r="E4" s="93"/>
      <c r="F4" s="93"/>
      <c r="G4" s="93"/>
      <c r="H4" s="93"/>
      <c r="I4" s="93"/>
    </row>
    <row r="5" spans="1:9" s="3" customFormat="1" ht="21.75" customHeight="1">
      <c r="A5" s="48" t="s">
        <v>288</v>
      </c>
      <c r="B5" s="49"/>
      <c r="C5" s="49"/>
      <c r="D5" s="49"/>
      <c r="E5" s="49"/>
      <c r="F5" s="49"/>
      <c r="G5" s="49"/>
      <c r="H5" s="49"/>
      <c r="I5" s="50"/>
    </row>
    <row r="6" spans="1:9" s="3" customFormat="1" ht="15.75" customHeight="1">
      <c r="A6" s="242"/>
      <c r="B6" s="298"/>
      <c r="C6" s="298"/>
      <c r="D6" s="298"/>
      <c r="E6" s="298"/>
      <c r="F6" s="298"/>
      <c r="G6" s="298"/>
      <c r="H6" s="298"/>
      <c r="I6" s="299"/>
    </row>
    <row r="7" spans="1:9" s="3" customFormat="1" ht="15.75" customHeight="1">
      <c r="A7" s="303"/>
      <c r="B7" s="304"/>
      <c r="C7" s="304"/>
      <c r="D7" s="304"/>
      <c r="E7" s="304"/>
      <c r="F7" s="304"/>
      <c r="G7" s="304"/>
      <c r="H7" s="304"/>
      <c r="I7" s="305"/>
    </row>
    <row r="8" spans="1:9" s="3" customFormat="1" ht="15.75" customHeight="1">
      <c r="A8" s="195"/>
      <c r="B8" s="384"/>
      <c r="C8" s="384"/>
      <c r="D8" s="384"/>
      <c r="E8" s="384"/>
      <c r="F8" s="384"/>
      <c r="G8" s="384"/>
      <c r="H8" s="384"/>
      <c r="I8" s="385"/>
    </row>
    <row r="9" spans="1:9" s="3" customFormat="1" ht="15.75" customHeight="1">
      <c r="A9" s="389"/>
      <c r="B9" s="390"/>
      <c r="C9" s="390"/>
      <c r="D9" s="390"/>
      <c r="E9" s="390"/>
      <c r="F9" s="390"/>
      <c r="G9" s="390"/>
      <c r="H9" s="390"/>
      <c r="I9" s="391"/>
    </row>
    <row r="10" spans="1:9" s="3" customFormat="1" ht="15.75" customHeight="1">
      <c r="A10" s="195"/>
      <c r="B10" s="384"/>
      <c r="C10" s="384"/>
      <c r="D10" s="384"/>
      <c r="E10" s="384"/>
      <c r="F10" s="384"/>
      <c r="G10" s="384"/>
      <c r="H10" s="384"/>
      <c r="I10" s="385"/>
    </row>
    <row r="11" spans="1:9" s="3" customFormat="1" ht="15.75" customHeight="1">
      <c r="A11" s="389"/>
      <c r="B11" s="390"/>
      <c r="C11" s="390"/>
      <c r="D11" s="390"/>
      <c r="E11" s="390"/>
      <c r="F11" s="390"/>
      <c r="G11" s="390"/>
      <c r="H11" s="390"/>
      <c r="I11" s="391"/>
    </row>
    <row r="12" spans="1:9" s="3" customFormat="1" ht="14.1"/>
    <row r="13" spans="1:9" s="47" customFormat="1" ht="33.75" customHeight="1">
      <c r="A13" s="189" t="s">
        <v>289</v>
      </c>
      <c r="B13" s="190"/>
      <c r="C13" s="190"/>
      <c r="D13" s="190"/>
      <c r="E13" s="190"/>
      <c r="F13" s="190"/>
      <c r="G13" s="190"/>
      <c r="H13" s="190"/>
      <c r="I13" s="191"/>
    </row>
    <row r="14" spans="1:9" ht="15.75" customHeight="1">
      <c r="A14" s="192" t="s">
        <v>290</v>
      </c>
      <c r="B14" s="194"/>
      <c r="C14" s="192" t="s">
        <v>259</v>
      </c>
      <c r="D14" s="193"/>
      <c r="E14" s="193"/>
      <c r="F14" s="193"/>
      <c r="G14" s="193"/>
      <c r="H14" s="193"/>
      <c r="I14" s="193"/>
    </row>
    <row r="15" spans="1:9" ht="15.75" customHeight="1">
      <c r="A15" s="195"/>
      <c r="B15" s="385"/>
      <c r="C15" s="242"/>
      <c r="D15" s="298"/>
      <c r="E15" s="298"/>
      <c r="F15" s="298"/>
      <c r="G15" s="298"/>
      <c r="H15" s="298"/>
      <c r="I15" s="299"/>
    </row>
    <row r="16" spans="1:9" ht="15.75" customHeight="1">
      <c r="A16" s="389"/>
      <c r="B16" s="391"/>
      <c r="C16" s="303"/>
      <c r="D16" s="304"/>
      <c r="E16" s="304"/>
      <c r="F16" s="304"/>
      <c r="G16" s="304"/>
      <c r="H16" s="304"/>
      <c r="I16" s="305"/>
    </row>
    <row r="17" spans="1:9" ht="15.75" customHeight="1">
      <c r="A17" s="242"/>
      <c r="B17" s="299"/>
      <c r="C17" s="242"/>
      <c r="D17" s="298"/>
      <c r="E17" s="298"/>
      <c r="F17" s="298"/>
      <c r="G17" s="298"/>
      <c r="H17" s="298"/>
      <c r="I17" s="299"/>
    </row>
    <row r="18" spans="1:9" ht="15.75" customHeight="1">
      <c r="A18" s="303"/>
      <c r="B18" s="305"/>
      <c r="C18" s="303"/>
      <c r="D18" s="304"/>
      <c r="E18" s="304"/>
      <c r="F18" s="304"/>
      <c r="G18" s="304"/>
      <c r="H18" s="304"/>
      <c r="I18" s="305"/>
    </row>
    <row r="19" spans="1:9" ht="15.75" customHeight="1">
      <c r="A19" s="242"/>
      <c r="B19" s="299"/>
      <c r="C19" s="242"/>
      <c r="D19" s="298"/>
      <c r="E19" s="298"/>
      <c r="F19" s="298"/>
      <c r="G19" s="298"/>
      <c r="H19" s="298"/>
      <c r="I19" s="299"/>
    </row>
    <row r="20" spans="1:9" ht="15.75" customHeight="1">
      <c r="A20" s="303"/>
      <c r="B20" s="305"/>
      <c r="C20" s="303"/>
      <c r="D20" s="304"/>
      <c r="E20" s="304"/>
      <c r="F20" s="304"/>
      <c r="G20" s="304"/>
      <c r="H20" s="304"/>
      <c r="I20" s="305"/>
    </row>
    <row r="22" spans="1:9" ht="22.5" customHeight="1">
      <c r="A22" s="212" t="s">
        <v>305</v>
      </c>
      <c r="B22" s="213"/>
      <c r="C22" s="213"/>
      <c r="D22" s="213"/>
      <c r="E22" s="213"/>
      <c r="F22" s="213"/>
      <c r="G22" s="213"/>
      <c r="H22" s="213"/>
      <c r="I22" s="213"/>
    </row>
    <row r="23" spans="1:9" ht="19.5" customHeight="1">
      <c r="A23" s="214" t="s">
        <v>194</v>
      </c>
      <c r="B23" s="215"/>
      <c r="C23" s="216"/>
      <c r="D23" s="217" t="s">
        <v>306</v>
      </c>
      <c r="E23" s="218"/>
      <c r="F23" s="54" t="s">
        <v>293</v>
      </c>
      <c r="G23" s="54" t="s">
        <v>307</v>
      </c>
      <c r="H23" s="54" t="s">
        <v>308</v>
      </c>
      <c r="I23" s="54" t="s">
        <v>309</v>
      </c>
    </row>
    <row r="24" spans="1:9">
      <c r="A24" s="407"/>
      <c r="B24" s="408"/>
      <c r="C24" s="409"/>
      <c r="D24" s="410"/>
      <c r="E24" s="411"/>
      <c r="F24" s="103"/>
      <c r="G24" s="103"/>
      <c r="H24" s="103"/>
      <c r="I24" s="103"/>
    </row>
    <row r="25" spans="1:9">
      <c r="A25" s="407"/>
      <c r="B25" s="408"/>
      <c r="C25" s="409"/>
      <c r="D25" s="410"/>
      <c r="E25" s="411"/>
      <c r="F25" s="103"/>
      <c r="G25" s="103"/>
      <c r="H25" s="103"/>
      <c r="I25" s="103"/>
    </row>
    <row r="26" spans="1:9">
      <c r="A26" s="407"/>
      <c r="B26" s="408"/>
      <c r="C26" s="409"/>
      <c r="D26" s="410"/>
      <c r="E26" s="411"/>
      <c r="F26" s="103"/>
      <c r="G26" s="103"/>
      <c r="H26" s="103"/>
      <c r="I26" s="103"/>
    </row>
    <row r="27" spans="1:9">
      <c r="A27" s="407"/>
      <c r="B27" s="408"/>
      <c r="C27" s="409"/>
      <c r="D27" s="410"/>
      <c r="E27" s="411"/>
      <c r="F27" s="103"/>
      <c r="G27" s="103"/>
      <c r="H27" s="103"/>
      <c r="I27" s="103"/>
    </row>
    <row r="28" spans="1:9">
      <c r="A28" s="407"/>
      <c r="B28" s="408"/>
      <c r="C28" s="409"/>
      <c r="D28" s="410"/>
      <c r="E28" s="411"/>
      <c r="F28" s="103"/>
      <c r="G28" s="103"/>
      <c r="H28" s="103"/>
      <c r="I28" s="103"/>
    </row>
    <row r="29" spans="1:9">
      <c r="A29" s="407"/>
      <c r="B29" s="408"/>
      <c r="C29" s="409"/>
      <c r="D29" s="410"/>
      <c r="E29" s="411"/>
      <c r="F29" s="103"/>
      <c r="G29" s="103"/>
      <c r="H29" s="103"/>
      <c r="I29" s="103"/>
    </row>
    <row r="30" spans="1:9">
      <c r="A30" s="412"/>
      <c r="B30" s="412"/>
      <c r="C30" s="412"/>
      <c r="D30" s="410"/>
      <c r="E30" s="411"/>
      <c r="F30" s="103"/>
      <c r="G30" s="103"/>
      <c r="H30" s="103"/>
      <c r="I30" s="103"/>
    </row>
    <row r="31" spans="1:9">
      <c r="A31" s="113"/>
      <c r="B31" s="113"/>
      <c r="C31" s="113"/>
      <c r="D31" s="113"/>
      <c r="E31" s="113"/>
      <c r="F31" s="113"/>
      <c r="G31" s="113"/>
      <c r="H31" s="113"/>
      <c r="I31" s="113"/>
    </row>
    <row r="32" spans="1:9">
      <c r="A32" s="113"/>
      <c r="B32" s="113"/>
      <c r="C32" s="113"/>
      <c r="D32" s="113"/>
      <c r="E32" s="113"/>
      <c r="F32" s="113"/>
      <c r="G32" s="113"/>
      <c r="H32" s="113"/>
      <c r="I32" s="113"/>
    </row>
    <row r="33" spans="1:9">
      <c r="A33" s="113"/>
      <c r="B33" s="113"/>
      <c r="C33" s="113"/>
      <c r="D33" s="113"/>
      <c r="E33" s="113"/>
      <c r="F33" s="113"/>
      <c r="G33" s="113"/>
      <c r="H33" s="113"/>
      <c r="I33" s="113"/>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7"/>
  <sheetViews>
    <sheetView workbookViewId="0">
      <selection activeCell="Q17" sqref="Q17"/>
    </sheetView>
  </sheetViews>
  <sheetFormatPr defaultColWidth="9.28515625" defaultRowHeight="15.6"/>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Ince Bio Power</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c r="A3" s="1" t="s">
        <v>41</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310</v>
      </c>
      <c r="B5" s="49"/>
      <c r="C5" s="49"/>
      <c r="D5" s="49"/>
      <c r="E5" s="49"/>
      <c r="F5" s="49"/>
      <c r="G5" s="49"/>
      <c r="H5" s="49"/>
      <c r="I5" s="49"/>
      <c r="J5" s="50"/>
      <c r="M5" s="82" t="s">
        <v>1</v>
      </c>
    </row>
    <row r="6" spans="1:16" s="3" customFormat="1" ht="15.75" customHeight="1">
      <c r="A6" s="242" t="s">
        <v>311</v>
      </c>
      <c r="B6" s="298"/>
      <c r="C6" s="298"/>
      <c r="D6" s="298"/>
      <c r="E6" s="298"/>
      <c r="F6" s="298"/>
      <c r="G6" s="298"/>
      <c r="H6" s="298"/>
      <c r="I6" s="298"/>
      <c r="J6" s="299"/>
      <c r="M6" s="241" t="s">
        <v>312</v>
      </c>
      <c r="N6" s="241"/>
      <c r="O6" s="241"/>
      <c r="P6" s="241"/>
    </row>
    <row r="7" spans="1:16" s="3" customFormat="1" ht="15.75" customHeight="1">
      <c r="A7" s="303"/>
      <c r="B7" s="304"/>
      <c r="C7" s="304"/>
      <c r="D7" s="304"/>
      <c r="E7" s="304"/>
      <c r="F7" s="304"/>
      <c r="G7" s="304"/>
      <c r="H7" s="304"/>
      <c r="I7" s="304"/>
      <c r="J7" s="305"/>
      <c r="M7" s="241"/>
      <c r="N7" s="241"/>
      <c r="O7" s="241"/>
      <c r="P7" s="241"/>
    </row>
    <row r="8" spans="1:16" s="3" customFormat="1" ht="14.1">
      <c r="M8" s="241"/>
      <c r="N8" s="241"/>
      <c r="O8" s="241"/>
      <c r="P8" s="241"/>
    </row>
    <row r="9" spans="1:16" s="56" customFormat="1" ht="16.5" customHeight="1">
      <c r="A9" s="211" t="s">
        <v>313</v>
      </c>
      <c r="B9" s="211"/>
      <c r="C9" s="211"/>
      <c r="D9" s="211"/>
      <c r="E9" s="211"/>
      <c r="F9" s="211"/>
      <c r="G9" s="211"/>
      <c r="H9" s="211"/>
      <c r="I9" s="211"/>
      <c r="J9" s="211"/>
      <c r="M9" s="241"/>
      <c r="N9" s="241"/>
      <c r="O9" s="241"/>
      <c r="P9" s="241"/>
    </row>
    <row r="10" spans="1:16" s="56" customFormat="1" ht="16.5" customHeight="1">
      <c r="A10" s="220" t="s">
        <v>222</v>
      </c>
      <c r="B10" s="221"/>
      <c r="C10" s="231" t="s">
        <v>314</v>
      </c>
      <c r="D10" s="227" t="s">
        <v>315</v>
      </c>
      <c r="E10" s="228"/>
      <c r="F10" s="224" t="s">
        <v>309</v>
      </c>
      <c r="G10" s="225"/>
      <c r="H10" s="225"/>
      <c r="I10" s="225"/>
      <c r="J10" s="226"/>
      <c r="M10" s="241" t="s">
        <v>316</v>
      </c>
      <c r="N10" s="241"/>
      <c r="O10" s="241"/>
      <c r="P10" s="241"/>
    </row>
    <row r="11" spans="1:16" s="12" customFormat="1" ht="17.25" customHeight="1">
      <c r="A11" s="222"/>
      <c r="B11" s="223"/>
      <c r="C11" s="232"/>
      <c r="D11" s="229"/>
      <c r="E11" s="230"/>
      <c r="F11" s="46" t="s">
        <v>196</v>
      </c>
      <c r="G11" s="46" t="s">
        <v>197</v>
      </c>
      <c r="H11" s="46" t="s">
        <v>198</v>
      </c>
      <c r="I11" s="46" t="s">
        <v>199</v>
      </c>
      <c r="J11" s="46" t="s">
        <v>200</v>
      </c>
      <c r="K11" s="113"/>
      <c r="L11" s="113"/>
      <c r="M11" s="241"/>
      <c r="N11" s="241"/>
      <c r="O11" s="241"/>
      <c r="P11" s="241"/>
    </row>
    <row r="12" spans="1:16" s="12" customFormat="1" ht="17.25" customHeight="1">
      <c r="A12" s="233" t="s">
        <v>119</v>
      </c>
      <c r="B12" s="234"/>
      <c r="C12" s="112" t="s">
        <v>317</v>
      </c>
      <c r="D12" s="237" t="s">
        <v>318</v>
      </c>
      <c r="E12" s="238"/>
      <c r="F12" s="103" t="s">
        <v>319</v>
      </c>
      <c r="G12" s="103"/>
      <c r="H12" s="103"/>
      <c r="I12" s="103"/>
      <c r="J12" s="103"/>
      <c r="K12" s="113"/>
      <c r="L12" s="113"/>
      <c r="M12" s="241"/>
      <c r="N12" s="241"/>
      <c r="O12" s="241"/>
      <c r="P12" s="241"/>
    </row>
    <row r="13" spans="1:16" s="12" customFormat="1" ht="17.25" customHeight="1">
      <c r="A13" s="233" t="s">
        <v>320</v>
      </c>
      <c r="B13" s="234"/>
      <c r="C13" s="112" t="s">
        <v>317</v>
      </c>
      <c r="D13" s="237" t="s">
        <v>318</v>
      </c>
      <c r="E13" s="238"/>
      <c r="F13" s="103">
        <v>7.2</v>
      </c>
      <c r="G13" s="103"/>
      <c r="H13" s="103"/>
      <c r="I13" s="103"/>
      <c r="J13" s="103"/>
      <c r="K13" s="113"/>
      <c r="L13" s="113"/>
      <c r="M13" s="241"/>
      <c r="N13" s="241"/>
      <c r="O13" s="241"/>
      <c r="P13" s="241"/>
    </row>
    <row r="14" spans="1:16" s="12" customFormat="1" ht="17.25" customHeight="1">
      <c r="A14" s="235" t="s">
        <v>232</v>
      </c>
      <c r="B14" s="236"/>
      <c r="C14" s="111" t="s">
        <v>317</v>
      </c>
      <c r="D14" s="239" t="s">
        <v>321</v>
      </c>
      <c r="E14" s="240"/>
      <c r="F14" s="103">
        <v>4.7</v>
      </c>
      <c r="G14" s="103"/>
      <c r="H14" s="103"/>
      <c r="I14" s="103"/>
      <c r="J14" s="103"/>
      <c r="K14" s="113"/>
      <c r="L14" s="113"/>
      <c r="M14" s="241"/>
      <c r="N14" s="241"/>
      <c r="O14" s="241"/>
      <c r="P14" s="241"/>
    </row>
    <row r="15" spans="1:16" s="12" customFormat="1" ht="23.25" customHeight="1">
      <c r="A15" s="164" t="s">
        <v>322</v>
      </c>
      <c r="B15" s="164"/>
      <c r="C15" s="413" t="s">
        <v>317</v>
      </c>
      <c r="D15" s="219" t="s">
        <v>323</v>
      </c>
      <c r="E15" s="219"/>
      <c r="F15" s="103" t="s">
        <v>324</v>
      </c>
      <c r="G15" s="103"/>
      <c r="H15" s="103"/>
      <c r="I15" s="103"/>
      <c r="J15" s="103"/>
      <c r="K15" s="113"/>
      <c r="L15" s="113"/>
      <c r="M15" s="241"/>
      <c r="N15" s="241"/>
      <c r="O15" s="241"/>
      <c r="P15" s="241"/>
    </row>
    <row r="16" spans="1:16" s="12" customFormat="1" ht="23.25" customHeight="1">
      <c r="A16" s="164" t="s">
        <v>325</v>
      </c>
      <c r="B16" s="164"/>
      <c r="C16" s="414" t="s">
        <v>326</v>
      </c>
      <c r="D16" s="219" t="s">
        <v>327</v>
      </c>
      <c r="E16" s="219"/>
      <c r="F16" s="103">
        <v>1.09E-3</v>
      </c>
      <c r="G16" s="103"/>
      <c r="H16" s="103"/>
      <c r="I16" s="103"/>
      <c r="J16" s="103"/>
      <c r="K16" s="113"/>
      <c r="L16" s="113"/>
      <c r="M16" s="113"/>
      <c r="N16" s="113"/>
      <c r="O16" s="113"/>
      <c r="P16" s="113"/>
    </row>
    <row r="17" spans="1:10" s="12" customFormat="1" ht="23.25" customHeight="1">
      <c r="A17" s="164" t="s">
        <v>328</v>
      </c>
      <c r="B17" s="164"/>
      <c r="C17" s="414" t="s">
        <v>326</v>
      </c>
      <c r="D17" s="219" t="s">
        <v>327</v>
      </c>
      <c r="E17" s="219"/>
      <c r="F17" s="103">
        <v>4.2000000000000002E-4</v>
      </c>
      <c r="G17" s="103"/>
      <c r="H17" s="103"/>
      <c r="I17" s="103"/>
      <c r="J17" s="103"/>
    </row>
    <row r="18" spans="1:10" s="12" customFormat="1" ht="23.25" customHeight="1">
      <c r="A18" s="164" t="s">
        <v>329</v>
      </c>
      <c r="B18" s="164"/>
      <c r="C18" s="414" t="s">
        <v>326</v>
      </c>
      <c r="D18" s="219" t="s">
        <v>330</v>
      </c>
      <c r="E18" s="219"/>
      <c r="F18" s="103">
        <v>0.105</v>
      </c>
      <c r="G18" s="103"/>
      <c r="H18" s="103"/>
      <c r="I18" s="103"/>
      <c r="J18" s="103"/>
    </row>
    <row r="19" spans="1:10" s="12" customFormat="1" ht="23.25" customHeight="1">
      <c r="A19" s="164" t="s">
        <v>331</v>
      </c>
      <c r="B19" s="164"/>
      <c r="C19" s="414" t="s">
        <v>326</v>
      </c>
      <c r="D19" s="219" t="s">
        <v>332</v>
      </c>
      <c r="E19" s="219"/>
      <c r="F19" s="103">
        <v>4.1000000000000002E-2</v>
      </c>
      <c r="G19" s="103"/>
      <c r="H19" s="103"/>
      <c r="I19" s="103"/>
      <c r="J19" s="103"/>
    </row>
    <row r="20" spans="1:10" s="12" customFormat="1" ht="23.25" customHeight="1">
      <c r="A20" s="164" t="s">
        <v>333</v>
      </c>
      <c r="B20" s="164"/>
      <c r="C20" s="414" t="s">
        <v>326</v>
      </c>
      <c r="D20" s="219" t="s">
        <v>334</v>
      </c>
      <c r="E20" s="219"/>
      <c r="F20" s="103">
        <v>4.6000000000000001E-4</v>
      </c>
      <c r="G20" s="103"/>
      <c r="H20" s="103"/>
      <c r="I20" s="103"/>
      <c r="J20" s="103"/>
    </row>
    <row r="21" spans="1:10" s="12" customFormat="1" ht="23.25" customHeight="1">
      <c r="A21" s="164" t="s">
        <v>335</v>
      </c>
      <c r="B21" s="164"/>
      <c r="C21" s="414" t="s">
        <v>326</v>
      </c>
      <c r="D21" s="219" t="s">
        <v>334</v>
      </c>
      <c r="E21" s="219"/>
      <c r="F21" s="103">
        <v>2.3E-5</v>
      </c>
      <c r="G21" s="103"/>
      <c r="H21" s="103"/>
      <c r="I21" s="103"/>
      <c r="J21" s="103"/>
    </row>
    <row r="22" spans="1:10" s="12" customFormat="1" ht="23.25" customHeight="1">
      <c r="A22" s="164" t="s">
        <v>336</v>
      </c>
      <c r="B22" s="164"/>
      <c r="C22" s="414" t="s">
        <v>326</v>
      </c>
      <c r="D22" s="219" t="s">
        <v>334</v>
      </c>
      <c r="E22" s="219"/>
      <c r="F22" s="103">
        <v>1.2700000000000001E-3</v>
      </c>
      <c r="G22" s="103"/>
      <c r="H22" s="103"/>
      <c r="I22" s="103"/>
      <c r="J22" s="103"/>
    </row>
    <row r="23" spans="1:10" s="12" customFormat="1" ht="23.25" customHeight="1">
      <c r="A23" s="164" t="s">
        <v>337</v>
      </c>
      <c r="B23" s="164"/>
      <c r="C23" s="414" t="s">
        <v>326</v>
      </c>
      <c r="D23" s="219" t="s">
        <v>334</v>
      </c>
      <c r="E23" s="219"/>
      <c r="F23" s="103">
        <v>4.2000000000000003E-2</v>
      </c>
      <c r="G23" s="103"/>
      <c r="H23" s="103"/>
      <c r="I23" s="103"/>
      <c r="J23" s="103"/>
    </row>
    <row r="24" spans="1:10" s="12" customFormat="1" ht="23.25" customHeight="1">
      <c r="A24" s="164" t="s">
        <v>338</v>
      </c>
      <c r="B24" s="164"/>
      <c r="C24" s="414" t="s">
        <v>326</v>
      </c>
      <c r="D24" s="219" t="s">
        <v>334</v>
      </c>
      <c r="E24" s="219"/>
      <c r="F24" s="103">
        <v>0.03</v>
      </c>
      <c r="G24" s="103"/>
      <c r="H24" s="103"/>
      <c r="I24" s="103"/>
      <c r="J24" s="103"/>
    </row>
    <row r="25" spans="1:10" s="12" customFormat="1" ht="23.25" customHeight="1">
      <c r="A25" s="164" t="s">
        <v>339</v>
      </c>
      <c r="B25" s="164"/>
      <c r="C25" s="414" t="s">
        <v>326</v>
      </c>
      <c r="D25" s="219" t="s">
        <v>334</v>
      </c>
      <c r="E25" s="219"/>
      <c r="F25" s="103">
        <v>3.9E-2</v>
      </c>
      <c r="G25" s="103"/>
      <c r="H25" s="103"/>
      <c r="I25" s="103"/>
      <c r="J25" s="103"/>
    </row>
    <row r="26" spans="1:10" s="12" customFormat="1" ht="23.25" customHeight="1">
      <c r="A26" s="164" t="s">
        <v>340</v>
      </c>
      <c r="B26" s="164"/>
      <c r="C26" s="414" t="s">
        <v>326</v>
      </c>
      <c r="D26" s="219" t="s">
        <v>341</v>
      </c>
      <c r="E26" s="219"/>
      <c r="F26" s="103" t="s">
        <v>342</v>
      </c>
      <c r="G26" s="103"/>
      <c r="H26" s="103"/>
      <c r="I26" s="103"/>
      <c r="J26" s="103"/>
    </row>
    <row r="27" spans="1:10" s="12" customFormat="1" ht="23.25" customHeight="1">
      <c r="A27" s="164" t="s">
        <v>343</v>
      </c>
      <c r="B27" s="164"/>
      <c r="C27" s="414" t="s">
        <v>326</v>
      </c>
      <c r="D27" s="219" t="s">
        <v>341</v>
      </c>
      <c r="E27" s="219"/>
      <c r="F27" s="103" t="s">
        <v>342</v>
      </c>
      <c r="G27" s="103"/>
      <c r="H27" s="103"/>
      <c r="I27" s="103"/>
      <c r="J27" s="103"/>
    </row>
    <row r="28" spans="1:10" s="12" customFormat="1" ht="23.25" customHeight="1">
      <c r="A28" s="164" t="s">
        <v>344</v>
      </c>
      <c r="B28" s="164"/>
      <c r="C28" s="414" t="s">
        <v>326</v>
      </c>
      <c r="D28" s="219" t="s">
        <v>341</v>
      </c>
      <c r="E28" s="219"/>
      <c r="F28" s="103" t="s">
        <v>342</v>
      </c>
      <c r="G28" s="103"/>
      <c r="H28" s="103"/>
      <c r="I28" s="103"/>
      <c r="J28" s="103"/>
    </row>
    <row r="29" spans="1:10" s="12" customFormat="1" ht="23.25" customHeight="1">
      <c r="A29" s="164" t="s">
        <v>345</v>
      </c>
      <c r="B29" s="164"/>
      <c r="C29" s="414" t="s">
        <v>326</v>
      </c>
      <c r="D29" s="219" t="s">
        <v>341</v>
      </c>
      <c r="E29" s="219"/>
      <c r="F29" s="103" t="s">
        <v>342</v>
      </c>
      <c r="G29" s="103"/>
      <c r="H29" s="103"/>
      <c r="I29" s="103"/>
      <c r="J29" s="103"/>
    </row>
    <row r="30" spans="1:10" s="12" customFormat="1" ht="23.25" customHeight="1">
      <c r="A30" s="164" t="s">
        <v>346</v>
      </c>
      <c r="B30" s="164"/>
      <c r="C30" s="414" t="s">
        <v>326</v>
      </c>
      <c r="D30" s="219" t="s">
        <v>341</v>
      </c>
      <c r="E30" s="219"/>
      <c r="F30" s="103" t="s">
        <v>342</v>
      </c>
      <c r="G30" s="103"/>
      <c r="H30" s="103"/>
      <c r="I30" s="103"/>
      <c r="J30" s="103"/>
    </row>
    <row r="31" spans="1:10" s="12" customFormat="1" ht="23.25" customHeight="1">
      <c r="A31" s="164" t="s">
        <v>347</v>
      </c>
      <c r="B31" s="164"/>
      <c r="C31" s="414" t="s">
        <v>326</v>
      </c>
      <c r="D31" s="219" t="s">
        <v>341</v>
      </c>
      <c r="E31" s="219"/>
      <c r="F31" s="103" t="s">
        <v>342</v>
      </c>
      <c r="G31" s="103"/>
      <c r="H31" s="103"/>
      <c r="I31" s="103"/>
      <c r="J31" s="103"/>
    </row>
    <row r="32" spans="1:10" s="12" customFormat="1" ht="23.25" customHeight="1">
      <c r="A32" s="164" t="s">
        <v>348</v>
      </c>
      <c r="B32" s="164"/>
      <c r="C32" s="414" t="s">
        <v>326</v>
      </c>
      <c r="D32" s="219" t="s">
        <v>341</v>
      </c>
      <c r="E32" s="219"/>
      <c r="F32" s="103" t="s">
        <v>342</v>
      </c>
      <c r="G32" s="103"/>
      <c r="H32" s="103"/>
      <c r="I32" s="103"/>
      <c r="J32" s="103"/>
    </row>
    <row r="33" spans="1:10" s="12" customFormat="1" ht="23.25" customHeight="1">
      <c r="A33" s="164" t="s">
        <v>349</v>
      </c>
      <c r="B33" s="164"/>
      <c r="C33" s="414" t="s">
        <v>326</v>
      </c>
      <c r="D33" s="219" t="s">
        <v>341</v>
      </c>
      <c r="E33" s="219"/>
      <c r="F33" s="103" t="s">
        <v>342</v>
      </c>
      <c r="G33" s="103"/>
      <c r="H33" s="103"/>
      <c r="I33" s="103"/>
      <c r="J33" s="103"/>
    </row>
    <row r="34" spans="1:10" s="12" customFormat="1" ht="23.25" customHeight="1">
      <c r="A34" s="164" t="s">
        <v>350</v>
      </c>
      <c r="B34" s="164"/>
      <c r="C34" s="414" t="s">
        <v>326</v>
      </c>
      <c r="D34" s="219" t="s">
        <v>341</v>
      </c>
      <c r="E34" s="219"/>
      <c r="F34" s="103" t="s">
        <v>342</v>
      </c>
      <c r="G34" s="103"/>
      <c r="H34" s="103"/>
      <c r="I34" s="103"/>
      <c r="J34" s="103"/>
    </row>
    <row r="35" spans="1:10" s="12" customFormat="1" ht="23.25" customHeight="1">
      <c r="A35" s="164" t="s">
        <v>351</v>
      </c>
      <c r="B35" s="164"/>
      <c r="C35" s="414" t="s">
        <v>326</v>
      </c>
      <c r="D35" s="219" t="s">
        <v>341</v>
      </c>
      <c r="E35" s="219"/>
      <c r="F35" s="103" t="s">
        <v>342</v>
      </c>
      <c r="G35" s="103"/>
      <c r="H35" s="103"/>
      <c r="I35" s="103"/>
      <c r="J35" s="103"/>
    </row>
    <row r="36" spans="1:10" s="12" customFormat="1" ht="23.25" customHeight="1">
      <c r="A36" s="164" t="s">
        <v>352</v>
      </c>
      <c r="B36" s="164"/>
      <c r="C36" s="414" t="s">
        <v>326</v>
      </c>
      <c r="D36" s="219" t="s">
        <v>341</v>
      </c>
      <c r="E36" s="219"/>
      <c r="F36" s="103" t="s">
        <v>342</v>
      </c>
      <c r="G36" s="103"/>
      <c r="H36" s="103"/>
      <c r="I36" s="103"/>
      <c r="J36" s="103"/>
    </row>
    <row r="37" spans="1:10" s="12" customFormat="1" ht="23.25" customHeight="1">
      <c r="A37" s="164" t="s">
        <v>353</v>
      </c>
      <c r="B37" s="164"/>
      <c r="C37" s="414" t="s">
        <v>326</v>
      </c>
      <c r="D37" s="219" t="s">
        <v>341</v>
      </c>
      <c r="E37" s="219"/>
      <c r="F37" s="103" t="s">
        <v>342</v>
      </c>
      <c r="G37" s="103"/>
      <c r="H37" s="103"/>
      <c r="I37" s="103"/>
      <c r="J37" s="103"/>
    </row>
    <row r="38" spans="1:10" s="12" customFormat="1" ht="23.25" customHeight="1">
      <c r="A38" s="164" t="s">
        <v>354</v>
      </c>
      <c r="B38" s="164"/>
      <c r="C38" s="414" t="s">
        <v>326</v>
      </c>
      <c r="D38" s="219" t="s">
        <v>341</v>
      </c>
      <c r="E38" s="219"/>
      <c r="F38" s="103" t="s">
        <v>342</v>
      </c>
      <c r="G38" s="103"/>
      <c r="H38" s="103"/>
      <c r="I38" s="103"/>
      <c r="J38" s="103"/>
    </row>
    <row r="39" spans="1:10" s="12" customFormat="1" ht="23.25" customHeight="1">
      <c r="A39" s="164" t="s">
        <v>355</v>
      </c>
      <c r="B39" s="164"/>
      <c r="C39" s="414" t="s">
        <v>326</v>
      </c>
      <c r="D39" s="219" t="s">
        <v>341</v>
      </c>
      <c r="E39" s="219"/>
      <c r="F39" s="103">
        <v>2.7799999999999998E-2</v>
      </c>
      <c r="G39" s="103"/>
      <c r="H39" s="103"/>
      <c r="I39" s="103"/>
      <c r="J39" s="103"/>
    </row>
    <row r="40" spans="1:10" s="12" customFormat="1" ht="23.25" customHeight="1">
      <c r="A40" s="164" t="s">
        <v>356</v>
      </c>
      <c r="B40" s="164"/>
      <c r="C40" s="414" t="s">
        <v>326</v>
      </c>
      <c r="D40" s="219" t="s">
        <v>341</v>
      </c>
      <c r="E40" s="219"/>
      <c r="F40" s="103" t="s">
        <v>342</v>
      </c>
      <c r="G40" s="103"/>
      <c r="H40" s="103"/>
      <c r="I40" s="103"/>
      <c r="J40" s="103"/>
    </row>
    <row r="41" spans="1:10" s="12" customFormat="1" ht="23.25" customHeight="1">
      <c r="A41" s="164" t="s">
        <v>357</v>
      </c>
      <c r="B41" s="164"/>
      <c r="C41" s="414" t="s">
        <v>326</v>
      </c>
      <c r="D41" s="219" t="s">
        <v>341</v>
      </c>
      <c r="E41" s="219"/>
      <c r="F41" s="103">
        <v>0.37</v>
      </c>
      <c r="G41" s="103"/>
      <c r="H41" s="103"/>
      <c r="I41" s="103"/>
      <c r="J41" s="103"/>
    </row>
    <row r="42" spans="1:10">
      <c r="A42" s="152" t="s">
        <v>304</v>
      </c>
      <c r="B42" s="152"/>
      <c r="C42" s="152"/>
      <c r="D42" s="152"/>
      <c r="E42" s="152"/>
      <c r="F42" s="152"/>
      <c r="G42" s="152"/>
      <c r="H42" s="152"/>
      <c r="I42" s="152"/>
      <c r="J42" s="152"/>
    </row>
    <row r="43" spans="1:10">
      <c r="A43" s="208"/>
      <c r="B43" s="208"/>
      <c r="C43" s="208"/>
      <c r="D43" s="208"/>
      <c r="E43" s="208"/>
      <c r="F43" s="208"/>
      <c r="G43" s="208"/>
      <c r="H43" s="208"/>
      <c r="I43" s="208"/>
      <c r="J43" s="208"/>
    </row>
    <row r="44" spans="1:10">
      <c r="A44" s="208"/>
      <c r="B44" s="208"/>
      <c r="C44" s="208"/>
      <c r="D44" s="208"/>
      <c r="E44" s="208"/>
      <c r="F44" s="208"/>
      <c r="G44" s="208"/>
      <c r="H44" s="208"/>
      <c r="I44" s="208"/>
      <c r="J44" s="208"/>
    </row>
    <row r="67" spans="6:6">
      <c r="F67" s="3"/>
    </row>
  </sheetData>
  <mergeCells count="70">
    <mergeCell ref="M6:P9"/>
    <mergeCell ref="M10:P15"/>
    <mergeCell ref="A9:J9"/>
    <mergeCell ref="A6:J7"/>
    <mergeCell ref="A15:B15"/>
    <mergeCell ref="A16:B16"/>
    <mergeCell ref="D15:E15"/>
    <mergeCell ref="D16:E16"/>
    <mergeCell ref="A10:B11"/>
    <mergeCell ref="F10:J10"/>
    <mergeCell ref="D10:E11"/>
    <mergeCell ref="C10:C11"/>
    <mergeCell ref="A12:B12"/>
    <mergeCell ref="A13:B13"/>
    <mergeCell ref="A14:B14"/>
    <mergeCell ref="D12:E12"/>
    <mergeCell ref="D13:E13"/>
    <mergeCell ref="D14:E14"/>
    <mergeCell ref="A20:B20"/>
    <mergeCell ref="A21:B21"/>
    <mergeCell ref="A22:B22"/>
    <mergeCell ref="A17:B17"/>
    <mergeCell ref="A18:B18"/>
    <mergeCell ref="A19:B19"/>
    <mergeCell ref="A43:J44"/>
    <mergeCell ref="A29:B29"/>
    <mergeCell ref="A30:B30"/>
    <mergeCell ref="A26:B26"/>
    <mergeCell ref="A27:B27"/>
    <mergeCell ref="A41:B41"/>
    <mergeCell ref="A31:B31"/>
    <mergeCell ref="A32:B32"/>
    <mergeCell ref="A33:B33"/>
    <mergeCell ref="A34:B34"/>
    <mergeCell ref="A35:B35"/>
    <mergeCell ref="A36:B36"/>
    <mergeCell ref="D41:E41"/>
    <mergeCell ref="D33:E33"/>
    <mergeCell ref="D34:E34"/>
    <mergeCell ref="D40:E40"/>
    <mergeCell ref="A42:J42"/>
    <mergeCell ref="A23:B23"/>
    <mergeCell ref="A24:B24"/>
    <mergeCell ref="A25:B25"/>
    <mergeCell ref="D38:E38"/>
    <mergeCell ref="D39:E39"/>
    <mergeCell ref="A37:B37"/>
    <mergeCell ref="A38:B38"/>
    <mergeCell ref="A39:B39"/>
    <mergeCell ref="A40:B40"/>
    <mergeCell ref="A28:B28"/>
    <mergeCell ref="D36:E36"/>
    <mergeCell ref="D17:E17"/>
    <mergeCell ref="D18:E18"/>
    <mergeCell ref="D19:E19"/>
    <mergeCell ref="D20:E20"/>
    <mergeCell ref="D21:E21"/>
    <mergeCell ref="D22:E22"/>
    <mergeCell ref="D31:E31"/>
    <mergeCell ref="D37:E37"/>
    <mergeCell ref="D23:E23"/>
    <mergeCell ref="D24:E24"/>
    <mergeCell ref="D25:E25"/>
    <mergeCell ref="D26:E26"/>
    <mergeCell ref="D27:E27"/>
    <mergeCell ref="D28:E28"/>
    <mergeCell ref="D35:E35"/>
    <mergeCell ref="D29:E29"/>
    <mergeCell ref="D30:E30"/>
    <mergeCell ref="D32:E3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DA9EB-6EAE-4BA2-B6C0-C20277739035}">
  <sheetPr codeName="Sheet23">
    <tabColor rgb="FF92D050"/>
  </sheetPr>
  <dimension ref="A1:P67"/>
  <sheetViews>
    <sheetView workbookViewId="0">
      <selection activeCell="L16" sqref="L16"/>
    </sheetView>
  </sheetViews>
  <sheetFormatPr defaultColWidth="9.28515625" defaultRowHeight="15.6"/>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Ince Bio Power</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c r="A3" s="1" t="s">
        <v>41</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310</v>
      </c>
      <c r="B5" s="49"/>
      <c r="C5" s="49"/>
      <c r="D5" s="49"/>
      <c r="E5" s="49"/>
      <c r="F5" s="49"/>
      <c r="G5" s="49"/>
      <c r="H5" s="49"/>
      <c r="I5" s="49"/>
      <c r="J5" s="50"/>
      <c r="M5" s="82" t="s">
        <v>1</v>
      </c>
    </row>
    <row r="6" spans="1:16" s="3" customFormat="1" ht="15.75" customHeight="1">
      <c r="A6" s="242" t="s">
        <v>358</v>
      </c>
      <c r="B6" s="298"/>
      <c r="C6" s="298"/>
      <c r="D6" s="298"/>
      <c r="E6" s="298"/>
      <c r="F6" s="298"/>
      <c r="G6" s="298"/>
      <c r="H6" s="298"/>
      <c r="I6" s="298"/>
      <c r="J6" s="299"/>
      <c r="M6" s="241" t="s">
        <v>312</v>
      </c>
      <c r="N6" s="241"/>
      <c r="O6" s="241"/>
      <c r="P6" s="241"/>
    </row>
    <row r="7" spans="1:16" s="3" customFormat="1" ht="15.75" customHeight="1">
      <c r="A7" s="303"/>
      <c r="B7" s="304"/>
      <c r="C7" s="304"/>
      <c r="D7" s="304"/>
      <c r="E7" s="304"/>
      <c r="F7" s="304"/>
      <c r="G7" s="304"/>
      <c r="H7" s="304"/>
      <c r="I7" s="304"/>
      <c r="J7" s="305"/>
      <c r="M7" s="241"/>
      <c r="N7" s="241"/>
      <c r="O7" s="241"/>
      <c r="P7" s="241"/>
    </row>
    <row r="8" spans="1:16" s="3" customFormat="1" ht="14.1">
      <c r="M8" s="241"/>
      <c r="N8" s="241"/>
      <c r="O8" s="241"/>
      <c r="P8" s="241"/>
    </row>
    <row r="9" spans="1:16" s="56" customFormat="1" ht="16.5" customHeight="1">
      <c r="A9" s="211" t="s">
        <v>313</v>
      </c>
      <c r="B9" s="211"/>
      <c r="C9" s="211"/>
      <c r="D9" s="211"/>
      <c r="E9" s="211"/>
      <c r="F9" s="211"/>
      <c r="G9" s="211"/>
      <c r="H9" s="211"/>
      <c r="I9" s="211"/>
      <c r="J9" s="211"/>
      <c r="M9" s="241"/>
      <c r="N9" s="241"/>
      <c r="O9" s="241"/>
      <c r="P9" s="241"/>
    </row>
    <row r="10" spans="1:16" s="56" customFormat="1" ht="16.5" customHeight="1">
      <c r="A10" s="220" t="s">
        <v>222</v>
      </c>
      <c r="B10" s="221"/>
      <c r="C10" s="231" t="s">
        <v>314</v>
      </c>
      <c r="D10" s="227" t="s">
        <v>315</v>
      </c>
      <c r="E10" s="228"/>
      <c r="F10" s="224" t="s">
        <v>309</v>
      </c>
      <c r="G10" s="225"/>
      <c r="H10" s="225"/>
      <c r="I10" s="225"/>
      <c r="J10" s="226"/>
      <c r="M10" s="241" t="s">
        <v>316</v>
      </c>
      <c r="N10" s="241"/>
      <c r="O10" s="241"/>
      <c r="P10" s="241"/>
    </row>
    <row r="11" spans="1:16" s="12" customFormat="1" ht="17.25" customHeight="1">
      <c r="A11" s="222"/>
      <c r="B11" s="223"/>
      <c r="C11" s="232"/>
      <c r="D11" s="229"/>
      <c r="E11" s="230"/>
      <c r="F11" s="46" t="s">
        <v>196</v>
      </c>
      <c r="G11" s="46" t="s">
        <v>197</v>
      </c>
      <c r="H11" s="46" t="s">
        <v>198</v>
      </c>
      <c r="I11" s="46" t="s">
        <v>199</v>
      </c>
      <c r="J11" s="46" t="s">
        <v>200</v>
      </c>
      <c r="K11" s="113"/>
      <c r="L11" s="113"/>
      <c r="M11" s="241"/>
      <c r="N11" s="241"/>
      <c r="O11" s="241"/>
      <c r="P11" s="241"/>
    </row>
    <row r="12" spans="1:16" s="113" customFormat="1" ht="17.25" customHeight="1">
      <c r="A12" s="233" t="s">
        <v>119</v>
      </c>
      <c r="B12" s="234"/>
      <c r="C12" s="112" t="s">
        <v>317</v>
      </c>
      <c r="D12" s="237" t="s">
        <v>318</v>
      </c>
      <c r="E12" s="238"/>
      <c r="F12" s="103">
        <v>0.39</v>
      </c>
      <c r="G12" s="103"/>
      <c r="H12" s="103"/>
      <c r="I12" s="103"/>
      <c r="J12" s="103"/>
      <c r="M12" s="241"/>
      <c r="N12" s="241"/>
      <c r="O12" s="241"/>
      <c r="P12" s="241"/>
    </row>
    <row r="13" spans="1:16" s="113" customFormat="1" ht="17.25" customHeight="1">
      <c r="A13" s="233" t="s">
        <v>320</v>
      </c>
      <c r="B13" s="234"/>
      <c r="C13" s="112" t="s">
        <v>317</v>
      </c>
      <c r="D13" s="237" t="s">
        <v>318</v>
      </c>
      <c r="E13" s="238"/>
      <c r="F13" s="103">
        <v>2.5999999999999999E-2</v>
      </c>
      <c r="G13" s="103"/>
      <c r="H13" s="103"/>
      <c r="I13" s="103"/>
      <c r="J13" s="103"/>
      <c r="M13" s="241"/>
      <c r="N13" s="241"/>
      <c r="O13" s="241"/>
      <c r="P13" s="241"/>
    </row>
    <row r="14" spans="1:16" s="12" customFormat="1" ht="17.25" customHeight="1">
      <c r="A14" s="235" t="s">
        <v>232</v>
      </c>
      <c r="B14" s="236"/>
      <c r="C14" s="111" t="s">
        <v>317</v>
      </c>
      <c r="D14" s="239" t="s">
        <v>321</v>
      </c>
      <c r="E14" s="240"/>
      <c r="F14" s="103">
        <v>2.2999999999999998</v>
      </c>
      <c r="G14" s="103"/>
      <c r="H14" s="103"/>
      <c r="I14" s="103"/>
      <c r="J14" s="103"/>
      <c r="K14" s="113"/>
      <c r="L14" s="113"/>
      <c r="M14" s="241"/>
      <c r="N14" s="241"/>
      <c r="O14" s="241"/>
      <c r="P14" s="241"/>
    </row>
    <row r="15" spans="1:16" s="12" customFormat="1" ht="23.25" customHeight="1">
      <c r="A15" s="164" t="s">
        <v>322</v>
      </c>
      <c r="B15" s="164"/>
      <c r="C15" s="413" t="s">
        <v>317</v>
      </c>
      <c r="D15" s="219" t="s">
        <v>323</v>
      </c>
      <c r="E15" s="219"/>
      <c r="F15" s="103">
        <v>0.18</v>
      </c>
      <c r="G15" s="103"/>
      <c r="H15" s="103"/>
      <c r="I15" s="103"/>
      <c r="J15" s="103"/>
      <c r="K15" s="113"/>
      <c r="L15" s="113"/>
      <c r="M15" s="241"/>
      <c r="N15" s="241"/>
      <c r="O15" s="241"/>
      <c r="P15" s="241"/>
    </row>
    <row r="16" spans="1:16" s="12" customFormat="1" ht="23.25" customHeight="1">
      <c r="A16" s="164" t="s">
        <v>325</v>
      </c>
      <c r="B16" s="164"/>
      <c r="C16" s="414" t="s">
        <v>326</v>
      </c>
      <c r="D16" s="219" t="s">
        <v>327</v>
      </c>
      <c r="E16" s="219"/>
      <c r="F16" s="103">
        <v>1.2999999999999999E-3</v>
      </c>
      <c r="G16" s="103"/>
      <c r="H16" s="103"/>
      <c r="I16" s="103"/>
      <c r="J16" s="103"/>
      <c r="K16" s="113"/>
      <c r="L16" s="113"/>
      <c r="M16" s="113"/>
      <c r="N16" s="113"/>
      <c r="O16" s="113"/>
      <c r="P16" s="113"/>
    </row>
    <row r="17" spans="1:10" s="12" customFormat="1" ht="23.25" customHeight="1">
      <c r="A17" s="164" t="s">
        <v>328</v>
      </c>
      <c r="B17" s="164"/>
      <c r="C17" s="414" t="s">
        <v>326</v>
      </c>
      <c r="D17" s="219" t="s">
        <v>327</v>
      </c>
      <c r="E17" s="219"/>
      <c r="F17" s="103">
        <v>3.5E-4</v>
      </c>
      <c r="G17" s="103"/>
      <c r="H17" s="103"/>
      <c r="I17" s="103"/>
      <c r="J17" s="103"/>
    </row>
    <row r="18" spans="1:10" s="12" customFormat="1" ht="23.25" customHeight="1">
      <c r="A18" s="164" t="s">
        <v>329</v>
      </c>
      <c r="B18" s="164"/>
      <c r="C18" s="414" t="s">
        <v>326</v>
      </c>
      <c r="D18" s="219" t="s">
        <v>330</v>
      </c>
      <c r="E18" s="219"/>
      <c r="F18" s="103">
        <v>0.28000000000000003</v>
      </c>
      <c r="G18" s="103"/>
      <c r="H18" s="103"/>
      <c r="I18" s="103"/>
      <c r="J18" s="103"/>
    </row>
    <row r="19" spans="1:10" s="12" customFormat="1" ht="23.25" customHeight="1">
      <c r="A19" s="164" t="s">
        <v>331</v>
      </c>
      <c r="B19" s="164"/>
      <c r="C19" s="414" t="s">
        <v>326</v>
      </c>
      <c r="D19" s="219" t="s">
        <v>332</v>
      </c>
      <c r="E19" s="219"/>
      <c r="F19" s="103">
        <v>1.6E-2</v>
      </c>
      <c r="G19" s="103"/>
      <c r="H19" s="103"/>
      <c r="I19" s="103"/>
      <c r="J19" s="103"/>
    </row>
    <row r="20" spans="1:10" s="12" customFormat="1" ht="23.25" customHeight="1">
      <c r="A20" s="164" t="s">
        <v>333</v>
      </c>
      <c r="B20" s="164"/>
      <c r="C20" s="414" t="s">
        <v>326</v>
      </c>
      <c r="D20" s="219" t="s">
        <v>334</v>
      </c>
      <c r="E20" s="219"/>
      <c r="F20" s="103">
        <v>2.1000000000000001E-4</v>
      </c>
      <c r="G20" s="103"/>
      <c r="H20" s="103"/>
      <c r="I20" s="103"/>
      <c r="J20" s="103"/>
    </row>
    <row r="21" spans="1:10" s="12" customFormat="1" ht="23.25" customHeight="1">
      <c r="A21" s="164" t="s">
        <v>335</v>
      </c>
      <c r="B21" s="164"/>
      <c r="C21" s="414" t="s">
        <v>326</v>
      </c>
      <c r="D21" s="219" t="s">
        <v>334</v>
      </c>
      <c r="E21" s="219"/>
      <c r="F21" s="103">
        <v>1.0000000000000001E-5</v>
      </c>
      <c r="G21" s="103"/>
      <c r="H21" s="103"/>
      <c r="I21" s="103"/>
      <c r="J21" s="103"/>
    </row>
    <row r="22" spans="1:10" s="12" customFormat="1" ht="23.25" customHeight="1">
      <c r="A22" s="164" t="s">
        <v>336</v>
      </c>
      <c r="B22" s="164"/>
      <c r="C22" s="414" t="s">
        <v>326</v>
      </c>
      <c r="D22" s="219" t="s">
        <v>334</v>
      </c>
      <c r="E22" s="219"/>
      <c r="F22" s="103">
        <v>5.5999999999999995E-4</v>
      </c>
      <c r="G22" s="103"/>
      <c r="H22" s="103"/>
      <c r="I22" s="103"/>
      <c r="J22" s="103"/>
    </row>
    <row r="23" spans="1:10" s="12" customFormat="1" ht="23.25" customHeight="1">
      <c r="A23" s="164" t="s">
        <v>337</v>
      </c>
      <c r="B23" s="164"/>
      <c r="C23" s="414" t="s">
        <v>326</v>
      </c>
      <c r="D23" s="219" t="s">
        <v>334</v>
      </c>
      <c r="E23" s="219"/>
      <c r="F23" s="103">
        <v>1.4999999999999999E-2</v>
      </c>
      <c r="G23" s="103"/>
      <c r="H23" s="103"/>
      <c r="I23" s="103"/>
      <c r="J23" s="103"/>
    </row>
    <row r="24" spans="1:10" s="12" customFormat="1" ht="23.25" customHeight="1">
      <c r="A24" s="164" t="s">
        <v>338</v>
      </c>
      <c r="B24" s="164"/>
      <c r="C24" s="414" t="s">
        <v>326</v>
      </c>
      <c r="D24" s="219" t="s">
        <v>334</v>
      </c>
      <c r="E24" s="219"/>
      <c r="F24" s="103">
        <v>1.4999999999999999E-2</v>
      </c>
      <c r="G24" s="103"/>
      <c r="H24" s="103"/>
      <c r="I24" s="103"/>
      <c r="J24" s="103"/>
    </row>
    <row r="25" spans="1:10" s="12" customFormat="1" ht="23.25" customHeight="1">
      <c r="A25" s="164" t="s">
        <v>339</v>
      </c>
      <c r="B25" s="164"/>
      <c r="C25" s="414" t="s">
        <v>326</v>
      </c>
      <c r="D25" s="219" t="s">
        <v>334</v>
      </c>
      <c r="E25" s="219"/>
      <c r="F25" s="103">
        <v>2.8000000000000001E-2</v>
      </c>
      <c r="G25" s="103"/>
      <c r="H25" s="103"/>
      <c r="I25" s="103"/>
      <c r="J25" s="103"/>
    </row>
    <row r="26" spans="1:10" s="12" customFormat="1" ht="23.25" customHeight="1">
      <c r="A26" s="164" t="s">
        <v>340</v>
      </c>
      <c r="B26" s="164"/>
      <c r="C26" s="414" t="s">
        <v>326</v>
      </c>
      <c r="D26" s="219" t="s">
        <v>341</v>
      </c>
      <c r="E26" s="219"/>
      <c r="F26" s="103" t="s">
        <v>359</v>
      </c>
      <c r="G26" s="103"/>
      <c r="H26" s="103"/>
      <c r="I26" s="103"/>
      <c r="J26" s="103"/>
    </row>
    <row r="27" spans="1:10" s="12" customFormat="1" ht="23.25" customHeight="1">
      <c r="A27" s="164" t="s">
        <v>343</v>
      </c>
      <c r="B27" s="164"/>
      <c r="C27" s="414" t="s">
        <v>326</v>
      </c>
      <c r="D27" s="219" t="s">
        <v>341</v>
      </c>
      <c r="E27" s="219"/>
      <c r="F27" s="103" t="s">
        <v>359</v>
      </c>
      <c r="G27" s="103"/>
      <c r="H27" s="103"/>
      <c r="I27" s="103"/>
      <c r="J27" s="103"/>
    </row>
    <row r="28" spans="1:10" s="12" customFormat="1" ht="23.25" customHeight="1">
      <c r="A28" s="164" t="s">
        <v>344</v>
      </c>
      <c r="B28" s="164"/>
      <c r="C28" s="414" t="s">
        <v>326</v>
      </c>
      <c r="D28" s="219" t="s">
        <v>341</v>
      </c>
      <c r="E28" s="219"/>
      <c r="F28" s="103" t="s">
        <v>359</v>
      </c>
      <c r="G28" s="103"/>
      <c r="H28" s="103"/>
      <c r="I28" s="103"/>
      <c r="J28" s="103"/>
    </row>
    <row r="29" spans="1:10" s="12" customFormat="1" ht="23.25" customHeight="1">
      <c r="A29" s="164" t="s">
        <v>345</v>
      </c>
      <c r="B29" s="164"/>
      <c r="C29" s="414" t="s">
        <v>326</v>
      </c>
      <c r="D29" s="219" t="s">
        <v>341</v>
      </c>
      <c r="E29" s="219"/>
      <c r="F29" s="103" t="s">
        <v>359</v>
      </c>
      <c r="G29" s="103"/>
      <c r="H29" s="103"/>
      <c r="I29" s="103"/>
      <c r="J29" s="103"/>
    </row>
    <row r="30" spans="1:10" s="12" customFormat="1" ht="23.25" customHeight="1">
      <c r="A30" s="164" t="s">
        <v>346</v>
      </c>
      <c r="B30" s="164"/>
      <c r="C30" s="414" t="s">
        <v>326</v>
      </c>
      <c r="D30" s="219" t="s">
        <v>341</v>
      </c>
      <c r="E30" s="219"/>
      <c r="F30" s="103" t="s">
        <v>359</v>
      </c>
      <c r="G30" s="103"/>
      <c r="H30" s="103"/>
      <c r="I30" s="103"/>
      <c r="J30" s="103"/>
    </row>
    <row r="31" spans="1:10" s="12" customFormat="1" ht="23.25" customHeight="1">
      <c r="A31" s="164" t="s">
        <v>347</v>
      </c>
      <c r="B31" s="164"/>
      <c r="C31" s="414" t="s">
        <v>326</v>
      </c>
      <c r="D31" s="219" t="s">
        <v>341</v>
      </c>
      <c r="E31" s="219"/>
      <c r="F31" s="103" t="s">
        <v>359</v>
      </c>
      <c r="G31" s="103"/>
      <c r="H31" s="103"/>
      <c r="I31" s="103"/>
      <c r="J31" s="103"/>
    </row>
    <row r="32" spans="1:10" s="12" customFormat="1" ht="23.25" customHeight="1">
      <c r="A32" s="164" t="s">
        <v>348</v>
      </c>
      <c r="B32" s="164"/>
      <c r="C32" s="414" t="s">
        <v>326</v>
      </c>
      <c r="D32" s="219" t="s">
        <v>341</v>
      </c>
      <c r="E32" s="219"/>
      <c r="F32" s="103">
        <v>2.8999999999999998E-3</v>
      </c>
      <c r="G32" s="103"/>
      <c r="H32" s="103"/>
      <c r="I32" s="103"/>
      <c r="J32" s="103"/>
    </row>
    <row r="33" spans="1:10" s="12" customFormat="1" ht="23.25" customHeight="1">
      <c r="A33" s="164" t="s">
        <v>349</v>
      </c>
      <c r="B33" s="164"/>
      <c r="C33" s="414" t="s">
        <v>326</v>
      </c>
      <c r="D33" s="219" t="s">
        <v>341</v>
      </c>
      <c r="E33" s="219"/>
      <c r="F33" s="103" t="s">
        <v>359</v>
      </c>
      <c r="G33" s="103"/>
      <c r="H33" s="103"/>
      <c r="I33" s="103"/>
      <c r="J33" s="103"/>
    </row>
    <row r="34" spans="1:10" s="12" customFormat="1" ht="23.25" customHeight="1">
      <c r="A34" s="164" t="s">
        <v>350</v>
      </c>
      <c r="B34" s="164"/>
      <c r="C34" s="414" t="s">
        <v>326</v>
      </c>
      <c r="D34" s="219" t="s">
        <v>341</v>
      </c>
      <c r="E34" s="219"/>
      <c r="F34" s="103" t="s">
        <v>359</v>
      </c>
      <c r="G34" s="103"/>
      <c r="H34" s="103"/>
      <c r="I34" s="103"/>
      <c r="J34" s="103"/>
    </row>
    <row r="35" spans="1:10" s="12" customFormat="1" ht="23.25" customHeight="1">
      <c r="A35" s="164" t="s">
        <v>351</v>
      </c>
      <c r="B35" s="164"/>
      <c r="C35" s="414" t="s">
        <v>326</v>
      </c>
      <c r="D35" s="219" t="s">
        <v>341</v>
      </c>
      <c r="E35" s="219"/>
      <c r="F35" s="103">
        <v>3.0999999999999999E-3</v>
      </c>
      <c r="G35" s="103"/>
      <c r="H35" s="103"/>
      <c r="I35" s="103"/>
      <c r="J35" s="103"/>
    </row>
    <row r="36" spans="1:10" s="12" customFormat="1" ht="23.25" customHeight="1">
      <c r="A36" s="164" t="s">
        <v>352</v>
      </c>
      <c r="B36" s="164"/>
      <c r="C36" s="414" t="s">
        <v>326</v>
      </c>
      <c r="D36" s="219" t="s">
        <v>341</v>
      </c>
      <c r="E36" s="219"/>
      <c r="F36" s="103" t="s">
        <v>359</v>
      </c>
      <c r="G36" s="103"/>
      <c r="H36" s="103"/>
      <c r="I36" s="103"/>
      <c r="J36" s="103"/>
    </row>
    <row r="37" spans="1:10" s="12" customFormat="1" ht="23.25" customHeight="1">
      <c r="A37" s="164" t="s">
        <v>353</v>
      </c>
      <c r="B37" s="164"/>
      <c r="C37" s="414" t="s">
        <v>326</v>
      </c>
      <c r="D37" s="219" t="s">
        <v>341</v>
      </c>
      <c r="E37" s="219"/>
      <c r="F37" s="103" t="s">
        <v>359</v>
      </c>
      <c r="G37" s="103"/>
      <c r="H37" s="103"/>
      <c r="I37" s="103"/>
      <c r="J37" s="103"/>
    </row>
    <row r="38" spans="1:10" s="12" customFormat="1" ht="23.25" customHeight="1">
      <c r="A38" s="164" t="s">
        <v>354</v>
      </c>
      <c r="B38" s="164"/>
      <c r="C38" s="414" t="s">
        <v>326</v>
      </c>
      <c r="D38" s="219" t="s">
        <v>341</v>
      </c>
      <c r="E38" s="219"/>
      <c r="F38" s="103" t="s">
        <v>359</v>
      </c>
      <c r="G38" s="103"/>
      <c r="H38" s="103"/>
      <c r="I38" s="103"/>
      <c r="J38" s="103"/>
    </row>
    <row r="39" spans="1:10" s="12" customFormat="1" ht="23.25" customHeight="1">
      <c r="A39" s="164" t="s">
        <v>355</v>
      </c>
      <c r="B39" s="164"/>
      <c r="C39" s="414" t="s">
        <v>326</v>
      </c>
      <c r="D39" s="219" t="s">
        <v>341</v>
      </c>
      <c r="E39" s="219"/>
      <c r="F39" s="103">
        <v>6.6000000000000003E-2</v>
      </c>
      <c r="G39" s="103"/>
      <c r="H39" s="103"/>
      <c r="I39" s="103"/>
      <c r="J39" s="103"/>
    </row>
    <row r="40" spans="1:10" s="12" customFormat="1" ht="23.25" customHeight="1">
      <c r="A40" s="164" t="s">
        <v>356</v>
      </c>
      <c r="B40" s="164"/>
      <c r="C40" s="414" t="s">
        <v>326</v>
      </c>
      <c r="D40" s="219" t="s">
        <v>341</v>
      </c>
      <c r="E40" s="219"/>
      <c r="F40" s="103" t="s">
        <v>359</v>
      </c>
      <c r="G40" s="103"/>
      <c r="H40" s="103"/>
      <c r="I40" s="103"/>
      <c r="J40" s="103"/>
    </row>
    <row r="41" spans="1:10" s="12" customFormat="1" ht="23.25" customHeight="1">
      <c r="A41" s="164" t="s">
        <v>357</v>
      </c>
      <c r="B41" s="164"/>
      <c r="C41" s="414" t="s">
        <v>326</v>
      </c>
      <c r="D41" s="219" t="s">
        <v>341</v>
      </c>
      <c r="E41" s="219"/>
      <c r="F41" s="103">
        <v>0.31</v>
      </c>
      <c r="G41" s="103"/>
      <c r="H41" s="103"/>
      <c r="I41" s="103"/>
      <c r="J41" s="103"/>
    </row>
    <row r="42" spans="1:10">
      <c r="A42" s="152" t="s">
        <v>304</v>
      </c>
      <c r="B42" s="152"/>
      <c r="C42" s="152"/>
      <c r="D42" s="152"/>
      <c r="E42" s="152"/>
      <c r="F42" s="152"/>
      <c r="G42" s="152"/>
      <c r="H42" s="152"/>
      <c r="I42" s="152"/>
      <c r="J42" s="152"/>
    </row>
    <row r="43" spans="1:10">
      <c r="A43" s="208"/>
      <c r="B43" s="208"/>
      <c r="C43" s="208"/>
      <c r="D43" s="208"/>
      <c r="E43" s="208"/>
      <c r="F43" s="208"/>
      <c r="G43" s="208"/>
      <c r="H43" s="208"/>
      <c r="I43" s="208"/>
      <c r="J43" s="208"/>
    </row>
    <row r="44" spans="1:10">
      <c r="A44" s="208"/>
      <c r="B44" s="208"/>
      <c r="C44" s="208"/>
      <c r="D44" s="208"/>
      <c r="E44" s="208"/>
      <c r="F44" s="208"/>
      <c r="G44" s="208"/>
      <c r="H44" s="208"/>
      <c r="I44" s="208"/>
      <c r="J44" s="208"/>
    </row>
    <row r="67" spans="6:6">
      <c r="F67" s="3"/>
    </row>
  </sheetData>
  <mergeCells count="70">
    <mergeCell ref="A6:J7"/>
    <mergeCell ref="M6:P9"/>
    <mergeCell ref="A9:J9"/>
    <mergeCell ref="A10:B11"/>
    <mergeCell ref="C10:C11"/>
    <mergeCell ref="D10:E11"/>
    <mergeCell ref="F10:J10"/>
    <mergeCell ref="M10:P15"/>
    <mergeCell ref="A15:B15"/>
    <mergeCell ref="D15:E15"/>
    <mergeCell ref="A14:B14"/>
    <mergeCell ref="D14:E14"/>
    <mergeCell ref="A12:B12"/>
    <mergeCell ref="A13:B13"/>
    <mergeCell ref="D12:E12"/>
    <mergeCell ref="D13:E13"/>
    <mergeCell ref="A16:B16"/>
    <mergeCell ref="D16:E16"/>
    <mergeCell ref="A17:B17"/>
    <mergeCell ref="D17:E17"/>
    <mergeCell ref="A18:B18"/>
    <mergeCell ref="D18:E18"/>
    <mergeCell ref="A19:B19"/>
    <mergeCell ref="D19:E19"/>
    <mergeCell ref="A20:B20"/>
    <mergeCell ref="D20:E20"/>
    <mergeCell ref="A21:B21"/>
    <mergeCell ref="D21:E21"/>
    <mergeCell ref="A22:B22"/>
    <mergeCell ref="D22:E22"/>
    <mergeCell ref="A23:B23"/>
    <mergeCell ref="D23:E23"/>
    <mergeCell ref="A24:B24"/>
    <mergeCell ref="D24:E24"/>
    <mergeCell ref="A25:B25"/>
    <mergeCell ref="D25:E25"/>
    <mergeCell ref="A26:B26"/>
    <mergeCell ref="D26:E26"/>
    <mergeCell ref="A27:B27"/>
    <mergeCell ref="D27:E27"/>
    <mergeCell ref="A28:B28"/>
    <mergeCell ref="D28:E28"/>
    <mergeCell ref="A29:B29"/>
    <mergeCell ref="D29:E29"/>
    <mergeCell ref="A30:B30"/>
    <mergeCell ref="D30:E30"/>
    <mergeCell ref="A31:B31"/>
    <mergeCell ref="D31:E31"/>
    <mergeCell ref="A32:B32"/>
    <mergeCell ref="D32:E32"/>
    <mergeCell ref="A33:B33"/>
    <mergeCell ref="D33:E33"/>
    <mergeCell ref="A34:B34"/>
    <mergeCell ref="D34:E34"/>
    <mergeCell ref="A35:B35"/>
    <mergeCell ref="D35:E35"/>
    <mergeCell ref="A36:B36"/>
    <mergeCell ref="D36:E36"/>
    <mergeCell ref="A43:J44"/>
    <mergeCell ref="A37:B37"/>
    <mergeCell ref="D37:E37"/>
    <mergeCell ref="A38:B38"/>
    <mergeCell ref="D38:E38"/>
    <mergeCell ref="A39:B39"/>
    <mergeCell ref="D39:E39"/>
    <mergeCell ref="A40:B40"/>
    <mergeCell ref="D40:E40"/>
    <mergeCell ref="A41:B41"/>
    <mergeCell ref="D41:E41"/>
    <mergeCell ref="A42:J42"/>
  </mergeCells>
  <pageMargins left="0.7" right="0.7" top="0.75" bottom="0.75" header="0.3" footer="0.3"/>
  <pageSetup paperSize="9" scale="87" orientation="portrait"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6" workbookViewId="0">
      <selection activeCell="D26" sqref="D26"/>
    </sheetView>
  </sheetViews>
  <sheetFormatPr defaultColWidth="9.28515625" defaultRowHeight="15.6"/>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93" t="str">
        <f>+'Cover Page'!$B$29</f>
        <v>Annual Performance Report 2022</v>
      </c>
      <c r="B1" s="93"/>
      <c r="C1" s="93"/>
      <c r="D1" s="93"/>
      <c r="E1" s="93"/>
      <c r="F1" s="93"/>
      <c r="G1" s="93"/>
      <c r="H1" s="93"/>
      <c r="I1" s="93" t="str">
        <f>+'Cover Page'!$B$33</f>
        <v>Ince Bio Power</v>
      </c>
      <c r="J1" s="93"/>
      <c r="K1" s="93"/>
      <c r="L1" s="93"/>
      <c r="M1" s="93"/>
      <c r="N1" s="93"/>
      <c r="O1" s="93"/>
      <c r="P1" s="93"/>
    </row>
    <row r="3" spans="1:16">
      <c r="A3" s="1" t="s">
        <v>360</v>
      </c>
      <c r="B3" s="93"/>
      <c r="C3" s="93"/>
      <c r="D3" s="93"/>
      <c r="E3" s="93"/>
      <c r="F3" s="93"/>
      <c r="G3" s="93"/>
      <c r="H3" s="93"/>
      <c r="I3" s="93"/>
      <c r="J3" s="93"/>
      <c r="K3" s="93"/>
      <c r="L3" s="93"/>
      <c r="M3" s="93"/>
      <c r="N3" s="93"/>
      <c r="O3" s="93"/>
      <c r="P3" s="93"/>
    </row>
    <row r="4" spans="1:16">
      <c r="A4" s="1"/>
      <c r="B4" s="93"/>
      <c r="C4" s="93"/>
      <c r="D4" s="93"/>
      <c r="E4" s="93"/>
      <c r="F4" s="93"/>
      <c r="G4" s="93"/>
      <c r="H4" s="93"/>
      <c r="I4" s="93"/>
      <c r="J4" s="93"/>
      <c r="K4" s="93"/>
      <c r="L4" s="93"/>
      <c r="M4" s="93"/>
      <c r="N4" s="93"/>
      <c r="O4" s="93"/>
      <c r="P4" s="73" t="s">
        <v>1</v>
      </c>
    </row>
    <row r="5" spans="1:16" s="3" customFormat="1" ht="21.75" customHeight="1">
      <c r="A5" s="48" t="s">
        <v>310</v>
      </c>
      <c r="B5" s="49"/>
      <c r="C5" s="49"/>
      <c r="D5" s="49"/>
      <c r="E5" s="49"/>
      <c r="F5" s="49"/>
      <c r="G5" s="49"/>
      <c r="H5" s="49"/>
      <c r="I5" s="49"/>
      <c r="J5" s="49"/>
      <c r="K5" s="49"/>
      <c r="L5" s="49"/>
      <c r="M5" s="50"/>
      <c r="P5" s="74" t="s">
        <v>361</v>
      </c>
    </row>
    <row r="6" spans="1:16" s="3" customFormat="1" ht="15.75" customHeight="1">
      <c r="A6" s="242"/>
      <c r="B6" s="298"/>
      <c r="C6" s="298"/>
      <c r="D6" s="298"/>
      <c r="E6" s="298"/>
      <c r="F6" s="298"/>
      <c r="G6" s="298"/>
      <c r="H6" s="298"/>
      <c r="I6" s="298"/>
      <c r="J6" s="298"/>
      <c r="K6" s="298"/>
      <c r="L6" s="298"/>
      <c r="M6" s="299"/>
      <c r="P6" s="3" t="s">
        <v>362</v>
      </c>
    </row>
    <row r="7" spans="1:16" s="3" customFormat="1" ht="15.75" customHeight="1">
      <c r="A7" s="303"/>
      <c r="B7" s="304"/>
      <c r="C7" s="304"/>
      <c r="D7" s="304"/>
      <c r="E7" s="304"/>
      <c r="F7" s="304"/>
      <c r="G7" s="304"/>
      <c r="H7" s="304"/>
      <c r="I7" s="304"/>
      <c r="J7" s="304"/>
      <c r="K7" s="304"/>
      <c r="L7" s="304"/>
      <c r="M7" s="305"/>
    </row>
    <row r="8" spans="1:16" s="3" customFormat="1" ht="15.75" customHeight="1">
      <c r="A8" s="195"/>
      <c r="B8" s="384"/>
      <c r="C8" s="384"/>
      <c r="D8" s="384"/>
      <c r="E8" s="384"/>
      <c r="F8" s="384"/>
      <c r="G8" s="384"/>
      <c r="H8" s="384"/>
      <c r="I8" s="384"/>
      <c r="J8" s="384"/>
      <c r="K8" s="384"/>
      <c r="L8" s="384"/>
      <c r="M8" s="385"/>
    </row>
    <row r="9" spans="1:16" s="3" customFormat="1" ht="15.75" customHeight="1">
      <c r="A9" s="389"/>
      <c r="B9" s="390"/>
      <c r="C9" s="390"/>
      <c r="D9" s="390"/>
      <c r="E9" s="390"/>
      <c r="F9" s="390"/>
      <c r="G9" s="390"/>
      <c r="H9" s="390"/>
      <c r="I9" s="390"/>
      <c r="J9" s="390"/>
      <c r="K9" s="390"/>
      <c r="L9" s="390"/>
      <c r="M9" s="391"/>
    </row>
    <row r="10" spans="1:16" s="3" customFormat="1" ht="14.1"/>
    <row r="11" spans="1:16" s="56" customFormat="1" ht="16.5" customHeight="1">
      <c r="A11" s="211" t="s">
        <v>363</v>
      </c>
      <c r="B11" s="211"/>
      <c r="C11" s="211"/>
      <c r="D11" s="211"/>
      <c r="E11" s="211"/>
      <c r="F11" s="211"/>
      <c r="G11" s="211"/>
      <c r="H11" s="211"/>
      <c r="I11" s="211"/>
      <c r="J11" s="211"/>
      <c r="K11" s="211"/>
      <c r="L11" s="211"/>
      <c r="M11" s="211"/>
    </row>
    <row r="12" spans="1:16" s="56" customFormat="1" ht="16.5" customHeight="1">
      <c r="A12" s="247" t="s">
        <v>222</v>
      </c>
      <c r="B12" s="231" t="s">
        <v>364</v>
      </c>
      <c r="C12" s="174" t="s">
        <v>315</v>
      </c>
      <c r="D12" s="175" t="s">
        <v>196</v>
      </c>
      <c r="E12" s="248"/>
      <c r="F12" s="175" t="s">
        <v>197</v>
      </c>
      <c r="G12" s="248"/>
      <c r="H12" s="175" t="s">
        <v>198</v>
      </c>
      <c r="I12" s="248"/>
      <c r="J12" s="175" t="s">
        <v>199</v>
      </c>
      <c r="K12" s="248"/>
      <c r="L12" s="175" t="s">
        <v>200</v>
      </c>
      <c r="M12" s="248"/>
    </row>
    <row r="13" spans="1:16" s="12" customFormat="1" ht="17.25" customHeight="1">
      <c r="A13" s="247"/>
      <c r="B13" s="232"/>
      <c r="C13" s="174"/>
      <c r="D13" s="46" t="s">
        <v>308</v>
      </c>
      <c r="E13" s="57" t="s">
        <v>365</v>
      </c>
      <c r="F13" s="46" t="s">
        <v>308</v>
      </c>
      <c r="G13" s="57" t="s">
        <v>365</v>
      </c>
      <c r="H13" s="46" t="s">
        <v>308</v>
      </c>
      <c r="I13" s="57" t="s">
        <v>365</v>
      </c>
      <c r="J13" s="46" t="s">
        <v>308</v>
      </c>
      <c r="K13" s="57" t="s">
        <v>365</v>
      </c>
      <c r="L13" s="46" t="s">
        <v>308</v>
      </c>
      <c r="M13" s="57" t="s">
        <v>365</v>
      </c>
      <c r="N13" s="113"/>
      <c r="O13" s="113"/>
      <c r="P13" s="113"/>
    </row>
    <row r="14" spans="1:16" s="12" customFormat="1" ht="23.25" customHeight="1">
      <c r="A14" s="164" t="s">
        <v>228</v>
      </c>
      <c r="B14" s="112" t="s">
        <v>366</v>
      </c>
      <c r="C14" s="112" t="s">
        <v>367</v>
      </c>
      <c r="D14" s="104">
        <f>NOx!O19</f>
        <v>270.60000000000002</v>
      </c>
      <c r="E14" s="104">
        <f>NOx!N19</f>
        <v>251.58971479646229</v>
      </c>
      <c r="F14" s="103"/>
      <c r="G14" s="103"/>
      <c r="H14" s="103"/>
      <c r="I14" s="103"/>
      <c r="J14" s="103"/>
      <c r="K14" s="103"/>
      <c r="L14" s="103"/>
      <c r="M14" s="103"/>
      <c r="N14" s="113"/>
      <c r="O14" s="113"/>
      <c r="P14" s="113"/>
    </row>
    <row r="15" spans="1:16" s="12" customFormat="1" ht="23.25" customHeight="1">
      <c r="A15" s="164"/>
      <c r="B15" s="112" t="s">
        <v>368</v>
      </c>
      <c r="C15" s="112" t="s">
        <v>369</v>
      </c>
      <c r="D15" s="104">
        <f>NOx!M19</f>
        <v>359.1</v>
      </c>
      <c r="E15" s="104">
        <f>NOx!L19</f>
        <v>251.45</v>
      </c>
      <c r="F15" s="103"/>
      <c r="G15" s="103"/>
      <c r="H15" s="103"/>
      <c r="I15" s="103"/>
      <c r="J15" s="103"/>
      <c r="K15" s="103"/>
      <c r="L15" s="103"/>
      <c r="M15" s="103"/>
      <c r="N15" s="113"/>
      <c r="O15" s="113"/>
      <c r="P15" s="113"/>
    </row>
    <row r="16" spans="1:16" s="12" customFormat="1" ht="23.25" customHeight="1">
      <c r="A16" s="415" t="s">
        <v>227</v>
      </c>
      <c r="B16" s="112" t="s">
        <v>366</v>
      </c>
      <c r="C16" s="112" t="s">
        <v>370</v>
      </c>
      <c r="D16" s="104">
        <f>Particulates!O19</f>
        <v>9.4</v>
      </c>
      <c r="E16" s="104">
        <f>Particulates!N19</f>
        <v>2.9997073251640973</v>
      </c>
      <c r="F16" s="103"/>
      <c r="G16" s="103"/>
      <c r="H16" s="103"/>
      <c r="I16" s="103"/>
      <c r="J16" s="103"/>
      <c r="K16" s="103"/>
      <c r="L16" s="103"/>
      <c r="M16" s="103"/>
      <c r="N16" s="113"/>
      <c r="O16" s="113"/>
      <c r="P16" s="113"/>
    </row>
    <row r="17" spans="1:13" s="12" customFormat="1" ht="23.25" customHeight="1">
      <c r="A17" s="416"/>
      <c r="B17" s="112" t="s">
        <v>368</v>
      </c>
      <c r="C17" s="112" t="s">
        <v>371</v>
      </c>
      <c r="D17" s="104">
        <f>Particulates!M19</f>
        <v>69.099999999999994</v>
      </c>
      <c r="E17" s="104">
        <f>Particulates!L19</f>
        <v>3.01</v>
      </c>
      <c r="F17" s="103"/>
      <c r="G17" s="103"/>
      <c r="H17" s="103"/>
      <c r="I17" s="103"/>
      <c r="J17" s="103"/>
      <c r="K17" s="103"/>
      <c r="L17" s="103"/>
      <c r="M17" s="103"/>
    </row>
    <row r="18" spans="1:13" s="12" customFormat="1" ht="23.25" customHeight="1">
      <c r="A18" s="415" t="s">
        <v>372</v>
      </c>
      <c r="B18" s="112" t="s">
        <v>366</v>
      </c>
      <c r="C18" s="112" t="s">
        <v>373</v>
      </c>
      <c r="D18" s="104">
        <f>TOC!O19</f>
        <v>1.3</v>
      </c>
      <c r="E18" s="104">
        <f>TOC!N19</f>
        <v>0.13300000000000001</v>
      </c>
      <c r="F18" s="103"/>
      <c r="G18" s="103"/>
      <c r="H18" s="103"/>
      <c r="I18" s="103"/>
      <c r="J18" s="103"/>
      <c r="K18" s="103"/>
      <c r="L18" s="103"/>
      <c r="M18" s="103"/>
    </row>
    <row r="19" spans="1:13" s="12" customFormat="1" ht="23.25" customHeight="1">
      <c r="A19" s="416"/>
      <c r="B19" s="112" t="s">
        <v>368</v>
      </c>
      <c r="C19" s="112" t="s">
        <v>374</v>
      </c>
      <c r="D19" s="104">
        <f>TOC!M19</f>
        <v>2.5</v>
      </c>
      <c r="E19" s="104">
        <f>TOC!L19</f>
        <v>0.13</v>
      </c>
      <c r="F19" s="103"/>
      <c r="G19" s="103"/>
      <c r="H19" s="103"/>
      <c r="I19" s="103"/>
      <c r="J19" s="103"/>
      <c r="K19" s="103"/>
      <c r="L19" s="103"/>
      <c r="M19" s="103"/>
    </row>
    <row r="20" spans="1:13" s="12" customFormat="1" ht="23.25" customHeight="1">
      <c r="A20" s="415" t="s">
        <v>375</v>
      </c>
      <c r="B20" s="112" t="s">
        <v>366</v>
      </c>
      <c r="C20" s="112" t="s">
        <v>373</v>
      </c>
      <c r="D20" s="104">
        <f>HCl!O19</f>
        <v>11</v>
      </c>
      <c r="E20" s="104">
        <f>HCl!N19</f>
        <v>8.2957904259629416</v>
      </c>
      <c r="F20" s="103"/>
      <c r="G20" s="103"/>
      <c r="H20" s="103"/>
      <c r="I20" s="103"/>
      <c r="J20" s="103"/>
      <c r="K20" s="103"/>
      <c r="L20" s="103"/>
      <c r="M20" s="103"/>
    </row>
    <row r="21" spans="1:13" s="12" customFormat="1" ht="23.25" customHeight="1">
      <c r="A21" s="416"/>
      <c r="B21" s="112" t="s">
        <v>368</v>
      </c>
      <c r="C21" s="112" t="s">
        <v>376</v>
      </c>
      <c r="D21" s="104">
        <f>HCl!M19</f>
        <v>27.1</v>
      </c>
      <c r="E21" s="104">
        <f>HCl!L19</f>
        <v>8.27</v>
      </c>
      <c r="F21" s="103"/>
      <c r="G21" s="103"/>
      <c r="H21" s="103"/>
      <c r="I21" s="103"/>
      <c r="J21" s="103"/>
      <c r="K21" s="103"/>
      <c r="L21" s="103"/>
      <c r="M21" s="103"/>
    </row>
    <row r="22" spans="1:13" s="12" customFormat="1" ht="23.25" customHeight="1">
      <c r="A22" s="415" t="s">
        <v>229</v>
      </c>
      <c r="B22" s="112" t="s">
        <v>366</v>
      </c>
      <c r="C22" s="112" t="s">
        <v>377</v>
      </c>
      <c r="D22" s="104">
        <f>'SO2'!O19</f>
        <v>4.4000000000000004</v>
      </c>
      <c r="E22" s="104">
        <f>'SO2'!N19</f>
        <v>0.65083724844943447</v>
      </c>
      <c r="F22" s="103"/>
      <c r="G22" s="103"/>
      <c r="H22" s="103"/>
      <c r="I22" s="103"/>
      <c r="J22" s="103"/>
      <c r="K22" s="103"/>
      <c r="L22" s="103"/>
      <c r="M22" s="103"/>
    </row>
    <row r="23" spans="1:13" s="12" customFormat="1" ht="23.25" customHeight="1">
      <c r="A23" s="416"/>
      <c r="B23" s="112" t="s">
        <v>368</v>
      </c>
      <c r="C23" s="112" t="s">
        <v>367</v>
      </c>
      <c r="D23" s="104">
        <f>'SO2'!M19</f>
        <v>14.5</v>
      </c>
      <c r="E23" s="104">
        <f>'SO2'!L19</f>
        <v>0.65</v>
      </c>
      <c r="F23" s="103"/>
      <c r="G23" s="103"/>
      <c r="H23" s="103"/>
      <c r="I23" s="103"/>
      <c r="J23" s="103"/>
      <c r="K23" s="103"/>
      <c r="L23" s="103"/>
      <c r="M23" s="103"/>
    </row>
    <row r="24" spans="1:13" s="12" customFormat="1" ht="23.25" customHeight="1">
      <c r="A24" s="415" t="s">
        <v>378</v>
      </c>
      <c r="B24" s="112" t="s">
        <v>366</v>
      </c>
      <c r="C24" s="112" t="s">
        <v>377</v>
      </c>
      <c r="D24" s="104">
        <f>'CO 0.5hourly'!O19</f>
        <v>20.2</v>
      </c>
      <c r="E24" s="104">
        <f>'CO 0.5hourly'!N19</f>
        <v>11.437898539592876</v>
      </c>
      <c r="F24" s="103"/>
      <c r="G24" s="103"/>
      <c r="H24" s="103"/>
      <c r="I24" s="103"/>
      <c r="J24" s="103"/>
      <c r="K24" s="103"/>
      <c r="L24" s="103"/>
      <c r="M24" s="103"/>
    </row>
    <row r="25" spans="1:13" s="12" customFormat="1" ht="23.25" customHeight="1">
      <c r="A25" s="416"/>
      <c r="B25" s="117" t="s">
        <v>379</v>
      </c>
      <c r="C25" s="117" t="s">
        <v>380</v>
      </c>
      <c r="D25" s="104">
        <f>'CO 0.5hourly'!M19</f>
        <v>41.6</v>
      </c>
      <c r="E25" s="104">
        <f>'CO 0.5hourly'!L19</f>
        <v>11.39</v>
      </c>
      <c r="F25" s="103"/>
      <c r="G25" s="103"/>
      <c r="H25" s="103"/>
      <c r="I25" s="103"/>
      <c r="J25" s="103"/>
      <c r="K25" s="103"/>
      <c r="L25" s="103"/>
      <c r="M25" s="103"/>
    </row>
    <row r="26" spans="1:13" s="12" customFormat="1" ht="23.25" customHeight="1">
      <c r="A26" s="116"/>
      <c r="B26" s="103" t="s">
        <v>381</v>
      </c>
      <c r="C26" s="103" t="s">
        <v>380</v>
      </c>
      <c r="D26" s="103"/>
      <c r="E26" s="103"/>
      <c r="F26" s="103"/>
      <c r="G26" s="103"/>
      <c r="H26" s="103"/>
      <c r="I26" s="103"/>
      <c r="J26" s="103"/>
      <c r="K26" s="103"/>
      <c r="L26" s="103"/>
      <c r="M26" s="103"/>
    </row>
    <row r="27" spans="1:13" s="12" customFormat="1" ht="23.25" customHeight="1">
      <c r="A27" s="417" t="s">
        <v>382</v>
      </c>
      <c r="B27" s="418" t="s">
        <v>366</v>
      </c>
      <c r="C27" s="418" t="s">
        <v>383</v>
      </c>
      <c r="D27" s="419"/>
      <c r="E27" s="419"/>
      <c r="F27" s="419"/>
      <c r="G27" s="419"/>
      <c r="H27" s="419"/>
      <c r="I27" s="419"/>
      <c r="J27" s="419"/>
      <c r="K27" s="419"/>
      <c r="L27" s="419"/>
      <c r="M27" s="419"/>
    </row>
    <row r="28" spans="1:13">
      <c r="A28" s="243" t="s">
        <v>384</v>
      </c>
      <c r="B28" s="244"/>
      <c r="C28" s="244"/>
      <c r="D28" s="244"/>
      <c r="E28" s="244"/>
      <c r="F28" s="244"/>
      <c r="G28" s="244"/>
      <c r="H28" s="244"/>
      <c r="I28" s="244"/>
      <c r="J28" s="244"/>
      <c r="K28" s="244"/>
      <c r="L28" s="244"/>
      <c r="M28" s="245"/>
    </row>
    <row r="29" spans="1:13">
      <c r="A29" s="83" t="s">
        <v>304</v>
      </c>
      <c r="B29" s="84"/>
      <c r="C29" s="84"/>
      <c r="D29" s="84"/>
      <c r="E29" s="84"/>
      <c r="F29" s="84"/>
      <c r="G29" s="84"/>
      <c r="H29" s="84"/>
      <c r="I29" s="84"/>
      <c r="J29" s="84"/>
      <c r="K29" s="84"/>
      <c r="L29" s="84"/>
      <c r="M29" s="85"/>
    </row>
    <row r="30" spans="1:13">
      <c r="A30" s="246"/>
      <c r="B30" s="246"/>
      <c r="C30" s="246"/>
      <c r="D30" s="246"/>
      <c r="E30" s="246"/>
      <c r="F30" s="246"/>
      <c r="G30" s="246"/>
      <c r="H30" s="246"/>
      <c r="I30" s="246"/>
      <c r="J30" s="246"/>
      <c r="K30" s="246"/>
      <c r="L30" s="246"/>
      <c r="M30" s="246"/>
    </row>
    <row r="31" spans="1:13">
      <c r="A31" s="208"/>
      <c r="B31" s="208"/>
      <c r="C31" s="208"/>
      <c r="D31" s="208"/>
      <c r="E31" s="208"/>
      <c r="F31" s="208"/>
      <c r="G31" s="208"/>
      <c r="H31" s="208"/>
      <c r="I31" s="208"/>
      <c r="J31" s="208"/>
      <c r="K31" s="208"/>
      <c r="L31" s="208"/>
      <c r="M31" s="208"/>
    </row>
    <row r="68" spans="6:6">
      <c r="F68" s="3"/>
    </row>
  </sheetData>
  <mergeCells count="19">
    <mergeCell ref="A16:A17"/>
    <mergeCell ref="A18:A19"/>
    <mergeCell ref="A14:A15"/>
    <mergeCell ref="A6:M7"/>
    <mergeCell ref="A8:M9"/>
    <mergeCell ref="A11:M11"/>
    <mergeCell ref="A12:A13"/>
    <mergeCell ref="C12:C13"/>
    <mergeCell ref="B12:B13"/>
    <mergeCell ref="D12:E12"/>
    <mergeCell ref="F12:G12"/>
    <mergeCell ref="H12:I12"/>
    <mergeCell ref="J12:K12"/>
    <mergeCell ref="L12:M12"/>
    <mergeCell ref="A20:A21"/>
    <mergeCell ref="A22:A23"/>
    <mergeCell ref="A24:A25"/>
    <mergeCell ref="A28:M28"/>
    <mergeCell ref="A30:M31"/>
  </mergeCells>
  <pageMargins left="0.7" right="0.7" top="0.75" bottom="0.75" header="0.3" footer="0.3"/>
  <pageSetup paperSize="9" scale="87" orientation="landscape" r:id="rId1"/>
  <headerFooter scaleWithDoc="0">
    <oddFooter>&amp;C&amp;"Arial,Regular"Page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I11" sqref="I11"/>
    </sheetView>
  </sheetViews>
  <sheetFormatPr defaultRowHeight="14.1"/>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c r="F1" s="93"/>
      <c r="G1" s="93"/>
    </row>
    <row r="3" spans="1:19" ht="14.45">
      <c r="A3" s="60" t="s">
        <v>385</v>
      </c>
      <c r="D3" s="76" t="s">
        <v>386</v>
      </c>
      <c r="G3" s="80" t="s">
        <v>387</v>
      </c>
      <c r="J3" s="9" t="str">
        <f>+A3</f>
        <v>Monitoring of Hydrogen Chloride emissions</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393</v>
      </c>
      <c r="C6" s="55" t="s">
        <v>394</v>
      </c>
      <c r="D6" s="55" t="s">
        <v>395</v>
      </c>
      <c r="E6" s="55" t="s">
        <v>396</v>
      </c>
      <c r="F6" s="55" t="s">
        <v>397</v>
      </c>
      <c r="G6" s="55" t="s">
        <v>398</v>
      </c>
      <c r="H6" s="59"/>
      <c r="J6" s="61">
        <f>+A6</f>
        <v>2022</v>
      </c>
      <c r="K6" s="61" t="s">
        <v>399</v>
      </c>
      <c r="L6" s="67" t="s">
        <v>394</v>
      </c>
      <c r="M6" s="67" t="s">
        <v>400</v>
      </c>
      <c r="N6" s="67" t="s">
        <v>397</v>
      </c>
      <c r="O6" s="67" t="s">
        <v>401</v>
      </c>
      <c r="Q6" s="241"/>
      <c r="R6" s="241"/>
      <c r="S6" s="241"/>
    </row>
    <row r="7" spans="1:19" ht="13.9" customHeight="1">
      <c r="A7" s="66" t="s">
        <v>402</v>
      </c>
      <c r="B7" s="63">
        <v>90</v>
      </c>
      <c r="C7" s="105">
        <f>L7</f>
        <v>8.3000000000000007</v>
      </c>
      <c r="D7" s="105">
        <f>M7</f>
        <v>27.1</v>
      </c>
      <c r="E7" s="63">
        <v>15</v>
      </c>
      <c r="F7" s="105">
        <f>N7</f>
        <v>8.2500000000000018</v>
      </c>
      <c r="G7" s="105">
        <f>O7</f>
        <v>8.8000000000000007</v>
      </c>
      <c r="J7" s="250" t="s">
        <v>196</v>
      </c>
      <c r="K7" s="66" t="s">
        <v>402</v>
      </c>
      <c r="L7" s="105">
        <v>8.3000000000000007</v>
      </c>
      <c r="M7" s="105">
        <v>27.1</v>
      </c>
      <c r="N7" s="105">
        <v>8.2500000000000018</v>
      </c>
      <c r="O7" s="105">
        <v>8.8000000000000007</v>
      </c>
      <c r="Q7" s="241"/>
      <c r="R7" s="241"/>
      <c r="S7" s="241"/>
    </row>
    <row r="8" spans="1:19">
      <c r="A8" s="66" t="s">
        <v>403</v>
      </c>
      <c r="B8" s="63">
        <f>B7</f>
        <v>90</v>
      </c>
      <c r="C8" s="105">
        <f t="shared" ref="C8:C18" si="0">L8</f>
        <v>8</v>
      </c>
      <c r="D8" s="105">
        <f t="shared" ref="D8:D18" si="1">M8</f>
        <v>11.4</v>
      </c>
      <c r="E8" s="63">
        <f>E7</f>
        <v>15</v>
      </c>
      <c r="F8" s="105">
        <f t="shared" ref="F8:F18" si="2">N8</f>
        <v>8.0894736842105264</v>
      </c>
      <c r="G8" s="105">
        <f t="shared" ref="G8:G18" si="3">O8</f>
        <v>8.6</v>
      </c>
      <c r="J8" s="250"/>
      <c r="K8" s="66" t="s">
        <v>403</v>
      </c>
      <c r="L8" s="105">
        <v>8</v>
      </c>
      <c r="M8" s="105">
        <v>11.4</v>
      </c>
      <c r="N8" s="105">
        <v>8.0894736842105264</v>
      </c>
      <c r="O8" s="105">
        <v>8.6</v>
      </c>
      <c r="Q8" s="241"/>
      <c r="R8" s="241"/>
      <c r="S8" s="241"/>
    </row>
    <row r="9" spans="1:19">
      <c r="A9" s="66" t="s">
        <v>404</v>
      </c>
      <c r="B9" s="63">
        <f t="shared" ref="B9:B18" si="4">B8</f>
        <v>90</v>
      </c>
      <c r="C9" s="105">
        <f t="shared" si="0"/>
        <v>7.8</v>
      </c>
      <c r="D9" s="105">
        <f t="shared" si="1"/>
        <v>19.899999999999999</v>
      </c>
      <c r="E9" s="63">
        <f t="shared" ref="E9:E18" si="5">E8</f>
        <v>15</v>
      </c>
      <c r="F9" s="105">
        <f t="shared" si="2"/>
        <v>7.9107142857142856</v>
      </c>
      <c r="G9" s="105">
        <f t="shared" si="3"/>
        <v>8.6999999999999993</v>
      </c>
      <c r="J9" s="250"/>
      <c r="K9" s="66" t="s">
        <v>404</v>
      </c>
      <c r="L9" s="105">
        <v>7.8</v>
      </c>
      <c r="M9" s="105">
        <v>19.899999999999999</v>
      </c>
      <c r="N9" s="105">
        <v>7.9107142857142856</v>
      </c>
      <c r="O9" s="105">
        <v>8.6999999999999993</v>
      </c>
      <c r="Q9" s="78" t="s">
        <v>405</v>
      </c>
    </row>
    <row r="10" spans="1:19" ht="13.9" customHeight="1">
      <c r="A10" s="66" t="s">
        <v>406</v>
      </c>
      <c r="B10" s="63">
        <f t="shared" si="4"/>
        <v>90</v>
      </c>
      <c r="C10" s="105">
        <f t="shared" si="0"/>
        <v>7.9</v>
      </c>
      <c r="D10" s="105">
        <f t="shared" si="1"/>
        <v>11.8</v>
      </c>
      <c r="E10" s="63">
        <f t="shared" si="5"/>
        <v>15</v>
      </c>
      <c r="F10" s="105">
        <f t="shared" si="2"/>
        <v>7.9172413793103456</v>
      </c>
      <c r="G10" s="105">
        <f t="shared" si="3"/>
        <v>8.6</v>
      </c>
      <c r="J10" s="250"/>
      <c r="K10" s="66" t="s">
        <v>406</v>
      </c>
      <c r="L10" s="105">
        <v>7.9</v>
      </c>
      <c r="M10" s="105">
        <v>11.8</v>
      </c>
      <c r="N10" s="105">
        <v>7.9172413793103456</v>
      </c>
      <c r="O10" s="105">
        <v>8.6</v>
      </c>
      <c r="Q10" s="249" t="s">
        <v>407</v>
      </c>
      <c r="R10" s="249"/>
      <c r="S10" s="249"/>
    </row>
    <row r="11" spans="1:19">
      <c r="A11" s="66" t="s">
        <v>408</v>
      </c>
      <c r="B11" s="63">
        <f t="shared" si="4"/>
        <v>90</v>
      </c>
      <c r="C11" s="105">
        <f t="shared" si="0"/>
        <v>8.4</v>
      </c>
      <c r="D11" s="105">
        <f t="shared" si="1"/>
        <v>10.5</v>
      </c>
      <c r="E11" s="63">
        <f t="shared" si="5"/>
        <v>15</v>
      </c>
      <c r="F11" s="105">
        <f t="shared" si="2"/>
        <v>8.379999999999999</v>
      </c>
      <c r="G11" s="105">
        <f t="shared" si="3"/>
        <v>8.5</v>
      </c>
      <c r="J11" s="250"/>
      <c r="K11" s="66" t="s">
        <v>408</v>
      </c>
      <c r="L11" s="105">
        <v>8.4</v>
      </c>
      <c r="M11" s="105">
        <v>10.5</v>
      </c>
      <c r="N11" s="105">
        <v>8.379999999999999</v>
      </c>
      <c r="O11" s="105">
        <v>8.5</v>
      </c>
      <c r="Q11" s="249"/>
      <c r="R11" s="249"/>
      <c r="S11" s="249"/>
    </row>
    <row r="12" spans="1:19">
      <c r="A12" s="66" t="s">
        <v>409</v>
      </c>
      <c r="B12" s="63">
        <f t="shared" si="4"/>
        <v>90</v>
      </c>
      <c r="C12" s="105">
        <f t="shared" si="0"/>
        <v>7.9</v>
      </c>
      <c r="D12" s="105">
        <f t="shared" si="1"/>
        <v>11.4</v>
      </c>
      <c r="E12" s="63">
        <f t="shared" si="5"/>
        <v>15</v>
      </c>
      <c r="F12" s="105">
        <f t="shared" si="2"/>
        <v>7.9555555555555557</v>
      </c>
      <c r="G12" s="105">
        <f t="shared" si="3"/>
        <v>8.8000000000000007</v>
      </c>
      <c r="J12" s="250"/>
      <c r="K12" s="66" t="s">
        <v>409</v>
      </c>
      <c r="L12" s="105">
        <v>7.9</v>
      </c>
      <c r="M12" s="105">
        <v>11.4</v>
      </c>
      <c r="N12" s="105">
        <v>7.9555555555555557</v>
      </c>
      <c r="O12" s="105">
        <v>8.8000000000000007</v>
      </c>
      <c r="Q12" s="249"/>
      <c r="R12" s="249"/>
      <c r="S12" s="249"/>
    </row>
    <row r="13" spans="1:19" ht="13.9" customHeight="1">
      <c r="A13" s="66" t="s">
        <v>410</v>
      </c>
      <c r="B13" s="63">
        <f t="shared" si="4"/>
        <v>90</v>
      </c>
      <c r="C13" s="105">
        <f t="shared" si="0"/>
        <v>8</v>
      </c>
      <c r="D13" s="105">
        <f t="shared" si="1"/>
        <v>19.600000000000001</v>
      </c>
      <c r="E13" s="63">
        <f t="shared" si="5"/>
        <v>15</v>
      </c>
      <c r="F13" s="105">
        <f t="shared" si="2"/>
        <v>7.9799999999999995</v>
      </c>
      <c r="G13" s="105">
        <f t="shared" si="3"/>
        <v>8.5</v>
      </c>
      <c r="J13" s="250"/>
      <c r="K13" s="66" t="s">
        <v>410</v>
      </c>
      <c r="L13" s="105">
        <v>8</v>
      </c>
      <c r="M13" s="105">
        <v>19.600000000000001</v>
      </c>
      <c r="N13" s="105">
        <v>7.9799999999999995</v>
      </c>
      <c r="O13" s="105">
        <v>8.5</v>
      </c>
      <c r="Q13" s="249" t="s">
        <v>411</v>
      </c>
      <c r="R13" s="249"/>
      <c r="S13" s="249"/>
    </row>
    <row r="14" spans="1:19">
      <c r="A14" s="66" t="s">
        <v>412</v>
      </c>
      <c r="B14" s="63">
        <f t="shared" si="4"/>
        <v>90</v>
      </c>
      <c r="C14" s="105">
        <f t="shared" si="0"/>
        <v>8</v>
      </c>
      <c r="D14" s="105">
        <f t="shared" si="1"/>
        <v>16.7</v>
      </c>
      <c r="E14" s="63">
        <f t="shared" si="5"/>
        <v>15</v>
      </c>
      <c r="F14" s="105">
        <f t="shared" si="2"/>
        <v>7.977419354838708</v>
      </c>
      <c r="G14" s="105">
        <f t="shared" si="3"/>
        <v>8.1999999999999993</v>
      </c>
      <c r="J14" s="250"/>
      <c r="K14" s="66" t="s">
        <v>412</v>
      </c>
      <c r="L14" s="105">
        <v>8</v>
      </c>
      <c r="M14" s="105">
        <v>16.7</v>
      </c>
      <c r="N14" s="105">
        <v>7.977419354838708</v>
      </c>
      <c r="O14" s="105">
        <v>8.1999999999999993</v>
      </c>
      <c r="Q14" s="249"/>
      <c r="R14" s="249"/>
      <c r="S14" s="249"/>
    </row>
    <row r="15" spans="1:19">
      <c r="A15" s="66" t="s">
        <v>413</v>
      </c>
      <c r="B15" s="63">
        <f t="shared" si="4"/>
        <v>90</v>
      </c>
      <c r="C15" s="105">
        <f t="shared" si="0"/>
        <v>7.7</v>
      </c>
      <c r="D15" s="105">
        <f t="shared" si="1"/>
        <v>15.1</v>
      </c>
      <c r="E15" s="63">
        <f t="shared" si="5"/>
        <v>15</v>
      </c>
      <c r="F15" s="105">
        <f t="shared" si="2"/>
        <v>7.7374999999999989</v>
      </c>
      <c r="G15" s="105">
        <f t="shared" si="3"/>
        <v>8.1999999999999993</v>
      </c>
      <c r="J15" s="250"/>
      <c r="K15" s="66" t="s">
        <v>413</v>
      </c>
      <c r="L15" s="105">
        <v>7.7</v>
      </c>
      <c r="M15" s="105">
        <v>15.1</v>
      </c>
      <c r="N15" s="105">
        <v>7.7374999999999989</v>
      </c>
      <c r="O15" s="105">
        <v>8.1999999999999993</v>
      </c>
      <c r="Q15" s="249"/>
      <c r="R15" s="249"/>
      <c r="S15" s="249"/>
    </row>
    <row r="16" spans="1:19">
      <c r="A16" s="66" t="s">
        <v>414</v>
      </c>
      <c r="B16" s="63">
        <f t="shared" si="4"/>
        <v>90</v>
      </c>
      <c r="C16" s="105" t="str">
        <f t="shared" si="0"/>
        <v>-</v>
      </c>
      <c r="D16" s="105" t="str">
        <f t="shared" si="1"/>
        <v>-</v>
      </c>
      <c r="E16" s="63">
        <f t="shared" si="5"/>
        <v>15</v>
      </c>
      <c r="F16" s="105" t="str">
        <f t="shared" si="2"/>
        <v>-</v>
      </c>
      <c r="G16" s="105" t="str">
        <f t="shared" si="3"/>
        <v>-</v>
      </c>
      <c r="J16" s="250"/>
      <c r="K16" s="66" t="s">
        <v>414</v>
      </c>
      <c r="L16" s="105" t="s">
        <v>139</v>
      </c>
      <c r="M16" s="105" t="s">
        <v>139</v>
      </c>
      <c r="N16" s="105" t="s">
        <v>139</v>
      </c>
      <c r="O16" s="105" t="s">
        <v>139</v>
      </c>
      <c r="Q16" s="249"/>
      <c r="R16" s="249"/>
      <c r="S16" s="249"/>
    </row>
    <row r="17" spans="1:15">
      <c r="A17" s="66" t="s">
        <v>415</v>
      </c>
      <c r="B17" s="63">
        <f t="shared" si="4"/>
        <v>90</v>
      </c>
      <c r="C17" s="105" t="str">
        <f t="shared" si="0"/>
        <v>-</v>
      </c>
      <c r="D17" s="105" t="str">
        <f t="shared" si="1"/>
        <v>-</v>
      </c>
      <c r="E17" s="63">
        <f t="shared" si="5"/>
        <v>15</v>
      </c>
      <c r="F17" s="105" t="str">
        <f t="shared" si="2"/>
        <v>-</v>
      </c>
      <c r="G17" s="105" t="str">
        <f t="shared" si="3"/>
        <v>-</v>
      </c>
      <c r="J17" s="250"/>
      <c r="K17" s="66" t="s">
        <v>415</v>
      </c>
      <c r="L17" s="105" t="s">
        <v>139</v>
      </c>
      <c r="M17" s="105" t="s">
        <v>139</v>
      </c>
      <c r="N17" s="105" t="s">
        <v>139</v>
      </c>
      <c r="O17" s="105" t="s">
        <v>139</v>
      </c>
    </row>
    <row r="18" spans="1:15">
      <c r="A18" s="66" t="s">
        <v>416</v>
      </c>
      <c r="B18" s="63">
        <f t="shared" si="4"/>
        <v>90</v>
      </c>
      <c r="C18" s="105">
        <f t="shared" si="0"/>
        <v>10.7</v>
      </c>
      <c r="D18" s="105">
        <f t="shared" si="1"/>
        <v>23.4</v>
      </c>
      <c r="E18" s="63">
        <f t="shared" si="5"/>
        <v>15</v>
      </c>
      <c r="F18" s="105">
        <f t="shared" si="2"/>
        <v>10.76</v>
      </c>
      <c r="G18" s="105">
        <f t="shared" si="3"/>
        <v>11</v>
      </c>
      <c r="J18" s="250"/>
      <c r="K18" s="66" t="s">
        <v>416</v>
      </c>
      <c r="L18" s="105">
        <v>10.7</v>
      </c>
      <c r="M18" s="105">
        <v>23.4</v>
      </c>
      <c r="N18" s="105">
        <v>10.76</v>
      </c>
      <c r="O18" s="105">
        <v>11</v>
      </c>
    </row>
    <row r="19" spans="1:15">
      <c r="J19" s="250"/>
      <c r="K19" s="62" t="s">
        <v>417</v>
      </c>
      <c r="L19" s="106">
        <f>AVERAGE(L7:L18)</f>
        <v>8.27</v>
      </c>
      <c r="M19" s="106">
        <f>MAX(M7:M18)</f>
        <v>27.1</v>
      </c>
      <c r="N19" s="106">
        <f>AVERAGE(N7:N18)</f>
        <v>8.2957904259629416</v>
      </c>
      <c r="O19" s="106">
        <f>MAX(O7:O18)</f>
        <v>11</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I12" sqref="I12"/>
    </sheetView>
  </sheetViews>
  <sheetFormatPr defaultRowHeight="14.1"/>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c r="F1" s="93"/>
      <c r="G1" s="93"/>
    </row>
    <row r="3" spans="1:19" ht="14.45">
      <c r="A3" s="60" t="s">
        <v>418</v>
      </c>
      <c r="D3" s="76" t="s">
        <v>386</v>
      </c>
      <c r="G3" s="80" t="s">
        <v>387</v>
      </c>
      <c r="J3" s="9" t="str">
        <f>+A3</f>
        <v>Monitoring of Sulphur dioxide emissions</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419</v>
      </c>
      <c r="C6" s="55" t="s">
        <v>394</v>
      </c>
      <c r="D6" s="55" t="s">
        <v>395</v>
      </c>
      <c r="E6" s="55" t="s">
        <v>420</v>
      </c>
      <c r="F6" s="55" t="s">
        <v>397</v>
      </c>
      <c r="G6" s="55" t="s">
        <v>398</v>
      </c>
      <c r="H6" s="59"/>
      <c r="J6" s="61">
        <f>+A6</f>
        <v>2022</v>
      </c>
      <c r="K6" s="61" t="s">
        <v>399</v>
      </c>
      <c r="L6" s="67" t="s">
        <v>394</v>
      </c>
      <c r="M6" s="67" t="s">
        <v>400</v>
      </c>
      <c r="N6" s="67" t="s">
        <v>397</v>
      </c>
      <c r="O6" s="67" t="s">
        <v>401</v>
      </c>
      <c r="Q6" s="241"/>
      <c r="R6" s="241"/>
      <c r="S6" s="241"/>
    </row>
    <row r="7" spans="1:19">
      <c r="A7" s="66" t="s">
        <v>402</v>
      </c>
      <c r="B7" s="63">
        <v>300</v>
      </c>
      <c r="C7" s="105">
        <f>L7</f>
        <v>1.4</v>
      </c>
      <c r="D7" s="105">
        <f>M7</f>
        <v>14.5</v>
      </c>
      <c r="E7" s="63">
        <v>75</v>
      </c>
      <c r="F7" s="105">
        <f>N7</f>
        <v>1.3863636363636365</v>
      </c>
      <c r="G7" s="105">
        <f>O7</f>
        <v>4.4000000000000004</v>
      </c>
      <c r="J7" s="250" t="s">
        <v>196</v>
      </c>
      <c r="K7" s="66" t="s">
        <v>402</v>
      </c>
      <c r="L7" s="105">
        <v>1.4</v>
      </c>
      <c r="M7" s="105">
        <v>14.5</v>
      </c>
      <c r="N7" s="105">
        <v>1.3863636363636365</v>
      </c>
      <c r="O7" s="105">
        <v>4.4000000000000004</v>
      </c>
      <c r="Q7" s="241"/>
      <c r="R7" s="241"/>
      <c r="S7" s="241"/>
    </row>
    <row r="8" spans="1:19">
      <c r="A8" s="66" t="s">
        <v>403</v>
      </c>
      <c r="B8" s="63">
        <f>B7</f>
        <v>300</v>
      </c>
      <c r="C8" s="105">
        <f t="shared" ref="C8:C18" si="0">L8</f>
        <v>0.9</v>
      </c>
      <c r="D8" s="105">
        <f t="shared" ref="D8:D18" si="1">M8</f>
        <v>6.9</v>
      </c>
      <c r="E8" s="63">
        <f>E7</f>
        <v>75</v>
      </c>
      <c r="F8" s="105">
        <f t="shared" ref="F8:F18" si="2">N8</f>
        <v>0.87368421052631584</v>
      </c>
      <c r="G8" s="105">
        <f t="shared" ref="G8:G18" si="3">O8</f>
        <v>1.9</v>
      </c>
      <c r="J8" s="250"/>
      <c r="K8" s="66" t="s">
        <v>403</v>
      </c>
      <c r="L8" s="105">
        <v>0.9</v>
      </c>
      <c r="M8" s="105">
        <v>6.9</v>
      </c>
      <c r="N8" s="105">
        <v>0.87368421052631584</v>
      </c>
      <c r="O8" s="105">
        <v>1.9</v>
      </c>
      <c r="Q8" s="241"/>
      <c r="R8" s="241"/>
      <c r="S8" s="241"/>
    </row>
    <row r="9" spans="1:19">
      <c r="A9" s="66" t="s">
        <v>404</v>
      </c>
      <c r="B9" s="63">
        <f t="shared" ref="B9:B18" si="4">B8</f>
        <v>300</v>
      </c>
      <c r="C9" s="105">
        <f t="shared" si="0"/>
        <v>0.4</v>
      </c>
      <c r="D9" s="105">
        <f t="shared" si="1"/>
        <v>4.9000000000000004</v>
      </c>
      <c r="E9" s="63">
        <f t="shared" ref="E9:E18" si="5">E8</f>
        <v>75</v>
      </c>
      <c r="F9" s="105">
        <f t="shared" si="2"/>
        <v>0.34285714285714286</v>
      </c>
      <c r="G9" s="105">
        <f t="shared" si="3"/>
        <v>1.5</v>
      </c>
      <c r="J9" s="250"/>
      <c r="K9" s="66" t="s">
        <v>404</v>
      </c>
      <c r="L9" s="105">
        <v>0.4</v>
      </c>
      <c r="M9" s="105">
        <v>4.9000000000000004</v>
      </c>
      <c r="N9" s="105">
        <v>0.34285714285714286</v>
      </c>
      <c r="O9" s="105">
        <v>1.5</v>
      </c>
      <c r="Q9" s="78" t="s">
        <v>405</v>
      </c>
    </row>
    <row r="10" spans="1:19" ht="14.25" customHeight="1">
      <c r="A10" s="66" t="s">
        <v>406</v>
      </c>
      <c r="B10" s="63">
        <f t="shared" si="4"/>
        <v>300</v>
      </c>
      <c r="C10" s="105">
        <f t="shared" si="0"/>
        <v>0.4</v>
      </c>
      <c r="D10" s="105">
        <f t="shared" si="1"/>
        <v>4.7</v>
      </c>
      <c r="E10" s="63">
        <f t="shared" si="5"/>
        <v>75</v>
      </c>
      <c r="F10" s="105">
        <f t="shared" si="2"/>
        <v>0.39655172413793099</v>
      </c>
      <c r="G10" s="105">
        <f t="shared" si="3"/>
        <v>1.8</v>
      </c>
      <c r="J10" s="250"/>
      <c r="K10" s="66" t="s">
        <v>406</v>
      </c>
      <c r="L10" s="105">
        <v>0.4</v>
      </c>
      <c r="M10" s="105">
        <v>4.7</v>
      </c>
      <c r="N10" s="105">
        <v>0.39655172413793099</v>
      </c>
      <c r="O10" s="105">
        <v>1.8</v>
      </c>
      <c r="Q10" s="249" t="s">
        <v>407</v>
      </c>
      <c r="R10" s="249"/>
      <c r="S10" s="249"/>
    </row>
    <row r="11" spans="1:19">
      <c r="A11" s="66" t="s">
        <v>408</v>
      </c>
      <c r="B11" s="63">
        <f t="shared" si="4"/>
        <v>300</v>
      </c>
      <c r="C11" s="105">
        <f t="shared" si="0"/>
        <v>0.3</v>
      </c>
      <c r="D11" s="105">
        <f t="shared" si="1"/>
        <v>1.3</v>
      </c>
      <c r="E11" s="63">
        <f t="shared" si="5"/>
        <v>75</v>
      </c>
      <c r="F11" s="105">
        <f t="shared" si="2"/>
        <v>0.31999999999999995</v>
      </c>
      <c r="G11" s="105">
        <f t="shared" si="3"/>
        <v>0.5</v>
      </c>
      <c r="J11" s="250"/>
      <c r="K11" s="66" t="s">
        <v>408</v>
      </c>
      <c r="L11" s="105">
        <v>0.3</v>
      </c>
      <c r="M11" s="105">
        <v>1.3</v>
      </c>
      <c r="N11" s="105">
        <v>0.31999999999999995</v>
      </c>
      <c r="O11" s="105">
        <v>0.5</v>
      </c>
      <c r="Q11" s="249"/>
      <c r="R11" s="249"/>
      <c r="S11" s="249"/>
    </row>
    <row r="12" spans="1:19">
      <c r="A12" s="66" t="s">
        <v>409</v>
      </c>
      <c r="B12" s="63">
        <f t="shared" si="4"/>
        <v>300</v>
      </c>
      <c r="C12" s="105">
        <f t="shared" si="0"/>
        <v>0.2</v>
      </c>
      <c r="D12" s="105">
        <f t="shared" si="1"/>
        <v>2.7</v>
      </c>
      <c r="E12" s="63">
        <f t="shared" si="5"/>
        <v>75</v>
      </c>
      <c r="F12" s="105">
        <f t="shared" si="2"/>
        <v>0.22222222222222215</v>
      </c>
      <c r="G12" s="105">
        <f t="shared" si="3"/>
        <v>0.8</v>
      </c>
      <c r="J12" s="250"/>
      <c r="K12" s="66" t="s">
        <v>409</v>
      </c>
      <c r="L12" s="105">
        <v>0.2</v>
      </c>
      <c r="M12" s="105">
        <v>2.7</v>
      </c>
      <c r="N12" s="105">
        <v>0.22222222222222215</v>
      </c>
      <c r="O12" s="105">
        <v>0.8</v>
      </c>
      <c r="Q12" s="249"/>
      <c r="R12" s="249"/>
      <c r="S12" s="249"/>
    </row>
    <row r="13" spans="1:19" ht="14.25" customHeight="1">
      <c r="A13" s="66" t="s">
        <v>410</v>
      </c>
      <c r="B13" s="63">
        <f t="shared" si="4"/>
        <v>300</v>
      </c>
      <c r="C13" s="105">
        <f t="shared" si="0"/>
        <v>0.5</v>
      </c>
      <c r="D13" s="105">
        <f t="shared" si="1"/>
        <v>10.6</v>
      </c>
      <c r="E13" s="63">
        <f t="shared" si="5"/>
        <v>75</v>
      </c>
      <c r="F13" s="105">
        <f t="shared" si="2"/>
        <v>0.47</v>
      </c>
      <c r="G13" s="105">
        <f t="shared" si="3"/>
        <v>1.1000000000000001</v>
      </c>
      <c r="J13" s="250"/>
      <c r="K13" s="66" t="s">
        <v>410</v>
      </c>
      <c r="L13" s="105">
        <v>0.5</v>
      </c>
      <c r="M13" s="105">
        <v>10.6</v>
      </c>
      <c r="N13" s="105">
        <v>0.47</v>
      </c>
      <c r="O13" s="105">
        <v>1.1000000000000001</v>
      </c>
      <c r="Q13" s="249" t="s">
        <v>411</v>
      </c>
      <c r="R13" s="249"/>
      <c r="S13" s="249"/>
    </row>
    <row r="14" spans="1:19">
      <c r="A14" s="66" t="s">
        <v>412</v>
      </c>
      <c r="B14" s="63">
        <f t="shared" si="4"/>
        <v>300</v>
      </c>
      <c r="C14" s="105">
        <f t="shared" si="0"/>
        <v>0.4</v>
      </c>
      <c r="D14" s="105">
        <f t="shared" si="1"/>
        <v>2.1</v>
      </c>
      <c r="E14" s="63">
        <f t="shared" si="5"/>
        <v>75</v>
      </c>
      <c r="F14" s="105">
        <f t="shared" si="2"/>
        <v>0.37419354838709679</v>
      </c>
      <c r="G14" s="105">
        <f t="shared" si="3"/>
        <v>0.7</v>
      </c>
      <c r="J14" s="250"/>
      <c r="K14" s="66" t="s">
        <v>412</v>
      </c>
      <c r="L14" s="105">
        <v>0.4</v>
      </c>
      <c r="M14" s="105">
        <v>2.1</v>
      </c>
      <c r="N14" s="105">
        <v>0.37419354838709679</v>
      </c>
      <c r="O14" s="105">
        <v>0.7</v>
      </c>
      <c r="Q14" s="249"/>
      <c r="R14" s="249"/>
      <c r="S14" s="249"/>
    </row>
    <row r="15" spans="1:19">
      <c r="A15" s="66" t="s">
        <v>413</v>
      </c>
      <c r="B15" s="63">
        <f t="shared" si="4"/>
        <v>300</v>
      </c>
      <c r="C15" s="105">
        <f t="shared" si="0"/>
        <v>0.3</v>
      </c>
      <c r="D15" s="105">
        <f t="shared" si="1"/>
        <v>2.4</v>
      </c>
      <c r="E15" s="63">
        <f t="shared" si="5"/>
        <v>75</v>
      </c>
      <c r="F15" s="105">
        <f t="shared" si="2"/>
        <v>0.36249999999999999</v>
      </c>
      <c r="G15" s="105">
        <f t="shared" si="3"/>
        <v>1.2</v>
      </c>
      <c r="J15" s="250"/>
      <c r="K15" s="66" t="s">
        <v>413</v>
      </c>
      <c r="L15" s="105">
        <v>0.3</v>
      </c>
      <c r="M15" s="105">
        <v>2.4</v>
      </c>
      <c r="N15" s="105">
        <v>0.36249999999999999</v>
      </c>
      <c r="O15" s="105">
        <v>1.2</v>
      </c>
      <c r="Q15" s="249"/>
      <c r="R15" s="249"/>
      <c r="S15" s="249"/>
    </row>
    <row r="16" spans="1:19">
      <c r="A16" s="66" t="s">
        <v>414</v>
      </c>
      <c r="B16" s="63">
        <f t="shared" si="4"/>
        <v>300</v>
      </c>
      <c r="C16" s="105" t="str">
        <f t="shared" si="0"/>
        <v>-</v>
      </c>
      <c r="D16" s="105" t="str">
        <f t="shared" si="1"/>
        <v>-</v>
      </c>
      <c r="E16" s="63">
        <f t="shared" si="5"/>
        <v>75</v>
      </c>
      <c r="F16" s="105" t="str">
        <f t="shared" si="2"/>
        <v>-</v>
      </c>
      <c r="G16" s="105" t="str">
        <f t="shared" si="3"/>
        <v>-</v>
      </c>
      <c r="J16" s="250"/>
      <c r="K16" s="66" t="s">
        <v>414</v>
      </c>
      <c r="L16" s="105" t="s">
        <v>139</v>
      </c>
      <c r="M16" s="105" t="s">
        <v>139</v>
      </c>
      <c r="N16" s="105" t="s">
        <v>139</v>
      </c>
      <c r="O16" s="105" t="s">
        <v>139</v>
      </c>
      <c r="Q16" s="249"/>
      <c r="R16" s="249"/>
      <c r="S16" s="249"/>
    </row>
    <row r="17" spans="1:15">
      <c r="A17" s="66" t="s">
        <v>415</v>
      </c>
      <c r="B17" s="63">
        <f t="shared" si="4"/>
        <v>300</v>
      </c>
      <c r="C17" s="105" t="str">
        <f t="shared" si="0"/>
        <v>-</v>
      </c>
      <c r="D17" s="105" t="str">
        <f t="shared" si="1"/>
        <v>-</v>
      </c>
      <c r="E17" s="63">
        <f t="shared" si="5"/>
        <v>75</v>
      </c>
      <c r="F17" s="105" t="str">
        <f t="shared" si="2"/>
        <v>-</v>
      </c>
      <c r="G17" s="105" t="str">
        <f t="shared" si="3"/>
        <v>-</v>
      </c>
      <c r="J17" s="250"/>
      <c r="K17" s="66" t="s">
        <v>415</v>
      </c>
      <c r="L17" s="105" t="s">
        <v>139</v>
      </c>
      <c r="M17" s="105" t="s">
        <v>139</v>
      </c>
      <c r="N17" s="105" t="s">
        <v>139</v>
      </c>
      <c r="O17" s="105" t="s">
        <v>139</v>
      </c>
    </row>
    <row r="18" spans="1:15">
      <c r="A18" s="66" t="s">
        <v>416</v>
      </c>
      <c r="B18" s="63">
        <f t="shared" si="4"/>
        <v>300</v>
      </c>
      <c r="C18" s="105">
        <f t="shared" si="0"/>
        <v>1.7</v>
      </c>
      <c r="D18" s="105">
        <f t="shared" si="1"/>
        <v>6.5</v>
      </c>
      <c r="E18" s="63">
        <f t="shared" si="5"/>
        <v>75</v>
      </c>
      <c r="F18" s="105">
        <f t="shared" si="2"/>
        <v>1.76</v>
      </c>
      <c r="G18" s="105">
        <f t="shared" si="3"/>
        <v>2.2000000000000002</v>
      </c>
      <c r="J18" s="250"/>
      <c r="K18" s="66" t="s">
        <v>416</v>
      </c>
      <c r="L18" s="105">
        <v>1.7</v>
      </c>
      <c r="M18" s="105">
        <v>6.5</v>
      </c>
      <c r="N18" s="105">
        <v>1.76</v>
      </c>
      <c r="O18" s="105">
        <v>2.2000000000000002</v>
      </c>
    </row>
    <row r="19" spans="1:15">
      <c r="J19" s="250"/>
      <c r="K19" s="62" t="s">
        <v>417</v>
      </c>
      <c r="L19" s="106">
        <f>AVERAGE(L7:L18)</f>
        <v>0.65</v>
      </c>
      <c r="M19" s="106">
        <f>MAX(M7:M18)</f>
        <v>14.5</v>
      </c>
      <c r="N19" s="106">
        <f>AVERAGE(N7:N18)</f>
        <v>0.65083724844943447</v>
      </c>
      <c r="O19" s="106">
        <f>MAX(O7:O18)</f>
        <v>4.4000000000000004</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S28" sqref="S28"/>
    </sheetView>
  </sheetViews>
  <sheetFormatPr defaultRowHeight="14.1"/>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c r="F1" s="93"/>
    </row>
    <row r="3" spans="1:19" ht="14.45">
      <c r="A3" s="60" t="s">
        <v>421</v>
      </c>
      <c r="D3" s="76" t="s">
        <v>386</v>
      </c>
      <c r="G3" s="80" t="s">
        <v>387</v>
      </c>
      <c r="J3" s="9" t="str">
        <f>+A3</f>
        <v>Monitoring of Oxides of Nitrogen emissions</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422</v>
      </c>
      <c r="C6" s="55" t="s">
        <v>394</v>
      </c>
      <c r="D6" s="55" t="s">
        <v>395</v>
      </c>
      <c r="E6" s="55" t="s">
        <v>423</v>
      </c>
      <c r="F6" s="55" t="s">
        <v>397</v>
      </c>
      <c r="G6" s="55" t="s">
        <v>398</v>
      </c>
      <c r="H6" s="59"/>
      <c r="J6" s="61">
        <f>+A6</f>
        <v>2022</v>
      </c>
      <c r="K6" s="61" t="s">
        <v>399</v>
      </c>
      <c r="L6" s="67" t="s">
        <v>394</v>
      </c>
      <c r="M6" s="67" t="s">
        <v>400</v>
      </c>
      <c r="N6" s="67" t="s">
        <v>397</v>
      </c>
      <c r="O6" s="67" t="s">
        <v>401</v>
      </c>
      <c r="Q6" s="241"/>
      <c r="R6" s="241"/>
      <c r="S6" s="241"/>
    </row>
    <row r="7" spans="1:19">
      <c r="A7" s="66" t="s">
        <v>402</v>
      </c>
      <c r="B7" s="63">
        <v>600</v>
      </c>
      <c r="C7" s="105">
        <f>L7</f>
        <v>253.2</v>
      </c>
      <c r="D7" s="105">
        <f>M7</f>
        <v>310.3</v>
      </c>
      <c r="E7" s="63">
        <v>300</v>
      </c>
      <c r="F7" s="105">
        <f>N7</f>
        <v>253.16818181818181</v>
      </c>
      <c r="G7" s="105">
        <f>O7</f>
        <v>259.89999999999998</v>
      </c>
      <c r="J7" s="250" t="s">
        <v>196</v>
      </c>
      <c r="K7" s="66" t="s">
        <v>402</v>
      </c>
      <c r="L7" s="105">
        <v>253.2</v>
      </c>
      <c r="M7" s="105">
        <v>310.3</v>
      </c>
      <c r="N7" s="105">
        <v>253.16818181818181</v>
      </c>
      <c r="O7" s="105">
        <v>259.89999999999998</v>
      </c>
      <c r="Q7" s="241"/>
      <c r="R7" s="241"/>
      <c r="S7" s="241"/>
    </row>
    <row r="8" spans="1:19">
      <c r="A8" s="66" t="s">
        <v>403</v>
      </c>
      <c r="B8" s="63">
        <f>B7</f>
        <v>600</v>
      </c>
      <c r="C8" s="105">
        <f t="shared" ref="C8:C18" si="0">L8</f>
        <v>245.8</v>
      </c>
      <c r="D8" s="105">
        <f t="shared" ref="D8:D18" si="1">M8</f>
        <v>332.5</v>
      </c>
      <c r="E8" s="63">
        <f>E7</f>
        <v>300</v>
      </c>
      <c r="F8" s="105">
        <f t="shared" ref="F8:F18" si="2">N8</f>
        <v>245.98947368421048</v>
      </c>
      <c r="G8" s="105">
        <f t="shared" ref="G8:G18" si="3">O8</f>
        <v>255.6</v>
      </c>
      <c r="J8" s="250"/>
      <c r="K8" s="66" t="s">
        <v>403</v>
      </c>
      <c r="L8" s="105">
        <v>245.8</v>
      </c>
      <c r="M8" s="105">
        <v>332.5</v>
      </c>
      <c r="N8" s="105">
        <v>245.98947368421048</v>
      </c>
      <c r="O8" s="105">
        <v>255.6</v>
      </c>
      <c r="Q8" s="241"/>
      <c r="R8" s="241"/>
      <c r="S8" s="241"/>
    </row>
    <row r="9" spans="1:19">
      <c r="A9" s="66" t="s">
        <v>404</v>
      </c>
      <c r="B9" s="63">
        <f t="shared" ref="B9:B18" si="4">B8</f>
        <v>600</v>
      </c>
      <c r="C9" s="105">
        <f t="shared" si="0"/>
        <v>259.3</v>
      </c>
      <c r="D9" s="105">
        <f t="shared" si="1"/>
        <v>359.1</v>
      </c>
      <c r="E9" s="63">
        <f t="shared" ref="E9:E18" si="5">E8</f>
        <v>300</v>
      </c>
      <c r="F9" s="105">
        <f t="shared" si="2"/>
        <v>259.45357142857142</v>
      </c>
      <c r="G9" s="105">
        <f t="shared" si="3"/>
        <v>263.8</v>
      </c>
      <c r="J9" s="250"/>
      <c r="K9" s="66" t="s">
        <v>404</v>
      </c>
      <c r="L9" s="105">
        <v>259.3</v>
      </c>
      <c r="M9" s="105">
        <v>359.1</v>
      </c>
      <c r="N9" s="105">
        <v>259.45357142857142</v>
      </c>
      <c r="O9" s="105">
        <v>263.8</v>
      </c>
      <c r="Q9" s="78" t="s">
        <v>405</v>
      </c>
    </row>
    <row r="10" spans="1:19" ht="14.25" customHeight="1">
      <c r="A10" s="66" t="s">
        <v>406</v>
      </c>
      <c r="B10" s="63">
        <f t="shared" si="4"/>
        <v>600</v>
      </c>
      <c r="C10" s="105">
        <f t="shared" si="0"/>
        <v>256.39999999999998</v>
      </c>
      <c r="D10" s="105">
        <f t="shared" si="1"/>
        <v>318.60000000000002</v>
      </c>
      <c r="E10" s="63">
        <f t="shared" si="5"/>
        <v>300</v>
      </c>
      <c r="F10" s="105">
        <f t="shared" si="2"/>
        <v>256.42758620689654</v>
      </c>
      <c r="G10" s="105">
        <f t="shared" si="3"/>
        <v>264.7</v>
      </c>
      <c r="J10" s="250"/>
      <c r="K10" s="66" t="s">
        <v>406</v>
      </c>
      <c r="L10" s="105">
        <v>256.39999999999998</v>
      </c>
      <c r="M10" s="105">
        <v>318.60000000000002</v>
      </c>
      <c r="N10" s="105">
        <v>256.42758620689654</v>
      </c>
      <c r="O10" s="105">
        <v>264.7</v>
      </c>
      <c r="Q10" s="249" t="s">
        <v>407</v>
      </c>
      <c r="R10" s="249"/>
      <c r="S10" s="249"/>
    </row>
    <row r="11" spans="1:19">
      <c r="A11" s="66" t="s">
        <v>408</v>
      </c>
      <c r="B11" s="63">
        <f t="shared" si="4"/>
        <v>600</v>
      </c>
      <c r="C11" s="105">
        <f t="shared" si="0"/>
        <v>254.5</v>
      </c>
      <c r="D11" s="105">
        <f t="shared" si="1"/>
        <v>302.3</v>
      </c>
      <c r="E11" s="63">
        <f t="shared" si="5"/>
        <v>300</v>
      </c>
      <c r="F11" s="105">
        <f t="shared" si="2"/>
        <v>254.51999999999998</v>
      </c>
      <c r="G11" s="105">
        <f t="shared" si="3"/>
        <v>254.7</v>
      </c>
      <c r="J11" s="250"/>
      <c r="K11" s="66" t="s">
        <v>408</v>
      </c>
      <c r="L11" s="105">
        <v>254.5</v>
      </c>
      <c r="M11" s="105">
        <v>302.3</v>
      </c>
      <c r="N11" s="105">
        <v>254.51999999999998</v>
      </c>
      <c r="O11" s="105">
        <v>254.7</v>
      </c>
      <c r="Q11" s="249"/>
      <c r="R11" s="249"/>
      <c r="S11" s="249"/>
    </row>
    <row r="12" spans="1:19">
      <c r="A12" s="66" t="s">
        <v>409</v>
      </c>
      <c r="B12" s="63">
        <f t="shared" si="4"/>
        <v>600</v>
      </c>
      <c r="C12" s="105">
        <f t="shared" si="0"/>
        <v>254</v>
      </c>
      <c r="D12" s="105">
        <f t="shared" si="1"/>
        <v>311</v>
      </c>
      <c r="E12" s="63">
        <f t="shared" si="5"/>
        <v>300</v>
      </c>
      <c r="F12" s="105">
        <f t="shared" si="2"/>
        <v>254.50740740740744</v>
      </c>
      <c r="G12" s="105">
        <f t="shared" si="3"/>
        <v>255.3</v>
      </c>
      <c r="J12" s="250"/>
      <c r="K12" s="66" t="s">
        <v>409</v>
      </c>
      <c r="L12" s="105">
        <v>254</v>
      </c>
      <c r="M12" s="105">
        <v>311</v>
      </c>
      <c r="N12" s="105">
        <v>254.50740740740744</v>
      </c>
      <c r="O12" s="105">
        <v>255.3</v>
      </c>
      <c r="Q12" s="249"/>
      <c r="R12" s="249"/>
      <c r="S12" s="249"/>
    </row>
    <row r="13" spans="1:19" ht="14.25" customHeight="1">
      <c r="A13" s="66" t="s">
        <v>410</v>
      </c>
      <c r="B13" s="63">
        <f t="shared" si="4"/>
        <v>600</v>
      </c>
      <c r="C13" s="105">
        <f t="shared" si="0"/>
        <v>257.39999999999998</v>
      </c>
      <c r="D13" s="105">
        <f t="shared" si="1"/>
        <v>292.2</v>
      </c>
      <c r="E13" s="63">
        <f t="shared" si="5"/>
        <v>300</v>
      </c>
      <c r="F13" s="105">
        <f t="shared" si="2"/>
        <v>257.33999999999997</v>
      </c>
      <c r="G13" s="105">
        <f t="shared" si="3"/>
        <v>265</v>
      </c>
      <c r="J13" s="250"/>
      <c r="K13" s="66" t="s">
        <v>410</v>
      </c>
      <c r="L13" s="105">
        <v>257.39999999999998</v>
      </c>
      <c r="M13" s="105">
        <v>292.2</v>
      </c>
      <c r="N13" s="105">
        <v>257.33999999999997</v>
      </c>
      <c r="O13" s="105">
        <v>265</v>
      </c>
      <c r="Q13" s="249" t="s">
        <v>411</v>
      </c>
      <c r="R13" s="249"/>
      <c r="S13" s="249"/>
    </row>
    <row r="14" spans="1:19">
      <c r="A14" s="66" t="s">
        <v>412</v>
      </c>
      <c r="B14" s="63">
        <f t="shared" si="4"/>
        <v>600</v>
      </c>
      <c r="C14" s="105">
        <f t="shared" si="0"/>
        <v>254.3</v>
      </c>
      <c r="D14" s="105">
        <f t="shared" si="1"/>
        <v>287.8</v>
      </c>
      <c r="E14" s="63">
        <f t="shared" si="5"/>
        <v>300</v>
      </c>
      <c r="F14" s="105">
        <f t="shared" si="2"/>
        <v>254.20967741935485</v>
      </c>
      <c r="G14" s="105">
        <f t="shared" si="3"/>
        <v>255.4</v>
      </c>
      <c r="J14" s="250"/>
      <c r="K14" s="66" t="s">
        <v>412</v>
      </c>
      <c r="L14" s="105">
        <v>254.3</v>
      </c>
      <c r="M14" s="105">
        <v>287.8</v>
      </c>
      <c r="N14" s="105">
        <v>254.20967741935485</v>
      </c>
      <c r="O14" s="105">
        <v>255.4</v>
      </c>
      <c r="Q14" s="249"/>
      <c r="R14" s="249"/>
      <c r="S14" s="249"/>
    </row>
    <row r="15" spans="1:19">
      <c r="A15" s="66" t="s">
        <v>413</v>
      </c>
      <c r="B15" s="63">
        <f t="shared" si="4"/>
        <v>600</v>
      </c>
      <c r="C15" s="105">
        <f t="shared" si="0"/>
        <v>246.3</v>
      </c>
      <c r="D15" s="105">
        <f t="shared" si="1"/>
        <v>295.89999999999998</v>
      </c>
      <c r="E15" s="63">
        <f t="shared" si="5"/>
        <v>300</v>
      </c>
      <c r="F15" s="105">
        <f t="shared" si="2"/>
        <v>246.48124999999999</v>
      </c>
      <c r="G15" s="105">
        <f t="shared" si="3"/>
        <v>255.1</v>
      </c>
      <c r="J15" s="250"/>
      <c r="K15" s="66" t="s">
        <v>413</v>
      </c>
      <c r="L15" s="105">
        <v>246.3</v>
      </c>
      <c r="M15" s="105">
        <v>295.89999999999998</v>
      </c>
      <c r="N15" s="105">
        <v>246.48124999999999</v>
      </c>
      <c r="O15" s="105">
        <v>255.1</v>
      </c>
      <c r="Q15" s="249"/>
      <c r="R15" s="249"/>
      <c r="S15" s="249"/>
    </row>
    <row r="16" spans="1:19">
      <c r="A16" s="66" t="s">
        <v>414</v>
      </c>
      <c r="B16" s="63">
        <f t="shared" si="4"/>
        <v>600</v>
      </c>
      <c r="C16" s="105" t="str">
        <f t="shared" si="0"/>
        <v>-</v>
      </c>
      <c r="D16" s="105" t="str">
        <f t="shared" si="1"/>
        <v>-</v>
      </c>
      <c r="E16" s="63">
        <f t="shared" si="5"/>
        <v>300</v>
      </c>
      <c r="F16" s="105" t="str">
        <f t="shared" si="2"/>
        <v>-</v>
      </c>
      <c r="G16" s="105" t="str">
        <f t="shared" si="3"/>
        <v>-</v>
      </c>
      <c r="J16" s="250"/>
      <c r="K16" s="66" t="s">
        <v>414</v>
      </c>
      <c r="L16" s="105" t="s">
        <v>139</v>
      </c>
      <c r="M16" s="105" t="s">
        <v>139</v>
      </c>
      <c r="N16" s="105" t="s">
        <v>139</v>
      </c>
      <c r="O16" s="105" t="s">
        <v>139</v>
      </c>
      <c r="Q16" s="249"/>
      <c r="R16" s="249"/>
      <c r="S16" s="249"/>
    </row>
    <row r="17" spans="1:15">
      <c r="A17" s="66" t="s">
        <v>415</v>
      </c>
      <c r="B17" s="63">
        <f t="shared" si="4"/>
        <v>600</v>
      </c>
      <c r="C17" s="105" t="str">
        <f t="shared" si="0"/>
        <v>-</v>
      </c>
      <c r="D17" s="105" t="str">
        <f t="shared" si="1"/>
        <v>-</v>
      </c>
      <c r="E17" s="63">
        <f t="shared" si="5"/>
        <v>300</v>
      </c>
      <c r="F17" s="105" t="str">
        <f t="shared" si="2"/>
        <v>-</v>
      </c>
      <c r="G17" s="105" t="str">
        <f t="shared" si="3"/>
        <v>-</v>
      </c>
      <c r="J17" s="250"/>
      <c r="K17" s="66" t="s">
        <v>415</v>
      </c>
      <c r="L17" s="105" t="s">
        <v>139</v>
      </c>
      <c r="M17" s="105" t="s">
        <v>139</v>
      </c>
      <c r="N17" s="105" t="s">
        <v>139</v>
      </c>
      <c r="O17" s="105" t="s">
        <v>139</v>
      </c>
    </row>
    <row r="18" spans="1:15">
      <c r="A18" s="66" t="s">
        <v>416</v>
      </c>
      <c r="B18" s="63">
        <f t="shared" si="4"/>
        <v>600</v>
      </c>
      <c r="C18" s="105">
        <f t="shared" si="0"/>
        <v>233.3</v>
      </c>
      <c r="D18" s="105">
        <f t="shared" si="1"/>
        <v>322</v>
      </c>
      <c r="E18" s="63">
        <f t="shared" si="5"/>
        <v>300</v>
      </c>
      <c r="F18" s="105">
        <f t="shared" si="2"/>
        <v>233.8</v>
      </c>
      <c r="G18" s="105">
        <f t="shared" si="3"/>
        <v>270.60000000000002</v>
      </c>
      <c r="J18" s="250"/>
      <c r="K18" s="66" t="s">
        <v>416</v>
      </c>
      <c r="L18" s="64">
        <v>233.3</v>
      </c>
      <c r="M18" s="64">
        <v>322</v>
      </c>
      <c r="N18" s="64">
        <v>233.8</v>
      </c>
      <c r="O18" s="64">
        <v>270.60000000000002</v>
      </c>
    </row>
    <row r="19" spans="1:15">
      <c r="J19" s="250"/>
      <c r="K19" s="62" t="s">
        <v>417</v>
      </c>
      <c r="L19" s="106">
        <f>AVERAGE(L7:L18)</f>
        <v>251.45</v>
      </c>
      <c r="M19" s="106">
        <f>MAX(M7:M18)</f>
        <v>359.1</v>
      </c>
      <c r="N19" s="106">
        <f>AVERAGE(N7:N18)</f>
        <v>251.58971479646229</v>
      </c>
      <c r="O19" s="106">
        <f>MAX(O7:O18)</f>
        <v>270.60000000000002</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I16" sqref="I16"/>
    </sheetView>
  </sheetViews>
  <sheetFormatPr defaultRowHeight="14.1"/>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row>
    <row r="3" spans="1:19" ht="14.45">
      <c r="A3" s="60" t="s">
        <v>424</v>
      </c>
      <c r="D3" s="76" t="s">
        <v>386</v>
      </c>
      <c r="G3" s="80" t="s">
        <v>387</v>
      </c>
      <c r="J3" s="9" t="str">
        <f>+A3</f>
        <v>Monitoring of Total organic carbon emissions</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425</v>
      </c>
      <c r="C6" s="55" t="s">
        <v>394</v>
      </c>
      <c r="D6" s="55" t="s">
        <v>395</v>
      </c>
      <c r="E6" s="55" t="s">
        <v>426</v>
      </c>
      <c r="F6" s="55" t="s">
        <v>397</v>
      </c>
      <c r="G6" s="55" t="s">
        <v>398</v>
      </c>
      <c r="H6" s="59"/>
      <c r="J6" s="61">
        <f>+A6</f>
        <v>2022</v>
      </c>
      <c r="K6" s="61" t="s">
        <v>399</v>
      </c>
      <c r="L6" s="67" t="s">
        <v>394</v>
      </c>
      <c r="M6" s="67" t="s">
        <v>400</v>
      </c>
      <c r="N6" s="67" t="s">
        <v>397</v>
      </c>
      <c r="O6" s="67" t="s">
        <v>401</v>
      </c>
      <c r="Q6" s="241"/>
      <c r="R6" s="241"/>
      <c r="S6" s="241"/>
    </row>
    <row r="7" spans="1:19">
      <c r="A7" s="66" t="s">
        <v>402</v>
      </c>
      <c r="B7" s="63">
        <v>30</v>
      </c>
      <c r="C7" s="105">
        <f>L7</f>
        <v>0</v>
      </c>
      <c r="D7" s="105">
        <f>M7</f>
        <v>0</v>
      </c>
      <c r="E7" s="63">
        <v>15</v>
      </c>
      <c r="F7" s="105">
        <f>N7</f>
        <v>0</v>
      </c>
      <c r="G7" s="105">
        <f>O7</f>
        <v>0</v>
      </c>
      <c r="J7" s="250" t="s">
        <v>196</v>
      </c>
      <c r="K7" s="66" t="s">
        <v>402</v>
      </c>
      <c r="L7" s="105">
        <v>0</v>
      </c>
      <c r="M7" s="105">
        <v>0</v>
      </c>
      <c r="N7" s="105">
        <v>0</v>
      </c>
      <c r="O7" s="105">
        <v>0</v>
      </c>
      <c r="Q7" s="241"/>
      <c r="R7" s="241"/>
      <c r="S7" s="241"/>
    </row>
    <row r="8" spans="1:19">
      <c r="A8" s="66" t="s">
        <v>403</v>
      </c>
      <c r="B8" s="63">
        <f>B7</f>
        <v>30</v>
      </c>
      <c r="C8" s="105">
        <f t="shared" ref="C8:C18" si="0">L8</f>
        <v>0</v>
      </c>
      <c r="D8" s="105">
        <f t="shared" ref="D8:D18" si="1">M8</f>
        <v>0</v>
      </c>
      <c r="E8" s="63">
        <f>E7</f>
        <v>15</v>
      </c>
      <c r="F8" s="105">
        <f t="shared" ref="F8:F18" si="2">N8</f>
        <v>0</v>
      </c>
      <c r="G8" s="105">
        <f t="shared" ref="G8:G18" si="3">O8</f>
        <v>0</v>
      </c>
      <c r="J8" s="250"/>
      <c r="K8" s="66" t="s">
        <v>403</v>
      </c>
      <c r="L8" s="105">
        <v>0</v>
      </c>
      <c r="M8" s="105">
        <v>0</v>
      </c>
      <c r="N8" s="105">
        <v>0</v>
      </c>
      <c r="O8" s="105">
        <v>0</v>
      </c>
      <c r="Q8" s="241"/>
      <c r="R8" s="241"/>
      <c r="S8" s="241"/>
    </row>
    <row r="9" spans="1:19">
      <c r="A9" s="66" t="s">
        <v>404</v>
      </c>
      <c r="B9" s="63">
        <f t="shared" ref="B9:B18" si="4">B8</f>
        <v>30</v>
      </c>
      <c r="C9" s="105">
        <f t="shared" si="0"/>
        <v>0</v>
      </c>
      <c r="D9" s="105">
        <f t="shared" si="1"/>
        <v>0</v>
      </c>
      <c r="E9" s="63">
        <f t="shared" ref="E9:E18" si="5">E8</f>
        <v>15</v>
      </c>
      <c r="F9" s="105">
        <f t="shared" si="2"/>
        <v>0</v>
      </c>
      <c r="G9" s="105">
        <f t="shared" si="3"/>
        <v>0</v>
      </c>
      <c r="J9" s="250"/>
      <c r="K9" s="66" t="s">
        <v>404</v>
      </c>
      <c r="L9" s="105">
        <v>0</v>
      </c>
      <c r="M9" s="105">
        <v>0</v>
      </c>
      <c r="N9" s="105">
        <v>0</v>
      </c>
      <c r="O9" s="105">
        <v>0</v>
      </c>
      <c r="Q9" s="78" t="s">
        <v>405</v>
      </c>
    </row>
    <row r="10" spans="1:19" ht="14.25" customHeight="1">
      <c r="A10" s="66" t="s">
        <v>406</v>
      </c>
      <c r="B10" s="63">
        <f t="shared" si="4"/>
        <v>30</v>
      </c>
      <c r="C10" s="105">
        <f t="shared" si="0"/>
        <v>0</v>
      </c>
      <c r="D10" s="105">
        <f t="shared" si="1"/>
        <v>0</v>
      </c>
      <c r="E10" s="63">
        <f t="shared" si="5"/>
        <v>15</v>
      </c>
      <c r="F10" s="105">
        <f t="shared" si="2"/>
        <v>0</v>
      </c>
      <c r="G10" s="105">
        <f t="shared" si="3"/>
        <v>0</v>
      </c>
      <c r="J10" s="250"/>
      <c r="K10" s="66" t="s">
        <v>406</v>
      </c>
      <c r="L10" s="105">
        <v>0</v>
      </c>
      <c r="M10" s="105">
        <v>0</v>
      </c>
      <c r="N10" s="105">
        <v>0</v>
      </c>
      <c r="O10" s="105">
        <v>0</v>
      </c>
      <c r="Q10" s="249" t="s">
        <v>407</v>
      </c>
      <c r="R10" s="249"/>
      <c r="S10" s="249"/>
    </row>
    <row r="11" spans="1:19">
      <c r="A11" s="66" t="s">
        <v>408</v>
      </c>
      <c r="B11" s="63">
        <f t="shared" si="4"/>
        <v>30</v>
      </c>
      <c r="C11" s="105">
        <f t="shared" si="0"/>
        <v>0</v>
      </c>
      <c r="D11" s="105">
        <f t="shared" si="1"/>
        <v>0</v>
      </c>
      <c r="E11" s="63">
        <f t="shared" si="5"/>
        <v>15</v>
      </c>
      <c r="F11" s="105">
        <f t="shared" si="2"/>
        <v>0</v>
      </c>
      <c r="G11" s="105">
        <f t="shared" si="3"/>
        <v>0</v>
      </c>
      <c r="J11" s="250"/>
      <c r="K11" s="66" t="s">
        <v>408</v>
      </c>
      <c r="L11" s="105">
        <v>0</v>
      </c>
      <c r="M11" s="105">
        <v>0</v>
      </c>
      <c r="N11" s="105">
        <v>0</v>
      </c>
      <c r="O11" s="105">
        <v>0</v>
      </c>
      <c r="Q11" s="249"/>
      <c r="R11" s="249"/>
      <c r="S11" s="249"/>
    </row>
    <row r="12" spans="1:19">
      <c r="A12" s="66" t="s">
        <v>409</v>
      </c>
      <c r="B12" s="63">
        <f t="shared" si="4"/>
        <v>30</v>
      </c>
      <c r="C12" s="105">
        <f t="shared" si="0"/>
        <v>0</v>
      </c>
      <c r="D12" s="105">
        <f t="shared" si="1"/>
        <v>0</v>
      </c>
      <c r="E12" s="63">
        <f t="shared" si="5"/>
        <v>15</v>
      </c>
      <c r="F12" s="105">
        <f t="shared" si="2"/>
        <v>0</v>
      </c>
      <c r="G12" s="105">
        <f t="shared" si="3"/>
        <v>0</v>
      </c>
      <c r="J12" s="250"/>
      <c r="K12" s="66" t="s">
        <v>409</v>
      </c>
      <c r="L12" s="105">
        <v>0</v>
      </c>
      <c r="M12" s="105">
        <v>0</v>
      </c>
      <c r="N12" s="105">
        <v>0</v>
      </c>
      <c r="O12" s="105">
        <v>0</v>
      </c>
      <c r="Q12" s="249"/>
      <c r="R12" s="249"/>
      <c r="S12" s="249"/>
    </row>
    <row r="13" spans="1:19" ht="14.25" customHeight="1">
      <c r="A13" s="66" t="s">
        <v>410</v>
      </c>
      <c r="B13" s="63">
        <f t="shared" si="4"/>
        <v>30</v>
      </c>
      <c r="C13" s="105">
        <f t="shared" si="0"/>
        <v>0.1</v>
      </c>
      <c r="D13" s="105">
        <f t="shared" si="1"/>
        <v>0.6</v>
      </c>
      <c r="E13" s="63">
        <f t="shared" si="5"/>
        <v>15</v>
      </c>
      <c r="F13" s="105">
        <f t="shared" si="2"/>
        <v>0.13</v>
      </c>
      <c r="G13" s="105">
        <f t="shared" si="3"/>
        <v>0.5</v>
      </c>
      <c r="J13" s="250"/>
      <c r="K13" s="66" t="s">
        <v>410</v>
      </c>
      <c r="L13" s="105">
        <v>0.1</v>
      </c>
      <c r="M13" s="105">
        <v>0.6</v>
      </c>
      <c r="N13" s="105">
        <v>0.13</v>
      </c>
      <c r="O13" s="105">
        <v>0.5</v>
      </c>
      <c r="Q13" s="249" t="s">
        <v>411</v>
      </c>
      <c r="R13" s="249"/>
      <c r="S13" s="249"/>
    </row>
    <row r="14" spans="1:19">
      <c r="A14" s="66" t="s">
        <v>412</v>
      </c>
      <c r="B14" s="63">
        <f t="shared" si="4"/>
        <v>30</v>
      </c>
      <c r="C14" s="105">
        <f t="shared" si="0"/>
        <v>0.3</v>
      </c>
      <c r="D14" s="105">
        <f t="shared" si="1"/>
        <v>0.7</v>
      </c>
      <c r="E14" s="63">
        <f t="shared" si="5"/>
        <v>15</v>
      </c>
      <c r="F14" s="105">
        <f t="shared" si="2"/>
        <v>0.33</v>
      </c>
      <c r="G14" s="105">
        <f t="shared" si="3"/>
        <v>0.6</v>
      </c>
      <c r="J14" s="250"/>
      <c r="K14" s="66" t="s">
        <v>412</v>
      </c>
      <c r="L14" s="105">
        <v>0.3</v>
      </c>
      <c r="M14" s="105">
        <v>0.7</v>
      </c>
      <c r="N14" s="105">
        <v>0.33</v>
      </c>
      <c r="O14" s="105">
        <v>0.6</v>
      </c>
      <c r="Q14" s="249"/>
      <c r="R14" s="249"/>
      <c r="S14" s="249"/>
    </row>
    <row r="15" spans="1:19">
      <c r="A15" s="66" t="s">
        <v>413</v>
      </c>
      <c r="B15" s="63">
        <f t="shared" si="4"/>
        <v>30</v>
      </c>
      <c r="C15" s="105">
        <f t="shared" si="0"/>
        <v>0.2</v>
      </c>
      <c r="D15" s="105">
        <f t="shared" si="1"/>
        <v>0.3</v>
      </c>
      <c r="E15" s="63">
        <f t="shared" si="5"/>
        <v>15</v>
      </c>
      <c r="F15" s="105">
        <f t="shared" si="2"/>
        <v>0.17</v>
      </c>
      <c r="G15" s="105">
        <f t="shared" si="3"/>
        <v>0.2</v>
      </c>
      <c r="J15" s="250"/>
      <c r="K15" s="66" t="s">
        <v>413</v>
      </c>
      <c r="L15" s="105">
        <v>0.2</v>
      </c>
      <c r="M15" s="105">
        <v>0.3</v>
      </c>
      <c r="N15" s="105">
        <v>0.17</v>
      </c>
      <c r="O15" s="105">
        <v>0.2</v>
      </c>
      <c r="Q15" s="249"/>
      <c r="R15" s="249"/>
      <c r="S15" s="249"/>
    </row>
    <row r="16" spans="1:19">
      <c r="A16" s="66" t="s">
        <v>414</v>
      </c>
      <c r="B16" s="63">
        <f t="shared" si="4"/>
        <v>30</v>
      </c>
      <c r="C16" s="105" t="str">
        <f t="shared" si="0"/>
        <v>-</v>
      </c>
      <c r="D16" s="105" t="str">
        <f t="shared" si="1"/>
        <v>-</v>
      </c>
      <c r="E16" s="63">
        <f t="shared" si="5"/>
        <v>15</v>
      </c>
      <c r="F16" s="105" t="str">
        <f t="shared" si="2"/>
        <v>-</v>
      </c>
      <c r="G16" s="105" t="str">
        <f t="shared" si="3"/>
        <v>-</v>
      </c>
      <c r="J16" s="250"/>
      <c r="K16" s="66" t="s">
        <v>414</v>
      </c>
      <c r="L16" s="105" t="s">
        <v>139</v>
      </c>
      <c r="M16" s="105" t="s">
        <v>139</v>
      </c>
      <c r="N16" s="105" t="s">
        <v>139</v>
      </c>
      <c r="O16" s="105" t="s">
        <v>139</v>
      </c>
      <c r="Q16" s="249"/>
      <c r="R16" s="249"/>
      <c r="S16" s="249"/>
    </row>
    <row r="17" spans="1:15">
      <c r="A17" s="66" t="s">
        <v>415</v>
      </c>
      <c r="B17" s="63">
        <f t="shared" si="4"/>
        <v>30</v>
      </c>
      <c r="C17" s="105" t="str">
        <f t="shared" si="0"/>
        <v>-</v>
      </c>
      <c r="D17" s="105" t="str">
        <f t="shared" si="1"/>
        <v>-</v>
      </c>
      <c r="E17" s="63">
        <f t="shared" si="5"/>
        <v>15</v>
      </c>
      <c r="F17" s="105" t="str">
        <f t="shared" si="2"/>
        <v>-</v>
      </c>
      <c r="G17" s="105" t="str">
        <f t="shared" si="3"/>
        <v>-</v>
      </c>
      <c r="J17" s="250"/>
      <c r="K17" s="66" t="s">
        <v>415</v>
      </c>
      <c r="L17" s="105" t="s">
        <v>139</v>
      </c>
      <c r="M17" s="105" t="s">
        <v>139</v>
      </c>
      <c r="N17" s="105" t="s">
        <v>139</v>
      </c>
      <c r="O17" s="105" t="s">
        <v>139</v>
      </c>
    </row>
    <row r="18" spans="1:15">
      <c r="A18" s="66" t="s">
        <v>416</v>
      </c>
      <c r="B18" s="63">
        <f t="shared" si="4"/>
        <v>30</v>
      </c>
      <c r="C18" s="105">
        <f t="shared" si="0"/>
        <v>0.7</v>
      </c>
      <c r="D18" s="105">
        <f t="shared" si="1"/>
        <v>2.5</v>
      </c>
      <c r="E18" s="63">
        <f t="shared" si="5"/>
        <v>15</v>
      </c>
      <c r="F18" s="105">
        <f t="shared" si="2"/>
        <v>0.7</v>
      </c>
      <c r="G18" s="105">
        <f t="shared" si="3"/>
        <v>1.3</v>
      </c>
      <c r="J18" s="250"/>
      <c r="K18" s="66" t="s">
        <v>416</v>
      </c>
      <c r="L18" s="105">
        <v>0.7</v>
      </c>
      <c r="M18" s="105">
        <v>2.5</v>
      </c>
      <c r="N18" s="105">
        <v>0.7</v>
      </c>
      <c r="O18" s="105">
        <v>1.3</v>
      </c>
    </row>
    <row r="19" spans="1:15">
      <c r="J19" s="250"/>
      <c r="K19" s="62" t="s">
        <v>417</v>
      </c>
      <c r="L19" s="106">
        <f>AVERAGE(L7:L18)</f>
        <v>0.13</v>
      </c>
      <c r="M19" s="106">
        <f>MAX(M7:M18)</f>
        <v>2.5</v>
      </c>
      <c r="N19" s="106">
        <f>AVERAGE(N7:N18)</f>
        <v>0.13300000000000001</v>
      </c>
      <c r="O19" s="106">
        <f>MAX(O7:O18)</f>
        <v>1.3</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H18" sqref="H18"/>
    </sheetView>
  </sheetViews>
  <sheetFormatPr defaultRowHeight="14.1"/>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row>
    <row r="3" spans="1:19" ht="14.45">
      <c r="A3" s="60" t="s">
        <v>427</v>
      </c>
      <c r="D3" s="76" t="s">
        <v>386</v>
      </c>
      <c r="G3" s="80" t="s">
        <v>387</v>
      </c>
      <c r="J3" s="9" t="str">
        <f>+A3</f>
        <v>Monitoring of Particulate matter emissions</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428</v>
      </c>
      <c r="C6" s="55" t="s">
        <v>394</v>
      </c>
      <c r="D6" s="55" t="s">
        <v>395</v>
      </c>
      <c r="E6" s="55" t="s">
        <v>429</v>
      </c>
      <c r="F6" s="55" t="s">
        <v>397</v>
      </c>
      <c r="G6" s="55" t="s">
        <v>398</v>
      </c>
      <c r="H6" s="59"/>
      <c r="J6" s="61">
        <f>+A6</f>
        <v>2022</v>
      </c>
      <c r="K6" s="61" t="s">
        <v>399</v>
      </c>
      <c r="L6" s="67" t="s">
        <v>394</v>
      </c>
      <c r="M6" s="67" t="s">
        <v>400</v>
      </c>
      <c r="N6" s="67" t="s">
        <v>397</v>
      </c>
      <c r="O6" s="67" t="s">
        <v>401</v>
      </c>
      <c r="Q6" s="241"/>
      <c r="R6" s="241"/>
      <c r="S6" s="241"/>
    </row>
    <row r="7" spans="1:19">
      <c r="A7" s="66" t="s">
        <v>402</v>
      </c>
      <c r="B7" s="63">
        <v>45</v>
      </c>
      <c r="C7" s="105">
        <f>L7</f>
        <v>3</v>
      </c>
      <c r="D7" s="105">
        <f>M7</f>
        <v>69.099999999999994</v>
      </c>
      <c r="E7" s="63">
        <v>15</v>
      </c>
      <c r="F7" s="105">
        <f>N7</f>
        <v>2.9954545454545451</v>
      </c>
      <c r="G7" s="105">
        <f>O7</f>
        <v>6.6</v>
      </c>
      <c r="J7" s="250" t="s">
        <v>196</v>
      </c>
      <c r="K7" s="66" t="s">
        <v>402</v>
      </c>
      <c r="L7" s="105">
        <v>3</v>
      </c>
      <c r="M7" s="105">
        <v>69.099999999999994</v>
      </c>
      <c r="N7" s="105">
        <v>2.9954545454545451</v>
      </c>
      <c r="O7" s="105">
        <v>6.6</v>
      </c>
      <c r="Q7" s="241"/>
      <c r="R7" s="241"/>
      <c r="S7" s="241"/>
    </row>
    <row r="8" spans="1:19">
      <c r="A8" s="66" t="s">
        <v>403</v>
      </c>
      <c r="B8" s="63">
        <f>B7</f>
        <v>45</v>
      </c>
      <c r="C8" s="105">
        <f t="shared" ref="C8:C18" si="0">L8</f>
        <v>0.8</v>
      </c>
      <c r="D8" s="105">
        <f t="shared" ref="D8:D18" si="1">M8</f>
        <v>11.4</v>
      </c>
      <c r="E8" s="63">
        <f>E7</f>
        <v>15</v>
      </c>
      <c r="F8" s="105">
        <f t="shared" ref="F8:F18" si="2">N8</f>
        <v>0.68421052631578971</v>
      </c>
      <c r="G8" s="105">
        <f t="shared" ref="G8:G18" si="3">O8</f>
        <v>3.6</v>
      </c>
      <c r="J8" s="250"/>
      <c r="K8" s="66" t="s">
        <v>403</v>
      </c>
      <c r="L8" s="105">
        <v>0.8</v>
      </c>
      <c r="M8" s="105">
        <v>11.4</v>
      </c>
      <c r="N8" s="105">
        <v>0.68421052631578971</v>
      </c>
      <c r="O8" s="105">
        <v>3.6</v>
      </c>
      <c r="Q8" s="241"/>
      <c r="R8" s="241"/>
      <c r="S8" s="241"/>
    </row>
    <row r="9" spans="1:19">
      <c r="A9" s="66" t="s">
        <v>404</v>
      </c>
      <c r="B9" s="63">
        <f t="shared" ref="B9:B18" si="4">B8</f>
        <v>45</v>
      </c>
      <c r="C9" s="105">
        <f t="shared" si="0"/>
        <v>1</v>
      </c>
      <c r="D9" s="105">
        <f t="shared" si="1"/>
        <v>8</v>
      </c>
      <c r="E9" s="63">
        <f t="shared" ref="E9:E18" si="5">E8</f>
        <v>15</v>
      </c>
      <c r="F9" s="105">
        <f t="shared" si="2"/>
        <v>1.0249999999999999</v>
      </c>
      <c r="G9" s="105">
        <f t="shared" si="3"/>
        <v>2.8</v>
      </c>
      <c r="J9" s="250"/>
      <c r="K9" s="66" t="s">
        <v>404</v>
      </c>
      <c r="L9" s="105">
        <v>1</v>
      </c>
      <c r="M9" s="105">
        <v>8</v>
      </c>
      <c r="N9" s="105">
        <v>1.0249999999999999</v>
      </c>
      <c r="O9" s="105">
        <v>2.8</v>
      </c>
      <c r="Q9" s="78" t="s">
        <v>405</v>
      </c>
    </row>
    <row r="10" spans="1:19" ht="14.25" customHeight="1">
      <c r="A10" s="66" t="s">
        <v>406</v>
      </c>
      <c r="B10" s="63">
        <f t="shared" si="4"/>
        <v>45</v>
      </c>
      <c r="C10" s="105">
        <f t="shared" si="0"/>
        <v>1.3</v>
      </c>
      <c r="D10" s="105">
        <f t="shared" si="1"/>
        <v>4.4000000000000004</v>
      </c>
      <c r="E10" s="63">
        <f t="shared" si="5"/>
        <v>15</v>
      </c>
      <c r="F10" s="105">
        <f t="shared" si="2"/>
        <v>1.3482758620689659</v>
      </c>
      <c r="G10" s="105">
        <f t="shared" si="3"/>
        <v>3.3</v>
      </c>
      <c r="J10" s="250"/>
      <c r="K10" s="66" t="s">
        <v>406</v>
      </c>
      <c r="L10" s="105">
        <v>1.3</v>
      </c>
      <c r="M10" s="105">
        <v>4.4000000000000004</v>
      </c>
      <c r="N10" s="105">
        <v>1.3482758620689659</v>
      </c>
      <c r="O10" s="105">
        <v>3.3</v>
      </c>
      <c r="Q10" s="249" t="s">
        <v>407</v>
      </c>
      <c r="R10" s="249"/>
      <c r="S10" s="249"/>
    </row>
    <row r="11" spans="1:19">
      <c r="A11" s="66" t="s">
        <v>408</v>
      </c>
      <c r="B11" s="63">
        <f t="shared" si="4"/>
        <v>45</v>
      </c>
      <c r="C11" s="105">
        <f t="shared" si="0"/>
        <v>1.8</v>
      </c>
      <c r="D11" s="105">
        <f t="shared" si="1"/>
        <v>6.4</v>
      </c>
      <c r="E11" s="63">
        <f t="shared" si="5"/>
        <v>15</v>
      </c>
      <c r="F11" s="105">
        <f t="shared" si="2"/>
        <v>1.7399999999999998</v>
      </c>
      <c r="G11" s="105">
        <f t="shared" si="3"/>
        <v>2.2999999999999998</v>
      </c>
      <c r="J11" s="250"/>
      <c r="K11" s="66" t="s">
        <v>408</v>
      </c>
      <c r="L11" s="105">
        <v>1.8</v>
      </c>
      <c r="M11" s="105">
        <v>6.4</v>
      </c>
      <c r="N11" s="105">
        <v>1.7399999999999998</v>
      </c>
      <c r="O11" s="105">
        <v>2.2999999999999998</v>
      </c>
      <c r="Q11" s="249"/>
      <c r="R11" s="249"/>
      <c r="S11" s="249"/>
    </row>
    <row r="12" spans="1:19">
      <c r="A12" s="66" t="s">
        <v>409</v>
      </c>
      <c r="B12" s="63">
        <f t="shared" si="4"/>
        <v>45</v>
      </c>
      <c r="C12" s="105">
        <f t="shared" si="0"/>
        <v>1.8</v>
      </c>
      <c r="D12" s="105">
        <f t="shared" si="1"/>
        <v>14.4</v>
      </c>
      <c r="E12" s="63">
        <f t="shared" si="5"/>
        <v>15</v>
      </c>
      <c r="F12" s="105">
        <f t="shared" si="2"/>
        <v>1.7629629629629633</v>
      </c>
      <c r="G12" s="105">
        <f t="shared" si="3"/>
        <v>5</v>
      </c>
      <c r="J12" s="250"/>
      <c r="K12" s="66" t="s">
        <v>409</v>
      </c>
      <c r="L12" s="105">
        <v>1.8</v>
      </c>
      <c r="M12" s="105">
        <v>14.4</v>
      </c>
      <c r="N12" s="105">
        <v>1.7629629629629633</v>
      </c>
      <c r="O12" s="105">
        <v>5</v>
      </c>
      <c r="Q12" s="249"/>
      <c r="R12" s="249"/>
      <c r="S12" s="249"/>
    </row>
    <row r="13" spans="1:19" ht="14.25" customHeight="1">
      <c r="A13" s="66" t="s">
        <v>410</v>
      </c>
      <c r="B13" s="63">
        <f t="shared" si="4"/>
        <v>45</v>
      </c>
      <c r="C13" s="105">
        <f t="shared" si="0"/>
        <v>3.5</v>
      </c>
      <c r="D13" s="105">
        <f t="shared" si="1"/>
        <v>23</v>
      </c>
      <c r="E13" s="63">
        <f t="shared" si="5"/>
        <v>15</v>
      </c>
      <c r="F13" s="105">
        <f t="shared" si="2"/>
        <v>3.53</v>
      </c>
      <c r="G13" s="105">
        <f t="shared" si="3"/>
        <v>6.3</v>
      </c>
      <c r="J13" s="250"/>
      <c r="K13" s="66" t="s">
        <v>410</v>
      </c>
      <c r="L13" s="105">
        <v>3.5</v>
      </c>
      <c r="M13" s="105">
        <v>23</v>
      </c>
      <c r="N13" s="105">
        <v>3.53</v>
      </c>
      <c r="O13" s="105">
        <v>6.3</v>
      </c>
      <c r="Q13" s="249" t="s">
        <v>411</v>
      </c>
      <c r="R13" s="249"/>
      <c r="S13" s="249"/>
    </row>
    <row r="14" spans="1:19">
      <c r="A14" s="66" t="s">
        <v>412</v>
      </c>
      <c r="B14" s="63">
        <f t="shared" si="4"/>
        <v>45</v>
      </c>
      <c r="C14" s="105">
        <f t="shared" si="0"/>
        <v>5.7</v>
      </c>
      <c r="D14" s="105">
        <f t="shared" si="1"/>
        <v>22.9</v>
      </c>
      <c r="E14" s="63">
        <f t="shared" si="5"/>
        <v>15</v>
      </c>
      <c r="F14" s="105">
        <f t="shared" si="2"/>
        <v>5.67741935483871</v>
      </c>
      <c r="G14" s="105">
        <f t="shared" si="3"/>
        <v>7.4</v>
      </c>
      <c r="J14" s="250"/>
      <c r="K14" s="66" t="s">
        <v>412</v>
      </c>
      <c r="L14" s="105">
        <v>5.7</v>
      </c>
      <c r="M14" s="105">
        <v>22.9</v>
      </c>
      <c r="N14" s="105">
        <v>5.67741935483871</v>
      </c>
      <c r="O14" s="105">
        <v>7.4</v>
      </c>
      <c r="Q14" s="249"/>
      <c r="R14" s="249"/>
      <c r="S14" s="249"/>
    </row>
    <row r="15" spans="1:19">
      <c r="A15" s="66" t="s">
        <v>413</v>
      </c>
      <c r="B15" s="63">
        <f t="shared" si="4"/>
        <v>45</v>
      </c>
      <c r="C15" s="105">
        <f t="shared" si="0"/>
        <v>7.5</v>
      </c>
      <c r="D15" s="105">
        <f t="shared" si="1"/>
        <v>31.4</v>
      </c>
      <c r="E15" s="63">
        <f t="shared" si="5"/>
        <v>15</v>
      </c>
      <c r="F15" s="105">
        <f t="shared" si="2"/>
        <v>7.3937500000000007</v>
      </c>
      <c r="G15" s="105">
        <f t="shared" si="3"/>
        <v>9.4</v>
      </c>
      <c r="J15" s="250"/>
      <c r="K15" s="66" t="s">
        <v>413</v>
      </c>
      <c r="L15" s="105">
        <v>7.5</v>
      </c>
      <c r="M15" s="105">
        <v>31.4</v>
      </c>
      <c r="N15" s="105">
        <v>7.3937500000000007</v>
      </c>
      <c r="O15" s="105">
        <v>9.4</v>
      </c>
      <c r="Q15" s="249"/>
      <c r="R15" s="249"/>
      <c r="S15" s="249"/>
    </row>
    <row r="16" spans="1:19">
      <c r="A16" s="66" t="s">
        <v>414</v>
      </c>
      <c r="B16" s="63">
        <f t="shared" si="4"/>
        <v>45</v>
      </c>
      <c r="C16" s="105" t="str">
        <f t="shared" si="0"/>
        <v>-</v>
      </c>
      <c r="D16" s="105" t="str">
        <f t="shared" si="1"/>
        <v>-</v>
      </c>
      <c r="E16" s="63">
        <f t="shared" si="5"/>
        <v>15</v>
      </c>
      <c r="F16" s="105" t="str">
        <f t="shared" si="2"/>
        <v>-</v>
      </c>
      <c r="G16" s="105" t="str">
        <f t="shared" si="3"/>
        <v>-</v>
      </c>
      <c r="J16" s="250"/>
      <c r="K16" s="66" t="s">
        <v>414</v>
      </c>
      <c r="L16" s="105" t="s">
        <v>139</v>
      </c>
      <c r="M16" s="105" t="s">
        <v>139</v>
      </c>
      <c r="N16" s="105" t="s">
        <v>139</v>
      </c>
      <c r="O16" s="105" t="s">
        <v>139</v>
      </c>
      <c r="Q16" s="249"/>
      <c r="R16" s="249"/>
      <c r="S16" s="249"/>
    </row>
    <row r="17" spans="1:15">
      <c r="A17" s="66" t="s">
        <v>415</v>
      </c>
      <c r="B17" s="63">
        <f t="shared" si="4"/>
        <v>45</v>
      </c>
      <c r="C17" s="105" t="str">
        <f t="shared" si="0"/>
        <v>-</v>
      </c>
      <c r="D17" s="105" t="str">
        <f t="shared" si="1"/>
        <v>-</v>
      </c>
      <c r="E17" s="63">
        <f t="shared" si="5"/>
        <v>15</v>
      </c>
      <c r="F17" s="105" t="str">
        <f t="shared" si="2"/>
        <v>-</v>
      </c>
      <c r="G17" s="105" t="str">
        <f t="shared" si="3"/>
        <v>-</v>
      </c>
      <c r="J17" s="250"/>
      <c r="K17" s="66" t="s">
        <v>415</v>
      </c>
      <c r="L17" s="105" t="s">
        <v>139</v>
      </c>
      <c r="M17" s="105" t="s">
        <v>139</v>
      </c>
      <c r="N17" s="105" t="s">
        <v>139</v>
      </c>
      <c r="O17" s="105" t="s">
        <v>139</v>
      </c>
    </row>
    <row r="18" spans="1:15">
      <c r="A18" s="66" t="s">
        <v>416</v>
      </c>
      <c r="B18" s="63">
        <f t="shared" si="4"/>
        <v>45</v>
      </c>
      <c r="C18" s="105">
        <f t="shared" si="0"/>
        <v>3.7</v>
      </c>
      <c r="D18" s="105">
        <f t="shared" si="1"/>
        <v>23.1</v>
      </c>
      <c r="E18" s="63">
        <f t="shared" si="5"/>
        <v>15</v>
      </c>
      <c r="F18" s="105">
        <f t="shared" si="2"/>
        <v>3.84</v>
      </c>
      <c r="G18" s="105">
        <f t="shared" si="3"/>
        <v>7.8</v>
      </c>
      <c r="J18" s="250"/>
      <c r="K18" s="66" t="s">
        <v>416</v>
      </c>
      <c r="L18" s="105">
        <v>3.7</v>
      </c>
      <c r="M18" s="105">
        <v>23.1</v>
      </c>
      <c r="N18" s="105">
        <v>3.84</v>
      </c>
      <c r="O18" s="105">
        <v>7.8</v>
      </c>
    </row>
    <row r="19" spans="1:15">
      <c r="J19" s="250"/>
      <c r="K19" s="62" t="s">
        <v>417</v>
      </c>
      <c r="L19" s="106">
        <f>AVERAGE(L7:L18)</f>
        <v>3.01</v>
      </c>
      <c r="M19" s="106">
        <f>MAX(M7:M18)</f>
        <v>69.099999999999994</v>
      </c>
      <c r="N19" s="106">
        <f>AVERAGE(N7:N18)</f>
        <v>2.9997073251640973</v>
      </c>
      <c r="O19" s="106">
        <f>MAX(O7:O18)</f>
        <v>9.4</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election activeCell="I26" sqref="I26"/>
    </sheetView>
  </sheetViews>
  <sheetFormatPr defaultRowHeight="14.1"/>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row>
    <row r="3" spans="1:19" ht="14.45">
      <c r="A3" s="60" t="s">
        <v>430</v>
      </c>
      <c r="D3" s="76" t="s">
        <v>386</v>
      </c>
      <c r="G3" s="80" t="s">
        <v>387</v>
      </c>
      <c r="J3" s="9" t="str">
        <f>+A3</f>
        <v>Monitoring of Carbon Monoxide (half hourly)</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431</v>
      </c>
      <c r="C6" s="55" t="s">
        <v>394</v>
      </c>
      <c r="D6" s="55" t="s">
        <v>395</v>
      </c>
      <c r="E6" s="55" t="s">
        <v>432</v>
      </c>
      <c r="F6" s="55" t="s">
        <v>397</v>
      </c>
      <c r="G6" s="55" t="s">
        <v>398</v>
      </c>
      <c r="H6" s="59"/>
      <c r="J6" s="61">
        <f>+A6</f>
        <v>2022</v>
      </c>
      <c r="K6" s="61" t="s">
        <v>399</v>
      </c>
      <c r="L6" s="67" t="s">
        <v>394</v>
      </c>
      <c r="M6" s="67" t="s">
        <v>400</v>
      </c>
      <c r="N6" s="67" t="s">
        <v>397</v>
      </c>
      <c r="O6" s="67" t="s">
        <v>401</v>
      </c>
      <c r="Q6" s="241"/>
      <c r="R6" s="241"/>
      <c r="S6" s="241"/>
    </row>
    <row r="7" spans="1:19">
      <c r="A7" s="66" t="s">
        <v>402</v>
      </c>
      <c r="B7" s="63">
        <v>150</v>
      </c>
      <c r="C7" s="105">
        <f>L7</f>
        <v>3.5</v>
      </c>
      <c r="D7" s="105">
        <f>M7</f>
        <v>7</v>
      </c>
      <c r="E7" s="63">
        <v>75</v>
      </c>
      <c r="F7" s="105">
        <f>N7</f>
        <v>3.4363636363636361</v>
      </c>
      <c r="G7" s="105">
        <f>O7</f>
        <v>5</v>
      </c>
      <c r="J7" s="250" t="s">
        <v>196</v>
      </c>
      <c r="K7" s="66" t="s">
        <v>402</v>
      </c>
      <c r="L7" s="105">
        <v>3.5</v>
      </c>
      <c r="M7" s="105">
        <v>7</v>
      </c>
      <c r="N7" s="105">
        <v>3.4363636363636361</v>
      </c>
      <c r="O7" s="105">
        <v>5</v>
      </c>
      <c r="Q7" s="241"/>
      <c r="R7" s="241"/>
      <c r="S7" s="241"/>
    </row>
    <row r="8" spans="1:19">
      <c r="A8" s="66" t="s">
        <v>403</v>
      </c>
      <c r="B8" s="63">
        <f>B7</f>
        <v>150</v>
      </c>
      <c r="C8" s="105">
        <f t="shared" ref="C8:C18" si="0">L8</f>
        <v>3.9</v>
      </c>
      <c r="D8" s="105">
        <f t="shared" ref="D8:D18" si="1">M8</f>
        <v>6.6</v>
      </c>
      <c r="E8" s="63">
        <f>+E7</f>
        <v>75</v>
      </c>
      <c r="F8" s="105">
        <f t="shared" ref="F8:F18" si="2">N8</f>
        <v>3.9473684210526314</v>
      </c>
      <c r="G8" s="105">
        <f t="shared" ref="G8:G18" si="3">O8</f>
        <v>5.6</v>
      </c>
      <c r="J8" s="250"/>
      <c r="K8" s="66" t="s">
        <v>403</v>
      </c>
      <c r="L8" s="105">
        <v>3.9</v>
      </c>
      <c r="M8" s="105">
        <v>6.6</v>
      </c>
      <c r="N8" s="105">
        <v>3.9473684210526314</v>
      </c>
      <c r="O8" s="105">
        <v>5.6</v>
      </c>
      <c r="Q8" s="241"/>
      <c r="R8" s="241"/>
      <c r="S8" s="241"/>
    </row>
    <row r="9" spans="1:19">
      <c r="A9" s="66" t="s">
        <v>404</v>
      </c>
      <c r="B9" s="63">
        <f t="shared" ref="B9:B18" si="4">B8</f>
        <v>150</v>
      </c>
      <c r="C9" s="105">
        <f t="shared" si="0"/>
        <v>14.6</v>
      </c>
      <c r="D9" s="105">
        <f t="shared" si="1"/>
        <v>24.7</v>
      </c>
      <c r="E9" s="63">
        <f t="shared" ref="E9:E18" si="5">+E8</f>
        <v>75</v>
      </c>
      <c r="F9" s="105">
        <f t="shared" si="2"/>
        <v>14.753571428571428</v>
      </c>
      <c r="G9" s="105">
        <f t="shared" si="3"/>
        <v>20.2</v>
      </c>
      <c r="J9" s="250"/>
      <c r="K9" s="66" t="s">
        <v>404</v>
      </c>
      <c r="L9" s="105">
        <v>14.6</v>
      </c>
      <c r="M9" s="105">
        <v>24.7</v>
      </c>
      <c r="N9" s="105">
        <v>14.753571428571428</v>
      </c>
      <c r="O9" s="105">
        <v>20.2</v>
      </c>
      <c r="Q9" s="78" t="s">
        <v>405</v>
      </c>
    </row>
    <row r="10" spans="1:19" ht="14.25" customHeight="1">
      <c r="A10" s="66" t="s">
        <v>406</v>
      </c>
      <c r="B10" s="63">
        <f t="shared" si="4"/>
        <v>150</v>
      </c>
      <c r="C10" s="105">
        <f t="shared" si="0"/>
        <v>13.6</v>
      </c>
      <c r="D10" s="105">
        <f t="shared" si="1"/>
        <v>22.5</v>
      </c>
      <c r="E10" s="63">
        <f t="shared" si="5"/>
        <v>75</v>
      </c>
      <c r="F10" s="105">
        <f t="shared" si="2"/>
        <v>13.679310344827584</v>
      </c>
      <c r="G10" s="105">
        <f t="shared" si="3"/>
        <v>19.2</v>
      </c>
      <c r="J10" s="250"/>
      <c r="K10" s="66" t="s">
        <v>406</v>
      </c>
      <c r="L10" s="105">
        <v>13.6</v>
      </c>
      <c r="M10" s="105">
        <v>22.5</v>
      </c>
      <c r="N10" s="105">
        <v>13.679310344827584</v>
      </c>
      <c r="O10" s="105">
        <v>19.2</v>
      </c>
      <c r="Q10" s="249" t="s">
        <v>407</v>
      </c>
      <c r="R10" s="249"/>
      <c r="S10" s="249"/>
    </row>
    <row r="11" spans="1:19">
      <c r="A11" s="66" t="s">
        <v>408</v>
      </c>
      <c r="B11" s="63">
        <f t="shared" si="4"/>
        <v>150</v>
      </c>
      <c r="C11" s="105">
        <f t="shared" si="0"/>
        <v>16.600000000000001</v>
      </c>
      <c r="D11" s="105">
        <f t="shared" si="1"/>
        <v>20</v>
      </c>
      <c r="E11" s="63">
        <f t="shared" si="5"/>
        <v>75</v>
      </c>
      <c r="F11" s="105">
        <f t="shared" si="2"/>
        <v>16.54</v>
      </c>
      <c r="G11" s="105">
        <f t="shared" si="3"/>
        <v>17.899999999999999</v>
      </c>
      <c r="J11" s="250"/>
      <c r="K11" s="66" t="s">
        <v>408</v>
      </c>
      <c r="L11" s="105">
        <v>16.600000000000001</v>
      </c>
      <c r="M11" s="105">
        <v>20</v>
      </c>
      <c r="N11" s="105">
        <v>16.54</v>
      </c>
      <c r="O11" s="105">
        <v>17.899999999999999</v>
      </c>
      <c r="Q11" s="249"/>
      <c r="R11" s="249"/>
      <c r="S11" s="249"/>
    </row>
    <row r="12" spans="1:19">
      <c r="A12" s="66" t="s">
        <v>409</v>
      </c>
      <c r="B12" s="63">
        <f t="shared" si="4"/>
        <v>150</v>
      </c>
      <c r="C12" s="105">
        <f t="shared" si="0"/>
        <v>11.7</v>
      </c>
      <c r="D12" s="105">
        <f t="shared" si="1"/>
        <v>20.6</v>
      </c>
      <c r="E12" s="63">
        <f t="shared" si="5"/>
        <v>75</v>
      </c>
      <c r="F12" s="105">
        <f t="shared" si="2"/>
        <v>11.796296296296298</v>
      </c>
      <c r="G12" s="105">
        <f t="shared" si="3"/>
        <v>18.100000000000001</v>
      </c>
      <c r="J12" s="250"/>
      <c r="K12" s="66" t="s">
        <v>409</v>
      </c>
      <c r="L12" s="105">
        <v>11.7</v>
      </c>
      <c r="M12" s="105">
        <v>20.6</v>
      </c>
      <c r="N12" s="105">
        <v>11.796296296296298</v>
      </c>
      <c r="O12" s="105">
        <v>18.100000000000001</v>
      </c>
      <c r="Q12" s="249"/>
      <c r="R12" s="249"/>
      <c r="S12" s="249"/>
    </row>
    <row r="13" spans="1:19" ht="14.25" customHeight="1">
      <c r="A13" s="66" t="s">
        <v>410</v>
      </c>
      <c r="B13" s="63">
        <f t="shared" si="4"/>
        <v>150</v>
      </c>
      <c r="C13" s="105">
        <f t="shared" si="0"/>
        <v>14.2</v>
      </c>
      <c r="D13" s="105">
        <f t="shared" si="1"/>
        <v>27</v>
      </c>
      <c r="E13" s="63">
        <f t="shared" si="5"/>
        <v>75</v>
      </c>
      <c r="F13" s="105">
        <f t="shared" si="2"/>
        <v>14.243333333333331</v>
      </c>
      <c r="G13" s="105">
        <f t="shared" si="3"/>
        <v>20.100000000000001</v>
      </c>
      <c r="J13" s="250"/>
      <c r="K13" s="66" t="s">
        <v>410</v>
      </c>
      <c r="L13" s="105">
        <v>14.2</v>
      </c>
      <c r="M13" s="105">
        <v>27</v>
      </c>
      <c r="N13" s="105">
        <v>14.243333333333331</v>
      </c>
      <c r="O13" s="105">
        <v>20.100000000000001</v>
      </c>
      <c r="Q13" s="249" t="s">
        <v>411</v>
      </c>
      <c r="R13" s="249"/>
      <c r="S13" s="249"/>
    </row>
    <row r="14" spans="1:19">
      <c r="A14" s="66" t="s">
        <v>412</v>
      </c>
      <c r="B14" s="63">
        <f t="shared" si="4"/>
        <v>150</v>
      </c>
      <c r="C14" s="105">
        <f t="shared" si="0"/>
        <v>13.1</v>
      </c>
      <c r="D14" s="105">
        <f t="shared" si="1"/>
        <v>19.3</v>
      </c>
      <c r="E14" s="63">
        <f t="shared" si="5"/>
        <v>75</v>
      </c>
      <c r="F14" s="105">
        <f t="shared" si="2"/>
        <v>13.067741935483875</v>
      </c>
      <c r="G14" s="105">
        <f t="shared" si="3"/>
        <v>16.3</v>
      </c>
      <c r="J14" s="250"/>
      <c r="K14" s="66" t="s">
        <v>412</v>
      </c>
      <c r="L14" s="105">
        <v>13.1</v>
      </c>
      <c r="M14" s="105">
        <v>19.3</v>
      </c>
      <c r="N14" s="105">
        <v>13.067741935483875</v>
      </c>
      <c r="O14" s="105">
        <v>16.3</v>
      </c>
      <c r="Q14" s="249"/>
      <c r="R14" s="249"/>
      <c r="S14" s="249"/>
    </row>
    <row r="15" spans="1:19">
      <c r="A15" s="66" t="s">
        <v>413</v>
      </c>
      <c r="B15" s="63">
        <f t="shared" si="4"/>
        <v>150</v>
      </c>
      <c r="C15" s="105">
        <f t="shared" si="0"/>
        <v>12.5</v>
      </c>
      <c r="D15" s="105">
        <f t="shared" si="1"/>
        <v>21.9</v>
      </c>
      <c r="E15" s="63">
        <f t="shared" si="5"/>
        <v>75</v>
      </c>
      <c r="F15" s="105">
        <f t="shared" si="2"/>
        <v>12.625</v>
      </c>
      <c r="G15" s="105">
        <f t="shared" si="3"/>
        <v>16.100000000000001</v>
      </c>
      <c r="J15" s="250"/>
      <c r="K15" s="66" t="s">
        <v>413</v>
      </c>
      <c r="L15" s="105">
        <v>12.5</v>
      </c>
      <c r="M15" s="105">
        <v>21.9</v>
      </c>
      <c r="N15" s="105">
        <v>12.625</v>
      </c>
      <c r="O15" s="105">
        <v>16.100000000000001</v>
      </c>
      <c r="Q15" s="249"/>
      <c r="R15" s="249"/>
      <c r="S15" s="249"/>
    </row>
    <row r="16" spans="1:19">
      <c r="A16" s="66" t="s">
        <v>414</v>
      </c>
      <c r="B16" s="63">
        <f t="shared" si="4"/>
        <v>150</v>
      </c>
      <c r="C16" s="105" t="str">
        <f t="shared" si="0"/>
        <v>-</v>
      </c>
      <c r="D16" s="105" t="str">
        <f t="shared" si="1"/>
        <v>-</v>
      </c>
      <c r="E16" s="63">
        <f t="shared" si="5"/>
        <v>75</v>
      </c>
      <c r="F16" s="105" t="str">
        <f t="shared" si="2"/>
        <v>-</v>
      </c>
      <c r="G16" s="105" t="str">
        <f t="shared" si="3"/>
        <v>-</v>
      </c>
      <c r="J16" s="250"/>
      <c r="K16" s="66" t="s">
        <v>414</v>
      </c>
      <c r="L16" s="105" t="s">
        <v>139</v>
      </c>
      <c r="M16" s="105" t="s">
        <v>139</v>
      </c>
      <c r="N16" s="105" t="s">
        <v>139</v>
      </c>
      <c r="O16" s="105" t="s">
        <v>139</v>
      </c>
      <c r="Q16" s="249"/>
      <c r="R16" s="249"/>
      <c r="S16" s="249"/>
    </row>
    <row r="17" spans="1:15">
      <c r="A17" s="66" t="s">
        <v>415</v>
      </c>
      <c r="B17" s="63">
        <f t="shared" si="4"/>
        <v>150</v>
      </c>
      <c r="C17" s="105" t="str">
        <f t="shared" si="0"/>
        <v>-</v>
      </c>
      <c r="D17" s="105" t="str">
        <f t="shared" si="1"/>
        <v>-</v>
      </c>
      <c r="E17" s="63">
        <f t="shared" si="5"/>
        <v>75</v>
      </c>
      <c r="F17" s="105" t="str">
        <f t="shared" si="2"/>
        <v>-</v>
      </c>
      <c r="G17" s="105" t="str">
        <f t="shared" si="3"/>
        <v>-</v>
      </c>
      <c r="J17" s="250"/>
      <c r="K17" s="66" t="s">
        <v>415</v>
      </c>
      <c r="L17" s="105" t="s">
        <v>139</v>
      </c>
      <c r="M17" s="105" t="s">
        <v>139</v>
      </c>
      <c r="N17" s="105" t="s">
        <v>139</v>
      </c>
      <c r="O17" s="105" t="s">
        <v>139</v>
      </c>
    </row>
    <row r="18" spans="1:15">
      <c r="A18" s="66" t="s">
        <v>416</v>
      </c>
      <c r="B18" s="63">
        <f t="shared" si="4"/>
        <v>150</v>
      </c>
      <c r="C18" s="105">
        <f t="shared" si="0"/>
        <v>10.199999999999999</v>
      </c>
      <c r="D18" s="105">
        <f t="shared" si="1"/>
        <v>41.6</v>
      </c>
      <c r="E18" s="63">
        <f t="shared" si="5"/>
        <v>75</v>
      </c>
      <c r="F18" s="105">
        <f t="shared" si="2"/>
        <v>10.29</v>
      </c>
      <c r="G18" s="105">
        <f t="shared" si="3"/>
        <v>13</v>
      </c>
      <c r="J18" s="250"/>
      <c r="K18" s="66" t="s">
        <v>416</v>
      </c>
      <c r="L18" s="105">
        <v>10.199999999999999</v>
      </c>
      <c r="M18" s="105">
        <v>41.6</v>
      </c>
      <c r="N18" s="105">
        <v>10.29</v>
      </c>
      <c r="O18" s="105">
        <v>13</v>
      </c>
    </row>
    <row r="19" spans="1:15">
      <c r="J19" s="250"/>
      <c r="K19" s="62" t="s">
        <v>417</v>
      </c>
      <c r="L19" s="106">
        <f>AVERAGE(L7:L18)</f>
        <v>11.39</v>
      </c>
      <c r="M19" s="106">
        <f>MAX(M7:M18)</f>
        <v>41.6</v>
      </c>
      <c r="N19" s="106">
        <f>AVERAGE(N7:N18)</f>
        <v>11.437898539592876</v>
      </c>
      <c r="O19" s="106">
        <f>MAX(O7:O18)</f>
        <v>20.2</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heetViews>
  <sheetFormatPr defaultRowHeight="14.1"/>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6">
      <c r="A1" s="93" t="str">
        <f>+'Cover Page'!$B$29</f>
        <v>Annual Performance Report 2022</v>
      </c>
      <c r="B1" s="93"/>
      <c r="C1" s="93"/>
      <c r="D1" s="93"/>
      <c r="E1" s="93" t="str">
        <f>+'Cover Page'!$B$33</f>
        <v>Ince Bio Power</v>
      </c>
    </row>
    <row r="3" spans="1:21" ht="14.45">
      <c r="A3" s="60" t="s">
        <v>433</v>
      </c>
      <c r="E3" s="76" t="s">
        <v>386</v>
      </c>
      <c r="H3" s="80" t="s">
        <v>434</v>
      </c>
      <c r="J3" s="9" t="str">
        <f>+A3</f>
        <v>Monitoring of Carbon Monoxide (10-minute avg)</v>
      </c>
      <c r="L3" s="9"/>
      <c r="O3" s="9" t="s">
        <v>388</v>
      </c>
      <c r="Q3" s="77" t="s">
        <v>1</v>
      </c>
      <c r="S3" s="79" t="s">
        <v>1</v>
      </c>
      <c r="T3" s="74"/>
      <c r="U3" s="74"/>
    </row>
    <row r="4" spans="1:21" ht="13.9" customHeight="1">
      <c r="S4" s="241" t="s">
        <v>435</v>
      </c>
      <c r="T4" s="241"/>
      <c r="U4" s="241"/>
    </row>
    <row r="5" spans="1:21" ht="15.95">
      <c r="A5" s="68" t="s">
        <v>390</v>
      </c>
      <c r="B5" s="252" t="s">
        <v>436</v>
      </c>
      <c r="C5" s="252"/>
      <c r="D5" s="252"/>
      <c r="E5" s="252"/>
      <c r="F5" s="252" t="s">
        <v>392</v>
      </c>
      <c r="G5" s="252"/>
      <c r="H5" s="252"/>
      <c r="K5" s="251"/>
      <c r="L5" s="251"/>
      <c r="M5" s="251"/>
      <c r="N5" s="251"/>
      <c r="O5" s="251"/>
      <c r="P5" s="251"/>
      <c r="Q5" s="251"/>
      <c r="S5" s="241"/>
      <c r="T5" s="241"/>
      <c r="U5" s="241"/>
    </row>
    <row r="6" spans="1:21" s="58" customFormat="1" ht="37.5" customHeight="1">
      <c r="A6" s="65">
        <f>+'Cover Page'!C39</f>
        <v>2022</v>
      </c>
      <c r="B6" s="55" t="s">
        <v>437</v>
      </c>
      <c r="C6" s="55" t="s">
        <v>438</v>
      </c>
      <c r="D6" s="55" t="s">
        <v>439</v>
      </c>
      <c r="E6" s="55" t="s">
        <v>440</v>
      </c>
      <c r="F6" s="55" t="s">
        <v>432</v>
      </c>
      <c r="G6" s="55" t="s">
        <v>397</v>
      </c>
      <c r="H6" s="55" t="s">
        <v>398</v>
      </c>
      <c r="I6" s="59"/>
      <c r="K6" s="61">
        <f>+A6</f>
        <v>2022</v>
      </c>
      <c r="L6" s="61" t="s">
        <v>399</v>
      </c>
      <c r="M6" s="55" t="s">
        <v>438</v>
      </c>
      <c r="N6" s="55" t="s">
        <v>439</v>
      </c>
      <c r="O6" s="55" t="s">
        <v>440</v>
      </c>
      <c r="P6" s="67" t="s">
        <v>397</v>
      </c>
      <c r="Q6" s="67" t="s">
        <v>401</v>
      </c>
      <c r="S6" s="241"/>
      <c r="T6" s="241"/>
      <c r="U6" s="241"/>
    </row>
    <row r="7" spans="1:21">
      <c r="A7" s="66" t="s">
        <v>402</v>
      </c>
      <c r="B7" s="69">
        <v>150</v>
      </c>
      <c r="C7" s="64"/>
      <c r="D7" s="64"/>
      <c r="E7" s="64"/>
      <c r="F7" s="69">
        <v>50</v>
      </c>
      <c r="G7" s="64"/>
      <c r="H7" s="64"/>
      <c r="K7" s="250" t="s">
        <v>196</v>
      </c>
      <c r="L7" s="66" t="s">
        <v>402</v>
      </c>
      <c r="M7" s="64"/>
      <c r="N7" s="64"/>
      <c r="O7" s="64"/>
      <c r="P7" s="64"/>
      <c r="Q7" s="64"/>
      <c r="S7" s="241"/>
      <c r="T7" s="241"/>
      <c r="U7" s="241"/>
    </row>
    <row r="8" spans="1:21">
      <c r="A8" s="66" t="s">
        <v>403</v>
      </c>
      <c r="B8" s="63">
        <f>+B7</f>
        <v>150</v>
      </c>
      <c r="C8" s="64"/>
      <c r="D8" s="64"/>
      <c r="E8" s="64"/>
      <c r="F8" s="63">
        <f>+F7</f>
        <v>50</v>
      </c>
      <c r="G8" s="64"/>
      <c r="H8" s="64"/>
      <c r="K8" s="250"/>
      <c r="L8" s="66" t="s">
        <v>403</v>
      </c>
      <c r="M8" s="64"/>
      <c r="N8" s="64"/>
      <c r="O8" s="64"/>
      <c r="P8" s="64"/>
      <c r="Q8" s="64"/>
      <c r="S8" s="241"/>
      <c r="T8" s="241"/>
      <c r="U8" s="241"/>
    </row>
    <row r="9" spans="1:21">
      <c r="A9" s="66" t="s">
        <v>404</v>
      </c>
      <c r="B9" s="63">
        <f t="shared" ref="B9:B18" si="0">+B8</f>
        <v>150</v>
      </c>
      <c r="C9" s="64"/>
      <c r="D9" s="64"/>
      <c r="E9" s="64"/>
      <c r="F9" s="63">
        <f t="shared" ref="F9:F18" si="1">+F8</f>
        <v>50</v>
      </c>
      <c r="G9" s="64"/>
      <c r="H9" s="64"/>
      <c r="K9" s="250"/>
      <c r="L9" s="66" t="s">
        <v>404</v>
      </c>
      <c r="M9" s="64"/>
      <c r="N9" s="64"/>
      <c r="O9" s="64"/>
      <c r="P9" s="64"/>
      <c r="Q9" s="64"/>
      <c r="S9" s="78" t="s">
        <v>441</v>
      </c>
    </row>
    <row r="10" spans="1:21">
      <c r="A10" s="66" t="s">
        <v>406</v>
      </c>
      <c r="B10" s="63">
        <f t="shared" si="0"/>
        <v>150</v>
      </c>
      <c r="C10" s="64"/>
      <c r="D10" s="64"/>
      <c r="E10" s="64"/>
      <c r="F10" s="63">
        <f t="shared" si="1"/>
        <v>50</v>
      </c>
      <c r="G10" s="64"/>
      <c r="H10" s="64"/>
      <c r="K10" s="250"/>
      <c r="L10" s="66" t="s">
        <v>406</v>
      </c>
      <c r="M10" s="64"/>
      <c r="N10" s="64"/>
      <c r="O10" s="64"/>
      <c r="P10" s="64"/>
      <c r="Q10" s="64"/>
      <c r="S10" s="249" t="s">
        <v>442</v>
      </c>
      <c r="T10" s="249"/>
      <c r="U10" s="249"/>
    </row>
    <row r="11" spans="1:21">
      <c r="A11" s="66" t="s">
        <v>408</v>
      </c>
      <c r="B11" s="63">
        <f t="shared" si="0"/>
        <v>150</v>
      </c>
      <c r="C11" s="64"/>
      <c r="D11" s="64"/>
      <c r="E11" s="64"/>
      <c r="F11" s="63">
        <f t="shared" si="1"/>
        <v>50</v>
      </c>
      <c r="G11" s="64"/>
      <c r="H11" s="64"/>
      <c r="K11" s="250"/>
      <c r="L11" s="66" t="s">
        <v>408</v>
      </c>
      <c r="M11" s="64"/>
      <c r="N11" s="64"/>
      <c r="O11" s="64"/>
      <c r="P11" s="64"/>
      <c r="Q11" s="64"/>
      <c r="S11" s="249"/>
      <c r="T11" s="249"/>
      <c r="U11" s="249"/>
    </row>
    <row r="12" spans="1:21">
      <c r="A12" s="66" t="s">
        <v>409</v>
      </c>
      <c r="B12" s="63">
        <f t="shared" si="0"/>
        <v>150</v>
      </c>
      <c r="C12" s="64"/>
      <c r="D12" s="64"/>
      <c r="E12" s="64"/>
      <c r="F12" s="63">
        <f t="shared" si="1"/>
        <v>50</v>
      </c>
      <c r="G12" s="64"/>
      <c r="H12" s="64"/>
      <c r="K12" s="250"/>
      <c r="L12" s="66" t="s">
        <v>409</v>
      </c>
      <c r="M12" s="64"/>
      <c r="N12" s="64"/>
      <c r="O12" s="64"/>
      <c r="P12" s="64"/>
      <c r="Q12" s="64"/>
      <c r="S12" s="249"/>
      <c r="T12" s="249"/>
      <c r="U12" s="249"/>
    </row>
    <row r="13" spans="1:21">
      <c r="A13" s="66" t="s">
        <v>410</v>
      </c>
      <c r="B13" s="63">
        <f t="shared" si="0"/>
        <v>150</v>
      </c>
      <c r="C13" s="64"/>
      <c r="D13" s="64"/>
      <c r="E13" s="64"/>
      <c r="F13" s="63">
        <f t="shared" si="1"/>
        <v>50</v>
      </c>
      <c r="G13" s="64"/>
      <c r="H13" s="64"/>
      <c r="K13" s="250"/>
      <c r="L13" s="66" t="s">
        <v>410</v>
      </c>
      <c r="M13" s="64"/>
      <c r="N13" s="64"/>
      <c r="O13" s="64"/>
      <c r="P13" s="64"/>
      <c r="Q13" s="64"/>
      <c r="S13" s="249" t="s">
        <v>443</v>
      </c>
      <c r="T13" s="249"/>
      <c r="U13" s="249"/>
    </row>
    <row r="14" spans="1:21">
      <c r="A14" s="66" t="s">
        <v>412</v>
      </c>
      <c r="B14" s="63">
        <f t="shared" si="0"/>
        <v>150</v>
      </c>
      <c r="C14" s="64"/>
      <c r="D14" s="64"/>
      <c r="E14" s="64"/>
      <c r="F14" s="63">
        <f t="shared" si="1"/>
        <v>50</v>
      </c>
      <c r="G14" s="64"/>
      <c r="H14" s="64"/>
      <c r="K14" s="250"/>
      <c r="L14" s="66" t="s">
        <v>412</v>
      </c>
      <c r="M14" s="64"/>
      <c r="N14" s="64"/>
      <c r="O14" s="64"/>
      <c r="P14" s="64"/>
      <c r="Q14" s="64"/>
      <c r="S14" s="249"/>
      <c r="T14" s="249"/>
      <c r="U14" s="249"/>
    </row>
    <row r="15" spans="1:21">
      <c r="A15" s="66" t="s">
        <v>413</v>
      </c>
      <c r="B15" s="63">
        <f t="shared" si="0"/>
        <v>150</v>
      </c>
      <c r="C15" s="64"/>
      <c r="D15" s="64"/>
      <c r="E15" s="64"/>
      <c r="F15" s="63">
        <f t="shared" si="1"/>
        <v>50</v>
      </c>
      <c r="G15" s="64"/>
      <c r="H15" s="64"/>
      <c r="K15" s="250"/>
      <c r="L15" s="66" t="s">
        <v>413</v>
      </c>
      <c r="M15" s="64"/>
      <c r="N15" s="64"/>
      <c r="O15" s="64"/>
      <c r="P15" s="64"/>
      <c r="Q15" s="64"/>
      <c r="S15" s="249"/>
      <c r="T15" s="249"/>
      <c r="U15" s="249"/>
    </row>
    <row r="16" spans="1:21">
      <c r="A16" s="66" t="s">
        <v>414</v>
      </c>
      <c r="B16" s="63">
        <f t="shared" si="0"/>
        <v>150</v>
      </c>
      <c r="C16" s="64"/>
      <c r="D16" s="64"/>
      <c r="E16" s="64"/>
      <c r="F16" s="63">
        <f t="shared" si="1"/>
        <v>50</v>
      </c>
      <c r="G16" s="64"/>
      <c r="H16" s="64"/>
      <c r="K16" s="250"/>
      <c r="L16" s="66" t="s">
        <v>414</v>
      </c>
      <c r="M16" s="64"/>
      <c r="N16" s="64"/>
      <c r="O16" s="64"/>
      <c r="P16" s="64"/>
      <c r="Q16" s="64"/>
      <c r="S16" s="249"/>
      <c r="T16" s="249"/>
      <c r="U16" s="249"/>
    </row>
    <row r="17" spans="1:17">
      <c r="A17" s="66" t="s">
        <v>415</v>
      </c>
      <c r="B17" s="63">
        <f t="shared" si="0"/>
        <v>150</v>
      </c>
      <c r="C17" s="64"/>
      <c r="D17" s="64"/>
      <c r="E17" s="64"/>
      <c r="F17" s="63">
        <f t="shared" si="1"/>
        <v>50</v>
      </c>
      <c r="G17" s="64"/>
      <c r="H17" s="64"/>
      <c r="K17" s="250"/>
      <c r="L17" s="66" t="s">
        <v>415</v>
      </c>
      <c r="M17" s="64"/>
      <c r="N17" s="64"/>
      <c r="O17" s="64"/>
      <c r="P17" s="64"/>
      <c r="Q17" s="64"/>
    </row>
    <row r="18" spans="1:17">
      <c r="A18" s="66" t="s">
        <v>416</v>
      </c>
      <c r="B18" s="63">
        <f t="shared" si="0"/>
        <v>150</v>
      </c>
      <c r="C18" s="64"/>
      <c r="D18" s="64"/>
      <c r="E18" s="64"/>
      <c r="F18" s="63">
        <f t="shared" si="1"/>
        <v>50</v>
      </c>
      <c r="G18" s="64"/>
      <c r="H18" s="64"/>
      <c r="K18" s="250"/>
      <c r="L18" s="66" t="s">
        <v>416</v>
      </c>
      <c r="M18" s="64"/>
      <c r="N18" s="64"/>
      <c r="O18" s="64"/>
      <c r="P18" s="64"/>
      <c r="Q18" s="64"/>
    </row>
    <row r="19" spans="1:17">
      <c r="K19" s="250"/>
      <c r="L19" s="62" t="s">
        <v>417</v>
      </c>
      <c r="M19" s="62" t="e">
        <f>AVERAGE(M7:M18)</f>
        <v>#DIV/0!</v>
      </c>
      <c r="N19" s="62"/>
      <c r="O19" s="62">
        <f>MAX(O7:O18)</f>
        <v>0</v>
      </c>
      <c r="P19" s="62" t="e">
        <f>AVERAGE(P7:P18)</f>
        <v>#DIV/0!</v>
      </c>
      <c r="Q19" s="62">
        <f>MAX(Q7:Q18)</f>
        <v>0</v>
      </c>
    </row>
    <row r="21" spans="1:17" ht="27.95">
      <c r="K21" s="61">
        <f>+A6</f>
        <v>2022</v>
      </c>
      <c r="L21" s="61" t="s">
        <v>399</v>
      </c>
      <c r="M21" s="55" t="s">
        <v>438</v>
      </c>
      <c r="N21" s="55" t="s">
        <v>439</v>
      </c>
      <c r="O21" s="55" t="s">
        <v>440</v>
      </c>
      <c r="P21" s="67" t="s">
        <v>397</v>
      </c>
      <c r="Q21" s="67" t="s">
        <v>401</v>
      </c>
    </row>
    <row r="22" spans="1:17">
      <c r="K22" s="250" t="s">
        <v>197</v>
      </c>
      <c r="L22" s="66" t="s">
        <v>402</v>
      </c>
      <c r="M22" s="64"/>
      <c r="N22" s="64"/>
      <c r="O22" s="64"/>
      <c r="P22" s="64"/>
      <c r="Q22" s="64"/>
    </row>
    <row r="23" spans="1:17">
      <c r="K23" s="250"/>
      <c r="L23" s="66" t="s">
        <v>403</v>
      </c>
      <c r="M23" s="64"/>
      <c r="N23" s="64"/>
      <c r="O23" s="64"/>
      <c r="P23" s="64"/>
      <c r="Q23" s="64"/>
    </row>
    <row r="24" spans="1:17">
      <c r="K24" s="250"/>
      <c r="L24" s="66" t="s">
        <v>404</v>
      </c>
      <c r="M24" s="64"/>
      <c r="N24" s="64"/>
      <c r="O24" s="64"/>
      <c r="P24" s="64"/>
      <c r="Q24" s="64"/>
    </row>
    <row r="25" spans="1:17">
      <c r="K25" s="250"/>
      <c r="L25" s="66" t="s">
        <v>406</v>
      </c>
      <c r="M25" s="64"/>
      <c r="N25" s="64"/>
      <c r="O25" s="64"/>
      <c r="P25" s="64"/>
      <c r="Q25" s="64"/>
    </row>
    <row r="26" spans="1:17">
      <c r="K26" s="250"/>
      <c r="L26" s="66" t="s">
        <v>408</v>
      </c>
      <c r="M26" s="64"/>
      <c r="N26" s="64"/>
      <c r="O26" s="64"/>
      <c r="P26" s="64"/>
      <c r="Q26" s="64"/>
    </row>
    <row r="27" spans="1:17">
      <c r="K27" s="250"/>
      <c r="L27" s="66" t="s">
        <v>409</v>
      </c>
      <c r="M27" s="64"/>
      <c r="N27" s="64"/>
      <c r="O27" s="64"/>
      <c r="P27" s="64"/>
      <c r="Q27" s="64"/>
    </row>
    <row r="28" spans="1:17">
      <c r="K28" s="250"/>
      <c r="L28" s="66" t="s">
        <v>410</v>
      </c>
      <c r="M28" s="64"/>
      <c r="N28" s="64"/>
      <c r="O28" s="64"/>
      <c r="P28" s="64"/>
      <c r="Q28" s="64"/>
    </row>
    <row r="29" spans="1:17">
      <c r="K29" s="250"/>
      <c r="L29" s="66" t="s">
        <v>412</v>
      </c>
      <c r="M29" s="64"/>
      <c r="N29" s="64"/>
      <c r="O29" s="64"/>
      <c r="P29" s="64"/>
      <c r="Q29" s="64"/>
    </row>
    <row r="30" spans="1:17">
      <c r="K30" s="250"/>
      <c r="L30" s="66" t="s">
        <v>413</v>
      </c>
      <c r="M30" s="64"/>
      <c r="N30" s="64"/>
      <c r="O30" s="64"/>
      <c r="P30" s="64"/>
      <c r="Q30" s="64"/>
    </row>
    <row r="31" spans="1:17">
      <c r="K31" s="250"/>
      <c r="L31" s="66" t="s">
        <v>414</v>
      </c>
      <c r="M31" s="64"/>
      <c r="N31" s="64"/>
      <c r="O31" s="64"/>
      <c r="P31" s="64"/>
      <c r="Q31" s="64"/>
    </row>
    <row r="32" spans="1:17">
      <c r="K32" s="250"/>
      <c r="L32" s="66" t="s">
        <v>415</v>
      </c>
      <c r="M32" s="64"/>
      <c r="N32" s="64"/>
      <c r="O32" s="64"/>
      <c r="P32" s="64"/>
      <c r="Q32" s="64"/>
    </row>
    <row r="33" spans="1:17">
      <c r="K33" s="250"/>
      <c r="L33" s="66" t="s">
        <v>416</v>
      </c>
      <c r="M33" s="64"/>
      <c r="N33" s="64"/>
      <c r="O33" s="64"/>
      <c r="P33" s="64"/>
      <c r="Q33" s="64"/>
    </row>
    <row r="34" spans="1:17">
      <c r="K34" s="250"/>
      <c r="L34" s="62" t="s">
        <v>417</v>
      </c>
      <c r="M34" s="62" t="e">
        <f>AVERAGE(M22:M33)</f>
        <v>#DIV/0!</v>
      </c>
      <c r="N34" s="62"/>
      <c r="O34" s="62">
        <f>MAX(O22:O33)</f>
        <v>0</v>
      </c>
      <c r="P34" s="62" t="e">
        <f>AVERAGE(P22:P33)</f>
        <v>#DIV/0!</v>
      </c>
      <c r="Q34" s="62">
        <f>MAX(Q22:Q33)</f>
        <v>0</v>
      </c>
    </row>
    <row r="36" spans="1:17" ht="27.95">
      <c r="K36" s="61">
        <f>+A6</f>
        <v>2022</v>
      </c>
      <c r="L36" s="61" t="s">
        <v>399</v>
      </c>
      <c r="M36" s="55" t="s">
        <v>438</v>
      </c>
      <c r="N36" s="55" t="s">
        <v>439</v>
      </c>
      <c r="O36" s="55" t="s">
        <v>440</v>
      </c>
      <c r="P36" s="67" t="s">
        <v>397</v>
      </c>
      <c r="Q36" s="67" t="s">
        <v>401</v>
      </c>
    </row>
    <row r="37" spans="1:17">
      <c r="K37" s="250" t="s">
        <v>198</v>
      </c>
      <c r="L37" s="66" t="s">
        <v>402</v>
      </c>
      <c r="M37" s="64"/>
      <c r="N37" s="64"/>
      <c r="O37" s="64"/>
      <c r="P37" s="64"/>
      <c r="Q37" s="64"/>
    </row>
    <row r="38" spans="1:17">
      <c r="K38" s="250"/>
      <c r="L38" s="66" t="s">
        <v>403</v>
      </c>
      <c r="M38" s="64"/>
      <c r="N38" s="64"/>
      <c r="O38" s="64"/>
      <c r="P38" s="64"/>
      <c r="Q38" s="64"/>
    </row>
    <row r="39" spans="1:17">
      <c r="K39" s="250"/>
      <c r="L39" s="66" t="s">
        <v>404</v>
      </c>
      <c r="M39" s="64"/>
      <c r="N39" s="64"/>
      <c r="O39" s="64"/>
      <c r="P39" s="64"/>
      <c r="Q39" s="64"/>
    </row>
    <row r="40" spans="1:17">
      <c r="K40" s="250"/>
      <c r="L40" s="66" t="s">
        <v>406</v>
      </c>
      <c r="M40" s="64"/>
      <c r="N40" s="64"/>
      <c r="O40" s="64"/>
      <c r="P40" s="64"/>
      <c r="Q40" s="64"/>
    </row>
    <row r="41" spans="1:17">
      <c r="K41" s="250"/>
      <c r="L41" s="66" t="s">
        <v>408</v>
      </c>
      <c r="M41" s="64"/>
      <c r="N41" s="64"/>
      <c r="O41" s="64"/>
      <c r="P41" s="64"/>
      <c r="Q41" s="64"/>
    </row>
    <row r="42" spans="1:17">
      <c r="K42" s="250"/>
      <c r="L42" s="66" t="s">
        <v>409</v>
      </c>
      <c r="M42" s="64"/>
      <c r="N42" s="64"/>
      <c r="O42" s="64"/>
      <c r="P42" s="64"/>
      <c r="Q42" s="64"/>
    </row>
    <row r="43" spans="1:17">
      <c r="K43" s="250"/>
      <c r="L43" s="66" t="s">
        <v>410</v>
      </c>
      <c r="M43" s="64"/>
      <c r="N43" s="64"/>
      <c r="O43" s="64"/>
      <c r="P43" s="64"/>
      <c r="Q43" s="64"/>
    </row>
    <row r="44" spans="1:17">
      <c r="K44" s="250"/>
      <c r="L44" s="66" t="s">
        <v>412</v>
      </c>
      <c r="M44" s="64"/>
      <c r="N44" s="64"/>
      <c r="O44" s="64"/>
      <c r="P44" s="64"/>
      <c r="Q44" s="64"/>
    </row>
    <row r="45" spans="1:17">
      <c r="K45" s="250"/>
      <c r="L45" s="66" t="s">
        <v>413</v>
      </c>
      <c r="M45" s="64"/>
      <c r="N45" s="64"/>
      <c r="O45" s="64"/>
      <c r="P45" s="64"/>
      <c r="Q45" s="64"/>
    </row>
    <row r="46" spans="1:17">
      <c r="K46" s="250"/>
      <c r="L46" s="66" t="s">
        <v>414</v>
      </c>
      <c r="M46" s="64"/>
      <c r="N46" s="64"/>
      <c r="O46" s="64"/>
      <c r="P46" s="64"/>
      <c r="Q46" s="64"/>
    </row>
    <row r="47" spans="1:17">
      <c r="K47" s="250"/>
      <c r="L47" s="66" t="s">
        <v>415</v>
      </c>
      <c r="M47" s="64"/>
      <c r="N47" s="64"/>
      <c r="O47" s="64"/>
      <c r="P47" s="64"/>
      <c r="Q47" s="64"/>
    </row>
    <row r="48" spans="1:17">
      <c r="A48" s="262" t="s">
        <v>304</v>
      </c>
      <c r="B48" s="263"/>
      <c r="C48" s="263"/>
      <c r="D48" s="263"/>
      <c r="E48" s="263"/>
      <c r="F48" s="263"/>
      <c r="G48" s="263"/>
      <c r="H48" s="264"/>
      <c r="K48" s="250"/>
      <c r="L48" s="66" t="s">
        <v>416</v>
      </c>
      <c r="M48" s="64"/>
      <c r="N48" s="64"/>
      <c r="O48" s="64"/>
      <c r="P48" s="64"/>
      <c r="Q48" s="64"/>
    </row>
    <row r="49" spans="1:17">
      <c r="A49" s="265" t="s">
        <v>444</v>
      </c>
      <c r="B49" s="266"/>
      <c r="C49" s="266"/>
      <c r="D49" s="266"/>
      <c r="E49" s="266"/>
      <c r="F49" s="266"/>
      <c r="G49" s="266"/>
      <c r="H49" s="267"/>
      <c r="K49" s="250"/>
      <c r="L49" s="62" t="s">
        <v>417</v>
      </c>
      <c r="M49" s="62" t="e">
        <f>AVERAGE(M37:M48)</f>
        <v>#DIV/0!</v>
      </c>
      <c r="N49" s="62"/>
      <c r="O49" s="62">
        <f>MAX(O37:O48)</f>
        <v>0</v>
      </c>
      <c r="P49" s="62" t="e">
        <f>AVERAGE(P37:P48)</f>
        <v>#DIV/0!</v>
      </c>
      <c r="Q49" s="62">
        <f>MAX(Q37:Q48)</f>
        <v>0</v>
      </c>
    </row>
    <row r="50" spans="1:17">
      <c r="A50" s="268"/>
      <c r="B50" s="269"/>
      <c r="C50" s="269"/>
      <c r="D50" s="269"/>
      <c r="E50" s="269"/>
      <c r="F50" s="269"/>
      <c r="G50" s="269"/>
      <c r="H50" s="270"/>
    </row>
    <row r="51" spans="1:17" ht="27.95">
      <c r="A51" s="268"/>
      <c r="B51" s="269"/>
      <c r="C51" s="269"/>
      <c r="D51" s="269"/>
      <c r="E51" s="269"/>
      <c r="F51" s="269"/>
      <c r="G51" s="269"/>
      <c r="H51" s="270"/>
      <c r="K51" s="61">
        <f>+A6</f>
        <v>2022</v>
      </c>
      <c r="L51" s="61" t="s">
        <v>399</v>
      </c>
      <c r="M51" s="55" t="s">
        <v>438</v>
      </c>
      <c r="N51" s="55" t="s">
        <v>439</v>
      </c>
      <c r="O51" s="55" t="s">
        <v>440</v>
      </c>
      <c r="P51" s="67" t="s">
        <v>397</v>
      </c>
      <c r="Q51" s="67" t="s">
        <v>401</v>
      </c>
    </row>
    <row r="52" spans="1:17">
      <c r="A52" s="271"/>
      <c r="B52" s="272"/>
      <c r="C52" s="272"/>
      <c r="D52" s="272"/>
      <c r="E52" s="272"/>
      <c r="F52" s="272"/>
      <c r="G52" s="272"/>
      <c r="H52" s="273"/>
      <c r="K52" s="250" t="s">
        <v>199</v>
      </c>
      <c r="L52" s="66" t="s">
        <v>402</v>
      </c>
      <c r="M52" s="64"/>
      <c r="N52" s="64"/>
      <c r="O52" s="64"/>
      <c r="P52" s="64"/>
      <c r="Q52" s="64"/>
    </row>
    <row r="53" spans="1:17">
      <c r="K53" s="250"/>
      <c r="L53" s="66" t="s">
        <v>403</v>
      </c>
      <c r="M53" s="64"/>
      <c r="N53" s="64"/>
      <c r="O53" s="64"/>
      <c r="P53" s="64"/>
      <c r="Q53" s="64"/>
    </row>
    <row r="54" spans="1:17">
      <c r="K54" s="250"/>
      <c r="L54" s="66" t="s">
        <v>404</v>
      </c>
      <c r="M54" s="64"/>
      <c r="N54" s="64"/>
      <c r="O54" s="64"/>
      <c r="P54" s="64"/>
      <c r="Q54" s="64"/>
    </row>
    <row r="55" spans="1:17">
      <c r="K55" s="250"/>
      <c r="L55" s="66" t="s">
        <v>406</v>
      </c>
      <c r="M55" s="64"/>
      <c r="N55" s="64"/>
      <c r="O55" s="64"/>
      <c r="P55" s="64"/>
      <c r="Q55" s="64"/>
    </row>
    <row r="56" spans="1:17">
      <c r="K56" s="250"/>
      <c r="L56" s="66" t="s">
        <v>408</v>
      </c>
      <c r="M56" s="64"/>
      <c r="N56" s="64"/>
      <c r="O56" s="64"/>
      <c r="P56" s="64"/>
      <c r="Q56" s="64"/>
    </row>
    <row r="57" spans="1:17">
      <c r="K57" s="250"/>
      <c r="L57" s="66" t="s">
        <v>409</v>
      </c>
      <c r="M57" s="64"/>
      <c r="N57" s="64"/>
      <c r="O57" s="64"/>
      <c r="P57" s="64"/>
      <c r="Q57" s="64"/>
    </row>
    <row r="58" spans="1:17">
      <c r="K58" s="250"/>
      <c r="L58" s="66" t="s">
        <v>410</v>
      </c>
      <c r="M58" s="64"/>
      <c r="N58" s="64"/>
      <c r="O58" s="64"/>
      <c r="P58" s="64"/>
      <c r="Q58" s="64"/>
    </row>
    <row r="59" spans="1:17">
      <c r="K59" s="250"/>
      <c r="L59" s="66" t="s">
        <v>412</v>
      </c>
      <c r="M59" s="64"/>
      <c r="N59" s="64"/>
      <c r="O59" s="64"/>
      <c r="P59" s="64"/>
      <c r="Q59" s="64"/>
    </row>
    <row r="60" spans="1:17">
      <c r="K60" s="250"/>
      <c r="L60" s="66" t="s">
        <v>413</v>
      </c>
      <c r="M60" s="64"/>
      <c r="N60" s="64"/>
      <c r="O60" s="64"/>
      <c r="P60" s="64"/>
      <c r="Q60" s="64"/>
    </row>
    <row r="61" spans="1:17">
      <c r="K61" s="250"/>
      <c r="L61" s="66" t="s">
        <v>414</v>
      </c>
      <c r="M61" s="64"/>
      <c r="N61" s="64"/>
      <c r="O61" s="64"/>
      <c r="P61" s="64"/>
      <c r="Q61" s="64"/>
    </row>
    <row r="62" spans="1:17">
      <c r="K62" s="250"/>
      <c r="L62" s="66" t="s">
        <v>415</v>
      </c>
      <c r="M62" s="64"/>
      <c r="N62" s="64"/>
      <c r="O62" s="64"/>
      <c r="P62" s="64"/>
      <c r="Q62" s="64"/>
    </row>
    <row r="63" spans="1:17">
      <c r="K63" s="250"/>
      <c r="L63" s="66" t="s">
        <v>416</v>
      </c>
      <c r="M63" s="64"/>
      <c r="N63" s="64"/>
      <c r="O63" s="64"/>
      <c r="P63" s="64"/>
      <c r="Q63" s="64"/>
    </row>
    <row r="64" spans="1:17">
      <c r="K64" s="250"/>
      <c r="L64" s="62" t="s">
        <v>417</v>
      </c>
      <c r="M64" s="62" t="e">
        <f>AVERAGE(M52:M63)</f>
        <v>#DIV/0!</v>
      </c>
      <c r="N64" s="62"/>
      <c r="O64" s="62">
        <f>MAX(O52:O63)</f>
        <v>0</v>
      </c>
      <c r="P64" s="62" t="e">
        <f>AVERAGE(P52:P63)</f>
        <v>#DIV/0!</v>
      </c>
      <c r="Q64" s="62">
        <f>MAX(Q52:Q63)</f>
        <v>0</v>
      </c>
    </row>
    <row r="66" spans="11:17" ht="27.95">
      <c r="K66" s="61">
        <f>+A6</f>
        <v>2022</v>
      </c>
      <c r="L66" s="61" t="s">
        <v>399</v>
      </c>
      <c r="M66" s="55" t="s">
        <v>438</v>
      </c>
      <c r="N66" s="55" t="s">
        <v>439</v>
      </c>
      <c r="O66" s="55" t="s">
        <v>440</v>
      </c>
      <c r="P66" s="67" t="s">
        <v>397</v>
      </c>
      <c r="Q66" s="67" t="s">
        <v>401</v>
      </c>
    </row>
    <row r="67" spans="11:17">
      <c r="K67" s="250" t="s">
        <v>200</v>
      </c>
      <c r="L67" s="66" t="s">
        <v>402</v>
      </c>
      <c r="M67" s="64"/>
      <c r="N67" s="64"/>
      <c r="O67" s="64"/>
      <c r="P67" s="64"/>
      <c r="Q67" s="64"/>
    </row>
    <row r="68" spans="11:17">
      <c r="K68" s="250"/>
      <c r="L68" s="66" t="s">
        <v>403</v>
      </c>
      <c r="M68" s="64"/>
      <c r="N68" s="64"/>
      <c r="O68" s="64"/>
      <c r="P68" s="64"/>
      <c r="Q68" s="64"/>
    </row>
    <row r="69" spans="11:17">
      <c r="K69" s="250"/>
      <c r="L69" s="66" t="s">
        <v>404</v>
      </c>
      <c r="M69" s="64"/>
      <c r="N69" s="64"/>
      <c r="O69" s="64"/>
      <c r="P69" s="64"/>
      <c r="Q69" s="64"/>
    </row>
    <row r="70" spans="11:17">
      <c r="K70" s="250"/>
      <c r="L70" s="66" t="s">
        <v>406</v>
      </c>
      <c r="M70" s="64"/>
      <c r="N70" s="64"/>
      <c r="O70" s="64"/>
      <c r="P70" s="64"/>
      <c r="Q70" s="64"/>
    </row>
    <row r="71" spans="11:17">
      <c r="K71" s="250"/>
      <c r="L71" s="66" t="s">
        <v>408</v>
      </c>
      <c r="M71" s="64"/>
      <c r="N71" s="64"/>
      <c r="O71" s="64"/>
      <c r="P71" s="64"/>
      <c r="Q71" s="64"/>
    </row>
    <row r="72" spans="11:17">
      <c r="K72" s="250"/>
      <c r="L72" s="66" t="s">
        <v>409</v>
      </c>
      <c r="M72" s="64"/>
      <c r="N72" s="64"/>
      <c r="O72" s="64"/>
      <c r="P72" s="64"/>
      <c r="Q72" s="64"/>
    </row>
    <row r="73" spans="11:17">
      <c r="K73" s="250"/>
      <c r="L73" s="66" t="s">
        <v>410</v>
      </c>
      <c r="M73" s="64"/>
      <c r="N73" s="64"/>
      <c r="O73" s="64"/>
      <c r="P73" s="64"/>
      <c r="Q73" s="64"/>
    </row>
    <row r="74" spans="11:17">
      <c r="K74" s="250"/>
      <c r="L74" s="66" t="s">
        <v>412</v>
      </c>
      <c r="M74" s="64"/>
      <c r="N74" s="64"/>
      <c r="O74" s="64"/>
      <c r="P74" s="64"/>
      <c r="Q74" s="64"/>
    </row>
    <row r="75" spans="11:17">
      <c r="K75" s="250"/>
      <c r="L75" s="66" t="s">
        <v>413</v>
      </c>
      <c r="M75" s="64"/>
      <c r="N75" s="64"/>
      <c r="O75" s="64"/>
      <c r="P75" s="64"/>
      <c r="Q75" s="64"/>
    </row>
    <row r="76" spans="11:17">
      <c r="K76" s="250"/>
      <c r="L76" s="66" t="s">
        <v>414</v>
      </c>
      <c r="M76" s="64"/>
      <c r="N76" s="64"/>
      <c r="O76" s="64"/>
      <c r="P76" s="64"/>
      <c r="Q76" s="64"/>
    </row>
    <row r="77" spans="11:17">
      <c r="K77" s="250"/>
      <c r="L77" s="66" t="s">
        <v>415</v>
      </c>
      <c r="M77" s="64"/>
      <c r="N77" s="64"/>
      <c r="O77" s="64"/>
      <c r="P77" s="64"/>
      <c r="Q77" s="64"/>
    </row>
    <row r="78" spans="11:17">
      <c r="K78" s="250"/>
      <c r="L78" s="66" t="s">
        <v>416</v>
      </c>
      <c r="M78" s="64"/>
      <c r="N78" s="64"/>
      <c r="O78" s="64"/>
      <c r="P78" s="64"/>
      <c r="Q78" s="64"/>
    </row>
    <row r="79" spans="11:17">
      <c r="K79" s="250"/>
      <c r="L79" s="62" t="s">
        <v>417</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I18" sqref="I18"/>
    </sheetView>
  </sheetViews>
  <sheetFormatPr defaultRowHeight="14.1"/>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93" t="str">
        <f>+'Cover Page'!$B$29</f>
        <v>Annual Performance Report 2022</v>
      </c>
      <c r="B1" s="93"/>
      <c r="C1" s="93"/>
      <c r="D1" s="93"/>
      <c r="E1" s="93" t="str">
        <f>+'Cover Page'!$B$33</f>
        <v>Ince Bio Power</v>
      </c>
    </row>
    <row r="3" spans="1:19" ht="14.45">
      <c r="A3" s="60" t="s">
        <v>445</v>
      </c>
      <c r="D3" s="76" t="s">
        <v>386</v>
      </c>
      <c r="G3" s="80" t="s">
        <v>387</v>
      </c>
      <c r="J3" s="9" t="str">
        <f>+A3</f>
        <v xml:space="preserve">Monitoring of Ammnonia emissions </v>
      </c>
      <c r="L3" s="9"/>
      <c r="N3" s="9" t="s">
        <v>388</v>
      </c>
      <c r="Q3" s="79" t="s">
        <v>1</v>
      </c>
      <c r="R3" s="74"/>
      <c r="S3" s="74"/>
    </row>
    <row r="4" spans="1:19" ht="13.9" customHeight="1">
      <c r="Q4" s="241" t="s">
        <v>389</v>
      </c>
      <c r="R4" s="241"/>
      <c r="S4" s="241"/>
    </row>
    <row r="5" spans="1:19" ht="15.95">
      <c r="A5" s="68" t="s">
        <v>390</v>
      </c>
      <c r="B5" s="252" t="s">
        <v>391</v>
      </c>
      <c r="C5" s="252"/>
      <c r="D5" s="252"/>
      <c r="E5" s="252" t="s">
        <v>392</v>
      </c>
      <c r="F5" s="252"/>
      <c r="G5" s="252"/>
      <c r="J5" s="251"/>
      <c r="K5" s="251"/>
      <c r="L5" s="251"/>
      <c r="M5" s="251"/>
      <c r="N5" s="251"/>
      <c r="O5" s="251"/>
      <c r="Q5" s="241"/>
      <c r="R5" s="241"/>
      <c r="S5" s="241"/>
    </row>
    <row r="6" spans="1:19" s="58" customFormat="1" ht="37.5" customHeight="1">
      <c r="A6" s="65">
        <f>+'Cover Page'!C39</f>
        <v>2022</v>
      </c>
      <c r="B6" s="55" t="s">
        <v>446</v>
      </c>
      <c r="C6" s="55" t="s">
        <v>394</v>
      </c>
      <c r="D6" s="55" t="s">
        <v>395</v>
      </c>
      <c r="E6" s="55" t="s">
        <v>447</v>
      </c>
      <c r="F6" s="55" t="s">
        <v>397</v>
      </c>
      <c r="G6" s="55" t="s">
        <v>398</v>
      </c>
      <c r="H6" s="59"/>
      <c r="J6" s="61">
        <f>+A6</f>
        <v>2022</v>
      </c>
      <c r="K6" s="61" t="s">
        <v>399</v>
      </c>
      <c r="L6" s="67" t="s">
        <v>394</v>
      </c>
      <c r="M6" s="67" t="s">
        <v>400</v>
      </c>
      <c r="N6" s="67" t="s">
        <v>397</v>
      </c>
      <c r="O6" s="67" t="s">
        <v>401</v>
      </c>
      <c r="Q6" s="241"/>
      <c r="R6" s="241"/>
      <c r="S6" s="241"/>
    </row>
    <row r="7" spans="1:19">
      <c r="A7" s="66" t="s">
        <v>402</v>
      </c>
      <c r="B7" s="69">
        <v>0</v>
      </c>
      <c r="C7" s="64"/>
      <c r="D7" s="64"/>
      <c r="E7" s="69">
        <v>10</v>
      </c>
      <c r="F7" s="64"/>
      <c r="G7" s="64"/>
      <c r="J7" s="250" t="s">
        <v>196</v>
      </c>
      <c r="K7" s="66" t="s">
        <v>402</v>
      </c>
      <c r="L7" s="64"/>
      <c r="M7" s="64"/>
      <c r="N7" s="64"/>
      <c r="O7" s="64"/>
      <c r="Q7" s="241"/>
      <c r="R7" s="241"/>
      <c r="S7" s="241"/>
    </row>
    <row r="8" spans="1:19">
      <c r="A8" s="66" t="s">
        <v>403</v>
      </c>
      <c r="B8" s="63">
        <f>+B7</f>
        <v>0</v>
      </c>
      <c r="C8" s="64"/>
      <c r="D8" s="64"/>
      <c r="E8" s="63">
        <f>+E7</f>
        <v>10</v>
      </c>
      <c r="F8" s="64"/>
      <c r="G8" s="64"/>
      <c r="J8" s="250"/>
      <c r="K8" s="66" t="s">
        <v>403</v>
      </c>
      <c r="L8" s="64"/>
      <c r="M8" s="64"/>
      <c r="N8" s="64"/>
      <c r="O8" s="64"/>
      <c r="Q8" s="241"/>
      <c r="R8" s="241"/>
      <c r="S8" s="241"/>
    </row>
    <row r="9" spans="1:19">
      <c r="A9" s="66" t="s">
        <v>404</v>
      </c>
      <c r="B9" s="63">
        <f t="shared" ref="B9:B18" si="0">+B8</f>
        <v>0</v>
      </c>
      <c r="C9" s="64"/>
      <c r="D9" s="64"/>
      <c r="E9" s="63">
        <f t="shared" ref="E9:E18" si="1">+E8</f>
        <v>10</v>
      </c>
      <c r="F9" s="64"/>
      <c r="G9" s="64"/>
      <c r="J9" s="250"/>
      <c r="K9" s="66" t="s">
        <v>404</v>
      </c>
      <c r="L9" s="64"/>
      <c r="M9" s="64"/>
      <c r="N9" s="64"/>
      <c r="O9" s="64"/>
      <c r="Q9" s="78" t="s">
        <v>405</v>
      </c>
    </row>
    <row r="10" spans="1:19" ht="14.25" customHeight="1">
      <c r="A10" s="66" t="s">
        <v>406</v>
      </c>
      <c r="B10" s="63">
        <f t="shared" si="0"/>
        <v>0</v>
      </c>
      <c r="C10" s="64"/>
      <c r="D10" s="64"/>
      <c r="E10" s="63">
        <f t="shared" si="1"/>
        <v>10</v>
      </c>
      <c r="F10" s="64"/>
      <c r="G10" s="64"/>
      <c r="J10" s="250"/>
      <c r="K10" s="66" t="s">
        <v>406</v>
      </c>
      <c r="L10" s="64"/>
      <c r="M10" s="64"/>
      <c r="N10" s="64"/>
      <c r="O10" s="64"/>
      <c r="Q10" s="249" t="s">
        <v>407</v>
      </c>
      <c r="R10" s="249"/>
      <c r="S10" s="249"/>
    </row>
    <row r="11" spans="1:19">
      <c r="A11" s="66" t="s">
        <v>408</v>
      </c>
      <c r="B11" s="63">
        <f t="shared" si="0"/>
        <v>0</v>
      </c>
      <c r="C11" s="64"/>
      <c r="D11" s="64"/>
      <c r="E11" s="63">
        <f t="shared" si="1"/>
        <v>10</v>
      </c>
      <c r="F11" s="64"/>
      <c r="G11" s="64"/>
      <c r="J11" s="250"/>
      <c r="K11" s="66" t="s">
        <v>408</v>
      </c>
      <c r="L11" s="64"/>
      <c r="M11" s="64"/>
      <c r="N11" s="64"/>
      <c r="O11" s="64"/>
      <c r="Q11" s="249"/>
      <c r="R11" s="249"/>
      <c r="S11" s="249"/>
    </row>
    <row r="12" spans="1:19">
      <c r="A12" s="66" t="s">
        <v>409</v>
      </c>
      <c r="B12" s="63">
        <f t="shared" si="0"/>
        <v>0</v>
      </c>
      <c r="C12" s="64"/>
      <c r="D12" s="64"/>
      <c r="E12" s="63">
        <f t="shared" si="1"/>
        <v>10</v>
      </c>
      <c r="F12" s="64"/>
      <c r="G12" s="64"/>
      <c r="J12" s="250"/>
      <c r="K12" s="66" t="s">
        <v>409</v>
      </c>
      <c r="L12" s="64"/>
      <c r="M12" s="64"/>
      <c r="N12" s="64"/>
      <c r="O12" s="64"/>
      <c r="Q12" s="249"/>
      <c r="R12" s="249"/>
      <c r="S12" s="249"/>
    </row>
    <row r="13" spans="1:19" ht="14.25" customHeight="1">
      <c r="A13" s="66" t="s">
        <v>410</v>
      </c>
      <c r="B13" s="63">
        <f t="shared" si="0"/>
        <v>0</v>
      </c>
      <c r="C13" s="64"/>
      <c r="D13" s="64"/>
      <c r="E13" s="63">
        <f t="shared" si="1"/>
        <v>10</v>
      </c>
      <c r="F13" s="64"/>
      <c r="G13" s="64"/>
      <c r="J13" s="250"/>
      <c r="K13" s="66" t="s">
        <v>410</v>
      </c>
      <c r="L13" s="64"/>
      <c r="M13" s="64"/>
      <c r="N13" s="64"/>
      <c r="O13" s="64"/>
      <c r="Q13" s="249" t="s">
        <v>411</v>
      </c>
      <c r="R13" s="249"/>
      <c r="S13" s="249"/>
    </row>
    <row r="14" spans="1:19">
      <c r="A14" s="66" t="s">
        <v>412</v>
      </c>
      <c r="B14" s="63">
        <f t="shared" si="0"/>
        <v>0</v>
      </c>
      <c r="C14" s="64"/>
      <c r="D14" s="64"/>
      <c r="E14" s="63">
        <f t="shared" si="1"/>
        <v>10</v>
      </c>
      <c r="F14" s="64"/>
      <c r="G14" s="64"/>
      <c r="J14" s="250"/>
      <c r="K14" s="66" t="s">
        <v>412</v>
      </c>
      <c r="L14" s="64"/>
      <c r="M14" s="64"/>
      <c r="N14" s="64"/>
      <c r="O14" s="64"/>
      <c r="Q14" s="249"/>
      <c r="R14" s="249"/>
      <c r="S14" s="249"/>
    </row>
    <row r="15" spans="1:19">
      <c r="A15" s="66" t="s">
        <v>413</v>
      </c>
      <c r="B15" s="63">
        <f t="shared" si="0"/>
        <v>0</v>
      </c>
      <c r="C15" s="64"/>
      <c r="D15" s="64"/>
      <c r="E15" s="63">
        <f t="shared" si="1"/>
        <v>10</v>
      </c>
      <c r="F15" s="64"/>
      <c r="G15" s="64"/>
      <c r="J15" s="250"/>
      <c r="K15" s="66" t="s">
        <v>413</v>
      </c>
      <c r="L15" s="64"/>
      <c r="M15" s="64"/>
      <c r="N15" s="64"/>
      <c r="O15" s="64"/>
      <c r="Q15" s="249"/>
      <c r="R15" s="249"/>
      <c r="S15" s="249"/>
    </row>
    <row r="16" spans="1:19">
      <c r="A16" s="66" t="s">
        <v>414</v>
      </c>
      <c r="B16" s="63">
        <f t="shared" si="0"/>
        <v>0</v>
      </c>
      <c r="C16" s="64"/>
      <c r="D16" s="64"/>
      <c r="E16" s="63">
        <f t="shared" si="1"/>
        <v>10</v>
      </c>
      <c r="F16" s="64"/>
      <c r="G16" s="64"/>
      <c r="J16" s="250"/>
      <c r="K16" s="66" t="s">
        <v>414</v>
      </c>
      <c r="L16" s="64"/>
      <c r="M16" s="64"/>
      <c r="N16" s="64"/>
      <c r="O16" s="64"/>
      <c r="Q16" s="249"/>
      <c r="R16" s="249"/>
      <c r="S16" s="249"/>
    </row>
    <row r="17" spans="1:15">
      <c r="A17" s="66" t="s">
        <v>415</v>
      </c>
      <c r="B17" s="63">
        <f t="shared" si="0"/>
        <v>0</v>
      </c>
      <c r="C17" s="64"/>
      <c r="D17" s="64"/>
      <c r="E17" s="63">
        <f t="shared" si="1"/>
        <v>10</v>
      </c>
      <c r="F17" s="64"/>
      <c r="G17" s="64"/>
      <c r="J17" s="250"/>
      <c r="K17" s="66" t="s">
        <v>415</v>
      </c>
      <c r="L17" s="64"/>
      <c r="M17" s="64"/>
      <c r="N17" s="64"/>
      <c r="O17" s="64"/>
    </row>
    <row r="18" spans="1:15">
      <c r="A18" s="66" t="s">
        <v>416</v>
      </c>
      <c r="B18" s="63">
        <f t="shared" si="0"/>
        <v>0</v>
      </c>
      <c r="C18" s="64"/>
      <c r="D18" s="64"/>
      <c r="E18" s="63">
        <f t="shared" si="1"/>
        <v>10</v>
      </c>
      <c r="F18" s="64"/>
      <c r="G18" s="64"/>
      <c r="J18" s="250"/>
      <c r="K18" s="66" t="s">
        <v>416</v>
      </c>
      <c r="L18" s="64"/>
      <c r="M18" s="64"/>
      <c r="N18" s="64"/>
      <c r="O18" s="64"/>
    </row>
    <row r="19" spans="1:15">
      <c r="J19" s="250"/>
      <c r="K19" s="62" t="s">
        <v>417</v>
      </c>
      <c r="L19" s="62" t="e">
        <f>AVERAGE(L7:L18)</f>
        <v>#DIV/0!</v>
      </c>
      <c r="M19" s="62">
        <f>MAX(M7:M18)</f>
        <v>0</v>
      </c>
      <c r="N19" s="62" t="e">
        <f>AVERAGE(N7:N18)</f>
        <v>#DIV/0!</v>
      </c>
      <c r="O19" s="62">
        <f>MAX(O7:O18)</f>
        <v>0</v>
      </c>
    </row>
    <row r="21" spans="1:15" ht="27.95">
      <c r="J21" s="61">
        <f>+A6</f>
        <v>2022</v>
      </c>
      <c r="K21" s="61" t="s">
        <v>399</v>
      </c>
      <c r="L21" s="67" t="s">
        <v>394</v>
      </c>
      <c r="M21" s="67" t="s">
        <v>400</v>
      </c>
      <c r="N21" s="67" t="s">
        <v>397</v>
      </c>
      <c r="O21" s="67" t="s">
        <v>401</v>
      </c>
    </row>
    <row r="22" spans="1:15">
      <c r="J22" s="250" t="s">
        <v>197</v>
      </c>
      <c r="K22" s="66" t="s">
        <v>402</v>
      </c>
      <c r="L22" s="64"/>
      <c r="M22" s="64"/>
      <c r="N22" s="64"/>
      <c r="O22" s="64"/>
    </row>
    <row r="23" spans="1:15">
      <c r="J23" s="250"/>
      <c r="K23" s="66" t="s">
        <v>403</v>
      </c>
      <c r="L23" s="64"/>
      <c r="M23" s="64"/>
      <c r="N23" s="64"/>
      <c r="O23" s="64"/>
    </row>
    <row r="24" spans="1:15">
      <c r="J24" s="250"/>
      <c r="K24" s="66" t="s">
        <v>404</v>
      </c>
      <c r="L24" s="64"/>
      <c r="M24" s="64"/>
      <c r="N24" s="64"/>
      <c r="O24" s="64"/>
    </row>
    <row r="25" spans="1:15">
      <c r="J25" s="250"/>
      <c r="K25" s="66" t="s">
        <v>406</v>
      </c>
      <c r="L25" s="64"/>
      <c r="M25" s="64"/>
      <c r="N25" s="64"/>
      <c r="O25" s="64"/>
    </row>
    <row r="26" spans="1:15">
      <c r="J26" s="250"/>
      <c r="K26" s="66" t="s">
        <v>408</v>
      </c>
      <c r="L26" s="64"/>
      <c r="M26" s="64"/>
      <c r="N26" s="64"/>
      <c r="O26" s="64"/>
    </row>
    <row r="27" spans="1:15">
      <c r="J27" s="250"/>
      <c r="K27" s="66" t="s">
        <v>409</v>
      </c>
      <c r="L27" s="64"/>
      <c r="M27" s="64"/>
      <c r="N27" s="64"/>
      <c r="O27" s="64"/>
    </row>
    <row r="28" spans="1:15">
      <c r="J28" s="250"/>
      <c r="K28" s="66" t="s">
        <v>410</v>
      </c>
      <c r="L28" s="64"/>
      <c r="M28" s="64"/>
      <c r="N28" s="64"/>
      <c r="O28" s="64"/>
    </row>
    <row r="29" spans="1:15">
      <c r="J29" s="250"/>
      <c r="K29" s="66" t="s">
        <v>412</v>
      </c>
      <c r="L29" s="64"/>
      <c r="M29" s="64"/>
      <c r="N29" s="64"/>
      <c r="O29" s="64"/>
    </row>
    <row r="30" spans="1:15">
      <c r="J30" s="250"/>
      <c r="K30" s="66" t="s">
        <v>413</v>
      </c>
      <c r="L30" s="64"/>
      <c r="M30" s="64"/>
      <c r="N30" s="64"/>
      <c r="O30" s="64"/>
    </row>
    <row r="31" spans="1:15">
      <c r="J31" s="250"/>
      <c r="K31" s="66" t="s">
        <v>414</v>
      </c>
      <c r="L31" s="64"/>
      <c r="M31" s="64"/>
      <c r="N31" s="64"/>
      <c r="O31" s="64"/>
    </row>
    <row r="32" spans="1:15">
      <c r="J32" s="250"/>
      <c r="K32" s="66" t="s">
        <v>415</v>
      </c>
      <c r="L32" s="64"/>
      <c r="M32" s="64"/>
      <c r="N32" s="64"/>
      <c r="O32" s="64"/>
    </row>
    <row r="33" spans="1:15">
      <c r="J33" s="250"/>
      <c r="K33" s="66" t="s">
        <v>416</v>
      </c>
      <c r="L33" s="64"/>
      <c r="M33" s="64"/>
      <c r="N33" s="64"/>
      <c r="O33" s="64"/>
    </row>
    <row r="34" spans="1:15">
      <c r="J34" s="250"/>
      <c r="K34" s="62" t="s">
        <v>417</v>
      </c>
      <c r="L34" s="62" t="e">
        <f>AVERAGE(L22:L33)</f>
        <v>#DIV/0!</v>
      </c>
      <c r="M34" s="62">
        <f>MAX(M22:M33)</f>
        <v>0</v>
      </c>
      <c r="N34" s="62" t="e">
        <f>AVERAGE(N22:N33)</f>
        <v>#DIV/0!</v>
      </c>
      <c r="O34" s="62">
        <f>MAX(O22:O33)</f>
        <v>0</v>
      </c>
    </row>
    <row r="36" spans="1:15" ht="27.95">
      <c r="J36" s="61">
        <f>+A6</f>
        <v>2022</v>
      </c>
      <c r="K36" s="61" t="s">
        <v>399</v>
      </c>
      <c r="L36" s="67" t="s">
        <v>394</v>
      </c>
      <c r="M36" s="67" t="s">
        <v>400</v>
      </c>
      <c r="N36" s="67" t="s">
        <v>397</v>
      </c>
      <c r="O36" s="67" t="s">
        <v>401</v>
      </c>
    </row>
    <row r="37" spans="1:15">
      <c r="J37" s="250" t="s">
        <v>198</v>
      </c>
      <c r="K37" s="66" t="s">
        <v>402</v>
      </c>
      <c r="L37" s="64"/>
      <c r="M37" s="64"/>
      <c r="N37" s="64"/>
      <c r="O37" s="64"/>
    </row>
    <row r="38" spans="1:15">
      <c r="J38" s="250"/>
      <c r="K38" s="66" t="s">
        <v>403</v>
      </c>
      <c r="L38" s="64"/>
      <c r="M38" s="64"/>
      <c r="N38" s="64"/>
      <c r="O38" s="64"/>
    </row>
    <row r="39" spans="1:15">
      <c r="J39" s="250"/>
      <c r="K39" s="66" t="s">
        <v>404</v>
      </c>
      <c r="L39" s="64"/>
      <c r="M39" s="64"/>
      <c r="N39" s="64"/>
      <c r="O39" s="64"/>
    </row>
    <row r="40" spans="1:15">
      <c r="J40" s="250"/>
      <c r="K40" s="66" t="s">
        <v>406</v>
      </c>
      <c r="L40" s="64"/>
      <c r="M40" s="64"/>
      <c r="N40" s="64"/>
      <c r="O40" s="64"/>
    </row>
    <row r="41" spans="1:15">
      <c r="J41" s="250"/>
      <c r="K41" s="66" t="s">
        <v>408</v>
      </c>
      <c r="L41" s="64"/>
      <c r="M41" s="64"/>
      <c r="N41" s="64"/>
      <c r="O41" s="64"/>
    </row>
    <row r="42" spans="1:15">
      <c r="J42" s="250"/>
      <c r="K42" s="66" t="s">
        <v>409</v>
      </c>
      <c r="L42" s="64"/>
      <c r="M42" s="64"/>
      <c r="N42" s="64"/>
      <c r="O42" s="64"/>
    </row>
    <row r="43" spans="1:15">
      <c r="J43" s="250"/>
      <c r="K43" s="66" t="s">
        <v>410</v>
      </c>
      <c r="L43" s="64"/>
      <c r="M43" s="64"/>
      <c r="N43" s="64"/>
      <c r="O43" s="64"/>
    </row>
    <row r="44" spans="1:15">
      <c r="J44" s="250"/>
      <c r="K44" s="66" t="s">
        <v>412</v>
      </c>
      <c r="L44" s="64"/>
      <c r="M44" s="64"/>
      <c r="N44" s="64"/>
      <c r="O44" s="64"/>
    </row>
    <row r="45" spans="1:15">
      <c r="J45" s="250"/>
      <c r="K45" s="66" t="s">
        <v>413</v>
      </c>
      <c r="L45" s="64"/>
      <c r="M45" s="64"/>
      <c r="N45" s="64"/>
      <c r="O45" s="64"/>
    </row>
    <row r="46" spans="1:15">
      <c r="J46" s="250"/>
      <c r="K46" s="66" t="s">
        <v>414</v>
      </c>
      <c r="L46" s="64"/>
      <c r="M46" s="64"/>
      <c r="N46" s="64"/>
      <c r="O46" s="64"/>
    </row>
    <row r="47" spans="1:15">
      <c r="J47" s="250"/>
      <c r="K47" s="66" t="s">
        <v>415</v>
      </c>
      <c r="L47" s="64"/>
      <c r="M47" s="64"/>
      <c r="N47" s="64"/>
      <c r="O47" s="64"/>
    </row>
    <row r="48" spans="1:15">
      <c r="A48" s="262" t="s">
        <v>304</v>
      </c>
      <c r="B48" s="263"/>
      <c r="C48" s="263"/>
      <c r="D48" s="263"/>
      <c r="E48" s="263"/>
      <c r="F48" s="263"/>
      <c r="G48" s="264"/>
      <c r="J48" s="250"/>
      <c r="K48" s="66" t="s">
        <v>416</v>
      </c>
      <c r="L48" s="64"/>
      <c r="M48" s="64"/>
      <c r="N48" s="64"/>
      <c r="O48" s="64"/>
    </row>
    <row r="49" spans="1:15">
      <c r="A49" s="253" t="s">
        <v>448</v>
      </c>
      <c r="B49" s="254"/>
      <c r="C49" s="254"/>
      <c r="D49" s="254"/>
      <c r="E49" s="254"/>
      <c r="F49" s="254"/>
      <c r="G49" s="255"/>
      <c r="J49" s="250"/>
      <c r="K49" s="62" t="s">
        <v>417</v>
      </c>
      <c r="L49" s="62" t="e">
        <f>AVERAGE(L37:L48)</f>
        <v>#DIV/0!</v>
      </c>
      <c r="M49" s="62">
        <f>MAX(M37:M48)</f>
        <v>0</v>
      </c>
      <c r="N49" s="62" t="e">
        <f>AVERAGE(N37:N48)</f>
        <v>#DIV/0!</v>
      </c>
      <c r="O49" s="62">
        <f>MAX(O37:O48)</f>
        <v>0</v>
      </c>
    </row>
    <row r="50" spans="1:15">
      <c r="A50" s="256"/>
      <c r="B50" s="257"/>
      <c r="C50" s="257"/>
      <c r="D50" s="257"/>
      <c r="E50" s="257"/>
      <c r="F50" s="257"/>
      <c r="G50" s="258"/>
    </row>
    <row r="51" spans="1:15" ht="27.95">
      <c r="A51" s="256"/>
      <c r="B51" s="257"/>
      <c r="C51" s="257"/>
      <c r="D51" s="257"/>
      <c r="E51" s="257"/>
      <c r="F51" s="257"/>
      <c r="G51" s="258"/>
      <c r="J51" s="61">
        <f>+A6</f>
        <v>2022</v>
      </c>
      <c r="K51" s="61" t="s">
        <v>399</v>
      </c>
      <c r="L51" s="67" t="s">
        <v>394</v>
      </c>
      <c r="M51" s="67" t="s">
        <v>400</v>
      </c>
      <c r="N51" s="67" t="s">
        <v>397</v>
      </c>
      <c r="O51" s="67" t="s">
        <v>401</v>
      </c>
    </row>
    <row r="52" spans="1:15">
      <c r="A52" s="259"/>
      <c r="B52" s="260"/>
      <c r="C52" s="260"/>
      <c r="D52" s="260"/>
      <c r="E52" s="260"/>
      <c r="F52" s="260"/>
      <c r="G52" s="261"/>
      <c r="J52" s="250" t="s">
        <v>199</v>
      </c>
      <c r="K52" s="66" t="s">
        <v>402</v>
      </c>
      <c r="L52" s="64"/>
      <c r="M52" s="64"/>
      <c r="N52" s="64"/>
      <c r="O52" s="64"/>
    </row>
    <row r="53" spans="1:15">
      <c r="J53" s="250"/>
      <c r="K53" s="66" t="s">
        <v>403</v>
      </c>
      <c r="L53" s="64"/>
      <c r="M53" s="64"/>
      <c r="N53" s="64"/>
      <c r="O53" s="64"/>
    </row>
    <row r="54" spans="1:15">
      <c r="J54" s="250"/>
      <c r="K54" s="66" t="s">
        <v>404</v>
      </c>
      <c r="L54" s="64"/>
      <c r="M54" s="64"/>
      <c r="N54" s="64"/>
      <c r="O54" s="64"/>
    </row>
    <row r="55" spans="1:15">
      <c r="J55" s="250"/>
      <c r="K55" s="66" t="s">
        <v>406</v>
      </c>
      <c r="L55" s="64"/>
      <c r="M55" s="64"/>
      <c r="N55" s="64"/>
      <c r="O55" s="64"/>
    </row>
    <row r="56" spans="1:15">
      <c r="J56" s="250"/>
      <c r="K56" s="66" t="s">
        <v>408</v>
      </c>
      <c r="L56" s="64"/>
      <c r="M56" s="64"/>
      <c r="N56" s="64"/>
      <c r="O56" s="64"/>
    </row>
    <row r="57" spans="1:15">
      <c r="J57" s="250"/>
      <c r="K57" s="66" t="s">
        <v>409</v>
      </c>
      <c r="L57" s="64"/>
      <c r="M57" s="64"/>
      <c r="N57" s="64"/>
      <c r="O57" s="64"/>
    </row>
    <row r="58" spans="1:15">
      <c r="J58" s="250"/>
      <c r="K58" s="66" t="s">
        <v>410</v>
      </c>
      <c r="L58" s="64"/>
      <c r="M58" s="64"/>
      <c r="N58" s="64"/>
      <c r="O58" s="64"/>
    </row>
    <row r="59" spans="1:15">
      <c r="J59" s="250"/>
      <c r="K59" s="66" t="s">
        <v>412</v>
      </c>
      <c r="L59" s="64"/>
      <c r="M59" s="64"/>
      <c r="N59" s="64"/>
      <c r="O59" s="64"/>
    </row>
    <row r="60" spans="1:15">
      <c r="J60" s="250"/>
      <c r="K60" s="66" t="s">
        <v>413</v>
      </c>
      <c r="L60" s="64"/>
      <c r="M60" s="64"/>
      <c r="N60" s="64"/>
      <c r="O60" s="64"/>
    </row>
    <row r="61" spans="1:15">
      <c r="J61" s="250"/>
      <c r="K61" s="66" t="s">
        <v>414</v>
      </c>
      <c r="L61" s="64"/>
      <c r="M61" s="64"/>
      <c r="N61" s="64"/>
      <c r="O61" s="64"/>
    </row>
    <row r="62" spans="1:15">
      <c r="J62" s="250"/>
      <c r="K62" s="66" t="s">
        <v>415</v>
      </c>
      <c r="L62" s="64"/>
      <c r="M62" s="64"/>
      <c r="N62" s="64"/>
      <c r="O62" s="64"/>
    </row>
    <row r="63" spans="1:15">
      <c r="J63" s="250"/>
      <c r="K63" s="66" t="s">
        <v>416</v>
      </c>
      <c r="L63" s="64"/>
      <c r="M63" s="64"/>
      <c r="N63" s="64"/>
      <c r="O63" s="64"/>
    </row>
    <row r="64" spans="1:15">
      <c r="J64" s="250"/>
      <c r="K64" s="62" t="s">
        <v>417</v>
      </c>
      <c r="L64" s="62" t="e">
        <f>AVERAGE(L52:L63)</f>
        <v>#DIV/0!</v>
      </c>
      <c r="M64" s="62">
        <f>MAX(M52:M63)</f>
        <v>0</v>
      </c>
      <c r="N64" s="62" t="e">
        <f>AVERAGE(N52:N63)</f>
        <v>#DIV/0!</v>
      </c>
      <c r="O64" s="62">
        <f>MAX(O52:O63)</f>
        <v>0</v>
      </c>
    </row>
    <row r="66" spans="10:15" ht="27.95">
      <c r="J66" s="61">
        <f>+A6</f>
        <v>2022</v>
      </c>
      <c r="K66" s="61" t="s">
        <v>399</v>
      </c>
      <c r="L66" s="67" t="s">
        <v>394</v>
      </c>
      <c r="M66" s="67" t="s">
        <v>400</v>
      </c>
      <c r="N66" s="67" t="s">
        <v>397</v>
      </c>
      <c r="O66" s="67" t="s">
        <v>401</v>
      </c>
    </row>
    <row r="67" spans="10:15">
      <c r="J67" s="250" t="s">
        <v>200</v>
      </c>
      <c r="K67" s="66" t="s">
        <v>402</v>
      </c>
      <c r="L67" s="64"/>
      <c r="M67" s="64"/>
      <c r="N67" s="64"/>
      <c r="O67" s="64"/>
    </row>
    <row r="68" spans="10:15">
      <c r="J68" s="250"/>
      <c r="K68" s="66" t="s">
        <v>403</v>
      </c>
      <c r="L68" s="64"/>
      <c r="M68" s="64"/>
      <c r="N68" s="64"/>
      <c r="O68" s="64"/>
    </row>
    <row r="69" spans="10:15">
      <c r="J69" s="250"/>
      <c r="K69" s="66" t="s">
        <v>404</v>
      </c>
      <c r="L69" s="64"/>
      <c r="M69" s="64"/>
      <c r="N69" s="64"/>
      <c r="O69" s="64"/>
    </row>
    <row r="70" spans="10:15">
      <c r="J70" s="250"/>
      <c r="K70" s="66" t="s">
        <v>406</v>
      </c>
      <c r="L70" s="64"/>
      <c r="M70" s="64"/>
      <c r="N70" s="64"/>
      <c r="O70" s="64"/>
    </row>
    <row r="71" spans="10:15">
      <c r="J71" s="250"/>
      <c r="K71" s="66" t="s">
        <v>408</v>
      </c>
      <c r="L71" s="64"/>
      <c r="M71" s="64"/>
      <c r="N71" s="64"/>
      <c r="O71" s="64"/>
    </row>
    <row r="72" spans="10:15">
      <c r="J72" s="250"/>
      <c r="K72" s="66" t="s">
        <v>409</v>
      </c>
      <c r="L72" s="64"/>
      <c r="M72" s="64"/>
      <c r="N72" s="64"/>
      <c r="O72" s="64"/>
    </row>
    <row r="73" spans="10:15">
      <c r="J73" s="250"/>
      <c r="K73" s="66" t="s">
        <v>410</v>
      </c>
      <c r="L73" s="64"/>
      <c r="M73" s="64"/>
      <c r="N73" s="64"/>
      <c r="O73" s="64"/>
    </row>
    <row r="74" spans="10:15">
      <c r="J74" s="250"/>
      <c r="K74" s="66" t="s">
        <v>412</v>
      </c>
      <c r="L74" s="64"/>
      <c r="M74" s="64"/>
      <c r="N74" s="64"/>
      <c r="O74" s="64"/>
    </row>
    <row r="75" spans="10:15">
      <c r="J75" s="250"/>
      <c r="K75" s="66" t="s">
        <v>413</v>
      </c>
      <c r="L75" s="64"/>
      <c r="M75" s="64"/>
      <c r="N75" s="64"/>
      <c r="O75" s="64"/>
    </row>
    <row r="76" spans="10:15">
      <c r="J76" s="250"/>
      <c r="K76" s="66" t="s">
        <v>414</v>
      </c>
      <c r="L76" s="64"/>
      <c r="M76" s="64"/>
      <c r="N76" s="64"/>
      <c r="O76" s="64"/>
    </row>
    <row r="77" spans="10:15">
      <c r="J77" s="250"/>
      <c r="K77" s="66" t="s">
        <v>415</v>
      </c>
      <c r="L77" s="64"/>
      <c r="M77" s="64"/>
      <c r="N77" s="64"/>
      <c r="O77" s="64"/>
    </row>
    <row r="78" spans="10:15">
      <c r="J78" s="250"/>
      <c r="K78" s="66" t="s">
        <v>416</v>
      </c>
      <c r="L78" s="64"/>
      <c r="M78" s="64"/>
      <c r="N78" s="64"/>
      <c r="O78" s="64"/>
    </row>
    <row r="79" spans="10:15">
      <c r="J79" s="250"/>
      <c r="K79" s="62" t="s">
        <v>417</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SyracuseOfficeCustomData>{"createMode":"plain_doc","forceRefresh":"0"}</SyracuseOfficeCustomData>
</file>

<file path=customXml/item5.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B025EA5A-2324-4D68-9745-F2A2239B9F0D}"/>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6CEA28EB-0720-49FC-B5E1-4DACC31290DD}"/>
</file>

<file path=customXml/itemProps5.xml><?xml version="1.0" encoding="utf-8"?>
<ds:datastoreItem xmlns:ds="http://schemas.openxmlformats.org/officeDocument/2006/customXml" ds:itemID="{F04D8D5E-CF83-491B-B1E4-EB0744300B7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2023-02-28T09:06:04Z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