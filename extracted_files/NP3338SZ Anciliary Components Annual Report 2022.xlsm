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embeddings/oleObject1.bin" ContentType="application/vnd.openxmlformats-officedocument.oleObject"/>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charts/chart2.xml" ContentType="application/vnd.openxmlformats-officedocument.drawingml.chart+xml"/>
  <Override PartName="/xl/drawings/drawing5.xml" ContentType="application/vnd.openxmlformats-officedocument.drawing+xml"/>
  <Override PartName="/xl/charts/chart3.xml" ContentType="application/vnd.openxmlformats-officedocument.drawingml.chart+xml"/>
  <Override PartName="/xl/drawings/drawing6.xml" ContentType="application/vnd.openxmlformats-officedocument.drawing+xml"/>
  <Override PartName="/xl/charts/chart4.xml" ContentType="application/vnd.openxmlformats-officedocument.drawingml.chart+xml"/>
  <Override PartName="/xl/drawings/drawing7.xml" ContentType="application/vnd.openxmlformats-officedocument.drawing+xml"/>
  <Override PartName="/xl/charts/chart5.xml" ContentType="application/vnd.openxmlformats-officedocument.drawingml.chart+xml"/>
  <Override PartName="/xl/drawings/drawing8.xml" ContentType="application/vnd.openxmlformats-officedocument.drawing+xml"/>
  <Override PartName="/xl/charts/chart6.xml" ContentType="application/vnd.openxmlformats-officedocument.drawingml.chart+xml"/>
  <Override PartName="/xl/drawings/drawing9.xml" ContentType="application/vnd.openxmlformats-officedocument.drawing+xml"/>
  <Override PartName="/xl/charts/chart7.xml" ContentType="application/vnd.openxmlformats-officedocument.drawingml.chart+xml"/>
  <Override PartName="/xl/drawings/drawing10.xml" ContentType="application/vnd.openxmlformats-officedocument.drawing+xml"/>
  <Override PartName="/xl/charts/chart8.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defra.sharepoint.com/sites/Community2454/Data/Annual Reports/2022/Lincs &amp; Northants/"/>
    </mc:Choice>
  </mc:AlternateContent>
  <xr:revisionPtr revIDLastSave="0" documentId="13_ncr:1_{B3FD770F-A5F6-46A8-A27F-6FB5EAE55FA2}" xr6:coauthVersionLast="47" xr6:coauthVersionMax="47" xr10:uidLastSave="{00000000-0000-0000-0000-000000000000}"/>
  <bookViews>
    <workbookView xWindow="-108" yWindow="-108" windowWidth="23256" windowHeight="12576" xr2:uid="{EE2D8CE5-FD2F-4A7B-BE8C-E1048EF63C9C}"/>
  </bookViews>
  <sheets>
    <sheet name="Cover Page" sheetId="2" r:id="rId1"/>
    <sheet name="Contents" sheetId="3" r:id="rId2"/>
    <sheet name="Facility Info" sheetId="4" r:id="rId3"/>
    <sheet name="Operational Data" sheetId="6" r:id="rId4"/>
    <sheet name="Operational Summary" sheetId="5" r:id="rId5"/>
    <sheet name="Perf. Form 1" sheetId="7" r:id="rId6"/>
    <sheet name="Energy Form 1" sheetId="8" r:id="rId7"/>
    <sheet name="Permit Compliance" sheetId="9" r:id="rId8"/>
    <sheet name="Improvements" sheetId="10" r:id="rId9"/>
    <sheet name="Public Liasion" sheetId="11" r:id="rId10"/>
    <sheet name="CO2 N2O" sheetId="32" r:id="rId11"/>
    <sheet name="Residue Quality " sheetId="21" r:id="rId12"/>
    <sheet name="Water" sheetId="22" r:id="rId13"/>
    <sheet name="Air (periodic)" sheetId="23" r:id="rId14"/>
    <sheet name="Air (CEMS)" sheetId="24" r:id="rId15"/>
    <sheet name="HCl" sheetId="13" r:id="rId16"/>
    <sheet name="SO2" sheetId="25" r:id="rId17"/>
    <sheet name="NOx" sheetId="26" r:id="rId18"/>
    <sheet name="TOC" sheetId="27" r:id="rId19"/>
    <sheet name="Particulates" sheetId="28" r:id="rId20"/>
    <sheet name="CO 0.5hourly" sheetId="29" r:id="rId21"/>
    <sheet name="CO 95% 10 min" sheetId="30" r:id="rId22"/>
    <sheet name="NH3" sheetId="31" r:id="rId23"/>
  </sheets>
  <definedNames>
    <definedName name="_xlnm.Print_Area" localSheetId="14">'Air (CEMS)'!$A$1:$M$30</definedName>
    <definedName name="_xlnm.Print_Area" localSheetId="13">'Air (periodic)'!$A$1:$J$41</definedName>
    <definedName name="_xlnm.Print_Area" localSheetId="20">'CO 0.5hourly'!$A$1:$G$52</definedName>
    <definedName name="_xlnm.Print_Area" localSheetId="21">'CO 95% 10 min'!$A$1:$H$52</definedName>
    <definedName name="_xlnm.Print_Area" localSheetId="10">'CO2 N2O'!$A$1:$C$24</definedName>
    <definedName name="_xlnm.Print_Area" localSheetId="1">Contents!$A$1:$J$48</definedName>
    <definedName name="_xlnm.Print_Area" localSheetId="0">'Cover Page'!$A$1:$J$55</definedName>
    <definedName name="_xlnm.Print_Area" localSheetId="6">'Energy Form 1'!$A$1:$I$29</definedName>
    <definedName name="_xlnm.Print_Area" localSheetId="2">'Facility Info'!$A$1:$I$54</definedName>
    <definedName name="_xlnm.Print_Area" localSheetId="15">HCl!$A$1:$G$52</definedName>
    <definedName name="_xlnm.Print_Area" localSheetId="8">Improvements!$A$1:$I$48</definedName>
    <definedName name="_xlnm.Print_Area" localSheetId="22">'NH3'!$A$1:$G$52</definedName>
    <definedName name="_xlnm.Print_Area" localSheetId="17">NOx!$A$1:$G$52</definedName>
    <definedName name="_xlnm.Print_Area" localSheetId="3">'Operational Data'!$A$1:$H$65</definedName>
    <definedName name="_xlnm.Print_Area" localSheetId="4">'Operational Summary'!$A$1:$I$52</definedName>
    <definedName name="_xlnm.Print_Area" localSheetId="19">Particulates!$A$1:$G$52</definedName>
    <definedName name="_xlnm.Print_Area" localSheetId="5">'Perf. Form 1'!$A$1:$J$55</definedName>
    <definedName name="_xlnm.Print_Area" localSheetId="7">'Permit Compliance'!$A$1:$J$35</definedName>
    <definedName name="_xlnm.Print_Area" localSheetId="9">'Public Liasion'!$A$1:$I$29</definedName>
    <definedName name="_xlnm.Print_Area" localSheetId="11">'Residue Quality '!$A$1:$G$41</definedName>
    <definedName name="_xlnm.Print_Area" localSheetId="16">'SO2'!$A$1:$G$52</definedName>
    <definedName name="_xlnm.Print_Area" localSheetId="18">TOC!$A$1:$G$52</definedName>
    <definedName name="_xlnm.Print_Area" localSheetId="12">Water!$A$1:$I$30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24" l="1"/>
  <c r="A1" i="22"/>
  <c r="H58" i="6" l="1"/>
  <c r="G58" i="6"/>
  <c r="H54" i="6"/>
  <c r="H53" i="6"/>
  <c r="G16" i="6"/>
  <c r="G17" i="6"/>
  <c r="C1" i="32"/>
  <c r="A1" i="32"/>
  <c r="I19" i="7" l="1"/>
  <c r="I20" i="7"/>
  <c r="I21" i="7"/>
  <c r="I22" i="7"/>
  <c r="I18" i="7"/>
  <c r="I12" i="7"/>
  <c r="I13" i="7"/>
  <c r="I14" i="7"/>
  <c r="I11" i="7"/>
  <c r="C18" i="6" l="1"/>
  <c r="C21" i="6" s="1"/>
  <c r="H61" i="6" l="1"/>
  <c r="G13" i="6" l="1"/>
  <c r="H13" i="6" s="1"/>
  <c r="G45" i="6"/>
  <c r="H45" i="6" s="1"/>
  <c r="J3" i="31" l="1"/>
  <c r="J3" i="30"/>
  <c r="J3" i="29"/>
  <c r="J3" i="28"/>
  <c r="J3" i="27"/>
  <c r="J3" i="26"/>
  <c r="J3" i="25"/>
  <c r="J3" i="13"/>
  <c r="G19" i="6" l="1"/>
  <c r="G57" i="6" l="1"/>
  <c r="G59" i="6" l="1"/>
  <c r="G65" i="6"/>
  <c r="G64" i="6"/>
  <c r="H64" i="6" s="1"/>
  <c r="G63" i="6"/>
  <c r="G61" i="6"/>
  <c r="G53" i="6"/>
  <c r="G54" i="6"/>
  <c r="G55" i="6"/>
  <c r="G56" i="6"/>
  <c r="G60" i="6"/>
  <c r="D18" i="6" l="1"/>
  <c r="D21" i="6" s="1"/>
  <c r="E18" i="6"/>
  <c r="E21" i="6" s="1"/>
  <c r="F18" i="6"/>
  <c r="F21" i="6" s="1"/>
  <c r="G21" i="6" l="1"/>
  <c r="E1" i="31"/>
  <c r="A1" i="31"/>
  <c r="E1" i="30"/>
  <c r="A1" i="30"/>
  <c r="E1" i="29"/>
  <c r="A1" i="29"/>
  <c r="E1" i="28"/>
  <c r="A1" i="28"/>
  <c r="E1" i="27"/>
  <c r="A1" i="27"/>
  <c r="E1" i="26"/>
  <c r="A1" i="26"/>
  <c r="E1" i="25"/>
  <c r="A1" i="25"/>
  <c r="E1" i="13"/>
  <c r="A1" i="13"/>
  <c r="I1" i="24"/>
  <c r="E1" i="23"/>
  <c r="A1" i="23"/>
  <c r="E1" i="22"/>
  <c r="E1" i="21"/>
  <c r="A1" i="21"/>
  <c r="E1" i="11"/>
  <c r="A1" i="11"/>
  <c r="E1" i="10"/>
  <c r="A1" i="10"/>
  <c r="E1" i="9"/>
  <c r="A1" i="9"/>
  <c r="E1" i="6"/>
  <c r="A1" i="6"/>
  <c r="E1" i="5"/>
  <c r="A1" i="5"/>
  <c r="E1" i="4"/>
  <c r="A1" i="4"/>
  <c r="E1" i="3"/>
  <c r="A1" i="3"/>
  <c r="O79" i="31"/>
  <c r="N79" i="31"/>
  <c r="M79" i="31"/>
  <c r="L79" i="31"/>
  <c r="O64" i="31"/>
  <c r="N64" i="31"/>
  <c r="M64" i="31"/>
  <c r="L64" i="31"/>
  <c r="O49" i="31"/>
  <c r="N49" i="31"/>
  <c r="M49" i="31"/>
  <c r="L49" i="31"/>
  <c r="O34" i="31"/>
  <c r="N34" i="31"/>
  <c r="M34" i="31"/>
  <c r="L34" i="31"/>
  <c r="O19" i="31"/>
  <c r="N19" i="31"/>
  <c r="M19" i="31"/>
  <c r="L19" i="31"/>
  <c r="E8" i="31"/>
  <c r="E9" i="31" s="1"/>
  <c r="E10" i="31" s="1"/>
  <c r="E11" i="31" s="1"/>
  <c r="E12" i="31" s="1"/>
  <c r="E13" i="31" s="1"/>
  <c r="E14" i="31" s="1"/>
  <c r="E15" i="31" s="1"/>
  <c r="E16" i="31" s="1"/>
  <c r="E17" i="31" s="1"/>
  <c r="E18" i="31" s="1"/>
  <c r="B8" i="31"/>
  <c r="B9" i="31" s="1"/>
  <c r="B10" i="31" s="1"/>
  <c r="B11" i="31" s="1"/>
  <c r="B12" i="31" s="1"/>
  <c r="B13" i="31" s="1"/>
  <c r="B14" i="31" s="1"/>
  <c r="B15" i="31" s="1"/>
  <c r="B16" i="31" s="1"/>
  <c r="B17" i="31" s="1"/>
  <c r="B18" i="31" s="1"/>
  <c r="A6" i="31"/>
  <c r="J51" i="31" s="1"/>
  <c r="Q79" i="30"/>
  <c r="P79" i="30"/>
  <c r="O79" i="30"/>
  <c r="M79" i="30"/>
  <c r="Q64" i="30"/>
  <c r="P64" i="30"/>
  <c r="O64" i="30"/>
  <c r="M64" i="30"/>
  <c r="Q49" i="30"/>
  <c r="P49" i="30"/>
  <c r="O49" i="30"/>
  <c r="M49" i="30"/>
  <c r="Q34" i="30"/>
  <c r="P34" i="30"/>
  <c r="O34" i="30"/>
  <c r="M34" i="30"/>
  <c r="Q19" i="30"/>
  <c r="P19" i="30"/>
  <c r="O19" i="30"/>
  <c r="M19" i="30"/>
  <c r="F8" i="30"/>
  <c r="F9" i="30" s="1"/>
  <c r="F10" i="30" s="1"/>
  <c r="F11" i="30" s="1"/>
  <c r="F12" i="30" s="1"/>
  <c r="F13" i="30" s="1"/>
  <c r="F14" i="30" s="1"/>
  <c r="F15" i="30" s="1"/>
  <c r="F16" i="30" s="1"/>
  <c r="F17" i="30" s="1"/>
  <c r="F18" i="30" s="1"/>
  <c r="B8" i="30"/>
  <c r="B9" i="30" s="1"/>
  <c r="B10" i="30" s="1"/>
  <c r="B11" i="30" s="1"/>
  <c r="B12" i="30" s="1"/>
  <c r="B13" i="30" s="1"/>
  <c r="B14" i="30" s="1"/>
  <c r="B15" i="30" s="1"/>
  <c r="B16" i="30" s="1"/>
  <c r="B17" i="30" s="1"/>
  <c r="B18" i="30" s="1"/>
  <c r="A6" i="30"/>
  <c r="K66" i="30" s="1"/>
  <c r="E8" i="29"/>
  <c r="E9" i="29" s="1"/>
  <c r="E10" i="29" s="1"/>
  <c r="E11" i="29" s="1"/>
  <c r="E12" i="29" s="1"/>
  <c r="E13" i="29" s="1"/>
  <c r="E14" i="29" s="1"/>
  <c r="E15" i="29" s="1"/>
  <c r="E16" i="29" s="1"/>
  <c r="E17" i="29" s="1"/>
  <c r="E18" i="29" s="1"/>
  <c r="B8" i="29"/>
  <c r="B9" i="29" s="1"/>
  <c r="B10" i="29" s="1"/>
  <c r="B11" i="29" s="1"/>
  <c r="B12" i="29" s="1"/>
  <c r="B13" i="29" s="1"/>
  <c r="B14" i="29" s="1"/>
  <c r="B15" i="29" s="1"/>
  <c r="B16" i="29" s="1"/>
  <c r="B17" i="29" s="1"/>
  <c r="B18" i="29" s="1"/>
  <c r="O79" i="29"/>
  <c r="N79" i="29"/>
  <c r="M79" i="29"/>
  <c r="L79" i="29"/>
  <c r="O64" i="29"/>
  <c r="N64" i="29"/>
  <c r="M64" i="29"/>
  <c r="L64" i="29"/>
  <c r="O49" i="29"/>
  <c r="N49" i="29"/>
  <c r="M49" i="29"/>
  <c r="L49" i="29"/>
  <c r="O34" i="29"/>
  <c r="N34" i="29"/>
  <c r="M34" i="29"/>
  <c r="L34" i="29"/>
  <c r="O19" i="29"/>
  <c r="N19" i="29"/>
  <c r="M19" i="29"/>
  <c r="L19" i="29"/>
  <c r="A6" i="29"/>
  <c r="J66" i="29" s="1"/>
  <c r="O79" i="28"/>
  <c r="N79" i="28"/>
  <c r="M79" i="28"/>
  <c r="L79" i="28"/>
  <c r="O64" i="28"/>
  <c r="N64" i="28"/>
  <c r="M64" i="28"/>
  <c r="L64" i="28"/>
  <c r="O49" i="28"/>
  <c r="N49" i="28"/>
  <c r="M49" i="28"/>
  <c r="L49" i="28"/>
  <c r="O34" i="28"/>
  <c r="N34" i="28"/>
  <c r="M34" i="28"/>
  <c r="L34" i="28"/>
  <c r="O19" i="28"/>
  <c r="N19" i="28"/>
  <c r="M19" i="28"/>
  <c r="L19" i="28"/>
  <c r="A6" i="28"/>
  <c r="J66" i="28" s="1"/>
  <c r="O79" i="27"/>
  <c r="N79" i="27"/>
  <c r="M79" i="27"/>
  <c r="L79" i="27"/>
  <c r="O64" i="27"/>
  <c r="N64" i="27"/>
  <c r="M64" i="27"/>
  <c r="L64" i="27"/>
  <c r="O49" i="27"/>
  <c r="N49" i="27"/>
  <c r="M49" i="27"/>
  <c r="L49" i="27"/>
  <c r="O34" i="27"/>
  <c r="N34" i="27"/>
  <c r="M34" i="27"/>
  <c r="L34" i="27"/>
  <c r="O19" i="27"/>
  <c r="N19" i="27"/>
  <c r="M19" i="27"/>
  <c r="L19" i="27"/>
  <c r="A6" i="27"/>
  <c r="J66" i="27" s="1"/>
  <c r="O79" i="26"/>
  <c r="N79" i="26"/>
  <c r="M79" i="26"/>
  <c r="L79" i="26"/>
  <c r="O64" i="26"/>
  <c r="N64" i="26"/>
  <c r="M64" i="26"/>
  <c r="L64" i="26"/>
  <c r="O49" i="26"/>
  <c r="N49" i="26"/>
  <c r="M49" i="26"/>
  <c r="L49" i="26"/>
  <c r="O34" i="26"/>
  <c r="N34" i="26"/>
  <c r="M34" i="26"/>
  <c r="L34" i="26"/>
  <c r="O19" i="26"/>
  <c r="N19" i="26"/>
  <c r="M19" i="26"/>
  <c r="L19" i="26"/>
  <c r="A6" i="26"/>
  <c r="J66" i="26" s="1"/>
  <c r="O79" i="25"/>
  <c r="N79" i="25"/>
  <c r="M79" i="25"/>
  <c r="L79" i="25"/>
  <c r="O64" i="25"/>
  <c r="N64" i="25"/>
  <c r="M64" i="25"/>
  <c r="L64" i="25"/>
  <c r="O49" i="25"/>
  <c r="N49" i="25"/>
  <c r="M49" i="25"/>
  <c r="L49" i="25"/>
  <c r="O34" i="25"/>
  <c r="N34" i="25"/>
  <c r="M34" i="25"/>
  <c r="L34" i="25"/>
  <c r="O19" i="25"/>
  <c r="N19" i="25"/>
  <c r="M19" i="25"/>
  <c r="L19" i="25"/>
  <c r="A6" i="25"/>
  <c r="J66" i="25" s="1"/>
  <c r="O79" i="13"/>
  <c r="N79" i="13"/>
  <c r="M79" i="13"/>
  <c r="L79" i="13"/>
  <c r="O64" i="13"/>
  <c r="N64" i="13"/>
  <c r="M64" i="13"/>
  <c r="L64" i="13"/>
  <c r="O49" i="13"/>
  <c r="N49" i="13"/>
  <c r="M49" i="13"/>
  <c r="L49" i="13"/>
  <c r="O34" i="13"/>
  <c r="N34" i="13"/>
  <c r="M34" i="13"/>
  <c r="L34" i="13"/>
  <c r="O19" i="13"/>
  <c r="N19" i="13"/>
  <c r="M19" i="13"/>
  <c r="L19" i="13"/>
  <c r="A6" i="13"/>
  <c r="J66" i="13" s="1"/>
  <c r="J36" i="27" l="1"/>
  <c r="J66" i="31"/>
  <c r="J21" i="29"/>
  <c r="J21" i="28"/>
  <c r="J21" i="27"/>
  <c r="J21" i="26"/>
  <c r="J21" i="25"/>
  <c r="J36" i="13"/>
  <c r="J51" i="13"/>
  <c r="J21" i="13"/>
  <c r="J6" i="13"/>
  <c r="J21" i="31"/>
  <c r="J6" i="31"/>
  <c r="J36" i="31"/>
  <c r="K6" i="30"/>
  <c r="K36" i="30"/>
  <c r="K51" i="30"/>
  <c r="K21" i="30"/>
  <c r="J36" i="29"/>
  <c r="J51" i="29"/>
  <c r="J6" i="29"/>
  <c r="J36" i="28"/>
  <c r="J51" i="28"/>
  <c r="J6" i="28"/>
  <c r="J51" i="27"/>
  <c r="J6" i="27"/>
  <c r="J51" i="26"/>
  <c r="J36" i="26"/>
  <c r="J6" i="26"/>
  <c r="J36" i="25"/>
  <c r="J51" i="25"/>
  <c r="J6" i="25"/>
  <c r="D28" i="6"/>
  <c r="E28" i="6"/>
  <c r="F28" i="6"/>
  <c r="C28" i="6"/>
  <c r="G7" i="8"/>
  <c r="D7" i="8"/>
  <c r="B5" i="8"/>
  <c r="G3" i="8"/>
  <c r="A3" i="8"/>
  <c r="A1" i="8"/>
  <c r="G23" i="7"/>
  <c r="E23" i="7"/>
  <c r="G15" i="7"/>
  <c r="E15" i="7"/>
  <c r="I15" i="7" s="1"/>
  <c r="B4" i="7"/>
  <c r="G3" i="7"/>
  <c r="A3" i="7"/>
  <c r="A1" i="7"/>
  <c r="A8" i="7" s="1"/>
  <c r="H65" i="6"/>
  <c r="H63" i="6"/>
  <c r="G50" i="6"/>
  <c r="G49" i="6"/>
  <c r="G48" i="6"/>
  <c r="H48" i="6" s="1"/>
  <c r="G47" i="6"/>
  <c r="H47" i="6" s="1"/>
  <c r="G46" i="6"/>
  <c r="H46" i="6" s="1"/>
  <c r="G44" i="6"/>
  <c r="H44" i="6" s="1"/>
  <c r="G43" i="6"/>
  <c r="H43" i="6" s="1"/>
  <c r="G42" i="6"/>
  <c r="H42" i="6" s="1"/>
  <c r="G39" i="6"/>
  <c r="H39" i="6" s="1"/>
  <c r="G38" i="6"/>
  <c r="H38" i="6" s="1"/>
  <c r="G37" i="6"/>
  <c r="H37" i="6" s="1"/>
  <c r="G36" i="6"/>
  <c r="H36" i="6" s="1"/>
  <c r="G35" i="6"/>
  <c r="H35" i="6" s="1"/>
  <c r="G34" i="6"/>
  <c r="H34" i="6" s="1"/>
  <c r="G30" i="6"/>
  <c r="G29" i="6"/>
  <c r="H29" i="6" s="1"/>
  <c r="G27" i="6"/>
  <c r="G26" i="6"/>
  <c r="H26" i="6" s="1"/>
  <c r="G25" i="6"/>
  <c r="G24" i="6"/>
  <c r="H24" i="6" s="1"/>
  <c r="G20" i="6"/>
  <c r="H20" i="6" s="1"/>
  <c r="G15" i="6"/>
  <c r="G14" i="6"/>
  <c r="G12" i="6"/>
  <c r="G11" i="6"/>
  <c r="G10" i="6"/>
  <c r="G9" i="6"/>
  <c r="G8" i="6"/>
  <c r="D11" i="8" l="1"/>
  <c r="H27" i="6"/>
  <c r="D14" i="8"/>
  <c r="H30" i="6"/>
  <c r="I23" i="7"/>
  <c r="D12" i="8"/>
  <c r="H25" i="6"/>
  <c r="E33" i="7"/>
  <c r="H33" i="7" s="1"/>
  <c r="E35" i="7"/>
  <c r="H35" i="7" s="1"/>
  <c r="H37" i="7"/>
  <c r="E36" i="7"/>
  <c r="H36" i="7" s="1"/>
  <c r="G24" i="7"/>
  <c r="G18" i="6"/>
  <c r="G28" i="6"/>
  <c r="E24" i="7"/>
  <c r="E34" i="7"/>
  <c r="H34" i="7" s="1"/>
  <c r="D10" i="8"/>
  <c r="G10" i="8"/>
  <c r="A31" i="7"/>
  <c r="A43" i="7" s="1"/>
  <c r="I24" i="7" l="1"/>
  <c r="H21" i="6"/>
  <c r="H16" i="6"/>
  <c r="H17" i="6"/>
  <c r="H15" i="6"/>
  <c r="H12" i="6"/>
  <c r="H8" i="6"/>
  <c r="H19" i="6"/>
  <c r="H10" i="6"/>
  <c r="G11" i="8"/>
  <c r="G12" i="8"/>
  <c r="H14" i="6"/>
  <c r="G14" i="8"/>
  <c r="H11" i="6"/>
  <c r="H9" i="6"/>
</calcChain>
</file>

<file path=xl/sharedStrings.xml><?xml version="1.0" encoding="utf-8"?>
<sst xmlns="http://schemas.openxmlformats.org/spreadsheetml/2006/main" count="1580" uniqueCount="441">
  <si>
    <t>Add company logo</t>
  </si>
  <si>
    <t>Version 22.3  30/11/22</t>
  </si>
  <si>
    <t>Add photo</t>
  </si>
  <si>
    <t>Notes:</t>
  </si>
  <si>
    <t>This template may require adjustments by individual operators to meet specific reporting requirements as defined in the site Permit(s)</t>
  </si>
  <si>
    <t>Annual Performance Report 2022</t>
  </si>
  <si>
    <t>Permit EPR/NP3338SZ</t>
  </si>
  <si>
    <t>GLPP</t>
  </si>
  <si>
    <t>Goosey Lodge Power Plant</t>
  </si>
  <si>
    <t>Ancillary Componenets Limited</t>
  </si>
  <si>
    <t>Year:</t>
  </si>
  <si>
    <t>Address:</t>
  </si>
  <si>
    <t>Goosey Lodge Industrial Estate, Northants, NN10 9EH</t>
  </si>
  <si>
    <t xml:space="preserve">Tel: </t>
  </si>
  <si>
    <t xml:space="preserve">Email: </t>
  </si>
  <si>
    <t>enquiries@ancillarycomponents.co.uk</t>
  </si>
  <si>
    <t>Prepared by:</t>
  </si>
  <si>
    <t>Robert Taylor</t>
  </si>
  <si>
    <t>Position:</t>
  </si>
  <si>
    <t>Engineering Manager</t>
  </si>
  <si>
    <t>Approved by:</t>
  </si>
  <si>
    <t>William Wykes</t>
  </si>
  <si>
    <t>Director</t>
  </si>
  <si>
    <t>Version:</t>
  </si>
  <si>
    <t>Issue Date:</t>
  </si>
  <si>
    <t>Contents</t>
  </si>
  <si>
    <t>Section</t>
  </si>
  <si>
    <t>Subject</t>
  </si>
  <si>
    <t xml:space="preserve">Page </t>
  </si>
  <si>
    <t>Section references and Page nos. to be inserted</t>
  </si>
  <si>
    <t>Facility Information</t>
  </si>
  <si>
    <t>Sections and Subjects may require adjustment by individual operators to meet specific reporting requirements as defined in the sites Permit(s)</t>
  </si>
  <si>
    <t>Operational Data</t>
  </si>
  <si>
    <t>Operational Summary</t>
  </si>
  <si>
    <t>Performance Form 1</t>
  </si>
  <si>
    <t>Energy Form 1</t>
  </si>
  <si>
    <t>Permit Compliance</t>
  </si>
  <si>
    <t>Improvements</t>
  </si>
  <si>
    <t>Public Liasion</t>
  </si>
  <si>
    <t>Carbon dioxide and nitrous oxide emissions</t>
  </si>
  <si>
    <t xml:space="preserve">Residue Quality </t>
  </si>
  <si>
    <t>Emissions to Water</t>
  </si>
  <si>
    <t>Emissions to Air (periodically monitored)</t>
  </si>
  <si>
    <t>Emissions to Air (continuously monitored)</t>
  </si>
  <si>
    <t>Hydrogen Chloride emissions</t>
  </si>
  <si>
    <t>Sulphur Dioxdie emsissions</t>
  </si>
  <si>
    <t>Oxides of Notrigen emissions</t>
  </si>
  <si>
    <t>Total Organic Carbon emissions</t>
  </si>
  <si>
    <t>Particulate Matter emissions</t>
  </si>
  <si>
    <t>Carbon Monoxide emissions</t>
  </si>
  <si>
    <t>Version Control</t>
  </si>
  <si>
    <t>Information</t>
  </si>
  <si>
    <t>Date</t>
  </si>
  <si>
    <t>Distribution</t>
  </si>
  <si>
    <t>Copy</t>
  </si>
  <si>
    <t>Name, Role</t>
  </si>
  <si>
    <t>No.</t>
  </si>
  <si>
    <t xml:space="preserve">This report is required under the Industrial Emissions Directive’s Article 55(2) requirements on reporting and public information on waste incineration plants and co-incineration plants, which require the operator to produce an annual report on the functioning and monitoring of the plant and make it available to the public. </t>
  </si>
  <si>
    <t>Plant Description and Design</t>
  </si>
  <si>
    <t>The Goosey Lodge Power Plant consists of two fluidized bed (FBC) combustion lines. The power plant is accredited under the Renewables Obligation (RO) scheme and only combusts materials of either animal/vegetable origin. These materials consist of Meat + Bone meal, Animal by Product sludges and Digestate. The plant is also capable of combusting waste wood however no waste wood was combusted in 2022.
Following combustion the flue gas passes through a heat recovery boiler where superheated steam is produced, this steam is sent to one of two 14MW steam turbines where renewable electricity is generated; this power is used on site in neighboring businesses and the remaining exported to the national grid. The flue gas then undergoes treatment via sodium bicarb infection and bag filters. The plant(s) are fully WID compliant.
The FBC combustion type allows for wet materials to be mixed with the dry fuels before combustion; this results in some of the heat input being used to evaporate the wet materials. The disposal of these types of Animal by Products by means of combustion is considered best practice by APHA.The condensation of the two FBC steams has a capacity of 150 ktpa of fuel with a thermal capacity of 48MW</t>
  </si>
  <si>
    <t xml:space="preserve">Include summary of plant design, design capacity, no. of combustion lines, electrical and heat capacity and any other general information that descibes the facility, its location and purpose </t>
  </si>
  <si>
    <t>Summary of Operational Processes and Procedures</t>
  </si>
  <si>
    <t>Fuel preparation is key to the continued success of operating a FBC. Meat and Bone Meal (MBM) is ground to less than 2mm in particle size before being mixed with wet waste streams before combustion. The bone fraction of the MBM makes up and replenished the bed material negating the need for sand.
Plant is managed by a dedicated, experienced team consisting of Plant Management, 24 hours/365 days operators and maintenance staff alongside an operations team responsible for material preparation.
Robust systems are in place alongside advanced control system for the operation of the process.
The process is highly automated with automatic fuel mix adjustment according to combustion parameters, fuel preparation is also automated ensuring homogeneous consistent fuel is supplied to the combustors. This philosophy continues through the process to include boiler controls, emissions abatement and dust collection using bag filters. 
CEMS are employed on both streams in a duty/standby function to continuously monitor emissions to Air. This is integrated into the combustion control systems.
The installation as a whole operates an Integrated Management System (IMS) which is assured to ISO14001, ISO9001 and ISO4501.
The resultant ashes from both streams consist of predominantly the bone within the MBM fuel.By nature these ashes are high in phosphate, these ashes meet the End of Waste Protocol for MBM ash and are sold as a fertiliser replacing the use of mineral phosphate rock.</t>
  </si>
  <si>
    <t>Include summary of key processes and procedures such as (but not limited to); waste reception, control rooms, grate, bed and bolier, energy &amp; heat  generation, cooling systems, residue management, emission controls, health and safety systems, maintenance</t>
  </si>
  <si>
    <t>Plant Size</t>
  </si>
  <si>
    <t>tonnes pa</t>
  </si>
  <si>
    <t>MWth</t>
  </si>
  <si>
    <t>MWe</t>
  </si>
  <si>
    <t xml:space="preserve">* - RDF to include SRF </t>
  </si>
  <si>
    <t>No. of combustion lines</t>
  </si>
  <si>
    <t>No. of Turbines:</t>
  </si>
  <si>
    <t>** - CHP plants only</t>
  </si>
  <si>
    <t>2020 updates include;  heat in MWh, water in Litres, NCV in MJ/kg</t>
  </si>
  <si>
    <t>Waste types received</t>
  </si>
  <si>
    <t>Unit</t>
  </si>
  <si>
    <t>Q1</t>
  </si>
  <si>
    <t>Q2</t>
  </si>
  <si>
    <t>Q3</t>
  </si>
  <si>
    <t>Q4</t>
  </si>
  <si>
    <t>Year Total</t>
  </si>
  <si>
    <t>%</t>
  </si>
  <si>
    <t>Household / Local Authority</t>
  </si>
  <si>
    <t>tonnes</t>
  </si>
  <si>
    <r>
      <rPr>
        <b/>
        <sz val="9"/>
        <color theme="1"/>
        <rFont val="Arial"/>
        <family val="2"/>
      </rPr>
      <t>Availabiity Definition</t>
    </r>
    <r>
      <rPr>
        <sz val="9"/>
        <rFont val="Arial"/>
        <family val="2"/>
      </rPr>
      <t xml:space="preserve">: </t>
    </r>
    <r>
      <rPr>
        <sz val="9"/>
        <color rgb="FF000000"/>
        <rFont val="Arial"/>
        <family val="2"/>
      </rPr>
      <t>'the availability of a line is to be calculated by the number of hours the line reported Continuously Monitored emission levels to the Regulator through the calendar year divided by the total number of hours in that year. 
The overall plant availability is calculated as the Mean of all lines in the plant. For clarity this includes periods of Other Than Normal Operating Conditions (OTNOC) and abnormal operation.'  
Rationale: The primary function of an Energy from Waste facility is the disposal of waste. It follows therefore that the availability of a plant is determined by the period of time a facility spends undertaking this activity.</t>
    </r>
  </si>
  <si>
    <t xml:space="preserve">Commercial &amp; Industrial </t>
  </si>
  <si>
    <t xml:space="preserve">Hazardous </t>
  </si>
  <si>
    <t>Clinical</t>
  </si>
  <si>
    <t xml:space="preserve">Waste wood (biomass) </t>
  </si>
  <si>
    <t>Refuse Derived Fuel * - H'hold/LA</t>
  </si>
  <si>
    <t>Refuse Derived Fuel *  - C&amp;I</t>
  </si>
  <si>
    <t>MBM Combusted</t>
  </si>
  <si>
    <t>Bio-Liquids combusted</t>
  </si>
  <si>
    <t>Digestate combusted</t>
  </si>
  <si>
    <t>Total waste received</t>
  </si>
  <si>
    <t xml:space="preserve">Rejected Waste </t>
  </si>
  <si>
    <t>Processed waste wood transferred out</t>
  </si>
  <si>
    <t>Total waste combusted</t>
  </si>
  <si>
    <t>Energy Useage / Export</t>
  </si>
  <si>
    <t>KWh/te</t>
  </si>
  <si>
    <t>Power Generated</t>
  </si>
  <si>
    <t>MWh</t>
  </si>
  <si>
    <t>Power Exported</t>
  </si>
  <si>
    <t>Power Used on site</t>
  </si>
  <si>
    <t>Power Imported</t>
  </si>
  <si>
    <t>Parasitic Load</t>
  </si>
  <si>
    <t>Thermal Energy Produced **</t>
  </si>
  <si>
    <t>Thermal Energy Exported **</t>
  </si>
  <si>
    <t>R1 value (if applicable)</t>
  </si>
  <si>
    <t>Waste Disposal &amp; Recovery</t>
  </si>
  <si>
    <t>% inputs</t>
  </si>
  <si>
    <t>APC Residues - produced</t>
  </si>
  <si>
    <t>Total Ash sent for recovery</t>
  </si>
  <si>
    <t>Metals recycling</t>
  </si>
  <si>
    <t>Other</t>
  </si>
  <si>
    <t>Raw Material Usage</t>
  </si>
  <si>
    <t>kg or Ltr /te</t>
  </si>
  <si>
    <t>Mains Water</t>
  </si>
  <si>
    <t>ltrs</t>
  </si>
  <si>
    <t>Other Water</t>
  </si>
  <si>
    <t>Ammonia</t>
  </si>
  <si>
    <t>kgs</t>
  </si>
  <si>
    <t>Urea</t>
  </si>
  <si>
    <t>Activated Carbon</t>
  </si>
  <si>
    <t>Lime / hydrated lime</t>
  </si>
  <si>
    <t>Fuel oil</t>
  </si>
  <si>
    <t>Gas</t>
  </si>
  <si>
    <t>cf</t>
  </si>
  <si>
    <t>Sodium Bicarbonate</t>
  </si>
  <si>
    <t xml:space="preserve">Summary </t>
  </si>
  <si>
    <t>Line/Unit</t>
  </si>
  <si>
    <t xml:space="preserve">Hrs in year </t>
  </si>
  <si>
    <t>Availability of waste combustion by line, hrs</t>
  </si>
  <si>
    <t>x %</t>
  </si>
  <si>
    <t>Overall Availability, mean avg. of all lines, hrs</t>
  </si>
  <si>
    <t>Hours of turbine operations, hrs</t>
  </si>
  <si>
    <t>Hours of heat / steam export</t>
  </si>
  <si>
    <t>Net Calorific Value of waste</t>
  </si>
  <si>
    <t>MJ/kg</t>
  </si>
  <si>
    <t>-</t>
  </si>
  <si>
    <t>Abnormal Events</t>
  </si>
  <si>
    <t>qty.</t>
  </si>
  <si>
    <t>Abnormal operation</t>
  </si>
  <si>
    <t>hours</t>
  </si>
  <si>
    <t>Permit Breaches</t>
  </si>
  <si>
    <t>Summary of Plant Operations and Maintenance during the reporting year</t>
  </si>
  <si>
    <t>The plant operated continuously throughout 2022 with planned maintenance carried out on one stream at a time.
Time lost due to unplanned shutdowns was less than 5%
No major components required upgrading or replacing in 2022</t>
  </si>
  <si>
    <t xml:space="preserve">Include summary of key operational and/or mainteanance activity undertaken in the year, such as any major component upgrades and/or replacements </t>
  </si>
  <si>
    <t>Summary of Residue Handling for the reporting year</t>
  </si>
  <si>
    <t>23,733 tonnes of non hazardous ash were produced of which 1,133 tonnes was sent for recovery and the remaining met the EOW (Ref DOW140204) and was exported from the site as a product.</t>
  </si>
  <si>
    <t xml:space="preserve">Include in here a summary of residue handling regimes and destinations </t>
  </si>
  <si>
    <t xml:space="preserve"> Annual Reporting Performance Form 1</t>
  </si>
  <si>
    <t xml:space="preserve">Operator: </t>
  </si>
  <si>
    <t>Facility:</t>
  </si>
  <si>
    <t>Form:</t>
  </si>
  <si>
    <t>Performance 1</t>
  </si>
  <si>
    <t xml:space="preserve">Reporting  Period from: </t>
  </si>
  <si>
    <t>to:</t>
  </si>
  <si>
    <t>Annual Reporting of Waste Disposal and Recovery</t>
  </si>
  <si>
    <t>Waste Description</t>
  </si>
  <si>
    <t>Disposal Route(s)</t>
  </si>
  <si>
    <t>Disposal Tonnes</t>
  </si>
  <si>
    <t>Recovery Tonnes</t>
  </si>
  <si>
    <t>% / tonne of waste incinerated</t>
  </si>
  <si>
    <t>1) Hazardous Wastes</t>
  </si>
  <si>
    <t>APC Residues</t>
  </si>
  <si>
    <t>IBA</t>
  </si>
  <si>
    <t>Total Hazardous Waste</t>
  </si>
  <si>
    <t>2) Non-Hazardous Wastes</t>
  </si>
  <si>
    <t>Total Ash</t>
  </si>
  <si>
    <t>R5</t>
  </si>
  <si>
    <t>Ferrous Metal</t>
  </si>
  <si>
    <t>Process Water</t>
  </si>
  <si>
    <t>Total Non-Hazardous Waste</t>
  </si>
  <si>
    <t>TOTAL WASTE</t>
  </si>
  <si>
    <t>Operator’s comments :</t>
  </si>
  <si>
    <t>Note - Remaining Ash meets EOW</t>
  </si>
  <si>
    <t>Annual Reporting of Water and Other Raw Material Usage</t>
  </si>
  <si>
    <t>Raw Material</t>
  </si>
  <si>
    <t>Usage</t>
  </si>
  <si>
    <t>Specific Useage</t>
  </si>
  <si>
    <r>
      <t>m</t>
    </r>
    <r>
      <rPr>
        <vertAlign val="superscript"/>
        <sz val="10"/>
        <color theme="1"/>
        <rFont val="Arial"/>
        <family val="2"/>
      </rPr>
      <t>3</t>
    </r>
  </si>
  <si>
    <r>
      <t>m</t>
    </r>
    <r>
      <rPr>
        <vertAlign val="superscript"/>
        <sz val="10"/>
        <color theme="1"/>
        <rFont val="Arial"/>
        <family val="2"/>
      </rPr>
      <t>3</t>
    </r>
    <r>
      <rPr>
        <sz val="10"/>
        <color theme="1"/>
        <rFont val="Arial"/>
        <family val="2"/>
      </rPr>
      <t>/te</t>
    </r>
  </si>
  <si>
    <t>Total Water</t>
  </si>
  <si>
    <t>Urea / Ammonia</t>
  </si>
  <si>
    <t>kg</t>
  </si>
  <si>
    <t>kg/te</t>
  </si>
  <si>
    <t>Lime / hydrated lime / Sodium Bicarb.</t>
  </si>
  <si>
    <t xml:space="preserve">Annual Reporting of other performance indicators </t>
  </si>
  <si>
    <t>Parameter</t>
  </si>
  <si>
    <t>Results by Line</t>
  </si>
  <si>
    <t>A1a</t>
  </si>
  <si>
    <t>A1b</t>
  </si>
  <si>
    <t>Turbine 1</t>
  </si>
  <si>
    <t>Turbine 2</t>
  </si>
  <si>
    <t>Operating hours for the year, hours</t>
  </si>
  <si>
    <t>Number of periods of abnormal operation, qty.</t>
  </si>
  <si>
    <t>Cumulative hours of abnormal operation for this year, hours</t>
  </si>
  <si>
    <t>Note - Currently the Turbines operate on Duty Standby</t>
  </si>
  <si>
    <t xml:space="preserve">Signed: </t>
  </si>
  <si>
    <t>Date:</t>
  </si>
  <si>
    <t xml:space="preserve"> Annual Reporting of Energy Usage/Export</t>
  </si>
  <si>
    <t>Energy 1</t>
  </si>
  <si>
    <t>Energy Source</t>
  </si>
  <si>
    <t>Energy Usage</t>
  </si>
  <si>
    <t>Specific Useage (KWh/tonne incinerated</t>
  </si>
  <si>
    <t>Electricity Produced</t>
  </si>
  <si>
    <t xml:space="preserve">Electricity Imported   </t>
  </si>
  <si>
    <t>Electricity Exported</t>
  </si>
  <si>
    <t>Gas Oil</t>
  </si>
  <si>
    <t>Steam/hot water exported</t>
  </si>
  <si>
    <t>GWh</t>
  </si>
  <si>
    <t>Summary of Permit Compliance</t>
  </si>
  <si>
    <t>Compliance with permit limits for continuously monitored pollutants</t>
  </si>
  <si>
    <t>The plant met its emission limits as shown in the table below:</t>
  </si>
  <si>
    <t>Substance</t>
  </si>
  <si>
    <t>Percentage time compliant during operation</t>
  </si>
  <si>
    <t>Half-hourly limit</t>
  </si>
  <si>
    <t>Daily limit</t>
  </si>
  <si>
    <t xml:space="preserve">Report to 2 decimal places, i.e. xx.xx%
Please provide a brief summary of each notification or non-compliance in the table (rather than just referring to notifications that were sent to the Regulator).  
</t>
  </si>
  <si>
    <t>Particulates</t>
  </si>
  <si>
    <t>Oxides of nitrogen</t>
  </si>
  <si>
    <t>Sulphur dioxide</t>
  </si>
  <si>
    <t>Carbon monoxide</t>
  </si>
  <si>
    <t>Total organic carbon</t>
  </si>
  <si>
    <t>Hydrogen chloride</t>
  </si>
  <si>
    <t>Summary of any notifications or non-compliances under the permit</t>
  </si>
  <si>
    <t>Summary of notification or non-compliance [including Line/Reference]</t>
  </si>
  <si>
    <t xml:space="preserve">Reason </t>
  </si>
  <si>
    <t>Measures taken to prevent reoccurrence</t>
  </si>
  <si>
    <t>Summary of any complaints received and actions to taken to resolve them.</t>
  </si>
  <si>
    <t>Summary of complaint [including Line/Reference]</t>
  </si>
  <si>
    <t>Reason *</t>
  </si>
  <si>
    <t>* including whether substantiated by the operator or the EA</t>
  </si>
  <si>
    <t>Summary of Plant Improvements</t>
  </si>
  <si>
    <t>Summary of any efficiency improvements that have been completed within the year.</t>
  </si>
  <si>
    <t>None</t>
  </si>
  <si>
    <t>Summary of any permit improvement conditions that have been completed within the year and the resulting environmental benefits.</t>
  </si>
  <si>
    <t>Summary of any changes to the plant or operating techniques which required a variation to the permit and a summary of the resulting environmental impact.</t>
  </si>
  <si>
    <t>Summary of any other improvements made to the plant or planned to be made and a summary of the resulting environmental benefits.</t>
  </si>
  <si>
    <t>Details of Public &amp; Stakeholder Liasion</t>
  </si>
  <si>
    <t>Summary of events held during the reporting year.</t>
  </si>
  <si>
    <t>Description</t>
  </si>
  <si>
    <t>List of events planned for next year</t>
  </si>
  <si>
    <t>If you wish to be involved in the public liasion programme, please contact _________________</t>
  </si>
  <si>
    <t>Carbon dioxide emissions and biogenic content of waste inputs</t>
  </si>
  <si>
    <r>
      <t xml:space="preserve">Carbon dioxide emissions </t>
    </r>
    <r>
      <rPr>
        <sz val="12"/>
        <color theme="1"/>
        <rFont val="Arial"/>
        <family val="2"/>
      </rPr>
      <t>(all types of plant)</t>
    </r>
  </si>
  <si>
    <t>Annual mass of carbon dioxide released</t>
  </si>
  <si>
    <t xml:space="preserve">78,208 tonnes </t>
  </si>
  <si>
    <t>Annual mass of carbon dioxide released per tonne of waste burned</t>
  </si>
  <si>
    <t xml:space="preserve">0.62 tonnes </t>
  </si>
  <si>
    <t>Annual mass of carbon dioxide released per MWh of energy exported</t>
  </si>
  <si>
    <t xml:space="preserve">2.33 tonnes </t>
  </si>
  <si>
    <t>Description of how annual carbon dioxide mass emission has been calculated</t>
  </si>
  <si>
    <t>Note 1: Where available, data from CO2 CEMS should be used. Otherwise, where no CEMS data is available, a suitable emissions factor should be used based on the tonnage of waste burned e.g.0.992 tCO2/t waste as per Tolvik report 2021, or other justified emissions factor  - refer to embedded Environment Agency guidance note above or updated version for suitable descriptive text.</t>
  </si>
  <si>
    <r>
      <rPr>
        <b/>
        <sz val="12"/>
        <color theme="1"/>
        <rFont val="Arial"/>
        <family val="2"/>
      </rPr>
      <t>Nitrous oxide emissions</t>
    </r>
    <r>
      <rPr>
        <sz val="12"/>
        <color theme="1"/>
        <rFont val="Arial"/>
        <family val="2"/>
      </rPr>
      <t xml:space="preserve"> (only plants which use ammonia or urea to abate NOx emissions)</t>
    </r>
  </si>
  <si>
    <t>Annual mass emissions of nitrous oxide</t>
  </si>
  <si>
    <t xml:space="preserve">x tonnes </t>
  </si>
  <si>
    <t>Description of how annual nitrous oxide mass emission has been calculated</t>
  </si>
  <si>
    <t>Note 2: Where available, data from N2O CEMS should be used, or if no CEMS data is available, from periodic monitoring. Otherwise, a suitable emissions factor should be used based on the tonnage of waste burned e.g. 0.0981 kgN20/t waste as per 2021 Pollution Inventory data for plants with urea-based SNCR - refer to embedded Environment Agency guidance note above or updated version for suitable descriptive text.</t>
  </si>
  <si>
    <r>
      <t xml:space="preserve">Total annual carbon dioxide and nitrous oxide emissions as carbon dioxide equivalent </t>
    </r>
    <r>
      <rPr>
        <sz val="10"/>
        <color theme="1"/>
        <rFont val="Arial"/>
        <family val="2"/>
      </rPr>
      <t>(whereby 1 t nitrous oxide is equivalent to 298 t carbon dioxide)</t>
    </r>
  </si>
  <si>
    <t>x tonnes CO2e</t>
  </si>
  <si>
    <r>
      <t xml:space="preserve">Biogenic fraction of the waste and biogenic CO2 emissions </t>
    </r>
    <r>
      <rPr>
        <sz val="12"/>
        <color theme="1"/>
        <rFont val="Arial"/>
        <family val="2"/>
      </rPr>
      <t>(only plants burning residual municipal waste, refuse derived fuel or solid recovered fuel)</t>
    </r>
  </si>
  <si>
    <t>Yearly average biogenic percentage of the waste by net calorific value (NCV)</t>
  </si>
  <si>
    <t>Description of how biogenic NCV percentage has been calculated or estimated</t>
  </si>
  <si>
    <t>All Fuels in both Combustion Lines are from Renewable Sources</t>
  </si>
  <si>
    <t xml:space="preserve">Note 3: Where available, data from waste sampling should be used; otherwise, an estimated figure with justification can be used, or a figure assumed on the basis of a national average e.g. 2017 WRAP data for residual waste of 51.8% biogenic energy content - refer to embedded Environment Agency guidance note above or updated version for suitable descriptive text, quoting standards where relevant. </t>
  </si>
  <si>
    <t>Percentage of total carbon dioxide emissions arising from biogenic waste</t>
  </si>
  <si>
    <t>Description of how percentage biogenic carbon dioxide emissions have been calculated</t>
  </si>
  <si>
    <t xml:space="preserve">Note 4: Examples include direct measurement via C14 method or BIOMA software - refer to embedded Environment Agency guidance note above or updated version for suitable descriptive text, quoting standards where relevant. Otherwise, as an approximation (and in lieu of any more accurate metrics which may be developed in future), the measured or estimated biogenic fraction by net calorific value can be assumed to be the same as the biogenic CO2 fraction of the total CO2 emissions from the plant. </t>
  </si>
  <si>
    <t>Comments:</t>
  </si>
  <si>
    <t>Residue Quality Monitoring Requirements</t>
  </si>
  <si>
    <t>Summary of monitoring undertaken and compliance</t>
  </si>
  <si>
    <t>Quartly Bed Ash Samples taken from both combustion lines for Carbon, Protein, Heavy Metals and Dioxins</t>
  </si>
  <si>
    <t>Commentary on any specific events</t>
  </si>
  <si>
    <t>Date &amp; Event</t>
  </si>
  <si>
    <t>Residue Quality Monitoring Results</t>
  </si>
  <si>
    <t xml:space="preserve">Parameter (unit) </t>
  </si>
  <si>
    <t>Limit</t>
  </si>
  <si>
    <t xml:space="preserve">Normal Operation </t>
  </si>
  <si>
    <t xml:space="preserve">Bottom ash  </t>
  </si>
  <si>
    <t>Loss on Ignition (average %)</t>
  </si>
  <si>
    <t>&lt;5%</t>
  </si>
  <si>
    <t>Total Organic Carbon (average %)</t>
  </si>
  <si>
    <t>&lt;3%</t>
  </si>
  <si>
    <t>No. of Assessments Undertaken</t>
  </si>
  <si>
    <t>---</t>
  </si>
  <si>
    <t>No. of Hazardous Results</t>
  </si>
  <si>
    <t>Comments :</t>
  </si>
  <si>
    <t>Emissions to Water / Sewer</t>
  </si>
  <si>
    <t>Monitoring Frequency</t>
  </si>
  <si>
    <t>Target</t>
  </si>
  <si>
    <t>Max.</t>
  </si>
  <si>
    <t>Average</t>
  </si>
  <si>
    <t>SW1 - Total suspended solids</t>
  </si>
  <si>
    <t>Spot sampling</t>
  </si>
  <si>
    <t>20 mg/l</t>
  </si>
  <si>
    <t>0 (No flow)</t>
  </si>
  <si>
    <t>SW1 - pH</t>
  </si>
  <si>
    <t>6-9</t>
  </si>
  <si>
    <t>No flow</t>
  </si>
  <si>
    <t>SW1 - BOD</t>
  </si>
  <si>
    <t>SW1 - COD</t>
  </si>
  <si>
    <t>50 mg/l</t>
  </si>
  <si>
    <t>SW1 - Ammonia</t>
  </si>
  <si>
    <t>1 mg/l</t>
  </si>
  <si>
    <t>SW1 - Hydrocarbon oils</t>
  </si>
  <si>
    <t>5 mg/l</t>
  </si>
  <si>
    <t>Summary of monitoring undertaken, standards used and compliance</t>
  </si>
  <si>
    <t xml:space="preserve">Template may require adjustment for any bespoke monitoring requirements of permit. </t>
  </si>
  <si>
    <t>Results of emissions to air that are periodically monitored</t>
  </si>
  <si>
    <t>Ref. Period</t>
  </si>
  <si>
    <t>Emission Limit Value</t>
  </si>
  <si>
    <t>User to add additional tables as necessary, depending on whether quarterly or bi-annual reporting is required for the compliance year</t>
  </si>
  <si>
    <t>A1</t>
  </si>
  <si>
    <t>A2</t>
  </si>
  <si>
    <t>A3</t>
  </si>
  <si>
    <t>A4</t>
  </si>
  <si>
    <t>A5</t>
  </si>
  <si>
    <t>Hydrogen fluoride</t>
  </si>
  <si>
    <t>1 hr</t>
  </si>
  <si>
    <r>
      <t>2 mg/m</t>
    </r>
    <r>
      <rPr>
        <vertAlign val="superscript"/>
        <sz val="10"/>
        <color theme="1"/>
        <rFont val="Arial"/>
        <family val="2"/>
      </rPr>
      <t>3</t>
    </r>
  </si>
  <si>
    <t>Cd and Th and their compounds</t>
  </si>
  <si>
    <t>6-8hrs</t>
  </si>
  <si>
    <r>
      <t>0.05 mg/m</t>
    </r>
    <r>
      <rPr>
        <vertAlign val="superscript"/>
        <sz val="10"/>
        <color theme="1"/>
        <rFont val="Arial"/>
        <family val="2"/>
      </rPr>
      <t>3</t>
    </r>
  </si>
  <si>
    <t>Hg and its compounds</t>
  </si>
  <si>
    <t>Sb, As, Pb, Cr, Co, Cu, Mn, Ni, V and their compounds</t>
  </si>
  <si>
    <r>
      <t>0.5 mg/m</t>
    </r>
    <r>
      <rPr>
        <vertAlign val="superscript"/>
        <sz val="10"/>
        <color theme="1"/>
        <rFont val="Arial"/>
        <family val="2"/>
      </rPr>
      <t>3</t>
    </r>
  </si>
  <si>
    <t>Dioxins &amp; Furans (I-TEQ)</t>
  </si>
  <si>
    <r>
      <t>0.1 ng/m</t>
    </r>
    <r>
      <rPr>
        <vertAlign val="superscript"/>
        <sz val="10"/>
        <color theme="1"/>
        <rFont val="Arial"/>
        <family val="2"/>
      </rPr>
      <t>3</t>
    </r>
  </si>
  <si>
    <t>PCBs (WHO-TEQ Humans / Mammals)</t>
  </si>
  <si>
    <r>
      <t>None set ng/m</t>
    </r>
    <r>
      <rPr>
        <vertAlign val="superscript"/>
        <sz val="10"/>
        <color theme="1"/>
        <rFont val="Arial"/>
        <family val="2"/>
      </rPr>
      <t>3</t>
    </r>
  </si>
  <si>
    <t>PCBs (WHO-TEQ Fish)</t>
  </si>
  <si>
    <t>PCBs (WHO-TEQ Birds)</t>
  </si>
  <si>
    <t>Dioxins &amp; Furans (WHO-TEQ Humans / Mammals)</t>
  </si>
  <si>
    <t>Dioxins &amp; Furans (WHO-TEQ Fish)</t>
  </si>
  <si>
    <t>Dioxins &amp; Furans (WHO-TEQ Birds)</t>
  </si>
  <si>
    <t>Anthanthrene</t>
  </si>
  <si>
    <r>
      <t>None set µg/m</t>
    </r>
    <r>
      <rPr>
        <vertAlign val="superscript"/>
        <sz val="10"/>
        <color theme="1"/>
        <rFont val="Arial"/>
        <family val="2"/>
      </rPr>
      <t>3</t>
    </r>
  </si>
  <si>
    <t>Benzo(a)anthracene</t>
  </si>
  <si>
    <t>Benzo(a)pyrene</t>
  </si>
  <si>
    <t>Benzo(b)fluoranthene</t>
  </si>
  <si>
    <t>Benzo(b)naptho(2,1-d) thiophene</t>
  </si>
  <si>
    <t>Benzo(c)phenanthrene</t>
  </si>
  <si>
    <t>Benzo(ghi)perylene</t>
  </si>
  <si>
    <t>Benzo(k)fluoranthene</t>
  </si>
  <si>
    <t>Cholanthrene</t>
  </si>
  <si>
    <t>Chrysene</t>
  </si>
  <si>
    <t>Cyclopenta(cd)pyrene</t>
  </si>
  <si>
    <t>Dibenzo(ai)pyrene</t>
  </si>
  <si>
    <t>Dibenzo(ah)anthracene</t>
  </si>
  <si>
    <t>Fluoranthene</t>
  </si>
  <si>
    <t>Indeno(123-cd) pyrene</t>
  </si>
  <si>
    <t>Naphthalene</t>
  </si>
  <si>
    <t>Emissions to Air (continously monitored)</t>
  </si>
  <si>
    <t>Template may require adjustment for any bespoke monitoring requirements of permit</t>
  </si>
  <si>
    <t>Report to 2 decimal places, i.e. xx.xx%</t>
  </si>
  <si>
    <t>Results of emissions to air that are continuously monitored (maximum and average values for each line)</t>
  </si>
  <si>
    <t>Reference Period</t>
  </si>
  <si>
    <t>Avg.</t>
  </si>
  <si>
    <t>Daily mean</t>
  </si>
  <si>
    <r>
      <t>200 mg/m</t>
    </r>
    <r>
      <rPr>
        <vertAlign val="superscript"/>
        <sz val="10"/>
        <color theme="1"/>
        <rFont val="Arial"/>
        <family val="2"/>
      </rPr>
      <t>3</t>
    </r>
    <r>
      <rPr>
        <sz val="10"/>
        <color theme="1"/>
        <rFont val="Arial"/>
        <family val="2"/>
      </rPr>
      <t xml:space="preserve"> </t>
    </r>
  </si>
  <si>
    <t>½ hourly mean</t>
  </si>
  <si>
    <r>
      <t>400 mg/m</t>
    </r>
    <r>
      <rPr>
        <vertAlign val="superscript"/>
        <sz val="10"/>
        <color theme="1"/>
        <rFont val="Arial"/>
        <family val="2"/>
      </rPr>
      <t>3</t>
    </r>
    <r>
      <rPr>
        <sz val="10"/>
        <color theme="1"/>
        <rFont val="Arial"/>
        <family val="2"/>
      </rPr>
      <t xml:space="preserve"> </t>
    </r>
  </si>
  <si>
    <r>
      <t>10 mg/m</t>
    </r>
    <r>
      <rPr>
        <vertAlign val="superscript"/>
        <sz val="10"/>
        <color theme="1"/>
        <rFont val="Arial"/>
        <family val="2"/>
      </rPr>
      <t>3</t>
    </r>
  </si>
  <si>
    <r>
      <t>30 mg/m</t>
    </r>
    <r>
      <rPr>
        <vertAlign val="superscript"/>
        <sz val="10"/>
        <color theme="1"/>
        <rFont val="Arial"/>
        <family val="2"/>
      </rPr>
      <t>3</t>
    </r>
    <r>
      <rPr>
        <sz val="10"/>
        <color theme="1"/>
        <rFont val="Arial"/>
        <family val="2"/>
      </rPr>
      <t xml:space="preserve"> </t>
    </r>
  </si>
  <si>
    <t xml:space="preserve">Total Organic Carbon </t>
  </si>
  <si>
    <r>
      <t>10 mg/m</t>
    </r>
    <r>
      <rPr>
        <vertAlign val="superscript"/>
        <sz val="10"/>
        <color theme="1"/>
        <rFont val="Arial"/>
        <family val="2"/>
      </rPr>
      <t>3</t>
    </r>
    <r>
      <rPr>
        <sz val="10"/>
        <color theme="1"/>
        <rFont val="Arial"/>
        <family val="2"/>
      </rPr>
      <t xml:space="preserve"> </t>
    </r>
  </si>
  <si>
    <r>
      <t>20 mg/m</t>
    </r>
    <r>
      <rPr>
        <vertAlign val="superscript"/>
        <sz val="10"/>
        <color theme="1"/>
        <rFont val="Arial"/>
        <family val="2"/>
      </rPr>
      <t>3</t>
    </r>
    <r>
      <rPr>
        <sz val="10"/>
        <color theme="1"/>
        <rFont val="Arial"/>
        <family val="2"/>
      </rPr>
      <t xml:space="preserve"> </t>
    </r>
  </si>
  <si>
    <t xml:space="preserve">Hydrogen chloride </t>
  </si>
  <si>
    <r>
      <t>60 mg/m</t>
    </r>
    <r>
      <rPr>
        <vertAlign val="superscript"/>
        <sz val="10"/>
        <color theme="1"/>
        <rFont val="Arial"/>
        <family val="2"/>
      </rPr>
      <t>3</t>
    </r>
    <r>
      <rPr>
        <sz val="10"/>
        <color theme="1"/>
        <rFont val="Arial"/>
        <family val="2"/>
      </rPr>
      <t xml:space="preserve"> </t>
    </r>
  </si>
  <si>
    <r>
      <t>50 mg/m</t>
    </r>
    <r>
      <rPr>
        <vertAlign val="superscript"/>
        <sz val="10"/>
        <color theme="1"/>
        <rFont val="Arial"/>
        <family val="2"/>
      </rPr>
      <t>3</t>
    </r>
    <r>
      <rPr>
        <sz val="10"/>
        <color theme="1"/>
        <rFont val="Arial"/>
        <family val="2"/>
      </rPr>
      <t xml:space="preserve"> </t>
    </r>
  </si>
  <si>
    <t xml:space="preserve">Carbon monoxide </t>
  </si>
  <si>
    <t>½ hourly mean *</t>
  </si>
  <si>
    <r>
      <t>100 mg/m</t>
    </r>
    <r>
      <rPr>
        <vertAlign val="superscript"/>
        <sz val="10"/>
        <color theme="1"/>
        <rFont val="Arial"/>
        <family val="2"/>
      </rPr>
      <t>3</t>
    </r>
    <r>
      <rPr>
        <sz val="10"/>
        <color theme="1"/>
        <rFont val="Arial"/>
        <family val="2"/>
      </rPr>
      <t xml:space="preserve"> *</t>
    </r>
  </si>
  <si>
    <t xml:space="preserve"> Ammonia</t>
  </si>
  <si>
    <t>No limit set</t>
  </si>
  <si>
    <t>* = delete or amend as appropriate</t>
  </si>
  <si>
    <t>Monitoring of Hydrogen Chloride emissions</t>
  </si>
  <si>
    <t>Whole Installation</t>
  </si>
  <si>
    <t>See  Notes in Cell Q3</t>
  </si>
  <si>
    <t>Per Combustion Line</t>
  </si>
  <si>
    <t>User to add logic to complete Whole installation, Table A5:G18. From the data in Per Combustion Line, Table J6:O79, subject to No. of lines installed</t>
  </si>
  <si>
    <r>
      <t>mg/Nm</t>
    </r>
    <r>
      <rPr>
        <b/>
        <vertAlign val="superscript"/>
        <sz val="11"/>
        <color theme="1"/>
        <rFont val="Arial"/>
        <family val="2"/>
      </rPr>
      <t>3</t>
    </r>
  </si>
  <si>
    <t>1/2 Hourly Reference Periods</t>
  </si>
  <si>
    <t>Daily Reference Periods</t>
  </si>
  <si>
    <t>1/2 hourly HCl ELV</t>
  </si>
  <si>
    <t>Monthly 1/2 hourly mean</t>
  </si>
  <si>
    <t>Highest 1/2 hourly maximum</t>
  </si>
  <si>
    <t>Daily HCl ELV</t>
  </si>
  <si>
    <t>Monthly daily mean</t>
  </si>
  <si>
    <t>Highest daily maximum</t>
  </si>
  <si>
    <t>mg/Nm3</t>
  </si>
  <si>
    <t>Monthly 1/2 hourly maximum</t>
  </si>
  <si>
    <t>Monthly daily maximum</t>
  </si>
  <si>
    <t>Jan</t>
  </si>
  <si>
    <t>Feb</t>
  </si>
  <si>
    <t>Mar</t>
  </si>
  <si>
    <t>Whole Installation table A5:G18:</t>
  </si>
  <si>
    <t>Apr</t>
  </si>
  <si>
    <r>
      <rPr>
        <b/>
        <sz val="11"/>
        <color theme="1"/>
        <rFont val="Arial"/>
        <family val="2"/>
      </rPr>
      <t>Mean</t>
    </r>
    <r>
      <rPr>
        <sz val="11"/>
        <color theme="1"/>
        <rFont val="Arial"/>
        <family val="2"/>
      </rPr>
      <t>: for 1/2 hourly and daily periods calculate mean of values across all operational combustion lines for the month</t>
    </r>
  </si>
  <si>
    <t>May</t>
  </si>
  <si>
    <t>Jun</t>
  </si>
  <si>
    <t>Jul</t>
  </si>
  <si>
    <r>
      <rPr>
        <b/>
        <sz val="11"/>
        <color theme="1"/>
        <rFont val="Arial"/>
        <family val="2"/>
      </rPr>
      <t>Maximum</t>
    </r>
    <r>
      <rPr>
        <sz val="11"/>
        <color theme="1"/>
        <rFont val="Arial"/>
        <family val="2"/>
      </rPr>
      <t xml:space="preserve">: for 1/2 hourly and daily periods use the </t>
    </r>
    <r>
      <rPr>
        <i/>
        <sz val="11"/>
        <color theme="1"/>
        <rFont val="Arial"/>
        <family val="2"/>
      </rPr>
      <t>highest</t>
    </r>
    <r>
      <rPr>
        <sz val="11"/>
        <color theme="1"/>
        <rFont val="Arial"/>
        <family val="2"/>
      </rPr>
      <t xml:space="preserve"> value across all operational combustion lines for the month</t>
    </r>
  </si>
  <si>
    <t>Aug</t>
  </si>
  <si>
    <t>Sep</t>
  </si>
  <si>
    <t>Oct</t>
  </si>
  <si>
    <t>Nov</t>
  </si>
  <si>
    <t>Dec</t>
  </si>
  <si>
    <t>Annual</t>
  </si>
  <si>
    <t>Monitoring of Sulphur dioxide emissions</t>
  </si>
  <si>
    <t>1/2 hourly SO2 ELV</t>
  </si>
  <si>
    <t>Daily SO2 ELV</t>
  </si>
  <si>
    <t>Monitoring of Oxides of Nitrogen emissions</t>
  </si>
  <si>
    <t>1/2 hourly NOx ELV</t>
  </si>
  <si>
    <t>Daily NOx ELV</t>
  </si>
  <si>
    <t>Monitoring of Total organic carbon emissions</t>
  </si>
  <si>
    <t>1/2 hourly TOC ELV</t>
  </si>
  <si>
    <t>Daily TOC ELV</t>
  </si>
  <si>
    <t>Monitoring of Particulate matter emissions</t>
  </si>
  <si>
    <t>1/2 hourly PM ELV</t>
  </si>
  <si>
    <t>Daily PM ELV</t>
  </si>
  <si>
    <t>Monitoring of Carbon Monoxide (half hourly)</t>
  </si>
  <si>
    <t>1/2 hourly CO ELV</t>
  </si>
  <si>
    <t>Daily CO ELV</t>
  </si>
  <si>
    <t>Monitoring of Carbon Monoxide (10-minute avg)</t>
  </si>
  <si>
    <t>See  Notes in Cell S3</t>
  </si>
  <si>
    <t>User to add logic to complete Whole installation, Table A5:H18. From the data in Per Combustion Line, Table K6:Q79, subject to No. of lines installed</t>
  </si>
  <si>
    <t>10-minute Reference Periods</t>
  </si>
  <si>
    <t>95%ile 10-min avg CO ELV</t>
  </si>
  <si>
    <t>95%ile 10-min avg maximum</t>
  </si>
  <si>
    <t>Monthly CO 10-min avg mean</t>
  </si>
  <si>
    <t>10-min avg maximum</t>
  </si>
  <si>
    <t>Whole Installation table A5:H18:</t>
  </si>
  <si>
    <r>
      <rPr>
        <b/>
        <sz val="11"/>
        <color theme="1"/>
        <rFont val="Arial"/>
        <family val="2"/>
      </rPr>
      <t>Mean</t>
    </r>
    <r>
      <rPr>
        <sz val="11"/>
        <color theme="1"/>
        <rFont val="Arial"/>
        <family val="2"/>
      </rPr>
      <t>: for 10-min and daily periods use average of all operational combustion lines.</t>
    </r>
  </si>
  <si>
    <r>
      <rPr>
        <b/>
        <sz val="11"/>
        <color theme="1"/>
        <rFont val="Arial"/>
        <family val="2"/>
      </rPr>
      <t>Maximum</t>
    </r>
    <r>
      <rPr>
        <sz val="11"/>
        <color theme="1"/>
        <rFont val="Arial"/>
        <family val="2"/>
      </rPr>
      <t xml:space="preserve">: for 10-min and daily periods use the </t>
    </r>
    <r>
      <rPr>
        <i/>
        <sz val="11"/>
        <color theme="1"/>
        <rFont val="Arial"/>
        <family val="2"/>
      </rPr>
      <t>highest</t>
    </r>
    <r>
      <rPr>
        <sz val="11"/>
        <color theme="1"/>
        <rFont val="Arial"/>
        <family val="2"/>
      </rPr>
      <t xml:space="preserve"> of all operational combustion lines in any month.</t>
    </r>
  </si>
  <si>
    <t xml:space="preserve">Environment Agency explanatory note: The 10-minute average ELV is based on the “95th percentile”. In this case this means that 95% of the 10 minute averages in the relevant 24-hour period (i.e. 137) must be below 150 mg/Nm3, and 5% (i.e. 7) are allowed to be any value above 150 mg/Nm3. Whilst we expect operators to minimise CO emissions at all times, it is perfectly acceptable for the value of the maximum 10-minute average to be above 150 mg/Nm3, provided the 95th percentile ELV has been met for that period. </t>
  </si>
  <si>
    <t xml:space="preserve">Monitoring of Ammnonia emissions </t>
  </si>
  <si>
    <t>1/2 hourly NH3 ELV</t>
  </si>
  <si>
    <t>Daily NH3 ELV</t>
  </si>
  <si>
    <t xml:space="preserve">An indicated ELV value of zero in the table above means that no ammonia limit is set in the permit.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</si>
</sst>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_-* #,##0_-;\-* #,##0_-;_-* &quot;-&quot;??_-;_-@_-"/>
    <numFmt numFmtId="165" formatCode="0.0%"/>
    <numFmt numFmtId="166" formatCode="_-* #,##0.0_-;\-* #,##0.0_-;_-* &quot;-&quot;??_-;_-@_-"/>
    <numFmt numFmtId="167" formatCode="[$-F800]dddd\,\ mmmm\ dd\,\ yyyy"/>
    <numFmt numFmtId="168" formatCode="#,##0.0"/>
  </numFmts>
  <fonts count="37" x14ac:knownFonts="1">
    <font>
      <sz val="11"/>
      <color theme="1"/>
      <name val="Calibri"/>
      <family val="2"/>
      <scheme val="minor"/>
    </font>
    <font>
      <sz val="10"/>
      <color theme="1"/>
      <name val="Arial"/>
      <family val="2"/>
    </font>
    <font>
      <sz val="12"/>
      <color theme="1"/>
      <name val="Arial"/>
      <family val="2"/>
    </font>
    <font>
      <sz val="11"/>
      <color theme="1"/>
      <name val="Calibri"/>
      <family val="2"/>
      <scheme val="minor"/>
    </font>
    <font>
      <b/>
      <sz val="12"/>
      <color theme="1"/>
      <name val="Arial"/>
      <family val="2"/>
    </font>
    <font>
      <sz val="12"/>
      <color theme="1"/>
      <name val="Arial"/>
      <family val="2"/>
    </font>
    <font>
      <sz val="11"/>
      <color theme="1"/>
      <name val="Arial"/>
      <family val="2"/>
    </font>
    <font>
      <b/>
      <sz val="11"/>
      <color theme="1"/>
      <name val="Arial"/>
      <family val="2"/>
    </font>
    <font>
      <b/>
      <sz val="14"/>
      <color theme="1"/>
      <name val="Arial"/>
      <family val="2"/>
    </font>
    <font>
      <sz val="14"/>
      <color theme="1"/>
      <name val="Arial"/>
      <family val="2"/>
    </font>
    <font>
      <b/>
      <sz val="10"/>
      <color theme="1"/>
      <name val="Arial"/>
      <family val="2"/>
    </font>
    <font>
      <sz val="10"/>
      <color theme="1"/>
      <name val="Arial"/>
      <family val="2"/>
    </font>
    <font>
      <sz val="9"/>
      <color theme="1"/>
      <name val="Arial"/>
      <family val="2"/>
    </font>
    <font>
      <vertAlign val="superscript"/>
      <sz val="10"/>
      <color theme="1"/>
      <name val="Arial"/>
      <family val="2"/>
    </font>
    <font>
      <sz val="10"/>
      <color theme="0"/>
      <name val="Arial"/>
      <family val="2"/>
    </font>
    <font>
      <u/>
      <sz val="11"/>
      <color theme="1"/>
      <name val="Arial"/>
      <family val="2"/>
    </font>
    <font>
      <sz val="12"/>
      <color theme="0"/>
      <name val="Arial"/>
      <family val="2"/>
    </font>
    <font>
      <b/>
      <sz val="10"/>
      <name val="Arial"/>
      <family val="2"/>
    </font>
    <font>
      <b/>
      <sz val="11"/>
      <name val="Arial"/>
      <family val="2"/>
    </font>
    <font>
      <sz val="11"/>
      <color rgb="FFFF0000"/>
      <name val="Arial"/>
      <family val="2"/>
    </font>
    <font>
      <b/>
      <vertAlign val="superscript"/>
      <sz val="11"/>
      <color theme="1"/>
      <name val="Arial"/>
      <family val="2"/>
    </font>
    <font>
      <sz val="12"/>
      <color rgb="FFFF0000"/>
      <name val="Arial"/>
      <family val="2"/>
    </font>
    <font>
      <i/>
      <sz val="12"/>
      <color theme="1"/>
      <name val="Arial"/>
      <family val="2"/>
    </font>
    <font>
      <i/>
      <sz val="11"/>
      <color theme="1"/>
      <name val="Arial"/>
      <family val="2"/>
    </font>
    <font>
      <i/>
      <u/>
      <sz val="12"/>
      <color theme="1"/>
      <name val="Arial"/>
      <family val="2"/>
    </font>
    <font>
      <sz val="8"/>
      <name val="Calibri"/>
      <family val="2"/>
      <scheme val="minor"/>
    </font>
    <font>
      <i/>
      <u/>
      <sz val="11"/>
      <color theme="1"/>
      <name val="Arial"/>
      <family val="2"/>
    </font>
    <font>
      <b/>
      <u/>
      <sz val="11"/>
      <color theme="1"/>
      <name val="Arial"/>
      <family val="2"/>
    </font>
    <font>
      <b/>
      <i/>
      <u/>
      <sz val="11"/>
      <color theme="1"/>
      <name val="Arial"/>
      <family val="2"/>
    </font>
    <font>
      <b/>
      <u/>
      <sz val="12"/>
      <color theme="1"/>
      <name val="Arial"/>
      <family val="2"/>
    </font>
    <font>
      <b/>
      <i/>
      <u/>
      <sz val="12"/>
      <color theme="1"/>
      <name val="Arial"/>
      <family val="2"/>
    </font>
    <font>
      <sz val="9"/>
      <name val="Arial"/>
      <family val="2"/>
    </font>
    <font>
      <sz val="9"/>
      <color rgb="FF000000"/>
      <name val="Arial"/>
      <family val="2"/>
    </font>
    <font>
      <b/>
      <sz val="9"/>
      <color theme="1"/>
      <name val="Arial"/>
      <family val="2"/>
    </font>
    <font>
      <i/>
      <sz val="11"/>
      <color rgb="FFFF0000"/>
      <name val="Arial"/>
      <family val="2"/>
    </font>
    <font>
      <u/>
      <sz val="11"/>
      <color theme="10"/>
      <name val="Calibri"/>
      <family val="2"/>
      <scheme val="minor"/>
    </font>
    <font>
      <b/>
      <sz val="12"/>
      <color rgb="FF000000"/>
      <name val="Arial"/>
      <family val="2"/>
    </font>
  </fonts>
  <fills count="8">
    <fill>
      <patternFill patternType="none"/>
    </fill>
    <fill>
      <patternFill patternType="gray125"/>
    </fill>
    <fill>
      <patternFill patternType="solid">
        <fgColor theme="6" tint="0.79998168889431442"/>
        <bgColor indexed="64"/>
      </patternFill>
    </fill>
    <fill>
      <patternFill patternType="solid">
        <fgColor theme="0"/>
        <bgColor indexed="64"/>
      </patternFill>
    </fill>
    <fill>
      <patternFill patternType="solid">
        <bgColor indexed="64"/>
      </patternFill>
    </fill>
    <fill>
      <patternFill patternType="solid">
        <fgColor theme="0" tint="-4.9989318521683403E-2"/>
        <bgColor indexed="64"/>
      </patternFill>
    </fill>
    <fill>
      <patternFill patternType="solid">
        <fgColor rgb="FFD9D9D9"/>
        <bgColor indexed="64"/>
      </patternFill>
    </fill>
    <fill>
      <patternFill patternType="solid">
        <fgColor theme="2"/>
        <bgColor indexed="64"/>
      </patternFill>
    </fill>
  </fills>
  <borders count="18">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diagonalUp="1" diagonalDown="1">
      <left style="thin">
        <color indexed="64"/>
      </left>
      <right/>
      <top style="thin">
        <color indexed="64"/>
      </top>
      <bottom style="thin">
        <color indexed="64"/>
      </bottom>
      <diagonal style="thin">
        <color indexed="64"/>
      </diagonal>
    </border>
    <border diagonalUp="1" diagonalDown="1">
      <left/>
      <right style="thin">
        <color indexed="64"/>
      </right>
      <top style="thin">
        <color indexed="64"/>
      </top>
      <bottom style="thin">
        <color indexed="64"/>
      </bottom>
      <diagonal style="thin">
        <color indexed="64"/>
      </diagonal>
    </border>
  </borders>
  <cellStyleXfs count="4">
    <xf numFmtId="0" fontId="0" fillId="0" borderId="0"/>
    <xf numFmtId="43" fontId="3" fillId="0" borderId="0" applyFont="0" applyFill="0" applyBorder="0" applyAlignment="0" applyProtection="0"/>
    <xf numFmtId="9" fontId="3" fillId="0" borderId="0" applyFont="0" applyFill="0" applyBorder="0" applyAlignment="0" applyProtection="0"/>
    <xf numFmtId="0" fontId="35" fillId="0" borderId="0" applyNumberFormat="0" applyFill="0" applyBorder="0" applyAlignment="0" applyProtection="0"/>
  </cellStyleXfs>
  <cellXfs count="379">
    <xf numFmtId="0" fontId="0" fillId="0" borderId="0" xfId="0"/>
    <xf numFmtId="0" fontId="4" fillId="0" borderId="0" xfId="0" applyFont="1"/>
    <xf numFmtId="0" fontId="5" fillId="0" borderId="0" xfId="0" applyFont="1"/>
    <xf numFmtId="0" fontId="6" fillId="0" borderId="0" xfId="0" applyFont="1"/>
    <xf numFmtId="0" fontId="6" fillId="2" borderId="2" xfId="0" applyFont="1" applyFill="1" applyBorder="1" applyAlignment="1">
      <alignment horizontal="center"/>
    </xf>
    <xf numFmtId="0" fontId="7" fillId="0" borderId="2" xfId="0" applyFont="1" applyBorder="1" applyAlignment="1">
      <alignment horizontal="center"/>
    </xf>
    <xf numFmtId="0" fontId="7" fillId="0" borderId="2" xfId="0" applyFont="1" applyBorder="1"/>
    <xf numFmtId="0" fontId="8" fillId="0" borderId="0" xfId="0" applyFont="1"/>
    <xf numFmtId="0" fontId="9" fillId="0" borderId="0" xfId="0" applyFont="1"/>
    <xf numFmtId="0" fontId="7" fillId="0" borderId="0" xfId="0" applyFont="1"/>
    <xf numFmtId="0" fontId="10" fillId="0" borderId="2" xfId="0" applyFont="1" applyBorder="1" applyAlignment="1">
      <alignment horizontal="center"/>
    </xf>
    <xf numFmtId="0" fontId="10" fillId="0" borderId="2" xfId="0" applyFont="1" applyBorder="1"/>
    <xf numFmtId="0" fontId="11" fillId="0" borderId="0" xfId="0" applyFont="1"/>
    <xf numFmtId="0" fontId="10" fillId="0" borderId="2" xfId="0" applyFont="1" applyBorder="1" applyAlignment="1">
      <alignment horizontal="center" vertical="top"/>
    </xf>
    <xf numFmtId="0" fontId="10" fillId="0" borderId="2" xfId="0" applyFont="1" applyBorder="1" applyAlignment="1">
      <alignment vertical="top"/>
    </xf>
    <xf numFmtId="0" fontId="10" fillId="0" borderId="0" xfId="0" applyFont="1"/>
    <xf numFmtId="0" fontId="11" fillId="0" borderId="0" xfId="0" applyFont="1" applyAlignment="1">
      <alignment horizontal="center"/>
    </xf>
    <xf numFmtId="0" fontId="12" fillId="0" borderId="0" xfId="0" applyFont="1"/>
    <xf numFmtId="0" fontId="6" fillId="0" borderId="6" xfId="0" applyFont="1" applyBorder="1"/>
    <xf numFmtId="164" fontId="6" fillId="2" borderId="7" xfId="1" applyNumberFormat="1" applyFont="1" applyFill="1" applyBorder="1"/>
    <xf numFmtId="0" fontId="6" fillId="3" borderId="7" xfId="0" applyFont="1" applyFill="1" applyBorder="1" applyAlignment="1">
      <alignment vertical="center"/>
    </xf>
    <xf numFmtId="0" fontId="6" fillId="0" borderId="11" xfId="0" applyFont="1" applyBorder="1"/>
    <xf numFmtId="0" fontId="6" fillId="2" borderId="12" xfId="0" applyFont="1" applyFill="1" applyBorder="1" applyAlignment="1">
      <alignment horizontal="center" vertical="center"/>
    </xf>
    <xf numFmtId="0" fontId="6" fillId="0" borderId="12" xfId="0" applyFont="1" applyBorder="1"/>
    <xf numFmtId="0" fontId="6" fillId="2" borderId="12" xfId="0" applyFont="1" applyFill="1" applyBorder="1" applyAlignment="1">
      <alignment horizontal="center"/>
    </xf>
    <xf numFmtId="0" fontId="7" fillId="0" borderId="12" xfId="0" applyFont="1" applyBorder="1"/>
    <xf numFmtId="0" fontId="6" fillId="0" borderId="13" xfId="0" applyFont="1" applyBorder="1" applyAlignment="1">
      <alignment horizontal="center"/>
    </xf>
    <xf numFmtId="0" fontId="10" fillId="0" borderId="4" xfId="0" applyFont="1" applyBorder="1" applyAlignment="1">
      <alignment horizontal="center"/>
    </xf>
    <xf numFmtId="164" fontId="10" fillId="0" borderId="7" xfId="1" applyNumberFormat="1" applyFont="1" applyBorder="1" applyAlignment="1">
      <alignment horizontal="center"/>
    </xf>
    <xf numFmtId="164" fontId="10" fillId="0" borderId="0" xfId="1" applyNumberFormat="1" applyFont="1" applyAlignment="1">
      <alignment horizontal="center"/>
    </xf>
    <xf numFmtId="164" fontId="10" fillId="0" borderId="12" xfId="1" applyNumberFormat="1" applyFont="1" applyBorder="1" applyAlignment="1">
      <alignment horizontal="center"/>
    </xf>
    <xf numFmtId="0" fontId="10" fillId="0" borderId="0" xfId="0" applyFont="1" applyAlignment="1">
      <alignment horizontal="center"/>
    </xf>
    <xf numFmtId="0" fontId="10" fillId="0" borderId="7" xfId="0" applyFont="1" applyBorder="1" applyAlignment="1">
      <alignment horizontal="center"/>
    </xf>
    <xf numFmtId="0" fontId="4" fillId="0" borderId="0" xfId="0" applyFont="1" applyAlignment="1">
      <alignment horizontal="right"/>
    </xf>
    <xf numFmtId="0" fontId="4" fillId="0" borderId="0" xfId="0" applyFont="1" applyAlignment="1">
      <alignment vertical="center"/>
    </xf>
    <xf numFmtId="0" fontId="6" fillId="0" borderId="0" xfId="0" applyFont="1" applyAlignment="1">
      <alignment horizontal="center"/>
    </xf>
    <xf numFmtId="0" fontId="14" fillId="4" borderId="2" xfId="0" applyFont="1" applyFill="1" applyBorder="1" applyAlignment="1">
      <alignment horizontal="center" vertical="center" wrapText="1"/>
    </xf>
    <xf numFmtId="0" fontId="11" fillId="0" borderId="0" xfId="0" applyFont="1" applyAlignment="1">
      <alignment vertical="center"/>
    </xf>
    <xf numFmtId="0" fontId="14" fillId="4" borderId="6" xfId="0" applyFont="1" applyFill="1" applyBorder="1" applyAlignment="1">
      <alignment vertical="center" wrapText="1"/>
    </xf>
    <xf numFmtId="0" fontId="14" fillId="4" borderId="8" xfId="0" applyFont="1" applyFill="1" applyBorder="1" applyAlignment="1">
      <alignment vertical="center" wrapText="1"/>
    </xf>
    <xf numFmtId="0" fontId="14" fillId="4" borderId="1" xfId="0" applyFont="1" applyFill="1" applyBorder="1" applyAlignment="1">
      <alignment horizontal="center" vertical="center" wrapText="1"/>
    </xf>
    <xf numFmtId="0" fontId="14" fillId="4" borderId="1" xfId="0" applyFont="1" applyFill="1" applyBorder="1" applyAlignment="1">
      <alignment vertical="center" wrapText="1"/>
    </xf>
    <xf numFmtId="0" fontId="6" fillId="0" borderId="0" xfId="0" applyFont="1" applyAlignment="1">
      <alignment horizontal="left" vertical="top" wrapText="1"/>
    </xf>
    <xf numFmtId="0" fontId="14" fillId="4" borderId="2" xfId="0" applyFont="1" applyFill="1" applyBorder="1" applyAlignment="1">
      <alignment vertical="center" wrapText="1"/>
    </xf>
    <xf numFmtId="0" fontId="15" fillId="0" borderId="12" xfId="0" applyFont="1" applyBorder="1"/>
    <xf numFmtId="0" fontId="6" fillId="0" borderId="0" xfId="0" applyFont="1" applyAlignment="1">
      <alignment vertical="center"/>
    </xf>
    <xf numFmtId="0" fontId="10" fillId="0" borderId="2" xfId="0" applyFont="1" applyBorder="1" applyAlignment="1">
      <alignment horizontal="center" vertical="center" wrapText="1"/>
    </xf>
    <xf numFmtId="0" fontId="5" fillId="0" borderId="0" xfId="0" applyFont="1" applyAlignment="1">
      <alignment horizontal="left" vertical="center" wrapText="1"/>
    </xf>
    <xf numFmtId="0" fontId="7" fillId="0" borderId="3" xfId="0" applyFont="1" applyBorder="1" applyAlignment="1">
      <alignment vertical="center"/>
    </xf>
    <xf numFmtId="0" fontId="7" fillId="0" borderId="4" xfId="0" applyFont="1" applyBorder="1" applyAlignment="1">
      <alignment vertical="center"/>
    </xf>
    <xf numFmtId="0" fontId="7" fillId="0" borderId="5" xfId="0" applyFont="1" applyBorder="1" applyAlignment="1">
      <alignment vertical="center"/>
    </xf>
    <xf numFmtId="0" fontId="7" fillId="0" borderId="6" xfId="0" applyFont="1" applyBorder="1"/>
    <xf numFmtId="0" fontId="7" fillId="0" borderId="3" xfId="0" applyFont="1" applyBorder="1"/>
    <xf numFmtId="0" fontId="4" fillId="0" borderId="3" xfId="0" applyFont="1" applyBorder="1"/>
    <xf numFmtId="0" fontId="10" fillId="0" borderId="2" xfId="0" applyFont="1" applyBorder="1" applyAlignment="1">
      <alignment horizontal="center" vertical="center"/>
    </xf>
    <xf numFmtId="0" fontId="7" fillId="0" borderId="2" xfId="0" applyFont="1" applyBorder="1" applyAlignment="1">
      <alignment horizontal="center" vertical="center" wrapText="1"/>
    </xf>
    <xf numFmtId="0" fontId="16" fillId="0" borderId="0" xfId="0" applyFont="1"/>
    <xf numFmtId="0" fontId="17" fillId="0" borderId="2" xfId="0" applyFont="1" applyBorder="1" applyAlignment="1">
      <alignment horizontal="center" vertical="center" wrapText="1"/>
    </xf>
    <xf numFmtId="0" fontId="6" fillId="0" borderId="0" xfId="0" applyFont="1" applyAlignment="1">
      <alignment horizontal="center" vertical="center"/>
    </xf>
    <xf numFmtId="0" fontId="6" fillId="0" borderId="0" xfId="0" applyFont="1" applyAlignment="1">
      <alignment horizontal="center" vertical="center" wrapText="1"/>
    </xf>
    <xf numFmtId="0" fontId="7" fillId="0" borderId="0" xfId="0" applyFont="1" applyAlignment="1">
      <alignment vertical="top"/>
    </xf>
    <xf numFmtId="0" fontId="7" fillId="0" borderId="2" xfId="0" applyFont="1" applyBorder="1" applyAlignment="1">
      <alignment horizontal="center" vertical="center"/>
    </xf>
    <xf numFmtId="0" fontId="6" fillId="0" borderId="2" xfId="0" applyFont="1" applyBorder="1"/>
    <xf numFmtId="0" fontId="19" fillId="0" borderId="2" xfId="0" applyFont="1" applyBorder="1" applyAlignment="1">
      <alignment horizontal="center"/>
    </xf>
    <xf numFmtId="0" fontId="6" fillId="5" borderId="2" xfId="0" applyFont="1" applyFill="1" applyBorder="1" applyAlignment="1">
      <alignment horizontal="center"/>
    </xf>
    <xf numFmtId="0" fontId="7" fillId="0" borderId="2" xfId="0" applyFont="1" applyBorder="1" applyAlignment="1">
      <alignment horizontal="left" vertical="center"/>
    </xf>
    <xf numFmtId="0" fontId="6" fillId="0" borderId="2" xfId="0" applyFont="1" applyBorder="1" applyAlignment="1">
      <alignment horizontal="left"/>
    </xf>
    <xf numFmtId="0" fontId="7" fillId="0" borderId="1" xfId="0" applyFont="1" applyBorder="1" applyAlignment="1">
      <alignment horizontal="center" vertical="center" wrapText="1"/>
    </xf>
    <xf numFmtId="0" fontId="7" fillId="0" borderId="0" xfId="0" applyFont="1" applyAlignment="1">
      <alignment vertical="center"/>
    </xf>
    <xf numFmtId="0" fontId="19" fillId="5" borderId="2" xfId="0" applyFont="1" applyFill="1" applyBorder="1" applyAlignment="1">
      <alignment horizontal="center"/>
    </xf>
    <xf numFmtId="0" fontId="6" fillId="0" borderId="8" xfId="0" applyFont="1" applyBorder="1" applyAlignment="1">
      <alignment horizontal="left"/>
    </xf>
    <xf numFmtId="0" fontId="21" fillId="0" borderId="0" xfId="0" applyFont="1"/>
    <xf numFmtId="0" fontId="6" fillId="0" borderId="9" xfId="0" applyFont="1" applyBorder="1"/>
    <xf numFmtId="0" fontId="22" fillId="0" borderId="0" xfId="0" applyFont="1"/>
    <xf numFmtId="0" fontId="23" fillId="0" borderId="0" xfId="0" applyFont="1"/>
    <xf numFmtId="0" fontId="24" fillId="0" borderId="0" xfId="0" applyFont="1"/>
    <xf numFmtId="0" fontId="7" fillId="0" borderId="0" xfId="0" applyFont="1" applyAlignment="1">
      <alignment horizontal="center"/>
    </xf>
    <xf numFmtId="0" fontId="26" fillId="0" borderId="0" xfId="0" applyFont="1"/>
    <xf numFmtId="0" fontId="27" fillId="0" borderId="0" xfId="0" applyFont="1"/>
    <xf numFmtId="0" fontId="28" fillId="0" borderId="0" xfId="0" applyFont="1"/>
    <xf numFmtId="0" fontId="23" fillId="0" borderId="0" xfId="0" applyFont="1" applyAlignment="1">
      <alignment horizontal="right"/>
    </xf>
    <xf numFmtId="0" fontId="29" fillId="0" borderId="0" xfId="0" applyFont="1"/>
    <xf numFmtId="0" fontId="30" fillId="0" borderId="0" xfId="0" applyFont="1"/>
    <xf numFmtId="0" fontId="7" fillId="0" borderId="11" xfId="0" applyFont="1" applyBorder="1" applyAlignment="1">
      <alignment horizontal="left" vertical="top" wrapText="1"/>
    </xf>
    <xf numFmtId="0" fontId="7" fillId="0" borderId="12" xfId="0" applyFont="1" applyBorder="1" applyAlignment="1">
      <alignment horizontal="left" vertical="top" wrapText="1"/>
    </xf>
    <xf numFmtId="0" fontId="7" fillId="0" borderId="13" xfId="0" applyFont="1" applyBorder="1" applyAlignment="1">
      <alignment horizontal="left" vertical="top" wrapText="1"/>
    </xf>
    <xf numFmtId="0" fontId="12" fillId="0" borderId="0" xfId="0" applyFont="1" applyAlignment="1">
      <alignment horizontal="center"/>
    </xf>
    <xf numFmtId="165" fontId="10" fillId="0" borderId="10" xfId="2" applyNumberFormat="1" applyFont="1" applyBorder="1" applyAlignment="1">
      <alignment horizontal="center"/>
    </xf>
    <xf numFmtId="0" fontId="12" fillId="5" borderId="0" xfId="0" applyFont="1" applyFill="1" applyAlignment="1">
      <alignment horizontal="center"/>
    </xf>
    <xf numFmtId="164" fontId="10" fillId="0" borderId="0" xfId="1" applyNumberFormat="1" applyFont="1" applyBorder="1" applyAlignment="1">
      <alignment horizontal="center"/>
    </xf>
    <xf numFmtId="164" fontId="10" fillId="2" borderId="12" xfId="1" applyNumberFormat="1" applyFont="1" applyFill="1" applyBorder="1" applyAlignment="1">
      <alignment horizontal="center"/>
    </xf>
    <xf numFmtId="0" fontId="10" fillId="0" borderId="9" xfId="0" applyFont="1" applyBorder="1" applyAlignment="1">
      <alignment vertical="center"/>
    </xf>
    <xf numFmtId="0" fontId="10" fillId="0" borderId="11" xfId="0" applyFont="1" applyBorder="1" applyAlignment="1">
      <alignment vertical="center"/>
    </xf>
    <xf numFmtId="0" fontId="2" fillId="0" borderId="0" xfId="0" applyFont="1"/>
    <xf numFmtId="0" fontId="2" fillId="0" borderId="2" xfId="0" applyFont="1" applyBorder="1" applyAlignment="1">
      <alignment vertical="top" wrapText="1"/>
    </xf>
    <xf numFmtId="0" fontId="2" fillId="0" borderId="0" xfId="0" applyFont="1" applyAlignment="1">
      <alignment vertical="top" wrapText="1"/>
    </xf>
    <xf numFmtId="0" fontId="2" fillId="0" borderId="0" xfId="0" applyFont="1" applyAlignment="1">
      <alignment vertical="top"/>
    </xf>
    <xf numFmtId="0" fontId="2" fillId="5" borderId="2" xfId="0" applyFont="1" applyFill="1" applyBorder="1" applyAlignment="1">
      <alignment vertical="top"/>
    </xf>
    <xf numFmtId="0" fontId="2" fillId="0" borderId="2" xfId="0" applyFont="1" applyBorder="1" applyAlignment="1">
      <alignment horizontal="center" vertical="top"/>
    </xf>
    <xf numFmtId="0" fontId="2" fillId="0" borderId="2" xfId="0" applyFont="1" applyBorder="1" applyAlignment="1">
      <alignment horizontal="center" vertical="top" wrapText="1"/>
    </xf>
    <xf numFmtId="0" fontId="1" fillId="0" borderId="11" xfId="0" applyFont="1" applyBorder="1"/>
    <xf numFmtId="0" fontId="1" fillId="7" borderId="9" xfId="0" applyFont="1" applyFill="1" applyBorder="1" applyAlignment="1">
      <alignment vertical="center"/>
    </xf>
    <xf numFmtId="0" fontId="1" fillId="0" borderId="9" xfId="0" applyFont="1" applyBorder="1" applyAlignment="1">
      <alignment vertical="center"/>
    </xf>
    <xf numFmtId="0" fontId="1" fillId="0" borderId="9" xfId="0" applyFont="1" applyBorder="1"/>
    <xf numFmtId="0" fontId="1" fillId="2" borderId="12" xfId="0" applyFont="1" applyFill="1" applyBorder="1" applyAlignment="1">
      <alignment horizontal="center" vertical="center"/>
    </xf>
    <xf numFmtId="9" fontId="2" fillId="0" borderId="2" xfId="0" applyNumberFormat="1" applyFont="1" applyBorder="1" applyAlignment="1">
      <alignment horizontal="center" vertical="top"/>
    </xf>
    <xf numFmtId="0" fontId="1" fillId="5" borderId="2" xfId="0" applyFont="1" applyFill="1" applyBorder="1" applyAlignment="1">
      <alignment horizontal="center" vertical="center" wrapText="1"/>
    </xf>
    <xf numFmtId="0" fontId="1" fillId="0" borderId="2" xfId="0" applyFont="1" applyBorder="1" applyAlignment="1">
      <alignment horizontal="left" vertical="center" wrapText="1"/>
    </xf>
    <xf numFmtId="0" fontId="1" fillId="2" borderId="2" xfId="0" applyFont="1" applyFill="1" applyBorder="1" applyAlignment="1">
      <alignment horizontal="center" vertical="center" wrapText="1"/>
    </xf>
    <xf numFmtId="17" fontId="2" fillId="0" borderId="0" xfId="0" applyNumberFormat="1" applyFont="1"/>
    <xf numFmtId="0" fontId="2" fillId="2" borderId="0" xfId="0" applyFont="1" applyFill="1"/>
    <xf numFmtId="0" fontId="2" fillId="0" borderId="0" xfId="0" applyFont="1" applyAlignment="1">
      <alignment horizontal="left"/>
    </xf>
    <xf numFmtId="0" fontId="2" fillId="0" borderId="4" xfId="0" applyFont="1" applyBorder="1"/>
    <xf numFmtId="0" fontId="2" fillId="0" borderId="5" xfId="0" applyFont="1" applyBorder="1"/>
    <xf numFmtId="0" fontId="1" fillId="2" borderId="2" xfId="0" applyFont="1" applyFill="1" applyBorder="1" applyAlignment="1">
      <alignment horizontal="center"/>
    </xf>
    <xf numFmtId="0" fontId="1" fillId="2" borderId="2" xfId="0" applyFont="1" applyFill="1" applyBorder="1" applyAlignment="1">
      <alignment horizontal="center" vertical="top"/>
    </xf>
    <xf numFmtId="0" fontId="2" fillId="0" borderId="7" xfId="0" applyFont="1" applyBorder="1"/>
    <xf numFmtId="0" fontId="2" fillId="0" borderId="8" xfId="0" applyFont="1" applyBorder="1"/>
    <xf numFmtId="0" fontId="2" fillId="0" borderId="11" xfId="0" applyFont="1" applyBorder="1"/>
    <xf numFmtId="0" fontId="2" fillId="0" borderId="12" xfId="0" applyFont="1" applyBorder="1"/>
    <xf numFmtId="0" fontId="2" fillId="0" borderId="13" xfId="0" applyFont="1" applyBorder="1"/>
    <xf numFmtId="0" fontId="1" fillId="0" borderId="0" xfId="0" applyFont="1"/>
    <xf numFmtId="0" fontId="1" fillId="0" borderId="0" xfId="0" applyFont="1" applyAlignment="1">
      <alignment horizontal="center"/>
    </xf>
    <xf numFmtId="0" fontId="1" fillId="0" borderId="3" xfId="0" applyFont="1" applyBorder="1"/>
    <xf numFmtId="0" fontId="1" fillId="0" borderId="4" xfId="0" applyFont="1" applyBorder="1" applyAlignment="1">
      <alignment horizontal="center"/>
    </xf>
    <xf numFmtId="0" fontId="1" fillId="0" borderId="5" xfId="0" applyFont="1" applyBorder="1" applyAlignment="1">
      <alignment horizontal="center"/>
    </xf>
    <xf numFmtId="0" fontId="1" fillId="0" borderId="6" xfId="0" applyFont="1" applyBorder="1" applyAlignment="1">
      <alignment vertical="center"/>
    </xf>
    <xf numFmtId="164" fontId="1" fillId="2" borderId="7" xfId="1" applyNumberFormat="1" applyFont="1" applyFill="1" applyBorder="1" applyAlignment="1">
      <alignment horizontal="center"/>
    </xf>
    <xf numFmtId="165" fontId="1" fillId="0" borderId="8" xfId="2" applyNumberFormat="1" applyFont="1" applyBorder="1" applyAlignment="1">
      <alignment horizontal="center"/>
    </xf>
    <xf numFmtId="164" fontId="1" fillId="2" borderId="0" xfId="1" applyNumberFormat="1" applyFont="1" applyFill="1" applyBorder="1" applyAlignment="1">
      <alignment horizontal="center"/>
    </xf>
    <xf numFmtId="165" fontId="1" fillId="0" borderId="10" xfId="2" applyNumberFormat="1" applyFont="1" applyBorder="1" applyAlignment="1">
      <alignment horizontal="center"/>
    </xf>
    <xf numFmtId="165" fontId="1" fillId="0" borderId="10" xfId="2" applyNumberFormat="1" applyFont="1" applyFill="1" applyBorder="1" applyAlignment="1">
      <alignment horizontal="center"/>
    </xf>
    <xf numFmtId="0" fontId="1" fillId="0" borderId="12" xfId="0" applyFont="1" applyBorder="1" applyAlignment="1">
      <alignment horizontal="center" vertical="center" textRotation="90"/>
    </xf>
    <xf numFmtId="165" fontId="1" fillId="0" borderId="13" xfId="2" applyNumberFormat="1" applyFont="1" applyBorder="1" applyAlignment="1">
      <alignment horizontal="center"/>
    </xf>
    <xf numFmtId="0" fontId="1" fillId="0" borderId="7" xfId="0" applyFont="1" applyBorder="1" applyAlignment="1">
      <alignment horizontal="center"/>
    </xf>
    <xf numFmtId="0" fontId="1" fillId="0" borderId="8" xfId="0" applyFont="1" applyBorder="1" applyAlignment="1">
      <alignment horizontal="center"/>
    </xf>
    <xf numFmtId="0" fontId="1" fillId="0" borderId="6" xfId="0" applyFont="1" applyBorder="1"/>
    <xf numFmtId="164" fontId="1" fillId="0" borderId="8" xfId="0" applyNumberFormat="1" applyFont="1" applyBorder="1" applyAlignment="1">
      <alignment horizontal="center"/>
    </xf>
    <xf numFmtId="164" fontId="1" fillId="2" borderId="0" xfId="1" applyNumberFormat="1" applyFont="1" applyFill="1" applyAlignment="1">
      <alignment horizontal="center"/>
    </xf>
    <xf numFmtId="164" fontId="1" fillId="0" borderId="10" xfId="0" applyNumberFormat="1" applyFont="1" applyBorder="1" applyAlignment="1">
      <alignment horizontal="center"/>
    </xf>
    <xf numFmtId="0" fontId="1" fillId="0" borderId="0" xfId="0" applyFont="1" applyAlignment="1">
      <alignment horizontal="center" vertical="center"/>
    </xf>
    <xf numFmtId="165" fontId="1" fillId="0" borderId="0" xfId="2" applyNumberFormat="1" applyFont="1" applyAlignment="1">
      <alignment horizontal="center" vertical="center"/>
    </xf>
    <xf numFmtId="0" fontId="1" fillId="0" borderId="12" xfId="0" applyFont="1" applyBorder="1"/>
    <xf numFmtId="166" fontId="1" fillId="2" borderId="12" xfId="0" applyNumberFormat="1" applyFont="1" applyFill="1" applyBorder="1"/>
    <xf numFmtId="166" fontId="1" fillId="0" borderId="12" xfId="0" applyNumberFormat="1" applyFont="1" applyBorder="1"/>
    <xf numFmtId="0" fontId="1" fillId="0" borderId="6" xfId="0" applyFont="1" applyBorder="1" applyAlignment="1">
      <alignment horizontal="center" vertical="center"/>
    </xf>
    <xf numFmtId="0" fontId="1" fillId="0" borderId="8" xfId="0" quotePrefix="1" applyFont="1" applyBorder="1" applyAlignment="1">
      <alignment horizontal="center"/>
    </xf>
    <xf numFmtId="0" fontId="1" fillId="2" borderId="9" xfId="0" applyFont="1" applyFill="1" applyBorder="1"/>
    <xf numFmtId="0" fontId="1" fillId="2" borderId="11" xfId="0" applyFont="1" applyFill="1" applyBorder="1"/>
    <xf numFmtId="164" fontId="1" fillId="2" borderId="12" xfId="1" applyNumberFormat="1" applyFont="1" applyFill="1" applyBorder="1" applyAlignment="1">
      <alignment horizontal="center"/>
    </xf>
    <xf numFmtId="0" fontId="1" fillId="0" borderId="3" xfId="0" applyFont="1" applyBorder="1" applyAlignment="1">
      <alignment horizontal="center" vertical="center"/>
    </xf>
    <xf numFmtId="43" fontId="1" fillId="0" borderId="10" xfId="0" applyNumberFormat="1" applyFont="1" applyBorder="1" applyAlignment="1">
      <alignment horizontal="center" vertical="center"/>
    </xf>
    <xf numFmtId="43" fontId="1" fillId="5" borderId="10" xfId="0" applyNumberFormat="1" applyFont="1" applyFill="1" applyBorder="1" applyAlignment="1">
      <alignment horizontal="center" vertical="center"/>
    </xf>
    <xf numFmtId="43" fontId="1" fillId="5" borderId="13" xfId="0" applyNumberFormat="1" applyFont="1" applyFill="1" applyBorder="1" applyAlignment="1">
      <alignment horizontal="center" vertical="center"/>
    </xf>
    <xf numFmtId="0" fontId="1" fillId="0" borderId="6" xfId="0" applyFont="1" applyBorder="1" applyAlignment="1">
      <alignment horizontal="center"/>
    </xf>
    <xf numFmtId="165" fontId="1" fillId="0" borderId="10" xfId="2" quotePrefix="1" applyNumberFormat="1" applyFont="1" applyBorder="1" applyAlignment="1">
      <alignment horizontal="center"/>
    </xf>
    <xf numFmtId="10" fontId="1" fillId="0" borderId="10" xfId="2" applyNumberFormat="1" applyFont="1" applyBorder="1" applyAlignment="1">
      <alignment horizontal="center"/>
    </xf>
    <xf numFmtId="0" fontId="1" fillId="0" borderId="12" xfId="0" applyFont="1" applyBorder="1" applyAlignment="1">
      <alignment horizontal="center"/>
    </xf>
    <xf numFmtId="164" fontId="1" fillId="0" borderId="13" xfId="0" applyNumberFormat="1" applyFont="1" applyBorder="1" applyAlignment="1">
      <alignment horizontal="center"/>
    </xf>
    <xf numFmtId="0" fontId="1" fillId="0" borderId="0" xfId="0" applyFont="1" applyAlignment="1">
      <alignment vertical="center"/>
    </xf>
    <xf numFmtId="4" fontId="1" fillId="0" borderId="2" xfId="0" applyNumberFormat="1" applyFont="1" applyBorder="1" applyAlignment="1">
      <alignment horizontal="center" vertical="center" wrapText="1"/>
    </xf>
    <xf numFmtId="4" fontId="1" fillId="2" borderId="2" xfId="0" applyNumberFormat="1" applyFont="1" applyFill="1" applyBorder="1" applyAlignment="1">
      <alignment horizontal="center" vertical="center" wrapText="1"/>
    </xf>
    <xf numFmtId="0" fontId="1" fillId="2" borderId="2" xfId="0" applyFont="1" applyFill="1" applyBorder="1" applyAlignment="1">
      <alignment vertical="center" wrapText="1"/>
    </xf>
    <xf numFmtId="0" fontId="2" fillId="2" borderId="2" xfId="0" applyFont="1" applyFill="1" applyBorder="1"/>
    <xf numFmtId="0" fontId="1" fillId="0" borderId="2" xfId="0" applyFont="1" applyBorder="1" applyAlignment="1">
      <alignment horizontal="center" vertical="center" wrapText="1"/>
    </xf>
    <xf numFmtId="14" fontId="1" fillId="2" borderId="2" xfId="0" applyNumberFormat="1" applyFont="1" applyFill="1" applyBorder="1" applyAlignment="1">
      <alignment horizontal="left"/>
    </xf>
    <xf numFmtId="0" fontId="1" fillId="2" borderId="2" xfId="0" applyFont="1" applyFill="1" applyBorder="1" applyAlignment="1">
      <alignment horizontal="left"/>
    </xf>
    <xf numFmtId="9" fontId="1" fillId="0" borderId="2" xfId="0" applyNumberFormat="1" applyFont="1" applyBorder="1" applyAlignment="1">
      <alignment horizontal="center" vertical="center" wrapText="1"/>
    </xf>
    <xf numFmtId="0" fontId="1" fillId="0" borderId="2" xfId="0" applyFont="1" applyBorder="1" applyAlignment="1">
      <alignment horizontal="center"/>
    </xf>
    <xf numFmtId="0" fontId="1" fillId="0" borderId="2" xfId="0" applyFont="1" applyBorder="1" applyAlignment="1">
      <alignment vertical="center" wrapText="1"/>
    </xf>
    <xf numFmtId="0" fontId="1" fillId="0" borderId="1" xfId="0" applyFont="1" applyBorder="1" applyAlignment="1">
      <alignment horizontal="left" vertical="center" wrapText="1"/>
    </xf>
    <xf numFmtId="0" fontId="1" fillId="0" borderId="1" xfId="0" applyFont="1" applyBorder="1" applyAlignment="1">
      <alignment horizontal="center" vertical="center" wrapText="1"/>
    </xf>
    <xf numFmtId="0" fontId="1" fillId="5" borderId="1" xfId="0" applyFont="1" applyFill="1" applyBorder="1" applyAlignment="1">
      <alignment horizontal="center" vertical="center" wrapText="1"/>
    </xf>
    <xf numFmtId="0" fontId="2" fillId="2" borderId="0" xfId="0" applyFont="1" applyFill="1" applyAlignment="1">
      <alignment horizontal="center"/>
    </xf>
    <xf numFmtId="14" fontId="2" fillId="2" borderId="0" xfId="0" applyNumberFormat="1" applyFont="1" applyFill="1" applyAlignment="1">
      <alignment horizontal="center"/>
    </xf>
    <xf numFmtId="0" fontId="8" fillId="2" borderId="0" xfId="0" applyFont="1" applyFill="1" applyAlignment="1">
      <alignment horizontal="center"/>
    </xf>
    <xf numFmtId="0" fontId="35" fillId="2" borderId="0" xfId="3" applyFill="1" applyAlignment="1">
      <alignment horizontal="center"/>
    </xf>
    <xf numFmtId="0" fontId="22" fillId="0" borderId="0" xfId="0" applyFont="1" applyAlignment="1">
      <alignment horizontal="left" wrapText="1"/>
    </xf>
    <xf numFmtId="0" fontId="2" fillId="2" borderId="0" xfId="0" applyFont="1" applyFill="1" applyAlignment="1">
      <alignment horizontal="center" vertical="center"/>
    </xf>
    <xf numFmtId="0" fontId="1" fillId="0" borderId="6" xfId="0" applyFont="1" applyBorder="1" applyAlignment="1">
      <alignment horizontal="left" vertical="top" wrapText="1"/>
    </xf>
    <xf numFmtId="0" fontId="1" fillId="0" borderId="7" xfId="0" applyFont="1" applyBorder="1" applyAlignment="1">
      <alignment horizontal="left" vertical="top" wrapText="1"/>
    </xf>
    <xf numFmtId="0" fontId="1" fillId="0" borderId="8" xfId="0" applyFont="1" applyBorder="1" applyAlignment="1">
      <alignment horizontal="left" vertical="top" wrapText="1"/>
    </xf>
    <xf numFmtId="0" fontId="1" fillId="0" borderId="9" xfId="0" applyFont="1" applyBorder="1" applyAlignment="1">
      <alignment horizontal="left" vertical="top" wrapText="1"/>
    </xf>
    <xf numFmtId="0" fontId="1" fillId="0" borderId="0" xfId="0" applyFont="1" applyAlignment="1">
      <alignment horizontal="left" vertical="top" wrapText="1"/>
    </xf>
    <xf numFmtId="0" fontId="1" fillId="0" borderId="10" xfId="0" applyFont="1" applyBorder="1" applyAlignment="1">
      <alignment horizontal="left" vertical="top" wrapText="1"/>
    </xf>
    <xf numFmtId="0" fontId="1" fillId="0" borderId="11" xfId="0" applyFont="1" applyBorder="1" applyAlignment="1">
      <alignment horizontal="left" vertical="top" wrapText="1"/>
    </xf>
    <xf numFmtId="0" fontId="1" fillId="0" borderId="12" xfId="0" applyFont="1" applyBorder="1" applyAlignment="1">
      <alignment horizontal="left" vertical="top" wrapText="1"/>
    </xf>
    <xf numFmtId="0" fontId="1" fillId="0" borderId="13" xfId="0" applyFont="1" applyBorder="1" applyAlignment="1">
      <alignment horizontal="left" vertical="top" wrapText="1"/>
    </xf>
    <xf numFmtId="0" fontId="1" fillId="2" borderId="2" xfId="0" applyFont="1" applyFill="1" applyBorder="1" applyAlignment="1">
      <alignment horizontal="left" vertical="top"/>
    </xf>
    <xf numFmtId="0" fontId="6" fillId="3" borderId="3" xfId="0" applyFont="1" applyFill="1" applyBorder="1" applyAlignment="1">
      <alignment horizontal="left"/>
    </xf>
    <xf numFmtId="0" fontId="6" fillId="3" borderId="4" xfId="0" applyFont="1" applyFill="1" applyBorder="1" applyAlignment="1">
      <alignment horizontal="left"/>
    </xf>
    <xf numFmtId="0" fontId="6" fillId="3" borderId="5" xfId="0" applyFont="1" applyFill="1" applyBorder="1" applyAlignment="1">
      <alignment horizontal="left"/>
    </xf>
    <xf numFmtId="0" fontId="6" fillId="2" borderId="2" xfId="0" applyFont="1" applyFill="1" applyBorder="1" applyAlignment="1">
      <alignment horizontal="left"/>
    </xf>
    <xf numFmtId="0" fontId="10" fillId="0" borderId="2" xfId="0" applyFont="1" applyBorder="1" applyAlignment="1">
      <alignment horizontal="left"/>
    </xf>
    <xf numFmtId="0" fontId="1" fillId="2" borderId="2" xfId="0" applyFont="1" applyFill="1" applyBorder="1" applyAlignment="1">
      <alignment horizontal="left"/>
    </xf>
    <xf numFmtId="0" fontId="10" fillId="0" borderId="2" xfId="0" applyFont="1" applyBorder="1" applyAlignment="1">
      <alignment horizontal="left" vertical="top"/>
    </xf>
    <xf numFmtId="0" fontId="6" fillId="3" borderId="2" xfId="0" applyFont="1" applyFill="1" applyBorder="1" applyAlignment="1">
      <alignment horizontal="left"/>
    </xf>
    <xf numFmtId="0" fontId="6" fillId="3" borderId="3" xfId="0" applyFont="1" applyFill="1" applyBorder="1" applyAlignment="1">
      <alignment horizontal="left" wrapText="1"/>
    </xf>
    <xf numFmtId="0" fontId="0" fillId="0" borderId="4" xfId="0" applyBorder="1" applyAlignment="1">
      <alignment horizontal="left" wrapText="1"/>
    </xf>
    <xf numFmtId="0" fontId="0" fillId="0" borderId="5" xfId="0" applyBorder="1" applyAlignment="1">
      <alignment horizontal="left" wrapText="1"/>
    </xf>
    <xf numFmtId="0" fontId="7" fillId="0" borderId="2" xfId="0" applyFont="1" applyBorder="1" applyAlignment="1">
      <alignment horizontal="left"/>
    </xf>
    <xf numFmtId="0" fontId="1" fillId="2" borderId="6" xfId="0" applyFont="1" applyFill="1" applyBorder="1" applyAlignment="1">
      <alignment horizontal="left" vertical="top" wrapText="1"/>
    </xf>
    <xf numFmtId="0" fontId="1" fillId="2" borderId="7" xfId="0" applyFont="1" applyFill="1" applyBorder="1" applyAlignment="1">
      <alignment horizontal="left" vertical="top" wrapText="1"/>
    </xf>
    <xf numFmtId="0" fontId="1" fillId="2" borderId="8" xfId="0" applyFont="1" applyFill="1" applyBorder="1" applyAlignment="1">
      <alignment horizontal="left" vertical="top" wrapText="1"/>
    </xf>
    <xf numFmtId="0" fontId="1" fillId="2" borderId="9" xfId="0" applyFont="1" applyFill="1" applyBorder="1" applyAlignment="1">
      <alignment horizontal="left" vertical="top" wrapText="1"/>
    </xf>
    <xf numFmtId="0" fontId="1" fillId="2" borderId="0" xfId="0" applyFont="1" applyFill="1" applyAlignment="1">
      <alignment horizontal="left" vertical="top" wrapText="1"/>
    </xf>
    <xf numFmtId="0" fontId="1" fillId="2" borderId="10" xfId="0" applyFont="1" applyFill="1" applyBorder="1" applyAlignment="1">
      <alignment horizontal="left" vertical="top" wrapText="1"/>
    </xf>
    <xf numFmtId="0" fontId="1" fillId="2" borderId="11" xfId="0" applyFont="1" applyFill="1" applyBorder="1" applyAlignment="1">
      <alignment horizontal="left" vertical="top" wrapText="1"/>
    </xf>
    <xf numFmtId="0" fontId="1" fillId="2" borderId="12" xfId="0" applyFont="1" applyFill="1" applyBorder="1" applyAlignment="1">
      <alignment horizontal="left" vertical="top" wrapText="1"/>
    </xf>
    <xf numFmtId="0" fontId="1" fillId="2" borderId="13" xfId="0" applyFont="1" applyFill="1" applyBorder="1" applyAlignment="1">
      <alignment horizontal="left" vertical="top" wrapText="1"/>
    </xf>
    <xf numFmtId="0" fontId="1" fillId="2" borderId="7" xfId="0" applyFont="1" applyFill="1" applyBorder="1" applyAlignment="1">
      <alignment horizontal="left" vertical="top"/>
    </xf>
    <xf numFmtId="0" fontId="1" fillId="2" borderId="8" xfId="0" applyFont="1" applyFill="1" applyBorder="1" applyAlignment="1">
      <alignment horizontal="left" vertical="top"/>
    </xf>
    <xf numFmtId="0" fontId="1" fillId="2" borderId="9" xfId="0" applyFont="1" applyFill="1" applyBorder="1" applyAlignment="1">
      <alignment horizontal="left" vertical="top"/>
    </xf>
    <xf numFmtId="0" fontId="1" fillId="2" borderId="0" xfId="0" applyFont="1" applyFill="1" applyAlignment="1">
      <alignment horizontal="left" vertical="top"/>
    </xf>
    <xf numFmtId="0" fontId="1" fillId="2" borderId="10" xfId="0" applyFont="1" applyFill="1" applyBorder="1" applyAlignment="1">
      <alignment horizontal="left" vertical="top"/>
    </xf>
    <xf numFmtId="0" fontId="1" fillId="2" borderId="11" xfId="0" applyFont="1" applyFill="1" applyBorder="1" applyAlignment="1">
      <alignment horizontal="left" vertical="top"/>
    </xf>
    <xf numFmtId="0" fontId="1" fillId="2" borderId="12" xfId="0" applyFont="1" applyFill="1" applyBorder="1" applyAlignment="1">
      <alignment horizontal="left" vertical="top"/>
    </xf>
    <xf numFmtId="0" fontId="1" fillId="2" borderId="13" xfId="0" applyFont="1" applyFill="1" applyBorder="1" applyAlignment="1">
      <alignment horizontal="left" vertical="top"/>
    </xf>
    <xf numFmtId="0" fontId="2" fillId="0" borderId="0" xfId="0" applyFont="1" applyAlignment="1">
      <alignment horizontal="left" vertical="top" wrapText="1"/>
    </xf>
    <xf numFmtId="0" fontId="1" fillId="0" borderId="6" xfId="0" applyFont="1" applyBorder="1" applyAlignment="1">
      <alignment horizontal="left" vertical="center" wrapText="1"/>
    </xf>
    <xf numFmtId="0" fontId="1" fillId="0" borderId="9" xfId="0" applyFont="1" applyBorder="1" applyAlignment="1">
      <alignment horizontal="left" vertical="center" wrapText="1"/>
    </xf>
    <xf numFmtId="0" fontId="12" fillId="0" borderId="0" xfId="0" applyFont="1" applyAlignment="1">
      <alignment horizontal="left" wrapText="1"/>
    </xf>
    <xf numFmtId="0" fontId="12" fillId="0" borderId="0" xfId="0" applyFont="1" applyAlignment="1">
      <alignment horizontal="left" vertical="top" wrapText="1"/>
    </xf>
    <xf numFmtId="0" fontId="1" fillId="0" borderId="7" xfId="0" applyFont="1" applyBorder="1" applyAlignment="1">
      <alignment horizontal="center" vertical="center" textRotation="90"/>
    </xf>
    <xf numFmtId="0" fontId="1" fillId="0" borderId="0" xfId="0" applyFont="1" applyAlignment="1">
      <alignment horizontal="center" vertical="center" textRotation="90"/>
    </xf>
    <xf numFmtId="0" fontId="1" fillId="0" borderId="12" xfId="0" applyFont="1" applyBorder="1" applyAlignment="1">
      <alignment horizontal="center" vertical="center" textRotation="90"/>
    </xf>
    <xf numFmtId="164" fontId="6" fillId="2" borderId="7" xfId="1" applyNumberFormat="1" applyFont="1" applyFill="1" applyBorder="1" applyAlignment="1"/>
    <xf numFmtId="0" fontId="1" fillId="0" borderId="0" xfId="0" applyFont="1" applyAlignment="1">
      <alignment horizontal="center" textRotation="90"/>
    </xf>
    <xf numFmtId="0" fontId="1" fillId="0" borderId="2" xfId="0" applyFont="1" applyBorder="1" applyAlignment="1">
      <alignment horizontal="left" vertical="center" wrapText="1"/>
    </xf>
    <xf numFmtId="0" fontId="7" fillId="0" borderId="2" xfId="0" applyFont="1" applyBorder="1" applyAlignment="1">
      <alignment horizontal="left" vertical="top" wrapText="1"/>
    </xf>
    <xf numFmtId="0" fontId="6" fillId="2" borderId="2" xfId="0" applyFont="1" applyFill="1" applyBorder="1" applyAlignment="1">
      <alignment horizontal="left" vertical="top" wrapText="1"/>
    </xf>
    <xf numFmtId="0" fontId="14" fillId="4" borderId="2" xfId="0" applyFont="1" applyFill="1" applyBorder="1" applyAlignment="1">
      <alignment horizontal="left" vertical="center" wrapText="1"/>
    </xf>
    <xf numFmtId="0" fontId="1" fillId="0" borderId="3" xfId="0" applyFont="1" applyBorder="1" applyAlignment="1">
      <alignment horizontal="left" vertical="center" wrapText="1"/>
    </xf>
    <xf numFmtId="0" fontId="1" fillId="0" borderId="4" xfId="0" applyFont="1" applyBorder="1" applyAlignment="1">
      <alignment horizontal="left" vertical="center" wrapText="1"/>
    </xf>
    <xf numFmtId="0" fontId="1" fillId="0" borderId="5" xfId="0" applyFont="1" applyBorder="1" applyAlignment="1">
      <alignment horizontal="left" vertical="center" wrapText="1"/>
    </xf>
    <xf numFmtId="0" fontId="1" fillId="0" borderId="3" xfId="0" applyFont="1" applyBorder="1" applyAlignment="1">
      <alignment horizontal="center" vertical="center" wrapText="1"/>
    </xf>
    <xf numFmtId="0" fontId="1" fillId="0" borderId="5" xfId="0" applyFont="1" applyBorder="1" applyAlignment="1">
      <alignment horizontal="center" vertical="center" wrapText="1"/>
    </xf>
    <xf numFmtId="4" fontId="1" fillId="0" borderId="3" xfId="0" applyNumberFormat="1" applyFont="1" applyBorder="1" applyAlignment="1">
      <alignment horizontal="center" vertical="center" wrapText="1"/>
    </xf>
    <xf numFmtId="4" fontId="1" fillId="0" borderId="5" xfId="0" applyNumberFormat="1" applyFont="1" applyBorder="1" applyAlignment="1">
      <alignment horizontal="center" vertical="center" wrapText="1"/>
    </xf>
    <xf numFmtId="0" fontId="1" fillId="2" borderId="3" xfId="0" applyFont="1" applyFill="1" applyBorder="1" applyAlignment="1">
      <alignment horizontal="left" vertical="center" wrapText="1"/>
    </xf>
    <xf numFmtId="0" fontId="1" fillId="2" borderId="4" xfId="0" applyFont="1" applyFill="1" applyBorder="1" applyAlignment="1">
      <alignment horizontal="left" vertical="center" wrapText="1"/>
    </xf>
    <xf numFmtId="0" fontId="1" fillId="2" borderId="5" xfId="0" applyFont="1" applyFill="1" applyBorder="1" applyAlignment="1">
      <alignment horizontal="left" vertical="center" wrapText="1"/>
    </xf>
    <xf numFmtId="0" fontId="1" fillId="2" borderId="3" xfId="0" applyFont="1" applyFill="1" applyBorder="1" applyAlignment="1">
      <alignment horizontal="center" vertical="center" wrapText="1"/>
    </xf>
    <xf numFmtId="0" fontId="1" fillId="2" borderId="5" xfId="0" applyFont="1" applyFill="1" applyBorder="1" applyAlignment="1">
      <alignment horizontal="center" vertical="center" wrapText="1"/>
    </xf>
    <xf numFmtId="4" fontId="1" fillId="2" borderId="3" xfId="0" applyNumberFormat="1" applyFont="1" applyFill="1" applyBorder="1" applyAlignment="1">
      <alignment horizontal="center" vertical="center" wrapText="1"/>
    </xf>
    <xf numFmtId="4" fontId="1" fillId="2" borderId="5" xfId="0" applyNumberFormat="1" applyFont="1" applyFill="1" applyBorder="1" applyAlignment="1">
      <alignment horizontal="center" vertical="center" wrapText="1"/>
    </xf>
    <xf numFmtId="0" fontId="14" fillId="4" borderId="9" xfId="0" applyFont="1" applyFill="1" applyBorder="1" applyAlignment="1">
      <alignment horizontal="center" vertical="center" wrapText="1"/>
    </xf>
    <xf numFmtId="0" fontId="14" fillId="4" borderId="0" xfId="0" applyFont="1" applyFill="1" applyAlignment="1">
      <alignment horizontal="center" vertical="center" wrapText="1"/>
    </xf>
    <xf numFmtId="0" fontId="14" fillId="4" borderId="10" xfId="0" applyFont="1" applyFill="1" applyBorder="1" applyAlignment="1">
      <alignment horizontal="center" vertical="center" wrapText="1"/>
    </xf>
    <xf numFmtId="0" fontId="14" fillId="4" borderId="6" xfId="0" applyFont="1" applyFill="1" applyBorder="1" applyAlignment="1">
      <alignment horizontal="center" vertical="center" wrapText="1"/>
    </xf>
    <xf numFmtId="0" fontId="14" fillId="4" borderId="8" xfId="0" applyFont="1" applyFill="1" applyBorder="1" applyAlignment="1">
      <alignment horizontal="center" vertical="center" wrapText="1"/>
    </xf>
    <xf numFmtId="0" fontId="10" fillId="0" borderId="2" xfId="0" applyFont="1" applyBorder="1" applyAlignment="1">
      <alignment vertical="center" wrapText="1"/>
    </xf>
    <xf numFmtId="168" fontId="10" fillId="0" borderId="2" xfId="0" applyNumberFormat="1" applyFont="1" applyBorder="1" applyAlignment="1">
      <alignment horizontal="center" vertical="center" wrapText="1"/>
    </xf>
    <xf numFmtId="165" fontId="1" fillId="0" borderId="2" xfId="2" applyNumberFormat="1" applyFont="1" applyBorder="1" applyAlignment="1">
      <alignment horizontal="center" vertical="center" wrapText="1"/>
    </xf>
    <xf numFmtId="0" fontId="1" fillId="2" borderId="2" xfId="0" applyFont="1" applyFill="1" applyBorder="1" applyAlignment="1">
      <alignment vertical="center" wrapText="1"/>
    </xf>
    <xf numFmtId="0" fontId="1" fillId="2" borderId="2" xfId="0" applyFont="1" applyFill="1" applyBorder="1" applyAlignment="1">
      <alignment horizontal="center" vertical="center" wrapText="1"/>
    </xf>
    <xf numFmtId="168" fontId="1" fillId="2" borderId="1" xfId="0" applyNumberFormat="1" applyFont="1" applyFill="1" applyBorder="1" applyAlignment="1">
      <alignment horizontal="center" vertical="center" wrapText="1"/>
    </xf>
    <xf numFmtId="165" fontId="1" fillId="0" borderId="1" xfId="2" applyNumberFormat="1" applyFont="1" applyBorder="1" applyAlignment="1">
      <alignment horizontal="center" vertical="center" wrapText="1"/>
    </xf>
    <xf numFmtId="0" fontId="1" fillId="0" borderId="2" xfId="0" applyFont="1" applyBorder="1" applyAlignment="1">
      <alignment vertical="center" wrapText="1"/>
    </xf>
    <xf numFmtId="168" fontId="1" fillId="0" borderId="1" xfId="0" applyNumberFormat="1" applyFont="1" applyBorder="1" applyAlignment="1">
      <alignment horizontal="center" vertical="center" wrapText="1"/>
    </xf>
    <xf numFmtId="4" fontId="1" fillId="0" borderId="4" xfId="0" applyNumberFormat="1" applyFont="1" applyBorder="1" applyAlignment="1">
      <alignment horizontal="center" vertical="center" wrapText="1"/>
    </xf>
    <xf numFmtId="0" fontId="1" fillId="0" borderId="4" xfId="0" applyFont="1" applyBorder="1" applyAlignment="1">
      <alignment horizontal="center" vertical="center" wrapText="1"/>
    </xf>
    <xf numFmtId="0" fontId="1" fillId="0" borderId="14" xfId="0" applyFont="1" applyBorder="1" applyAlignment="1">
      <alignment vertical="center" wrapText="1"/>
    </xf>
    <xf numFmtId="0" fontId="1" fillId="2" borderId="2" xfId="0" applyFont="1" applyFill="1" applyBorder="1" applyAlignment="1">
      <alignment horizontal="left" vertical="center" wrapText="1"/>
    </xf>
    <xf numFmtId="0" fontId="1" fillId="0" borderId="1" xfId="0" applyFont="1" applyBorder="1" applyAlignment="1">
      <alignment vertical="center" wrapText="1"/>
    </xf>
    <xf numFmtId="0" fontId="6" fillId="0" borderId="0" xfId="0" applyFont="1" applyAlignment="1">
      <alignment horizontal="left"/>
    </xf>
    <xf numFmtId="0" fontId="6" fillId="0" borderId="0" xfId="0" applyFont="1" applyAlignment="1">
      <alignment horizontal="left" vertical="top"/>
    </xf>
    <xf numFmtId="167" fontId="6" fillId="2" borderId="0" xfId="0" applyNumberFormat="1" applyFont="1" applyFill="1" applyAlignment="1">
      <alignment horizontal="center" vertical="top"/>
    </xf>
    <xf numFmtId="0" fontId="14" fillId="4" borderId="2" xfId="0" applyFont="1" applyFill="1" applyBorder="1" applyAlignment="1">
      <alignment horizontal="center" vertical="center" wrapText="1"/>
    </xf>
    <xf numFmtId="0" fontId="1" fillId="2" borderId="2" xfId="0" applyFont="1" applyFill="1" applyBorder="1" applyAlignment="1">
      <alignment horizontal="left" vertical="top" wrapText="1"/>
    </xf>
    <xf numFmtId="3" fontId="1" fillId="0" borderId="2" xfId="0" applyNumberFormat="1" applyFont="1" applyBorder="1" applyAlignment="1">
      <alignment horizontal="center" vertical="center" wrapText="1"/>
    </xf>
    <xf numFmtId="1" fontId="1" fillId="0" borderId="2" xfId="0" applyNumberFormat="1" applyFont="1" applyBorder="1" applyAlignment="1">
      <alignment horizontal="center" vertical="center"/>
    </xf>
    <xf numFmtId="0" fontId="1" fillId="5" borderId="2" xfId="0" applyFont="1" applyFill="1" applyBorder="1" applyAlignment="1">
      <alignment horizontal="center" vertical="center" wrapText="1"/>
    </xf>
    <xf numFmtId="0" fontId="1" fillId="0" borderId="2" xfId="0" applyFont="1" applyBorder="1" applyAlignment="1">
      <alignment horizontal="left"/>
    </xf>
    <xf numFmtId="0" fontId="1" fillId="0" borderId="2" xfId="0" applyFont="1" applyBorder="1" applyAlignment="1">
      <alignment horizontal="center" vertical="center" wrapText="1"/>
    </xf>
    <xf numFmtId="0" fontId="6" fillId="0" borderId="0" xfId="0" applyFont="1" applyAlignment="1">
      <alignment horizontal="center" vertical="top"/>
    </xf>
    <xf numFmtId="167" fontId="6" fillId="0" borderId="0" xfId="0" applyNumberFormat="1" applyFont="1" applyAlignment="1">
      <alignment horizontal="center" vertical="top"/>
    </xf>
    <xf numFmtId="0" fontId="7" fillId="0" borderId="11" xfId="0" applyFont="1" applyBorder="1" applyAlignment="1">
      <alignment horizontal="center" vertical="center"/>
    </xf>
    <xf numFmtId="0" fontId="7" fillId="0" borderId="12" xfId="0" applyFont="1" applyBorder="1" applyAlignment="1">
      <alignment horizontal="center" vertical="center"/>
    </xf>
    <xf numFmtId="0" fontId="7" fillId="0" borderId="0" xfId="0" applyFont="1" applyAlignment="1">
      <alignment horizontal="center" vertical="center"/>
    </xf>
    <xf numFmtId="0" fontId="1" fillId="2" borderId="3" xfId="0" applyFont="1" applyFill="1" applyBorder="1" applyAlignment="1">
      <alignment horizontal="left"/>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1" fillId="2" borderId="2" xfId="0" applyFont="1" applyFill="1" applyBorder="1" applyAlignment="1">
      <alignment horizontal="center" vertical="center"/>
    </xf>
    <xf numFmtId="10" fontId="1" fillId="2" borderId="2" xfId="0" applyNumberFormat="1" applyFont="1" applyFill="1" applyBorder="1" applyAlignment="1">
      <alignment horizontal="center" vertical="center"/>
    </xf>
    <xf numFmtId="0" fontId="6" fillId="7" borderId="3" xfId="0" applyFont="1" applyFill="1" applyBorder="1" applyAlignment="1">
      <alignment horizontal="center"/>
    </xf>
    <xf numFmtId="0" fontId="6" fillId="7" borderId="5" xfId="0" applyFont="1" applyFill="1" applyBorder="1" applyAlignment="1">
      <alignment horizontal="center"/>
    </xf>
    <xf numFmtId="0" fontId="7" fillId="0" borderId="2" xfId="0" applyFont="1" applyBorder="1" applyAlignment="1">
      <alignment horizontal="left" vertical="center" wrapText="1"/>
    </xf>
    <xf numFmtId="0" fontId="7" fillId="3" borderId="3" xfId="0" applyFont="1" applyFill="1" applyBorder="1" applyAlignment="1">
      <alignment horizontal="center" vertical="center"/>
    </xf>
    <xf numFmtId="0" fontId="7" fillId="3" borderId="5" xfId="0" applyFont="1" applyFill="1" applyBorder="1" applyAlignment="1">
      <alignment horizontal="center" vertical="center"/>
    </xf>
    <xf numFmtId="0" fontId="7" fillId="3" borderId="4" xfId="0" applyFont="1" applyFill="1" applyBorder="1" applyAlignment="1">
      <alignment horizontal="center" vertical="center"/>
    </xf>
    <xf numFmtId="0" fontId="6" fillId="3" borderId="3" xfId="0" applyFont="1" applyFill="1" applyBorder="1" applyAlignment="1">
      <alignment horizontal="center" vertical="center"/>
    </xf>
    <xf numFmtId="0" fontId="6" fillId="3" borderId="5" xfId="0" applyFont="1" applyFill="1" applyBorder="1" applyAlignment="1">
      <alignment horizontal="center" vertical="center"/>
    </xf>
    <xf numFmtId="0" fontId="7" fillId="3" borderId="2" xfId="0" applyFont="1" applyFill="1" applyBorder="1" applyAlignment="1">
      <alignment horizontal="center" vertical="center"/>
    </xf>
    <xf numFmtId="0" fontId="10" fillId="0" borderId="7" xfId="0" applyFont="1" applyBorder="1" applyAlignment="1">
      <alignment horizontal="center" wrapText="1"/>
    </xf>
    <xf numFmtId="0" fontId="7" fillId="0" borderId="3" xfId="0" applyFont="1" applyBorder="1" applyAlignment="1">
      <alignment horizontal="left" vertical="center" wrapText="1"/>
    </xf>
    <xf numFmtId="0" fontId="7" fillId="0" borderId="4" xfId="0" applyFont="1" applyBorder="1" applyAlignment="1">
      <alignment horizontal="left" vertical="center" wrapText="1"/>
    </xf>
    <xf numFmtId="0" fontId="7" fillId="0" borderId="5" xfId="0" applyFont="1" applyBorder="1" applyAlignment="1">
      <alignment horizontal="left" vertical="center" wrapText="1"/>
    </xf>
    <xf numFmtId="0" fontId="1" fillId="2" borderId="6" xfId="0" applyFont="1" applyFill="1" applyBorder="1" applyAlignment="1">
      <alignment horizontal="left" vertical="top"/>
    </xf>
    <xf numFmtId="0" fontId="7" fillId="0" borderId="3" xfId="0" applyFont="1" applyBorder="1" applyAlignment="1">
      <alignment horizontal="left" vertical="center"/>
    </xf>
    <xf numFmtId="0" fontId="7" fillId="0" borderId="4" xfId="0" applyFont="1" applyBorder="1" applyAlignment="1">
      <alignment horizontal="left" vertical="center"/>
    </xf>
    <xf numFmtId="0" fontId="7" fillId="0" borderId="5" xfId="0" applyFont="1" applyBorder="1" applyAlignment="1">
      <alignment horizontal="left" vertical="center"/>
    </xf>
    <xf numFmtId="0" fontId="4" fillId="0" borderId="2" xfId="0" applyFont="1" applyBorder="1" applyAlignment="1">
      <alignment vertical="top" wrapText="1"/>
    </xf>
    <xf numFmtId="0" fontId="0" fillId="0" borderId="2" xfId="0" applyBorder="1" applyAlignment="1">
      <alignment vertical="top"/>
    </xf>
    <xf numFmtId="0" fontId="34" fillId="0" borderId="3" xfId="0" applyFont="1" applyBorder="1" applyAlignment="1">
      <alignment vertical="top" wrapText="1"/>
    </xf>
    <xf numFmtId="0" fontId="0" fillId="0" borderId="5" xfId="0" applyBorder="1" applyAlignment="1">
      <alignment vertical="top" wrapText="1"/>
    </xf>
    <xf numFmtId="0" fontId="2" fillId="0" borderId="2" xfId="0" applyFont="1" applyBorder="1" applyAlignment="1">
      <alignment vertical="top" wrapText="1"/>
    </xf>
    <xf numFmtId="0" fontId="34" fillId="0" borderId="2" xfId="0" applyFont="1" applyBorder="1" applyAlignment="1">
      <alignment vertical="top" wrapText="1"/>
    </xf>
    <xf numFmtId="0" fontId="0" fillId="0" borderId="2" xfId="0" applyBorder="1" applyAlignment="1">
      <alignment vertical="top" wrapText="1"/>
    </xf>
    <xf numFmtId="0" fontId="0" fillId="0" borderId="0" xfId="0" applyAlignment="1">
      <alignment wrapText="1"/>
    </xf>
    <xf numFmtId="0" fontId="2" fillId="0" borderId="0" xfId="0" applyFont="1" applyAlignment="1">
      <alignment vertical="top" wrapText="1"/>
    </xf>
    <xf numFmtId="0" fontId="6" fillId="2" borderId="2" xfId="0" applyFont="1" applyFill="1" applyBorder="1" applyAlignment="1">
      <alignment horizontal="left" vertical="top"/>
    </xf>
    <xf numFmtId="0" fontId="10" fillId="3" borderId="2" xfId="0" applyFont="1" applyFill="1" applyBorder="1" applyAlignment="1">
      <alignment horizontal="left" vertical="center" wrapText="1"/>
    </xf>
    <xf numFmtId="9" fontId="1" fillId="5" borderId="2" xfId="0" applyNumberFormat="1" applyFont="1" applyFill="1" applyBorder="1" applyAlignment="1">
      <alignment horizontal="center" vertical="center" wrapText="1"/>
    </xf>
    <xf numFmtId="10" fontId="1" fillId="5" borderId="2" xfId="0" applyNumberFormat="1" applyFont="1" applyFill="1" applyBorder="1" applyAlignment="1">
      <alignment horizontal="center" vertical="center" wrapText="1"/>
    </xf>
    <xf numFmtId="0" fontId="1" fillId="6" borderId="16" xfId="0" applyFont="1" applyFill="1" applyBorder="1" applyAlignment="1">
      <alignment horizontal="center" vertical="center" wrapText="1"/>
    </xf>
    <xf numFmtId="0" fontId="1" fillId="6" borderId="17"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5" borderId="5" xfId="0" applyFont="1" applyFill="1" applyBorder="1" applyAlignment="1">
      <alignment horizontal="center" vertical="center" wrapText="1"/>
    </xf>
    <xf numFmtId="0" fontId="18" fillId="0" borderId="2" xfId="0" applyFont="1" applyBorder="1" applyAlignment="1">
      <alignment horizontal="left" vertical="center" wrapText="1"/>
    </xf>
    <xf numFmtId="0" fontId="1" fillId="5" borderId="2" xfId="0" applyFont="1" applyFill="1" applyBorder="1" applyAlignment="1">
      <alignment horizontal="left" vertical="center" wrapText="1"/>
    </xf>
    <xf numFmtId="0" fontId="1" fillId="5" borderId="3" xfId="0" applyFont="1" applyFill="1" applyBorder="1" applyAlignment="1">
      <alignment horizontal="left" vertical="center" wrapText="1"/>
    </xf>
    <xf numFmtId="0" fontId="1" fillId="5" borderId="5" xfId="0" applyFont="1" applyFill="1" applyBorder="1" applyAlignment="1">
      <alignment horizontal="left" vertical="center" wrapText="1"/>
    </xf>
    <xf numFmtId="0" fontId="1" fillId="5" borderId="6" xfId="0" applyFont="1" applyFill="1" applyBorder="1" applyAlignment="1">
      <alignment horizontal="left" vertical="center" wrapText="1"/>
    </xf>
    <xf numFmtId="0" fontId="1" fillId="5" borderId="7" xfId="0" applyFont="1" applyFill="1" applyBorder="1" applyAlignment="1">
      <alignment horizontal="left" vertical="center" wrapText="1"/>
    </xf>
    <xf numFmtId="0" fontId="1" fillId="5" borderId="8" xfId="0" applyFont="1" applyFill="1" applyBorder="1" applyAlignment="1">
      <alignment horizontal="left" vertical="center" wrapText="1"/>
    </xf>
    <xf numFmtId="0" fontId="7" fillId="0" borderId="11" xfId="0" applyFont="1" applyBorder="1" applyAlignment="1">
      <alignment horizontal="left" vertical="center" wrapText="1"/>
    </xf>
    <xf numFmtId="0" fontId="7" fillId="0" borderId="12" xfId="0" applyFont="1" applyBorder="1" applyAlignment="1">
      <alignment horizontal="left" vertical="center" wrapText="1"/>
    </xf>
    <xf numFmtId="0" fontId="10" fillId="0" borderId="6" xfId="0" applyFont="1" applyBorder="1" applyAlignment="1">
      <alignment horizontal="left" vertical="center"/>
    </xf>
    <xf numFmtId="0" fontId="10" fillId="0" borderId="7" xfId="0" applyFont="1" applyBorder="1" applyAlignment="1">
      <alignment horizontal="left" vertical="center"/>
    </xf>
    <xf numFmtId="0" fontId="10" fillId="0" borderId="8" xfId="0" applyFont="1" applyBorder="1" applyAlignment="1">
      <alignment horizontal="left" vertical="center"/>
    </xf>
    <xf numFmtId="0" fontId="10" fillId="0" borderId="3" xfId="0" applyFont="1" applyBorder="1" applyAlignment="1">
      <alignment horizontal="center" vertical="center"/>
    </xf>
    <xf numFmtId="0" fontId="10" fillId="0" borderId="5" xfId="0" applyFont="1" applyBorder="1" applyAlignment="1">
      <alignment horizontal="center" vertical="center"/>
    </xf>
    <xf numFmtId="0" fontId="10" fillId="0" borderId="6" xfId="0" applyFont="1" applyBorder="1" applyAlignment="1">
      <alignment horizontal="left" vertical="center" wrapText="1"/>
    </xf>
    <xf numFmtId="0" fontId="10" fillId="0" borderId="8" xfId="0" applyFont="1" applyBorder="1" applyAlignment="1">
      <alignment horizontal="left" vertical="center" wrapText="1"/>
    </xf>
    <xf numFmtId="0" fontId="10" fillId="0" borderId="9" xfId="0" applyFont="1" applyBorder="1" applyAlignment="1">
      <alignment horizontal="left" vertical="center" wrapText="1"/>
    </xf>
    <xf numFmtId="0" fontId="10" fillId="0" borderId="10" xfId="0" applyFont="1" applyBorder="1" applyAlignment="1">
      <alignment horizontal="left" vertical="center" wrapText="1"/>
    </xf>
    <xf numFmtId="0" fontId="18" fillId="0" borderId="3" xfId="0" applyFont="1" applyBorder="1" applyAlignment="1">
      <alignment horizontal="center" vertical="center" wrapText="1"/>
    </xf>
    <xf numFmtId="0" fontId="18" fillId="0" borderId="4" xfId="0" applyFont="1" applyBorder="1" applyAlignment="1">
      <alignment horizontal="center" vertical="center" wrapText="1"/>
    </xf>
    <xf numFmtId="0" fontId="18" fillId="0" borderId="5" xfId="0" applyFont="1" applyBorder="1" applyAlignment="1">
      <alignment horizontal="center" vertical="center" wrapText="1"/>
    </xf>
    <xf numFmtId="0" fontId="10" fillId="0" borderId="6" xfId="0" applyFont="1" applyBorder="1" applyAlignment="1">
      <alignment horizontal="center" vertical="center" wrapText="1"/>
    </xf>
    <xf numFmtId="0" fontId="10" fillId="0" borderId="8"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10" xfId="0" applyFont="1" applyBorder="1" applyAlignment="1">
      <alignment horizontal="center" vertical="center" wrapText="1"/>
    </xf>
    <xf numFmtId="0" fontId="10" fillId="0" borderId="1" xfId="0" applyFont="1" applyBorder="1" applyAlignment="1">
      <alignment horizontal="center" vertical="center" wrapText="1"/>
    </xf>
    <xf numFmtId="0" fontId="10" fillId="0" borderId="15" xfId="0" applyFont="1" applyBorder="1" applyAlignment="1">
      <alignment horizontal="center" vertical="center" wrapText="1"/>
    </xf>
    <xf numFmtId="0" fontId="23" fillId="0" borderId="0" xfId="0" applyFont="1" applyAlignment="1">
      <alignment horizontal="left" vertical="top" wrapText="1"/>
    </xf>
    <xf numFmtId="0" fontId="12" fillId="0" borderId="6" xfId="0" applyFont="1" applyBorder="1" applyAlignment="1">
      <alignment horizontal="right" vertical="top" wrapText="1"/>
    </xf>
    <xf numFmtId="0" fontId="12" fillId="0" borderId="7" xfId="0" applyFont="1" applyBorder="1" applyAlignment="1">
      <alignment horizontal="right" vertical="top" wrapText="1"/>
    </xf>
    <xf numFmtId="0" fontId="12" fillId="0" borderId="8" xfId="0" applyFont="1" applyBorder="1" applyAlignment="1">
      <alignment horizontal="right" vertical="top" wrapText="1"/>
    </xf>
    <xf numFmtId="0" fontId="6" fillId="2" borderId="14" xfId="0" applyFont="1" applyFill="1" applyBorder="1" applyAlignment="1">
      <alignment horizontal="left" vertical="top"/>
    </xf>
    <xf numFmtId="0" fontId="10" fillId="0" borderId="2" xfId="0" applyFont="1" applyBorder="1" applyAlignment="1">
      <alignment horizontal="left" vertical="center" wrapText="1"/>
    </xf>
    <xf numFmtId="0" fontId="10" fillId="0" borderId="14" xfId="0" applyFont="1" applyBorder="1" applyAlignment="1">
      <alignment horizontal="center" vertical="center" wrapText="1"/>
    </xf>
    <xf numFmtId="0" fontId="10" fillId="0" borderId="5" xfId="0" applyFont="1" applyBorder="1" applyAlignment="1">
      <alignment horizontal="center" vertical="center" wrapText="1"/>
    </xf>
    <xf numFmtId="0" fontId="6" fillId="0" borderId="0" xfId="0" applyFont="1" applyAlignment="1">
      <alignment horizontal="left" wrapText="1"/>
    </xf>
    <xf numFmtId="0" fontId="6" fillId="0" borderId="2" xfId="0" applyFont="1" applyBorder="1" applyAlignment="1">
      <alignment horizontal="center" vertical="center"/>
    </xf>
    <xf numFmtId="0" fontId="7" fillId="0" borderId="12" xfId="0" applyFont="1" applyBorder="1" applyAlignment="1">
      <alignment horizontal="center"/>
    </xf>
    <xf numFmtId="0" fontId="7" fillId="0" borderId="2" xfId="0" applyFont="1" applyBorder="1" applyAlignment="1">
      <alignment horizontal="center"/>
    </xf>
    <xf numFmtId="0" fontId="6" fillId="2" borderId="6" xfId="0" applyFont="1" applyFill="1" applyBorder="1" applyAlignment="1">
      <alignment horizontal="left" vertical="top"/>
    </xf>
    <xf numFmtId="0" fontId="6" fillId="2" borderId="7" xfId="0" applyFont="1" applyFill="1" applyBorder="1" applyAlignment="1">
      <alignment horizontal="left" vertical="top"/>
    </xf>
    <xf numFmtId="0" fontId="6" fillId="2" borderId="8" xfId="0" applyFont="1" applyFill="1" applyBorder="1" applyAlignment="1">
      <alignment horizontal="left" vertical="top"/>
    </xf>
    <xf numFmtId="0" fontId="6" fillId="2" borderId="9" xfId="0" applyFont="1" applyFill="1" applyBorder="1" applyAlignment="1">
      <alignment horizontal="left" vertical="top"/>
    </xf>
    <xf numFmtId="0" fontId="6" fillId="2" borderId="0" xfId="0" applyFont="1" applyFill="1" applyAlignment="1">
      <alignment horizontal="left" vertical="top"/>
    </xf>
    <xf numFmtId="0" fontId="6" fillId="2" borderId="10" xfId="0" applyFont="1" applyFill="1" applyBorder="1" applyAlignment="1">
      <alignment horizontal="left" vertical="top"/>
    </xf>
    <xf numFmtId="0" fontId="6" fillId="2" borderId="11" xfId="0" applyFont="1" applyFill="1" applyBorder="1" applyAlignment="1">
      <alignment horizontal="left" vertical="top"/>
    </xf>
    <xf numFmtId="0" fontId="6" fillId="2" borderId="12" xfId="0" applyFont="1" applyFill="1" applyBorder="1" applyAlignment="1">
      <alignment horizontal="left" vertical="top"/>
    </xf>
    <xf numFmtId="0" fontId="6" fillId="2" borderId="13" xfId="0" applyFont="1" applyFill="1" applyBorder="1" applyAlignment="1">
      <alignment horizontal="left" vertical="top"/>
    </xf>
    <xf numFmtId="0" fontId="7" fillId="0" borderId="3" xfId="0" applyFont="1" applyBorder="1" applyAlignment="1">
      <alignment horizontal="left" vertical="top" wrapText="1"/>
    </xf>
    <xf numFmtId="0" fontId="7" fillId="0" borderId="4" xfId="0" applyFont="1" applyBorder="1" applyAlignment="1">
      <alignment horizontal="left" vertical="top" wrapText="1"/>
    </xf>
    <xf numFmtId="0" fontId="7" fillId="0" borderId="5" xfId="0" applyFont="1" applyBorder="1" applyAlignment="1">
      <alignment horizontal="left" vertical="top" wrapText="1"/>
    </xf>
    <xf numFmtId="0" fontId="6" fillId="2" borderId="6" xfId="0" applyFont="1" applyFill="1" applyBorder="1" applyAlignment="1">
      <alignment horizontal="left" vertical="top" wrapText="1"/>
    </xf>
    <xf numFmtId="0" fontId="6" fillId="2" borderId="7" xfId="0" applyFont="1" applyFill="1" applyBorder="1" applyAlignment="1">
      <alignment horizontal="left" vertical="top" wrapText="1"/>
    </xf>
    <xf numFmtId="0" fontId="6" fillId="2" borderId="8" xfId="0" applyFont="1" applyFill="1" applyBorder="1" applyAlignment="1">
      <alignment horizontal="left" vertical="top" wrapText="1"/>
    </xf>
    <xf numFmtId="0" fontId="6" fillId="2" borderId="9" xfId="0" applyFont="1" applyFill="1" applyBorder="1" applyAlignment="1">
      <alignment horizontal="left" vertical="top" wrapText="1"/>
    </xf>
    <xf numFmtId="0" fontId="6" fillId="2" borderId="0" xfId="0" applyFont="1" applyFill="1" applyAlignment="1">
      <alignment horizontal="left" vertical="top" wrapText="1"/>
    </xf>
    <xf numFmtId="0" fontId="6" fillId="2" borderId="10" xfId="0" applyFont="1" applyFill="1" applyBorder="1" applyAlignment="1">
      <alignment horizontal="left" vertical="top" wrapText="1"/>
    </xf>
    <xf numFmtId="0" fontId="6" fillId="2" borderId="11" xfId="0" applyFont="1" applyFill="1" applyBorder="1" applyAlignment="1">
      <alignment horizontal="left" vertical="top" wrapText="1"/>
    </xf>
    <xf numFmtId="0" fontId="6" fillId="2" borderId="12" xfId="0" applyFont="1" applyFill="1" applyBorder="1" applyAlignment="1">
      <alignment horizontal="left" vertical="top" wrapText="1"/>
    </xf>
    <xf numFmtId="0" fontId="6" fillId="2" borderId="13" xfId="0" applyFont="1" applyFill="1" applyBorder="1" applyAlignment="1">
      <alignment horizontal="left" vertical="top" wrapText="1"/>
    </xf>
  </cellXfs>
  <cellStyles count="4">
    <cellStyle name="Comma" xfId="1" builtinId="3"/>
    <cellStyle name="Hyperlink" xfId="3" builtinId="8"/>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 Id="rId30"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HCl!$B$6</c:f>
              <c:strCache>
                <c:ptCount val="1"/>
                <c:pt idx="0">
                  <c:v>1/2 hourly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HCl!$B$7:$B$18</c:f>
              <c:numCache>
                <c:formatCode>General</c:formatCode>
                <c:ptCount val="12"/>
                <c:pt idx="0">
                  <c:v>60</c:v>
                </c:pt>
                <c:pt idx="1">
                  <c:v>60</c:v>
                </c:pt>
                <c:pt idx="2">
                  <c:v>60</c:v>
                </c:pt>
                <c:pt idx="3">
                  <c:v>60</c:v>
                </c:pt>
                <c:pt idx="4">
                  <c:v>60</c:v>
                </c:pt>
                <c:pt idx="5">
                  <c:v>60</c:v>
                </c:pt>
                <c:pt idx="6">
                  <c:v>60</c:v>
                </c:pt>
                <c:pt idx="7">
                  <c:v>60</c:v>
                </c:pt>
                <c:pt idx="8">
                  <c:v>60</c:v>
                </c:pt>
                <c:pt idx="9">
                  <c:v>60</c:v>
                </c:pt>
                <c:pt idx="10">
                  <c:v>60</c:v>
                </c:pt>
                <c:pt idx="11">
                  <c:v>60</c:v>
                </c:pt>
              </c:numCache>
            </c:numRef>
          </c:val>
          <c:smooth val="0"/>
          <c:extLst>
            <c:ext xmlns:c16="http://schemas.microsoft.com/office/drawing/2014/chart" uri="{C3380CC4-5D6E-409C-BE32-E72D297353CC}">
              <c16:uniqueId val="{00000000-AAD5-485F-961E-719430FC4133}"/>
            </c:ext>
          </c:extLst>
        </c:ser>
        <c:ser>
          <c:idx val="1"/>
          <c:order val="1"/>
          <c:tx>
            <c:strRef>
              <c:f>HCl!$C$6</c:f>
              <c:strCache>
                <c:ptCount val="1"/>
                <c:pt idx="0">
                  <c:v>Monthly 1/2 hourly mean</c:v>
                </c:pt>
              </c:strCache>
            </c:strRef>
          </c:tx>
          <c:spPr>
            <a:ln w="15875"/>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HCl!$C$7:$C$18</c:f>
              <c:numCache>
                <c:formatCode>General</c:formatCode>
                <c:ptCount val="12"/>
                <c:pt idx="0">
                  <c:v>1</c:v>
                </c:pt>
                <c:pt idx="1">
                  <c:v>1</c:v>
                </c:pt>
                <c:pt idx="2">
                  <c:v>1</c:v>
                </c:pt>
                <c:pt idx="3">
                  <c:v>1</c:v>
                </c:pt>
                <c:pt idx="4">
                  <c:v>2</c:v>
                </c:pt>
                <c:pt idx="5">
                  <c:v>1</c:v>
                </c:pt>
                <c:pt idx="6">
                  <c:v>2</c:v>
                </c:pt>
                <c:pt idx="7">
                  <c:v>1</c:v>
                </c:pt>
                <c:pt idx="8">
                  <c:v>2</c:v>
                </c:pt>
                <c:pt idx="9">
                  <c:v>1.5</c:v>
                </c:pt>
                <c:pt idx="10">
                  <c:v>2</c:v>
                </c:pt>
                <c:pt idx="11">
                  <c:v>2</c:v>
                </c:pt>
              </c:numCache>
            </c:numRef>
          </c:val>
          <c:smooth val="0"/>
          <c:extLst>
            <c:ext xmlns:c16="http://schemas.microsoft.com/office/drawing/2014/chart" uri="{C3380CC4-5D6E-409C-BE32-E72D297353CC}">
              <c16:uniqueId val="{00000001-AAD5-485F-961E-719430FC4133}"/>
            </c:ext>
          </c:extLst>
        </c:ser>
        <c:ser>
          <c:idx val="2"/>
          <c:order val="2"/>
          <c:tx>
            <c:strRef>
              <c:f>HCl!$D$6</c:f>
              <c:strCache>
                <c:ptCount val="1"/>
                <c:pt idx="0">
                  <c:v>Highest 1/2 hourly maximum</c:v>
                </c:pt>
              </c:strCache>
            </c:strRef>
          </c:tx>
          <c:spPr>
            <a:ln>
              <a:noFill/>
            </a:ln>
          </c:spPr>
          <c:marker>
            <c:symbol val="squar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HCl!$D$7:$D$18</c:f>
              <c:numCache>
                <c:formatCode>General</c:formatCode>
                <c:ptCount val="12"/>
                <c:pt idx="0">
                  <c:v>5</c:v>
                </c:pt>
                <c:pt idx="1">
                  <c:v>5</c:v>
                </c:pt>
                <c:pt idx="2">
                  <c:v>6</c:v>
                </c:pt>
                <c:pt idx="3">
                  <c:v>5</c:v>
                </c:pt>
                <c:pt idx="4">
                  <c:v>5</c:v>
                </c:pt>
                <c:pt idx="5">
                  <c:v>5</c:v>
                </c:pt>
                <c:pt idx="6">
                  <c:v>8</c:v>
                </c:pt>
                <c:pt idx="7">
                  <c:v>8</c:v>
                </c:pt>
                <c:pt idx="8">
                  <c:v>8</c:v>
                </c:pt>
                <c:pt idx="9">
                  <c:v>8</c:v>
                </c:pt>
                <c:pt idx="10">
                  <c:v>9</c:v>
                </c:pt>
                <c:pt idx="11">
                  <c:v>8</c:v>
                </c:pt>
              </c:numCache>
            </c:numRef>
          </c:val>
          <c:smooth val="0"/>
          <c:extLst>
            <c:ext xmlns:c16="http://schemas.microsoft.com/office/drawing/2014/chart" uri="{C3380CC4-5D6E-409C-BE32-E72D297353CC}">
              <c16:uniqueId val="{00000002-AAD5-485F-961E-719430FC4133}"/>
            </c:ext>
          </c:extLst>
        </c:ser>
        <c:ser>
          <c:idx val="3"/>
          <c:order val="3"/>
          <c:tx>
            <c:strRef>
              <c:f>HCl!$E$6</c:f>
              <c:strCache>
                <c:ptCount val="1"/>
                <c:pt idx="0">
                  <c:v>Daily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AD5-485F-961E-719430FC4133}"/>
            </c:ext>
          </c:extLst>
        </c:ser>
        <c:ser>
          <c:idx val="4"/>
          <c:order val="4"/>
          <c:tx>
            <c:strRef>
              <c:f>HCl!$F$6</c:f>
              <c:strCache>
                <c:ptCount val="1"/>
                <c:pt idx="0">
                  <c:v>Monthly daily mean</c:v>
                </c:pt>
              </c:strCache>
            </c:strRef>
          </c:tx>
          <c:spPr>
            <a:ln w="15875">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HCl!$F$7:$F$18</c:f>
              <c:numCache>
                <c:formatCode>General</c:formatCode>
                <c:ptCount val="12"/>
                <c:pt idx="0">
                  <c:v>0.5</c:v>
                </c:pt>
                <c:pt idx="1">
                  <c:v>0.5</c:v>
                </c:pt>
                <c:pt idx="2">
                  <c:v>0.5</c:v>
                </c:pt>
                <c:pt idx="3">
                  <c:v>0.5</c:v>
                </c:pt>
                <c:pt idx="4">
                  <c:v>1.5</c:v>
                </c:pt>
                <c:pt idx="5">
                  <c:v>0.5</c:v>
                </c:pt>
                <c:pt idx="6">
                  <c:v>1</c:v>
                </c:pt>
                <c:pt idx="7">
                  <c:v>0</c:v>
                </c:pt>
                <c:pt idx="8">
                  <c:v>1</c:v>
                </c:pt>
                <c:pt idx="9">
                  <c:v>0.5</c:v>
                </c:pt>
                <c:pt idx="10">
                  <c:v>1</c:v>
                </c:pt>
                <c:pt idx="11">
                  <c:v>1</c:v>
                </c:pt>
              </c:numCache>
            </c:numRef>
          </c:val>
          <c:smooth val="0"/>
          <c:extLst>
            <c:ext xmlns:c16="http://schemas.microsoft.com/office/drawing/2014/chart" uri="{C3380CC4-5D6E-409C-BE32-E72D297353CC}">
              <c16:uniqueId val="{00000004-AAD5-485F-961E-719430FC4133}"/>
            </c:ext>
          </c:extLst>
        </c:ser>
        <c:ser>
          <c:idx val="5"/>
          <c:order val="5"/>
          <c:tx>
            <c:strRef>
              <c:f>HCl!$G$6</c:f>
              <c:strCache>
                <c:ptCount val="1"/>
                <c:pt idx="0">
                  <c:v>Highest daily maximum</c:v>
                </c:pt>
              </c:strCache>
            </c:strRef>
          </c:tx>
          <c:spPr>
            <a:ln w="12700">
              <a:noFill/>
              <a:prstDash val="solid"/>
            </a:ln>
          </c:spPr>
          <c:marker>
            <c:symbol val="triangl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HCl!$G$7:$G$18</c:f>
              <c:numCache>
                <c:formatCode>General</c:formatCode>
                <c:ptCount val="12"/>
                <c:pt idx="0">
                  <c:v>2</c:v>
                </c:pt>
                <c:pt idx="1">
                  <c:v>2</c:v>
                </c:pt>
                <c:pt idx="2">
                  <c:v>2</c:v>
                </c:pt>
                <c:pt idx="3">
                  <c:v>2</c:v>
                </c:pt>
                <c:pt idx="4">
                  <c:v>3</c:v>
                </c:pt>
                <c:pt idx="5">
                  <c:v>2</c:v>
                </c:pt>
                <c:pt idx="6">
                  <c:v>3</c:v>
                </c:pt>
                <c:pt idx="7">
                  <c:v>3</c:v>
                </c:pt>
                <c:pt idx="8">
                  <c:v>4</c:v>
                </c:pt>
                <c:pt idx="9">
                  <c:v>3</c:v>
                </c:pt>
                <c:pt idx="10">
                  <c:v>3</c:v>
                </c:pt>
                <c:pt idx="11">
                  <c:v>3</c:v>
                </c:pt>
              </c:numCache>
            </c:numRef>
          </c:val>
          <c:smooth val="0"/>
          <c:extLst>
            <c:ext xmlns:c16="http://schemas.microsoft.com/office/drawing/2014/chart" uri="{C3380CC4-5D6E-409C-BE32-E72D297353CC}">
              <c16:uniqueId val="{00000005-AAD5-485F-961E-719430FC4133}"/>
            </c:ext>
          </c:extLst>
        </c:ser>
        <c:dLbls>
          <c:showLegendKey val="0"/>
          <c:showVal val="0"/>
          <c:showCatName val="0"/>
          <c:showSerName val="0"/>
          <c:showPercent val="0"/>
          <c:showBubbleSize val="0"/>
        </c:dLbls>
        <c:smooth val="0"/>
        <c:axId val="309314616"/>
        <c:axId val="309313440"/>
      </c:lineChart>
      <c:catAx>
        <c:axId val="309314616"/>
        <c:scaling>
          <c:orientation val="minMax"/>
        </c:scaling>
        <c:delete val="0"/>
        <c:axPos val="b"/>
        <c:numFmt formatCode="General" sourceLinked="1"/>
        <c:majorTickMark val="out"/>
        <c:minorTickMark val="none"/>
        <c:tickLblPos val="nextTo"/>
        <c:crossAx val="309313440"/>
        <c:crosses val="autoZero"/>
        <c:auto val="1"/>
        <c:lblAlgn val="ctr"/>
        <c:lblOffset val="100"/>
        <c:noMultiLvlLbl val="0"/>
      </c:catAx>
      <c:valAx>
        <c:axId val="30931344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0931461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'SO2'!$B$6</c:f>
              <c:strCache>
                <c:ptCount val="1"/>
                <c:pt idx="0">
                  <c:v>1/2 hourly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'SO2'!$B$7:$B$18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0-1D09-4E7E-BB67-033A5C3DC208}"/>
            </c:ext>
          </c:extLst>
        </c:ser>
        <c:ser>
          <c:idx val="1"/>
          <c:order val="1"/>
          <c:tx>
            <c:strRef>
              <c:f>'SO2'!$C$6</c:f>
              <c:strCache>
                <c:ptCount val="1"/>
                <c:pt idx="0">
                  <c:v>Monthly 1/2 hourly mean</c:v>
                </c:pt>
              </c:strCache>
            </c:strRef>
          </c:tx>
          <c:spPr>
            <a:ln w="15875"/>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'SO2'!$C$7:$C$18</c:f>
              <c:numCache>
                <c:formatCode>General</c:formatCode>
                <c:ptCount val="12"/>
                <c:pt idx="0">
                  <c:v>3</c:v>
                </c:pt>
                <c:pt idx="1">
                  <c:v>2</c:v>
                </c:pt>
                <c:pt idx="2">
                  <c:v>4.5</c:v>
                </c:pt>
                <c:pt idx="3">
                  <c:v>2.5</c:v>
                </c:pt>
                <c:pt idx="4">
                  <c:v>8</c:v>
                </c:pt>
                <c:pt idx="5">
                  <c:v>12</c:v>
                </c:pt>
                <c:pt idx="6">
                  <c:v>4</c:v>
                </c:pt>
                <c:pt idx="7">
                  <c:v>5</c:v>
                </c:pt>
                <c:pt idx="8">
                  <c:v>4</c:v>
                </c:pt>
                <c:pt idx="9">
                  <c:v>6.5</c:v>
                </c:pt>
                <c:pt idx="10">
                  <c:v>9.5</c:v>
                </c:pt>
                <c:pt idx="11">
                  <c:v>6</c:v>
                </c:pt>
              </c:numCache>
            </c:numRef>
          </c:val>
          <c:smooth val="0"/>
          <c:extLst>
            <c:ext xmlns:c16="http://schemas.microsoft.com/office/drawing/2014/chart" uri="{C3380CC4-5D6E-409C-BE32-E72D297353CC}">
              <c16:uniqueId val="{00000001-1D09-4E7E-BB67-033A5C3DC208}"/>
            </c:ext>
          </c:extLst>
        </c:ser>
        <c:ser>
          <c:idx val="2"/>
          <c:order val="2"/>
          <c:tx>
            <c:strRef>
              <c:f>'SO2'!$D$6</c:f>
              <c:strCache>
                <c:ptCount val="1"/>
                <c:pt idx="0">
                  <c:v>Highest 1/2 hourly maximum</c:v>
                </c:pt>
              </c:strCache>
            </c:strRef>
          </c:tx>
          <c:spPr>
            <a:ln>
              <a:noFill/>
            </a:ln>
          </c:spPr>
          <c:marker>
            <c:symbol val="squar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'SO2'!$D$7:$D$18</c:f>
              <c:numCache>
                <c:formatCode>General</c:formatCode>
                <c:ptCount val="12"/>
                <c:pt idx="0">
                  <c:v>19</c:v>
                </c:pt>
                <c:pt idx="1">
                  <c:v>20</c:v>
                </c:pt>
                <c:pt idx="2">
                  <c:v>19</c:v>
                </c:pt>
                <c:pt idx="3">
                  <c:v>14</c:v>
                </c:pt>
                <c:pt idx="4">
                  <c:v>31</c:v>
                </c:pt>
                <c:pt idx="5">
                  <c:v>35</c:v>
                </c:pt>
                <c:pt idx="6">
                  <c:v>30</c:v>
                </c:pt>
                <c:pt idx="7">
                  <c:v>29</c:v>
                </c:pt>
                <c:pt idx="8">
                  <c:v>16</c:v>
                </c:pt>
                <c:pt idx="9">
                  <c:v>38</c:v>
                </c:pt>
                <c:pt idx="10">
                  <c:v>41</c:v>
                </c:pt>
                <c:pt idx="11">
                  <c:v>28</c:v>
                </c:pt>
              </c:numCache>
            </c:numRef>
          </c:val>
          <c:smooth val="0"/>
          <c:extLst>
            <c:ext xmlns:c16="http://schemas.microsoft.com/office/drawing/2014/chart" uri="{C3380CC4-5D6E-409C-BE32-E72D297353CC}">
              <c16:uniqueId val="{00000002-1D09-4E7E-BB67-033A5C3DC208}"/>
            </c:ext>
          </c:extLst>
        </c:ser>
        <c:ser>
          <c:idx val="3"/>
          <c:order val="3"/>
          <c:tx>
            <c:strRef>
              <c:f>'SO2'!$E$6</c:f>
              <c:strCache>
                <c:ptCount val="1"/>
                <c:pt idx="0">
                  <c:v>Daily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'SO2'!$E$7:$E$18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1D09-4E7E-BB67-033A5C3DC208}"/>
            </c:ext>
          </c:extLst>
        </c:ser>
        <c:ser>
          <c:idx val="4"/>
          <c:order val="4"/>
          <c:tx>
            <c:strRef>
              <c:f>'SO2'!$F$6</c:f>
              <c:strCache>
                <c:ptCount val="1"/>
                <c:pt idx="0">
                  <c:v>Monthly daily mean</c:v>
                </c:pt>
              </c:strCache>
            </c:strRef>
          </c:tx>
          <c:spPr>
            <a:ln w="15875">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'SO2'!$F$7:$F$18</c:f>
              <c:numCache>
                <c:formatCode>General</c:formatCode>
                <c:ptCount val="12"/>
                <c:pt idx="0">
                  <c:v>2</c:v>
                </c:pt>
                <c:pt idx="1">
                  <c:v>1.5</c:v>
                </c:pt>
                <c:pt idx="2">
                  <c:v>3.5</c:v>
                </c:pt>
                <c:pt idx="3">
                  <c:v>1.5</c:v>
                </c:pt>
                <c:pt idx="4">
                  <c:v>7</c:v>
                </c:pt>
                <c:pt idx="5">
                  <c:v>11</c:v>
                </c:pt>
                <c:pt idx="6">
                  <c:v>3.5</c:v>
                </c:pt>
                <c:pt idx="7">
                  <c:v>4</c:v>
                </c:pt>
                <c:pt idx="8">
                  <c:v>3</c:v>
                </c:pt>
                <c:pt idx="9">
                  <c:v>5.5</c:v>
                </c:pt>
                <c:pt idx="10">
                  <c:v>8.5</c:v>
                </c:pt>
                <c:pt idx="11">
                  <c:v>5</c:v>
                </c:pt>
              </c:numCache>
            </c:numRef>
          </c:val>
          <c:smooth val="0"/>
          <c:extLst>
            <c:ext xmlns:c16="http://schemas.microsoft.com/office/drawing/2014/chart" uri="{C3380CC4-5D6E-409C-BE32-E72D297353CC}">
              <c16:uniqueId val="{00000004-1D09-4E7E-BB67-033A5C3DC208}"/>
            </c:ext>
          </c:extLst>
        </c:ser>
        <c:ser>
          <c:idx val="5"/>
          <c:order val="5"/>
          <c:tx>
            <c:strRef>
              <c:f>'SO2'!$G$6</c:f>
              <c:strCache>
                <c:ptCount val="1"/>
                <c:pt idx="0">
                  <c:v>Highest daily maximum</c:v>
                </c:pt>
              </c:strCache>
            </c:strRef>
          </c:tx>
          <c:spPr>
            <a:ln w="12700">
              <a:noFill/>
              <a:prstDash val="solid"/>
            </a:ln>
          </c:spPr>
          <c:marker>
            <c:symbol val="triangl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'SO2'!$G$7:$G$18</c:f>
              <c:numCache>
                <c:formatCode>General</c:formatCode>
                <c:ptCount val="12"/>
                <c:pt idx="0">
                  <c:v>7</c:v>
                </c:pt>
                <c:pt idx="1">
                  <c:v>7</c:v>
                </c:pt>
                <c:pt idx="2">
                  <c:v>8</c:v>
                </c:pt>
                <c:pt idx="3">
                  <c:v>5</c:v>
                </c:pt>
                <c:pt idx="4">
                  <c:v>18</c:v>
                </c:pt>
                <c:pt idx="5">
                  <c:v>24</c:v>
                </c:pt>
                <c:pt idx="6">
                  <c:v>13</c:v>
                </c:pt>
                <c:pt idx="7">
                  <c:v>7</c:v>
                </c:pt>
                <c:pt idx="8">
                  <c:v>8</c:v>
                </c:pt>
                <c:pt idx="9">
                  <c:v>27</c:v>
                </c:pt>
                <c:pt idx="10">
                  <c:v>27</c:v>
                </c:pt>
                <c:pt idx="11">
                  <c:v>17</c:v>
                </c:pt>
              </c:numCache>
            </c:numRef>
          </c:val>
          <c:smooth val="0"/>
          <c:extLst>
            <c:ext xmlns:c16="http://schemas.microsoft.com/office/drawing/2014/chart" uri="{C3380CC4-5D6E-409C-BE32-E72D297353CC}">
              <c16:uniqueId val="{00000005-1D09-4E7E-BB67-033A5C3DC208}"/>
            </c:ext>
          </c:extLst>
        </c:ser>
        <c:dLbls>
          <c:showLegendKey val="0"/>
          <c:showVal val="0"/>
          <c:showCatName val="0"/>
          <c:showSerName val="0"/>
          <c:showPercent val="0"/>
          <c:showBubbleSize val="0"/>
        </c:dLbls>
        <c:smooth val="0"/>
        <c:axId val="313621640"/>
        <c:axId val="313622032"/>
      </c:lineChart>
      <c:catAx>
        <c:axId val="313621640"/>
        <c:scaling>
          <c:orientation val="minMax"/>
        </c:scaling>
        <c:delete val="0"/>
        <c:axPos val="b"/>
        <c:numFmt formatCode="General" sourceLinked="1"/>
        <c:majorTickMark val="out"/>
        <c:minorTickMark val="none"/>
        <c:tickLblPos val="nextTo"/>
        <c:crossAx val="313622032"/>
        <c:crosses val="autoZero"/>
        <c:auto val="1"/>
        <c:lblAlgn val="ctr"/>
        <c:lblOffset val="100"/>
        <c:noMultiLvlLbl val="0"/>
      </c:catAx>
      <c:valAx>
        <c:axId val="313622032"/>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1640"/>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NOx!$B$6</c:f>
              <c:strCache>
                <c:ptCount val="1"/>
                <c:pt idx="0">
                  <c:v>1/2 hourly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NOx!$B$7:$B$18</c:f>
              <c:numCache>
                <c:formatCode>General</c:formatCode>
                <c:ptCount val="12"/>
                <c:pt idx="0">
                  <c:v>400</c:v>
                </c:pt>
                <c:pt idx="1">
                  <c:v>400</c:v>
                </c:pt>
                <c:pt idx="2">
                  <c:v>400</c:v>
                </c:pt>
                <c:pt idx="3">
                  <c:v>400</c:v>
                </c:pt>
                <c:pt idx="4">
                  <c:v>400</c:v>
                </c:pt>
                <c:pt idx="5">
                  <c:v>400</c:v>
                </c:pt>
                <c:pt idx="6">
                  <c:v>400</c:v>
                </c:pt>
                <c:pt idx="7">
                  <c:v>400</c:v>
                </c:pt>
                <c:pt idx="8">
                  <c:v>400</c:v>
                </c:pt>
                <c:pt idx="9">
                  <c:v>400</c:v>
                </c:pt>
                <c:pt idx="10">
                  <c:v>400</c:v>
                </c:pt>
                <c:pt idx="11">
                  <c:v>400</c:v>
                </c:pt>
              </c:numCache>
            </c:numRef>
          </c:val>
          <c:smooth val="0"/>
          <c:extLst>
            <c:ext xmlns:c16="http://schemas.microsoft.com/office/drawing/2014/chart" uri="{C3380CC4-5D6E-409C-BE32-E72D297353CC}">
              <c16:uniqueId val="{00000000-109C-458D-86C4-173EEFC66C45}"/>
            </c:ext>
          </c:extLst>
        </c:ser>
        <c:ser>
          <c:idx val="1"/>
          <c:order val="1"/>
          <c:tx>
            <c:strRef>
              <c:f>NOx!$C$6</c:f>
              <c:strCache>
                <c:ptCount val="1"/>
                <c:pt idx="0">
                  <c:v>Monthly 1/2 hourly mean</c:v>
                </c:pt>
              </c:strCache>
            </c:strRef>
          </c:tx>
          <c:spPr>
            <a:ln w="15875"/>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NOx!$C$7:$C$18</c:f>
              <c:numCache>
                <c:formatCode>General</c:formatCode>
                <c:ptCount val="12"/>
                <c:pt idx="0">
                  <c:v>46</c:v>
                </c:pt>
                <c:pt idx="1">
                  <c:v>70.5</c:v>
                </c:pt>
                <c:pt idx="2">
                  <c:v>103.5</c:v>
                </c:pt>
                <c:pt idx="3">
                  <c:v>73.5</c:v>
                </c:pt>
                <c:pt idx="4">
                  <c:v>51</c:v>
                </c:pt>
                <c:pt idx="5">
                  <c:v>68</c:v>
                </c:pt>
                <c:pt idx="6">
                  <c:v>124.5</c:v>
                </c:pt>
                <c:pt idx="7">
                  <c:v>73.5</c:v>
                </c:pt>
                <c:pt idx="8">
                  <c:v>78.5</c:v>
                </c:pt>
                <c:pt idx="9">
                  <c:v>98</c:v>
                </c:pt>
                <c:pt idx="10">
                  <c:v>109.5</c:v>
                </c:pt>
                <c:pt idx="11">
                  <c:v>80</c:v>
                </c:pt>
              </c:numCache>
            </c:numRef>
          </c:val>
          <c:smooth val="0"/>
          <c:extLst>
            <c:ext xmlns:c16="http://schemas.microsoft.com/office/drawing/2014/chart" uri="{C3380CC4-5D6E-409C-BE32-E72D297353CC}">
              <c16:uniqueId val="{00000001-109C-458D-86C4-173EEFC66C45}"/>
            </c:ext>
          </c:extLst>
        </c:ser>
        <c:ser>
          <c:idx val="2"/>
          <c:order val="2"/>
          <c:tx>
            <c:strRef>
              <c:f>NOx!$D$6</c:f>
              <c:strCache>
                <c:ptCount val="1"/>
                <c:pt idx="0">
                  <c:v>Highest 1/2 hourly maximum</c:v>
                </c:pt>
              </c:strCache>
            </c:strRef>
          </c:tx>
          <c:spPr>
            <a:ln>
              <a:noFill/>
            </a:ln>
          </c:spPr>
          <c:marker>
            <c:symbol val="squar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NOx!$D$7:$D$18</c:f>
              <c:numCache>
                <c:formatCode>General</c:formatCode>
                <c:ptCount val="12"/>
                <c:pt idx="0">
                  <c:v>140</c:v>
                </c:pt>
                <c:pt idx="1">
                  <c:v>165</c:v>
                </c:pt>
                <c:pt idx="2">
                  <c:v>198</c:v>
                </c:pt>
                <c:pt idx="3">
                  <c:v>197</c:v>
                </c:pt>
                <c:pt idx="4">
                  <c:v>151</c:v>
                </c:pt>
                <c:pt idx="5">
                  <c:v>178</c:v>
                </c:pt>
                <c:pt idx="6">
                  <c:v>206</c:v>
                </c:pt>
                <c:pt idx="7">
                  <c:v>185</c:v>
                </c:pt>
                <c:pt idx="8">
                  <c:v>189</c:v>
                </c:pt>
                <c:pt idx="9">
                  <c:v>197</c:v>
                </c:pt>
                <c:pt idx="10">
                  <c:v>200</c:v>
                </c:pt>
                <c:pt idx="11">
                  <c:v>198</c:v>
                </c:pt>
              </c:numCache>
            </c:numRef>
          </c:val>
          <c:smooth val="0"/>
          <c:extLst>
            <c:ext xmlns:c16="http://schemas.microsoft.com/office/drawing/2014/chart" uri="{C3380CC4-5D6E-409C-BE32-E72D297353CC}">
              <c16:uniqueId val="{00000002-109C-458D-86C4-173EEFC66C45}"/>
            </c:ext>
          </c:extLst>
        </c:ser>
        <c:ser>
          <c:idx val="3"/>
          <c:order val="3"/>
          <c:tx>
            <c:strRef>
              <c:f>NOx!$E$6</c:f>
              <c:strCache>
                <c:ptCount val="1"/>
                <c:pt idx="0">
                  <c:v>Daily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NOx!$E$7:$E$18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3-109C-458D-86C4-173EEFC66C45}"/>
            </c:ext>
          </c:extLst>
        </c:ser>
        <c:ser>
          <c:idx val="4"/>
          <c:order val="4"/>
          <c:tx>
            <c:strRef>
              <c:f>NOx!$F$6</c:f>
              <c:strCache>
                <c:ptCount val="1"/>
                <c:pt idx="0">
                  <c:v>Monthly daily mean</c:v>
                </c:pt>
              </c:strCache>
            </c:strRef>
          </c:tx>
          <c:spPr>
            <a:ln w="15875">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NOx!$F$7:$F$18</c:f>
              <c:numCache>
                <c:formatCode>General</c:formatCode>
                <c:ptCount val="12"/>
                <c:pt idx="0">
                  <c:v>45.5</c:v>
                </c:pt>
                <c:pt idx="1">
                  <c:v>69.5</c:v>
                </c:pt>
                <c:pt idx="2">
                  <c:v>102.5</c:v>
                </c:pt>
                <c:pt idx="3">
                  <c:v>72.5</c:v>
                </c:pt>
                <c:pt idx="4">
                  <c:v>49.5</c:v>
                </c:pt>
                <c:pt idx="5">
                  <c:v>66.5</c:v>
                </c:pt>
                <c:pt idx="6">
                  <c:v>123</c:v>
                </c:pt>
                <c:pt idx="7">
                  <c:v>72.5</c:v>
                </c:pt>
                <c:pt idx="8">
                  <c:v>77.5</c:v>
                </c:pt>
                <c:pt idx="9">
                  <c:v>97</c:v>
                </c:pt>
                <c:pt idx="10">
                  <c:v>88</c:v>
                </c:pt>
                <c:pt idx="11">
                  <c:v>79</c:v>
                </c:pt>
              </c:numCache>
            </c:numRef>
          </c:val>
          <c:smooth val="0"/>
          <c:extLst>
            <c:ext xmlns:c16="http://schemas.microsoft.com/office/drawing/2014/chart" uri="{C3380CC4-5D6E-409C-BE32-E72D297353CC}">
              <c16:uniqueId val="{00000004-109C-458D-86C4-173EEFC66C45}"/>
            </c:ext>
          </c:extLst>
        </c:ser>
        <c:ser>
          <c:idx val="5"/>
          <c:order val="5"/>
          <c:tx>
            <c:strRef>
              <c:f>NOx!$G$6</c:f>
              <c:strCache>
                <c:ptCount val="1"/>
                <c:pt idx="0">
                  <c:v>Highest daily maximum</c:v>
                </c:pt>
              </c:strCache>
            </c:strRef>
          </c:tx>
          <c:spPr>
            <a:ln w="12700">
              <a:noFill/>
              <a:prstDash val="solid"/>
            </a:ln>
          </c:spPr>
          <c:marker>
            <c:symbol val="triangl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NOx!$G$7:$G$18</c:f>
              <c:numCache>
                <c:formatCode>General</c:formatCode>
                <c:ptCount val="12"/>
                <c:pt idx="0">
                  <c:v>95</c:v>
                </c:pt>
                <c:pt idx="1">
                  <c:v>127</c:v>
                </c:pt>
                <c:pt idx="2">
                  <c:v>145</c:v>
                </c:pt>
                <c:pt idx="3">
                  <c:v>134</c:v>
                </c:pt>
                <c:pt idx="4">
                  <c:v>100</c:v>
                </c:pt>
                <c:pt idx="5">
                  <c:v>98</c:v>
                </c:pt>
                <c:pt idx="6">
                  <c:v>180</c:v>
                </c:pt>
                <c:pt idx="7">
                  <c:v>120</c:v>
                </c:pt>
                <c:pt idx="8">
                  <c:v>119</c:v>
                </c:pt>
                <c:pt idx="9">
                  <c:v>181</c:v>
                </c:pt>
                <c:pt idx="10">
                  <c:v>191</c:v>
                </c:pt>
                <c:pt idx="11">
                  <c:v>148</c:v>
                </c:pt>
              </c:numCache>
            </c:numRef>
          </c:val>
          <c:smooth val="0"/>
          <c:extLst>
            <c:ext xmlns:c16="http://schemas.microsoft.com/office/drawing/2014/chart" uri="{C3380CC4-5D6E-409C-BE32-E72D297353CC}">
              <c16:uniqueId val="{00000005-109C-458D-86C4-173EEFC66C45}"/>
            </c:ext>
          </c:extLst>
        </c:ser>
        <c:dLbls>
          <c:showLegendKey val="0"/>
          <c:showVal val="0"/>
          <c:showCatName val="0"/>
          <c:showSerName val="0"/>
          <c:showPercent val="0"/>
          <c:showBubbleSize val="0"/>
        </c:dLbls>
        <c:smooth val="0"/>
        <c:axId val="313623208"/>
        <c:axId val="313623600"/>
      </c:lineChart>
      <c:catAx>
        <c:axId val="313623208"/>
        <c:scaling>
          <c:orientation val="minMax"/>
        </c:scaling>
        <c:delete val="0"/>
        <c:axPos val="b"/>
        <c:numFmt formatCode="General" sourceLinked="1"/>
        <c:majorTickMark val="out"/>
        <c:minorTickMark val="none"/>
        <c:tickLblPos val="nextTo"/>
        <c:crossAx val="313623600"/>
        <c:crosses val="autoZero"/>
        <c:auto val="1"/>
        <c:lblAlgn val="ctr"/>
        <c:lblOffset val="100"/>
        <c:noMultiLvlLbl val="0"/>
      </c:catAx>
      <c:valAx>
        <c:axId val="31362360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3208"/>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TOC!$B$6</c:f>
              <c:strCache>
                <c:ptCount val="1"/>
                <c:pt idx="0">
                  <c:v>1/2 hourly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TOC!$B$7:$B$18</c:f>
              <c:numCache>
                <c:formatCode>General</c:formatCode>
                <c:ptCount val="12"/>
                <c:pt idx="0">
                  <c:v>20</c:v>
                </c:pt>
                <c:pt idx="1">
                  <c:v>20</c:v>
                </c:pt>
                <c:pt idx="2">
                  <c:v>20</c:v>
                </c:pt>
                <c:pt idx="3">
                  <c:v>20</c:v>
                </c:pt>
                <c:pt idx="4">
                  <c:v>20</c:v>
                </c:pt>
                <c:pt idx="5">
                  <c:v>20</c:v>
                </c:pt>
                <c:pt idx="6">
                  <c:v>20</c:v>
                </c:pt>
                <c:pt idx="7">
                  <c:v>20</c:v>
                </c:pt>
                <c:pt idx="8">
                  <c:v>20</c:v>
                </c:pt>
                <c:pt idx="9">
                  <c:v>20</c:v>
                </c:pt>
                <c:pt idx="10">
                  <c:v>20</c:v>
                </c:pt>
                <c:pt idx="11">
                  <c:v>20</c:v>
                </c:pt>
              </c:numCache>
            </c:numRef>
          </c:val>
          <c:smooth val="0"/>
          <c:extLst>
            <c:ext xmlns:c16="http://schemas.microsoft.com/office/drawing/2014/chart" uri="{C3380CC4-5D6E-409C-BE32-E72D297353CC}">
              <c16:uniqueId val="{00000000-37BF-4373-9DC2-C2D47B6F9897}"/>
            </c:ext>
          </c:extLst>
        </c:ser>
        <c:ser>
          <c:idx val="1"/>
          <c:order val="1"/>
          <c:tx>
            <c:strRef>
              <c:f>TOC!$C$6</c:f>
              <c:strCache>
                <c:ptCount val="1"/>
                <c:pt idx="0">
                  <c:v>Monthly 1/2 hourly mean</c:v>
                </c:pt>
              </c:strCache>
            </c:strRef>
          </c:tx>
          <c:spPr>
            <a:ln w="15875"/>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TOC!$C$7:$C$18</c:f>
              <c:numCache>
                <c:formatCode>General</c:formatCode>
                <c:ptCount val="12"/>
                <c:pt idx="0">
                  <c:v>0</c:v>
                </c:pt>
                <c:pt idx="1">
                  <c:v>0</c:v>
                </c:pt>
                <c:pt idx="2">
                  <c:v>0</c:v>
                </c:pt>
                <c:pt idx="3">
                  <c:v>0</c:v>
                </c:pt>
                <c:pt idx="4">
                  <c:v>0</c:v>
                </c:pt>
                <c:pt idx="5">
                  <c:v>0</c:v>
                </c:pt>
                <c:pt idx="6">
                  <c:v>0</c:v>
                </c:pt>
                <c:pt idx="7">
                  <c:v>0</c:v>
                </c:pt>
                <c:pt idx="8">
                  <c:v>0</c:v>
                </c:pt>
                <c:pt idx="9">
                  <c:v>1</c:v>
                </c:pt>
                <c:pt idx="10">
                  <c:v>0.5</c:v>
                </c:pt>
                <c:pt idx="11">
                  <c:v>0.5</c:v>
                </c:pt>
              </c:numCache>
            </c:numRef>
          </c:val>
          <c:smooth val="0"/>
          <c:extLst>
            <c:ext xmlns:c16="http://schemas.microsoft.com/office/drawing/2014/chart" uri="{C3380CC4-5D6E-409C-BE32-E72D297353CC}">
              <c16:uniqueId val="{00000001-37BF-4373-9DC2-C2D47B6F9897}"/>
            </c:ext>
          </c:extLst>
        </c:ser>
        <c:ser>
          <c:idx val="2"/>
          <c:order val="2"/>
          <c:tx>
            <c:strRef>
              <c:f>TOC!$D$6</c:f>
              <c:strCache>
                <c:ptCount val="1"/>
                <c:pt idx="0">
                  <c:v>Highest 1/2 hourly maximum</c:v>
                </c:pt>
              </c:strCache>
            </c:strRef>
          </c:tx>
          <c:spPr>
            <a:ln>
              <a:noFill/>
            </a:ln>
          </c:spPr>
          <c:marker>
            <c:symbol val="squar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TOC!$D$7:$D$18</c:f>
              <c:numCache>
                <c:formatCode>General</c:formatCode>
                <c:ptCount val="12"/>
                <c:pt idx="0">
                  <c:v>2</c:v>
                </c:pt>
                <c:pt idx="1">
                  <c:v>2</c:v>
                </c:pt>
                <c:pt idx="2">
                  <c:v>3</c:v>
                </c:pt>
                <c:pt idx="3">
                  <c:v>3</c:v>
                </c:pt>
                <c:pt idx="4">
                  <c:v>3</c:v>
                </c:pt>
                <c:pt idx="5">
                  <c:v>2</c:v>
                </c:pt>
                <c:pt idx="6">
                  <c:v>1</c:v>
                </c:pt>
                <c:pt idx="7">
                  <c:v>3</c:v>
                </c:pt>
                <c:pt idx="8">
                  <c:v>2</c:v>
                </c:pt>
                <c:pt idx="9">
                  <c:v>3</c:v>
                </c:pt>
                <c:pt idx="10">
                  <c:v>2</c:v>
                </c:pt>
                <c:pt idx="11">
                  <c:v>3</c:v>
                </c:pt>
              </c:numCache>
            </c:numRef>
          </c:val>
          <c:smooth val="0"/>
          <c:extLst>
            <c:ext xmlns:c16="http://schemas.microsoft.com/office/drawing/2014/chart" uri="{C3380CC4-5D6E-409C-BE32-E72D297353CC}">
              <c16:uniqueId val="{00000002-37BF-4373-9DC2-C2D47B6F9897}"/>
            </c:ext>
          </c:extLst>
        </c:ser>
        <c:ser>
          <c:idx val="3"/>
          <c:order val="3"/>
          <c:tx>
            <c:strRef>
              <c:f>TOC!$E$6</c:f>
              <c:strCache>
                <c:ptCount val="1"/>
                <c:pt idx="0">
                  <c:v>Daily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37BF-4373-9DC2-C2D47B6F9897}"/>
            </c:ext>
          </c:extLst>
        </c:ser>
        <c:ser>
          <c:idx val="4"/>
          <c:order val="4"/>
          <c:tx>
            <c:strRef>
              <c:f>TOC!$F$6</c:f>
              <c:strCache>
                <c:ptCount val="1"/>
                <c:pt idx="0">
                  <c:v>Monthly daily mean</c:v>
                </c:pt>
              </c:strCache>
            </c:strRef>
          </c:tx>
          <c:spPr>
            <a:ln w="15875">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TOC!$F$7:$F$18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4-37BF-4373-9DC2-C2D47B6F9897}"/>
            </c:ext>
          </c:extLst>
        </c:ser>
        <c:ser>
          <c:idx val="5"/>
          <c:order val="5"/>
          <c:tx>
            <c:strRef>
              <c:f>TOC!$G$6</c:f>
              <c:strCache>
                <c:ptCount val="1"/>
                <c:pt idx="0">
                  <c:v>Highest daily maximum</c:v>
                </c:pt>
              </c:strCache>
            </c:strRef>
          </c:tx>
          <c:spPr>
            <a:ln w="12700">
              <a:noFill/>
              <a:prstDash val="solid"/>
            </a:ln>
          </c:spPr>
          <c:marker>
            <c:symbol val="triangl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TOC!$G$7:$G$18</c:f>
              <c:numCache>
                <c:formatCode>General</c:formatCode>
                <c:ptCount val="12"/>
                <c:pt idx="0">
                  <c:v>0</c:v>
                </c:pt>
                <c:pt idx="1">
                  <c:v>0</c:v>
                </c:pt>
                <c:pt idx="2">
                  <c:v>0</c:v>
                </c:pt>
                <c:pt idx="3">
                  <c:v>0</c:v>
                </c:pt>
                <c:pt idx="4">
                  <c:v>0</c:v>
                </c:pt>
                <c:pt idx="5">
                  <c:v>0</c:v>
                </c:pt>
                <c:pt idx="6">
                  <c:v>0</c:v>
                </c:pt>
                <c:pt idx="7">
                  <c:v>0</c:v>
                </c:pt>
                <c:pt idx="8">
                  <c:v>0</c:v>
                </c:pt>
                <c:pt idx="9">
                  <c:v>1</c:v>
                </c:pt>
                <c:pt idx="10">
                  <c:v>0</c:v>
                </c:pt>
                <c:pt idx="11">
                  <c:v>0</c:v>
                </c:pt>
              </c:numCache>
            </c:numRef>
          </c:val>
          <c:smooth val="0"/>
          <c:extLst>
            <c:ext xmlns:c16="http://schemas.microsoft.com/office/drawing/2014/chart" uri="{C3380CC4-5D6E-409C-BE32-E72D297353CC}">
              <c16:uniqueId val="{00000005-37BF-4373-9DC2-C2D47B6F9897}"/>
            </c:ext>
          </c:extLst>
        </c:ser>
        <c:dLbls>
          <c:showLegendKey val="0"/>
          <c:showVal val="0"/>
          <c:showCatName val="0"/>
          <c:showSerName val="0"/>
          <c:showPercent val="0"/>
          <c:showBubbleSize val="0"/>
        </c:dLbls>
        <c:smooth val="0"/>
        <c:axId val="313626344"/>
        <c:axId val="313626736"/>
      </c:lineChart>
      <c:catAx>
        <c:axId val="313626344"/>
        <c:scaling>
          <c:orientation val="minMax"/>
        </c:scaling>
        <c:delete val="0"/>
        <c:axPos val="b"/>
        <c:numFmt formatCode="General" sourceLinked="1"/>
        <c:majorTickMark val="out"/>
        <c:minorTickMark val="none"/>
        <c:tickLblPos val="nextTo"/>
        <c:crossAx val="313626736"/>
        <c:crosses val="autoZero"/>
        <c:auto val="1"/>
        <c:lblAlgn val="ctr"/>
        <c:lblOffset val="100"/>
        <c:noMultiLvlLbl val="0"/>
      </c:catAx>
      <c:valAx>
        <c:axId val="31362673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634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Particulates!$B$6</c:f>
              <c:strCache>
                <c:ptCount val="1"/>
                <c:pt idx="0">
                  <c:v>1/2 hourly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Particulates!$B$7:$B$18</c:f>
              <c:numCache>
                <c:formatCode>General</c:formatCode>
                <c:ptCount val="12"/>
                <c:pt idx="0">
                  <c:v>30</c:v>
                </c:pt>
                <c:pt idx="1">
                  <c:v>30</c:v>
                </c:pt>
                <c:pt idx="2">
                  <c:v>30</c:v>
                </c:pt>
                <c:pt idx="3">
                  <c:v>30</c:v>
                </c:pt>
                <c:pt idx="4">
                  <c:v>30</c:v>
                </c:pt>
                <c:pt idx="5">
                  <c:v>30</c:v>
                </c:pt>
                <c:pt idx="6">
                  <c:v>30</c:v>
                </c:pt>
                <c:pt idx="7">
                  <c:v>30</c:v>
                </c:pt>
                <c:pt idx="8">
                  <c:v>30</c:v>
                </c:pt>
                <c:pt idx="9">
                  <c:v>30</c:v>
                </c:pt>
                <c:pt idx="10">
                  <c:v>30</c:v>
                </c:pt>
                <c:pt idx="11">
                  <c:v>30</c:v>
                </c:pt>
              </c:numCache>
            </c:numRef>
          </c:val>
          <c:smooth val="0"/>
          <c:extLst>
            <c:ext xmlns:c16="http://schemas.microsoft.com/office/drawing/2014/chart" uri="{C3380CC4-5D6E-409C-BE32-E72D297353CC}">
              <c16:uniqueId val="{00000000-A49A-43C2-A61D-E2D75F8B28B0}"/>
            </c:ext>
          </c:extLst>
        </c:ser>
        <c:ser>
          <c:idx val="1"/>
          <c:order val="1"/>
          <c:tx>
            <c:strRef>
              <c:f>Particulates!$C$6</c:f>
              <c:strCache>
                <c:ptCount val="1"/>
                <c:pt idx="0">
                  <c:v>Monthly 1/2 hourly mean</c:v>
                </c:pt>
              </c:strCache>
            </c:strRef>
          </c:tx>
          <c:spPr>
            <a:ln w="15875"/>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Particulates!$C$7:$C$18</c:f>
              <c:numCache>
                <c:formatCode>General</c:formatCode>
                <c:ptCount val="12"/>
                <c:pt idx="0">
                  <c:v>0</c:v>
                </c:pt>
                <c:pt idx="1">
                  <c:v>0</c:v>
                </c:pt>
                <c:pt idx="2">
                  <c:v>0</c:v>
                </c:pt>
                <c:pt idx="3">
                  <c:v>0</c:v>
                </c:pt>
                <c:pt idx="4">
                  <c:v>0</c:v>
                </c:pt>
                <c:pt idx="5">
                  <c:v>0</c:v>
                </c:pt>
                <c:pt idx="6">
                  <c:v>0</c:v>
                </c:pt>
                <c:pt idx="7">
                  <c:v>0.5</c:v>
                </c:pt>
                <c:pt idx="8">
                  <c:v>0</c:v>
                </c:pt>
                <c:pt idx="9">
                  <c:v>1</c:v>
                </c:pt>
                <c:pt idx="10">
                  <c:v>0.5</c:v>
                </c:pt>
                <c:pt idx="11">
                  <c:v>0.5</c:v>
                </c:pt>
              </c:numCache>
            </c:numRef>
          </c:val>
          <c:smooth val="0"/>
          <c:extLst>
            <c:ext xmlns:c16="http://schemas.microsoft.com/office/drawing/2014/chart" uri="{C3380CC4-5D6E-409C-BE32-E72D297353CC}">
              <c16:uniqueId val="{00000001-A49A-43C2-A61D-E2D75F8B28B0}"/>
            </c:ext>
          </c:extLst>
        </c:ser>
        <c:ser>
          <c:idx val="2"/>
          <c:order val="2"/>
          <c:tx>
            <c:strRef>
              <c:f>Particulates!$D$6</c:f>
              <c:strCache>
                <c:ptCount val="1"/>
                <c:pt idx="0">
                  <c:v>Highest 1/2 hourly maximum</c:v>
                </c:pt>
              </c:strCache>
            </c:strRef>
          </c:tx>
          <c:spPr>
            <a:ln>
              <a:noFill/>
            </a:ln>
          </c:spPr>
          <c:marker>
            <c:symbol val="squar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Particulates!$D$7:$D$18</c:f>
              <c:numCache>
                <c:formatCode>General</c:formatCode>
                <c:ptCount val="12"/>
                <c:pt idx="0">
                  <c:v>2</c:v>
                </c:pt>
                <c:pt idx="1">
                  <c:v>3</c:v>
                </c:pt>
                <c:pt idx="2">
                  <c:v>3</c:v>
                </c:pt>
                <c:pt idx="3">
                  <c:v>3</c:v>
                </c:pt>
                <c:pt idx="4">
                  <c:v>2</c:v>
                </c:pt>
                <c:pt idx="5">
                  <c:v>2</c:v>
                </c:pt>
                <c:pt idx="6">
                  <c:v>2</c:v>
                </c:pt>
                <c:pt idx="7">
                  <c:v>2</c:v>
                </c:pt>
                <c:pt idx="8">
                  <c:v>3</c:v>
                </c:pt>
                <c:pt idx="9">
                  <c:v>4</c:v>
                </c:pt>
                <c:pt idx="10">
                  <c:v>2</c:v>
                </c:pt>
                <c:pt idx="11">
                  <c:v>2</c:v>
                </c:pt>
              </c:numCache>
            </c:numRef>
          </c:val>
          <c:smooth val="0"/>
          <c:extLst>
            <c:ext xmlns:c16="http://schemas.microsoft.com/office/drawing/2014/chart" uri="{C3380CC4-5D6E-409C-BE32-E72D297353CC}">
              <c16:uniqueId val="{00000002-A49A-43C2-A61D-E2D75F8B28B0}"/>
            </c:ext>
          </c:extLst>
        </c:ser>
        <c:ser>
          <c:idx val="3"/>
          <c:order val="3"/>
          <c:tx>
            <c:strRef>
              <c:f>Particulates!$E$6</c:f>
              <c:strCache>
                <c:ptCount val="1"/>
                <c:pt idx="0">
                  <c:v>Daily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49A-43C2-A61D-E2D75F8B28B0}"/>
            </c:ext>
          </c:extLst>
        </c:ser>
        <c:ser>
          <c:idx val="4"/>
          <c:order val="4"/>
          <c:tx>
            <c:strRef>
              <c:f>Particulates!$F$6</c:f>
              <c:strCache>
                <c:ptCount val="1"/>
                <c:pt idx="0">
                  <c:v>Monthly daily mean</c:v>
                </c:pt>
              </c:strCache>
            </c:strRef>
          </c:tx>
          <c:spPr>
            <a:ln w="15875">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Particulates!$F$7:$F$18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4-A49A-43C2-A61D-E2D75F8B28B0}"/>
            </c:ext>
          </c:extLst>
        </c:ser>
        <c:ser>
          <c:idx val="5"/>
          <c:order val="5"/>
          <c:tx>
            <c:strRef>
              <c:f>Particulates!$G$6</c:f>
              <c:strCache>
                <c:ptCount val="1"/>
                <c:pt idx="0">
                  <c:v>Highest daily maximum</c:v>
                </c:pt>
              </c:strCache>
            </c:strRef>
          </c:tx>
          <c:spPr>
            <a:ln w="12700">
              <a:noFill/>
              <a:prstDash val="solid"/>
            </a:ln>
          </c:spPr>
          <c:marker>
            <c:symbol val="triangl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Particulates!$G$7:$G$18</c:f>
              <c:numCache>
                <c:formatCode>General</c:formatCode>
                <c:ptCount val="12"/>
                <c:pt idx="0">
                  <c:v>0</c:v>
                </c:pt>
                <c:pt idx="1">
                  <c:v>0</c:v>
                </c:pt>
                <c:pt idx="2">
                  <c:v>0</c:v>
                </c:pt>
                <c:pt idx="3">
                  <c:v>0</c:v>
                </c:pt>
                <c:pt idx="4">
                  <c:v>0</c:v>
                </c:pt>
                <c:pt idx="5">
                  <c:v>0</c:v>
                </c:pt>
                <c:pt idx="6">
                  <c:v>0</c:v>
                </c:pt>
                <c:pt idx="7">
                  <c:v>0</c:v>
                </c:pt>
                <c:pt idx="8">
                  <c:v>0</c:v>
                </c:pt>
                <c:pt idx="9">
                  <c:v>2</c:v>
                </c:pt>
                <c:pt idx="10">
                  <c:v>0</c:v>
                </c:pt>
                <c:pt idx="11">
                  <c:v>0</c:v>
                </c:pt>
              </c:numCache>
            </c:numRef>
          </c:val>
          <c:smooth val="0"/>
          <c:extLst>
            <c:ext xmlns:c16="http://schemas.microsoft.com/office/drawing/2014/chart" uri="{C3380CC4-5D6E-409C-BE32-E72D297353CC}">
              <c16:uniqueId val="{00000005-A49A-43C2-A61D-E2D75F8B28B0}"/>
            </c:ext>
          </c:extLst>
        </c:ser>
        <c:dLbls>
          <c:showLegendKey val="0"/>
          <c:showVal val="0"/>
          <c:showCatName val="0"/>
          <c:showSerName val="0"/>
          <c:showPercent val="0"/>
          <c:showBubbleSize val="0"/>
        </c:dLbls>
        <c:smooth val="0"/>
        <c:axId val="313628304"/>
        <c:axId val="313628696"/>
      </c:lineChart>
      <c:catAx>
        <c:axId val="313628304"/>
        <c:scaling>
          <c:orientation val="minMax"/>
        </c:scaling>
        <c:delete val="0"/>
        <c:axPos val="b"/>
        <c:numFmt formatCode="General" sourceLinked="1"/>
        <c:majorTickMark val="out"/>
        <c:minorTickMark val="none"/>
        <c:tickLblPos val="nextTo"/>
        <c:crossAx val="313628696"/>
        <c:crosses val="autoZero"/>
        <c:auto val="1"/>
        <c:lblAlgn val="ctr"/>
        <c:lblOffset val="100"/>
        <c:noMultiLvlLbl val="0"/>
      </c:catAx>
      <c:valAx>
        <c:axId val="31362869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830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'CO 0.5hourly'!$B$6</c:f>
              <c:strCache>
                <c:ptCount val="1"/>
                <c:pt idx="0">
                  <c:v>1/2 hourly CO ELV</c:v>
                </c:pt>
              </c:strCache>
            </c:strRef>
          </c:tx>
          <c:spPr>
            <a:ln>
              <a:prstDash val="dash"/>
            </a:ln>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0.5hourly'!$B$7:$B$18</c:f>
              <c:numCache>
                <c:formatCode>General</c:formatCode>
                <c:ptCount val="12"/>
                <c:pt idx="0">
                  <c:v>100</c:v>
                </c:pt>
                <c:pt idx="1">
                  <c:v>100</c:v>
                </c:pt>
                <c:pt idx="2">
                  <c:v>100</c:v>
                </c:pt>
                <c:pt idx="3">
                  <c:v>100</c:v>
                </c:pt>
                <c:pt idx="4">
                  <c:v>100</c:v>
                </c:pt>
                <c:pt idx="5">
                  <c:v>100</c:v>
                </c:pt>
                <c:pt idx="6">
                  <c:v>100</c:v>
                </c:pt>
                <c:pt idx="7">
                  <c:v>100</c:v>
                </c:pt>
                <c:pt idx="8">
                  <c:v>100</c:v>
                </c:pt>
                <c:pt idx="9">
                  <c:v>100</c:v>
                </c:pt>
                <c:pt idx="10">
                  <c:v>100</c:v>
                </c:pt>
                <c:pt idx="11">
                  <c:v>100</c:v>
                </c:pt>
              </c:numCache>
            </c:numRef>
          </c:val>
          <c:smooth val="0"/>
          <c:extLst>
            <c:ext xmlns:c16="http://schemas.microsoft.com/office/drawing/2014/chart" uri="{C3380CC4-5D6E-409C-BE32-E72D297353CC}">
              <c16:uniqueId val="{00000000-DF93-4E57-BFCF-EC3D33E6D8F9}"/>
            </c:ext>
          </c:extLst>
        </c:ser>
        <c:ser>
          <c:idx val="1"/>
          <c:order val="1"/>
          <c:tx>
            <c:strRef>
              <c:f>'CO 0.5hourly'!$C$6</c:f>
              <c:strCache>
                <c:ptCount val="1"/>
                <c:pt idx="0">
                  <c:v>Monthly 1/2 hourly mean</c:v>
                </c:pt>
              </c:strCache>
            </c:strRef>
          </c:tx>
          <c:spPr>
            <a:ln w="15875"/>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0.5hourly'!$C$7:$C$18</c:f>
              <c:numCache>
                <c:formatCode>General</c:formatCode>
                <c:ptCount val="12"/>
                <c:pt idx="0">
                  <c:v>2.5</c:v>
                </c:pt>
                <c:pt idx="1">
                  <c:v>6.5</c:v>
                </c:pt>
                <c:pt idx="2">
                  <c:v>5</c:v>
                </c:pt>
                <c:pt idx="3">
                  <c:v>4.5</c:v>
                </c:pt>
                <c:pt idx="4">
                  <c:v>5</c:v>
                </c:pt>
                <c:pt idx="5">
                  <c:v>8</c:v>
                </c:pt>
                <c:pt idx="6">
                  <c:v>5</c:v>
                </c:pt>
                <c:pt idx="7">
                  <c:v>8.5</c:v>
                </c:pt>
                <c:pt idx="8">
                  <c:v>6</c:v>
                </c:pt>
                <c:pt idx="9">
                  <c:v>3.5</c:v>
                </c:pt>
                <c:pt idx="10">
                  <c:v>7.5</c:v>
                </c:pt>
                <c:pt idx="11">
                  <c:v>5</c:v>
                </c:pt>
              </c:numCache>
            </c:numRef>
          </c:val>
          <c:smooth val="0"/>
          <c:extLst>
            <c:ext xmlns:c16="http://schemas.microsoft.com/office/drawing/2014/chart" uri="{C3380CC4-5D6E-409C-BE32-E72D297353CC}">
              <c16:uniqueId val="{00000001-DF93-4E57-BFCF-EC3D33E6D8F9}"/>
            </c:ext>
          </c:extLst>
        </c:ser>
        <c:ser>
          <c:idx val="2"/>
          <c:order val="2"/>
          <c:tx>
            <c:strRef>
              <c:f>'CO 0.5hourly'!$D$6</c:f>
              <c:strCache>
                <c:ptCount val="1"/>
                <c:pt idx="0">
                  <c:v>Highest 1/2 hourly maximum</c:v>
                </c:pt>
              </c:strCache>
            </c:strRef>
          </c:tx>
          <c:spPr>
            <a:ln>
              <a:noFill/>
            </a:ln>
          </c:spPr>
          <c:marker>
            <c:symbol val="square"/>
            <c:size val="5"/>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0.5hourly'!$D$7:$D$18</c:f>
              <c:numCache>
                <c:formatCode>General</c:formatCode>
                <c:ptCount val="12"/>
                <c:pt idx="0">
                  <c:v>15</c:v>
                </c:pt>
                <c:pt idx="1">
                  <c:v>42</c:v>
                </c:pt>
                <c:pt idx="2">
                  <c:v>18</c:v>
                </c:pt>
                <c:pt idx="3">
                  <c:v>21</c:v>
                </c:pt>
                <c:pt idx="4">
                  <c:v>26</c:v>
                </c:pt>
                <c:pt idx="5">
                  <c:v>35</c:v>
                </c:pt>
                <c:pt idx="6">
                  <c:v>24</c:v>
                </c:pt>
                <c:pt idx="7">
                  <c:v>26</c:v>
                </c:pt>
                <c:pt idx="8">
                  <c:v>24</c:v>
                </c:pt>
                <c:pt idx="9">
                  <c:v>24</c:v>
                </c:pt>
                <c:pt idx="10">
                  <c:v>28</c:v>
                </c:pt>
                <c:pt idx="11">
                  <c:v>28</c:v>
                </c:pt>
              </c:numCache>
            </c:numRef>
          </c:val>
          <c:smooth val="0"/>
          <c:extLst>
            <c:ext xmlns:c16="http://schemas.microsoft.com/office/drawing/2014/chart" uri="{C3380CC4-5D6E-409C-BE32-E72D297353CC}">
              <c16:uniqueId val="{00000002-DF93-4E57-BFCF-EC3D33E6D8F9}"/>
            </c:ext>
          </c:extLst>
        </c:ser>
        <c:ser>
          <c:idx val="3"/>
          <c:order val="3"/>
          <c:tx>
            <c:strRef>
              <c:f>'CO 0.5hourly'!$E$6</c:f>
              <c:strCache>
                <c:ptCount val="1"/>
                <c:pt idx="0">
                  <c:v>Daily CO ELV</c:v>
                </c:pt>
              </c:strCache>
            </c:strRef>
          </c:tx>
          <c:spPr>
            <a:ln>
              <a:prstDash val="dash"/>
            </a:ln>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0.5hourly'!$E$7:$E$18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DF93-4E57-BFCF-EC3D33E6D8F9}"/>
            </c:ext>
          </c:extLst>
        </c:ser>
        <c:ser>
          <c:idx val="4"/>
          <c:order val="4"/>
          <c:tx>
            <c:strRef>
              <c:f>'CO 0.5hourly'!$F$6</c:f>
              <c:strCache>
                <c:ptCount val="1"/>
                <c:pt idx="0">
                  <c:v>Monthly daily mean</c:v>
                </c:pt>
              </c:strCache>
            </c:strRef>
          </c:tx>
          <c:spPr>
            <a:ln w="15875">
              <a:prstDash val="dash"/>
            </a:ln>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0.5hourly'!$F$7:$F$18</c:f>
              <c:numCache>
                <c:formatCode>General</c:formatCode>
                <c:ptCount val="12"/>
                <c:pt idx="0">
                  <c:v>2</c:v>
                </c:pt>
                <c:pt idx="1">
                  <c:v>5.5</c:v>
                </c:pt>
                <c:pt idx="2">
                  <c:v>4</c:v>
                </c:pt>
                <c:pt idx="3">
                  <c:v>3.5</c:v>
                </c:pt>
                <c:pt idx="4">
                  <c:v>4</c:v>
                </c:pt>
                <c:pt idx="5">
                  <c:v>7.5</c:v>
                </c:pt>
                <c:pt idx="6">
                  <c:v>4</c:v>
                </c:pt>
                <c:pt idx="7">
                  <c:v>7.5</c:v>
                </c:pt>
                <c:pt idx="8">
                  <c:v>5.5</c:v>
                </c:pt>
                <c:pt idx="9">
                  <c:v>3</c:v>
                </c:pt>
                <c:pt idx="10">
                  <c:v>6.5</c:v>
                </c:pt>
                <c:pt idx="11">
                  <c:v>4</c:v>
                </c:pt>
              </c:numCache>
            </c:numRef>
          </c:val>
          <c:smooth val="0"/>
          <c:extLst>
            <c:ext xmlns:c16="http://schemas.microsoft.com/office/drawing/2014/chart" uri="{C3380CC4-5D6E-409C-BE32-E72D297353CC}">
              <c16:uniqueId val="{00000004-DF93-4E57-BFCF-EC3D33E6D8F9}"/>
            </c:ext>
          </c:extLst>
        </c:ser>
        <c:ser>
          <c:idx val="5"/>
          <c:order val="5"/>
          <c:tx>
            <c:strRef>
              <c:f>'CO 0.5hourly'!$G$6</c:f>
              <c:strCache>
                <c:ptCount val="1"/>
                <c:pt idx="0">
                  <c:v>Highest daily maximum</c:v>
                </c:pt>
              </c:strCache>
            </c:strRef>
          </c:tx>
          <c:spPr>
            <a:ln w="12700">
              <a:noFill/>
              <a:prstDash val="solid"/>
            </a:ln>
          </c:spPr>
          <c:marker>
            <c:symbol val="triangle"/>
            <c:size val="5"/>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0.5hourly'!$G$7:$G$18</c:f>
              <c:numCache>
                <c:formatCode>General</c:formatCode>
                <c:ptCount val="12"/>
                <c:pt idx="0">
                  <c:v>7</c:v>
                </c:pt>
                <c:pt idx="1">
                  <c:v>17</c:v>
                </c:pt>
                <c:pt idx="2">
                  <c:v>11</c:v>
                </c:pt>
                <c:pt idx="3">
                  <c:v>10</c:v>
                </c:pt>
                <c:pt idx="4">
                  <c:v>15</c:v>
                </c:pt>
                <c:pt idx="5">
                  <c:v>18</c:v>
                </c:pt>
                <c:pt idx="6">
                  <c:v>8</c:v>
                </c:pt>
                <c:pt idx="7">
                  <c:v>15</c:v>
                </c:pt>
                <c:pt idx="8">
                  <c:v>8</c:v>
                </c:pt>
                <c:pt idx="9">
                  <c:v>13</c:v>
                </c:pt>
                <c:pt idx="10">
                  <c:v>20</c:v>
                </c:pt>
                <c:pt idx="11">
                  <c:v>17</c:v>
                </c:pt>
              </c:numCache>
            </c:numRef>
          </c:val>
          <c:smooth val="0"/>
          <c:extLst>
            <c:ext xmlns:c16="http://schemas.microsoft.com/office/drawing/2014/chart" uri="{C3380CC4-5D6E-409C-BE32-E72D297353CC}">
              <c16:uniqueId val="{00000005-DF93-4E57-BFCF-EC3D33E6D8F9}"/>
            </c:ext>
          </c:extLst>
        </c:ser>
        <c:dLbls>
          <c:showLegendKey val="0"/>
          <c:showVal val="0"/>
          <c:showCatName val="0"/>
          <c:showSerName val="0"/>
          <c:showPercent val="0"/>
          <c:showBubbleSize val="0"/>
        </c:dLbls>
        <c:smooth val="0"/>
        <c:axId val="313625952"/>
        <c:axId val="313625560"/>
      </c:lineChart>
      <c:catAx>
        <c:axId val="313625952"/>
        <c:scaling>
          <c:orientation val="minMax"/>
        </c:scaling>
        <c:delete val="0"/>
        <c:axPos val="b"/>
        <c:numFmt formatCode="General" sourceLinked="1"/>
        <c:majorTickMark val="out"/>
        <c:minorTickMark val="none"/>
        <c:tickLblPos val="nextTo"/>
        <c:crossAx val="313625560"/>
        <c:crosses val="autoZero"/>
        <c:auto val="1"/>
        <c:lblAlgn val="ctr"/>
        <c:lblOffset val="100"/>
        <c:noMultiLvlLbl val="0"/>
      </c:catAx>
      <c:valAx>
        <c:axId val="31362556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5952"/>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'CO 95% 10 min'!$B$6</c:f>
              <c:strCache>
                <c:ptCount val="1"/>
                <c:pt idx="0">
                  <c:v>95%ile 10-min avg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min'!$B$7:$B$18</c:f>
              <c:numCache>
                <c:formatCode>General</c:formatCode>
                <c:ptCount val="12"/>
                <c:pt idx="0">
                  <c:v>150</c:v>
                </c:pt>
                <c:pt idx="1">
                  <c:v>150</c:v>
                </c:pt>
                <c:pt idx="2">
                  <c:v>150</c:v>
                </c:pt>
                <c:pt idx="3">
                  <c:v>150</c:v>
                </c:pt>
                <c:pt idx="4">
                  <c:v>150</c:v>
                </c:pt>
                <c:pt idx="5">
                  <c:v>150</c:v>
                </c:pt>
                <c:pt idx="6">
                  <c:v>150</c:v>
                </c:pt>
                <c:pt idx="7">
                  <c:v>150</c:v>
                </c:pt>
                <c:pt idx="8">
                  <c:v>150</c:v>
                </c:pt>
                <c:pt idx="9">
                  <c:v>150</c:v>
                </c:pt>
                <c:pt idx="10">
                  <c:v>150</c:v>
                </c:pt>
                <c:pt idx="11">
                  <c:v>150</c:v>
                </c:pt>
              </c:numCache>
            </c:numRef>
          </c:val>
          <c:smooth val="0"/>
          <c:extLst>
            <c:ext xmlns:c16="http://schemas.microsoft.com/office/drawing/2014/chart" uri="{C3380CC4-5D6E-409C-BE32-E72D297353CC}">
              <c16:uniqueId val="{00000000-9B29-4869-8D9E-3E39E3B46BDD}"/>
            </c:ext>
          </c:extLst>
        </c:ser>
        <c:ser>
          <c:idx val="1"/>
          <c:order val="1"/>
          <c:tx>
            <c:strRef>
              <c:f>'CO 95% 10 min'!$C$6</c:f>
              <c:strCache>
                <c:ptCount val="1"/>
                <c:pt idx="0">
                  <c:v>95%ile 10-min avg maximum</c:v>
                </c:pt>
              </c:strCache>
            </c:strRef>
          </c:tx>
          <c:spPr>
            <a:ln w="15875"/>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min'!$C$7:$C$18</c:f>
              <c:numCache>
                <c:formatCode>General</c:formatCode>
                <c:ptCount val="12"/>
              </c:numCache>
            </c:numRef>
          </c:val>
          <c:smooth val="0"/>
          <c:extLst>
            <c:ext xmlns:c16="http://schemas.microsoft.com/office/drawing/2014/chart" uri="{C3380CC4-5D6E-409C-BE32-E72D297353CC}">
              <c16:uniqueId val="{00000001-9B29-4869-8D9E-3E39E3B46BDD}"/>
            </c:ext>
          </c:extLst>
        </c:ser>
        <c:ser>
          <c:idx val="2"/>
          <c:order val="2"/>
          <c:tx>
            <c:strRef>
              <c:f>'CO 95% 10 min'!$E$6</c:f>
              <c:strCache>
                <c:ptCount val="1"/>
                <c:pt idx="0">
                  <c:v>10-min avg maximum</c:v>
                </c:pt>
              </c:strCache>
            </c:strRef>
          </c:tx>
          <c:spPr>
            <a:ln>
              <a:noFill/>
            </a:ln>
          </c:spPr>
          <c:marker>
            <c:symbol val="squar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min'!$E$7:$E$18</c:f>
              <c:numCache>
                <c:formatCode>General</c:formatCode>
                <c:ptCount val="12"/>
              </c:numCache>
            </c:numRef>
          </c:val>
          <c:smooth val="0"/>
          <c:extLst>
            <c:ext xmlns:c16="http://schemas.microsoft.com/office/drawing/2014/chart" uri="{C3380CC4-5D6E-409C-BE32-E72D297353CC}">
              <c16:uniqueId val="{00000002-9B29-4869-8D9E-3E39E3B46BDD}"/>
            </c:ext>
          </c:extLst>
        </c:ser>
        <c:ser>
          <c:idx val="3"/>
          <c:order val="3"/>
          <c:tx>
            <c:strRef>
              <c:f>'CO 95% 10 min'!$F$6</c:f>
              <c:strCache>
                <c:ptCount val="1"/>
                <c:pt idx="0">
                  <c:v>Daily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min'!$F$7:$F$18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9B29-4869-8D9E-3E39E3B46BDD}"/>
            </c:ext>
          </c:extLst>
        </c:ser>
        <c:ser>
          <c:idx val="4"/>
          <c:order val="4"/>
          <c:tx>
            <c:strRef>
              <c:f>'CO 95% 10 min'!$G$6</c:f>
              <c:strCache>
                <c:ptCount val="1"/>
                <c:pt idx="0">
                  <c:v>Monthly daily mean</c:v>
                </c:pt>
              </c:strCache>
            </c:strRef>
          </c:tx>
          <c:spPr>
            <a:ln w="15875">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min'!$G$7:$G$18</c:f>
              <c:numCache>
                <c:formatCode>General</c:formatCode>
                <c:ptCount val="12"/>
              </c:numCache>
            </c:numRef>
          </c:val>
          <c:smooth val="0"/>
          <c:extLst>
            <c:ext xmlns:c16="http://schemas.microsoft.com/office/drawing/2014/chart" uri="{C3380CC4-5D6E-409C-BE32-E72D297353CC}">
              <c16:uniqueId val="{00000004-9B29-4869-8D9E-3E39E3B46BDD}"/>
            </c:ext>
          </c:extLst>
        </c:ser>
        <c:ser>
          <c:idx val="5"/>
          <c:order val="5"/>
          <c:tx>
            <c:strRef>
              <c:f>'CO 95% 10 min'!$H$6</c:f>
              <c:strCache>
                <c:ptCount val="1"/>
                <c:pt idx="0">
                  <c:v>Highest daily maximum</c:v>
                </c:pt>
              </c:strCache>
            </c:strRef>
          </c:tx>
          <c:spPr>
            <a:ln w="12700">
              <a:noFill/>
              <a:prstDash val="solid"/>
            </a:ln>
          </c:spPr>
          <c:marker>
            <c:symbol val="triangl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min'!$H$7:$H$18</c:f>
              <c:numCache>
                <c:formatCode>General</c:formatCode>
                <c:ptCount val="12"/>
              </c:numCache>
            </c:numRef>
          </c:val>
          <c:smooth val="0"/>
          <c:extLst>
            <c:ext xmlns:c16="http://schemas.microsoft.com/office/drawing/2014/chart" uri="{C3380CC4-5D6E-409C-BE32-E72D297353CC}">
              <c16:uniqueId val="{00000005-9B29-4869-8D9E-3E39E3B46BDD}"/>
            </c:ext>
          </c:extLst>
        </c:ser>
        <c:dLbls>
          <c:showLegendKey val="0"/>
          <c:showVal val="0"/>
          <c:showCatName val="0"/>
          <c:showSerName val="0"/>
          <c:showPercent val="0"/>
          <c:showBubbleSize val="0"/>
        </c:dLbls>
        <c:smooth val="0"/>
        <c:axId val="315944016"/>
        <c:axId val="315944408"/>
      </c:lineChart>
      <c:catAx>
        <c:axId val="315944016"/>
        <c:scaling>
          <c:orientation val="minMax"/>
        </c:scaling>
        <c:delete val="0"/>
        <c:axPos val="b"/>
        <c:numFmt formatCode="General" sourceLinked="1"/>
        <c:majorTickMark val="out"/>
        <c:minorTickMark val="none"/>
        <c:tickLblPos val="nextTo"/>
        <c:crossAx val="315944408"/>
        <c:crosses val="autoZero"/>
        <c:auto val="1"/>
        <c:lblAlgn val="ctr"/>
        <c:lblOffset val="100"/>
        <c:noMultiLvlLbl val="0"/>
      </c:catAx>
      <c:valAx>
        <c:axId val="315944408"/>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594401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'NH3'!$B$6</c:f>
              <c:strCache>
                <c:ptCount val="1"/>
                <c:pt idx="0">
                  <c:v>1/2 hourly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'NH3'!$B$7:$B$18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37CD-4268-A2FE-82F32BF9F807}"/>
            </c:ext>
          </c:extLst>
        </c:ser>
        <c:ser>
          <c:idx val="1"/>
          <c:order val="1"/>
          <c:tx>
            <c:strRef>
              <c:f>'NH3'!$C$6</c:f>
              <c:strCache>
                <c:ptCount val="1"/>
                <c:pt idx="0">
                  <c:v>Monthly 1/2 hourly mean</c:v>
                </c:pt>
              </c:strCache>
            </c:strRef>
          </c:tx>
          <c:spPr>
            <a:ln w="15875"/>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'NH3'!$C$7:$C$18</c:f>
              <c:numCache>
                <c:formatCode>General</c:formatCode>
                <c:ptCount val="12"/>
              </c:numCache>
            </c:numRef>
          </c:val>
          <c:smooth val="0"/>
          <c:extLst>
            <c:ext xmlns:c16="http://schemas.microsoft.com/office/drawing/2014/chart" uri="{C3380CC4-5D6E-409C-BE32-E72D297353CC}">
              <c16:uniqueId val="{00000001-37CD-4268-A2FE-82F32BF9F807}"/>
            </c:ext>
          </c:extLst>
        </c:ser>
        <c:ser>
          <c:idx val="2"/>
          <c:order val="2"/>
          <c:tx>
            <c:strRef>
              <c:f>'NH3'!$D$6</c:f>
              <c:strCache>
                <c:ptCount val="1"/>
                <c:pt idx="0">
                  <c:v>Highest 1/2 hourly maximum</c:v>
                </c:pt>
              </c:strCache>
            </c:strRef>
          </c:tx>
          <c:spPr>
            <a:ln>
              <a:noFill/>
            </a:ln>
          </c:spPr>
          <c:marker>
            <c:symbol val="squar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'NH3'!$D$7:$D$18</c:f>
              <c:numCache>
                <c:formatCode>General</c:formatCode>
                <c:ptCount val="12"/>
              </c:numCache>
            </c:numRef>
          </c:val>
          <c:smooth val="0"/>
          <c:extLst>
            <c:ext xmlns:c16="http://schemas.microsoft.com/office/drawing/2014/chart" uri="{C3380CC4-5D6E-409C-BE32-E72D297353CC}">
              <c16:uniqueId val="{00000002-37CD-4268-A2FE-82F32BF9F807}"/>
            </c:ext>
          </c:extLst>
        </c:ser>
        <c:ser>
          <c:idx val="3"/>
          <c:order val="3"/>
          <c:tx>
            <c:strRef>
              <c:f>'NH3'!$E$6</c:f>
              <c:strCache>
                <c:ptCount val="1"/>
                <c:pt idx="0">
                  <c:v>Daily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37CD-4268-A2FE-82F32BF9F807}"/>
            </c:ext>
          </c:extLst>
        </c:ser>
        <c:ser>
          <c:idx val="4"/>
          <c:order val="4"/>
          <c:tx>
            <c:strRef>
              <c:f>'NH3'!$F$6</c:f>
              <c:strCache>
                <c:ptCount val="1"/>
                <c:pt idx="0">
                  <c:v>Monthly daily mean</c:v>
                </c:pt>
              </c:strCache>
            </c:strRef>
          </c:tx>
          <c:spPr>
            <a:ln w="15875">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'NH3'!$F$7:$F$18</c:f>
              <c:numCache>
                <c:formatCode>General</c:formatCode>
                <c:ptCount val="12"/>
              </c:numCache>
            </c:numRef>
          </c:val>
          <c:smooth val="0"/>
          <c:extLst>
            <c:ext xmlns:c16="http://schemas.microsoft.com/office/drawing/2014/chart" uri="{C3380CC4-5D6E-409C-BE32-E72D297353CC}">
              <c16:uniqueId val="{00000004-37CD-4268-A2FE-82F32BF9F807}"/>
            </c:ext>
          </c:extLst>
        </c:ser>
        <c:ser>
          <c:idx val="5"/>
          <c:order val="5"/>
          <c:tx>
            <c:strRef>
              <c:f>'NH3'!$G$6</c:f>
              <c:strCache>
                <c:ptCount val="1"/>
                <c:pt idx="0">
                  <c:v>Highest daily maximum</c:v>
                </c:pt>
              </c:strCache>
            </c:strRef>
          </c:tx>
          <c:spPr>
            <a:ln w="12700">
              <a:noFill/>
              <a:prstDash val="solid"/>
            </a:ln>
          </c:spPr>
          <c:marker>
            <c:symbol val="triangl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'NH3'!$G$7:$G$18</c:f>
              <c:numCache>
                <c:formatCode>General</c:formatCode>
                <c:ptCount val="12"/>
              </c:numCache>
            </c:numRef>
          </c:val>
          <c:smooth val="0"/>
          <c:extLst>
            <c:ext xmlns:c16="http://schemas.microsoft.com/office/drawing/2014/chart" uri="{C3380CC4-5D6E-409C-BE32-E72D297353CC}">
              <c16:uniqueId val="{00000005-37CD-4268-A2FE-82F32BF9F807}"/>
            </c:ext>
          </c:extLst>
        </c:ser>
        <c:dLbls>
          <c:showLegendKey val="0"/>
          <c:showVal val="0"/>
          <c:showCatName val="0"/>
          <c:showSerName val="0"/>
          <c:showPercent val="0"/>
          <c:showBubbleSize val="0"/>
        </c:dLbls>
        <c:smooth val="0"/>
        <c:axId val="313627912"/>
        <c:axId val="315945584"/>
      </c:lineChart>
      <c:catAx>
        <c:axId val="313627912"/>
        <c:scaling>
          <c:orientation val="minMax"/>
        </c:scaling>
        <c:delete val="0"/>
        <c:axPos val="b"/>
        <c:numFmt formatCode="General" sourceLinked="1"/>
        <c:majorTickMark val="out"/>
        <c:minorTickMark val="none"/>
        <c:tickLblPos val="nextTo"/>
        <c:crossAx val="315945584"/>
        <c:crosses val="autoZero"/>
        <c:auto val="1"/>
        <c:lblAlgn val="ctr"/>
        <c:lblOffset val="100"/>
        <c:noMultiLvlLbl val="0"/>
      </c:catAx>
      <c:valAx>
        <c:axId val="315945584"/>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7912"/>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xml"/></Relationships>
</file>

<file path=xl/drawings/_rels/drawing8.xml.rels><?xml version="1.0" encoding="UTF-8" standalone="yes"?>
<Relationships xmlns="http://schemas.openxmlformats.org/package/2006/relationships"><Relationship Id="rId1" Type="http://schemas.openxmlformats.org/officeDocument/2006/relationships/chart" Target="../charts/chart6.xml"/></Relationships>
</file>

<file path=xl/drawings/_rels/drawing9.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8.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441960</xdr:colOff>
          <xdr:row>8</xdr:row>
          <xdr:rowOff>114300</xdr:rowOff>
        </xdr:from>
        <xdr:to>
          <xdr:col>15</xdr:col>
          <xdr:colOff>289560</xdr:colOff>
          <xdr:row>11</xdr:row>
          <xdr:rowOff>22860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Arial"/>
                  <a:cs typeface="Arial"/>
                </a:rPr>
                <a:t>Print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449580</xdr:colOff>
          <xdr:row>5</xdr:row>
          <xdr:rowOff>106680</xdr:rowOff>
        </xdr:from>
        <xdr:to>
          <xdr:col>15</xdr:col>
          <xdr:colOff>297180</xdr:colOff>
          <xdr:row>8</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0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Arial"/>
                  <a:cs typeface="Arial"/>
                </a:rPr>
                <a:t>Print as PDF</a:t>
              </a:r>
            </a:p>
          </xdr:txBody>
        </xdr:sp>
        <xdr:clientData fPrintsWithSheet="0"/>
      </xdr:twoCellAnchor>
    </mc:Choice>
    <mc:Fallback/>
  </mc:AlternateContent>
  <xdr:twoCellAnchor editAs="oneCell">
    <xdr:from>
      <xdr:col>3</xdr:col>
      <xdr:colOff>361950</xdr:colOff>
      <xdr:row>0</xdr:row>
      <xdr:rowOff>12686</xdr:rowOff>
    </xdr:from>
    <xdr:to>
      <xdr:col>6</xdr:col>
      <xdr:colOff>247649</xdr:colOff>
      <xdr:row>7</xdr:row>
      <xdr:rowOff>38064</xdr:rowOff>
    </xdr:to>
    <xdr:pic>
      <xdr:nvPicPr>
        <xdr:cNvPr id="5" name="Picture 4">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695575" y="12686"/>
          <a:ext cx="1857374" cy="142555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60960</xdr:colOff>
          <xdr:row>1</xdr:row>
          <xdr:rowOff>38100</xdr:rowOff>
        </xdr:from>
        <xdr:to>
          <xdr:col>8</xdr:col>
          <xdr:colOff>365760</xdr:colOff>
          <xdr:row>7</xdr:row>
          <xdr:rowOff>320040</xdr:rowOff>
        </xdr:to>
        <xdr:sp macro="" textlink="">
          <xdr:nvSpPr>
            <xdr:cNvPr id="31745" name="Object 1" hidden="1">
              <a:extLst>
                <a:ext uri="{63B3BB69-23CF-44E3-9099-C40C66FF867C}">
                  <a14:compatExt spid="_x0000_s31745"/>
                </a:ext>
                <a:ext uri="{FF2B5EF4-FFF2-40B4-BE49-F238E27FC236}">
                  <a16:creationId xmlns:a16="http://schemas.microsoft.com/office/drawing/2014/main" id="{00000000-0008-0000-0A00-0000017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19</xdr:row>
      <xdr:rowOff>0</xdr:rowOff>
    </xdr:from>
    <xdr:to>
      <xdr:col>8</xdr:col>
      <xdr:colOff>9525</xdr:colOff>
      <xdr:row>46</xdr:row>
      <xdr:rowOff>76200</xdr:rowOff>
    </xdr:to>
    <xdr:graphicFrame macro="">
      <xdr:nvGraphicFramePr>
        <xdr:cNvPr id="2" name="Chart 1">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enquiries@ancillarycomponents.co.uk"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1.bin"/><Relationship Id="rId5" Type="http://schemas.openxmlformats.org/officeDocument/2006/relationships/image" Target="../media/image2.emf"/><Relationship Id="rId4" Type="http://schemas.openxmlformats.org/officeDocument/2006/relationships/oleObject" Target="../embeddings/oleObject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1"/>
  </sheetPr>
  <dimension ref="B1:P53"/>
  <sheetViews>
    <sheetView tabSelected="1" topLeftCell="A19" workbookViewId="0">
      <selection activeCell="B31" sqref="B31:I31"/>
    </sheetView>
  </sheetViews>
  <sheetFormatPr defaultColWidth="9.44140625" defaultRowHeight="15" x14ac:dyDescent="0.25"/>
  <cols>
    <col min="1" max="1" width="9.44140625" style="2" customWidth="1"/>
    <col min="2" max="2" width="14.5546875" style="2" bestFit="1" customWidth="1"/>
    <col min="3" max="9" width="9.44140625" style="2"/>
    <col min="10" max="10" width="11.5546875" style="2" customWidth="1"/>
    <col min="11" max="14" width="9.44140625" style="2"/>
    <col min="15" max="15" width="9.44140625" style="2" customWidth="1"/>
    <col min="16" max="16384" width="9.44140625" style="2"/>
  </cols>
  <sheetData>
    <row r="1" spans="2:16" x14ac:dyDescent="0.25">
      <c r="B1" s="93"/>
      <c r="C1" s="93"/>
      <c r="D1" s="178" t="s">
        <v>0</v>
      </c>
      <c r="E1" s="178"/>
      <c r="F1" s="178"/>
      <c r="G1" s="178"/>
      <c r="H1" s="93"/>
      <c r="I1" s="93"/>
      <c r="J1" s="93"/>
      <c r="K1" s="93"/>
      <c r="L1" s="93"/>
      <c r="M1" s="93"/>
      <c r="N1" s="93"/>
      <c r="O1" s="93"/>
      <c r="P1" s="93"/>
    </row>
    <row r="2" spans="2:16" x14ac:dyDescent="0.25">
      <c r="B2" s="93"/>
      <c r="C2" s="93"/>
      <c r="D2" s="178"/>
      <c r="E2" s="178"/>
      <c r="F2" s="178"/>
      <c r="G2" s="178"/>
      <c r="H2" s="93"/>
      <c r="I2" s="93"/>
      <c r="J2" s="93"/>
      <c r="K2" s="93"/>
      <c r="L2" s="93"/>
      <c r="M2" s="93"/>
      <c r="N2" s="93" t="s">
        <v>1</v>
      </c>
      <c r="O2" s="93"/>
      <c r="P2" s="109"/>
    </row>
    <row r="3" spans="2:16" x14ac:dyDescent="0.25">
      <c r="B3" s="93"/>
      <c r="C3" s="93"/>
      <c r="D3" s="178"/>
      <c r="E3" s="178"/>
      <c r="F3" s="178"/>
      <c r="G3" s="178"/>
      <c r="H3" s="93"/>
      <c r="I3" s="93"/>
      <c r="J3" s="93"/>
      <c r="K3" s="93"/>
      <c r="L3" s="93"/>
      <c r="M3" s="93"/>
      <c r="N3" s="109"/>
      <c r="O3" s="93"/>
      <c r="P3" s="93"/>
    </row>
    <row r="4" spans="2:16" x14ac:dyDescent="0.25">
      <c r="B4" s="93"/>
      <c r="C4" s="93"/>
      <c r="D4" s="178"/>
      <c r="E4" s="178"/>
      <c r="F4" s="178"/>
      <c r="G4" s="178"/>
      <c r="H4" s="93"/>
      <c r="I4" s="93"/>
      <c r="J4" s="93"/>
      <c r="K4" s="93"/>
      <c r="L4" s="93"/>
      <c r="M4" s="93"/>
      <c r="N4" s="93"/>
      <c r="O4" s="93"/>
      <c r="P4" s="93"/>
    </row>
    <row r="5" spans="2:16" x14ac:dyDescent="0.25">
      <c r="B5" s="93"/>
      <c r="C5" s="93"/>
      <c r="D5" s="178"/>
      <c r="E5" s="178"/>
      <c r="F5" s="178"/>
      <c r="G5" s="178"/>
      <c r="H5" s="93"/>
      <c r="I5" s="93"/>
      <c r="J5" s="93"/>
      <c r="K5" s="93"/>
      <c r="L5" s="93"/>
      <c r="M5" s="93"/>
      <c r="N5" s="93"/>
      <c r="O5" s="93"/>
      <c r="P5" s="93"/>
    </row>
    <row r="6" spans="2:16" x14ac:dyDescent="0.25">
      <c r="B6" s="93"/>
      <c r="C6" s="93"/>
      <c r="D6" s="178"/>
      <c r="E6" s="178"/>
      <c r="F6" s="178"/>
      <c r="G6" s="178"/>
      <c r="H6" s="93"/>
      <c r="I6" s="93"/>
      <c r="J6" s="93"/>
      <c r="K6" s="93"/>
      <c r="L6" s="93"/>
      <c r="M6" s="93"/>
      <c r="N6" s="93"/>
      <c r="O6" s="93"/>
      <c r="P6" s="93"/>
    </row>
    <row r="8" spans="2:16" ht="15.75" customHeight="1" x14ac:dyDescent="0.25">
      <c r="B8" s="178" t="s">
        <v>2</v>
      </c>
      <c r="C8" s="178"/>
      <c r="D8" s="178"/>
      <c r="E8" s="178"/>
      <c r="F8" s="178"/>
      <c r="G8" s="178"/>
      <c r="H8" s="178"/>
      <c r="I8" s="178"/>
      <c r="J8" s="93"/>
      <c r="K8" s="93"/>
      <c r="L8" s="93"/>
      <c r="M8" s="93"/>
      <c r="N8" s="71"/>
      <c r="O8" s="93"/>
      <c r="P8" s="93"/>
    </row>
    <row r="9" spans="2:16" x14ac:dyDescent="0.25">
      <c r="B9" s="178"/>
      <c r="C9" s="178"/>
      <c r="D9" s="178"/>
      <c r="E9" s="178"/>
      <c r="F9" s="178"/>
      <c r="G9" s="178"/>
      <c r="H9" s="178"/>
      <c r="I9" s="178"/>
      <c r="J9" s="93"/>
      <c r="K9" s="93"/>
      <c r="L9" s="93"/>
      <c r="M9" s="93"/>
      <c r="N9" s="93"/>
      <c r="O9" s="93"/>
      <c r="P9" s="93"/>
    </row>
    <row r="10" spans="2:16" x14ac:dyDescent="0.25">
      <c r="B10" s="178"/>
      <c r="C10" s="178"/>
      <c r="D10" s="178"/>
      <c r="E10" s="178"/>
      <c r="F10" s="178"/>
      <c r="G10" s="178"/>
      <c r="H10" s="178"/>
      <c r="I10" s="178"/>
      <c r="J10" s="93"/>
      <c r="K10" s="93"/>
      <c r="L10" s="93"/>
      <c r="M10" s="93"/>
      <c r="N10" s="93"/>
      <c r="O10" s="93"/>
      <c r="P10" s="93"/>
    </row>
    <row r="11" spans="2:16" x14ac:dyDescent="0.25">
      <c r="B11" s="178"/>
      <c r="C11" s="178"/>
      <c r="D11" s="178"/>
      <c r="E11" s="178"/>
      <c r="F11" s="178"/>
      <c r="G11" s="178"/>
      <c r="H11" s="178"/>
      <c r="I11" s="178"/>
      <c r="J11" s="93"/>
      <c r="K11" s="93"/>
      <c r="L11" s="93"/>
      <c r="M11" s="93"/>
      <c r="N11" s="93"/>
      <c r="O11" s="93"/>
      <c r="P11" s="93"/>
    </row>
    <row r="12" spans="2:16" x14ac:dyDescent="0.25">
      <c r="B12" s="178"/>
      <c r="C12" s="178"/>
      <c r="D12" s="178"/>
      <c r="E12" s="178"/>
      <c r="F12" s="178"/>
      <c r="G12" s="178"/>
      <c r="H12" s="178"/>
      <c r="I12" s="178"/>
      <c r="J12" s="93"/>
      <c r="K12" s="93"/>
      <c r="L12" s="93"/>
      <c r="M12" s="93"/>
      <c r="N12" s="93"/>
      <c r="O12" s="93"/>
      <c r="P12" s="93"/>
    </row>
    <row r="13" spans="2:16" ht="15.6" x14ac:dyDescent="0.3">
      <c r="B13" s="178"/>
      <c r="C13" s="178"/>
      <c r="D13" s="178"/>
      <c r="E13" s="178"/>
      <c r="F13" s="178"/>
      <c r="G13" s="178"/>
      <c r="H13" s="178"/>
      <c r="I13" s="178"/>
      <c r="J13" s="93"/>
      <c r="K13" s="93"/>
      <c r="L13" s="93"/>
      <c r="M13" s="93"/>
      <c r="N13" s="75" t="s">
        <v>3</v>
      </c>
      <c r="O13" s="73"/>
      <c r="P13" s="73"/>
    </row>
    <row r="14" spans="2:16" ht="15.6" customHeight="1" x14ac:dyDescent="0.25">
      <c r="B14" s="178"/>
      <c r="C14" s="178"/>
      <c r="D14" s="178"/>
      <c r="E14" s="178"/>
      <c r="F14" s="178"/>
      <c r="G14" s="178"/>
      <c r="H14" s="178"/>
      <c r="I14" s="178"/>
      <c r="J14" s="93"/>
      <c r="K14" s="93"/>
      <c r="L14" s="93"/>
      <c r="M14" s="93"/>
      <c r="N14" s="177" t="s">
        <v>4</v>
      </c>
      <c r="O14" s="177"/>
      <c r="P14" s="177"/>
    </row>
    <row r="15" spans="2:16" x14ac:dyDescent="0.25">
      <c r="B15" s="178"/>
      <c r="C15" s="178"/>
      <c r="D15" s="178"/>
      <c r="E15" s="178"/>
      <c r="F15" s="178"/>
      <c r="G15" s="178"/>
      <c r="H15" s="178"/>
      <c r="I15" s="178"/>
      <c r="J15" s="93"/>
      <c r="K15" s="93"/>
      <c r="L15" s="93"/>
      <c r="M15" s="93"/>
      <c r="N15" s="177"/>
      <c r="O15" s="177"/>
      <c r="P15" s="177"/>
    </row>
    <row r="16" spans="2:16" x14ac:dyDescent="0.25">
      <c r="B16" s="178"/>
      <c r="C16" s="178"/>
      <c r="D16" s="178"/>
      <c r="E16" s="178"/>
      <c r="F16" s="178"/>
      <c r="G16" s="178"/>
      <c r="H16" s="178"/>
      <c r="I16" s="178"/>
      <c r="J16" s="93"/>
      <c r="K16" s="93"/>
      <c r="L16" s="93"/>
      <c r="M16" s="93"/>
      <c r="N16" s="177"/>
      <c r="O16" s="177"/>
      <c r="P16" s="177"/>
    </row>
    <row r="17" spans="2:16" x14ac:dyDescent="0.25">
      <c r="B17" s="178"/>
      <c r="C17" s="178"/>
      <c r="D17" s="178"/>
      <c r="E17" s="178"/>
      <c r="F17" s="178"/>
      <c r="G17" s="178"/>
      <c r="H17" s="178"/>
      <c r="I17" s="178"/>
      <c r="J17" s="93"/>
      <c r="K17" s="93"/>
      <c r="L17" s="93"/>
      <c r="M17" s="93"/>
      <c r="N17" s="177"/>
      <c r="O17" s="177"/>
      <c r="P17" s="177"/>
    </row>
    <row r="18" spans="2:16" x14ac:dyDescent="0.25">
      <c r="B18" s="178"/>
      <c r="C18" s="178"/>
      <c r="D18" s="178"/>
      <c r="E18" s="178"/>
      <c r="F18" s="178"/>
      <c r="G18" s="178"/>
      <c r="H18" s="178"/>
      <c r="I18" s="178"/>
      <c r="J18" s="93"/>
      <c r="K18" s="93"/>
      <c r="L18" s="93"/>
      <c r="M18" s="93"/>
      <c r="N18" s="177"/>
      <c r="O18" s="177"/>
      <c r="P18" s="177"/>
    </row>
    <row r="19" spans="2:16" x14ac:dyDescent="0.25">
      <c r="B19" s="178"/>
      <c r="C19" s="178"/>
      <c r="D19" s="178"/>
      <c r="E19" s="178"/>
      <c r="F19" s="178"/>
      <c r="G19" s="178"/>
      <c r="H19" s="178"/>
      <c r="I19" s="178"/>
      <c r="J19" s="93"/>
      <c r="K19" s="93"/>
      <c r="L19" s="93"/>
      <c r="M19" s="93"/>
      <c r="N19" s="177"/>
      <c r="O19" s="177"/>
      <c r="P19" s="177"/>
    </row>
    <row r="20" spans="2:16" x14ac:dyDescent="0.25">
      <c r="B20" s="178"/>
      <c r="C20" s="178"/>
      <c r="D20" s="178"/>
      <c r="E20" s="178"/>
      <c r="F20" s="178"/>
      <c r="G20" s="178"/>
      <c r="H20" s="178"/>
      <c r="I20" s="178"/>
      <c r="J20" s="93"/>
      <c r="K20" s="93"/>
      <c r="L20" s="93"/>
      <c r="M20" s="93"/>
      <c r="N20" s="93"/>
      <c r="O20" s="93"/>
      <c r="P20" s="93"/>
    </row>
    <row r="21" spans="2:16" x14ac:dyDescent="0.25">
      <c r="B21" s="178"/>
      <c r="C21" s="178"/>
      <c r="D21" s="178"/>
      <c r="E21" s="178"/>
      <c r="F21" s="178"/>
      <c r="G21" s="178"/>
      <c r="H21" s="178"/>
      <c r="I21" s="178"/>
      <c r="J21" s="93"/>
      <c r="K21" s="93"/>
      <c r="L21" s="93"/>
      <c r="M21" s="93"/>
      <c r="N21" s="93"/>
      <c r="O21" s="93"/>
      <c r="P21" s="93"/>
    </row>
    <row r="22" spans="2:16" x14ac:dyDescent="0.25">
      <c r="B22" s="178"/>
      <c r="C22" s="178"/>
      <c r="D22" s="178"/>
      <c r="E22" s="178"/>
      <c r="F22" s="178"/>
      <c r="G22" s="178"/>
      <c r="H22" s="178"/>
      <c r="I22" s="178"/>
      <c r="J22" s="93"/>
      <c r="K22" s="93"/>
      <c r="L22" s="93"/>
      <c r="M22" s="93"/>
      <c r="N22" s="93"/>
      <c r="O22" s="93"/>
      <c r="P22" s="93"/>
    </row>
    <row r="23" spans="2:16" x14ac:dyDescent="0.25">
      <c r="B23" s="178"/>
      <c r="C23" s="178"/>
      <c r="D23" s="178"/>
      <c r="E23" s="178"/>
      <c r="F23" s="178"/>
      <c r="G23" s="178"/>
      <c r="H23" s="178"/>
      <c r="I23" s="178"/>
      <c r="J23" s="93"/>
      <c r="K23" s="93"/>
      <c r="L23" s="93"/>
      <c r="M23" s="93"/>
      <c r="N23" s="93"/>
      <c r="O23" s="93"/>
      <c r="P23" s="93"/>
    </row>
    <row r="24" spans="2:16" x14ac:dyDescent="0.25">
      <c r="B24" s="178"/>
      <c r="C24" s="178"/>
      <c r="D24" s="178"/>
      <c r="E24" s="178"/>
      <c r="F24" s="178"/>
      <c r="G24" s="178"/>
      <c r="H24" s="178"/>
      <c r="I24" s="178"/>
      <c r="J24" s="93"/>
      <c r="K24" s="93"/>
      <c r="L24" s="93"/>
      <c r="M24" s="93"/>
      <c r="N24" s="93"/>
      <c r="O24" s="93"/>
      <c r="P24" s="93"/>
    </row>
    <row r="29" spans="2:16" ht="17.399999999999999" x14ac:dyDescent="0.3">
      <c r="B29" s="175" t="s">
        <v>5</v>
      </c>
      <c r="C29" s="175"/>
      <c r="D29" s="175"/>
      <c r="E29" s="175"/>
      <c r="F29" s="175"/>
      <c r="G29" s="175"/>
      <c r="H29" s="175"/>
      <c r="I29" s="175"/>
      <c r="J29" s="93"/>
      <c r="K29" s="93"/>
      <c r="L29" s="93"/>
      <c r="M29" s="93"/>
      <c r="N29" s="93"/>
      <c r="O29" s="93"/>
      <c r="P29" s="93"/>
    </row>
    <row r="30" spans="2:16" ht="17.399999999999999" x14ac:dyDescent="0.3">
      <c r="B30" s="93"/>
      <c r="C30" s="7"/>
      <c r="D30" s="8"/>
      <c r="E30" s="8"/>
      <c r="F30" s="8"/>
      <c r="G30" s="8"/>
      <c r="H30" s="8"/>
      <c r="I30" s="8"/>
      <c r="J30" s="93"/>
      <c r="K30" s="93"/>
      <c r="L30" s="93"/>
      <c r="M30" s="93"/>
      <c r="N30" s="93"/>
      <c r="O30" s="93"/>
      <c r="P30" s="93"/>
    </row>
    <row r="31" spans="2:16" ht="17.399999999999999" x14ac:dyDescent="0.3">
      <c r="B31" s="175" t="s">
        <v>6</v>
      </c>
      <c r="C31" s="175"/>
      <c r="D31" s="175"/>
      <c r="E31" s="175"/>
      <c r="F31" s="175"/>
      <c r="G31" s="175"/>
      <c r="H31" s="175"/>
      <c r="I31" s="175"/>
      <c r="J31" s="93"/>
      <c r="K31" s="93"/>
      <c r="L31" s="93"/>
      <c r="M31" s="93"/>
      <c r="N31" s="93"/>
      <c r="O31" s="93"/>
      <c r="P31" s="93"/>
    </row>
    <row r="32" spans="2:16" ht="17.399999999999999" x14ac:dyDescent="0.3">
      <c r="B32" s="93"/>
      <c r="C32" s="7"/>
      <c r="D32" s="8"/>
      <c r="E32" s="8"/>
      <c r="F32" s="8"/>
      <c r="G32" s="8"/>
      <c r="H32" s="8"/>
      <c r="I32" s="8"/>
      <c r="J32" s="93"/>
      <c r="K32" s="93"/>
      <c r="L32" s="93"/>
      <c r="M32" s="93"/>
      <c r="N32" s="93"/>
      <c r="O32" s="93"/>
      <c r="P32" s="93"/>
    </row>
    <row r="33" spans="2:9" ht="17.399999999999999" x14ac:dyDescent="0.3">
      <c r="B33" s="175" t="s">
        <v>7</v>
      </c>
      <c r="C33" s="175"/>
      <c r="D33" s="175"/>
      <c r="E33" s="175"/>
      <c r="F33" s="175"/>
      <c r="G33" s="175"/>
      <c r="H33" s="175"/>
      <c r="I33" s="175"/>
    </row>
    <row r="34" spans="2:9" ht="17.399999999999999" x14ac:dyDescent="0.3">
      <c r="B34" s="93"/>
      <c r="C34" s="7"/>
      <c r="D34" s="8"/>
      <c r="E34" s="8"/>
      <c r="F34" s="8"/>
      <c r="G34" s="8"/>
      <c r="H34" s="8"/>
      <c r="I34" s="8"/>
    </row>
    <row r="35" spans="2:9" ht="17.399999999999999" x14ac:dyDescent="0.3">
      <c r="B35" s="175" t="s">
        <v>8</v>
      </c>
      <c r="C35" s="175"/>
      <c r="D35" s="175"/>
      <c r="E35" s="175"/>
      <c r="F35" s="175"/>
      <c r="G35" s="175"/>
      <c r="H35" s="175"/>
      <c r="I35" s="175"/>
    </row>
    <row r="37" spans="2:9" ht="17.399999999999999" x14ac:dyDescent="0.3">
      <c r="B37" s="175" t="s">
        <v>9</v>
      </c>
      <c r="C37" s="175"/>
      <c r="D37" s="175"/>
      <c r="E37" s="175"/>
      <c r="F37" s="175"/>
      <c r="G37" s="175"/>
      <c r="H37" s="175"/>
      <c r="I37" s="175"/>
    </row>
    <row r="39" spans="2:9" x14ac:dyDescent="0.25">
      <c r="B39" s="93" t="s">
        <v>10</v>
      </c>
      <c r="C39" s="110">
        <v>2022</v>
      </c>
      <c r="D39" s="93"/>
      <c r="E39" s="93"/>
      <c r="F39" s="93"/>
      <c r="G39" s="93"/>
      <c r="H39" s="93"/>
      <c r="I39" s="93"/>
    </row>
    <row r="40" spans="2:9" ht="14.25" customHeight="1" x14ac:dyDescent="0.25">
      <c r="B40" s="93"/>
      <c r="C40" s="93"/>
      <c r="D40" s="93"/>
      <c r="E40" s="93"/>
      <c r="F40" s="93"/>
      <c r="G40" s="93"/>
      <c r="H40" s="93"/>
      <c r="I40" s="93"/>
    </row>
    <row r="41" spans="2:9" x14ac:dyDescent="0.25">
      <c r="B41" s="111" t="s">
        <v>11</v>
      </c>
      <c r="C41" s="173" t="s">
        <v>12</v>
      </c>
      <c r="D41" s="173"/>
      <c r="E41" s="173"/>
      <c r="F41" s="173"/>
      <c r="G41" s="173"/>
      <c r="H41" s="173"/>
      <c r="I41" s="173"/>
    </row>
    <row r="42" spans="2:9" x14ac:dyDescent="0.25">
      <c r="B42" s="111"/>
      <c r="C42" s="93"/>
      <c r="D42" s="93"/>
      <c r="E42" s="93"/>
      <c r="F42" s="93"/>
      <c r="G42" s="93"/>
      <c r="H42" s="93"/>
      <c r="I42" s="93"/>
    </row>
    <row r="43" spans="2:9" x14ac:dyDescent="0.25">
      <c r="B43" s="111" t="s">
        <v>13</v>
      </c>
      <c r="C43" s="173">
        <v>1933315818</v>
      </c>
      <c r="D43" s="173"/>
      <c r="E43" s="173"/>
      <c r="F43" s="93"/>
      <c r="G43" s="93"/>
      <c r="H43" s="93"/>
      <c r="I43" s="93"/>
    </row>
    <row r="44" spans="2:9" x14ac:dyDescent="0.25">
      <c r="B44" s="111"/>
      <c r="C44" s="93"/>
      <c r="D44" s="93"/>
      <c r="E44" s="93"/>
      <c r="F44" s="93"/>
      <c r="G44" s="93"/>
      <c r="H44" s="93"/>
      <c r="I44" s="93"/>
    </row>
    <row r="45" spans="2:9" ht="15.6" x14ac:dyDescent="0.3">
      <c r="B45" s="111" t="s">
        <v>14</v>
      </c>
      <c r="C45" s="176" t="s">
        <v>15</v>
      </c>
      <c r="D45" s="173"/>
      <c r="E45" s="173"/>
      <c r="F45" s="93"/>
      <c r="G45" s="93"/>
      <c r="H45" s="93"/>
      <c r="I45" s="93"/>
    </row>
    <row r="46" spans="2:9" x14ac:dyDescent="0.25">
      <c r="B46" s="111"/>
      <c r="C46" s="93"/>
      <c r="D46" s="93"/>
      <c r="E46" s="93"/>
      <c r="F46" s="93"/>
      <c r="G46" s="93"/>
      <c r="H46" s="93"/>
      <c r="I46" s="93"/>
    </row>
    <row r="47" spans="2:9" x14ac:dyDescent="0.25">
      <c r="B47" s="111" t="s">
        <v>16</v>
      </c>
      <c r="C47" s="173" t="s">
        <v>17</v>
      </c>
      <c r="D47" s="173"/>
      <c r="E47" s="93"/>
      <c r="F47" s="93" t="s">
        <v>18</v>
      </c>
      <c r="G47" s="173" t="s">
        <v>19</v>
      </c>
      <c r="H47" s="173"/>
      <c r="I47" s="173"/>
    </row>
    <row r="48" spans="2:9" x14ac:dyDescent="0.25">
      <c r="B48" s="111"/>
      <c r="C48" s="93"/>
      <c r="D48" s="93"/>
      <c r="E48" s="93"/>
      <c r="F48" s="93"/>
      <c r="G48" s="93"/>
      <c r="H48" s="93"/>
      <c r="I48" s="93"/>
    </row>
    <row r="49" spans="2:9" x14ac:dyDescent="0.25">
      <c r="B49" s="111" t="s">
        <v>20</v>
      </c>
      <c r="C49" s="173" t="s">
        <v>21</v>
      </c>
      <c r="D49" s="173"/>
      <c r="E49" s="93"/>
      <c r="F49" s="93" t="s">
        <v>18</v>
      </c>
      <c r="G49" s="173" t="s">
        <v>22</v>
      </c>
      <c r="H49" s="173"/>
      <c r="I49" s="173"/>
    </row>
    <row r="50" spans="2:9" x14ac:dyDescent="0.25">
      <c r="B50" s="111"/>
      <c r="C50" s="93"/>
      <c r="D50" s="93"/>
      <c r="E50" s="93"/>
      <c r="F50" s="93"/>
      <c r="G50" s="93"/>
      <c r="H50" s="93"/>
      <c r="I50" s="93"/>
    </row>
    <row r="51" spans="2:9" x14ac:dyDescent="0.25">
      <c r="B51" s="111" t="s">
        <v>23</v>
      </c>
      <c r="C51" s="110">
        <v>1</v>
      </c>
      <c r="D51" s="93"/>
      <c r="E51" s="93"/>
      <c r="F51" s="93"/>
      <c r="G51" s="93"/>
      <c r="H51" s="93"/>
      <c r="I51" s="93"/>
    </row>
    <row r="52" spans="2:9" x14ac:dyDescent="0.25">
      <c r="B52" s="111"/>
      <c r="C52" s="93"/>
      <c r="D52" s="93"/>
      <c r="E52" s="93"/>
      <c r="F52" s="93"/>
      <c r="G52" s="93"/>
      <c r="H52" s="93"/>
      <c r="I52" s="93"/>
    </row>
    <row r="53" spans="2:9" x14ac:dyDescent="0.25">
      <c r="B53" s="111" t="s">
        <v>24</v>
      </c>
      <c r="C53" s="174">
        <v>44957</v>
      </c>
      <c r="D53" s="173"/>
      <c r="E53" s="93"/>
      <c r="F53" s="93"/>
      <c r="G53" s="93"/>
      <c r="H53" s="93"/>
      <c r="I53" s="93"/>
    </row>
  </sheetData>
  <mergeCells count="16">
    <mergeCell ref="N14:P19"/>
    <mergeCell ref="B35:I35"/>
    <mergeCell ref="D1:G6"/>
    <mergeCell ref="B8:I24"/>
    <mergeCell ref="B29:I29"/>
    <mergeCell ref="B31:I31"/>
    <mergeCell ref="B33:I33"/>
    <mergeCell ref="C49:D49"/>
    <mergeCell ref="G49:I49"/>
    <mergeCell ref="C53:D53"/>
    <mergeCell ref="B37:I37"/>
    <mergeCell ref="C41:I41"/>
    <mergeCell ref="C43:E43"/>
    <mergeCell ref="C45:E45"/>
    <mergeCell ref="C47:D47"/>
    <mergeCell ref="G47:I47"/>
  </mergeCells>
  <hyperlinks>
    <hyperlink ref="C45" r:id="rId1" xr:uid="{A16A143D-63EE-4F57-8E5E-2821E7B4CCD4}"/>
  </hyperlinks>
  <pageMargins left="1.0899999999999999" right="0.7" top="0.75" bottom="0.75" header="0.3" footer="0.3"/>
  <pageSetup scale="80" orientation="portrait" r:id="rId2"/>
  <headerFooter differentFirst="1"/>
  <drawing r:id="rId3"/>
  <legacyDrawing r:id="rId4"/>
  <mc:AlternateContent xmlns:mc="http://schemas.openxmlformats.org/markup-compatibility/2006">
    <mc:Choice Requires="x14">
      <controls>
        <mc:AlternateContent xmlns:mc="http://schemas.openxmlformats.org/markup-compatibility/2006">
          <mc:Choice Requires="x14">
            <control shapeId="9217" r:id="rId5" name="Button 1">
              <controlPr defaultSize="0" print="0" autoFill="0" autoPict="0" macro="[0]!PrintAllSheets">
                <anchor moveWithCells="1" sizeWithCells="1">
                  <from>
                    <xdr:col>12</xdr:col>
                    <xdr:colOff>441960</xdr:colOff>
                    <xdr:row>8</xdr:row>
                    <xdr:rowOff>114300</xdr:rowOff>
                  </from>
                  <to>
                    <xdr:col>15</xdr:col>
                    <xdr:colOff>289560</xdr:colOff>
                    <xdr:row>11</xdr:row>
                    <xdr:rowOff>22860</xdr:rowOff>
                  </to>
                </anchor>
              </controlPr>
            </control>
          </mc:Choice>
        </mc:AlternateContent>
        <mc:AlternateContent xmlns:mc="http://schemas.openxmlformats.org/markup-compatibility/2006">
          <mc:Choice Requires="x14">
            <control shapeId="9218" r:id="rId6" name="Button 2">
              <controlPr defaultSize="0" print="0" autoFill="0" autoPict="0" macro="[0]!PrintAllSheetsToPDF">
                <anchor moveWithCells="1" sizeWithCells="1">
                  <from>
                    <xdr:col>12</xdr:col>
                    <xdr:colOff>449580</xdr:colOff>
                    <xdr:row>5</xdr:row>
                    <xdr:rowOff>106680</xdr:rowOff>
                  </from>
                  <to>
                    <xdr:col>15</xdr:col>
                    <xdr:colOff>297180</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sheetPr>
  <dimension ref="A1:O66"/>
  <sheetViews>
    <sheetView topLeftCell="A10" workbookViewId="0">
      <selection activeCell="B24" sqref="B24:G24"/>
    </sheetView>
  </sheetViews>
  <sheetFormatPr defaultColWidth="9.44140625" defaultRowHeight="15" x14ac:dyDescent="0.25"/>
  <cols>
    <col min="1" max="1" width="9.44140625" style="2" customWidth="1"/>
    <col min="2" max="2" width="14.5546875" style="2" bestFit="1" customWidth="1"/>
    <col min="3" max="9" width="9.44140625" style="2"/>
    <col min="10" max="10" width="11.5546875" style="2" customWidth="1"/>
    <col min="11" max="16384" width="9.44140625" style="2"/>
  </cols>
  <sheetData>
    <row r="1" spans="1:15" x14ac:dyDescent="0.25">
      <c r="A1" s="93" t="str">
        <f>+'Cover Page'!$B$29</f>
        <v>Annual Performance Report 2022</v>
      </c>
      <c r="B1" s="93"/>
      <c r="C1" s="93"/>
      <c r="D1" s="93"/>
      <c r="E1" s="93" t="str">
        <f>+'Cover Page'!$B$33</f>
        <v>GLPP</v>
      </c>
      <c r="F1" s="93"/>
      <c r="G1" s="93"/>
      <c r="H1" s="93"/>
      <c r="I1" s="93"/>
      <c r="J1" s="93"/>
      <c r="K1" s="93"/>
      <c r="L1" s="93"/>
      <c r="M1" s="93"/>
      <c r="N1" s="93"/>
      <c r="O1" s="93"/>
    </row>
    <row r="3" spans="1:15" ht="15.6" x14ac:dyDescent="0.3">
      <c r="A3" s="53" t="s">
        <v>25</v>
      </c>
      <c r="B3" s="112"/>
      <c r="C3" s="112"/>
      <c r="D3" s="112"/>
      <c r="E3" s="112"/>
      <c r="F3" s="112"/>
      <c r="G3" s="112"/>
      <c r="H3" s="113"/>
      <c r="I3" s="93"/>
      <c r="J3" s="93"/>
      <c r="K3" s="75" t="s">
        <v>3</v>
      </c>
      <c r="L3" s="93"/>
      <c r="M3" s="93"/>
      <c r="N3" s="93"/>
      <c r="O3" s="93"/>
    </row>
    <row r="4" spans="1:15" ht="15.6" x14ac:dyDescent="0.3">
      <c r="A4" s="5" t="s">
        <v>26</v>
      </c>
      <c r="B4" s="200" t="s">
        <v>27</v>
      </c>
      <c r="C4" s="200"/>
      <c r="D4" s="200"/>
      <c r="E4" s="200"/>
      <c r="F4" s="200"/>
      <c r="G4" s="200"/>
      <c r="H4" s="6" t="s">
        <v>28</v>
      </c>
      <c r="I4" s="93"/>
      <c r="J4" s="93"/>
      <c r="K4" s="73" t="s">
        <v>29</v>
      </c>
      <c r="L4" s="93"/>
      <c r="M4" s="93"/>
      <c r="N4" s="93"/>
      <c r="O4" s="93"/>
    </row>
    <row r="5" spans="1:15" ht="15.6" customHeight="1" x14ac:dyDescent="0.25">
      <c r="A5" s="4"/>
      <c r="B5" s="196" t="s">
        <v>30</v>
      </c>
      <c r="C5" s="196"/>
      <c r="D5" s="196"/>
      <c r="E5" s="196"/>
      <c r="F5" s="196"/>
      <c r="G5" s="196"/>
      <c r="H5" s="4">
        <v>3</v>
      </c>
      <c r="I5" s="93"/>
      <c r="J5" s="93"/>
      <c r="K5" s="177" t="s">
        <v>31</v>
      </c>
      <c r="L5" s="177"/>
      <c r="M5" s="177"/>
      <c r="N5" s="177"/>
      <c r="O5" s="177"/>
    </row>
    <row r="6" spans="1:15" x14ac:dyDescent="0.25">
      <c r="A6" s="4"/>
      <c r="B6" s="196" t="s">
        <v>32</v>
      </c>
      <c r="C6" s="196"/>
      <c r="D6" s="196"/>
      <c r="E6" s="196"/>
      <c r="F6" s="196"/>
      <c r="G6" s="196"/>
      <c r="H6" s="4">
        <v>4</v>
      </c>
      <c r="I6" s="93"/>
      <c r="J6" s="93"/>
      <c r="K6" s="177"/>
      <c r="L6" s="177"/>
      <c r="M6" s="177"/>
      <c r="N6" s="177"/>
      <c r="O6" s="177"/>
    </row>
    <row r="7" spans="1:15" ht="15.75" customHeight="1" x14ac:dyDescent="0.25">
      <c r="A7" s="4"/>
      <c r="B7" s="196" t="s">
        <v>33</v>
      </c>
      <c r="C7" s="196"/>
      <c r="D7" s="196"/>
      <c r="E7" s="196"/>
      <c r="F7" s="196"/>
      <c r="G7" s="196"/>
      <c r="H7" s="4">
        <v>6</v>
      </c>
      <c r="I7" s="93"/>
      <c r="J7" s="93"/>
      <c r="K7" s="177"/>
      <c r="L7" s="177"/>
      <c r="M7" s="177"/>
      <c r="N7" s="177"/>
      <c r="O7" s="177"/>
    </row>
    <row r="8" spans="1:15" x14ac:dyDescent="0.25">
      <c r="A8" s="4"/>
      <c r="B8" s="196" t="s">
        <v>34</v>
      </c>
      <c r="C8" s="196"/>
      <c r="D8" s="196"/>
      <c r="E8" s="196"/>
      <c r="F8" s="196"/>
      <c r="G8" s="196"/>
      <c r="H8" s="4">
        <v>7</v>
      </c>
      <c r="I8" s="93"/>
      <c r="J8" s="93"/>
      <c r="K8" s="177"/>
      <c r="L8" s="177"/>
      <c r="M8" s="177"/>
      <c r="N8" s="177"/>
      <c r="O8" s="177"/>
    </row>
    <row r="9" spans="1:15" x14ac:dyDescent="0.25">
      <c r="A9" s="4"/>
      <c r="B9" s="196" t="s">
        <v>35</v>
      </c>
      <c r="C9" s="196"/>
      <c r="D9" s="196"/>
      <c r="E9" s="196"/>
      <c r="F9" s="196"/>
      <c r="G9" s="196"/>
      <c r="H9" s="4">
        <v>8</v>
      </c>
      <c r="I9" s="93"/>
      <c r="J9" s="93"/>
      <c r="K9" s="93"/>
      <c r="L9" s="93"/>
      <c r="M9" s="93"/>
      <c r="N9" s="93"/>
      <c r="O9" s="93"/>
    </row>
    <row r="10" spans="1:15" x14ac:dyDescent="0.25">
      <c r="A10" s="4"/>
      <c r="B10" s="196" t="s">
        <v>36</v>
      </c>
      <c r="C10" s="196"/>
      <c r="D10" s="196"/>
      <c r="E10" s="196"/>
      <c r="F10" s="196"/>
      <c r="G10" s="196"/>
      <c r="H10" s="4">
        <v>9</v>
      </c>
      <c r="I10" s="93"/>
      <c r="J10" s="93"/>
      <c r="K10" s="93"/>
      <c r="L10" s="93"/>
      <c r="M10" s="93"/>
      <c r="N10" s="93"/>
      <c r="O10" s="93"/>
    </row>
    <row r="11" spans="1:15" x14ac:dyDescent="0.25">
      <c r="A11" s="4"/>
      <c r="B11" s="196" t="s">
        <v>37</v>
      </c>
      <c r="C11" s="196"/>
      <c r="D11" s="196"/>
      <c r="E11" s="196"/>
      <c r="F11" s="196"/>
      <c r="G11" s="196"/>
      <c r="H11" s="4">
        <v>10</v>
      </c>
      <c r="I11" s="93"/>
      <c r="J11" s="93"/>
      <c r="K11" s="93"/>
      <c r="L11" s="93"/>
      <c r="M11" s="93"/>
      <c r="N11" s="93"/>
      <c r="O11" s="93"/>
    </row>
    <row r="12" spans="1:15" x14ac:dyDescent="0.25">
      <c r="A12" s="4"/>
      <c r="B12" s="196" t="s">
        <v>38</v>
      </c>
      <c r="C12" s="196"/>
      <c r="D12" s="196"/>
      <c r="E12" s="196"/>
      <c r="F12" s="196"/>
      <c r="G12" s="196"/>
      <c r="H12" s="4">
        <v>11</v>
      </c>
      <c r="I12" s="93"/>
      <c r="J12" s="93"/>
      <c r="K12" s="93"/>
      <c r="L12" s="93"/>
      <c r="M12" s="93"/>
      <c r="N12" s="93"/>
      <c r="O12" s="93"/>
    </row>
    <row r="13" spans="1:15" ht="15.6" x14ac:dyDescent="0.3">
      <c r="A13" s="4"/>
      <c r="B13" s="197" t="s">
        <v>39</v>
      </c>
      <c r="C13" s="198"/>
      <c r="D13" s="198"/>
      <c r="E13" s="198"/>
      <c r="F13" s="198"/>
      <c r="G13" s="199"/>
      <c r="H13" s="4">
        <v>12</v>
      </c>
      <c r="I13" s="93"/>
      <c r="J13" s="93"/>
      <c r="K13" s="93"/>
      <c r="L13" s="93"/>
      <c r="M13" s="93"/>
      <c r="N13" s="93"/>
      <c r="O13" s="93"/>
    </row>
    <row r="14" spans="1:15" x14ac:dyDescent="0.25">
      <c r="A14" s="4"/>
      <c r="B14" s="196" t="s">
        <v>40</v>
      </c>
      <c r="C14" s="196"/>
      <c r="D14" s="196"/>
      <c r="E14" s="196"/>
      <c r="F14" s="196"/>
      <c r="G14" s="196"/>
      <c r="H14" s="4">
        <v>13</v>
      </c>
      <c r="I14" s="93"/>
      <c r="J14" s="93"/>
      <c r="K14" s="93"/>
      <c r="L14" s="93"/>
      <c r="M14" s="93"/>
      <c r="N14" s="93"/>
      <c r="O14" s="93"/>
    </row>
    <row r="15" spans="1:15" x14ac:dyDescent="0.25">
      <c r="A15" s="4"/>
      <c r="B15" s="196" t="s">
        <v>41</v>
      </c>
      <c r="C15" s="196"/>
      <c r="D15" s="196"/>
      <c r="E15" s="196"/>
      <c r="F15" s="196"/>
      <c r="G15" s="196"/>
      <c r="H15" s="4">
        <v>14</v>
      </c>
      <c r="I15" s="93"/>
      <c r="J15" s="93"/>
      <c r="K15" s="93"/>
      <c r="L15" s="93"/>
      <c r="M15" s="93"/>
      <c r="N15" s="93"/>
      <c r="O15" s="93"/>
    </row>
    <row r="16" spans="1:15" x14ac:dyDescent="0.25">
      <c r="A16" s="4"/>
      <c r="B16" s="196" t="s">
        <v>42</v>
      </c>
      <c r="C16" s="196"/>
      <c r="D16" s="196"/>
      <c r="E16" s="196"/>
      <c r="F16" s="196"/>
      <c r="G16" s="196"/>
      <c r="H16" s="4">
        <v>15</v>
      </c>
      <c r="I16" s="93"/>
      <c r="J16" s="93"/>
      <c r="K16" s="93"/>
      <c r="L16" s="93"/>
      <c r="M16" s="93"/>
      <c r="N16" s="93"/>
      <c r="O16" s="93"/>
    </row>
    <row r="17" spans="1:8" x14ac:dyDescent="0.25">
      <c r="A17" s="4"/>
      <c r="B17" s="196" t="s">
        <v>43</v>
      </c>
      <c r="C17" s="196"/>
      <c r="D17" s="196"/>
      <c r="E17" s="196"/>
      <c r="F17" s="196"/>
      <c r="G17" s="196"/>
      <c r="H17" s="4">
        <v>16</v>
      </c>
    </row>
    <row r="18" spans="1:8" x14ac:dyDescent="0.25">
      <c r="A18" s="4"/>
      <c r="B18" s="196" t="s">
        <v>44</v>
      </c>
      <c r="C18" s="196"/>
      <c r="D18" s="196"/>
      <c r="E18" s="196"/>
      <c r="F18" s="196"/>
      <c r="G18" s="196"/>
      <c r="H18" s="4">
        <v>17</v>
      </c>
    </row>
    <row r="19" spans="1:8" x14ac:dyDescent="0.25">
      <c r="A19" s="4"/>
      <c r="B19" s="196" t="s">
        <v>45</v>
      </c>
      <c r="C19" s="196"/>
      <c r="D19" s="196"/>
      <c r="E19" s="196"/>
      <c r="F19" s="196"/>
      <c r="G19" s="196"/>
      <c r="H19" s="4">
        <v>18</v>
      </c>
    </row>
    <row r="20" spans="1:8" x14ac:dyDescent="0.25">
      <c r="A20" s="4"/>
      <c r="B20" s="196" t="s">
        <v>46</v>
      </c>
      <c r="C20" s="196"/>
      <c r="D20" s="196"/>
      <c r="E20" s="196"/>
      <c r="F20" s="196"/>
      <c r="G20" s="196"/>
      <c r="H20" s="4">
        <v>19</v>
      </c>
    </row>
    <row r="21" spans="1:8" x14ac:dyDescent="0.25">
      <c r="A21" s="4"/>
      <c r="B21" s="196" t="s">
        <v>47</v>
      </c>
      <c r="C21" s="196"/>
      <c r="D21" s="196"/>
      <c r="E21" s="196"/>
      <c r="F21" s="196"/>
      <c r="G21" s="196"/>
      <c r="H21" s="4">
        <v>20</v>
      </c>
    </row>
    <row r="22" spans="1:8" x14ac:dyDescent="0.25">
      <c r="A22" s="4"/>
      <c r="B22" s="196" t="s">
        <v>48</v>
      </c>
      <c r="C22" s="196"/>
      <c r="D22" s="196"/>
      <c r="E22" s="196"/>
      <c r="F22" s="196"/>
      <c r="G22" s="196"/>
      <c r="H22" s="4">
        <v>21</v>
      </c>
    </row>
    <row r="23" spans="1:8" x14ac:dyDescent="0.25">
      <c r="A23" s="4"/>
      <c r="B23" s="189" t="s">
        <v>49</v>
      </c>
      <c r="C23" s="190"/>
      <c r="D23" s="190"/>
      <c r="E23" s="190"/>
      <c r="F23" s="190"/>
      <c r="G23" s="191"/>
      <c r="H23" s="4">
        <v>22</v>
      </c>
    </row>
    <row r="24" spans="1:8" x14ac:dyDescent="0.25">
      <c r="A24" s="4"/>
      <c r="B24" s="189"/>
      <c r="C24" s="190"/>
      <c r="D24" s="190"/>
      <c r="E24" s="190"/>
      <c r="F24" s="190"/>
      <c r="G24" s="191"/>
      <c r="H24" s="4"/>
    </row>
    <row r="25" spans="1:8" x14ac:dyDescent="0.25">
      <c r="A25" s="4"/>
      <c r="B25" s="192"/>
      <c r="C25" s="192"/>
      <c r="D25" s="192"/>
      <c r="E25" s="192"/>
      <c r="F25" s="192"/>
      <c r="G25" s="192"/>
      <c r="H25" s="4"/>
    </row>
    <row r="27" spans="1:8" x14ac:dyDescent="0.25">
      <c r="A27" s="52" t="s">
        <v>50</v>
      </c>
      <c r="B27" s="112"/>
      <c r="C27" s="112"/>
      <c r="D27" s="112"/>
      <c r="E27" s="112"/>
      <c r="F27" s="112"/>
      <c r="G27" s="112"/>
      <c r="H27" s="113"/>
    </row>
    <row r="28" spans="1:8" x14ac:dyDescent="0.25">
      <c r="A28" s="10" t="s">
        <v>26</v>
      </c>
      <c r="B28" s="193" t="s">
        <v>51</v>
      </c>
      <c r="C28" s="193"/>
      <c r="D28" s="193"/>
      <c r="E28" s="193"/>
      <c r="F28" s="193"/>
      <c r="G28" s="193"/>
      <c r="H28" s="11" t="s">
        <v>52</v>
      </c>
    </row>
    <row r="29" spans="1:8" x14ac:dyDescent="0.25">
      <c r="A29" s="114"/>
      <c r="B29" s="194"/>
      <c r="C29" s="194"/>
      <c r="D29" s="194"/>
      <c r="E29" s="194"/>
      <c r="F29" s="194"/>
      <c r="G29" s="194"/>
      <c r="H29" s="114"/>
    </row>
    <row r="30" spans="1:8" x14ac:dyDescent="0.25">
      <c r="A30" s="114"/>
      <c r="B30" s="194"/>
      <c r="C30" s="194"/>
      <c r="D30" s="194"/>
      <c r="E30" s="194"/>
      <c r="F30" s="194"/>
      <c r="G30" s="194"/>
      <c r="H30" s="114"/>
    </row>
    <row r="31" spans="1:8" x14ac:dyDescent="0.25">
      <c r="A31" s="114"/>
      <c r="B31" s="194"/>
      <c r="C31" s="194"/>
      <c r="D31" s="194"/>
      <c r="E31" s="194"/>
      <c r="F31" s="194"/>
      <c r="G31" s="194"/>
      <c r="H31" s="114"/>
    </row>
    <row r="32" spans="1:8" x14ac:dyDescent="0.25">
      <c r="A32" s="114"/>
      <c r="B32" s="194"/>
      <c r="C32" s="194"/>
      <c r="D32" s="194"/>
      <c r="E32" s="194"/>
      <c r="F32" s="194"/>
      <c r="G32" s="194"/>
      <c r="H32" s="114"/>
    </row>
    <row r="33" spans="1:10" x14ac:dyDescent="0.25">
      <c r="A33" s="114"/>
      <c r="B33" s="194"/>
      <c r="C33" s="194"/>
      <c r="D33" s="194"/>
      <c r="E33" s="194"/>
      <c r="F33" s="194"/>
      <c r="G33" s="194"/>
      <c r="H33" s="114"/>
      <c r="I33" s="93"/>
      <c r="J33" s="93"/>
    </row>
    <row r="35" spans="1:10" ht="14.25" customHeight="1" x14ac:dyDescent="0.25">
      <c r="A35" s="52" t="s">
        <v>53</v>
      </c>
      <c r="B35" s="112"/>
      <c r="C35" s="112"/>
      <c r="D35" s="112"/>
      <c r="E35" s="112"/>
      <c r="F35" s="112"/>
      <c r="G35" s="112"/>
      <c r="H35" s="113"/>
      <c r="I35" s="93"/>
      <c r="J35" s="93"/>
    </row>
    <row r="36" spans="1:10" x14ac:dyDescent="0.25">
      <c r="A36" s="13" t="s">
        <v>54</v>
      </c>
      <c r="B36" s="195" t="s">
        <v>55</v>
      </c>
      <c r="C36" s="195"/>
      <c r="D36" s="195"/>
      <c r="E36" s="195"/>
      <c r="F36" s="195"/>
      <c r="G36" s="195"/>
      <c r="H36" s="14" t="s">
        <v>56</v>
      </c>
      <c r="I36" s="93"/>
      <c r="J36" s="93"/>
    </row>
    <row r="37" spans="1:10" x14ac:dyDescent="0.25">
      <c r="A37" s="115"/>
      <c r="B37" s="188"/>
      <c r="C37" s="188"/>
      <c r="D37" s="188"/>
      <c r="E37" s="188"/>
      <c r="F37" s="188"/>
      <c r="G37" s="188"/>
      <c r="H37" s="115"/>
      <c r="I37" s="93"/>
      <c r="J37" s="93"/>
    </row>
    <row r="38" spans="1:10" x14ac:dyDescent="0.25">
      <c r="A38" s="115"/>
      <c r="B38" s="188"/>
      <c r="C38" s="188"/>
      <c r="D38" s="188"/>
      <c r="E38" s="188"/>
      <c r="F38" s="188"/>
      <c r="G38" s="188"/>
      <c r="H38" s="115"/>
      <c r="I38" s="93"/>
      <c r="J38" s="93"/>
    </row>
    <row r="39" spans="1:10" x14ac:dyDescent="0.25">
      <c r="A39" s="115"/>
      <c r="B39" s="188"/>
      <c r="C39" s="188"/>
      <c r="D39" s="188"/>
      <c r="E39" s="188"/>
      <c r="F39" s="188"/>
      <c r="G39" s="188"/>
      <c r="H39" s="115"/>
      <c r="I39" s="93"/>
      <c r="J39" s="93"/>
    </row>
    <row r="40" spans="1:10" x14ac:dyDescent="0.25">
      <c r="A40" s="115"/>
      <c r="B40" s="188"/>
      <c r="C40" s="188"/>
      <c r="D40" s="188"/>
      <c r="E40" s="188"/>
      <c r="F40" s="188"/>
      <c r="G40" s="188"/>
      <c r="H40" s="115"/>
      <c r="I40" s="93"/>
      <c r="J40" s="93"/>
    </row>
    <row r="41" spans="1:10" x14ac:dyDescent="0.25">
      <c r="A41" s="115"/>
      <c r="B41" s="188"/>
      <c r="C41" s="188"/>
      <c r="D41" s="188"/>
      <c r="E41" s="188"/>
      <c r="F41" s="188"/>
      <c r="G41" s="188"/>
      <c r="H41" s="115"/>
      <c r="I41" s="93"/>
      <c r="J41" s="93"/>
    </row>
    <row r="42" spans="1:10" x14ac:dyDescent="0.25">
      <c r="A42" s="115"/>
      <c r="B42" s="188"/>
      <c r="C42" s="188"/>
      <c r="D42" s="188"/>
      <c r="E42" s="188"/>
      <c r="F42" s="188"/>
      <c r="G42" s="188"/>
      <c r="H42" s="115"/>
      <c r="I42" s="93"/>
      <c r="J42" s="93"/>
    </row>
    <row r="43" spans="1:10" x14ac:dyDescent="0.25">
      <c r="A43" s="115"/>
      <c r="B43" s="188"/>
      <c r="C43" s="188"/>
      <c r="D43" s="188"/>
      <c r="E43" s="188"/>
      <c r="F43" s="188"/>
      <c r="G43" s="188"/>
      <c r="H43" s="115"/>
      <c r="I43" s="93"/>
      <c r="J43" s="93"/>
    </row>
    <row r="45" spans="1:10" x14ac:dyDescent="0.25">
      <c r="A45" s="179" t="s">
        <v>57</v>
      </c>
      <c r="B45" s="180"/>
      <c r="C45" s="180"/>
      <c r="D45" s="180"/>
      <c r="E45" s="180"/>
      <c r="F45" s="180"/>
      <c r="G45" s="180"/>
      <c r="H45" s="180"/>
      <c r="I45" s="180"/>
      <c r="J45" s="181"/>
    </row>
    <row r="46" spans="1:10" x14ac:dyDescent="0.25">
      <c r="A46" s="182"/>
      <c r="B46" s="183"/>
      <c r="C46" s="183"/>
      <c r="D46" s="183"/>
      <c r="E46" s="183"/>
      <c r="F46" s="183"/>
      <c r="G46" s="183"/>
      <c r="H46" s="183"/>
      <c r="I46" s="183"/>
      <c r="J46" s="184"/>
    </row>
    <row r="47" spans="1:10" x14ac:dyDescent="0.25">
      <c r="A47" s="182"/>
      <c r="B47" s="183"/>
      <c r="C47" s="183"/>
      <c r="D47" s="183"/>
      <c r="E47" s="183"/>
      <c r="F47" s="183"/>
      <c r="G47" s="183"/>
      <c r="H47" s="183"/>
      <c r="I47" s="183"/>
      <c r="J47" s="184"/>
    </row>
    <row r="48" spans="1:10" x14ac:dyDescent="0.25">
      <c r="A48" s="185"/>
      <c r="B48" s="186"/>
      <c r="C48" s="186"/>
      <c r="D48" s="186"/>
      <c r="E48" s="186"/>
      <c r="F48" s="186"/>
      <c r="G48" s="186"/>
      <c r="H48" s="186"/>
      <c r="I48" s="186"/>
      <c r="J48" s="187"/>
    </row>
    <row r="66" spans="6:6" x14ac:dyDescent="0.25">
      <c r="F66" s="3"/>
    </row>
  </sheetData>
  <mergeCells count="38">
    <mergeCell ref="K5:O8"/>
    <mergeCell ref="B9:G9"/>
    <mergeCell ref="B4:G4"/>
    <mergeCell ref="B5:G5"/>
    <mergeCell ref="B6:G6"/>
    <mergeCell ref="B7:G7"/>
    <mergeCell ref="B8:G8"/>
    <mergeCell ref="B22:G22"/>
    <mergeCell ref="B10:G10"/>
    <mergeCell ref="B11:G11"/>
    <mergeCell ref="B12:G12"/>
    <mergeCell ref="B14:G14"/>
    <mergeCell ref="B15:G15"/>
    <mergeCell ref="B16:G16"/>
    <mergeCell ref="B17:G17"/>
    <mergeCell ref="B18:G18"/>
    <mergeCell ref="B19:G19"/>
    <mergeCell ref="B20:G20"/>
    <mergeCell ref="B21:G21"/>
    <mergeCell ref="B13:G13"/>
    <mergeCell ref="B37:G37"/>
    <mergeCell ref="B23:G23"/>
    <mergeCell ref="B24:G24"/>
    <mergeCell ref="B25:G25"/>
    <mergeCell ref="B28:G28"/>
    <mergeCell ref="B29:G29"/>
    <mergeCell ref="B30:G30"/>
    <mergeCell ref="B31:G31"/>
    <mergeCell ref="B32:G32"/>
    <mergeCell ref="B33:G33"/>
    <mergeCell ref="B36:G36"/>
    <mergeCell ref="A45:J48"/>
    <mergeCell ref="B38:G38"/>
    <mergeCell ref="B39:G39"/>
    <mergeCell ref="B40:G40"/>
    <mergeCell ref="B41:G41"/>
    <mergeCell ref="B42:G42"/>
    <mergeCell ref="B43:G43"/>
  </mergeCells>
  <pageMargins left="1.0899999999999999" right="0.7" top="0.75" bottom="0.75" header="0.3" footer="0.3"/>
  <pageSetup scale="80" orientation="portrait" r:id="rId1"/>
  <headerFooter scaleWithDoc="0">
    <oddFooter>&amp;C&amp;"Arial,Regular"Page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1:N66"/>
  <sheetViews>
    <sheetView topLeftCell="A14" workbookViewId="0">
      <selection activeCell="A22" sqref="A22:I54"/>
    </sheetView>
  </sheetViews>
  <sheetFormatPr defaultColWidth="9.44140625" defaultRowHeight="15" x14ac:dyDescent="0.25"/>
  <cols>
    <col min="1" max="1" width="9.44140625" style="2" customWidth="1"/>
    <col min="2" max="2" width="14.5546875" style="2" bestFit="1" customWidth="1"/>
    <col min="3" max="9" width="9.44140625" style="2"/>
    <col min="10" max="10" width="11.5546875" style="2" customWidth="1"/>
    <col min="11" max="16384" width="9.44140625" style="2"/>
  </cols>
  <sheetData>
    <row r="1" spans="1:14" x14ac:dyDescent="0.25">
      <c r="A1" s="93" t="str">
        <f>+'Cover Page'!$B$29</f>
        <v>Annual Performance Report 2022</v>
      </c>
      <c r="B1" s="93"/>
      <c r="C1" s="93"/>
      <c r="D1" s="93"/>
      <c r="E1" s="93" t="str">
        <f>+'Cover Page'!$B$33</f>
        <v>GLPP</v>
      </c>
      <c r="F1" s="93"/>
      <c r="G1" s="93"/>
      <c r="H1" s="93"/>
      <c r="I1" s="93"/>
      <c r="J1" s="93"/>
      <c r="K1" s="93"/>
      <c r="L1" s="93"/>
      <c r="M1" s="93"/>
      <c r="N1" s="93"/>
    </row>
    <row r="3" spans="1:14" ht="15.6" x14ac:dyDescent="0.3">
      <c r="A3" s="51" t="s">
        <v>58</v>
      </c>
      <c r="B3" s="116"/>
      <c r="C3" s="116"/>
      <c r="D3" s="116"/>
      <c r="E3" s="116"/>
      <c r="F3" s="116"/>
      <c r="G3" s="116"/>
      <c r="H3" s="116"/>
      <c r="I3" s="117"/>
      <c r="J3" s="93"/>
      <c r="K3" s="81" t="s">
        <v>3</v>
      </c>
      <c r="L3" s="93"/>
      <c r="M3" s="93"/>
      <c r="N3" s="93"/>
    </row>
    <row r="4" spans="1:14" x14ac:dyDescent="0.25">
      <c r="A4" s="118"/>
      <c r="B4" s="119"/>
      <c r="C4" s="119"/>
      <c r="D4" s="119"/>
      <c r="E4" s="119"/>
      <c r="F4" s="119"/>
      <c r="G4" s="119"/>
      <c r="H4" s="119"/>
      <c r="I4" s="120"/>
      <c r="J4" s="93"/>
      <c r="K4" s="93"/>
      <c r="L4" s="93"/>
      <c r="M4" s="93"/>
      <c r="N4" s="93"/>
    </row>
    <row r="5" spans="1:14" ht="15.75" customHeight="1" x14ac:dyDescent="0.25">
      <c r="A5" s="201" t="s">
        <v>59</v>
      </c>
      <c r="B5" s="202"/>
      <c r="C5" s="202"/>
      <c r="D5" s="202"/>
      <c r="E5" s="202"/>
      <c r="F5" s="202"/>
      <c r="G5" s="202"/>
      <c r="H5" s="202"/>
      <c r="I5" s="203"/>
      <c r="J5" s="93"/>
      <c r="K5" s="218" t="s">
        <v>60</v>
      </c>
      <c r="L5" s="218"/>
      <c r="M5" s="218"/>
      <c r="N5" s="218"/>
    </row>
    <row r="6" spans="1:14" x14ac:dyDescent="0.25">
      <c r="A6" s="204"/>
      <c r="B6" s="205"/>
      <c r="C6" s="205"/>
      <c r="D6" s="205"/>
      <c r="E6" s="205"/>
      <c r="F6" s="205"/>
      <c r="G6" s="205"/>
      <c r="H6" s="205"/>
      <c r="I6" s="206"/>
      <c r="J6" s="93"/>
      <c r="K6" s="218"/>
      <c r="L6" s="218"/>
      <c r="M6" s="218"/>
      <c r="N6" s="218"/>
    </row>
    <row r="7" spans="1:14" x14ac:dyDescent="0.25">
      <c r="A7" s="204"/>
      <c r="B7" s="205"/>
      <c r="C7" s="205"/>
      <c r="D7" s="205"/>
      <c r="E7" s="205"/>
      <c r="F7" s="205"/>
      <c r="G7" s="205"/>
      <c r="H7" s="205"/>
      <c r="I7" s="206"/>
      <c r="J7" s="93"/>
      <c r="K7" s="218"/>
      <c r="L7" s="218"/>
      <c r="M7" s="218"/>
      <c r="N7" s="218"/>
    </row>
    <row r="8" spans="1:14" ht="15.75" customHeight="1" x14ac:dyDescent="0.25">
      <c r="A8" s="204"/>
      <c r="B8" s="205"/>
      <c r="C8" s="205"/>
      <c r="D8" s="205"/>
      <c r="E8" s="205"/>
      <c r="F8" s="205"/>
      <c r="G8" s="205"/>
      <c r="H8" s="205"/>
      <c r="I8" s="206"/>
      <c r="J8" s="93"/>
      <c r="K8" s="218"/>
      <c r="L8" s="218"/>
      <c r="M8" s="218"/>
      <c r="N8" s="218"/>
    </row>
    <row r="9" spans="1:14" x14ac:dyDescent="0.25">
      <c r="A9" s="204"/>
      <c r="B9" s="205"/>
      <c r="C9" s="205"/>
      <c r="D9" s="205"/>
      <c r="E9" s="205"/>
      <c r="F9" s="205"/>
      <c r="G9" s="205"/>
      <c r="H9" s="205"/>
      <c r="I9" s="206"/>
      <c r="J9" s="93"/>
      <c r="K9" s="218"/>
      <c r="L9" s="218"/>
      <c r="M9" s="218"/>
      <c r="N9" s="218"/>
    </row>
    <row r="10" spans="1:14" x14ac:dyDescent="0.25">
      <c r="A10" s="204"/>
      <c r="B10" s="205"/>
      <c r="C10" s="205"/>
      <c r="D10" s="205"/>
      <c r="E10" s="205"/>
      <c r="F10" s="205"/>
      <c r="G10" s="205"/>
      <c r="H10" s="205"/>
      <c r="I10" s="206"/>
      <c r="J10" s="93"/>
      <c r="K10" s="218"/>
      <c r="L10" s="218"/>
      <c r="M10" s="218"/>
      <c r="N10" s="218"/>
    </row>
    <row r="11" spans="1:14" x14ac:dyDescent="0.25">
      <c r="A11" s="204"/>
      <c r="B11" s="205"/>
      <c r="C11" s="205"/>
      <c r="D11" s="205"/>
      <c r="E11" s="205"/>
      <c r="F11" s="205"/>
      <c r="G11" s="205"/>
      <c r="H11" s="205"/>
      <c r="I11" s="206"/>
      <c r="J11" s="93"/>
      <c r="K11" s="218"/>
      <c r="L11" s="218"/>
      <c r="M11" s="218"/>
      <c r="N11" s="218"/>
    </row>
    <row r="12" spans="1:14" x14ac:dyDescent="0.25">
      <c r="A12" s="204"/>
      <c r="B12" s="205"/>
      <c r="C12" s="205"/>
      <c r="D12" s="205"/>
      <c r="E12" s="205"/>
      <c r="F12" s="205"/>
      <c r="G12" s="205"/>
      <c r="H12" s="205"/>
      <c r="I12" s="206"/>
      <c r="J12" s="93"/>
      <c r="K12" s="218"/>
      <c r="L12" s="218"/>
      <c r="M12" s="218"/>
      <c r="N12" s="218"/>
    </row>
    <row r="13" spans="1:14" x14ac:dyDescent="0.25">
      <c r="A13" s="204"/>
      <c r="B13" s="205"/>
      <c r="C13" s="205"/>
      <c r="D13" s="205"/>
      <c r="E13" s="205"/>
      <c r="F13" s="205"/>
      <c r="G13" s="205"/>
      <c r="H13" s="205"/>
      <c r="I13" s="206"/>
      <c r="J13" s="93"/>
      <c r="K13" s="218"/>
      <c r="L13" s="218"/>
      <c r="M13" s="218"/>
      <c r="N13" s="218"/>
    </row>
    <row r="14" spans="1:14" x14ac:dyDescent="0.25">
      <c r="A14" s="204"/>
      <c r="B14" s="205"/>
      <c r="C14" s="205"/>
      <c r="D14" s="205"/>
      <c r="E14" s="205"/>
      <c r="F14" s="205"/>
      <c r="G14" s="205"/>
      <c r="H14" s="205"/>
      <c r="I14" s="206"/>
      <c r="J14" s="93"/>
      <c r="K14" s="218"/>
      <c r="L14" s="218"/>
      <c r="M14" s="218"/>
      <c r="N14" s="218"/>
    </row>
    <row r="15" spans="1:14" x14ac:dyDescent="0.25">
      <c r="A15" s="204"/>
      <c r="B15" s="205"/>
      <c r="C15" s="205"/>
      <c r="D15" s="205"/>
      <c r="E15" s="205"/>
      <c r="F15" s="205"/>
      <c r="G15" s="205"/>
      <c r="H15" s="205"/>
      <c r="I15" s="206"/>
      <c r="J15" s="93"/>
      <c r="K15" s="93"/>
      <c r="L15" s="93"/>
      <c r="M15" s="93"/>
      <c r="N15" s="93"/>
    </row>
    <row r="16" spans="1:14" x14ac:dyDescent="0.25">
      <c r="A16" s="204"/>
      <c r="B16" s="205"/>
      <c r="C16" s="205"/>
      <c r="D16" s="205"/>
      <c r="E16" s="205"/>
      <c r="F16" s="205"/>
      <c r="G16" s="205"/>
      <c r="H16" s="205"/>
      <c r="I16" s="206"/>
      <c r="J16" s="93"/>
      <c r="K16" s="93"/>
      <c r="L16" s="93"/>
      <c r="M16" s="93"/>
      <c r="N16" s="93"/>
    </row>
    <row r="17" spans="1:14" x14ac:dyDescent="0.25">
      <c r="A17" s="204"/>
      <c r="B17" s="205"/>
      <c r="C17" s="205"/>
      <c r="D17" s="205"/>
      <c r="E17" s="205"/>
      <c r="F17" s="205"/>
      <c r="G17" s="205"/>
      <c r="H17" s="205"/>
      <c r="I17" s="206"/>
      <c r="J17" s="93"/>
      <c r="K17" s="93"/>
      <c r="L17" s="93"/>
      <c r="M17" s="93"/>
      <c r="N17" s="93"/>
    </row>
    <row r="18" spans="1:14" x14ac:dyDescent="0.25">
      <c r="A18" s="207"/>
      <c r="B18" s="208"/>
      <c r="C18" s="208"/>
      <c r="D18" s="208"/>
      <c r="E18" s="208"/>
      <c r="F18" s="208"/>
      <c r="G18" s="208"/>
      <c r="H18" s="208"/>
      <c r="I18" s="209"/>
      <c r="J18" s="93"/>
      <c r="K18" s="93"/>
      <c r="L18" s="93"/>
      <c r="M18" s="93"/>
      <c r="N18" s="93"/>
    </row>
    <row r="20" spans="1:14" x14ac:dyDescent="0.25">
      <c r="A20" s="51" t="s">
        <v>61</v>
      </c>
      <c r="B20" s="116"/>
      <c r="C20" s="116"/>
      <c r="D20" s="116"/>
      <c r="E20" s="116"/>
      <c r="F20" s="116"/>
      <c r="G20" s="116"/>
      <c r="H20" s="116"/>
      <c r="I20" s="117"/>
      <c r="J20" s="93"/>
      <c r="K20" s="93"/>
      <c r="L20" s="93"/>
      <c r="M20" s="93"/>
      <c r="N20" s="93"/>
    </row>
    <row r="21" spans="1:14" x14ac:dyDescent="0.25">
      <c r="A21" s="118"/>
      <c r="B21" s="119"/>
      <c r="C21" s="119"/>
      <c r="D21" s="119"/>
      <c r="E21" s="119"/>
      <c r="F21" s="119"/>
      <c r="G21" s="119"/>
      <c r="H21" s="119"/>
      <c r="I21" s="120"/>
      <c r="J21" s="93"/>
      <c r="K21" s="93"/>
      <c r="L21" s="93"/>
      <c r="M21" s="93"/>
      <c r="N21" s="93"/>
    </row>
    <row r="22" spans="1:14" x14ac:dyDescent="0.25">
      <c r="A22" s="201" t="s">
        <v>62</v>
      </c>
      <c r="B22" s="210"/>
      <c r="C22" s="210"/>
      <c r="D22" s="210"/>
      <c r="E22" s="210"/>
      <c r="F22" s="210"/>
      <c r="G22" s="210"/>
      <c r="H22" s="210"/>
      <c r="I22" s="211"/>
      <c r="J22" s="93"/>
      <c r="K22" s="218" t="s">
        <v>63</v>
      </c>
      <c r="L22" s="218"/>
      <c r="M22" s="218"/>
      <c r="N22" s="218"/>
    </row>
    <row r="23" spans="1:14" x14ac:dyDescent="0.25">
      <c r="A23" s="212"/>
      <c r="B23" s="213"/>
      <c r="C23" s="213"/>
      <c r="D23" s="213"/>
      <c r="E23" s="213"/>
      <c r="F23" s="213"/>
      <c r="G23" s="213"/>
      <c r="H23" s="213"/>
      <c r="I23" s="214"/>
      <c r="J23" s="93"/>
      <c r="K23" s="218"/>
      <c r="L23" s="218"/>
      <c r="M23" s="218"/>
      <c r="N23" s="218"/>
    </row>
    <row r="24" spans="1:14" x14ac:dyDescent="0.25">
      <c r="A24" s="212"/>
      <c r="B24" s="213"/>
      <c r="C24" s="213"/>
      <c r="D24" s="213"/>
      <c r="E24" s="213"/>
      <c r="F24" s="213"/>
      <c r="G24" s="213"/>
      <c r="H24" s="213"/>
      <c r="I24" s="214"/>
      <c r="J24" s="93"/>
      <c r="K24" s="218"/>
      <c r="L24" s="218"/>
      <c r="M24" s="218"/>
      <c r="N24" s="218"/>
    </row>
    <row r="25" spans="1:14" x14ac:dyDescent="0.25">
      <c r="A25" s="212"/>
      <c r="B25" s="213"/>
      <c r="C25" s="213"/>
      <c r="D25" s="213"/>
      <c r="E25" s="213"/>
      <c r="F25" s="213"/>
      <c r="G25" s="213"/>
      <c r="H25" s="213"/>
      <c r="I25" s="214"/>
      <c r="J25" s="93"/>
      <c r="K25" s="218"/>
      <c r="L25" s="218"/>
      <c r="M25" s="218"/>
      <c r="N25" s="218"/>
    </row>
    <row r="26" spans="1:14" x14ac:dyDescent="0.25">
      <c r="A26" s="212"/>
      <c r="B26" s="213"/>
      <c r="C26" s="213"/>
      <c r="D26" s="213"/>
      <c r="E26" s="213"/>
      <c r="F26" s="213"/>
      <c r="G26" s="213"/>
      <c r="H26" s="213"/>
      <c r="I26" s="214"/>
      <c r="J26" s="93"/>
      <c r="K26" s="218"/>
      <c r="L26" s="218"/>
      <c r="M26" s="218"/>
      <c r="N26" s="218"/>
    </row>
    <row r="27" spans="1:14" x14ac:dyDescent="0.25">
      <c r="A27" s="212"/>
      <c r="B27" s="213"/>
      <c r="C27" s="213"/>
      <c r="D27" s="213"/>
      <c r="E27" s="213"/>
      <c r="F27" s="213"/>
      <c r="G27" s="213"/>
      <c r="H27" s="213"/>
      <c r="I27" s="214"/>
      <c r="J27" s="93"/>
      <c r="K27" s="218"/>
      <c r="L27" s="218"/>
      <c r="M27" s="218"/>
      <c r="N27" s="218"/>
    </row>
    <row r="28" spans="1:14" x14ac:dyDescent="0.25">
      <c r="A28" s="212"/>
      <c r="B28" s="213"/>
      <c r="C28" s="213"/>
      <c r="D28" s="213"/>
      <c r="E28" s="213"/>
      <c r="F28" s="213"/>
      <c r="G28" s="213"/>
      <c r="H28" s="213"/>
      <c r="I28" s="214"/>
      <c r="J28" s="93"/>
      <c r="K28" s="218"/>
      <c r="L28" s="218"/>
      <c r="M28" s="218"/>
      <c r="N28" s="218"/>
    </row>
    <row r="29" spans="1:14" x14ac:dyDescent="0.25">
      <c r="A29" s="212"/>
      <c r="B29" s="213"/>
      <c r="C29" s="213"/>
      <c r="D29" s="213"/>
      <c r="E29" s="213"/>
      <c r="F29" s="213"/>
      <c r="G29" s="213"/>
      <c r="H29" s="213"/>
      <c r="I29" s="214"/>
      <c r="J29" s="93"/>
      <c r="K29" s="218"/>
      <c r="L29" s="218"/>
      <c r="M29" s="218"/>
      <c r="N29" s="218"/>
    </row>
    <row r="30" spans="1:14" x14ac:dyDescent="0.25">
      <c r="A30" s="212"/>
      <c r="B30" s="213"/>
      <c r="C30" s="213"/>
      <c r="D30" s="213"/>
      <c r="E30" s="213"/>
      <c r="F30" s="213"/>
      <c r="G30" s="213"/>
      <c r="H30" s="213"/>
      <c r="I30" s="214"/>
      <c r="J30" s="93"/>
      <c r="K30" s="218"/>
      <c r="L30" s="218"/>
      <c r="M30" s="218"/>
      <c r="N30" s="218"/>
    </row>
    <row r="31" spans="1:14" x14ac:dyDescent="0.25">
      <c r="A31" s="212"/>
      <c r="B31" s="213"/>
      <c r="C31" s="213"/>
      <c r="D31" s="213"/>
      <c r="E31" s="213"/>
      <c r="F31" s="213"/>
      <c r="G31" s="213"/>
      <c r="H31" s="213"/>
      <c r="I31" s="214"/>
      <c r="J31" s="93"/>
      <c r="K31" s="218"/>
      <c r="L31" s="218"/>
      <c r="M31" s="218"/>
      <c r="N31" s="218"/>
    </row>
    <row r="32" spans="1:14" x14ac:dyDescent="0.25">
      <c r="A32" s="212"/>
      <c r="B32" s="213"/>
      <c r="C32" s="213"/>
      <c r="D32" s="213"/>
      <c r="E32" s="213"/>
      <c r="F32" s="213"/>
      <c r="G32" s="213"/>
      <c r="H32" s="213"/>
      <c r="I32" s="214"/>
      <c r="J32" s="93"/>
      <c r="K32" s="93"/>
      <c r="L32" s="93"/>
      <c r="M32" s="93"/>
      <c r="N32" s="93"/>
    </row>
    <row r="33" spans="1:9" x14ac:dyDescent="0.25">
      <c r="A33" s="212"/>
      <c r="B33" s="213"/>
      <c r="C33" s="213"/>
      <c r="D33" s="213"/>
      <c r="E33" s="213"/>
      <c r="F33" s="213"/>
      <c r="G33" s="213"/>
      <c r="H33" s="213"/>
      <c r="I33" s="214"/>
    </row>
    <row r="34" spans="1:9" x14ac:dyDescent="0.25">
      <c r="A34" s="212"/>
      <c r="B34" s="213"/>
      <c r="C34" s="213"/>
      <c r="D34" s="213"/>
      <c r="E34" s="213"/>
      <c r="F34" s="213"/>
      <c r="G34" s="213"/>
      <c r="H34" s="213"/>
      <c r="I34" s="214"/>
    </row>
    <row r="35" spans="1:9" x14ac:dyDescent="0.25">
      <c r="A35" s="212"/>
      <c r="B35" s="213"/>
      <c r="C35" s="213"/>
      <c r="D35" s="213"/>
      <c r="E35" s="213"/>
      <c r="F35" s="213"/>
      <c r="G35" s="213"/>
      <c r="H35" s="213"/>
      <c r="I35" s="214"/>
    </row>
    <row r="36" spans="1:9" x14ac:dyDescent="0.25">
      <c r="A36" s="212"/>
      <c r="B36" s="213"/>
      <c r="C36" s="213"/>
      <c r="D36" s="213"/>
      <c r="E36" s="213"/>
      <c r="F36" s="213"/>
      <c r="G36" s="213"/>
      <c r="H36" s="213"/>
      <c r="I36" s="214"/>
    </row>
    <row r="37" spans="1:9" x14ac:dyDescent="0.25">
      <c r="A37" s="212"/>
      <c r="B37" s="213"/>
      <c r="C37" s="213"/>
      <c r="D37" s="213"/>
      <c r="E37" s="213"/>
      <c r="F37" s="213"/>
      <c r="G37" s="213"/>
      <c r="H37" s="213"/>
      <c r="I37" s="214"/>
    </row>
    <row r="38" spans="1:9" x14ac:dyDescent="0.25">
      <c r="A38" s="212"/>
      <c r="B38" s="213"/>
      <c r="C38" s="213"/>
      <c r="D38" s="213"/>
      <c r="E38" s="213"/>
      <c r="F38" s="213"/>
      <c r="G38" s="213"/>
      <c r="H38" s="213"/>
      <c r="I38" s="214"/>
    </row>
    <row r="39" spans="1:9" x14ac:dyDescent="0.25">
      <c r="A39" s="212"/>
      <c r="B39" s="213"/>
      <c r="C39" s="213"/>
      <c r="D39" s="213"/>
      <c r="E39" s="213"/>
      <c r="F39" s="213"/>
      <c r="G39" s="213"/>
      <c r="H39" s="213"/>
      <c r="I39" s="214"/>
    </row>
    <row r="40" spans="1:9" ht="14.25" customHeight="1" x14ac:dyDescent="0.25">
      <c r="A40" s="212"/>
      <c r="B40" s="213"/>
      <c r="C40" s="213"/>
      <c r="D40" s="213"/>
      <c r="E40" s="213"/>
      <c r="F40" s="213"/>
      <c r="G40" s="213"/>
      <c r="H40" s="213"/>
      <c r="I40" s="214"/>
    </row>
    <row r="41" spans="1:9" x14ac:dyDescent="0.25">
      <c r="A41" s="212"/>
      <c r="B41" s="213"/>
      <c r="C41" s="213"/>
      <c r="D41" s="213"/>
      <c r="E41" s="213"/>
      <c r="F41" s="213"/>
      <c r="G41" s="213"/>
      <c r="H41" s="213"/>
      <c r="I41" s="214"/>
    </row>
    <row r="42" spans="1:9" x14ac:dyDescent="0.25">
      <c r="A42" s="212"/>
      <c r="B42" s="213"/>
      <c r="C42" s="213"/>
      <c r="D42" s="213"/>
      <c r="E42" s="213"/>
      <c r="F42" s="213"/>
      <c r="G42" s="213"/>
      <c r="H42" s="213"/>
      <c r="I42" s="214"/>
    </row>
    <row r="43" spans="1:9" x14ac:dyDescent="0.25">
      <c r="A43" s="212"/>
      <c r="B43" s="213"/>
      <c r="C43" s="213"/>
      <c r="D43" s="213"/>
      <c r="E43" s="213"/>
      <c r="F43" s="213"/>
      <c r="G43" s="213"/>
      <c r="H43" s="213"/>
      <c r="I43" s="214"/>
    </row>
    <row r="44" spans="1:9" x14ac:dyDescent="0.25">
      <c r="A44" s="212"/>
      <c r="B44" s="213"/>
      <c r="C44" s="213"/>
      <c r="D44" s="213"/>
      <c r="E44" s="213"/>
      <c r="F44" s="213"/>
      <c r="G44" s="213"/>
      <c r="H44" s="213"/>
      <c r="I44" s="214"/>
    </row>
    <row r="45" spans="1:9" x14ac:dyDescent="0.25">
      <c r="A45" s="212"/>
      <c r="B45" s="213"/>
      <c r="C45" s="213"/>
      <c r="D45" s="213"/>
      <c r="E45" s="213"/>
      <c r="F45" s="213"/>
      <c r="G45" s="213"/>
      <c r="H45" s="213"/>
      <c r="I45" s="214"/>
    </row>
    <row r="46" spans="1:9" x14ac:dyDescent="0.25">
      <c r="A46" s="212"/>
      <c r="B46" s="213"/>
      <c r="C46" s="213"/>
      <c r="D46" s="213"/>
      <c r="E46" s="213"/>
      <c r="F46" s="213"/>
      <c r="G46" s="213"/>
      <c r="H46" s="213"/>
      <c r="I46" s="214"/>
    </row>
    <row r="47" spans="1:9" x14ac:dyDescent="0.25">
      <c r="A47" s="212"/>
      <c r="B47" s="213"/>
      <c r="C47" s="213"/>
      <c r="D47" s="213"/>
      <c r="E47" s="213"/>
      <c r="F47" s="213"/>
      <c r="G47" s="213"/>
      <c r="H47" s="213"/>
      <c r="I47" s="214"/>
    </row>
    <row r="48" spans="1:9" x14ac:dyDescent="0.25">
      <c r="A48" s="212"/>
      <c r="B48" s="213"/>
      <c r="C48" s="213"/>
      <c r="D48" s="213"/>
      <c r="E48" s="213"/>
      <c r="F48" s="213"/>
      <c r="G48" s="213"/>
      <c r="H48" s="213"/>
      <c r="I48" s="214"/>
    </row>
    <row r="49" spans="1:9" x14ac:dyDescent="0.25">
      <c r="A49" s="212"/>
      <c r="B49" s="213"/>
      <c r="C49" s="213"/>
      <c r="D49" s="213"/>
      <c r="E49" s="213"/>
      <c r="F49" s="213"/>
      <c r="G49" s="213"/>
      <c r="H49" s="213"/>
      <c r="I49" s="214"/>
    </row>
    <row r="50" spans="1:9" x14ac:dyDescent="0.25">
      <c r="A50" s="212"/>
      <c r="B50" s="213"/>
      <c r="C50" s="213"/>
      <c r="D50" s="213"/>
      <c r="E50" s="213"/>
      <c r="F50" s="213"/>
      <c r="G50" s="213"/>
      <c r="H50" s="213"/>
      <c r="I50" s="214"/>
    </row>
    <row r="51" spans="1:9" x14ac:dyDescent="0.25">
      <c r="A51" s="212"/>
      <c r="B51" s="213"/>
      <c r="C51" s="213"/>
      <c r="D51" s="213"/>
      <c r="E51" s="213"/>
      <c r="F51" s="213"/>
      <c r="G51" s="213"/>
      <c r="H51" s="213"/>
      <c r="I51" s="214"/>
    </row>
    <row r="52" spans="1:9" x14ac:dyDescent="0.25">
      <c r="A52" s="212"/>
      <c r="B52" s="213"/>
      <c r="C52" s="213"/>
      <c r="D52" s="213"/>
      <c r="E52" s="213"/>
      <c r="F52" s="213"/>
      <c r="G52" s="213"/>
      <c r="H52" s="213"/>
      <c r="I52" s="214"/>
    </row>
    <row r="53" spans="1:9" x14ac:dyDescent="0.25">
      <c r="A53" s="212"/>
      <c r="B53" s="213"/>
      <c r="C53" s="213"/>
      <c r="D53" s="213"/>
      <c r="E53" s="213"/>
      <c r="F53" s="213"/>
      <c r="G53" s="213"/>
      <c r="H53" s="213"/>
      <c r="I53" s="214"/>
    </row>
    <row r="54" spans="1:9" x14ac:dyDescent="0.25">
      <c r="A54" s="215"/>
      <c r="B54" s="216"/>
      <c r="C54" s="216"/>
      <c r="D54" s="216"/>
      <c r="E54" s="216"/>
      <c r="F54" s="216"/>
      <c r="G54" s="216"/>
      <c r="H54" s="216"/>
      <c r="I54" s="217"/>
    </row>
    <row r="66" spans="6:6" x14ac:dyDescent="0.25">
      <c r="F66" s="3"/>
    </row>
  </sheetData>
  <mergeCells count="4">
    <mergeCell ref="A5:I18"/>
    <mergeCell ref="A22:I54"/>
    <mergeCell ref="K5:N14"/>
    <mergeCell ref="K22:N31"/>
  </mergeCells>
  <pageMargins left="0.7" right="0.7" top="0.75" bottom="0.75" header="0.3" footer="0.3"/>
  <pageSetup paperSize="9" scale="87" orientation="portrait" r:id="rId1"/>
  <headerFooter scaleWithDoc="0">
    <oddFooter>&amp;C&amp;"Arial,Regular"Page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4"/>
  </sheetPr>
  <dimension ref="A1:L78"/>
  <sheetViews>
    <sheetView workbookViewId="0">
      <selection activeCell="C62" sqref="C62"/>
    </sheetView>
  </sheetViews>
  <sheetFormatPr defaultColWidth="9.44140625" defaultRowHeight="15" x14ac:dyDescent="0.25"/>
  <cols>
    <col min="1" max="1" width="28.44140625" style="2" customWidth="1"/>
    <col min="2" max="2" width="8.44140625" style="12" customWidth="1"/>
    <col min="3" max="3" width="11.109375" style="12" bestFit="1" customWidth="1"/>
    <col min="4" max="4" width="11" style="12" customWidth="1"/>
    <col min="5" max="5" width="10.6640625" style="12" customWidth="1"/>
    <col min="6" max="6" width="10.5546875" style="12" customWidth="1"/>
    <col min="7" max="7" width="11.44140625" style="15" customWidth="1"/>
    <col min="8" max="8" width="11.5546875" style="16" customWidth="1"/>
    <col min="9" max="10" width="9.44140625" style="2"/>
    <col min="11" max="11" width="38.44140625" style="2" customWidth="1"/>
    <col min="12" max="16384" width="9.44140625" style="2"/>
  </cols>
  <sheetData>
    <row r="1" spans="1:11" x14ac:dyDescent="0.25">
      <c r="A1" s="93" t="str">
        <f>+'Cover Page'!$B$29</f>
        <v>Annual Performance Report 2022</v>
      </c>
      <c r="B1" s="93"/>
      <c r="C1" s="93"/>
      <c r="D1" s="93"/>
      <c r="E1" s="93" t="str">
        <f>+'Cover Page'!$B$33</f>
        <v>GLPP</v>
      </c>
      <c r="F1" s="93"/>
      <c r="G1" s="93"/>
      <c r="H1" s="93"/>
      <c r="I1" s="93"/>
      <c r="J1" s="93"/>
      <c r="K1" s="93"/>
    </row>
    <row r="3" spans="1:11" ht="15.6" x14ac:dyDescent="0.3">
      <c r="A3" s="1" t="s">
        <v>32</v>
      </c>
      <c r="B3" s="121"/>
      <c r="C3" s="121"/>
      <c r="D3" s="121"/>
      <c r="E3" s="121"/>
      <c r="F3" s="121"/>
      <c r="H3" s="122"/>
      <c r="I3" s="93"/>
      <c r="J3" s="93"/>
      <c r="K3" s="81" t="s">
        <v>3</v>
      </c>
    </row>
    <row r="4" spans="1:11" x14ac:dyDescent="0.25">
      <c r="A4" s="18" t="s">
        <v>64</v>
      </c>
      <c r="B4" s="226">
        <v>150000</v>
      </c>
      <c r="C4" s="226"/>
      <c r="D4" s="20" t="s">
        <v>65</v>
      </c>
      <c r="E4" s="19">
        <v>48</v>
      </c>
      <c r="F4" s="20" t="s">
        <v>66</v>
      </c>
      <c r="G4" s="19">
        <v>14</v>
      </c>
      <c r="H4" s="70" t="s">
        <v>67</v>
      </c>
      <c r="I4" s="93"/>
      <c r="J4" s="93"/>
      <c r="K4" s="17" t="s">
        <v>68</v>
      </c>
    </row>
    <row r="5" spans="1:11" x14ac:dyDescent="0.25">
      <c r="A5" s="21" t="s">
        <v>69</v>
      </c>
      <c r="B5" s="22">
        <v>2</v>
      </c>
      <c r="C5" s="23"/>
      <c r="D5" s="23" t="s">
        <v>70</v>
      </c>
      <c r="E5" s="23"/>
      <c r="F5" s="24">
        <v>2</v>
      </c>
      <c r="G5" s="25"/>
      <c r="H5" s="26"/>
      <c r="I5" s="93"/>
      <c r="J5" s="93"/>
      <c r="K5" s="17" t="s">
        <v>71</v>
      </c>
    </row>
    <row r="6" spans="1:11" x14ac:dyDescent="0.25">
      <c r="A6" s="3"/>
      <c r="B6" s="121"/>
      <c r="C6" s="121"/>
      <c r="D6" s="121"/>
      <c r="E6" s="121"/>
      <c r="F6" s="121"/>
      <c r="H6" s="122"/>
      <c r="I6" s="93"/>
      <c r="J6" s="93"/>
      <c r="K6" s="221" t="s">
        <v>72</v>
      </c>
    </row>
    <row r="7" spans="1:11" x14ac:dyDescent="0.25">
      <c r="A7" s="9" t="s">
        <v>73</v>
      </c>
      <c r="B7" s="123" t="s">
        <v>74</v>
      </c>
      <c r="C7" s="124" t="s">
        <v>75</v>
      </c>
      <c r="D7" s="124" t="s">
        <v>76</v>
      </c>
      <c r="E7" s="124" t="s">
        <v>77</v>
      </c>
      <c r="F7" s="124" t="s">
        <v>78</v>
      </c>
      <c r="G7" s="27" t="s">
        <v>79</v>
      </c>
      <c r="H7" s="125" t="s">
        <v>80</v>
      </c>
      <c r="I7" s="93"/>
      <c r="J7" s="93"/>
      <c r="K7" s="221"/>
    </row>
    <row r="8" spans="1:11" ht="15.75" customHeight="1" x14ac:dyDescent="0.25">
      <c r="A8" s="126" t="s">
        <v>81</v>
      </c>
      <c r="B8" s="223" t="s">
        <v>82</v>
      </c>
      <c r="C8" s="127"/>
      <c r="D8" s="127"/>
      <c r="E8" s="127"/>
      <c r="F8" s="127"/>
      <c r="G8" s="28">
        <f>SUM(C8:F8)</f>
        <v>0</v>
      </c>
      <c r="H8" s="128" t="str">
        <f t="shared" ref="H8:H17" si="0">IF(G8&gt;0,G8/$G$18,"-")</f>
        <v>-</v>
      </c>
      <c r="I8" s="93"/>
      <c r="J8" s="93"/>
      <c r="K8" s="222" t="s">
        <v>83</v>
      </c>
    </row>
    <row r="9" spans="1:11" x14ac:dyDescent="0.25">
      <c r="A9" s="102" t="s">
        <v>84</v>
      </c>
      <c r="B9" s="224"/>
      <c r="C9" s="129"/>
      <c r="D9" s="129"/>
      <c r="E9" s="129"/>
      <c r="F9" s="129"/>
      <c r="G9" s="89">
        <f t="shared" ref="G9:G17" si="1">SUM(C9:F9)</f>
        <v>0</v>
      </c>
      <c r="H9" s="130" t="str">
        <f t="shared" si="0"/>
        <v>-</v>
      </c>
      <c r="I9" s="93"/>
      <c r="J9" s="93"/>
      <c r="K9" s="222"/>
    </row>
    <row r="10" spans="1:11" x14ac:dyDescent="0.25">
      <c r="A10" s="102" t="s">
        <v>85</v>
      </c>
      <c r="B10" s="224"/>
      <c r="C10" s="129"/>
      <c r="D10" s="129"/>
      <c r="E10" s="129"/>
      <c r="F10" s="129"/>
      <c r="G10" s="89">
        <f t="shared" si="1"/>
        <v>0</v>
      </c>
      <c r="H10" s="130" t="str">
        <f t="shared" si="0"/>
        <v>-</v>
      </c>
      <c r="I10" s="93"/>
      <c r="J10" s="93"/>
      <c r="K10" s="222"/>
    </row>
    <row r="11" spans="1:11" x14ac:dyDescent="0.25">
      <c r="A11" s="102" t="s">
        <v>86</v>
      </c>
      <c r="B11" s="224"/>
      <c r="C11" s="129"/>
      <c r="D11" s="129"/>
      <c r="E11" s="129"/>
      <c r="F11" s="129"/>
      <c r="G11" s="89">
        <f t="shared" si="1"/>
        <v>0</v>
      </c>
      <c r="H11" s="130" t="str">
        <f t="shared" si="0"/>
        <v>-</v>
      </c>
      <c r="I11" s="93"/>
      <c r="J11" s="93"/>
      <c r="K11" s="222"/>
    </row>
    <row r="12" spans="1:11" x14ac:dyDescent="0.25">
      <c r="A12" s="102" t="s">
        <v>87</v>
      </c>
      <c r="B12" s="224"/>
      <c r="C12" s="129">
        <v>6006</v>
      </c>
      <c r="D12" s="129">
        <v>6045</v>
      </c>
      <c r="E12" s="129">
        <v>5668</v>
      </c>
      <c r="F12" s="129">
        <v>4433</v>
      </c>
      <c r="G12" s="89">
        <f t="shared" si="1"/>
        <v>22152</v>
      </c>
      <c r="H12" s="130">
        <f t="shared" si="0"/>
        <v>0.14497002696264497</v>
      </c>
      <c r="I12" s="93"/>
      <c r="J12" s="93"/>
      <c r="K12" s="222"/>
    </row>
    <row r="13" spans="1:11" x14ac:dyDescent="0.25">
      <c r="A13" s="102" t="s">
        <v>88</v>
      </c>
      <c r="B13" s="224"/>
      <c r="C13" s="129"/>
      <c r="D13" s="129"/>
      <c r="E13" s="129"/>
      <c r="F13" s="129"/>
      <c r="G13" s="89">
        <f t="shared" ref="G13" si="2">SUM(C13:F13)</f>
        <v>0</v>
      </c>
      <c r="H13" s="130" t="str">
        <f t="shared" si="0"/>
        <v>-</v>
      </c>
      <c r="I13" s="93"/>
      <c r="J13" s="93"/>
      <c r="K13" s="222"/>
    </row>
    <row r="14" spans="1:11" x14ac:dyDescent="0.25">
      <c r="A14" s="102" t="s">
        <v>89</v>
      </c>
      <c r="B14" s="224"/>
      <c r="C14" s="129"/>
      <c r="D14" s="129"/>
      <c r="E14" s="129"/>
      <c r="F14" s="129"/>
      <c r="G14" s="89">
        <f t="shared" si="1"/>
        <v>0</v>
      </c>
      <c r="H14" s="130" t="str">
        <f t="shared" si="0"/>
        <v>-</v>
      </c>
      <c r="I14" s="93"/>
      <c r="J14" s="93"/>
      <c r="K14" s="222"/>
    </row>
    <row r="15" spans="1:11" x14ac:dyDescent="0.25">
      <c r="A15" s="101" t="s">
        <v>90</v>
      </c>
      <c r="B15" s="224"/>
      <c r="C15" s="129">
        <v>13754</v>
      </c>
      <c r="D15" s="129">
        <v>14174</v>
      </c>
      <c r="E15" s="129">
        <v>15085</v>
      </c>
      <c r="F15" s="129">
        <v>15324</v>
      </c>
      <c r="G15" s="89">
        <f t="shared" si="1"/>
        <v>58337</v>
      </c>
      <c r="H15" s="130">
        <f t="shared" si="0"/>
        <v>0.38177665506138581</v>
      </c>
      <c r="I15" s="93"/>
      <c r="J15" s="93"/>
      <c r="K15" s="222"/>
    </row>
    <row r="16" spans="1:11" x14ac:dyDescent="0.25">
      <c r="A16" s="101" t="s">
        <v>91</v>
      </c>
      <c r="B16" s="224"/>
      <c r="C16" s="129">
        <v>8902</v>
      </c>
      <c r="D16" s="129">
        <v>8769</v>
      </c>
      <c r="E16" s="129">
        <v>8706</v>
      </c>
      <c r="F16" s="129">
        <v>10609</v>
      </c>
      <c r="G16" s="89">
        <f t="shared" si="1"/>
        <v>36986</v>
      </c>
      <c r="H16" s="130">
        <f t="shared" si="0"/>
        <v>0.24204863747022329</v>
      </c>
      <c r="I16" s="93"/>
      <c r="J16" s="93"/>
      <c r="K16" s="222"/>
    </row>
    <row r="17" spans="1:12" x14ac:dyDescent="0.25">
      <c r="A17" s="101" t="s">
        <v>92</v>
      </c>
      <c r="B17" s="224"/>
      <c r="C17" s="129">
        <v>9413</v>
      </c>
      <c r="D17" s="129">
        <v>9775</v>
      </c>
      <c r="E17" s="129">
        <v>8635</v>
      </c>
      <c r="F17" s="129">
        <v>7506</v>
      </c>
      <c r="G17" s="89">
        <f t="shared" si="1"/>
        <v>35329</v>
      </c>
      <c r="H17" s="130">
        <f t="shared" si="0"/>
        <v>0.23120468050574591</v>
      </c>
      <c r="I17" s="93"/>
      <c r="J17" s="93"/>
      <c r="K17" s="222"/>
      <c r="L17" s="93"/>
    </row>
    <row r="18" spans="1:12" x14ac:dyDescent="0.25">
      <c r="A18" s="91" t="s">
        <v>93</v>
      </c>
      <c r="B18" s="224"/>
      <c r="C18" s="89">
        <f>SUM(C8:C17)</f>
        <v>38075</v>
      </c>
      <c r="D18" s="89">
        <f>SUM(D8:D17)</f>
        <v>38763</v>
      </c>
      <c r="E18" s="89">
        <f>SUM(E8:E17)</f>
        <v>38094</v>
      </c>
      <c r="F18" s="89">
        <f>SUM(F8:F17)</f>
        <v>37872</v>
      </c>
      <c r="G18" s="89">
        <f>SUM(G8:G17)</f>
        <v>152804</v>
      </c>
      <c r="H18" s="131">
        <v>1</v>
      </c>
      <c r="I18" s="93"/>
      <c r="J18" s="93"/>
      <c r="K18" s="222"/>
      <c r="L18" s="93"/>
    </row>
    <row r="19" spans="1:12" x14ac:dyDescent="0.25">
      <c r="A19" s="102" t="s">
        <v>94</v>
      </c>
      <c r="B19" s="224"/>
      <c r="C19" s="129"/>
      <c r="D19" s="129"/>
      <c r="E19" s="129"/>
      <c r="F19" s="129"/>
      <c r="G19" s="89">
        <f t="shared" ref="G19" si="3">SUM(C19:F19)</f>
        <v>0</v>
      </c>
      <c r="H19" s="130" t="str">
        <f t="shared" ref="H19" si="4">IF(G19&gt;0,G19/$G$18,"-")</f>
        <v>-</v>
      </c>
      <c r="I19" s="93"/>
      <c r="J19" s="93"/>
      <c r="K19" s="222"/>
      <c r="L19" s="93"/>
    </row>
    <row r="20" spans="1:12" x14ac:dyDescent="0.25">
      <c r="A20" s="102" t="s">
        <v>95</v>
      </c>
      <c r="B20" s="224"/>
      <c r="C20" s="129">
        <v>7688</v>
      </c>
      <c r="D20" s="129">
        <v>6253</v>
      </c>
      <c r="E20" s="129">
        <v>4371</v>
      </c>
      <c r="F20" s="129">
        <v>7472</v>
      </c>
      <c r="G20" s="89">
        <f t="shared" ref="G20" si="5">SUM(C20:F20)</f>
        <v>25784</v>
      </c>
      <c r="H20" s="130">
        <f>IF(G20&gt;0,G20/$G$18,"-")</f>
        <v>0.16873903824507211</v>
      </c>
      <c r="I20" s="93"/>
      <c r="J20" s="93"/>
      <c r="K20" s="93"/>
      <c r="L20" s="93"/>
    </row>
    <row r="21" spans="1:12" x14ac:dyDescent="0.25">
      <c r="A21" s="92" t="s">
        <v>96</v>
      </c>
      <c r="B21" s="132"/>
      <c r="C21" s="90">
        <f>C18-SUM(C19:C20)</f>
        <v>30387</v>
      </c>
      <c r="D21" s="90">
        <f t="shared" ref="D21:F21" si="6">D18-SUM(D19:D20)</f>
        <v>32510</v>
      </c>
      <c r="E21" s="90">
        <f t="shared" si="6"/>
        <v>33723</v>
      </c>
      <c r="F21" s="90">
        <f t="shared" si="6"/>
        <v>30400</v>
      </c>
      <c r="G21" s="30">
        <f>SUM(C21:F21)</f>
        <v>127020</v>
      </c>
      <c r="H21" s="133">
        <f>IF(G21&gt;0,G21/$G$18,"-")</f>
        <v>0.83126096175492792</v>
      </c>
      <c r="I21" s="93"/>
      <c r="J21" s="93"/>
      <c r="K21" s="93"/>
      <c r="L21" s="93"/>
    </row>
    <row r="22" spans="1:12" x14ac:dyDescent="0.25">
      <c r="A22" s="3"/>
      <c r="B22" s="121"/>
      <c r="C22" s="122"/>
      <c r="D22" s="122"/>
      <c r="E22" s="122"/>
      <c r="F22" s="122"/>
      <c r="G22" s="31"/>
      <c r="H22" s="122"/>
      <c r="I22" s="93"/>
      <c r="J22" s="93"/>
      <c r="K22" s="93"/>
      <c r="L22" s="93"/>
    </row>
    <row r="23" spans="1:12" x14ac:dyDescent="0.25">
      <c r="A23" s="9" t="s">
        <v>97</v>
      </c>
      <c r="B23" s="123" t="s">
        <v>74</v>
      </c>
      <c r="C23" s="134" t="s">
        <v>75</v>
      </c>
      <c r="D23" s="134" t="s">
        <v>76</v>
      </c>
      <c r="E23" s="134" t="s">
        <v>77</v>
      </c>
      <c r="F23" s="134" t="s">
        <v>78</v>
      </c>
      <c r="G23" s="32" t="s">
        <v>79</v>
      </c>
      <c r="H23" s="135" t="s">
        <v>98</v>
      </c>
      <c r="I23" s="93"/>
      <c r="J23" s="93"/>
      <c r="K23" s="93"/>
      <c r="L23" s="93"/>
    </row>
    <row r="24" spans="1:12" ht="15" customHeight="1" x14ac:dyDescent="0.25">
      <c r="A24" s="136" t="s">
        <v>99</v>
      </c>
      <c r="B24" s="223" t="s">
        <v>100</v>
      </c>
      <c r="C24" s="127">
        <v>14009</v>
      </c>
      <c r="D24" s="127">
        <v>14365</v>
      </c>
      <c r="E24" s="127">
        <v>13270</v>
      </c>
      <c r="F24" s="127">
        <v>12770</v>
      </c>
      <c r="G24" s="28">
        <f t="shared" ref="G24:G27" si="7">SUM(C24:F24)</f>
        <v>54414</v>
      </c>
      <c r="H24" s="137">
        <f>IF(G24&gt;0,G24*1000/$G$21,"-")</f>
        <v>428.38923004251296</v>
      </c>
      <c r="I24" s="93"/>
      <c r="J24" s="93"/>
      <c r="K24" s="93"/>
      <c r="L24" s="93"/>
    </row>
    <row r="25" spans="1:12" x14ac:dyDescent="0.25">
      <c r="A25" s="103" t="s">
        <v>101</v>
      </c>
      <c r="B25" s="224"/>
      <c r="C25" s="138">
        <v>8806</v>
      </c>
      <c r="D25" s="138">
        <v>8991</v>
      </c>
      <c r="E25" s="138">
        <v>8019</v>
      </c>
      <c r="F25" s="138">
        <v>7746</v>
      </c>
      <c r="G25" s="29">
        <f>SUM(C25:F25)</f>
        <v>33562</v>
      </c>
      <c r="H25" s="139">
        <f>IF(G25&gt;0,G25*1000/$G$21,"-")</f>
        <v>264.22610612501967</v>
      </c>
      <c r="I25" s="93"/>
      <c r="J25" s="93"/>
      <c r="K25" s="93"/>
      <c r="L25" s="93"/>
    </row>
    <row r="26" spans="1:12" x14ac:dyDescent="0.25">
      <c r="A26" s="103" t="s">
        <v>102</v>
      </c>
      <c r="B26" s="224"/>
      <c r="C26" s="138">
        <v>5203</v>
      </c>
      <c r="D26" s="138">
        <v>5375</v>
      </c>
      <c r="E26" s="138">
        <v>5252</v>
      </c>
      <c r="F26" s="138">
        <v>5024</v>
      </c>
      <c r="G26" s="29">
        <f>SUM(C26:F26)</f>
        <v>20854</v>
      </c>
      <c r="H26" s="139">
        <f>IF(G26&gt;0,G26*1000/$G$21,"-")</f>
        <v>164.17886946937489</v>
      </c>
      <c r="I26" s="93"/>
      <c r="J26" s="93"/>
      <c r="K26" s="93"/>
      <c r="L26" s="93"/>
    </row>
    <row r="27" spans="1:12" x14ac:dyDescent="0.25">
      <c r="A27" s="103" t="s">
        <v>103</v>
      </c>
      <c r="B27" s="224"/>
      <c r="C27" s="138"/>
      <c r="D27" s="138"/>
      <c r="E27" s="138"/>
      <c r="F27" s="138"/>
      <c r="G27" s="29">
        <f t="shared" si="7"/>
        <v>0</v>
      </c>
      <c r="H27" s="139" t="str">
        <f>IF(G27&gt;0,G27*1000/$G$21,"-")</f>
        <v>-</v>
      </c>
      <c r="I27" s="93"/>
      <c r="J27" s="93"/>
      <c r="K27" s="93"/>
      <c r="L27" s="93"/>
    </row>
    <row r="28" spans="1:12" x14ac:dyDescent="0.25">
      <c r="A28" s="103" t="s">
        <v>104</v>
      </c>
      <c r="B28" s="140" t="s">
        <v>80</v>
      </c>
      <c r="C28" s="141">
        <f>IF(C24&gt;0,1-C25/(C24+C27),"-")</f>
        <v>0.37140409736597901</v>
      </c>
      <c r="D28" s="141">
        <f>IF(D24&gt;0,1-D25/(D24+D27),"-")</f>
        <v>0.37410372432996863</v>
      </c>
      <c r="E28" s="141">
        <f>IF(E24&gt;0,1-E25/(E24+E27),"-")</f>
        <v>0.39570459683496606</v>
      </c>
      <c r="F28" s="141">
        <f>IF(F24&gt;0,1-F25/(F24+F27),"-")</f>
        <v>0.39342208300704773</v>
      </c>
      <c r="G28" s="141">
        <f>IF(G24&gt;0,1-G25/(G24+G27),"-")</f>
        <v>0.38321020325651489</v>
      </c>
      <c r="H28" s="139"/>
      <c r="I28" s="93"/>
      <c r="J28" s="93"/>
      <c r="K28" s="93"/>
      <c r="L28" s="93"/>
    </row>
    <row r="29" spans="1:12" x14ac:dyDescent="0.25">
      <c r="A29" s="103" t="s">
        <v>105</v>
      </c>
      <c r="B29" s="227" t="s">
        <v>100</v>
      </c>
      <c r="C29" s="138"/>
      <c r="D29" s="138"/>
      <c r="E29" s="138"/>
      <c r="F29" s="138"/>
      <c r="G29" s="29">
        <f t="shared" ref="G29:G30" si="8">SUM(C29:F29)</f>
        <v>0</v>
      </c>
      <c r="H29" s="139" t="str">
        <f>IF(G29&gt;0,G29*1000/$G$21,"-")</f>
        <v>-</v>
      </c>
      <c r="I29" s="93"/>
      <c r="J29" s="93"/>
      <c r="K29" s="93"/>
      <c r="L29" s="93"/>
    </row>
    <row r="30" spans="1:12" x14ac:dyDescent="0.25">
      <c r="A30" s="103" t="s">
        <v>106</v>
      </c>
      <c r="B30" s="227"/>
      <c r="C30" s="138"/>
      <c r="D30" s="138"/>
      <c r="E30" s="138"/>
      <c r="F30" s="138"/>
      <c r="G30" s="29">
        <f t="shared" si="8"/>
        <v>0</v>
      </c>
      <c r="H30" s="139" t="str">
        <f>IF(G30&gt;0,G30*1000/$G$21,"-")</f>
        <v>-</v>
      </c>
      <c r="I30" s="93"/>
      <c r="J30" s="93"/>
      <c r="K30" s="17"/>
      <c r="L30" s="17"/>
    </row>
    <row r="31" spans="1:12" x14ac:dyDescent="0.25">
      <c r="A31" s="100" t="s">
        <v>107</v>
      </c>
      <c r="B31" s="142"/>
      <c r="C31" s="143"/>
      <c r="D31" s="143"/>
      <c r="E31" s="143"/>
      <c r="F31" s="143"/>
      <c r="G31" s="144"/>
      <c r="H31" s="143"/>
      <c r="I31" s="93"/>
      <c r="J31" s="93"/>
      <c r="K31" s="93"/>
      <c r="L31" s="17"/>
    </row>
    <row r="32" spans="1:12" x14ac:dyDescent="0.25">
      <c r="A32" s="3"/>
      <c r="B32" s="121"/>
      <c r="C32" s="122"/>
      <c r="D32" s="122"/>
      <c r="E32" s="122"/>
      <c r="F32" s="122"/>
      <c r="G32" s="31"/>
      <c r="H32" s="122"/>
      <c r="I32" s="93"/>
      <c r="J32" s="93"/>
      <c r="K32" s="93"/>
      <c r="L32" s="17"/>
    </row>
    <row r="33" spans="1:12" x14ac:dyDescent="0.25">
      <c r="A33" s="9" t="s">
        <v>108</v>
      </c>
      <c r="B33" s="145" t="s">
        <v>74</v>
      </c>
      <c r="C33" s="134" t="s">
        <v>75</v>
      </c>
      <c r="D33" s="134" t="s">
        <v>76</v>
      </c>
      <c r="E33" s="134" t="s">
        <v>77</v>
      </c>
      <c r="F33" s="134" t="s">
        <v>78</v>
      </c>
      <c r="G33" s="32" t="s">
        <v>79</v>
      </c>
      <c r="H33" s="146" t="s">
        <v>109</v>
      </c>
      <c r="I33" s="93"/>
      <c r="J33" s="93"/>
      <c r="K33" s="93"/>
      <c r="L33" s="17"/>
    </row>
    <row r="34" spans="1:12" ht="15" customHeight="1" x14ac:dyDescent="0.25">
      <c r="A34" s="136" t="s">
        <v>110</v>
      </c>
      <c r="B34" s="223" t="s">
        <v>82</v>
      </c>
      <c r="C34" s="127"/>
      <c r="D34" s="127"/>
      <c r="E34" s="127"/>
      <c r="F34" s="127"/>
      <c r="G34" s="28">
        <f t="shared" ref="G34:G35" si="9">SUM(C34:F34)</f>
        <v>0</v>
      </c>
      <c r="H34" s="128" t="str">
        <f>IF(G34&gt;0,G34/$G$21,"-")</f>
        <v>-</v>
      </c>
      <c r="I34" s="93"/>
      <c r="J34" s="93"/>
      <c r="K34" s="17"/>
      <c r="L34" s="17"/>
    </row>
    <row r="35" spans="1:12" ht="15" customHeight="1" x14ac:dyDescent="0.25">
      <c r="A35" s="103" t="s">
        <v>111</v>
      </c>
      <c r="B35" s="224"/>
      <c r="C35" s="138">
        <v>1641</v>
      </c>
      <c r="D35" s="138">
        <v>1573</v>
      </c>
      <c r="E35" s="138">
        <v>15237</v>
      </c>
      <c r="F35" s="138">
        <v>5282</v>
      </c>
      <c r="G35" s="29">
        <f t="shared" si="9"/>
        <v>23733</v>
      </c>
      <c r="H35" s="130">
        <f t="shared" ref="H35:H39" si="10">IF(G35&gt;0,G35/$G$21,"-")</f>
        <v>0.18684459140292867</v>
      </c>
      <c r="I35" s="93"/>
      <c r="J35" s="93"/>
      <c r="K35" s="17"/>
      <c r="L35" s="17"/>
    </row>
    <row r="36" spans="1:12" ht="15" customHeight="1" x14ac:dyDescent="0.25">
      <c r="A36" s="103" t="s">
        <v>112</v>
      </c>
      <c r="B36" s="224"/>
      <c r="C36" s="138"/>
      <c r="D36" s="138"/>
      <c r="E36" s="138"/>
      <c r="F36" s="138"/>
      <c r="G36" s="29">
        <f t="shared" ref="G36:G39" si="11">SUM(C36:F36)</f>
        <v>0</v>
      </c>
      <c r="H36" s="130" t="str">
        <f t="shared" si="10"/>
        <v>-</v>
      </c>
      <c r="I36" s="93"/>
      <c r="J36" s="93"/>
      <c r="K36" s="93"/>
      <c r="L36" s="93"/>
    </row>
    <row r="37" spans="1:12" x14ac:dyDescent="0.25">
      <c r="A37" s="147" t="s">
        <v>113</v>
      </c>
      <c r="B37" s="224"/>
      <c r="C37" s="138">
        <v>0</v>
      </c>
      <c r="D37" s="138">
        <v>0</v>
      </c>
      <c r="E37" s="138">
        <v>0</v>
      </c>
      <c r="F37" s="138">
        <v>0</v>
      </c>
      <c r="G37" s="29">
        <f t="shared" ref="G37" si="12">SUM(C37:F37)</f>
        <v>0</v>
      </c>
      <c r="H37" s="130" t="str">
        <f t="shared" si="10"/>
        <v>-</v>
      </c>
      <c r="I37" s="93"/>
      <c r="J37" s="93"/>
      <c r="K37" s="93"/>
      <c r="L37" s="93"/>
    </row>
    <row r="38" spans="1:12" x14ac:dyDescent="0.25">
      <c r="A38" s="147" t="s">
        <v>113</v>
      </c>
      <c r="B38" s="224"/>
      <c r="C38" s="138">
        <v>0</v>
      </c>
      <c r="D38" s="138">
        <v>0</v>
      </c>
      <c r="E38" s="138">
        <v>0</v>
      </c>
      <c r="F38" s="138">
        <v>0</v>
      </c>
      <c r="G38" s="29">
        <f t="shared" si="11"/>
        <v>0</v>
      </c>
      <c r="H38" s="130" t="str">
        <f t="shared" si="10"/>
        <v>-</v>
      </c>
      <c r="I38" s="93"/>
      <c r="J38" s="93"/>
      <c r="K38" s="93"/>
      <c r="L38" s="93"/>
    </row>
    <row r="39" spans="1:12" x14ac:dyDescent="0.25">
      <c r="A39" s="148" t="s">
        <v>113</v>
      </c>
      <c r="B39" s="225"/>
      <c r="C39" s="149">
        <v>0</v>
      </c>
      <c r="D39" s="149">
        <v>0</v>
      </c>
      <c r="E39" s="149">
        <v>0</v>
      </c>
      <c r="F39" s="149">
        <v>0</v>
      </c>
      <c r="G39" s="30">
        <f t="shared" si="11"/>
        <v>0</v>
      </c>
      <c r="H39" s="133" t="str">
        <f t="shared" si="10"/>
        <v>-</v>
      </c>
      <c r="I39" s="93"/>
      <c r="J39" s="93"/>
      <c r="K39" s="93"/>
      <c r="L39" s="93"/>
    </row>
    <row r="40" spans="1:12" x14ac:dyDescent="0.25">
      <c r="A40" s="121"/>
      <c r="B40" s="121"/>
      <c r="C40" s="122"/>
      <c r="D40" s="122"/>
      <c r="E40" s="122"/>
      <c r="F40" s="122"/>
      <c r="G40" s="31"/>
      <c r="H40" s="122"/>
      <c r="I40" s="93"/>
      <c r="J40" s="93"/>
      <c r="K40" s="93"/>
      <c r="L40" s="93"/>
    </row>
    <row r="41" spans="1:12" x14ac:dyDescent="0.25">
      <c r="A41" s="9" t="s">
        <v>114</v>
      </c>
      <c r="B41" s="150" t="s">
        <v>74</v>
      </c>
      <c r="C41" s="124" t="s">
        <v>75</v>
      </c>
      <c r="D41" s="124" t="s">
        <v>76</v>
      </c>
      <c r="E41" s="124" t="s">
        <v>77</v>
      </c>
      <c r="F41" s="124" t="s">
        <v>78</v>
      </c>
      <c r="G41" s="27" t="s">
        <v>79</v>
      </c>
      <c r="H41" s="125" t="s">
        <v>115</v>
      </c>
      <c r="I41" s="93"/>
      <c r="J41" s="93"/>
      <c r="K41" s="93"/>
      <c r="L41" s="93"/>
    </row>
    <row r="42" spans="1:12" ht="15.6" customHeight="1" x14ac:dyDescent="0.25">
      <c r="A42" s="136" t="s">
        <v>116</v>
      </c>
      <c r="B42" s="140" t="s">
        <v>117</v>
      </c>
      <c r="C42" s="127">
        <v>16438462</v>
      </c>
      <c r="D42" s="127">
        <v>22437516</v>
      </c>
      <c r="E42" s="127">
        <v>14850434</v>
      </c>
      <c r="F42" s="127">
        <v>26356032</v>
      </c>
      <c r="G42" s="28">
        <f t="shared" ref="G42:G50" si="13">SUM(C42:F42)</f>
        <v>80082444</v>
      </c>
      <c r="H42" s="151">
        <f>IF(G42&gt;0,G42/$G$21,"-")</f>
        <v>630.47113840340103</v>
      </c>
      <c r="I42" s="93"/>
      <c r="J42" s="93"/>
      <c r="K42" s="93"/>
      <c r="L42" s="93"/>
    </row>
    <row r="43" spans="1:12" x14ac:dyDescent="0.25">
      <c r="A43" s="103" t="s">
        <v>118</v>
      </c>
      <c r="B43" s="140" t="s">
        <v>117</v>
      </c>
      <c r="C43" s="138"/>
      <c r="D43" s="138"/>
      <c r="E43" s="138"/>
      <c r="F43" s="138"/>
      <c r="G43" s="29">
        <f t="shared" si="13"/>
        <v>0</v>
      </c>
      <c r="H43" s="151" t="str">
        <f t="shared" ref="H43:H48" si="14">IF(G43&gt;0,G43/$G$21,"-")</f>
        <v>-</v>
      </c>
      <c r="I43" s="93"/>
      <c r="J43" s="93"/>
      <c r="K43" s="93"/>
      <c r="L43" s="93"/>
    </row>
    <row r="44" spans="1:12" ht="15.6" customHeight="1" x14ac:dyDescent="0.25">
      <c r="A44" s="103" t="s">
        <v>119</v>
      </c>
      <c r="B44" s="140" t="s">
        <v>120</v>
      </c>
      <c r="C44" s="138"/>
      <c r="D44" s="138"/>
      <c r="E44" s="138"/>
      <c r="F44" s="138"/>
      <c r="G44" s="29">
        <f t="shared" si="13"/>
        <v>0</v>
      </c>
      <c r="H44" s="151" t="str">
        <f t="shared" si="14"/>
        <v>-</v>
      </c>
      <c r="I44" s="93"/>
      <c r="J44" s="93"/>
      <c r="K44" s="93"/>
      <c r="L44" s="93"/>
    </row>
    <row r="45" spans="1:12" ht="15.6" customHeight="1" x14ac:dyDescent="0.25">
      <c r="A45" s="103" t="s">
        <v>121</v>
      </c>
      <c r="B45" s="140" t="s">
        <v>120</v>
      </c>
      <c r="C45" s="138"/>
      <c r="D45" s="138"/>
      <c r="E45" s="138"/>
      <c r="F45" s="138"/>
      <c r="G45" s="29">
        <f t="shared" ref="G45" si="15">SUM(C45:F45)</f>
        <v>0</v>
      </c>
      <c r="H45" s="151" t="str">
        <f t="shared" si="14"/>
        <v>-</v>
      </c>
      <c r="I45" s="93"/>
      <c r="J45" s="93"/>
      <c r="K45" s="93"/>
      <c r="L45" s="93"/>
    </row>
    <row r="46" spans="1:12" x14ac:dyDescent="0.25">
      <c r="A46" s="103" t="s">
        <v>122</v>
      </c>
      <c r="B46" s="140" t="s">
        <v>120</v>
      </c>
      <c r="C46" s="138"/>
      <c r="D46" s="138"/>
      <c r="E46" s="138"/>
      <c r="F46" s="138"/>
      <c r="G46" s="29">
        <f t="shared" si="13"/>
        <v>0</v>
      </c>
      <c r="H46" s="151" t="str">
        <f t="shared" si="14"/>
        <v>-</v>
      </c>
      <c r="I46" s="93"/>
      <c r="J46" s="93"/>
      <c r="K46" s="93"/>
      <c r="L46" s="93"/>
    </row>
    <row r="47" spans="1:12" x14ac:dyDescent="0.25">
      <c r="A47" s="103" t="s">
        <v>123</v>
      </c>
      <c r="B47" s="140" t="s">
        <v>120</v>
      </c>
      <c r="C47" s="138"/>
      <c r="D47" s="138"/>
      <c r="E47" s="138"/>
      <c r="F47" s="138"/>
      <c r="G47" s="29">
        <f t="shared" si="13"/>
        <v>0</v>
      </c>
      <c r="H47" s="151" t="str">
        <f t="shared" si="14"/>
        <v>-</v>
      </c>
      <c r="I47" s="93"/>
      <c r="J47" s="93"/>
      <c r="K47" s="93"/>
      <c r="L47" s="93"/>
    </row>
    <row r="48" spans="1:12" x14ac:dyDescent="0.25">
      <c r="A48" s="103" t="s">
        <v>124</v>
      </c>
      <c r="B48" s="140" t="s">
        <v>117</v>
      </c>
      <c r="C48" s="138">
        <v>49379</v>
      </c>
      <c r="D48" s="138">
        <v>20500</v>
      </c>
      <c r="E48" s="138">
        <v>69220</v>
      </c>
      <c r="F48" s="138">
        <v>85222</v>
      </c>
      <c r="G48" s="29">
        <f t="shared" si="13"/>
        <v>224321</v>
      </c>
      <c r="H48" s="151">
        <f t="shared" si="14"/>
        <v>1.766028971815462</v>
      </c>
      <c r="I48" s="93"/>
      <c r="J48" s="93"/>
      <c r="K48" s="93"/>
      <c r="L48" s="93"/>
    </row>
    <row r="49" spans="1:10" x14ac:dyDescent="0.25">
      <c r="A49" s="103" t="s">
        <v>125</v>
      </c>
      <c r="B49" s="140" t="s">
        <v>126</v>
      </c>
      <c r="C49" s="138">
        <v>0</v>
      </c>
      <c r="D49" s="138">
        <v>0</v>
      </c>
      <c r="E49" s="138">
        <v>0</v>
      </c>
      <c r="F49" s="138">
        <v>0</v>
      </c>
      <c r="G49" s="29">
        <f t="shared" si="13"/>
        <v>0</v>
      </c>
      <c r="H49" s="152"/>
      <c r="I49" s="93"/>
      <c r="J49" s="93"/>
    </row>
    <row r="50" spans="1:10" x14ac:dyDescent="0.25">
      <c r="A50" s="100" t="s">
        <v>127</v>
      </c>
      <c r="B50" s="104" t="s">
        <v>120</v>
      </c>
      <c r="C50" s="149">
        <v>389940</v>
      </c>
      <c r="D50" s="149">
        <v>413240</v>
      </c>
      <c r="E50" s="149">
        <v>324220</v>
      </c>
      <c r="F50" s="149">
        <v>311100</v>
      </c>
      <c r="G50" s="30">
        <f t="shared" si="13"/>
        <v>1438500</v>
      </c>
      <c r="H50" s="153"/>
      <c r="I50" s="93"/>
      <c r="J50" s="93"/>
    </row>
    <row r="51" spans="1:10" x14ac:dyDescent="0.25">
      <c r="A51" s="121"/>
      <c r="B51" s="121"/>
      <c r="C51" s="122"/>
      <c r="D51" s="122"/>
      <c r="E51" s="122"/>
      <c r="F51" s="122"/>
      <c r="G51" s="31"/>
      <c r="H51" s="122"/>
      <c r="I51" s="93"/>
      <c r="J51" s="93"/>
    </row>
    <row r="52" spans="1:10" x14ac:dyDescent="0.25">
      <c r="A52" s="9" t="s">
        <v>128</v>
      </c>
      <c r="B52" s="154" t="s">
        <v>129</v>
      </c>
      <c r="C52" s="134" t="s">
        <v>75</v>
      </c>
      <c r="D52" s="134" t="s">
        <v>76</v>
      </c>
      <c r="E52" s="134" t="s">
        <v>77</v>
      </c>
      <c r="F52" s="134" t="s">
        <v>78</v>
      </c>
      <c r="G52" s="32" t="s">
        <v>79</v>
      </c>
      <c r="H52" s="135"/>
      <c r="I52" s="93"/>
      <c r="J52" s="86" t="s">
        <v>130</v>
      </c>
    </row>
    <row r="53" spans="1:10" ht="14.25" customHeight="1" x14ac:dyDescent="0.25">
      <c r="A53" s="219" t="s">
        <v>131</v>
      </c>
      <c r="B53" s="134">
        <v>1</v>
      </c>
      <c r="C53" s="127">
        <v>1968</v>
      </c>
      <c r="D53" s="127">
        <v>1896</v>
      </c>
      <c r="E53" s="127">
        <v>1872</v>
      </c>
      <c r="F53" s="127">
        <v>1728</v>
      </c>
      <c r="G53" s="28">
        <f t="shared" ref="G53:G65" si="16">SUM(C53:F53)</f>
        <v>7464</v>
      </c>
      <c r="H53" s="128">
        <f>G53/J53</f>
        <v>0.852054794520548</v>
      </c>
      <c r="I53" s="93"/>
      <c r="J53" s="88">
        <v>8760</v>
      </c>
    </row>
    <row r="54" spans="1:10" ht="14.25" customHeight="1" x14ac:dyDescent="0.25">
      <c r="A54" s="220"/>
      <c r="B54" s="122">
        <v>2</v>
      </c>
      <c r="C54" s="129">
        <v>1968</v>
      </c>
      <c r="D54" s="129">
        <v>2016</v>
      </c>
      <c r="E54" s="129">
        <v>1752</v>
      </c>
      <c r="F54" s="129">
        <v>1800</v>
      </c>
      <c r="G54" s="29">
        <f t="shared" si="16"/>
        <v>7536</v>
      </c>
      <c r="H54" s="130">
        <f>G54/J53</f>
        <v>0.86027397260273974</v>
      </c>
      <c r="I54" s="93"/>
      <c r="J54" s="93"/>
    </row>
    <row r="55" spans="1:10" ht="14.25" customHeight="1" x14ac:dyDescent="0.25">
      <c r="A55" s="220"/>
      <c r="B55" s="122"/>
      <c r="C55" s="129"/>
      <c r="D55" s="129"/>
      <c r="E55" s="129"/>
      <c r="F55" s="129"/>
      <c r="G55" s="29">
        <f t="shared" si="16"/>
        <v>0</v>
      </c>
      <c r="H55" s="130" t="s">
        <v>132</v>
      </c>
      <c r="I55" s="93"/>
      <c r="J55" s="93"/>
    </row>
    <row r="56" spans="1:10" ht="14.25" customHeight="1" x14ac:dyDescent="0.25">
      <c r="A56" s="220"/>
      <c r="B56" s="122"/>
      <c r="C56" s="129"/>
      <c r="D56" s="129"/>
      <c r="E56" s="129"/>
      <c r="F56" s="129"/>
      <c r="G56" s="29">
        <f t="shared" si="16"/>
        <v>0</v>
      </c>
      <c r="H56" s="130" t="s">
        <v>132</v>
      </c>
      <c r="I56" s="93"/>
      <c r="J56" s="93"/>
    </row>
    <row r="57" spans="1:10" ht="14.25" customHeight="1" x14ac:dyDescent="0.25">
      <c r="A57" s="220"/>
      <c r="B57" s="122"/>
      <c r="C57" s="129"/>
      <c r="D57" s="129"/>
      <c r="E57" s="129"/>
      <c r="F57" s="129"/>
      <c r="G57" s="29">
        <f t="shared" ref="G57" si="17">SUM(C57:F57)</f>
        <v>0</v>
      </c>
      <c r="H57" s="130" t="s">
        <v>132</v>
      </c>
      <c r="I57" s="93"/>
      <c r="J57" s="93"/>
    </row>
    <row r="58" spans="1:10" ht="14.25" customHeight="1" x14ac:dyDescent="0.25">
      <c r="A58" s="103" t="s">
        <v>133</v>
      </c>
      <c r="B58" s="122"/>
      <c r="C58" s="129"/>
      <c r="D58" s="129"/>
      <c r="E58" s="129"/>
      <c r="F58" s="129"/>
      <c r="G58" s="29">
        <f>AVERAGE(G53:G54)</f>
        <v>7500</v>
      </c>
      <c r="H58" s="87">
        <f>G58/J53</f>
        <v>0.85616438356164382</v>
      </c>
      <c r="I58" s="93"/>
      <c r="J58" s="93"/>
    </row>
    <row r="59" spans="1:10" ht="14.25" customHeight="1" x14ac:dyDescent="0.25">
      <c r="A59" s="103" t="s">
        <v>134</v>
      </c>
      <c r="B59" s="122">
        <v>1</v>
      </c>
      <c r="C59" s="129"/>
      <c r="D59" s="129"/>
      <c r="E59" s="129"/>
      <c r="F59" s="129"/>
      <c r="G59" s="29">
        <f t="shared" si="16"/>
        <v>0</v>
      </c>
      <c r="H59" s="130" t="s">
        <v>132</v>
      </c>
      <c r="I59" s="93"/>
      <c r="J59" s="93"/>
    </row>
    <row r="60" spans="1:10" x14ac:dyDescent="0.25">
      <c r="A60" s="103" t="s">
        <v>134</v>
      </c>
      <c r="B60" s="122">
        <v>2</v>
      </c>
      <c r="C60" s="138">
        <v>2160</v>
      </c>
      <c r="D60" s="138">
        <v>2184</v>
      </c>
      <c r="E60" s="138">
        <v>2208</v>
      </c>
      <c r="F60" s="138">
        <v>2208</v>
      </c>
      <c r="G60" s="29">
        <f t="shared" si="16"/>
        <v>8760</v>
      </c>
      <c r="H60" s="130" t="s">
        <v>132</v>
      </c>
      <c r="I60" s="93"/>
      <c r="J60" s="93"/>
    </row>
    <row r="61" spans="1:10" x14ac:dyDescent="0.25">
      <c r="A61" s="103" t="s">
        <v>135</v>
      </c>
      <c r="B61" s="122"/>
      <c r="C61" s="138"/>
      <c r="D61" s="138"/>
      <c r="E61" s="138"/>
      <c r="F61" s="138"/>
      <c r="G61" s="29">
        <f t="shared" si="16"/>
        <v>0</v>
      </c>
      <c r="H61" s="130" t="str">
        <f>IF(B61&gt;0,G60/J53,"n/a")</f>
        <v>n/a</v>
      </c>
      <c r="I61" s="93"/>
      <c r="J61" s="93"/>
    </row>
    <row r="62" spans="1:10" x14ac:dyDescent="0.25">
      <c r="A62" s="103" t="s">
        <v>136</v>
      </c>
      <c r="B62" s="122" t="s">
        <v>137</v>
      </c>
      <c r="C62" s="138">
        <v>8.9</v>
      </c>
      <c r="D62" s="138">
        <v>9.57</v>
      </c>
      <c r="E62" s="138">
        <v>9.89</v>
      </c>
      <c r="F62" s="138">
        <v>10.17</v>
      </c>
      <c r="G62" s="29"/>
      <c r="H62" s="155" t="s">
        <v>138</v>
      </c>
      <c r="I62" s="93"/>
      <c r="J62" s="93"/>
    </row>
    <row r="63" spans="1:10" x14ac:dyDescent="0.25">
      <c r="A63" s="103" t="s">
        <v>139</v>
      </c>
      <c r="B63" s="122" t="s">
        <v>140</v>
      </c>
      <c r="C63" s="138"/>
      <c r="D63" s="138"/>
      <c r="E63" s="138"/>
      <c r="F63" s="138"/>
      <c r="G63" s="29">
        <f t="shared" si="16"/>
        <v>0</v>
      </c>
      <c r="H63" s="139" t="str">
        <f>IF(G63&gt;0,"yes","no")</f>
        <v>no</v>
      </c>
      <c r="I63" s="93"/>
      <c r="J63" s="93"/>
    </row>
    <row r="64" spans="1:10" x14ac:dyDescent="0.25">
      <c r="A64" s="103" t="s">
        <v>141</v>
      </c>
      <c r="B64" s="122" t="s">
        <v>142</v>
      </c>
      <c r="C64" s="138"/>
      <c r="D64" s="138"/>
      <c r="E64" s="138"/>
      <c r="F64" s="138"/>
      <c r="G64" s="29">
        <f t="shared" si="16"/>
        <v>0</v>
      </c>
      <c r="H64" s="156">
        <f>+(G64)/J53</f>
        <v>0</v>
      </c>
      <c r="I64" s="93"/>
      <c r="J64" s="93"/>
    </row>
    <row r="65" spans="1:8" x14ac:dyDescent="0.25">
      <c r="A65" s="100" t="s">
        <v>143</v>
      </c>
      <c r="B65" s="157" t="s">
        <v>140</v>
      </c>
      <c r="C65" s="149"/>
      <c r="D65" s="149"/>
      <c r="E65" s="149"/>
      <c r="F65" s="149"/>
      <c r="G65" s="30">
        <f t="shared" si="16"/>
        <v>0</v>
      </c>
      <c r="H65" s="158" t="str">
        <f>IF(G65&gt;0,"yes","no")</f>
        <v>no</v>
      </c>
    </row>
    <row r="78" spans="1:8" x14ac:dyDescent="0.25">
      <c r="A78" s="93"/>
      <c r="B78" s="121"/>
      <c r="C78" s="121"/>
      <c r="D78" s="121"/>
      <c r="E78" s="121"/>
      <c r="F78" s="3"/>
      <c r="H78" s="122"/>
    </row>
  </sheetData>
  <mergeCells count="8">
    <mergeCell ref="A53:A57"/>
    <mergeCell ref="K6:K7"/>
    <mergeCell ref="K8:K19"/>
    <mergeCell ref="B34:B39"/>
    <mergeCell ref="B4:C4"/>
    <mergeCell ref="B8:B20"/>
    <mergeCell ref="B24:B27"/>
    <mergeCell ref="B29:B30"/>
  </mergeCells>
  <phoneticPr fontId="25" type="noConversion"/>
  <pageMargins left="0.7" right="0.7" top="0.75" bottom="0.75" header="0.3" footer="0.3"/>
  <pageSetup paperSize="9" scale="87" orientation="portrait" r:id="rId1"/>
  <headerFooter scaleWithDoc="0">
    <oddFooter>&amp;C&amp;"Arial,Regular"Page &amp;P</oddFooter>
  </headerFooter>
  <rowBreaks count="1" manualBreakCount="1">
    <brk id="50" max="16383" man="1"/>
  </rowBreaks>
  <ignoredErrors>
    <ignoredError sqref="G59:G60 G54:G56" formulaRange="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4"/>
  </sheetPr>
  <dimension ref="A1:N66"/>
  <sheetViews>
    <sheetView workbookViewId="0">
      <selection activeCell="A31" sqref="A31:I52"/>
    </sheetView>
  </sheetViews>
  <sheetFormatPr defaultColWidth="9.44140625" defaultRowHeight="15" x14ac:dyDescent="0.25"/>
  <cols>
    <col min="1" max="1" width="9.44140625" style="2" customWidth="1"/>
    <col min="2" max="2" width="14.5546875" style="2" bestFit="1" customWidth="1"/>
    <col min="3" max="9" width="9.44140625" style="2"/>
    <col min="10" max="10" width="11.5546875" style="2" customWidth="1"/>
    <col min="11" max="16384" width="9.44140625" style="2"/>
  </cols>
  <sheetData>
    <row r="1" spans="1:14" x14ac:dyDescent="0.25">
      <c r="A1" s="93" t="str">
        <f>+'Cover Page'!$B$29</f>
        <v>Annual Performance Report 2022</v>
      </c>
      <c r="B1" s="93"/>
      <c r="C1" s="93"/>
      <c r="D1" s="93"/>
      <c r="E1" s="93" t="str">
        <f>+'Cover Page'!$B$33</f>
        <v>GLPP</v>
      </c>
      <c r="F1" s="93"/>
      <c r="G1" s="93"/>
      <c r="H1" s="93"/>
      <c r="I1" s="93"/>
      <c r="J1" s="93"/>
      <c r="K1" s="93"/>
      <c r="L1" s="93"/>
      <c r="M1" s="93"/>
      <c r="N1" s="93"/>
    </row>
    <row r="3" spans="1:14" ht="15.6" x14ac:dyDescent="0.3">
      <c r="A3" s="51" t="s">
        <v>144</v>
      </c>
      <c r="B3" s="116"/>
      <c r="C3" s="116"/>
      <c r="D3" s="116"/>
      <c r="E3" s="116"/>
      <c r="F3" s="116"/>
      <c r="G3" s="116"/>
      <c r="H3" s="116"/>
      <c r="I3" s="117"/>
      <c r="J3" s="93"/>
      <c r="K3" s="81" t="s">
        <v>3</v>
      </c>
      <c r="L3" s="93"/>
      <c r="M3" s="93"/>
      <c r="N3" s="93"/>
    </row>
    <row r="4" spans="1:14" x14ac:dyDescent="0.25">
      <c r="A4" s="118"/>
      <c r="B4" s="119"/>
      <c r="C4" s="119"/>
      <c r="D4" s="119"/>
      <c r="E4" s="119"/>
      <c r="F4" s="119"/>
      <c r="G4" s="119"/>
      <c r="H4" s="119"/>
      <c r="I4" s="120"/>
      <c r="J4" s="93"/>
      <c r="K4" s="93"/>
      <c r="L4" s="93"/>
      <c r="M4" s="93"/>
      <c r="N4" s="93"/>
    </row>
    <row r="5" spans="1:14" ht="15.75" customHeight="1" x14ac:dyDescent="0.25">
      <c r="A5" s="201" t="s">
        <v>145</v>
      </c>
      <c r="B5" s="202"/>
      <c r="C5" s="202"/>
      <c r="D5" s="202"/>
      <c r="E5" s="202"/>
      <c r="F5" s="202"/>
      <c r="G5" s="202"/>
      <c r="H5" s="202"/>
      <c r="I5" s="203"/>
      <c r="J5" s="93"/>
      <c r="K5" s="218" t="s">
        <v>146</v>
      </c>
      <c r="L5" s="218"/>
      <c r="M5" s="218"/>
      <c r="N5" s="218"/>
    </row>
    <row r="6" spans="1:14" x14ac:dyDescent="0.25">
      <c r="A6" s="204"/>
      <c r="B6" s="205"/>
      <c r="C6" s="205"/>
      <c r="D6" s="205"/>
      <c r="E6" s="205"/>
      <c r="F6" s="205"/>
      <c r="G6" s="205"/>
      <c r="H6" s="205"/>
      <c r="I6" s="206"/>
      <c r="J6" s="93"/>
      <c r="K6" s="218"/>
      <c r="L6" s="218"/>
      <c r="M6" s="218"/>
      <c r="N6" s="218"/>
    </row>
    <row r="7" spans="1:14" x14ac:dyDescent="0.25">
      <c r="A7" s="204"/>
      <c r="B7" s="205"/>
      <c r="C7" s="205"/>
      <c r="D7" s="205"/>
      <c r="E7" s="205"/>
      <c r="F7" s="205"/>
      <c r="G7" s="205"/>
      <c r="H7" s="205"/>
      <c r="I7" s="206"/>
      <c r="J7" s="93"/>
      <c r="K7" s="218"/>
      <c r="L7" s="218"/>
      <c r="M7" s="218"/>
      <c r="N7" s="218"/>
    </row>
    <row r="8" spans="1:14" ht="15.75" customHeight="1" x14ac:dyDescent="0.25">
      <c r="A8" s="204"/>
      <c r="B8" s="205"/>
      <c r="C8" s="205"/>
      <c r="D8" s="205"/>
      <c r="E8" s="205"/>
      <c r="F8" s="205"/>
      <c r="G8" s="205"/>
      <c r="H8" s="205"/>
      <c r="I8" s="206"/>
      <c r="J8" s="93"/>
      <c r="K8" s="218"/>
      <c r="L8" s="218"/>
      <c r="M8" s="218"/>
      <c r="N8" s="218"/>
    </row>
    <row r="9" spans="1:14" ht="15.75" customHeight="1" x14ac:dyDescent="0.25">
      <c r="A9" s="204"/>
      <c r="B9" s="205"/>
      <c r="C9" s="205"/>
      <c r="D9" s="205"/>
      <c r="E9" s="205"/>
      <c r="F9" s="205"/>
      <c r="G9" s="205"/>
      <c r="H9" s="205"/>
      <c r="I9" s="206"/>
      <c r="J9" s="93"/>
      <c r="K9" s="218"/>
      <c r="L9" s="218"/>
      <c r="M9" s="218"/>
      <c r="N9" s="218"/>
    </row>
    <row r="10" spans="1:14" ht="15.75" customHeight="1" x14ac:dyDescent="0.25">
      <c r="A10" s="204"/>
      <c r="B10" s="205"/>
      <c r="C10" s="205"/>
      <c r="D10" s="205"/>
      <c r="E10" s="205"/>
      <c r="F10" s="205"/>
      <c r="G10" s="205"/>
      <c r="H10" s="205"/>
      <c r="I10" s="206"/>
      <c r="J10" s="93"/>
      <c r="K10" s="218"/>
      <c r="L10" s="218"/>
      <c r="M10" s="218"/>
      <c r="N10" s="218"/>
    </row>
    <row r="11" spans="1:14" ht="15.75" customHeight="1" x14ac:dyDescent="0.25">
      <c r="A11" s="204"/>
      <c r="B11" s="205"/>
      <c r="C11" s="205"/>
      <c r="D11" s="205"/>
      <c r="E11" s="205"/>
      <c r="F11" s="205"/>
      <c r="G11" s="205"/>
      <c r="H11" s="205"/>
      <c r="I11" s="206"/>
      <c r="J11" s="93"/>
      <c r="K11" s="218"/>
      <c r="L11" s="218"/>
      <c r="M11" s="218"/>
      <c r="N11" s="218"/>
    </row>
    <row r="12" spans="1:14" ht="15.75" customHeight="1" x14ac:dyDescent="0.25">
      <c r="A12" s="204"/>
      <c r="B12" s="205"/>
      <c r="C12" s="205"/>
      <c r="D12" s="205"/>
      <c r="E12" s="205"/>
      <c r="F12" s="205"/>
      <c r="G12" s="205"/>
      <c r="H12" s="205"/>
      <c r="I12" s="206"/>
      <c r="J12" s="93"/>
      <c r="K12" s="218"/>
      <c r="L12" s="218"/>
      <c r="M12" s="218"/>
      <c r="N12" s="218"/>
    </row>
    <row r="13" spans="1:14" ht="15.75" customHeight="1" x14ac:dyDescent="0.25">
      <c r="A13" s="204"/>
      <c r="B13" s="205"/>
      <c r="C13" s="205"/>
      <c r="D13" s="205"/>
      <c r="E13" s="205"/>
      <c r="F13" s="205"/>
      <c r="G13" s="205"/>
      <c r="H13" s="205"/>
      <c r="I13" s="206"/>
      <c r="J13" s="93"/>
      <c r="K13" s="218"/>
      <c r="L13" s="218"/>
      <c r="M13" s="218"/>
      <c r="N13" s="218"/>
    </row>
    <row r="14" spans="1:14" ht="15.75" customHeight="1" x14ac:dyDescent="0.25">
      <c r="A14" s="204"/>
      <c r="B14" s="205"/>
      <c r="C14" s="205"/>
      <c r="D14" s="205"/>
      <c r="E14" s="205"/>
      <c r="F14" s="205"/>
      <c r="G14" s="205"/>
      <c r="H14" s="205"/>
      <c r="I14" s="206"/>
      <c r="J14" s="93"/>
      <c r="K14" s="218"/>
      <c r="L14" s="218"/>
      <c r="M14" s="218"/>
      <c r="N14" s="218"/>
    </row>
    <row r="15" spans="1:14" ht="15.75" customHeight="1" x14ac:dyDescent="0.25">
      <c r="A15" s="204"/>
      <c r="B15" s="205"/>
      <c r="C15" s="205"/>
      <c r="D15" s="205"/>
      <c r="E15" s="205"/>
      <c r="F15" s="205"/>
      <c r="G15" s="205"/>
      <c r="H15" s="205"/>
      <c r="I15" s="206"/>
      <c r="J15" s="93"/>
      <c r="K15" s="93"/>
      <c r="L15" s="93"/>
      <c r="M15" s="93"/>
      <c r="N15" s="93"/>
    </row>
    <row r="16" spans="1:14" ht="15.75" customHeight="1" x14ac:dyDescent="0.25">
      <c r="A16" s="204"/>
      <c r="B16" s="205"/>
      <c r="C16" s="205"/>
      <c r="D16" s="205"/>
      <c r="E16" s="205"/>
      <c r="F16" s="205"/>
      <c r="G16" s="205"/>
      <c r="H16" s="205"/>
      <c r="I16" s="206"/>
      <c r="J16" s="93"/>
      <c r="K16" s="93"/>
      <c r="L16" s="93"/>
      <c r="M16" s="93"/>
      <c r="N16" s="93"/>
    </row>
    <row r="17" spans="1:14" ht="15.75" customHeight="1" x14ac:dyDescent="0.25">
      <c r="A17" s="204"/>
      <c r="B17" s="205"/>
      <c r="C17" s="205"/>
      <c r="D17" s="205"/>
      <c r="E17" s="205"/>
      <c r="F17" s="205"/>
      <c r="G17" s="205"/>
      <c r="H17" s="205"/>
      <c r="I17" s="206"/>
      <c r="J17" s="93"/>
      <c r="K17" s="93"/>
      <c r="L17" s="93"/>
      <c r="M17" s="93"/>
      <c r="N17" s="93"/>
    </row>
    <row r="18" spans="1:14" x14ac:dyDescent="0.25">
      <c r="A18" s="204"/>
      <c r="B18" s="205"/>
      <c r="C18" s="205"/>
      <c r="D18" s="205"/>
      <c r="E18" s="205"/>
      <c r="F18" s="205"/>
      <c r="G18" s="205"/>
      <c r="H18" s="205"/>
      <c r="I18" s="206"/>
      <c r="J18" s="93"/>
      <c r="K18" s="93"/>
      <c r="L18" s="93"/>
      <c r="M18" s="93"/>
      <c r="N18" s="93"/>
    </row>
    <row r="19" spans="1:14" x14ac:dyDescent="0.25">
      <c r="A19" s="204"/>
      <c r="B19" s="205"/>
      <c r="C19" s="205"/>
      <c r="D19" s="205"/>
      <c r="E19" s="205"/>
      <c r="F19" s="205"/>
      <c r="G19" s="205"/>
      <c r="H19" s="205"/>
      <c r="I19" s="206"/>
      <c r="J19" s="93"/>
      <c r="K19" s="93"/>
      <c r="L19" s="93"/>
      <c r="M19" s="93"/>
      <c r="N19" s="93"/>
    </row>
    <row r="20" spans="1:14" x14ac:dyDescent="0.25">
      <c r="A20" s="204"/>
      <c r="B20" s="205"/>
      <c r="C20" s="205"/>
      <c r="D20" s="205"/>
      <c r="E20" s="205"/>
      <c r="F20" s="205"/>
      <c r="G20" s="205"/>
      <c r="H20" s="205"/>
      <c r="I20" s="206"/>
      <c r="J20" s="93"/>
      <c r="K20" s="93"/>
      <c r="L20" s="93"/>
      <c r="M20" s="93"/>
      <c r="N20" s="93"/>
    </row>
    <row r="21" spans="1:14" x14ac:dyDescent="0.25">
      <c r="A21" s="204"/>
      <c r="B21" s="205"/>
      <c r="C21" s="205"/>
      <c r="D21" s="205"/>
      <c r="E21" s="205"/>
      <c r="F21" s="205"/>
      <c r="G21" s="205"/>
      <c r="H21" s="205"/>
      <c r="I21" s="206"/>
      <c r="J21" s="93"/>
      <c r="K21" s="93"/>
      <c r="L21" s="93"/>
      <c r="M21" s="93"/>
      <c r="N21" s="93"/>
    </row>
    <row r="22" spans="1:14" ht="15.6" customHeight="1" x14ac:dyDescent="0.25">
      <c r="A22" s="204"/>
      <c r="B22" s="205"/>
      <c r="C22" s="205"/>
      <c r="D22" s="205"/>
      <c r="E22" s="205"/>
      <c r="F22" s="205"/>
      <c r="G22" s="205"/>
      <c r="H22" s="205"/>
      <c r="I22" s="206"/>
      <c r="J22" s="93"/>
      <c r="K22" s="95"/>
      <c r="L22" s="95"/>
      <c r="M22" s="95"/>
      <c r="N22" s="95"/>
    </row>
    <row r="23" spans="1:14" x14ac:dyDescent="0.25">
      <c r="A23" s="204"/>
      <c r="B23" s="205"/>
      <c r="C23" s="205"/>
      <c r="D23" s="205"/>
      <c r="E23" s="205"/>
      <c r="F23" s="205"/>
      <c r="G23" s="205"/>
      <c r="H23" s="205"/>
      <c r="I23" s="206"/>
      <c r="J23" s="93"/>
      <c r="K23" s="95"/>
      <c r="L23" s="95"/>
      <c r="M23" s="95"/>
      <c r="N23" s="95"/>
    </row>
    <row r="24" spans="1:14" x14ac:dyDescent="0.25">
      <c r="A24" s="204"/>
      <c r="B24" s="205"/>
      <c r="C24" s="205"/>
      <c r="D24" s="205"/>
      <c r="E24" s="205"/>
      <c r="F24" s="205"/>
      <c r="G24" s="205"/>
      <c r="H24" s="205"/>
      <c r="I24" s="206"/>
      <c r="J24" s="93"/>
      <c r="K24" s="95"/>
      <c r="L24" s="95"/>
      <c r="M24" s="95"/>
      <c r="N24" s="95"/>
    </row>
    <row r="25" spans="1:14" x14ac:dyDescent="0.25">
      <c r="A25" s="204"/>
      <c r="B25" s="205"/>
      <c r="C25" s="205"/>
      <c r="D25" s="205"/>
      <c r="E25" s="205"/>
      <c r="F25" s="205"/>
      <c r="G25" s="205"/>
      <c r="H25" s="205"/>
      <c r="I25" s="206"/>
      <c r="J25" s="93"/>
      <c r="K25" s="95"/>
      <c r="L25" s="95"/>
      <c r="M25" s="95"/>
      <c r="N25" s="95"/>
    </row>
    <row r="26" spans="1:14" x14ac:dyDescent="0.25">
      <c r="A26" s="204"/>
      <c r="B26" s="205"/>
      <c r="C26" s="205"/>
      <c r="D26" s="205"/>
      <c r="E26" s="205"/>
      <c r="F26" s="205"/>
      <c r="G26" s="205"/>
      <c r="H26" s="205"/>
      <c r="I26" s="206"/>
      <c r="J26" s="93"/>
      <c r="K26" s="95"/>
      <c r="L26" s="95"/>
      <c r="M26" s="95"/>
      <c r="N26" s="95"/>
    </row>
    <row r="27" spans="1:14" x14ac:dyDescent="0.25">
      <c r="A27" s="207"/>
      <c r="B27" s="208"/>
      <c r="C27" s="208"/>
      <c r="D27" s="208"/>
      <c r="E27" s="208"/>
      <c r="F27" s="208"/>
      <c r="G27" s="208"/>
      <c r="H27" s="208"/>
      <c r="I27" s="209"/>
      <c r="J27" s="93"/>
      <c r="K27" s="95"/>
      <c r="L27" s="95"/>
      <c r="M27" s="95"/>
      <c r="N27" s="95"/>
    </row>
    <row r="28" spans="1:14" x14ac:dyDescent="0.25">
      <c r="A28" s="93"/>
      <c r="B28" s="93"/>
      <c r="C28" s="93"/>
      <c r="D28" s="93"/>
      <c r="E28" s="93"/>
      <c r="F28" s="93"/>
      <c r="G28" s="93"/>
      <c r="H28" s="93"/>
      <c r="I28" s="93"/>
      <c r="J28" s="93"/>
      <c r="K28" s="95"/>
      <c r="L28" s="95"/>
      <c r="M28" s="95"/>
      <c r="N28" s="95"/>
    </row>
    <row r="29" spans="1:14" x14ac:dyDescent="0.25">
      <c r="A29" s="51" t="s">
        <v>147</v>
      </c>
      <c r="B29" s="116"/>
      <c r="C29" s="116"/>
      <c r="D29" s="116"/>
      <c r="E29" s="116"/>
      <c r="F29" s="116"/>
      <c r="G29" s="116"/>
      <c r="H29" s="116"/>
      <c r="I29" s="117"/>
      <c r="J29" s="93"/>
      <c r="K29" s="95"/>
      <c r="L29" s="95"/>
      <c r="M29" s="95"/>
      <c r="N29" s="95"/>
    </row>
    <row r="30" spans="1:14" x14ac:dyDescent="0.25">
      <c r="A30" s="118"/>
      <c r="B30" s="119"/>
      <c r="C30" s="119"/>
      <c r="D30" s="119"/>
      <c r="E30" s="119"/>
      <c r="F30" s="119"/>
      <c r="G30" s="119"/>
      <c r="H30" s="119"/>
      <c r="I30" s="120"/>
      <c r="J30" s="93"/>
      <c r="K30" s="95"/>
      <c r="L30" s="95"/>
      <c r="M30" s="95"/>
      <c r="N30" s="95"/>
    </row>
    <row r="31" spans="1:14" x14ac:dyDescent="0.25">
      <c r="A31" s="201" t="s">
        <v>148</v>
      </c>
      <c r="B31" s="210"/>
      <c r="C31" s="210"/>
      <c r="D31" s="210"/>
      <c r="E31" s="210"/>
      <c r="F31" s="210"/>
      <c r="G31" s="210"/>
      <c r="H31" s="210"/>
      <c r="I31" s="211"/>
      <c r="J31" s="93"/>
      <c r="K31" s="218" t="s">
        <v>149</v>
      </c>
      <c r="L31" s="218"/>
      <c r="M31" s="218"/>
      <c r="N31" s="218"/>
    </row>
    <row r="32" spans="1:14" x14ac:dyDescent="0.25">
      <c r="A32" s="212"/>
      <c r="B32" s="213"/>
      <c r="C32" s="213"/>
      <c r="D32" s="213"/>
      <c r="E32" s="213"/>
      <c r="F32" s="213"/>
      <c r="G32" s="213"/>
      <c r="H32" s="213"/>
      <c r="I32" s="214"/>
      <c r="J32" s="93"/>
      <c r="K32" s="218"/>
      <c r="L32" s="218"/>
      <c r="M32" s="218"/>
      <c r="N32" s="218"/>
    </row>
    <row r="33" spans="1:14" x14ac:dyDescent="0.25">
      <c r="A33" s="212"/>
      <c r="B33" s="213"/>
      <c r="C33" s="213"/>
      <c r="D33" s="213"/>
      <c r="E33" s="213"/>
      <c r="F33" s="213"/>
      <c r="G33" s="213"/>
      <c r="H33" s="213"/>
      <c r="I33" s="214"/>
      <c r="J33" s="93"/>
      <c r="K33" s="218"/>
      <c r="L33" s="218"/>
      <c r="M33" s="218"/>
      <c r="N33" s="218"/>
    </row>
    <row r="34" spans="1:14" x14ac:dyDescent="0.25">
      <c r="A34" s="212"/>
      <c r="B34" s="213"/>
      <c r="C34" s="213"/>
      <c r="D34" s="213"/>
      <c r="E34" s="213"/>
      <c r="F34" s="213"/>
      <c r="G34" s="213"/>
      <c r="H34" s="213"/>
      <c r="I34" s="214"/>
      <c r="J34" s="93"/>
      <c r="K34" s="218"/>
      <c r="L34" s="218"/>
      <c r="M34" s="218"/>
      <c r="N34" s="218"/>
    </row>
    <row r="35" spans="1:14" x14ac:dyDescent="0.25">
      <c r="A35" s="212"/>
      <c r="B35" s="213"/>
      <c r="C35" s="213"/>
      <c r="D35" s="213"/>
      <c r="E35" s="213"/>
      <c r="F35" s="213"/>
      <c r="G35" s="213"/>
      <c r="H35" s="213"/>
      <c r="I35" s="214"/>
      <c r="J35" s="93"/>
      <c r="K35" s="218"/>
      <c r="L35" s="218"/>
      <c r="M35" s="218"/>
      <c r="N35" s="218"/>
    </row>
    <row r="36" spans="1:14" x14ac:dyDescent="0.25">
      <c r="A36" s="212"/>
      <c r="B36" s="213"/>
      <c r="C36" s="213"/>
      <c r="D36" s="213"/>
      <c r="E36" s="213"/>
      <c r="F36" s="213"/>
      <c r="G36" s="213"/>
      <c r="H36" s="213"/>
      <c r="I36" s="214"/>
      <c r="J36" s="93"/>
      <c r="K36" s="218"/>
      <c r="L36" s="218"/>
      <c r="M36" s="218"/>
      <c r="N36" s="218"/>
    </row>
    <row r="37" spans="1:14" x14ac:dyDescent="0.25">
      <c r="A37" s="212"/>
      <c r="B37" s="213"/>
      <c r="C37" s="213"/>
      <c r="D37" s="213"/>
      <c r="E37" s="213"/>
      <c r="F37" s="213"/>
      <c r="G37" s="213"/>
      <c r="H37" s="213"/>
      <c r="I37" s="214"/>
      <c r="J37" s="93"/>
      <c r="K37" s="218"/>
      <c r="L37" s="218"/>
      <c r="M37" s="218"/>
      <c r="N37" s="218"/>
    </row>
    <row r="38" spans="1:14" ht="14.25" customHeight="1" x14ac:dyDescent="0.25">
      <c r="A38" s="212"/>
      <c r="B38" s="213"/>
      <c r="C38" s="213"/>
      <c r="D38" s="213"/>
      <c r="E38" s="213"/>
      <c r="F38" s="213"/>
      <c r="G38" s="213"/>
      <c r="H38" s="213"/>
      <c r="I38" s="214"/>
      <c r="J38" s="93"/>
      <c r="K38" s="218"/>
      <c r="L38" s="218"/>
      <c r="M38" s="218"/>
      <c r="N38" s="218"/>
    </row>
    <row r="39" spans="1:14" x14ac:dyDescent="0.25">
      <c r="A39" s="212"/>
      <c r="B39" s="213"/>
      <c r="C39" s="213"/>
      <c r="D39" s="213"/>
      <c r="E39" s="213"/>
      <c r="F39" s="213"/>
      <c r="G39" s="213"/>
      <c r="H39" s="213"/>
      <c r="I39" s="214"/>
      <c r="J39" s="93"/>
      <c r="K39" s="218"/>
      <c r="L39" s="218"/>
      <c r="M39" s="218"/>
      <c r="N39" s="218"/>
    </row>
    <row r="40" spans="1:14" x14ac:dyDescent="0.25">
      <c r="A40" s="212"/>
      <c r="B40" s="213"/>
      <c r="C40" s="213"/>
      <c r="D40" s="213"/>
      <c r="E40" s="213"/>
      <c r="F40" s="213"/>
      <c r="G40" s="213"/>
      <c r="H40" s="213"/>
      <c r="I40" s="214"/>
      <c r="J40" s="93"/>
      <c r="K40" s="218"/>
      <c r="L40" s="218"/>
      <c r="M40" s="218"/>
      <c r="N40" s="218"/>
    </row>
    <row r="41" spans="1:14" x14ac:dyDescent="0.25">
      <c r="A41" s="212"/>
      <c r="B41" s="213"/>
      <c r="C41" s="213"/>
      <c r="D41" s="213"/>
      <c r="E41" s="213"/>
      <c r="F41" s="213"/>
      <c r="G41" s="213"/>
      <c r="H41" s="213"/>
      <c r="I41" s="214"/>
      <c r="J41" s="93"/>
      <c r="K41" s="93"/>
      <c r="L41" s="93"/>
      <c r="M41" s="93"/>
      <c r="N41" s="93"/>
    </row>
    <row r="42" spans="1:14" x14ac:dyDescent="0.25">
      <c r="A42" s="212"/>
      <c r="B42" s="213"/>
      <c r="C42" s="213"/>
      <c r="D42" s="213"/>
      <c r="E42" s="213"/>
      <c r="F42" s="213"/>
      <c r="G42" s="213"/>
      <c r="H42" s="213"/>
      <c r="I42" s="214"/>
      <c r="J42" s="93"/>
      <c r="K42" s="93"/>
      <c r="L42" s="93"/>
      <c r="M42" s="93"/>
      <c r="N42" s="93"/>
    </row>
    <row r="43" spans="1:14" x14ac:dyDescent="0.25">
      <c r="A43" s="212"/>
      <c r="B43" s="213"/>
      <c r="C43" s="213"/>
      <c r="D43" s="213"/>
      <c r="E43" s="213"/>
      <c r="F43" s="213"/>
      <c r="G43" s="213"/>
      <c r="H43" s="213"/>
      <c r="I43" s="214"/>
      <c r="J43" s="93"/>
      <c r="K43" s="93"/>
      <c r="L43" s="93"/>
      <c r="M43" s="93"/>
      <c r="N43" s="93"/>
    </row>
    <row r="44" spans="1:14" x14ac:dyDescent="0.25">
      <c r="A44" s="212"/>
      <c r="B44" s="213"/>
      <c r="C44" s="213"/>
      <c r="D44" s="213"/>
      <c r="E44" s="213"/>
      <c r="F44" s="213"/>
      <c r="G44" s="213"/>
      <c r="H44" s="213"/>
      <c r="I44" s="214"/>
      <c r="J44" s="93"/>
      <c r="K44" s="93"/>
      <c r="L44" s="93"/>
      <c r="M44" s="93"/>
      <c r="N44" s="93"/>
    </row>
    <row r="45" spans="1:14" x14ac:dyDescent="0.25">
      <c r="A45" s="212"/>
      <c r="B45" s="213"/>
      <c r="C45" s="213"/>
      <c r="D45" s="213"/>
      <c r="E45" s="213"/>
      <c r="F45" s="213"/>
      <c r="G45" s="213"/>
      <c r="H45" s="213"/>
      <c r="I45" s="214"/>
      <c r="J45" s="93"/>
      <c r="K45" s="93"/>
      <c r="L45" s="93"/>
      <c r="M45" s="93"/>
      <c r="N45" s="93"/>
    </row>
    <row r="46" spans="1:14" x14ac:dyDescent="0.25">
      <c r="A46" s="212"/>
      <c r="B46" s="213"/>
      <c r="C46" s="213"/>
      <c r="D46" s="213"/>
      <c r="E46" s="213"/>
      <c r="F46" s="213"/>
      <c r="G46" s="213"/>
      <c r="H46" s="213"/>
      <c r="I46" s="214"/>
      <c r="J46" s="93"/>
      <c r="K46" s="93"/>
      <c r="L46" s="93"/>
      <c r="M46" s="93"/>
      <c r="N46" s="93"/>
    </row>
    <row r="47" spans="1:14" x14ac:dyDescent="0.25">
      <c r="A47" s="212"/>
      <c r="B47" s="213"/>
      <c r="C47" s="213"/>
      <c r="D47" s="213"/>
      <c r="E47" s="213"/>
      <c r="F47" s="213"/>
      <c r="G47" s="213"/>
      <c r="H47" s="213"/>
      <c r="I47" s="214"/>
      <c r="J47" s="93"/>
      <c r="K47" s="93"/>
      <c r="L47" s="93"/>
      <c r="M47" s="93"/>
      <c r="N47" s="93"/>
    </row>
    <row r="48" spans="1:14" x14ac:dyDescent="0.25">
      <c r="A48" s="212"/>
      <c r="B48" s="213"/>
      <c r="C48" s="213"/>
      <c r="D48" s="213"/>
      <c r="E48" s="213"/>
      <c r="F48" s="213"/>
      <c r="G48" s="213"/>
      <c r="H48" s="213"/>
      <c r="I48" s="214"/>
      <c r="J48" s="93"/>
      <c r="K48" s="93"/>
      <c r="L48" s="93"/>
      <c r="M48" s="93"/>
      <c r="N48" s="93"/>
    </row>
    <row r="49" spans="1:9" x14ac:dyDescent="0.25">
      <c r="A49" s="212"/>
      <c r="B49" s="213"/>
      <c r="C49" s="213"/>
      <c r="D49" s="213"/>
      <c r="E49" s="213"/>
      <c r="F49" s="213"/>
      <c r="G49" s="213"/>
      <c r="H49" s="213"/>
      <c r="I49" s="214"/>
    </row>
    <row r="50" spans="1:9" x14ac:dyDescent="0.25">
      <c r="A50" s="212"/>
      <c r="B50" s="213"/>
      <c r="C50" s="213"/>
      <c r="D50" s="213"/>
      <c r="E50" s="213"/>
      <c r="F50" s="213"/>
      <c r="G50" s="213"/>
      <c r="H50" s="213"/>
      <c r="I50" s="214"/>
    </row>
    <row r="51" spans="1:9" x14ac:dyDescent="0.25">
      <c r="A51" s="212"/>
      <c r="B51" s="213"/>
      <c r="C51" s="213"/>
      <c r="D51" s="213"/>
      <c r="E51" s="213"/>
      <c r="F51" s="213"/>
      <c r="G51" s="213"/>
      <c r="H51" s="213"/>
      <c r="I51" s="214"/>
    </row>
    <row r="52" spans="1:9" x14ac:dyDescent="0.25">
      <c r="A52" s="215"/>
      <c r="B52" s="216"/>
      <c r="C52" s="216"/>
      <c r="D52" s="216"/>
      <c r="E52" s="216"/>
      <c r="F52" s="216"/>
      <c r="G52" s="216"/>
      <c r="H52" s="216"/>
      <c r="I52" s="217"/>
    </row>
    <row r="66" spans="6:6" x14ac:dyDescent="0.25">
      <c r="F66" s="3"/>
    </row>
  </sheetData>
  <mergeCells count="4">
    <mergeCell ref="A5:I27"/>
    <mergeCell ref="A31:I52"/>
    <mergeCell ref="K5:N14"/>
    <mergeCell ref="K31:N40"/>
  </mergeCells>
  <pageMargins left="0.7" right="0.7" top="0.75" bottom="0.75" header="0.3" footer="0.3"/>
  <pageSetup paperSize="9" scale="87" orientation="portrait" r:id="rId1"/>
  <headerFooter scaleWithDoc="0">
    <oddFooter>&amp;C&amp;"Arial,Regular"Page &amp;P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J62"/>
  <sheetViews>
    <sheetView topLeftCell="A4" workbookViewId="0">
      <selection activeCell="A51" sqref="A51:J52"/>
    </sheetView>
  </sheetViews>
  <sheetFormatPr defaultColWidth="9.44140625" defaultRowHeight="15" x14ac:dyDescent="0.25"/>
  <cols>
    <col min="1" max="16384" width="9.44140625" style="2"/>
  </cols>
  <sheetData>
    <row r="1" spans="1:10" ht="15.6" x14ac:dyDescent="0.3">
      <c r="A1" s="33">
        <f>+'Cover Page'!C39</f>
        <v>2022</v>
      </c>
      <c r="B1" s="34" t="s">
        <v>150</v>
      </c>
      <c r="C1" s="34"/>
      <c r="D1" s="34"/>
      <c r="E1" s="34"/>
      <c r="F1" s="34"/>
      <c r="G1" s="34"/>
      <c r="H1" s="34"/>
      <c r="I1" s="34"/>
      <c r="J1" s="34"/>
    </row>
    <row r="2" spans="1:10" ht="8.25" customHeight="1" x14ac:dyDescent="0.25">
      <c r="A2" s="93"/>
      <c r="B2" s="93"/>
      <c r="C2" s="93"/>
      <c r="D2" s="93"/>
      <c r="E2" s="93"/>
      <c r="F2" s="93"/>
      <c r="G2" s="93"/>
      <c r="H2" s="93"/>
      <c r="I2" s="93"/>
      <c r="J2" s="93"/>
    </row>
    <row r="3" spans="1:10" s="3" customFormat="1" ht="13.8" x14ac:dyDescent="0.25">
      <c r="A3" s="265" t="str">
        <f>+'Cover Page'!B31</f>
        <v>Permit EPR/NP3338SZ</v>
      </c>
      <c r="B3" s="265"/>
      <c r="C3" s="265"/>
      <c r="D3" s="265"/>
      <c r="E3" s="265"/>
      <c r="F3" s="3" t="s">
        <v>151</v>
      </c>
      <c r="G3" s="266">
        <f>+'Cover Page'!B37:I37</f>
        <v>0</v>
      </c>
      <c r="H3" s="266"/>
      <c r="I3" s="266"/>
    </row>
    <row r="4" spans="1:10" s="3" customFormat="1" ht="13.8" x14ac:dyDescent="0.25">
      <c r="A4" s="3" t="s">
        <v>152</v>
      </c>
      <c r="B4" s="265" t="str">
        <f>+'Cover Page'!B33:I33</f>
        <v>GLPP</v>
      </c>
      <c r="C4" s="265"/>
      <c r="D4" s="265"/>
      <c r="E4" s="265"/>
      <c r="F4" s="3" t="s">
        <v>153</v>
      </c>
      <c r="G4" s="3" t="s">
        <v>154</v>
      </c>
    </row>
    <row r="5" spans="1:10" s="3" customFormat="1" ht="6.75" customHeight="1" x14ac:dyDescent="0.25"/>
    <row r="6" spans="1:10" s="3" customFormat="1" ht="15.75" customHeight="1" x14ac:dyDescent="0.25">
      <c r="A6" s="3" t="s">
        <v>155</v>
      </c>
      <c r="D6" s="267">
        <v>44562</v>
      </c>
      <c r="E6" s="267"/>
      <c r="F6" s="35" t="s">
        <v>156</v>
      </c>
      <c r="G6" s="267">
        <v>44926</v>
      </c>
      <c r="H6" s="267"/>
    </row>
    <row r="7" spans="1:10" s="3" customFormat="1" ht="7.5" customHeight="1" x14ac:dyDescent="0.25"/>
    <row r="8" spans="1:10" s="3" customFormat="1" ht="15.6" x14ac:dyDescent="0.3">
      <c r="A8" s="9">
        <f>+A1</f>
        <v>2022</v>
      </c>
      <c r="B8" s="34" t="s">
        <v>157</v>
      </c>
      <c r="C8"/>
      <c r="D8"/>
      <c r="E8"/>
      <c r="F8"/>
      <c r="G8"/>
    </row>
    <row r="9" spans="1:10" s="3" customFormat="1" ht="28.5" customHeight="1" x14ac:dyDescent="0.25">
      <c r="A9" s="268" t="s">
        <v>158</v>
      </c>
      <c r="B9" s="268"/>
      <c r="C9" s="268" t="s">
        <v>159</v>
      </c>
      <c r="D9" s="268"/>
      <c r="E9" s="268" t="s">
        <v>160</v>
      </c>
      <c r="F9" s="268"/>
      <c r="G9" s="268" t="s">
        <v>161</v>
      </c>
      <c r="H9" s="268"/>
      <c r="I9" s="268" t="s">
        <v>162</v>
      </c>
      <c r="J9" s="268"/>
    </row>
    <row r="10" spans="1:10" s="3" customFormat="1" ht="14.25" customHeight="1" x14ac:dyDescent="0.25">
      <c r="A10" s="228" t="s">
        <v>163</v>
      </c>
      <c r="B10" s="228"/>
      <c r="C10" s="228"/>
      <c r="D10" s="228"/>
      <c r="E10" s="228"/>
      <c r="F10" s="228"/>
      <c r="G10" s="228"/>
      <c r="H10" s="228"/>
      <c r="I10" s="228"/>
      <c r="J10" s="228"/>
    </row>
    <row r="11" spans="1:10" s="3" customFormat="1" ht="14.25" customHeight="1" x14ac:dyDescent="0.25">
      <c r="A11" s="228" t="s">
        <v>164</v>
      </c>
      <c r="B11" s="228"/>
      <c r="C11" s="255"/>
      <c r="D11" s="255"/>
      <c r="E11" s="256"/>
      <c r="F11" s="256"/>
      <c r="G11" s="256"/>
      <c r="H11" s="256"/>
      <c r="I11" s="257" t="str">
        <f>IF((E11+G11)&gt;0,(E11+G11)/'Operational Data'!$G$21, "-")</f>
        <v>-</v>
      </c>
      <c r="J11" s="257"/>
    </row>
    <row r="12" spans="1:10" s="3" customFormat="1" ht="14.25" customHeight="1" x14ac:dyDescent="0.25">
      <c r="A12" s="228" t="s">
        <v>165</v>
      </c>
      <c r="B12" s="228"/>
      <c r="C12" s="255"/>
      <c r="D12" s="255"/>
      <c r="E12" s="256"/>
      <c r="F12" s="256"/>
      <c r="G12" s="256"/>
      <c r="H12" s="256"/>
      <c r="I12" s="257" t="str">
        <f>IF((E12+G12)&gt;0,(E12+G12)/'Operational Data'!$G$21, "-")</f>
        <v>-</v>
      </c>
      <c r="J12" s="257"/>
    </row>
    <row r="13" spans="1:10" s="3" customFormat="1" ht="14.25" customHeight="1" x14ac:dyDescent="0.25">
      <c r="A13" s="263"/>
      <c r="B13" s="263"/>
      <c r="C13" s="255"/>
      <c r="D13" s="255"/>
      <c r="E13" s="256"/>
      <c r="F13" s="256"/>
      <c r="G13" s="256"/>
      <c r="H13" s="256"/>
      <c r="I13" s="257" t="str">
        <f>IF((E13+G13)&gt;0,(E13+G13)/'Operational Data'!$G$21, "-")</f>
        <v>-</v>
      </c>
      <c r="J13" s="257"/>
    </row>
    <row r="14" spans="1:10" s="3" customFormat="1" ht="14.25" customHeight="1" x14ac:dyDescent="0.25">
      <c r="A14" s="263"/>
      <c r="B14" s="263"/>
      <c r="C14" s="255"/>
      <c r="D14" s="255"/>
      <c r="E14" s="256"/>
      <c r="F14" s="256"/>
      <c r="G14" s="256"/>
      <c r="H14" s="256"/>
      <c r="I14" s="257" t="str">
        <f>IF((E14+G14)&gt;0,(E14+G14)/'Operational Data'!$G$21, "-")</f>
        <v>-</v>
      </c>
      <c r="J14" s="257"/>
    </row>
    <row r="15" spans="1:10" s="3" customFormat="1" ht="14.25" customHeight="1" x14ac:dyDescent="0.25">
      <c r="A15" s="264" t="s">
        <v>166</v>
      </c>
      <c r="B15" s="264"/>
      <c r="C15" s="264"/>
      <c r="D15" s="264"/>
      <c r="E15" s="259">
        <f>SUM(E11:F14)</f>
        <v>0</v>
      </c>
      <c r="F15" s="259"/>
      <c r="G15" s="259">
        <f>SUM(G11:H14)</f>
        <v>0</v>
      </c>
      <c r="H15" s="259"/>
      <c r="I15" s="257" t="str">
        <f>IF((E15+G15)&gt;0,(E15+G15)/'Operational Data'!$G$21, "-")</f>
        <v>-</v>
      </c>
      <c r="J15" s="257"/>
    </row>
    <row r="16" spans="1:10" s="3" customFormat="1" ht="14.25" customHeight="1" x14ac:dyDescent="0.25">
      <c r="A16" s="232"/>
      <c r="B16" s="233"/>
      <c r="C16" s="233"/>
      <c r="D16" s="233"/>
      <c r="E16" s="260"/>
      <c r="F16" s="260"/>
      <c r="G16" s="260"/>
      <c r="H16" s="260"/>
      <c r="I16" s="261"/>
      <c r="J16" s="236"/>
    </row>
    <row r="17" spans="1:10" s="3" customFormat="1" ht="14.25" customHeight="1" x14ac:dyDescent="0.25">
      <c r="A17" s="262" t="s">
        <v>167</v>
      </c>
      <c r="B17" s="262"/>
      <c r="C17" s="262"/>
      <c r="D17" s="262"/>
      <c r="E17" s="262"/>
      <c r="F17" s="262"/>
      <c r="G17" s="262"/>
      <c r="H17" s="262"/>
      <c r="I17" s="262"/>
      <c r="J17" s="262"/>
    </row>
    <row r="18" spans="1:10" ht="14.25" customHeight="1" x14ac:dyDescent="0.25">
      <c r="A18" s="228" t="s">
        <v>168</v>
      </c>
      <c r="B18" s="228"/>
      <c r="C18" s="255" t="s">
        <v>169</v>
      </c>
      <c r="D18" s="255"/>
      <c r="E18" s="256"/>
      <c r="F18" s="256"/>
      <c r="G18" s="256">
        <v>1133</v>
      </c>
      <c r="H18" s="256"/>
      <c r="I18" s="257">
        <f>IF((E18+G18)&gt;0,(E18+G18)/'Operational Data'!$G$21, "-")</f>
        <v>8.9198551409226893E-3</v>
      </c>
      <c r="J18" s="257"/>
    </row>
    <row r="19" spans="1:10" s="3" customFormat="1" ht="14.25" customHeight="1" x14ac:dyDescent="0.25">
      <c r="A19" s="228" t="s">
        <v>170</v>
      </c>
      <c r="B19" s="228"/>
      <c r="C19" s="255"/>
      <c r="D19" s="255"/>
      <c r="E19" s="256"/>
      <c r="F19" s="256"/>
      <c r="G19" s="256"/>
      <c r="H19" s="256"/>
      <c r="I19" s="257" t="str">
        <f>IF((E19+G19)&gt;0,(E19+G19)/'Operational Data'!$G$21, "-")</f>
        <v>-</v>
      </c>
      <c r="J19" s="257"/>
    </row>
    <row r="20" spans="1:10" s="3" customFormat="1" ht="14.25" customHeight="1" x14ac:dyDescent="0.25">
      <c r="A20" s="228" t="s">
        <v>171</v>
      </c>
      <c r="B20" s="228"/>
      <c r="C20" s="255"/>
      <c r="D20" s="255"/>
      <c r="E20" s="256"/>
      <c r="F20" s="256"/>
      <c r="G20" s="256"/>
      <c r="H20" s="256"/>
      <c r="I20" s="257" t="str">
        <f>IF((E20+G20)&gt;0,(E20+G20)/'Operational Data'!$G$21, "-")</f>
        <v>-</v>
      </c>
      <c r="J20" s="257"/>
    </row>
    <row r="21" spans="1:10" s="3" customFormat="1" ht="14.25" customHeight="1" x14ac:dyDescent="0.25">
      <c r="A21" s="254"/>
      <c r="B21" s="254"/>
      <c r="C21" s="255"/>
      <c r="D21" s="255"/>
      <c r="E21" s="256"/>
      <c r="F21" s="256"/>
      <c r="G21" s="256"/>
      <c r="H21" s="256"/>
      <c r="I21" s="257" t="str">
        <f>IF((E21+G21)&gt;0,(E21+G21)/'Operational Data'!$G$21, "-")</f>
        <v>-</v>
      </c>
      <c r="J21" s="257"/>
    </row>
    <row r="22" spans="1:10" s="3" customFormat="1" ht="14.25" customHeight="1" x14ac:dyDescent="0.25">
      <c r="A22" s="254"/>
      <c r="B22" s="254"/>
      <c r="C22" s="255"/>
      <c r="D22" s="255"/>
      <c r="E22" s="256"/>
      <c r="F22" s="256"/>
      <c r="G22" s="256"/>
      <c r="H22" s="256"/>
      <c r="I22" s="257" t="str">
        <f>IF((E22+G22)&gt;0,(E22+G22)/'Operational Data'!$G$21, "-")</f>
        <v>-</v>
      </c>
      <c r="J22" s="257"/>
    </row>
    <row r="23" spans="1:10" s="3" customFormat="1" ht="14.25" customHeight="1" x14ac:dyDescent="0.25">
      <c r="A23" s="258" t="s">
        <v>172</v>
      </c>
      <c r="B23" s="258"/>
      <c r="C23" s="258"/>
      <c r="D23" s="258"/>
      <c r="E23" s="259">
        <f>SUM(E18:F22)</f>
        <v>0</v>
      </c>
      <c r="F23" s="259"/>
      <c r="G23" s="259">
        <f>SUM(G18:H22)</f>
        <v>1133</v>
      </c>
      <c r="H23" s="259"/>
      <c r="I23" s="257">
        <f>IF((E23+G23)&gt;0,(E23+G23)/'Operational Data'!$G$21, "-")</f>
        <v>8.9198551409226893E-3</v>
      </c>
      <c r="J23" s="257"/>
    </row>
    <row r="24" spans="1:10" s="3" customFormat="1" ht="14.25" customHeight="1" x14ac:dyDescent="0.25">
      <c r="A24" s="251" t="s">
        <v>173</v>
      </c>
      <c r="B24" s="251"/>
      <c r="C24" s="251"/>
      <c r="D24" s="251"/>
      <c r="E24" s="252">
        <f>+E23+E15</f>
        <v>0</v>
      </c>
      <c r="F24" s="252"/>
      <c r="G24" s="252">
        <f>+G23+G15</f>
        <v>1133</v>
      </c>
      <c r="H24" s="252"/>
      <c r="I24" s="253">
        <f>IF((E24+G24)&gt;0,(E24+G24)/'Operational Data'!$G$21, "-")</f>
        <v>8.9198551409226893E-3</v>
      </c>
      <c r="J24" s="253"/>
    </row>
    <row r="25" spans="1:10" s="3" customFormat="1" ht="8.25" customHeight="1" x14ac:dyDescent="0.3">
      <c r="A25" s="159"/>
      <c r="B25"/>
      <c r="C25"/>
      <c r="D25"/>
      <c r="E25"/>
      <c r="F25"/>
      <c r="G25"/>
    </row>
    <row r="26" spans="1:10" s="3" customFormat="1" ht="14.25" customHeight="1" x14ac:dyDescent="0.25">
      <c r="A26" s="229" t="s">
        <v>174</v>
      </c>
      <c r="B26" s="229"/>
      <c r="C26" s="229"/>
      <c r="D26" s="229"/>
      <c r="E26" s="229"/>
      <c r="F26" s="229"/>
      <c r="G26" s="229"/>
      <c r="H26" s="229"/>
      <c r="I26" s="229"/>
      <c r="J26" s="229"/>
    </row>
    <row r="27" spans="1:10" s="3" customFormat="1" ht="14.25" customHeight="1" x14ac:dyDescent="0.25">
      <c r="A27" s="230" t="s">
        <v>175</v>
      </c>
      <c r="B27" s="230"/>
      <c r="C27" s="230"/>
      <c r="D27" s="230"/>
      <c r="E27" s="230"/>
      <c r="F27" s="230"/>
      <c r="G27" s="230"/>
      <c r="H27" s="230"/>
      <c r="I27" s="230"/>
      <c r="J27" s="230"/>
    </row>
    <row r="28" spans="1:10" s="3" customFormat="1" ht="14.25" customHeight="1" x14ac:dyDescent="0.25">
      <c r="A28" s="230"/>
      <c r="B28" s="230"/>
      <c r="C28" s="230"/>
      <c r="D28" s="230"/>
      <c r="E28" s="230"/>
      <c r="F28" s="230"/>
      <c r="G28" s="230"/>
      <c r="H28" s="230"/>
      <c r="I28" s="230"/>
      <c r="J28" s="230"/>
    </row>
    <row r="29" spans="1:10" s="3" customFormat="1" ht="14.25" customHeight="1" x14ac:dyDescent="0.25">
      <c r="A29" s="230"/>
      <c r="B29" s="230"/>
      <c r="C29" s="230"/>
      <c r="D29" s="230"/>
      <c r="E29" s="230"/>
      <c r="F29" s="230"/>
      <c r="G29" s="230"/>
      <c r="H29" s="230"/>
      <c r="I29" s="230"/>
      <c r="J29" s="230"/>
    </row>
    <row r="30" spans="1:10" s="3" customFormat="1" ht="14.25" customHeight="1" x14ac:dyDescent="0.3">
      <c r="A30" s="159"/>
      <c r="B30"/>
      <c r="C30"/>
      <c r="D30"/>
      <c r="E30"/>
      <c r="F30"/>
      <c r="G30"/>
    </row>
    <row r="31" spans="1:10" s="3" customFormat="1" ht="14.25" customHeight="1" x14ac:dyDescent="0.3">
      <c r="A31" s="1">
        <f>+A1</f>
        <v>2022</v>
      </c>
      <c r="B31" s="34" t="s">
        <v>176</v>
      </c>
      <c r="C31" s="34"/>
      <c r="D31" s="34"/>
      <c r="E31" s="34"/>
      <c r="F31" s="34"/>
    </row>
    <row r="32" spans="1:10" s="3" customFormat="1" ht="24.75" customHeight="1" x14ac:dyDescent="0.25">
      <c r="A32" s="246" t="s">
        <v>177</v>
      </c>
      <c r="B32" s="247"/>
      <c r="C32" s="247"/>
      <c r="D32" s="248"/>
      <c r="E32" s="38" t="s">
        <v>178</v>
      </c>
      <c r="F32" s="39"/>
      <c r="G32" s="40" t="s">
        <v>74</v>
      </c>
      <c r="H32" s="249" t="s">
        <v>179</v>
      </c>
      <c r="I32" s="250"/>
      <c r="J32" s="41" t="s">
        <v>74</v>
      </c>
    </row>
    <row r="33" spans="1:10" s="3" customFormat="1" ht="14.25" customHeight="1" x14ac:dyDescent="0.25">
      <c r="A33" s="232" t="s">
        <v>116</v>
      </c>
      <c r="B33" s="233"/>
      <c r="C33" s="233"/>
      <c r="D33" s="234"/>
      <c r="E33" s="235">
        <f>+'Operational Data'!G42</f>
        <v>80082444</v>
      </c>
      <c r="F33" s="236"/>
      <c r="G33" s="160" t="s">
        <v>180</v>
      </c>
      <c r="H33" s="237">
        <f>IF(E33&gt;0,E33/'Operational Data'!$G$21,"-")</f>
        <v>630.47113840340103</v>
      </c>
      <c r="I33" s="238"/>
      <c r="J33" s="160" t="s">
        <v>181</v>
      </c>
    </row>
    <row r="34" spans="1:10" s="3" customFormat="1" ht="14.25" customHeight="1" x14ac:dyDescent="0.25">
      <c r="A34" s="232" t="s">
        <v>182</v>
      </c>
      <c r="B34" s="233"/>
      <c r="C34" s="233"/>
      <c r="D34" s="234"/>
      <c r="E34" s="235">
        <f>+'Operational Data'!G43+'Operational Data'!G42</f>
        <v>80082444</v>
      </c>
      <c r="F34" s="236"/>
      <c r="G34" s="160" t="s">
        <v>180</v>
      </c>
      <c r="H34" s="237">
        <f>IF(E34&gt;0,E34/'Operational Data'!$G$21,"-")</f>
        <v>630.47113840340103</v>
      </c>
      <c r="I34" s="238"/>
      <c r="J34" s="160" t="s">
        <v>181</v>
      </c>
    </row>
    <row r="35" spans="1:10" s="3" customFormat="1" ht="14.25" customHeight="1" x14ac:dyDescent="0.25">
      <c r="A35" s="232" t="s">
        <v>183</v>
      </c>
      <c r="B35" s="233"/>
      <c r="C35" s="233"/>
      <c r="D35" s="234"/>
      <c r="E35" s="235">
        <f>+'Operational Data'!G44</f>
        <v>0</v>
      </c>
      <c r="F35" s="236"/>
      <c r="G35" s="160" t="s">
        <v>184</v>
      </c>
      <c r="H35" s="237" t="str">
        <f>IF(E35&gt;0,E35/'Operational Data'!$G$21,"-")</f>
        <v>-</v>
      </c>
      <c r="I35" s="238"/>
      <c r="J35" s="160" t="s">
        <v>185</v>
      </c>
    </row>
    <row r="36" spans="1:10" s="3" customFormat="1" ht="14.25" customHeight="1" x14ac:dyDescent="0.25">
      <c r="A36" s="232" t="s">
        <v>122</v>
      </c>
      <c r="B36" s="233"/>
      <c r="C36" s="233"/>
      <c r="D36" s="234"/>
      <c r="E36" s="235">
        <f>+'Operational Data'!G46</f>
        <v>0</v>
      </c>
      <c r="F36" s="236"/>
      <c r="G36" s="160" t="s">
        <v>184</v>
      </c>
      <c r="H36" s="237" t="str">
        <f>IF(E36&gt;0,E36/'Operational Data'!$G$21,"-")</f>
        <v>-</v>
      </c>
      <c r="I36" s="238"/>
      <c r="J36" s="160" t="s">
        <v>185</v>
      </c>
    </row>
    <row r="37" spans="1:10" s="3" customFormat="1" ht="14.25" customHeight="1" x14ac:dyDescent="0.25">
      <c r="A37" s="232" t="s">
        <v>186</v>
      </c>
      <c r="B37" s="233"/>
      <c r="C37" s="233"/>
      <c r="D37" s="234"/>
      <c r="E37" s="235">
        <v>1438500</v>
      </c>
      <c r="F37" s="236"/>
      <c r="G37" s="160" t="s">
        <v>184</v>
      </c>
      <c r="H37" s="237">
        <f>IF(E37&gt;0,E37/'Operational Data'!$G$21,"-")</f>
        <v>11.324988190836089</v>
      </c>
      <c r="I37" s="238"/>
      <c r="J37" s="160" t="s">
        <v>185</v>
      </c>
    </row>
    <row r="38" spans="1:10" s="3" customFormat="1" ht="14.25" customHeight="1" x14ac:dyDescent="0.25">
      <c r="A38" s="239"/>
      <c r="B38" s="240"/>
      <c r="C38" s="240"/>
      <c r="D38" s="241"/>
      <c r="E38" s="242"/>
      <c r="F38" s="243"/>
      <c r="G38" s="161"/>
      <c r="H38" s="244"/>
      <c r="I38" s="245"/>
      <c r="J38" s="161"/>
    </row>
    <row r="39" spans="1:10" s="3" customFormat="1" ht="14.25" customHeight="1" x14ac:dyDescent="0.25">
      <c r="A39" s="229" t="s">
        <v>174</v>
      </c>
      <c r="B39" s="229"/>
      <c r="C39" s="229"/>
      <c r="D39" s="229"/>
      <c r="E39" s="229"/>
      <c r="F39" s="229"/>
      <c r="G39" s="229"/>
      <c r="H39" s="229"/>
      <c r="I39" s="229"/>
      <c r="J39" s="229"/>
    </row>
    <row r="40" spans="1:10" s="3" customFormat="1" ht="14.25" customHeight="1" x14ac:dyDescent="0.25">
      <c r="A40" s="230"/>
      <c r="B40" s="230"/>
      <c r="C40" s="230"/>
      <c r="D40" s="230"/>
      <c r="E40" s="230"/>
      <c r="F40" s="230"/>
      <c r="G40" s="230"/>
      <c r="H40" s="230"/>
      <c r="I40" s="230"/>
      <c r="J40" s="230"/>
    </row>
    <row r="41" spans="1:10" s="3" customFormat="1" ht="14.25" customHeight="1" x14ac:dyDescent="0.25">
      <c r="A41" s="230"/>
      <c r="B41" s="230"/>
      <c r="C41" s="230"/>
      <c r="D41" s="230"/>
      <c r="E41" s="230"/>
      <c r="F41" s="230"/>
      <c r="G41" s="230"/>
      <c r="H41" s="230"/>
      <c r="I41" s="230"/>
      <c r="J41" s="230"/>
    </row>
    <row r="42" spans="1:10" s="3" customFormat="1" ht="14.25" customHeight="1" x14ac:dyDescent="0.25">
      <c r="A42" s="42"/>
      <c r="B42" s="42"/>
      <c r="C42" s="42"/>
      <c r="D42" s="42"/>
      <c r="E42" s="42"/>
      <c r="F42" s="42"/>
      <c r="G42" s="42"/>
      <c r="H42" s="42"/>
      <c r="I42" s="42"/>
      <c r="J42" s="42"/>
    </row>
    <row r="43" spans="1:10" s="3" customFormat="1" ht="14.25" customHeight="1" x14ac:dyDescent="0.25">
      <c r="A43" s="34">
        <f>+A31</f>
        <v>2022</v>
      </c>
      <c r="B43" s="34" t="s">
        <v>187</v>
      </c>
      <c r="C43" s="34"/>
      <c r="D43" s="34"/>
      <c r="E43" s="34"/>
      <c r="F43" s="34"/>
      <c r="G43" s="93"/>
    </row>
    <row r="44" spans="1:10" ht="14.25" customHeight="1" x14ac:dyDescent="0.25">
      <c r="A44" s="231" t="s">
        <v>188</v>
      </c>
      <c r="B44" s="231"/>
      <c r="C44" s="231" t="s">
        <v>189</v>
      </c>
      <c r="D44" s="231"/>
      <c r="E44" s="231"/>
      <c r="F44" s="231"/>
      <c r="G44" s="231"/>
      <c r="H44" s="231"/>
      <c r="I44" s="231"/>
      <c r="J44" s="231"/>
    </row>
    <row r="45" spans="1:10" ht="14.25" customHeight="1" x14ac:dyDescent="0.25">
      <c r="A45" s="43"/>
      <c r="B45" s="43"/>
      <c r="C45" s="36" t="s">
        <v>190</v>
      </c>
      <c r="D45" s="36" t="s">
        <v>191</v>
      </c>
      <c r="E45" s="36"/>
      <c r="F45" s="36"/>
      <c r="G45" s="36"/>
      <c r="H45" s="36"/>
      <c r="I45" s="36" t="s">
        <v>192</v>
      </c>
      <c r="J45" s="36" t="s">
        <v>193</v>
      </c>
    </row>
    <row r="46" spans="1:10" ht="31.5" customHeight="1" x14ac:dyDescent="0.25">
      <c r="A46" s="228" t="s">
        <v>194</v>
      </c>
      <c r="B46" s="228"/>
      <c r="C46" s="162">
        <v>7464</v>
      </c>
      <c r="D46" s="162">
        <v>7536</v>
      </c>
      <c r="E46" s="162"/>
      <c r="F46" s="163"/>
      <c r="G46" s="163"/>
      <c r="H46" s="163"/>
      <c r="I46" s="163">
        <v>0</v>
      </c>
      <c r="J46" s="163">
        <v>8750</v>
      </c>
    </row>
    <row r="47" spans="1:10" ht="43.5" customHeight="1" x14ac:dyDescent="0.25">
      <c r="A47" s="228" t="s">
        <v>195</v>
      </c>
      <c r="B47" s="228"/>
      <c r="C47" s="162">
        <v>0</v>
      </c>
      <c r="D47" s="162">
        <v>0</v>
      </c>
      <c r="E47" s="162"/>
      <c r="F47" s="163"/>
      <c r="G47" s="163"/>
      <c r="H47" s="163"/>
      <c r="I47" s="163">
        <v>0</v>
      </c>
      <c r="J47" s="163">
        <v>0</v>
      </c>
    </row>
    <row r="48" spans="1:10" ht="42.75" customHeight="1" x14ac:dyDescent="0.25">
      <c r="A48" s="228" t="s">
        <v>196</v>
      </c>
      <c r="B48" s="228"/>
      <c r="C48" s="162">
        <v>0</v>
      </c>
      <c r="D48" s="162">
        <v>0</v>
      </c>
      <c r="E48" s="162"/>
      <c r="F48" s="163"/>
      <c r="G48" s="163"/>
      <c r="H48" s="163"/>
      <c r="I48" s="163">
        <v>0</v>
      </c>
      <c r="J48" s="163">
        <v>0</v>
      </c>
    </row>
    <row r="49" spans="1:10" ht="8.25" customHeight="1" x14ac:dyDescent="0.25">
      <c r="A49" s="93"/>
      <c r="B49" s="93"/>
      <c r="C49" s="93"/>
      <c r="D49" s="93"/>
      <c r="E49" s="93"/>
      <c r="F49" s="93"/>
      <c r="G49" s="93"/>
      <c r="H49" s="93"/>
      <c r="I49" s="93"/>
      <c r="J49" s="93"/>
    </row>
    <row r="50" spans="1:10" x14ac:dyDescent="0.25">
      <c r="A50" s="229" t="s">
        <v>174</v>
      </c>
      <c r="B50" s="229"/>
      <c r="C50" s="229"/>
      <c r="D50" s="229"/>
      <c r="E50" s="229"/>
      <c r="F50" s="229"/>
      <c r="G50" s="229"/>
      <c r="H50" s="229"/>
      <c r="I50" s="229"/>
      <c r="J50" s="229"/>
    </row>
    <row r="51" spans="1:10" x14ac:dyDescent="0.25">
      <c r="A51" s="230" t="s">
        <v>197</v>
      </c>
      <c r="B51" s="230"/>
      <c r="C51" s="230"/>
      <c r="D51" s="230"/>
      <c r="E51" s="230"/>
      <c r="F51" s="230"/>
      <c r="G51" s="230"/>
      <c r="H51" s="230"/>
      <c r="I51" s="230"/>
      <c r="J51" s="230"/>
    </row>
    <row r="52" spans="1:10" x14ac:dyDescent="0.25">
      <c r="A52" s="230"/>
      <c r="B52" s="230"/>
      <c r="C52" s="230"/>
      <c r="D52" s="230"/>
      <c r="E52" s="230"/>
      <c r="F52" s="230"/>
      <c r="G52" s="230"/>
      <c r="H52" s="230"/>
      <c r="I52" s="230"/>
      <c r="J52" s="230"/>
    </row>
    <row r="54" spans="1:10" x14ac:dyDescent="0.25">
      <c r="A54" s="3" t="s">
        <v>198</v>
      </c>
      <c r="B54" s="44"/>
      <c r="C54" s="44"/>
      <c r="D54" s="44"/>
      <c r="E54" s="44"/>
      <c r="F54" s="3"/>
      <c r="G54" s="3" t="s">
        <v>199</v>
      </c>
      <c r="H54" s="44"/>
      <c r="I54" s="44"/>
      <c r="J54" s="93"/>
    </row>
    <row r="62" spans="1:10" x14ac:dyDescent="0.25">
      <c r="A62" s="93"/>
      <c r="B62" s="93"/>
      <c r="C62" s="93"/>
      <c r="D62" s="93"/>
      <c r="E62" s="93"/>
      <c r="F62" s="3"/>
      <c r="G62" s="93"/>
      <c r="H62" s="93"/>
      <c r="I62" s="93"/>
      <c r="J62" s="93"/>
    </row>
  </sheetData>
  <mergeCells count="105">
    <mergeCell ref="A10:J10"/>
    <mergeCell ref="A11:B11"/>
    <mergeCell ref="C11:D11"/>
    <mergeCell ref="E11:F11"/>
    <mergeCell ref="G11:H11"/>
    <mergeCell ref="I11:J11"/>
    <mergeCell ref="A3:E3"/>
    <mergeCell ref="G3:I3"/>
    <mergeCell ref="B4:E4"/>
    <mergeCell ref="D6:E6"/>
    <mergeCell ref="G6:H6"/>
    <mergeCell ref="A9:B9"/>
    <mergeCell ref="C9:D9"/>
    <mergeCell ref="E9:F9"/>
    <mergeCell ref="G9:H9"/>
    <mergeCell ref="I9:J9"/>
    <mergeCell ref="A12:B12"/>
    <mergeCell ref="C12:D12"/>
    <mergeCell ref="E12:F12"/>
    <mergeCell ref="G12:H12"/>
    <mergeCell ref="I12:J12"/>
    <mergeCell ref="A13:B13"/>
    <mergeCell ref="C13:D13"/>
    <mergeCell ref="E13:F13"/>
    <mergeCell ref="G13:H13"/>
    <mergeCell ref="I13:J13"/>
    <mergeCell ref="A16:B16"/>
    <mergeCell ref="C16:D16"/>
    <mergeCell ref="E16:F16"/>
    <mergeCell ref="G16:H16"/>
    <mergeCell ref="I16:J16"/>
    <mergeCell ref="A17:J17"/>
    <mergeCell ref="A14:B14"/>
    <mergeCell ref="C14:D14"/>
    <mergeCell ref="E14:F14"/>
    <mergeCell ref="G14:H14"/>
    <mergeCell ref="I14:J14"/>
    <mergeCell ref="A15:D15"/>
    <mergeCell ref="E15:F15"/>
    <mergeCell ref="G15:H15"/>
    <mergeCell ref="I15:J15"/>
    <mergeCell ref="A18:B18"/>
    <mergeCell ref="C18:D18"/>
    <mergeCell ref="E18:F18"/>
    <mergeCell ref="G18:H18"/>
    <mergeCell ref="I18:J18"/>
    <mergeCell ref="A19:B19"/>
    <mergeCell ref="C19:D19"/>
    <mergeCell ref="E19:F19"/>
    <mergeCell ref="G19:H19"/>
    <mergeCell ref="I19:J19"/>
    <mergeCell ref="A20:B20"/>
    <mergeCell ref="C20:D20"/>
    <mergeCell ref="E20:F20"/>
    <mergeCell ref="G20:H20"/>
    <mergeCell ref="I20:J20"/>
    <mergeCell ref="A21:B21"/>
    <mergeCell ref="C21:D21"/>
    <mergeCell ref="E21:F21"/>
    <mergeCell ref="G21:H21"/>
    <mergeCell ref="I21:J21"/>
    <mergeCell ref="A22:B22"/>
    <mergeCell ref="C22:D22"/>
    <mergeCell ref="E22:F22"/>
    <mergeCell ref="G22:H22"/>
    <mergeCell ref="I22:J22"/>
    <mergeCell ref="A23:D23"/>
    <mergeCell ref="E23:F23"/>
    <mergeCell ref="G23:H23"/>
    <mergeCell ref="I23:J23"/>
    <mergeCell ref="A32:D32"/>
    <mergeCell ref="H32:I32"/>
    <mergeCell ref="A33:D33"/>
    <mergeCell ref="E33:F33"/>
    <mergeCell ref="H33:I33"/>
    <mergeCell ref="A34:D34"/>
    <mergeCell ref="E34:F34"/>
    <mergeCell ref="H34:I34"/>
    <mergeCell ref="A24:D24"/>
    <mergeCell ref="E24:F24"/>
    <mergeCell ref="G24:H24"/>
    <mergeCell ref="I24:J24"/>
    <mergeCell ref="A26:J26"/>
    <mergeCell ref="A27:J29"/>
    <mergeCell ref="A37:D37"/>
    <mergeCell ref="E37:F37"/>
    <mergeCell ref="H37:I37"/>
    <mergeCell ref="A38:D38"/>
    <mergeCell ref="E38:F38"/>
    <mergeCell ref="H38:I38"/>
    <mergeCell ref="A35:D35"/>
    <mergeCell ref="E35:F35"/>
    <mergeCell ref="H35:I35"/>
    <mergeCell ref="A36:D36"/>
    <mergeCell ref="E36:F36"/>
    <mergeCell ref="H36:I36"/>
    <mergeCell ref="A48:B48"/>
    <mergeCell ref="A50:J50"/>
    <mergeCell ref="A51:J52"/>
    <mergeCell ref="A39:J39"/>
    <mergeCell ref="A40:J41"/>
    <mergeCell ref="A44:B44"/>
    <mergeCell ref="C44:J44"/>
    <mergeCell ref="A46:B46"/>
    <mergeCell ref="A47:B47"/>
  </mergeCells>
  <pageMargins left="0.25" right="0.25" top="0.75" bottom="0.75" header="0.3" footer="0.3"/>
  <pageSetup paperSize="9" scale="87" orientation="portrait" r:id="rId1"/>
  <headerFooter scaleWithDoc="0">
    <oddFooter>&amp;C&amp;"Arial,Regular"Page &amp;P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C000"/>
  </sheetPr>
  <dimension ref="A1:J64"/>
  <sheetViews>
    <sheetView workbookViewId="0">
      <selection activeCell="G14" sqref="G14:I14"/>
    </sheetView>
  </sheetViews>
  <sheetFormatPr defaultColWidth="9.44140625" defaultRowHeight="15" x14ac:dyDescent="0.25"/>
  <cols>
    <col min="1" max="1" width="9.44140625" style="2" bestFit="1" customWidth="1"/>
    <col min="2" max="16384" width="9.44140625" style="2"/>
  </cols>
  <sheetData>
    <row r="1" spans="1:10" ht="15.6" x14ac:dyDescent="0.3">
      <c r="A1" s="33">
        <f>+'Cover Page'!C39</f>
        <v>2022</v>
      </c>
      <c r="B1" s="34" t="s">
        <v>200</v>
      </c>
      <c r="C1" s="34"/>
      <c r="D1" s="34"/>
      <c r="E1" s="34"/>
      <c r="F1" s="34"/>
      <c r="G1" s="34"/>
      <c r="H1" s="34"/>
      <c r="I1" s="34"/>
      <c r="J1" s="34"/>
    </row>
    <row r="3" spans="1:10" s="3" customFormat="1" ht="15" customHeight="1" x14ac:dyDescent="0.25">
      <c r="A3" s="3" t="str">
        <f>+'Cover Page'!B31</f>
        <v>Permit EPR/NP3338SZ</v>
      </c>
      <c r="F3" s="3" t="s">
        <v>151</v>
      </c>
      <c r="G3" s="275">
        <f>+'Cover Page'!B37:I37</f>
        <v>0</v>
      </c>
      <c r="H3" s="275"/>
      <c r="I3" s="275"/>
    </row>
    <row r="4" spans="1:10" s="3" customFormat="1" ht="13.8" x14ac:dyDescent="0.25"/>
    <row r="5" spans="1:10" s="3" customFormat="1" ht="13.8" x14ac:dyDescent="0.25">
      <c r="A5" s="3" t="s">
        <v>152</v>
      </c>
      <c r="B5" s="265" t="str">
        <f>+'Cover Page'!B33:I33</f>
        <v>GLPP</v>
      </c>
      <c r="C5" s="265"/>
      <c r="D5" s="265"/>
      <c r="E5" s="265"/>
      <c r="F5" s="3" t="s">
        <v>153</v>
      </c>
      <c r="G5" s="3" t="s">
        <v>201</v>
      </c>
    </row>
    <row r="6" spans="1:10" s="3" customFormat="1" ht="13.8" x14ac:dyDescent="0.25"/>
    <row r="7" spans="1:10" s="3" customFormat="1" ht="15.75" customHeight="1" x14ac:dyDescent="0.25">
      <c r="A7" s="3" t="s">
        <v>155</v>
      </c>
      <c r="D7" s="276">
        <f>+'Perf. Form 1'!D6:E6</f>
        <v>44562</v>
      </c>
      <c r="E7" s="276"/>
      <c r="F7" s="35" t="s">
        <v>156</v>
      </c>
      <c r="G7" s="276">
        <f>+'Perf. Form 1'!G6:H6</f>
        <v>44926</v>
      </c>
      <c r="H7" s="276"/>
    </row>
    <row r="8" spans="1:10" s="3" customFormat="1" ht="14.4" x14ac:dyDescent="0.3">
      <c r="B8"/>
      <c r="C8"/>
      <c r="D8"/>
    </row>
    <row r="9" spans="1:10" s="3" customFormat="1" ht="37.5" customHeight="1" x14ac:dyDescent="0.25">
      <c r="A9" s="231" t="s">
        <v>202</v>
      </c>
      <c r="B9" s="231"/>
      <c r="C9" s="231"/>
      <c r="D9" s="268" t="s">
        <v>203</v>
      </c>
      <c r="E9" s="268"/>
      <c r="F9" s="36" t="s">
        <v>74</v>
      </c>
      <c r="G9" s="231" t="s">
        <v>204</v>
      </c>
      <c r="H9" s="231"/>
      <c r="I9" s="231"/>
    </row>
    <row r="10" spans="1:10" s="3" customFormat="1" ht="24.75" customHeight="1" x14ac:dyDescent="0.25">
      <c r="A10" s="228" t="s">
        <v>205</v>
      </c>
      <c r="B10" s="228"/>
      <c r="C10" s="228"/>
      <c r="D10" s="270">
        <f>+'Operational Data'!G24</f>
        <v>54414</v>
      </c>
      <c r="E10" s="270"/>
      <c r="F10" s="164" t="s">
        <v>100</v>
      </c>
      <c r="G10" s="271">
        <f>+'Operational Data'!H24</f>
        <v>428.38923004251296</v>
      </c>
      <c r="H10" s="271"/>
      <c r="I10" s="271"/>
    </row>
    <row r="11" spans="1:10" s="3" customFormat="1" ht="24.75" customHeight="1" x14ac:dyDescent="0.25">
      <c r="A11" s="228" t="s">
        <v>206</v>
      </c>
      <c r="B11" s="228"/>
      <c r="C11" s="228"/>
      <c r="D11" s="274">
        <f>+'Operational Data'!G27</f>
        <v>0</v>
      </c>
      <c r="E11" s="274"/>
      <c r="F11" s="164" t="s">
        <v>100</v>
      </c>
      <c r="G11" s="271" t="str">
        <f>+'Operational Data'!H27</f>
        <v>-</v>
      </c>
      <c r="H11" s="271"/>
      <c r="I11" s="271"/>
    </row>
    <row r="12" spans="1:10" s="3" customFormat="1" ht="24.75" customHeight="1" x14ac:dyDescent="0.25">
      <c r="A12" s="228" t="s">
        <v>207</v>
      </c>
      <c r="B12" s="228"/>
      <c r="C12" s="228"/>
      <c r="D12" s="270">
        <f>+'Operational Data'!G25</f>
        <v>33562</v>
      </c>
      <c r="E12" s="270"/>
      <c r="F12" s="164" t="s">
        <v>100</v>
      </c>
      <c r="G12" s="271">
        <f>+'Operational Data'!H25</f>
        <v>264.22610612501967</v>
      </c>
      <c r="H12" s="271"/>
      <c r="I12" s="271"/>
    </row>
    <row r="13" spans="1:10" s="3" customFormat="1" ht="24.75" customHeight="1" x14ac:dyDescent="0.25">
      <c r="A13" s="228" t="s">
        <v>208</v>
      </c>
      <c r="B13" s="228"/>
      <c r="C13" s="228"/>
      <c r="D13" s="272">
        <v>190.7</v>
      </c>
      <c r="E13" s="272"/>
      <c r="F13" s="164" t="s">
        <v>82</v>
      </c>
      <c r="G13" s="273"/>
      <c r="H13" s="273"/>
      <c r="I13" s="273"/>
    </row>
    <row r="14" spans="1:10" s="3" customFormat="1" ht="24.75" customHeight="1" x14ac:dyDescent="0.25">
      <c r="A14" s="228" t="s">
        <v>209</v>
      </c>
      <c r="B14" s="228"/>
      <c r="C14" s="228"/>
      <c r="D14" s="270">
        <f>+'Operational Data'!G30</f>
        <v>0</v>
      </c>
      <c r="E14" s="270"/>
      <c r="F14" s="164" t="s">
        <v>210</v>
      </c>
      <c r="G14" s="271" t="str">
        <f>+'Operational Data'!H30</f>
        <v>-</v>
      </c>
      <c r="H14" s="271"/>
      <c r="I14" s="271"/>
    </row>
    <row r="15" spans="1:10" s="3" customFormat="1" ht="24.75" customHeight="1" x14ac:dyDescent="0.25">
      <c r="A15" s="263"/>
      <c r="B15" s="263"/>
      <c r="C15" s="263"/>
      <c r="D15" s="263"/>
      <c r="E15" s="263"/>
      <c r="F15" s="108"/>
      <c r="G15" s="194"/>
      <c r="H15" s="194"/>
      <c r="I15" s="194"/>
    </row>
    <row r="16" spans="1:10" s="3" customFormat="1" ht="24.75" customHeight="1" x14ac:dyDescent="0.25">
      <c r="A16" s="263"/>
      <c r="B16" s="263"/>
      <c r="C16" s="263"/>
      <c r="D16" s="263"/>
      <c r="E16" s="263"/>
      <c r="F16" s="108"/>
      <c r="G16" s="194"/>
      <c r="H16" s="194"/>
      <c r="I16" s="194"/>
    </row>
    <row r="17" spans="1:9" s="3" customFormat="1" ht="14.4" x14ac:dyDescent="0.3">
      <c r="A17" s="45"/>
      <c r="B17"/>
      <c r="C17"/>
      <c r="D17"/>
    </row>
    <row r="18" spans="1:9" s="3" customFormat="1" ht="24" customHeight="1" x14ac:dyDescent="0.25">
      <c r="A18" s="229" t="s">
        <v>174</v>
      </c>
      <c r="B18" s="229"/>
      <c r="C18" s="229"/>
      <c r="D18" s="229"/>
      <c r="E18" s="229"/>
      <c r="F18" s="229"/>
      <c r="G18" s="229"/>
      <c r="H18" s="229"/>
      <c r="I18" s="229"/>
    </row>
    <row r="19" spans="1:9" s="3" customFormat="1" ht="13.8" x14ac:dyDescent="0.25">
      <c r="A19" s="269"/>
      <c r="B19" s="269"/>
      <c r="C19" s="269"/>
      <c r="D19" s="269"/>
      <c r="E19" s="269"/>
      <c r="F19" s="269"/>
      <c r="G19" s="269"/>
      <c r="H19" s="269"/>
      <c r="I19" s="269"/>
    </row>
    <row r="20" spans="1:9" s="3" customFormat="1" ht="13.8" x14ac:dyDescent="0.25">
      <c r="A20" s="269"/>
      <c r="B20" s="269"/>
      <c r="C20" s="269"/>
      <c r="D20" s="269"/>
      <c r="E20" s="269"/>
      <c r="F20" s="269"/>
      <c r="G20" s="269"/>
      <c r="H20" s="269"/>
      <c r="I20" s="269"/>
    </row>
    <row r="21" spans="1:9" s="3" customFormat="1" ht="13.8" x14ac:dyDescent="0.25">
      <c r="A21" s="269"/>
      <c r="B21" s="269"/>
      <c r="C21" s="269"/>
      <c r="D21" s="269"/>
      <c r="E21" s="269"/>
      <c r="F21" s="269"/>
      <c r="G21" s="269"/>
      <c r="H21" s="269"/>
      <c r="I21" s="269"/>
    </row>
    <row r="22" spans="1:9" s="3" customFormat="1" ht="13.8" x14ac:dyDescent="0.25">
      <c r="A22" s="269"/>
      <c r="B22" s="269"/>
      <c r="C22" s="269"/>
      <c r="D22" s="269"/>
      <c r="E22" s="269"/>
      <c r="F22" s="269"/>
      <c r="G22" s="269"/>
      <c r="H22" s="269"/>
      <c r="I22" s="269"/>
    </row>
    <row r="23" spans="1:9" s="3" customFormat="1" ht="13.8" x14ac:dyDescent="0.25">
      <c r="A23" s="269"/>
      <c r="B23" s="269"/>
      <c r="C23" s="269"/>
      <c r="D23" s="269"/>
      <c r="E23" s="269"/>
      <c r="F23" s="269"/>
      <c r="G23" s="269"/>
      <c r="H23" s="269"/>
      <c r="I23" s="269"/>
    </row>
    <row r="24" spans="1:9" s="3" customFormat="1" ht="13.8" x14ac:dyDescent="0.25">
      <c r="A24" s="269"/>
      <c r="B24" s="269"/>
      <c r="C24" s="269"/>
      <c r="D24" s="269"/>
      <c r="E24" s="269"/>
      <c r="F24" s="269"/>
      <c r="G24" s="269"/>
      <c r="H24" s="269"/>
      <c r="I24" s="269"/>
    </row>
    <row r="25" spans="1:9" s="3" customFormat="1" ht="13.8" x14ac:dyDescent="0.25">
      <c r="A25" s="269"/>
      <c r="B25" s="269"/>
      <c r="C25" s="269"/>
      <c r="D25" s="269"/>
      <c r="E25" s="269"/>
      <c r="F25" s="269"/>
      <c r="G25" s="269"/>
      <c r="H25" s="269"/>
      <c r="I25" s="269"/>
    </row>
    <row r="26" spans="1:9" s="3" customFormat="1" ht="13.8" x14ac:dyDescent="0.25">
      <c r="A26" s="42"/>
      <c r="B26" s="42"/>
      <c r="C26" s="42"/>
      <c r="D26" s="42"/>
      <c r="E26" s="42"/>
      <c r="F26" s="42"/>
      <c r="G26" s="42"/>
      <c r="H26" s="42"/>
      <c r="I26" s="42"/>
    </row>
    <row r="27" spans="1:9" s="3" customFormat="1" ht="13.8" x14ac:dyDescent="0.25"/>
    <row r="28" spans="1:9" s="3" customFormat="1" ht="13.8" x14ac:dyDescent="0.25"/>
    <row r="29" spans="1:9" s="3" customFormat="1" ht="13.8" x14ac:dyDescent="0.25">
      <c r="A29" s="3" t="s">
        <v>198</v>
      </c>
      <c r="B29" s="44"/>
      <c r="C29" s="44"/>
      <c r="D29" s="44"/>
      <c r="E29" s="44"/>
      <c r="G29" s="3" t="s">
        <v>199</v>
      </c>
      <c r="H29" s="44"/>
      <c r="I29" s="44"/>
    </row>
    <row r="30" spans="1:9" s="3" customFormat="1" ht="13.8" x14ac:dyDescent="0.25"/>
    <row r="31" spans="1:9" ht="14.25" customHeight="1" x14ac:dyDescent="0.25">
      <c r="A31" s="3"/>
      <c r="B31" s="3"/>
      <c r="C31" s="3"/>
      <c r="D31" s="3"/>
      <c r="E31" s="3"/>
      <c r="F31" s="3"/>
      <c r="G31" s="3"/>
      <c r="H31" s="3"/>
      <c r="I31" s="3"/>
    </row>
    <row r="32" spans="1:9" s="3" customFormat="1" ht="13.8" x14ac:dyDescent="0.25"/>
    <row r="33" spans="1:9" s="3" customFormat="1" ht="13.8" x14ac:dyDescent="0.25"/>
    <row r="34" spans="1:9" s="3" customFormat="1" x14ac:dyDescent="0.25">
      <c r="A34" s="93"/>
      <c r="B34" s="93"/>
      <c r="C34" s="93"/>
      <c r="D34" s="93"/>
      <c r="E34" s="93"/>
      <c r="F34" s="93"/>
      <c r="G34" s="93"/>
      <c r="H34" s="93"/>
      <c r="I34" s="93"/>
    </row>
    <row r="35" spans="1:9" s="3" customFormat="1" ht="13.8" x14ac:dyDescent="0.25"/>
    <row r="36" spans="1:9" s="3" customFormat="1" ht="13.8" x14ac:dyDescent="0.25"/>
    <row r="37" spans="1:9" s="3" customFormat="1" ht="13.8" x14ac:dyDescent="0.25"/>
    <row r="38" spans="1:9" s="3" customFormat="1" ht="13.8" x14ac:dyDescent="0.25"/>
    <row r="39" spans="1:9" s="3" customFormat="1" ht="13.8" x14ac:dyDescent="0.25"/>
    <row r="40" spans="1:9" s="3" customFormat="1" ht="13.8" x14ac:dyDescent="0.25"/>
    <row r="41" spans="1:9" s="3" customFormat="1" ht="13.8" x14ac:dyDescent="0.25"/>
    <row r="42" spans="1:9" s="3" customFormat="1" ht="13.8" x14ac:dyDescent="0.25"/>
    <row r="43" spans="1:9" x14ac:dyDescent="0.25">
      <c r="A43" s="3"/>
      <c r="B43" s="3"/>
      <c r="C43" s="3"/>
      <c r="D43" s="3"/>
      <c r="E43" s="3"/>
      <c r="F43" s="3"/>
      <c r="G43" s="3"/>
      <c r="H43" s="3"/>
      <c r="I43" s="3"/>
    </row>
    <row r="44" spans="1:9" x14ac:dyDescent="0.25">
      <c r="A44" s="3"/>
      <c r="B44" s="3"/>
      <c r="C44" s="3"/>
      <c r="D44" s="3"/>
      <c r="E44" s="3"/>
      <c r="F44" s="3"/>
      <c r="G44" s="3"/>
      <c r="H44" s="3"/>
      <c r="I44" s="3"/>
    </row>
    <row r="45" spans="1:9" x14ac:dyDescent="0.25">
      <c r="A45" s="3"/>
      <c r="B45" s="3"/>
      <c r="C45" s="3"/>
      <c r="D45" s="3"/>
      <c r="E45" s="3"/>
      <c r="F45" s="3"/>
      <c r="G45" s="3"/>
      <c r="H45" s="3"/>
      <c r="I45" s="3"/>
    </row>
    <row r="64" spans="6:6" x14ac:dyDescent="0.25">
      <c r="F64" s="3"/>
    </row>
  </sheetData>
  <mergeCells count="30">
    <mergeCell ref="G3:I3"/>
    <mergeCell ref="B5:E5"/>
    <mergeCell ref="D7:E7"/>
    <mergeCell ref="G7:H7"/>
    <mergeCell ref="A9:C9"/>
    <mergeCell ref="D9:E9"/>
    <mergeCell ref="G9:I9"/>
    <mergeCell ref="A10:C10"/>
    <mergeCell ref="D10:E10"/>
    <mergeCell ref="G10:I10"/>
    <mergeCell ref="A11:C11"/>
    <mergeCell ref="D11:E11"/>
    <mergeCell ref="G11:I11"/>
    <mergeCell ref="A12:C12"/>
    <mergeCell ref="D12:E12"/>
    <mergeCell ref="G12:I12"/>
    <mergeCell ref="A13:C13"/>
    <mergeCell ref="D13:E13"/>
    <mergeCell ref="G13:I13"/>
    <mergeCell ref="A14:C14"/>
    <mergeCell ref="D14:E14"/>
    <mergeCell ref="G14:I14"/>
    <mergeCell ref="A15:C15"/>
    <mergeCell ref="D15:E15"/>
    <mergeCell ref="G15:I15"/>
    <mergeCell ref="A16:C16"/>
    <mergeCell ref="D16:E16"/>
    <mergeCell ref="G16:I16"/>
    <mergeCell ref="A18:I18"/>
    <mergeCell ref="A19:I25"/>
  </mergeCells>
  <pageMargins left="0.7" right="0.7" top="0.75" bottom="0.75" header="0.3" footer="0.3"/>
  <pageSetup paperSize="9" scale="87" orientation="portrait" r:id="rId1"/>
  <headerFooter scaleWithDoc="0">
    <oddFooter>&amp;C&amp;"Arial,Regular"Page &amp;P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00B0F0"/>
  </sheetPr>
  <dimension ref="A1:O67"/>
  <sheetViews>
    <sheetView topLeftCell="A3" workbookViewId="0">
      <selection activeCell="L20" sqref="L20"/>
    </sheetView>
  </sheetViews>
  <sheetFormatPr defaultColWidth="9.44140625" defaultRowHeight="15" x14ac:dyDescent="0.25"/>
  <cols>
    <col min="1" max="1" width="12.44140625" style="2" customWidth="1"/>
    <col min="2" max="2" width="11.5546875" style="2" customWidth="1"/>
    <col min="3" max="3" width="18.44140625" style="2" bestFit="1" customWidth="1"/>
    <col min="4" max="4" width="12.5546875" style="2" bestFit="1" customWidth="1"/>
    <col min="5" max="5" width="3.44140625" style="2" customWidth="1"/>
    <col min="6" max="8" width="9.44140625" style="2"/>
    <col min="9" max="9" width="8.5546875" style="2" customWidth="1"/>
    <col min="10" max="10" width="9.44140625" style="2" hidden="1" customWidth="1"/>
    <col min="11" max="11" width="10.5546875" style="2" bestFit="1" customWidth="1"/>
    <col min="12" max="12" width="31.88671875" style="2" customWidth="1"/>
    <col min="13" max="16384" width="9.44140625" style="2"/>
  </cols>
  <sheetData>
    <row r="1" spans="1:15" x14ac:dyDescent="0.25">
      <c r="A1" s="93" t="str">
        <f>+'Cover Page'!$B$29</f>
        <v>Annual Performance Report 2022</v>
      </c>
      <c r="B1" s="93"/>
      <c r="C1" s="93"/>
      <c r="D1" s="93"/>
      <c r="E1" s="93" t="str">
        <f>+'Cover Page'!$B$33</f>
        <v>GLPP</v>
      </c>
      <c r="F1" s="93"/>
      <c r="G1" s="93"/>
      <c r="H1" s="93"/>
      <c r="I1" s="93"/>
      <c r="J1" s="93"/>
      <c r="K1" s="93"/>
      <c r="L1" s="93"/>
      <c r="M1" s="93"/>
      <c r="N1" s="93"/>
      <c r="O1" s="93"/>
    </row>
    <row r="3" spans="1:15" ht="15.6" x14ac:dyDescent="0.3">
      <c r="A3" s="1" t="s">
        <v>211</v>
      </c>
      <c r="B3" s="93"/>
      <c r="C3" s="93"/>
      <c r="D3" s="93"/>
      <c r="E3" s="93"/>
      <c r="F3" s="93"/>
      <c r="G3" s="93"/>
      <c r="H3" s="93"/>
      <c r="I3" s="93"/>
      <c r="J3" s="93"/>
      <c r="K3" s="93"/>
      <c r="L3" s="93"/>
      <c r="M3" s="93"/>
      <c r="N3" s="93"/>
      <c r="O3" s="93"/>
    </row>
    <row r="4" spans="1:15" ht="15.6" x14ac:dyDescent="0.3">
      <c r="A4" s="1"/>
      <c r="B4" s="93"/>
      <c r="C4" s="93"/>
      <c r="D4" s="93"/>
      <c r="E4" s="93"/>
      <c r="F4" s="93"/>
      <c r="G4" s="93"/>
      <c r="H4" s="93"/>
      <c r="I4" s="93"/>
      <c r="J4" s="93"/>
      <c r="K4" s="93"/>
      <c r="L4" s="93"/>
      <c r="M4" s="93"/>
      <c r="N4" s="93"/>
      <c r="O4" s="93"/>
    </row>
    <row r="5" spans="1:15" x14ac:dyDescent="0.25">
      <c r="A5" s="9" t="s">
        <v>212</v>
      </c>
      <c r="B5" s="93"/>
      <c r="C5" s="93"/>
      <c r="D5" s="93"/>
      <c r="E5" s="93"/>
      <c r="F5" s="93"/>
      <c r="G5" s="93"/>
      <c r="H5" s="93"/>
      <c r="I5" s="93"/>
      <c r="J5" s="93"/>
      <c r="K5" s="93"/>
      <c r="L5" s="93"/>
      <c r="M5" s="93"/>
      <c r="N5" s="93"/>
      <c r="O5" s="93"/>
    </row>
    <row r="6" spans="1:15" x14ac:dyDescent="0.25">
      <c r="A6" s="9"/>
      <c r="B6" s="93"/>
      <c r="C6" s="93"/>
      <c r="D6" s="93"/>
      <c r="E6" s="93"/>
      <c r="F6" s="93"/>
      <c r="G6" s="93"/>
      <c r="H6" s="93"/>
      <c r="I6" s="93"/>
      <c r="J6" s="93"/>
      <c r="K6" s="93"/>
      <c r="L6" s="93"/>
      <c r="M6" s="93"/>
      <c r="N6" s="93"/>
      <c r="O6" s="93"/>
    </row>
    <row r="7" spans="1:15" x14ac:dyDescent="0.25">
      <c r="A7" s="121" t="s">
        <v>213</v>
      </c>
      <c r="B7" s="93"/>
      <c r="C7" s="93"/>
      <c r="D7" s="93"/>
      <c r="E7" s="93"/>
      <c r="F7" s="93"/>
      <c r="G7" s="93"/>
      <c r="H7" s="93"/>
      <c r="I7" s="93"/>
      <c r="J7" s="93"/>
      <c r="K7" s="93"/>
      <c r="L7" s="93"/>
      <c r="M7" s="93"/>
      <c r="N7" s="93"/>
      <c r="O7" s="93"/>
    </row>
    <row r="8" spans="1:15" s="3" customFormat="1" ht="25.5" customHeight="1" x14ac:dyDescent="0.3">
      <c r="A8" s="288" t="s">
        <v>214</v>
      </c>
      <c r="B8" s="289"/>
      <c r="C8" s="288" t="s">
        <v>215</v>
      </c>
      <c r="D8" s="290"/>
      <c r="E8" s="290"/>
      <c r="F8" s="290"/>
      <c r="G8" s="290"/>
      <c r="H8" s="290"/>
      <c r="I8" s="289"/>
      <c r="L8" s="81" t="s">
        <v>3</v>
      </c>
    </row>
    <row r="9" spans="1:15" s="3" customFormat="1" ht="22.5" customHeight="1" x14ac:dyDescent="0.25">
      <c r="A9" s="291"/>
      <c r="B9" s="292"/>
      <c r="C9" s="293" t="s">
        <v>216</v>
      </c>
      <c r="D9" s="293"/>
      <c r="E9" s="293"/>
      <c r="F9" s="293" t="s">
        <v>217</v>
      </c>
      <c r="G9" s="293"/>
      <c r="H9" s="293"/>
      <c r="I9" s="293"/>
      <c r="L9" s="218" t="s">
        <v>218</v>
      </c>
      <c r="M9" s="218"/>
      <c r="N9" s="218"/>
      <c r="O9" s="218"/>
    </row>
    <row r="10" spans="1:15" s="3" customFormat="1" ht="22.5" customHeight="1" x14ac:dyDescent="0.25">
      <c r="A10" s="287" t="s">
        <v>219</v>
      </c>
      <c r="B10" s="287"/>
      <c r="C10" s="284">
        <v>1</v>
      </c>
      <c r="D10" s="283"/>
      <c r="E10" s="283"/>
      <c r="F10" s="284">
        <v>1</v>
      </c>
      <c r="G10" s="283"/>
      <c r="H10" s="283"/>
      <c r="I10" s="283"/>
      <c r="L10" s="218"/>
      <c r="M10" s="218"/>
      <c r="N10" s="218"/>
      <c r="O10" s="218"/>
    </row>
    <row r="11" spans="1:15" s="3" customFormat="1" ht="22.5" customHeight="1" x14ac:dyDescent="0.25">
      <c r="A11" s="287" t="s">
        <v>220</v>
      </c>
      <c r="B11" s="287"/>
      <c r="C11" s="284">
        <v>1</v>
      </c>
      <c r="D11" s="283"/>
      <c r="E11" s="283"/>
      <c r="F11" s="284">
        <v>1</v>
      </c>
      <c r="G11" s="283"/>
      <c r="H11" s="283"/>
      <c r="I11" s="283"/>
      <c r="L11" s="218"/>
      <c r="M11" s="218"/>
      <c r="N11" s="218"/>
      <c r="O11" s="218"/>
    </row>
    <row r="12" spans="1:15" s="3" customFormat="1" ht="22.5" customHeight="1" x14ac:dyDescent="0.25">
      <c r="A12" s="287" t="s">
        <v>221</v>
      </c>
      <c r="B12" s="287"/>
      <c r="C12" s="284">
        <v>1</v>
      </c>
      <c r="D12" s="283"/>
      <c r="E12" s="283"/>
      <c r="F12" s="284">
        <v>1</v>
      </c>
      <c r="G12" s="283"/>
      <c r="H12" s="283"/>
      <c r="I12" s="283"/>
      <c r="L12" s="218"/>
      <c r="M12" s="218"/>
      <c r="N12" s="218"/>
      <c r="O12" s="218"/>
    </row>
    <row r="13" spans="1:15" s="3" customFormat="1" ht="22.5" customHeight="1" x14ac:dyDescent="0.25">
      <c r="A13" s="287" t="s">
        <v>222</v>
      </c>
      <c r="B13" s="287"/>
      <c r="C13" s="284">
        <v>1</v>
      </c>
      <c r="D13" s="283"/>
      <c r="E13" s="283"/>
      <c r="F13" s="284">
        <v>1</v>
      </c>
      <c r="G13" s="283"/>
      <c r="H13" s="283"/>
      <c r="I13" s="283"/>
      <c r="L13" s="218"/>
      <c r="M13" s="218"/>
      <c r="N13" s="218"/>
      <c r="O13" s="218"/>
    </row>
    <row r="14" spans="1:15" s="3" customFormat="1" ht="22.5" customHeight="1" x14ac:dyDescent="0.25">
      <c r="A14" s="287" t="s">
        <v>223</v>
      </c>
      <c r="B14" s="287"/>
      <c r="C14" s="284">
        <v>1</v>
      </c>
      <c r="D14" s="283"/>
      <c r="E14" s="283"/>
      <c r="F14" s="284">
        <v>1</v>
      </c>
      <c r="G14" s="283"/>
      <c r="H14" s="283"/>
      <c r="I14" s="283"/>
      <c r="L14" s="218"/>
      <c r="M14" s="218"/>
      <c r="N14" s="218"/>
      <c r="O14" s="218"/>
    </row>
    <row r="15" spans="1:15" s="3" customFormat="1" ht="22.5" customHeight="1" x14ac:dyDescent="0.25">
      <c r="A15" s="287" t="s">
        <v>224</v>
      </c>
      <c r="B15" s="287"/>
      <c r="C15" s="284">
        <v>1</v>
      </c>
      <c r="D15" s="283"/>
      <c r="E15" s="283"/>
      <c r="F15" s="284">
        <v>1</v>
      </c>
      <c r="G15" s="283"/>
      <c r="H15" s="283"/>
      <c r="I15" s="283"/>
      <c r="L15" s="218"/>
      <c r="M15" s="218"/>
      <c r="N15" s="218"/>
      <c r="O15" s="218"/>
    </row>
    <row r="16" spans="1:15" s="3" customFormat="1" ht="22.5" customHeight="1" x14ac:dyDescent="0.25">
      <c r="A16" s="287"/>
      <c r="B16" s="287"/>
      <c r="C16" s="283"/>
      <c r="D16" s="283"/>
      <c r="E16" s="283"/>
      <c r="F16" s="284"/>
      <c r="G16" s="283"/>
      <c r="H16" s="283"/>
      <c r="I16" s="283"/>
      <c r="L16" s="218"/>
      <c r="M16" s="218"/>
      <c r="N16" s="218"/>
      <c r="O16" s="218"/>
    </row>
    <row r="17" spans="1:15" s="3" customFormat="1" ht="22.5" customHeight="1" x14ac:dyDescent="0.25">
      <c r="A17" s="285"/>
      <c r="B17" s="286"/>
      <c r="C17" s="283"/>
      <c r="D17" s="283"/>
      <c r="E17" s="283"/>
      <c r="F17" s="283"/>
      <c r="G17" s="283"/>
      <c r="H17" s="283"/>
      <c r="I17" s="283"/>
      <c r="L17" s="218"/>
      <c r="M17" s="218"/>
      <c r="N17" s="218"/>
      <c r="O17" s="218"/>
    </row>
    <row r="18" spans="1:15" s="3" customFormat="1" ht="13.8" x14ac:dyDescent="0.25">
      <c r="L18" s="218"/>
      <c r="M18" s="218"/>
      <c r="N18" s="218"/>
      <c r="O18" s="218"/>
    </row>
    <row r="19" spans="1:15" s="45" customFormat="1" ht="21.75" customHeight="1" x14ac:dyDescent="0.3">
      <c r="A19" s="277" t="s">
        <v>225</v>
      </c>
      <c r="B19" s="278"/>
      <c r="C19" s="278"/>
      <c r="D19" s="278"/>
      <c r="E19" s="278"/>
      <c r="F19" s="278"/>
      <c r="G19" s="278"/>
      <c r="H19" s="278"/>
      <c r="I19" s="278"/>
      <c r="J19" s="278"/>
      <c r="K19" s="279"/>
    </row>
    <row r="20" spans="1:15" s="3" customFormat="1" ht="38.25" customHeight="1" x14ac:dyDescent="0.25">
      <c r="A20" s="46" t="s">
        <v>52</v>
      </c>
      <c r="B20" s="281" t="s">
        <v>226</v>
      </c>
      <c r="C20" s="281"/>
      <c r="D20" s="281"/>
      <c r="E20" s="281" t="s">
        <v>227</v>
      </c>
      <c r="F20" s="281"/>
      <c r="G20" s="281"/>
      <c r="H20" s="281" t="s">
        <v>228</v>
      </c>
      <c r="I20" s="281"/>
      <c r="J20" s="282"/>
      <c r="K20" s="72"/>
    </row>
    <row r="21" spans="1:15" s="3" customFormat="1" ht="13.8" x14ac:dyDescent="0.25">
      <c r="A21" s="165"/>
      <c r="B21" s="194"/>
      <c r="C21" s="194"/>
      <c r="D21" s="194"/>
      <c r="E21" s="194"/>
      <c r="F21" s="194"/>
      <c r="G21" s="194"/>
      <c r="H21" s="194"/>
      <c r="I21" s="194"/>
      <c r="J21" s="280"/>
      <c r="K21" s="72"/>
    </row>
    <row r="22" spans="1:15" s="3" customFormat="1" ht="13.8" x14ac:dyDescent="0.25">
      <c r="A22" s="166"/>
      <c r="B22" s="194"/>
      <c r="C22" s="194"/>
      <c r="D22" s="194"/>
      <c r="E22" s="194"/>
      <c r="F22" s="194"/>
      <c r="G22" s="194"/>
      <c r="H22" s="194"/>
      <c r="I22" s="194"/>
      <c r="J22" s="280"/>
      <c r="K22" s="72"/>
    </row>
    <row r="23" spans="1:15" s="3" customFormat="1" ht="13.8" x14ac:dyDescent="0.25">
      <c r="A23" s="166"/>
      <c r="B23" s="194"/>
      <c r="C23" s="194"/>
      <c r="D23" s="194"/>
      <c r="E23" s="194"/>
      <c r="F23" s="194"/>
      <c r="G23" s="194"/>
      <c r="H23" s="194"/>
      <c r="I23" s="194"/>
      <c r="J23" s="280"/>
      <c r="K23" s="72"/>
    </row>
    <row r="24" spans="1:15" s="3" customFormat="1" ht="13.8" x14ac:dyDescent="0.25">
      <c r="A24" s="166"/>
      <c r="B24" s="194"/>
      <c r="C24" s="194"/>
      <c r="D24" s="194"/>
      <c r="E24" s="194"/>
      <c r="F24" s="194"/>
      <c r="G24" s="194"/>
      <c r="H24" s="194"/>
      <c r="I24" s="194"/>
      <c r="J24" s="280"/>
      <c r="K24" s="72"/>
    </row>
    <row r="25" spans="1:15" s="3" customFormat="1" ht="13.8" x14ac:dyDescent="0.25">
      <c r="A25" s="166"/>
      <c r="B25" s="194"/>
      <c r="C25" s="194"/>
      <c r="D25" s="194"/>
      <c r="E25" s="194"/>
      <c r="F25" s="194"/>
      <c r="G25" s="194"/>
      <c r="H25" s="194"/>
      <c r="I25" s="194"/>
      <c r="J25" s="280"/>
      <c r="K25" s="72"/>
    </row>
    <row r="26" spans="1:15" s="3" customFormat="1" ht="13.8" x14ac:dyDescent="0.25"/>
    <row r="27" spans="1:15" s="45" customFormat="1" ht="22.5" customHeight="1" x14ac:dyDescent="0.3">
      <c r="A27" s="277" t="s">
        <v>229</v>
      </c>
      <c r="B27" s="278"/>
      <c r="C27" s="278"/>
      <c r="D27" s="278"/>
      <c r="E27" s="278"/>
      <c r="F27" s="278"/>
      <c r="G27" s="278"/>
      <c r="H27" s="278"/>
      <c r="I27" s="278"/>
      <c r="J27" s="278"/>
      <c r="K27" s="279"/>
    </row>
    <row r="28" spans="1:15" s="3" customFormat="1" ht="39" customHeight="1" x14ac:dyDescent="0.25">
      <c r="A28" s="46" t="s">
        <v>52</v>
      </c>
      <c r="B28" s="281" t="s">
        <v>230</v>
      </c>
      <c r="C28" s="281"/>
      <c r="D28" s="281"/>
      <c r="E28" s="281" t="s">
        <v>231</v>
      </c>
      <c r="F28" s="281"/>
      <c r="G28" s="281"/>
      <c r="H28" s="281" t="s">
        <v>228</v>
      </c>
      <c r="I28" s="281"/>
      <c r="J28" s="282"/>
      <c r="K28" s="72"/>
    </row>
    <row r="29" spans="1:15" s="3" customFormat="1" ht="13.8" x14ac:dyDescent="0.25">
      <c r="A29" s="166"/>
      <c r="B29" s="194"/>
      <c r="C29" s="194"/>
      <c r="D29" s="194"/>
      <c r="E29" s="194"/>
      <c r="F29" s="194"/>
      <c r="G29" s="194"/>
      <c r="H29" s="194"/>
      <c r="I29" s="194"/>
      <c r="J29" s="280"/>
      <c r="K29" s="72"/>
    </row>
    <row r="30" spans="1:15" s="3" customFormat="1" ht="13.8" x14ac:dyDescent="0.25">
      <c r="A30" s="166"/>
      <c r="B30" s="194"/>
      <c r="C30" s="194"/>
      <c r="D30" s="194"/>
      <c r="E30" s="194"/>
      <c r="F30" s="194"/>
      <c r="G30" s="194"/>
      <c r="H30" s="194"/>
      <c r="I30" s="194"/>
      <c r="J30" s="280"/>
      <c r="K30" s="72"/>
    </row>
    <row r="31" spans="1:15" ht="14.25" customHeight="1" x14ac:dyDescent="0.25">
      <c r="A31" s="166"/>
      <c r="B31" s="194"/>
      <c r="C31" s="194"/>
      <c r="D31" s="194"/>
      <c r="E31" s="194"/>
      <c r="F31" s="194"/>
      <c r="G31" s="194"/>
      <c r="H31" s="194"/>
      <c r="I31" s="194"/>
      <c r="J31" s="280"/>
      <c r="K31" s="72"/>
      <c r="L31" s="93"/>
      <c r="M31" s="93"/>
      <c r="N31" s="93"/>
      <c r="O31" s="93"/>
    </row>
    <row r="32" spans="1:15" s="3" customFormat="1" ht="13.8" x14ac:dyDescent="0.25">
      <c r="A32" s="166"/>
      <c r="B32" s="194"/>
      <c r="C32" s="194"/>
      <c r="D32" s="194"/>
      <c r="E32" s="194"/>
      <c r="F32" s="194"/>
      <c r="G32" s="194"/>
      <c r="H32" s="194"/>
      <c r="I32" s="194"/>
      <c r="J32" s="280"/>
      <c r="K32" s="72"/>
    </row>
    <row r="33" spans="1:11" s="3" customFormat="1" ht="13.8" x14ac:dyDescent="0.25">
      <c r="A33" s="166"/>
      <c r="B33" s="194"/>
      <c r="C33" s="194"/>
      <c r="D33" s="194"/>
      <c r="E33" s="194"/>
      <c r="F33" s="194"/>
      <c r="G33" s="194"/>
      <c r="H33" s="194"/>
      <c r="I33" s="194"/>
      <c r="J33" s="280"/>
      <c r="K33" s="72"/>
    </row>
    <row r="34" spans="1:11" s="3" customFormat="1" ht="29.25" customHeight="1" x14ac:dyDescent="0.25">
      <c r="A34" s="121"/>
      <c r="E34" s="294" t="s">
        <v>232</v>
      </c>
      <c r="F34" s="294"/>
      <c r="G34" s="294"/>
      <c r="H34" s="294"/>
      <c r="I34" s="294"/>
      <c r="J34" s="121"/>
    </row>
    <row r="67" spans="6:6" x14ac:dyDescent="0.25">
      <c r="F67" s="3"/>
    </row>
  </sheetData>
  <mergeCells count="69">
    <mergeCell ref="L9:O18"/>
    <mergeCell ref="E34:I34"/>
    <mergeCell ref="A10:B10"/>
    <mergeCell ref="C10:E10"/>
    <mergeCell ref="F10:I10"/>
    <mergeCell ref="A11:B11"/>
    <mergeCell ref="C11:E11"/>
    <mergeCell ref="F11:I11"/>
    <mergeCell ref="A12:B12"/>
    <mergeCell ref="C12:E12"/>
    <mergeCell ref="F12:I12"/>
    <mergeCell ref="A13:B13"/>
    <mergeCell ref="C13:E13"/>
    <mergeCell ref="F13:I13"/>
    <mergeCell ref="A14:B14"/>
    <mergeCell ref="C14:E14"/>
    <mergeCell ref="A8:B8"/>
    <mergeCell ref="C8:I8"/>
    <mergeCell ref="A9:B9"/>
    <mergeCell ref="C9:E9"/>
    <mergeCell ref="F9:I9"/>
    <mergeCell ref="F14:I14"/>
    <mergeCell ref="A15:B15"/>
    <mergeCell ref="C15:E15"/>
    <mergeCell ref="F15:I15"/>
    <mergeCell ref="A16:B16"/>
    <mergeCell ref="C17:E17"/>
    <mergeCell ref="F17:I17"/>
    <mergeCell ref="C16:E16"/>
    <mergeCell ref="F16:I16"/>
    <mergeCell ref="A17:B17"/>
    <mergeCell ref="B20:D20"/>
    <mergeCell ref="E20:G20"/>
    <mergeCell ref="H20:J20"/>
    <mergeCell ref="B21:D21"/>
    <mergeCell ref="E21:G21"/>
    <mergeCell ref="H21:J21"/>
    <mergeCell ref="H25:J25"/>
    <mergeCell ref="B22:D22"/>
    <mergeCell ref="E22:G22"/>
    <mergeCell ref="H22:J22"/>
    <mergeCell ref="B23:D23"/>
    <mergeCell ref="E23:G23"/>
    <mergeCell ref="H23:J23"/>
    <mergeCell ref="B33:D33"/>
    <mergeCell ref="E33:G33"/>
    <mergeCell ref="H33:J33"/>
    <mergeCell ref="B30:D30"/>
    <mergeCell ref="E30:G30"/>
    <mergeCell ref="H30:J30"/>
    <mergeCell ref="B31:D31"/>
    <mergeCell ref="E31:G31"/>
    <mergeCell ref="H31:J31"/>
    <mergeCell ref="A27:K27"/>
    <mergeCell ref="A19:K19"/>
    <mergeCell ref="B32:D32"/>
    <mergeCell ref="E32:G32"/>
    <mergeCell ref="H32:J32"/>
    <mergeCell ref="B28:D28"/>
    <mergeCell ref="E28:G28"/>
    <mergeCell ref="H28:J28"/>
    <mergeCell ref="B29:D29"/>
    <mergeCell ref="E29:G29"/>
    <mergeCell ref="H29:J29"/>
    <mergeCell ref="B24:D24"/>
    <mergeCell ref="E24:G24"/>
    <mergeCell ref="H24:J24"/>
    <mergeCell ref="B25:D25"/>
    <mergeCell ref="E25:G25"/>
  </mergeCells>
  <pageMargins left="0.7" right="0.7" top="0.75" bottom="0.75" header="0.3" footer="0.3"/>
  <pageSetup paperSize="9" scale="87" orientation="portrait" r:id="rId1"/>
  <headerFooter scaleWithDoc="0">
    <oddFooter>&amp;C&amp;"Arial,Regular"Page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00B0F0"/>
  </sheetPr>
  <dimension ref="A1:I66"/>
  <sheetViews>
    <sheetView workbookViewId="0">
      <selection activeCell="A39" sqref="A39:I48"/>
    </sheetView>
  </sheetViews>
  <sheetFormatPr defaultColWidth="9.44140625" defaultRowHeight="15" x14ac:dyDescent="0.25"/>
  <cols>
    <col min="1" max="1" width="9.44140625" style="2" customWidth="1"/>
    <col min="2" max="2" width="14.5546875" style="2" bestFit="1" customWidth="1"/>
    <col min="3" max="8" width="9.44140625" style="2"/>
    <col min="9" max="9" width="11.5546875" style="2" customWidth="1"/>
    <col min="10" max="16384" width="9.44140625" style="2"/>
  </cols>
  <sheetData>
    <row r="1" spans="1:9" x14ac:dyDescent="0.25">
      <c r="A1" s="93" t="str">
        <f>+'Cover Page'!$B$29</f>
        <v>Annual Performance Report 2022</v>
      </c>
      <c r="B1" s="93"/>
      <c r="C1" s="93"/>
      <c r="D1" s="93"/>
      <c r="E1" s="93" t="str">
        <f>+'Cover Page'!$B$33</f>
        <v>GLPP</v>
      </c>
      <c r="F1" s="93"/>
      <c r="G1" s="93"/>
      <c r="H1" s="93"/>
      <c r="I1" s="93"/>
    </row>
    <row r="3" spans="1:9" ht="15.6" x14ac:dyDescent="0.3">
      <c r="A3" s="1" t="s">
        <v>233</v>
      </c>
      <c r="B3" s="93"/>
      <c r="C3" s="93"/>
      <c r="D3" s="93"/>
      <c r="E3" s="93"/>
      <c r="F3" s="93"/>
      <c r="G3" s="93"/>
      <c r="H3" s="93"/>
      <c r="I3" s="93"/>
    </row>
    <row r="4" spans="1:9" ht="15.6" x14ac:dyDescent="0.3">
      <c r="A4" s="1"/>
      <c r="B4" s="93"/>
      <c r="C4" s="93"/>
      <c r="D4" s="93"/>
      <c r="E4" s="93"/>
      <c r="F4" s="93"/>
      <c r="G4" s="93"/>
      <c r="H4" s="93"/>
      <c r="I4" s="93"/>
    </row>
    <row r="5" spans="1:9" s="3" customFormat="1" ht="13.8" x14ac:dyDescent="0.25">
      <c r="A5" s="299" t="s">
        <v>234</v>
      </c>
      <c r="B5" s="300"/>
      <c r="C5" s="300"/>
      <c r="D5" s="300"/>
      <c r="E5" s="300"/>
      <c r="F5" s="300"/>
      <c r="G5" s="300"/>
      <c r="H5" s="300"/>
      <c r="I5" s="301"/>
    </row>
    <row r="6" spans="1:9" s="3" customFormat="1" ht="15.75" customHeight="1" x14ac:dyDescent="0.25">
      <c r="A6" s="298" t="s">
        <v>235</v>
      </c>
      <c r="B6" s="210"/>
      <c r="C6" s="210"/>
      <c r="D6" s="210"/>
      <c r="E6" s="210"/>
      <c r="F6" s="210"/>
      <c r="G6" s="210"/>
      <c r="H6" s="210"/>
      <c r="I6" s="211"/>
    </row>
    <row r="7" spans="1:9" s="3" customFormat="1" ht="15.75" customHeight="1" x14ac:dyDescent="0.25">
      <c r="A7" s="212"/>
      <c r="B7" s="213"/>
      <c r="C7" s="213"/>
      <c r="D7" s="213"/>
      <c r="E7" s="213"/>
      <c r="F7" s="213"/>
      <c r="G7" s="213"/>
      <c r="H7" s="213"/>
      <c r="I7" s="214"/>
    </row>
    <row r="8" spans="1:9" s="3" customFormat="1" ht="15.75" customHeight="1" x14ac:dyDescent="0.25">
      <c r="A8" s="212"/>
      <c r="B8" s="213"/>
      <c r="C8" s="213"/>
      <c r="D8" s="213"/>
      <c r="E8" s="213"/>
      <c r="F8" s="213"/>
      <c r="G8" s="213"/>
      <c r="H8" s="213"/>
      <c r="I8" s="214"/>
    </row>
    <row r="9" spans="1:9" s="3" customFormat="1" ht="15.75" customHeight="1" x14ac:dyDescent="0.25">
      <c r="A9" s="212"/>
      <c r="B9" s="213"/>
      <c r="C9" s="213"/>
      <c r="D9" s="213"/>
      <c r="E9" s="213"/>
      <c r="F9" s="213"/>
      <c r="G9" s="213"/>
      <c r="H9" s="213"/>
      <c r="I9" s="214"/>
    </row>
    <row r="10" spans="1:9" s="3" customFormat="1" ht="15.75" customHeight="1" x14ac:dyDescent="0.25">
      <c r="A10" s="212"/>
      <c r="B10" s="213"/>
      <c r="C10" s="213"/>
      <c r="D10" s="213"/>
      <c r="E10" s="213"/>
      <c r="F10" s="213"/>
      <c r="G10" s="213"/>
      <c r="H10" s="213"/>
      <c r="I10" s="214"/>
    </row>
    <row r="11" spans="1:9" s="3" customFormat="1" ht="15.75" customHeight="1" x14ac:dyDescent="0.25">
      <c r="A11" s="212"/>
      <c r="B11" s="213"/>
      <c r="C11" s="213"/>
      <c r="D11" s="213"/>
      <c r="E11" s="213"/>
      <c r="F11" s="213"/>
      <c r="G11" s="213"/>
      <c r="H11" s="213"/>
      <c r="I11" s="214"/>
    </row>
    <row r="12" spans="1:9" s="3" customFormat="1" ht="15.75" customHeight="1" x14ac:dyDescent="0.25">
      <c r="A12" s="212"/>
      <c r="B12" s="213"/>
      <c r="C12" s="213"/>
      <c r="D12" s="213"/>
      <c r="E12" s="213"/>
      <c r="F12" s="213"/>
      <c r="G12" s="213"/>
      <c r="H12" s="213"/>
      <c r="I12" s="214"/>
    </row>
    <row r="13" spans="1:9" s="3" customFormat="1" ht="15.75" customHeight="1" x14ac:dyDescent="0.25">
      <c r="A13" s="212"/>
      <c r="B13" s="213"/>
      <c r="C13" s="213"/>
      <c r="D13" s="213"/>
      <c r="E13" s="213"/>
      <c r="F13" s="213"/>
      <c r="G13" s="213"/>
      <c r="H13" s="213"/>
      <c r="I13" s="214"/>
    </row>
    <row r="14" spans="1:9" s="3" customFormat="1" ht="15.75" customHeight="1" x14ac:dyDescent="0.25">
      <c r="A14" s="215"/>
      <c r="B14" s="216"/>
      <c r="C14" s="216"/>
      <c r="D14" s="216"/>
      <c r="E14" s="216"/>
      <c r="F14" s="216"/>
      <c r="G14" s="216"/>
      <c r="H14" s="216"/>
      <c r="I14" s="217"/>
    </row>
    <row r="15" spans="1:9" s="3" customFormat="1" ht="13.8" x14ac:dyDescent="0.25"/>
    <row r="16" spans="1:9" s="47" customFormat="1" ht="33.75" customHeight="1" x14ac:dyDescent="0.3">
      <c r="A16" s="295" t="s">
        <v>236</v>
      </c>
      <c r="B16" s="296"/>
      <c r="C16" s="296"/>
      <c r="D16" s="296"/>
      <c r="E16" s="296"/>
      <c r="F16" s="296"/>
      <c r="G16" s="296"/>
      <c r="H16" s="296"/>
      <c r="I16" s="297"/>
    </row>
    <row r="17" spans="1:9" ht="15.75" customHeight="1" x14ac:dyDescent="0.25">
      <c r="A17" s="298" t="s">
        <v>235</v>
      </c>
      <c r="B17" s="210"/>
      <c r="C17" s="210"/>
      <c r="D17" s="210"/>
      <c r="E17" s="210"/>
      <c r="F17" s="210"/>
      <c r="G17" s="210"/>
      <c r="H17" s="210"/>
      <c r="I17" s="211"/>
    </row>
    <row r="18" spans="1:9" ht="15.75" customHeight="1" x14ac:dyDescent="0.25">
      <c r="A18" s="212"/>
      <c r="B18" s="213"/>
      <c r="C18" s="213"/>
      <c r="D18" s="213"/>
      <c r="E18" s="213"/>
      <c r="F18" s="213"/>
      <c r="G18" s="213"/>
      <c r="H18" s="213"/>
      <c r="I18" s="214"/>
    </row>
    <row r="19" spans="1:9" ht="15.75" customHeight="1" x14ac:dyDescent="0.25">
      <c r="A19" s="212"/>
      <c r="B19" s="213"/>
      <c r="C19" s="213"/>
      <c r="D19" s="213"/>
      <c r="E19" s="213"/>
      <c r="F19" s="213"/>
      <c r="G19" s="213"/>
      <c r="H19" s="213"/>
      <c r="I19" s="214"/>
    </row>
    <row r="20" spans="1:9" ht="15.75" customHeight="1" x14ac:dyDescent="0.25">
      <c r="A20" s="212"/>
      <c r="B20" s="213"/>
      <c r="C20" s="213"/>
      <c r="D20" s="213"/>
      <c r="E20" s="213"/>
      <c r="F20" s="213"/>
      <c r="G20" s="213"/>
      <c r="H20" s="213"/>
      <c r="I20" s="214"/>
    </row>
    <row r="21" spans="1:9" ht="15.75" customHeight="1" x14ac:dyDescent="0.25">
      <c r="A21" s="212"/>
      <c r="B21" s="213"/>
      <c r="C21" s="213"/>
      <c r="D21" s="213"/>
      <c r="E21" s="213"/>
      <c r="F21" s="213"/>
      <c r="G21" s="213"/>
      <c r="H21" s="213"/>
      <c r="I21" s="214"/>
    </row>
    <row r="22" spans="1:9" ht="15.75" customHeight="1" x14ac:dyDescent="0.25">
      <c r="A22" s="212"/>
      <c r="B22" s="213"/>
      <c r="C22" s="213"/>
      <c r="D22" s="213"/>
      <c r="E22" s="213"/>
      <c r="F22" s="213"/>
      <c r="G22" s="213"/>
      <c r="H22" s="213"/>
      <c r="I22" s="214"/>
    </row>
    <row r="23" spans="1:9" ht="15.75" customHeight="1" x14ac:dyDescent="0.25">
      <c r="A23" s="212"/>
      <c r="B23" s="213"/>
      <c r="C23" s="213"/>
      <c r="D23" s="213"/>
      <c r="E23" s="213"/>
      <c r="F23" s="213"/>
      <c r="G23" s="213"/>
      <c r="H23" s="213"/>
      <c r="I23" s="214"/>
    </row>
    <row r="24" spans="1:9" ht="15.75" customHeight="1" x14ac:dyDescent="0.25">
      <c r="A24" s="212"/>
      <c r="B24" s="213"/>
      <c r="C24" s="213"/>
      <c r="D24" s="213"/>
      <c r="E24" s="213"/>
      <c r="F24" s="213"/>
      <c r="G24" s="213"/>
      <c r="H24" s="213"/>
      <c r="I24" s="214"/>
    </row>
    <row r="25" spans="1:9" ht="15.75" customHeight="1" x14ac:dyDescent="0.25">
      <c r="A25" s="215"/>
      <c r="B25" s="216"/>
      <c r="C25" s="216"/>
      <c r="D25" s="216"/>
      <c r="E25" s="216"/>
      <c r="F25" s="216"/>
      <c r="G25" s="216"/>
      <c r="H25" s="216"/>
      <c r="I25" s="217"/>
    </row>
    <row r="26" spans="1:9" ht="15.6" x14ac:dyDescent="0.3">
      <c r="A26" s="1"/>
      <c r="B26" s="93"/>
      <c r="C26" s="93"/>
      <c r="D26" s="93"/>
      <c r="E26" s="93"/>
      <c r="F26" s="93"/>
      <c r="G26" s="93"/>
      <c r="H26" s="93"/>
      <c r="I26" s="93"/>
    </row>
    <row r="27" spans="1:9" ht="36.75" customHeight="1" x14ac:dyDescent="0.25">
      <c r="A27" s="295" t="s">
        <v>237</v>
      </c>
      <c r="B27" s="296"/>
      <c r="C27" s="296"/>
      <c r="D27" s="296"/>
      <c r="E27" s="296"/>
      <c r="F27" s="296"/>
      <c r="G27" s="296"/>
      <c r="H27" s="296"/>
      <c r="I27" s="297"/>
    </row>
    <row r="28" spans="1:9" ht="15.75" customHeight="1" x14ac:dyDescent="0.25">
      <c r="A28" s="298" t="s">
        <v>235</v>
      </c>
      <c r="B28" s="210"/>
      <c r="C28" s="210"/>
      <c r="D28" s="210"/>
      <c r="E28" s="210"/>
      <c r="F28" s="210"/>
      <c r="G28" s="210"/>
      <c r="H28" s="210"/>
      <c r="I28" s="211"/>
    </row>
    <row r="29" spans="1:9" ht="15.75" customHeight="1" x14ac:dyDescent="0.25">
      <c r="A29" s="212"/>
      <c r="B29" s="213"/>
      <c r="C29" s="213"/>
      <c r="D29" s="213"/>
      <c r="E29" s="213"/>
      <c r="F29" s="213"/>
      <c r="G29" s="213"/>
      <c r="H29" s="213"/>
      <c r="I29" s="214"/>
    </row>
    <row r="30" spans="1:9" ht="15.75" customHeight="1" x14ac:dyDescent="0.25">
      <c r="A30" s="212"/>
      <c r="B30" s="213"/>
      <c r="C30" s="213"/>
      <c r="D30" s="213"/>
      <c r="E30" s="213"/>
      <c r="F30" s="213"/>
      <c r="G30" s="213"/>
      <c r="H30" s="213"/>
      <c r="I30" s="214"/>
    </row>
    <row r="31" spans="1:9" ht="15.75" customHeight="1" x14ac:dyDescent="0.25">
      <c r="A31" s="212"/>
      <c r="B31" s="213"/>
      <c r="C31" s="213"/>
      <c r="D31" s="213"/>
      <c r="E31" s="213"/>
      <c r="F31" s="213"/>
      <c r="G31" s="213"/>
      <c r="H31" s="213"/>
      <c r="I31" s="214"/>
    </row>
    <row r="32" spans="1:9" ht="15.75" customHeight="1" x14ac:dyDescent="0.25">
      <c r="A32" s="212"/>
      <c r="B32" s="213"/>
      <c r="C32" s="213"/>
      <c r="D32" s="213"/>
      <c r="E32" s="213"/>
      <c r="F32" s="213"/>
      <c r="G32" s="213"/>
      <c r="H32" s="213"/>
      <c r="I32" s="214"/>
    </row>
    <row r="33" spans="1:9" ht="15.75" customHeight="1" x14ac:dyDescent="0.25">
      <c r="A33" s="212"/>
      <c r="B33" s="213"/>
      <c r="C33" s="213"/>
      <c r="D33" s="213"/>
      <c r="E33" s="213"/>
      <c r="F33" s="213"/>
      <c r="G33" s="213"/>
      <c r="H33" s="213"/>
      <c r="I33" s="214"/>
    </row>
    <row r="34" spans="1:9" ht="15.75" customHeight="1" x14ac:dyDescent="0.25">
      <c r="A34" s="212"/>
      <c r="B34" s="213"/>
      <c r="C34" s="213"/>
      <c r="D34" s="213"/>
      <c r="E34" s="213"/>
      <c r="F34" s="213"/>
      <c r="G34" s="213"/>
      <c r="H34" s="213"/>
      <c r="I34" s="214"/>
    </row>
    <row r="35" spans="1:9" ht="15.75" customHeight="1" x14ac:dyDescent="0.25">
      <c r="A35" s="212"/>
      <c r="B35" s="213"/>
      <c r="C35" s="213"/>
      <c r="D35" s="213"/>
      <c r="E35" s="213"/>
      <c r="F35" s="213"/>
      <c r="G35" s="213"/>
      <c r="H35" s="213"/>
      <c r="I35" s="214"/>
    </row>
    <row r="36" spans="1:9" ht="15.75" customHeight="1" x14ac:dyDescent="0.25">
      <c r="A36" s="215"/>
      <c r="B36" s="216"/>
      <c r="C36" s="216"/>
      <c r="D36" s="216"/>
      <c r="E36" s="216"/>
      <c r="F36" s="216"/>
      <c r="G36" s="216"/>
      <c r="H36" s="216"/>
      <c r="I36" s="217"/>
    </row>
    <row r="38" spans="1:9" ht="33" customHeight="1" x14ac:dyDescent="0.25">
      <c r="A38" s="295" t="s">
        <v>238</v>
      </c>
      <c r="B38" s="296"/>
      <c r="C38" s="296"/>
      <c r="D38" s="296"/>
      <c r="E38" s="296"/>
      <c r="F38" s="296"/>
      <c r="G38" s="296"/>
      <c r="H38" s="296"/>
      <c r="I38" s="297"/>
    </row>
    <row r="39" spans="1:9" ht="15.75" customHeight="1" x14ac:dyDescent="0.25">
      <c r="A39" s="298" t="s">
        <v>235</v>
      </c>
      <c r="B39" s="210"/>
      <c r="C39" s="210"/>
      <c r="D39" s="210"/>
      <c r="E39" s="210"/>
      <c r="F39" s="210"/>
      <c r="G39" s="210"/>
      <c r="H39" s="210"/>
      <c r="I39" s="211"/>
    </row>
    <row r="40" spans="1:9" ht="15.75" customHeight="1" x14ac:dyDescent="0.25">
      <c r="A40" s="212"/>
      <c r="B40" s="213"/>
      <c r="C40" s="213"/>
      <c r="D40" s="213"/>
      <c r="E40" s="213"/>
      <c r="F40" s="213"/>
      <c r="G40" s="213"/>
      <c r="H40" s="213"/>
      <c r="I40" s="214"/>
    </row>
    <row r="41" spans="1:9" ht="15.75" customHeight="1" x14ac:dyDescent="0.25">
      <c r="A41" s="212"/>
      <c r="B41" s="213"/>
      <c r="C41" s="213"/>
      <c r="D41" s="213"/>
      <c r="E41" s="213"/>
      <c r="F41" s="213"/>
      <c r="G41" s="213"/>
      <c r="H41" s="213"/>
      <c r="I41" s="214"/>
    </row>
    <row r="42" spans="1:9" ht="15.75" customHeight="1" x14ac:dyDescent="0.25">
      <c r="A42" s="212"/>
      <c r="B42" s="213"/>
      <c r="C42" s="213"/>
      <c r="D42" s="213"/>
      <c r="E42" s="213"/>
      <c r="F42" s="213"/>
      <c r="G42" s="213"/>
      <c r="H42" s="213"/>
      <c r="I42" s="214"/>
    </row>
    <row r="43" spans="1:9" ht="15.75" customHeight="1" x14ac:dyDescent="0.25">
      <c r="A43" s="212"/>
      <c r="B43" s="213"/>
      <c r="C43" s="213"/>
      <c r="D43" s="213"/>
      <c r="E43" s="213"/>
      <c r="F43" s="213"/>
      <c r="G43" s="213"/>
      <c r="H43" s="213"/>
      <c r="I43" s="214"/>
    </row>
    <row r="44" spans="1:9" ht="15.75" customHeight="1" x14ac:dyDescent="0.25">
      <c r="A44" s="212"/>
      <c r="B44" s="213"/>
      <c r="C44" s="213"/>
      <c r="D44" s="213"/>
      <c r="E44" s="213"/>
      <c r="F44" s="213"/>
      <c r="G44" s="213"/>
      <c r="H44" s="213"/>
      <c r="I44" s="214"/>
    </row>
    <row r="45" spans="1:9" ht="15.75" customHeight="1" x14ac:dyDescent="0.25">
      <c r="A45" s="212"/>
      <c r="B45" s="213"/>
      <c r="C45" s="213"/>
      <c r="D45" s="213"/>
      <c r="E45" s="213"/>
      <c r="F45" s="213"/>
      <c r="G45" s="213"/>
      <c r="H45" s="213"/>
      <c r="I45" s="214"/>
    </row>
    <row r="46" spans="1:9" ht="15.75" customHeight="1" x14ac:dyDescent="0.25">
      <c r="A46" s="212"/>
      <c r="B46" s="213"/>
      <c r="C46" s="213"/>
      <c r="D46" s="213"/>
      <c r="E46" s="213"/>
      <c r="F46" s="213"/>
      <c r="G46" s="213"/>
      <c r="H46" s="213"/>
      <c r="I46" s="214"/>
    </row>
    <row r="47" spans="1:9" ht="15.75" customHeight="1" x14ac:dyDescent="0.25">
      <c r="A47" s="212"/>
      <c r="B47" s="213"/>
      <c r="C47" s="213"/>
      <c r="D47" s="213"/>
      <c r="E47" s="213"/>
      <c r="F47" s="213"/>
      <c r="G47" s="213"/>
      <c r="H47" s="213"/>
      <c r="I47" s="214"/>
    </row>
    <row r="48" spans="1:9" ht="15.75" customHeight="1" x14ac:dyDescent="0.25">
      <c r="A48" s="215"/>
      <c r="B48" s="216"/>
      <c r="C48" s="216"/>
      <c r="D48" s="216"/>
      <c r="E48" s="216"/>
      <c r="F48" s="216"/>
      <c r="G48" s="216"/>
      <c r="H48" s="216"/>
      <c r="I48" s="217"/>
    </row>
    <row r="66" spans="6:6" x14ac:dyDescent="0.25">
      <c r="F66" s="3"/>
    </row>
  </sheetData>
  <mergeCells count="8">
    <mergeCell ref="A38:I38"/>
    <mergeCell ref="A39:I48"/>
    <mergeCell ref="A5:I5"/>
    <mergeCell ref="A6:I14"/>
    <mergeCell ref="A16:I16"/>
    <mergeCell ref="A17:I25"/>
    <mergeCell ref="A27:I27"/>
    <mergeCell ref="A28:I36"/>
  </mergeCells>
  <pageMargins left="0.7" right="0.7" top="0.75" bottom="0.75" header="0.3" footer="0.3"/>
  <pageSetup paperSize="9" scale="87" orientation="portrait" r:id="rId1"/>
  <headerFooter scaleWithDoc="0">
    <oddFooter>&amp;C&amp;"Arial,Regular"Page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00B0F0"/>
  </sheetPr>
  <dimension ref="A1:I66"/>
  <sheetViews>
    <sheetView workbookViewId="0"/>
  </sheetViews>
  <sheetFormatPr defaultColWidth="9.44140625" defaultRowHeight="15" x14ac:dyDescent="0.25"/>
  <cols>
    <col min="1" max="1" width="9.44140625" style="2" customWidth="1"/>
    <col min="2" max="2" width="14.5546875" style="2" bestFit="1" customWidth="1"/>
    <col min="3" max="8" width="9.44140625" style="2"/>
    <col min="9" max="9" width="11.5546875" style="2" customWidth="1"/>
    <col min="10" max="16384" width="9.44140625" style="2"/>
  </cols>
  <sheetData>
    <row r="1" spans="1:9" x14ac:dyDescent="0.25">
      <c r="A1" s="93" t="str">
        <f>+'Cover Page'!$B$29</f>
        <v>Annual Performance Report 2022</v>
      </c>
      <c r="B1" s="93"/>
      <c r="C1" s="93"/>
      <c r="D1" s="93"/>
      <c r="E1" s="93" t="str">
        <f>+'Cover Page'!$B$33</f>
        <v>GLPP</v>
      </c>
      <c r="F1" s="93"/>
      <c r="G1" s="93"/>
      <c r="H1" s="93"/>
      <c r="I1" s="93"/>
    </row>
    <row r="3" spans="1:9" ht="15.6" x14ac:dyDescent="0.3">
      <c r="A3" s="1" t="s">
        <v>239</v>
      </c>
      <c r="B3" s="93"/>
      <c r="C3" s="93"/>
      <c r="D3" s="93"/>
      <c r="E3" s="93"/>
      <c r="F3" s="93"/>
      <c r="G3" s="93"/>
      <c r="H3" s="93"/>
      <c r="I3" s="93"/>
    </row>
    <row r="4" spans="1:9" ht="15.6" x14ac:dyDescent="0.3">
      <c r="A4" s="1"/>
      <c r="B4" s="93"/>
      <c r="C4" s="93"/>
      <c r="D4" s="93"/>
      <c r="E4" s="93"/>
      <c r="F4" s="93"/>
      <c r="G4" s="93"/>
      <c r="H4" s="93"/>
      <c r="I4" s="93"/>
    </row>
    <row r="5" spans="1:9" s="3" customFormat="1" ht="28.5" customHeight="1" x14ac:dyDescent="0.25">
      <c r="A5" s="48" t="s">
        <v>240</v>
      </c>
      <c r="B5" s="49"/>
      <c r="C5" s="49"/>
      <c r="D5" s="49"/>
      <c r="E5" s="49"/>
      <c r="F5" s="49"/>
      <c r="G5" s="49"/>
      <c r="H5" s="49"/>
      <c r="I5" s="50"/>
    </row>
    <row r="6" spans="1:9" s="3" customFormat="1" ht="15.75" customHeight="1" x14ac:dyDescent="0.25">
      <c r="A6" s="299" t="s">
        <v>52</v>
      </c>
      <c r="B6" s="301"/>
      <c r="C6" s="299" t="s">
        <v>241</v>
      </c>
      <c r="D6" s="300"/>
      <c r="E6" s="300"/>
      <c r="F6" s="300"/>
      <c r="G6" s="300"/>
      <c r="H6" s="300"/>
      <c r="I6" s="301"/>
    </row>
    <row r="7" spans="1:9" s="3" customFormat="1" ht="15.75" customHeight="1" x14ac:dyDescent="0.25">
      <c r="A7" s="298"/>
      <c r="B7" s="211"/>
      <c r="C7" s="298"/>
      <c r="D7" s="210"/>
      <c r="E7" s="210"/>
      <c r="F7" s="210"/>
      <c r="G7" s="210"/>
      <c r="H7" s="210"/>
      <c r="I7" s="211"/>
    </row>
    <row r="8" spans="1:9" s="3" customFormat="1" ht="15.75" customHeight="1" x14ac:dyDescent="0.25">
      <c r="A8" s="215"/>
      <c r="B8" s="217"/>
      <c r="C8" s="215"/>
      <c r="D8" s="216"/>
      <c r="E8" s="216"/>
      <c r="F8" s="216"/>
      <c r="G8" s="216"/>
      <c r="H8" s="216"/>
      <c r="I8" s="217"/>
    </row>
    <row r="9" spans="1:9" s="3" customFormat="1" ht="15.75" customHeight="1" x14ac:dyDescent="0.25">
      <c r="A9" s="298"/>
      <c r="B9" s="211"/>
      <c r="C9" s="298"/>
      <c r="D9" s="210"/>
      <c r="E9" s="210"/>
      <c r="F9" s="210"/>
      <c r="G9" s="210"/>
      <c r="H9" s="210"/>
      <c r="I9" s="211"/>
    </row>
    <row r="10" spans="1:9" s="3" customFormat="1" ht="15.75" customHeight="1" x14ac:dyDescent="0.25">
      <c r="A10" s="215"/>
      <c r="B10" s="217"/>
      <c r="C10" s="215"/>
      <c r="D10" s="216"/>
      <c r="E10" s="216"/>
      <c r="F10" s="216"/>
      <c r="G10" s="216"/>
      <c r="H10" s="216"/>
      <c r="I10" s="217"/>
    </row>
    <row r="11" spans="1:9" s="3" customFormat="1" ht="15.75" customHeight="1" x14ac:dyDescent="0.25">
      <c r="A11" s="298"/>
      <c r="B11" s="211"/>
      <c r="C11" s="298"/>
      <c r="D11" s="210"/>
      <c r="E11" s="210"/>
      <c r="F11" s="210"/>
      <c r="G11" s="210"/>
      <c r="H11" s="210"/>
      <c r="I11" s="211"/>
    </row>
    <row r="12" spans="1:9" s="3" customFormat="1" ht="15.75" customHeight="1" x14ac:dyDescent="0.25">
      <c r="A12" s="215"/>
      <c r="B12" s="217"/>
      <c r="C12" s="215"/>
      <c r="D12" s="216"/>
      <c r="E12" s="216"/>
      <c r="F12" s="216"/>
      <c r="G12" s="216"/>
      <c r="H12" s="216"/>
      <c r="I12" s="217"/>
    </row>
    <row r="13" spans="1:9" s="3" customFormat="1" ht="15.75" customHeight="1" x14ac:dyDescent="0.25">
      <c r="A13" s="298"/>
      <c r="B13" s="211"/>
      <c r="C13" s="298"/>
      <c r="D13" s="210"/>
      <c r="E13" s="210"/>
      <c r="F13" s="210"/>
      <c r="G13" s="210"/>
      <c r="H13" s="210"/>
      <c r="I13" s="211"/>
    </row>
    <row r="14" spans="1:9" s="3" customFormat="1" ht="15.75" customHeight="1" x14ac:dyDescent="0.25">
      <c r="A14" s="215"/>
      <c r="B14" s="217"/>
      <c r="C14" s="215"/>
      <c r="D14" s="216"/>
      <c r="E14" s="216"/>
      <c r="F14" s="216"/>
      <c r="G14" s="216"/>
      <c r="H14" s="216"/>
      <c r="I14" s="217"/>
    </row>
    <row r="15" spans="1:9" s="3" customFormat="1" ht="13.8" x14ac:dyDescent="0.25"/>
    <row r="16" spans="1:9" s="47" customFormat="1" ht="33.75" customHeight="1" x14ac:dyDescent="0.3">
      <c r="A16" s="295" t="s">
        <v>242</v>
      </c>
      <c r="B16" s="296"/>
      <c r="C16" s="296"/>
      <c r="D16" s="296"/>
      <c r="E16" s="296"/>
      <c r="F16" s="296"/>
      <c r="G16" s="296"/>
      <c r="H16" s="296"/>
      <c r="I16" s="297"/>
    </row>
    <row r="17" spans="1:9" ht="15.75" customHeight="1" x14ac:dyDescent="0.25">
      <c r="A17" s="299" t="s">
        <v>52</v>
      </c>
      <c r="B17" s="301"/>
      <c r="C17" s="299" t="s">
        <v>241</v>
      </c>
      <c r="D17" s="300"/>
      <c r="E17" s="300"/>
      <c r="F17" s="300"/>
      <c r="G17" s="300"/>
      <c r="H17" s="300"/>
      <c r="I17" s="300"/>
    </row>
    <row r="18" spans="1:9" ht="15.75" customHeight="1" x14ac:dyDescent="0.25">
      <c r="A18" s="298"/>
      <c r="B18" s="211"/>
      <c r="C18" s="298"/>
      <c r="D18" s="210"/>
      <c r="E18" s="210"/>
      <c r="F18" s="210"/>
      <c r="G18" s="210"/>
      <c r="H18" s="210"/>
      <c r="I18" s="211"/>
    </row>
    <row r="19" spans="1:9" ht="15.75" customHeight="1" x14ac:dyDescent="0.25">
      <c r="A19" s="215"/>
      <c r="B19" s="217"/>
      <c r="C19" s="215"/>
      <c r="D19" s="216"/>
      <c r="E19" s="216"/>
      <c r="F19" s="216"/>
      <c r="G19" s="216"/>
      <c r="H19" s="216"/>
      <c r="I19" s="217"/>
    </row>
    <row r="20" spans="1:9" ht="15.75" customHeight="1" x14ac:dyDescent="0.25">
      <c r="A20" s="298"/>
      <c r="B20" s="211"/>
      <c r="C20" s="298"/>
      <c r="D20" s="210"/>
      <c r="E20" s="210"/>
      <c r="F20" s="210"/>
      <c r="G20" s="210"/>
      <c r="H20" s="210"/>
      <c r="I20" s="211"/>
    </row>
    <row r="21" spans="1:9" ht="15.75" customHeight="1" x14ac:dyDescent="0.25">
      <c r="A21" s="215"/>
      <c r="B21" s="217"/>
      <c r="C21" s="215"/>
      <c r="D21" s="216"/>
      <c r="E21" s="216"/>
      <c r="F21" s="216"/>
      <c r="G21" s="216"/>
      <c r="H21" s="216"/>
      <c r="I21" s="217"/>
    </row>
    <row r="22" spans="1:9" ht="15.75" customHeight="1" x14ac:dyDescent="0.25">
      <c r="A22" s="298"/>
      <c r="B22" s="211"/>
      <c r="C22" s="298"/>
      <c r="D22" s="210"/>
      <c r="E22" s="210"/>
      <c r="F22" s="210"/>
      <c r="G22" s="210"/>
      <c r="H22" s="210"/>
      <c r="I22" s="211"/>
    </row>
    <row r="23" spans="1:9" ht="15.75" customHeight="1" x14ac:dyDescent="0.25">
      <c r="A23" s="215"/>
      <c r="B23" s="217"/>
      <c r="C23" s="215"/>
      <c r="D23" s="216"/>
      <c r="E23" s="216"/>
      <c r="F23" s="216"/>
      <c r="G23" s="216"/>
      <c r="H23" s="216"/>
      <c r="I23" s="217"/>
    </row>
    <row r="24" spans="1:9" ht="15.75" customHeight="1" x14ac:dyDescent="0.25">
      <c r="A24" s="298"/>
      <c r="B24" s="211"/>
      <c r="C24" s="298"/>
      <c r="D24" s="210"/>
      <c r="E24" s="210"/>
      <c r="F24" s="210"/>
      <c r="G24" s="210"/>
      <c r="H24" s="210"/>
      <c r="I24" s="211"/>
    </row>
    <row r="25" spans="1:9" ht="15.75" customHeight="1" x14ac:dyDescent="0.25">
      <c r="A25" s="215"/>
      <c r="B25" s="217"/>
      <c r="C25" s="215"/>
      <c r="D25" s="216"/>
      <c r="E25" s="216"/>
      <c r="F25" s="216"/>
      <c r="G25" s="216"/>
      <c r="H25" s="216"/>
      <c r="I25" s="217"/>
    </row>
    <row r="26" spans="1:9" ht="15.75" customHeight="1" x14ac:dyDescent="0.25">
      <c r="A26" s="298"/>
      <c r="B26" s="211"/>
      <c r="C26" s="298"/>
      <c r="D26" s="210"/>
      <c r="E26" s="210"/>
      <c r="F26" s="210"/>
      <c r="G26" s="210"/>
      <c r="H26" s="210"/>
      <c r="I26" s="211"/>
    </row>
    <row r="27" spans="1:9" ht="15.75" customHeight="1" x14ac:dyDescent="0.25">
      <c r="A27" s="215"/>
      <c r="B27" s="217"/>
      <c r="C27" s="215"/>
      <c r="D27" s="216"/>
      <c r="E27" s="216"/>
      <c r="F27" s="216"/>
      <c r="G27" s="216"/>
      <c r="H27" s="216"/>
      <c r="I27" s="217"/>
    </row>
    <row r="28" spans="1:9" ht="15.6" x14ac:dyDescent="0.3">
      <c r="A28" s="1"/>
      <c r="B28" s="93"/>
      <c r="C28" s="93"/>
      <c r="D28" s="93"/>
      <c r="E28" s="93"/>
      <c r="F28" s="93"/>
      <c r="G28" s="93"/>
      <c r="H28" s="93"/>
      <c r="I28" s="93"/>
    </row>
    <row r="29" spans="1:9" ht="36.75" customHeight="1" x14ac:dyDescent="0.25">
      <c r="A29" s="295" t="s">
        <v>243</v>
      </c>
      <c r="B29" s="296"/>
      <c r="C29" s="296"/>
      <c r="D29" s="296"/>
      <c r="E29" s="296"/>
      <c r="F29" s="296"/>
      <c r="G29" s="296"/>
      <c r="H29" s="296"/>
      <c r="I29" s="297"/>
    </row>
    <row r="66" spans="6:6" x14ac:dyDescent="0.25">
      <c r="F66" s="3"/>
    </row>
  </sheetData>
  <mergeCells count="24">
    <mergeCell ref="A17:B17"/>
    <mergeCell ref="C17:I17"/>
    <mergeCell ref="A6:B6"/>
    <mergeCell ref="C6:I6"/>
    <mergeCell ref="A7:B8"/>
    <mergeCell ref="C7:I8"/>
    <mergeCell ref="A9:B10"/>
    <mergeCell ref="C9:I10"/>
    <mergeCell ref="A11:B12"/>
    <mergeCell ref="C11:I12"/>
    <mergeCell ref="A13:B14"/>
    <mergeCell ref="C13:I14"/>
    <mergeCell ref="A16:I16"/>
    <mergeCell ref="A18:B19"/>
    <mergeCell ref="C18:I19"/>
    <mergeCell ref="A20:B21"/>
    <mergeCell ref="C20:I21"/>
    <mergeCell ref="A22:B23"/>
    <mergeCell ref="C22:I23"/>
    <mergeCell ref="A24:B25"/>
    <mergeCell ref="C24:I25"/>
    <mergeCell ref="A26:B27"/>
    <mergeCell ref="C26:I27"/>
    <mergeCell ref="A29:I29"/>
  </mergeCells>
  <pageMargins left="0.7" right="0.7" top="0.75" bottom="0.75" header="0.3" footer="0.3"/>
  <pageSetup paperSize="9" scale="87" orientation="portrait" r:id="rId1"/>
  <headerFooter scaleWithDoc="0">
    <oddFooter>&amp;C&amp;"Arial,Regular"Page &amp;P</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22CF8C-5A84-41BE-B575-33283D7A64D1}">
  <sheetPr>
    <tabColor rgb="FF00B050"/>
  </sheetPr>
  <dimension ref="A1:O24"/>
  <sheetViews>
    <sheetView topLeftCell="A13" workbookViewId="0">
      <selection activeCell="B20" sqref="B20:C20"/>
    </sheetView>
  </sheetViews>
  <sheetFormatPr defaultColWidth="8.88671875" defaultRowHeight="15" x14ac:dyDescent="0.25"/>
  <cols>
    <col min="1" max="1" width="36.5546875" style="93" customWidth="1"/>
    <col min="2" max="2" width="17.5546875" style="93" customWidth="1"/>
    <col min="3" max="3" width="37.44140625" style="93" customWidth="1"/>
    <col min="4" max="14" width="8.88671875" style="93"/>
    <col min="15" max="15" width="9" style="93" customWidth="1"/>
    <col min="16" max="16384" width="8.88671875" style="93"/>
  </cols>
  <sheetData>
    <row r="1" spans="1:15" x14ac:dyDescent="0.25">
      <c r="A1" s="93" t="str">
        <f>+'Cover Page'!$B$29</f>
        <v>Annual Performance Report 2022</v>
      </c>
      <c r="C1" s="93" t="str">
        <f>+'Cover Page'!$B$33</f>
        <v>GLPP</v>
      </c>
    </row>
    <row r="2" spans="1:15" ht="9.9" customHeight="1" x14ac:dyDescent="0.25"/>
    <row r="3" spans="1:15" ht="15.6" x14ac:dyDescent="0.3">
      <c r="A3" s="1" t="s">
        <v>244</v>
      </c>
      <c r="E3" s="81" t="s">
        <v>3</v>
      </c>
    </row>
    <row r="4" spans="1:15" ht="9.6" customHeight="1" x14ac:dyDescent="0.25"/>
    <row r="5" spans="1:15" x14ac:dyDescent="0.25">
      <c r="A5" s="302" t="s">
        <v>245</v>
      </c>
      <c r="B5" s="303"/>
      <c r="C5" s="303"/>
    </row>
    <row r="6" spans="1:15" ht="30" x14ac:dyDescent="0.25">
      <c r="A6" s="94" t="s">
        <v>246</v>
      </c>
      <c r="B6" s="98" t="s">
        <v>247</v>
      </c>
      <c r="C6" s="97"/>
    </row>
    <row r="7" spans="1:15" ht="30" x14ac:dyDescent="0.25">
      <c r="A7" s="94" t="s">
        <v>248</v>
      </c>
      <c r="B7" s="98" t="s">
        <v>249</v>
      </c>
      <c r="C7" s="97"/>
    </row>
    <row r="8" spans="1:15" ht="45" x14ac:dyDescent="0.25">
      <c r="A8" s="94" t="s">
        <v>250</v>
      </c>
      <c r="B8" s="98" t="s">
        <v>251</v>
      </c>
      <c r="C8" s="97"/>
    </row>
    <row r="9" spans="1:15" ht="89.4" customHeight="1" x14ac:dyDescent="0.3">
      <c r="A9" s="94" t="s">
        <v>252</v>
      </c>
      <c r="B9" s="304"/>
      <c r="C9" s="305"/>
      <c r="E9" s="310" t="s">
        <v>253</v>
      </c>
      <c r="F9" s="309"/>
      <c r="G9" s="309"/>
      <c r="H9" s="309"/>
      <c r="I9" s="309"/>
      <c r="J9" s="309"/>
      <c r="K9" s="309"/>
      <c r="L9" s="309"/>
      <c r="M9" s="309"/>
      <c r="N9" s="309"/>
      <c r="O9" s="309"/>
    </row>
    <row r="10" spans="1:15" ht="8.4" customHeight="1" x14ac:dyDescent="0.25">
      <c r="A10" s="95"/>
      <c r="B10" s="96"/>
      <c r="C10" s="96"/>
    </row>
    <row r="11" spans="1:15" x14ac:dyDescent="0.25">
      <c r="A11" s="306" t="s">
        <v>254</v>
      </c>
      <c r="B11" s="303"/>
      <c r="C11" s="303"/>
    </row>
    <row r="12" spans="1:15" ht="33.6" customHeight="1" x14ac:dyDescent="0.25">
      <c r="A12" s="94" t="s">
        <v>255</v>
      </c>
      <c r="B12" s="98" t="s">
        <v>256</v>
      </c>
      <c r="C12" s="97"/>
    </row>
    <row r="13" spans="1:15" ht="101.4" customHeight="1" x14ac:dyDescent="0.3">
      <c r="A13" s="94" t="s">
        <v>257</v>
      </c>
      <c r="B13" s="307"/>
      <c r="C13" s="308"/>
      <c r="E13" s="218" t="s">
        <v>258</v>
      </c>
      <c r="F13" s="309"/>
      <c r="G13" s="309"/>
      <c r="H13" s="309"/>
      <c r="I13" s="309"/>
      <c r="J13" s="309"/>
      <c r="K13" s="309"/>
      <c r="L13" s="309"/>
      <c r="M13" s="309"/>
      <c r="N13" s="309"/>
      <c r="O13" s="309"/>
    </row>
    <row r="14" spans="1:15" ht="58.65" customHeight="1" x14ac:dyDescent="0.25">
      <c r="A14" s="94" t="s">
        <v>259</v>
      </c>
      <c r="B14" s="99" t="s">
        <v>260</v>
      </c>
      <c r="C14" s="97"/>
    </row>
    <row r="15" spans="1:15" ht="6.6" customHeight="1" x14ac:dyDescent="0.25">
      <c r="A15" s="95"/>
      <c r="B15" s="96"/>
      <c r="C15" s="96"/>
    </row>
    <row r="16" spans="1:15" ht="39" customHeight="1" x14ac:dyDescent="0.25">
      <c r="A16" s="302" t="s">
        <v>261</v>
      </c>
      <c r="B16" s="303"/>
      <c r="C16" s="303"/>
    </row>
    <row r="17" spans="1:15" ht="49.35" customHeight="1" x14ac:dyDescent="0.25">
      <c r="A17" s="94" t="s">
        <v>262</v>
      </c>
      <c r="B17" s="105">
        <v>1</v>
      </c>
      <c r="C17" s="97"/>
    </row>
    <row r="18" spans="1:15" ht="103.35" customHeight="1" x14ac:dyDescent="0.3">
      <c r="A18" s="94" t="s">
        <v>263</v>
      </c>
      <c r="B18" s="307" t="s">
        <v>264</v>
      </c>
      <c r="C18" s="308"/>
      <c r="E18" s="218" t="s">
        <v>265</v>
      </c>
      <c r="F18" s="309"/>
      <c r="G18" s="309"/>
      <c r="H18" s="309"/>
      <c r="I18" s="309"/>
      <c r="J18" s="309"/>
      <c r="K18" s="309"/>
      <c r="L18" s="309"/>
      <c r="M18" s="309"/>
      <c r="N18" s="309"/>
      <c r="O18" s="309"/>
    </row>
    <row r="19" spans="1:15" ht="33.9" customHeight="1" x14ac:dyDescent="0.25">
      <c r="A19" s="94" t="s">
        <v>266</v>
      </c>
      <c r="B19" s="105">
        <v>1</v>
      </c>
      <c r="C19" s="97"/>
    </row>
    <row r="20" spans="1:15" ht="92.4" customHeight="1" x14ac:dyDescent="0.3">
      <c r="A20" s="94" t="s">
        <v>267</v>
      </c>
      <c r="B20" s="307"/>
      <c r="C20" s="308"/>
      <c r="E20" s="218" t="s">
        <v>268</v>
      </c>
      <c r="F20" s="309"/>
      <c r="G20" s="309"/>
      <c r="H20" s="309"/>
      <c r="I20" s="309"/>
      <c r="J20" s="309"/>
      <c r="K20" s="309"/>
      <c r="L20" s="309"/>
      <c r="M20" s="309"/>
      <c r="N20" s="309"/>
      <c r="O20" s="309"/>
    </row>
    <row r="21" spans="1:15" ht="9.9" customHeight="1" x14ac:dyDescent="0.25"/>
    <row r="22" spans="1:15" x14ac:dyDescent="0.25">
      <c r="A22" s="93" t="s">
        <v>269</v>
      </c>
    </row>
    <row r="23" spans="1:15" x14ac:dyDescent="0.25">
      <c r="A23" s="269"/>
      <c r="B23" s="269"/>
      <c r="C23" s="269"/>
    </row>
    <row r="24" spans="1:15" ht="64.650000000000006" customHeight="1" x14ac:dyDescent="0.25">
      <c r="A24" s="269"/>
      <c r="B24" s="269"/>
      <c r="C24" s="269"/>
    </row>
  </sheetData>
  <mergeCells count="12">
    <mergeCell ref="E20:O20"/>
    <mergeCell ref="E18:O18"/>
    <mergeCell ref="E13:O13"/>
    <mergeCell ref="E9:O9"/>
    <mergeCell ref="B20:C20"/>
    <mergeCell ref="A23:C24"/>
    <mergeCell ref="A5:C5"/>
    <mergeCell ref="B9:C9"/>
    <mergeCell ref="A11:C11"/>
    <mergeCell ref="B13:C13"/>
    <mergeCell ref="A16:C16"/>
    <mergeCell ref="B18:C18"/>
  </mergeCells>
  <pageMargins left="0.7" right="0.7" top="0.75" bottom="0.75" header="0.3" footer="0.3"/>
  <pageSetup paperSize="9" orientation="portrait" r:id="rId1"/>
  <drawing r:id="rId2"/>
  <legacyDrawing r:id="rId3"/>
  <oleObjects>
    <mc:AlternateContent xmlns:mc="http://schemas.openxmlformats.org/markup-compatibility/2006">
      <mc:Choice Requires="x14">
        <oleObject progId="Acrobat Document" dvAspect="DVASPECT_ICON" shapeId="31745" r:id="rId4">
          <objectPr defaultSize="0" autoPict="0" r:id="rId5">
            <anchor moveWithCells="1">
              <from>
                <xdr:col>6</xdr:col>
                <xdr:colOff>60960</xdr:colOff>
                <xdr:row>1</xdr:row>
                <xdr:rowOff>38100</xdr:rowOff>
              </from>
              <to>
                <xdr:col>8</xdr:col>
                <xdr:colOff>365760</xdr:colOff>
                <xdr:row>7</xdr:row>
                <xdr:rowOff>320040</xdr:rowOff>
              </to>
            </anchor>
          </objectPr>
        </oleObject>
      </mc:Choice>
      <mc:Fallback>
        <oleObject progId="Acrobat Document" dvAspect="DVASPECT_ICON" shapeId="31745" r:id="rId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00B050"/>
  </sheetPr>
  <dimension ref="A1:K56"/>
  <sheetViews>
    <sheetView workbookViewId="0">
      <selection activeCell="D34" sqref="D34"/>
    </sheetView>
  </sheetViews>
  <sheetFormatPr defaultColWidth="9.44140625" defaultRowHeight="15" x14ac:dyDescent="0.25"/>
  <cols>
    <col min="1" max="1" width="9.44140625" style="2" customWidth="1"/>
    <col min="2" max="2" width="14.5546875" style="2" bestFit="1" customWidth="1"/>
    <col min="3" max="3" width="9.44140625" style="2"/>
    <col min="4" max="4" width="17.5546875" style="2" customWidth="1"/>
    <col min="5" max="5" width="9.44140625" style="2" customWidth="1"/>
    <col min="6" max="6" width="21.5546875" style="2" customWidth="1"/>
    <col min="7" max="7" width="10.44140625" style="2" customWidth="1"/>
    <col min="8" max="16384" width="9.44140625" style="2"/>
  </cols>
  <sheetData>
    <row r="1" spans="1:7" x14ac:dyDescent="0.25">
      <c r="A1" s="93" t="str">
        <f>+'Cover Page'!$B$29</f>
        <v>Annual Performance Report 2022</v>
      </c>
      <c r="B1" s="93"/>
      <c r="C1" s="93"/>
      <c r="D1" s="93"/>
      <c r="E1" s="93" t="str">
        <f>+'Cover Page'!$B$33</f>
        <v>GLPP</v>
      </c>
      <c r="F1" s="93"/>
      <c r="G1" s="93"/>
    </row>
    <row r="3" spans="1:7" ht="15.6" x14ac:dyDescent="0.3">
      <c r="A3" s="1" t="s">
        <v>270</v>
      </c>
      <c r="B3" s="93"/>
      <c r="C3" s="93"/>
      <c r="D3" s="93"/>
      <c r="E3" s="93"/>
      <c r="F3" s="93"/>
      <c r="G3" s="93"/>
    </row>
    <row r="4" spans="1:7" ht="15.6" x14ac:dyDescent="0.3">
      <c r="A4" s="1"/>
      <c r="B4" s="93"/>
      <c r="C4" s="93"/>
      <c r="D4" s="93"/>
      <c r="E4" s="93"/>
      <c r="F4" s="93"/>
      <c r="G4" s="93"/>
    </row>
    <row r="5" spans="1:7" s="3" customFormat="1" ht="21.75" customHeight="1" x14ac:dyDescent="0.25">
      <c r="A5" s="48" t="s">
        <v>271</v>
      </c>
      <c r="B5" s="49"/>
      <c r="C5" s="49"/>
      <c r="D5" s="49"/>
      <c r="E5" s="49"/>
      <c r="F5" s="49"/>
      <c r="G5" s="50"/>
    </row>
    <row r="6" spans="1:7" s="3" customFormat="1" ht="15.75" customHeight="1" x14ac:dyDescent="0.25">
      <c r="A6" s="298" t="s">
        <v>272</v>
      </c>
      <c r="B6" s="210"/>
      <c r="C6" s="210"/>
      <c r="D6" s="210"/>
      <c r="E6" s="210"/>
      <c r="F6" s="210"/>
      <c r="G6" s="211"/>
    </row>
    <row r="7" spans="1:7" s="3" customFormat="1" ht="15.75" customHeight="1" x14ac:dyDescent="0.25">
      <c r="A7" s="215"/>
      <c r="B7" s="216"/>
      <c r="C7" s="216"/>
      <c r="D7" s="216"/>
      <c r="E7" s="216"/>
      <c r="F7" s="216"/>
      <c r="G7" s="217"/>
    </row>
    <row r="8" spans="1:7" s="3" customFormat="1" ht="15.75" customHeight="1" x14ac:dyDescent="0.25">
      <c r="A8" s="201"/>
      <c r="B8" s="202"/>
      <c r="C8" s="202"/>
      <c r="D8" s="202"/>
      <c r="E8" s="202"/>
      <c r="F8" s="202"/>
      <c r="G8" s="203"/>
    </row>
    <row r="9" spans="1:7" s="3" customFormat="1" ht="15.75" customHeight="1" x14ac:dyDescent="0.25">
      <c r="A9" s="207"/>
      <c r="B9" s="208"/>
      <c r="C9" s="208"/>
      <c r="D9" s="208"/>
      <c r="E9" s="208"/>
      <c r="F9" s="208"/>
      <c r="G9" s="209"/>
    </row>
    <row r="10" spans="1:7" s="3" customFormat="1" ht="15.75" customHeight="1" x14ac:dyDescent="0.25">
      <c r="A10" s="201"/>
      <c r="B10" s="202"/>
      <c r="C10" s="202"/>
      <c r="D10" s="202"/>
      <c r="E10" s="202"/>
      <c r="F10" s="202"/>
      <c r="G10" s="203"/>
    </row>
    <row r="11" spans="1:7" s="3" customFormat="1" ht="15.75" customHeight="1" x14ac:dyDescent="0.25">
      <c r="A11" s="207"/>
      <c r="B11" s="208"/>
      <c r="C11" s="208"/>
      <c r="D11" s="208"/>
      <c r="E11" s="208"/>
      <c r="F11" s="208"/>
      <c r="G11" s="209"/>
    </row>
    <row r="12" spans="1:7" s="3" customFormat="1" ht="13.8" x14ac:dyDescent="0.25"/>
    <row r="13" spans="1:7" s="47" customFormat="1" ht="33.75" customHeight="1" x14ac:dyDescent="0.3">
      <c r="A13" s="295" t="s">
        <v>273</v>
      </c>
      <c r="B13" s="296"/>
      <c r="C13" s="296"/>
      <c r="D13" s="296"/>
      <c r="E13" s="296"/>
      <c r="F13" s="296"/>
      <c r="G13" s="297"/>
    </row>
    <row r="14" spans="1:7" ht="15.75" customHeight="1" x14ac:dyDescent="0.25">
      <c r="A14" s="299" t="s">
        <v>274</v>
      </c>
      <c r="B14" s="301"/>
      <c r="C14" s="299" t="s">
        <v>241</v>
      </c>
      <c r="D14" s="300"/>
      <c r="E14" s="300"/>
      <c r="F14" s="300"/>
      <c r="G14" s="300"/>
    </row>
    <row r="15" spans="1:7" ht="15.75" customHeight="1" x14ac:dyDescent="0.25">
      <c r="A15" s="201"/>
      <c r="B15" s="203"/>
      <c r="C15" s="298"/>
      <c r="D15" s="210"/>
      <c r="E15" s="210"/>
      <c r="F15" s="210"/>
      <c r="G15" s="211"/>
    </row>
    <row r="16" spans="1:7" ht="15.75" customHeight="1" x14ac:dyDescent="0.25">
      <c r="A16" s="207"/>
      <c r="B16" s="209"/>
      <c r="C16" s="215"/>
      <c r="D16" s="216"/>
      <c r="E16" s="216"/>
      <c r="F16" s="216"/>
      <c r="G16" s="217"/>
    </row>
    <row r="17" spans="1:11" ht="15.75" customHeight="1" x14ac:dyDescent="0.25">
      <c r="A17" s="298"/>
      <c r="B17" s="211"/>
      <c r="C17" s="298"/>
      <c r="D17" s="210"/>
      <c r="E17" s="210"/>
      <c r="F17" s="210"/>
      <c r="G17" s="211"/>
      <c r="H17" s="93"/>
      <c r="I17" s="93"/>
      <c r="J17" s="93"/>
      <c r="K17" s="93"/>
    </row>
    <row r="18" spans="1:11" ht="15.75" customHeight="1" x14ac:dyDescent="0.25">
      <c r="A18" s="215"/>
      <c r="B18" s="217"/>
      <c r="C18" s="215"/>
      <c r="D18" s="216"/>
      <c r="E18" s="216"/>
      <c r="F18" s="216"/>
      <c r="G18" s="217"/>
      <c r="H18" s="93"/>
      <c r="I18" s="93"/>
      <c r="J18" s="93"/>
      <c r="K18" s="93"/>
    </row>
    <row r="19" spans="1:11" ht="15.75" customHeight="1" x14ac:dyDescent="0.25">
      <c r="A19" s="298"/>
      <c r="B19" s="211"/>
      <c r="C19" s="298"/>
      <c r="D19" s="210"/>
      <c r="E19" s="210"/>
      <c r="F19" s="210"/>
      <c r="G19" s="211"/>
      <c r="H19" s="93"/>
      <c r="I19" s="93"/>
      <c r="J19" s="93"/>
      <c r="K19" s="93"/>
    </row>
    <row r="20" spans="1:11" ht="15.75" customHeight="1" x14ac:dyDescent="0.25">
      <c r="A20" s="215"/>
      <c r="B20" s="217"/>
      <c r="C20" s="215"/>
      <c r="D20" s="216"/>
      <c r="E20" s="216"/>
      <c r="F20" s="216"/>
      <c r="G20" s="217"/>
      <c r="H20" s="93"/>
      <c r="I20" s="93"/>
      <c r="J20" s="93"/>
      <c r="K20" s="93"/>
    </row>
    <row r="21" spans="1:11" ht="15.75" customHeight="1" x14ac:dyDescent="0.25">
      <c r="A21" s="298"/>
      <c r="B21" s="211"/>
      <c r="C21" s="298"/>
      <c r="D21" s="210"/>
      <c r="E21" s="210"/>
      <c r="F21" s="210"/>
      <c r="G21" s="211"/>
      <c r="H21" s="93"/>
      <c r="I21" s="93"/>
      <c r="J21" s="93"/>
      <c r="K21" s="93"/>
    </row>
    <row r="22" spans="1:11" ht="15.75" customHeight="1" x14ac:dyDescent="0.25">
      <c r="A22" s="215"/>
      <c r="B22" s="217"/>
      <c r="C22" s="215"/>
      <c r="D22" s="216"/>
      <c r="E22" s="216"/>
      <c r="F22" s="216"/>
      <c r="G22" s="217"/>
      <c r="H22" s="93"/>
      <c r="I22" s="93"/>
      <c r="J22" s="93"/>
      <c r="K22" s="93"/>
    </row>
    <row r="23" spans="1:11" ht="15.75" customHeight="1" x14ac:dyDescent="0.25">
      <c r="A23" s="298"/>
      <c r="B23" s="211"/>
      <c r="C23" s="298"/>
      <c r="D23" s="210"/>
      <c r="E23" s="210"/>
      <c r="F23" s="210"/>
      <c r="G23" s="211"/>
      <c r="H23" s="93"/>
      <c r="I23" s="93"/>
      <c r="J23" s="93"/>
      <c r="K23" s="93"/>
    </row>
    <row r="24" spans="1:11" ht="15.75" customHeight="1" x14ac:dyDescent="0.25">
      <c r="A24" s="215"/>
      <c r="B24" s="217"/>
      <c r="C24" s="215"/>
      <c r="D24" s="216"/>
      <c r="E24" s="216"/>
      <c r="F24" s="216"/>
      <c r="G24" s="217"/>
      <c r="H24" s="93"/>
      <c r="I24" s="93"/>
      <c r="J24" s="93"/>
      <c r="K24" s="93"/>
    </row>
    <row r="26" spans="1:11" x14ac:dyDescent="0.25">
      <c r="A26" s="121"/>
      <c r="B26" s="121"/>
      <c r="C26" s="121"/>
      <c r="D26" s="121"/>
      <c r="E26" s="121"/>
      <c r="F26" s="121"/>
      <c r="G26" s="121"/>
      <c r="H26" s="93"/>
      <c r="I26" s="93"/>
      <c r="J26" s="93"/>
      <c r="K26" s="93"/>
    </row>
    <row r="27" spans="1:11" s="56" customFormat="1" ht="16.5" customHeight="1" x14ac:dyDescent="0.25">
      <c r="A27" s="319" t="s">
        <v>275</v>
      </c>
      <c r="B27" s="319"/>
      <c r="C27" s="319"/>
      <c r="D27" s="319"/>
      <c r="E27" s="319"/>
      <c r="F27" s="319"/>
      <c r="G27" s="319"/>
    </row>
    <row r="28" spans="1:11" s="12" customFormat="1" ht="17.25" customHeight="1" x14ac:dyDescent="0.25">
      <c r="A28" s="312" t="s">
        <v>276</v>
      </c>
      <c r="B28" s="312"/>
      <c r="C28" s="281" t="s">
        <v>277</v>
      </c>
      <c r="D28" s="281" t="s">
        <v>278</v>
      </c>
      <c r="E28" s="281"/>
      <c r="F28" s="281"/>
      <c r="G28" s="281"/>
      <c r="H28" s="121"/>
      <c r="I28" s="121"/>
      <c r="J28" s="121"/>
      <c r="K28" s="121"/>
    </row>
    <row r="29" spans="1:11" s="12" customFormat="1" ht="17.25" customHeight="1" x14ac:dyDescent="0.25">
      <c r="A29" s="312"/>
      <c r="B29" s="312"/>
      <c r="C29" s="281"/>
      <c r="D29" s="281" t="s">
        <v>279</v>
      </c>
      <c r="E29" s="281"/>
      <c r="F29" s="281" t="s">
        <v>164</v>
      </c>
      <c r="G29" s="281"/>
      <c r="H29" s="121"/>
      <c r="I29" s="121"/>
      <c r="J29" s="121"/>
      <c r="K29" s="121"/>
    </row>
    <row r="30" spans="1:11" s="37" customFormat="1" ht="38.1" customHeight="1" x14ac:dyDescent="0.25">
      <c r="A30" s="228" t="s">
        <v>280</v>
      </c>
      <c r="B30" s="228"/>
      <c r="C30" s="167" t="s">
        <v>281</v>
      </c>
      <c r="D30" s="313">
        <v>0</v>
      </c>
      <c r="E30" s="272"/>
      <c r="F30" s="315"/>
      <c r="G30" s="316"/>
      <c r="H30" s="159"/>
      <c r="I30" s="159"/>
      <c r="J30" s="121"/>
      <c r="K30" s="121"/>
    </row>
    <row r="31" spans="1:11" s="37" customFormat="1" ht="38.1" customHeight="1" x14ac:dyDescent="0.25">
      <c r="A31" s="228" t="s">
        <v>282</v>
      </c>
      <c r="B31" s="228"/>
      <c r="C31" s="164" t="s">
        <v>283</v>
      </c>
      <c r="D31" s="314">
        <v>1.1000000000000001E-3</v>
      </c>
      <c r="E31" s="272"/>
      <c r="F31" s="315"/>
      <c r="G31" s="316"/>
      <c r="H31" s="159"/>
      <c r="I31" s="159"/>
      <c r="J31" s="121"/>
      <c r="K31" s="121"/>
    </row>
    <row r="32" spans="1:11" s="37" customFormat="1" ht="38.1" customHeight="1" x14ac:dyDescent="0.25">
      <c r="A32" s="228" t="s">
        <v>284</v>
      </c>
      <c r="B32" s="228"/>
      <c r="C32" s="164" t="s">
        <v>285</v>
      </c>
      <c r="D32" s="272">
        <v>8</v>
      </c>
      <c r="E32" s="272"/>
      <c r="F32" s="317"/>
      <c r="G32" s="318"/>
      <c r="H32" s="159"/>
      <c r="I32" s="159"/>
      <c r="J32" s="121"/>
      <c r="K32" s="121"/>
    </row>
    <row r="33" spans="1:7" s="37" customFormat="1" ht="38.1" customHeight="1" x14ac:dyDescent="0.3">
      <c r="A33" s="228" t="s">
        <v>286</v>
      </c>
      <c r="B33" s="228"/>
      <c r="C33" s="164" t="s">
        <v>285</v>
      </c>
      <c r="D33" s="272">
        <v>0</v>
      </c>
      <c r="E33" s="272"/>
      <c r="F33" s="315"/>
      <c r="G33" s="316"/>
    </row>
    <row r="35" spans="1:7" x14ac:dyDescent="0.25">
      <c r="A35" s="229" t="s">
        <v>287</v>
      </c>
      <c r="B35" s="229"/>
      <c r="C35" s="229"/>
      <c r="D35" s="229"/>
      <c r="E35" s="229"/>
      <c r="F35" s="229"/>
      <c r="G35" s="229"/>
    </row>
    <row r="36" spans="1:7" x14ac:dyDescent="0.25">
      <c r="A36" s="311"/>
      <c r="B36" s="311"/>
      <c r="C36" s="311"/>
      <c r="D36" s="311"/>
      <c r="E36" s="311"/>
      <c r="F36" s="311"/>
      <c r="G36" s="311"/>
    </row>
    <row r="37" spans="1:7" x14ac:dyDescent="0.25">
      <c r="A37" s="311"/>
      <c r="B37" s="311"/>
      <c r="C37" s="311"/>
      <c r="D37" s="311"/>
      <c r="E37" s="311"/>
      <c r="F37" s="311"/>
      <c r="G37" s="311"/>
    </row>
    <row r="38" spans="1:7" x14ac:dyDescent="0.25">
      <c r="A38" s="311"/>
      <c r="B38" s="311"/>
      <c r="C38" s="311"/>
      <c r="D38" s="311"/>
      <c r="E38" s="311"/>
      <c r="F38" s="311"/>
      <c r="G38" s="311"/>
    </row>
    <row r="39" spans="1:7" x14ac:dyDescent="0.25">
      <c r="A39" s="311"/>
      <c r="B39" s="311"/>
      <c r="C39" s="311"/>
      <c r="D39" s="311"/>
      <c r="E39" s="311"/>
      <c r="F39" s="311"/>
      <c r="G39" s="311"/>
    </row>
    <row r="40" spans="1:7" x14ac:dyDescent="0.25">
      <c r="A40" s="311"/>
      <c r="B40" s="311"/>
      <c r="C40" s="311"/>
      <c r="D40" s="311"/>
      <c r="E40" s="311"/>
      <c r="F40" s="311"/>
      <c r="G40" s="311"/>
    </row>
    <row r="41" spans="1:7" x14ac:dyDescent="0.25">
      <c r="A41" s="311"/>
      <c r="B41" s="311"/>
      <c r="C41" s="311"/>
      <c r="D41" s="311"/>
      <c r="E41" s="311"/>
      <c r="F41" s="311"/>
      <c r="G41" s="311"/>
    </row>
    <row r="56" spans="6:6" x14ac:dyDescent="0.25">
      <c r="F56" s="3"/>
    </row>
  </sheetData>
  <mergeCells count="36">
    <mergeCell ref="A17:B18"/>
    <mergeCell ref="C17:G18"/>
    <mergeCell ref="A19:B20"/>
    <mergeCell ref="C19:G20"/>
    <mergeCell ref="A13:G13"/>
    <mergeCell ref="A14:B14"/>
    <mergeCell ref="C14:G14"/>
    <mergeCell ref="A6:G7"/>
    <mergeCell ref="A8:G9"/>
    <mergeCell ref="A10:G11"/>
    <mergeCell ref="A15:B16"/>
    <mergeCell ref="C15:G16"/>
    <mergeCell ref="A21:B22"/>
    <mergeCell ref="C21:G22"/>
    <mergeCell ref="A23:B24"/>
    <mergeCell ref="C23:G24"/>
    <mergeCell ref="D32:E32"/>
    <mergeCell ref="C28:C29"/>
    <mergeCell ref="D29:E29"/>
    <mergeCell ref="F29:G29"/>
    <mergeCell ref="D28:G28"/>
    <mergeCell ref="A27:G27"/>
    <mergeCell ref="A36:G41"/>
    <mergeCell ref="D33:E33"/>
    <mergeCell ref="A35:G35"/>
    <mergeCell ref="A28:B29"/>
    <mergeCell ref="A30:B30"/>
    <mergeCell ref="A31:B31"/>
    <mergeCell ref="A32:B32"/>
    <mergeCell ref="A33:B33"/>
    <mergeCell ref="D30:E30"/>
    <mergeCell ref="D31:E31"/>
    <mergeCell ref="F30:G30"/>
    <mergeCell ref="F31:G31"/>
    <mergeCell ref="F32:G32"/>
    <mergeCell ref="F33:G33"/>
  </mergeCells>
  <pageMargins left="0.7" right="0.7" top="0.75" bottom="0.75" header="0.3" footer="0.3"/>
  <pageSetup paperSize="9" scale="87" orientation="portrait" r:id="rId1"/>
  <headerFooter scaleWithDoc="0">
    <oddFooter>&amp;C&amp;"Arial,Regular"Page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00B050"/>
  </sheetPr>
  <dimension ref="A1:I66"/>
  <sheetViews>
    <sheetView workbookViewId="0">
      <selection activeCell="F26" sqref="F26"/>
    </sheetView>
  </sheetViews>
  <sheetFormatPr defaultColWidth="9.44140625" defaultRowHeight="15" x14ac:dyDescent="0.25"/>
  <cols>
    <col min="1" max="1" width="9.44140625" style="2" customWidth="1"/>
    <col min="2" max="2" width="14.5546875" style="2" bestFit="1" customWidth="1"/>
    <col min="3" max="8" width="9.44140625" style="2"/>
    <col min="9" max="9" width="11.5546875" style="2" customWidth="1"/>
    <col min="10" max="16384" width="9.44140625" style="2"/>
  </cols>
  <sheetData>
    <row r="1" spans="1:9" x14ac:dyDescent="0.25">
      <c r="A1" s="93" t="str">
        <f>+'Cover Page'!$B$29</f>
        <v>Annual Performance Report 2022</v>
      </c>
      <c r="B1" s="93"/>
      <c r="C1" s="93"/>
      <c r="D1" s="93"/>
      <c r="E1" s="93" t="str">
        <f>+'Cover Page'!$B$33</f>
        <v>GLPP</v>
      </c>
      <c r="F1" s="93"/>
      <c r="G1" s="93"/>
      <c r="H1" s="93"/>
      <c r="I1" s="93"/>
    </row>
    <row r="3" spans="1:9" ht="15.6" x14ac:dyDescent="0.3">
      <c r="A3" s="1" t="s">
        <v>41</v>
      </c>
      <c r="B3" s="93"/>
      <c r="C3" s="93"/>
      <c r="D3" s="93"/>
      <c r="E3" s="93"/>
      <c r="F3" s="93"/>
      <c r="G3" s="93"/>
      <c r="H3" s="93"/>
      <c r="I3" s="93"/>
    </row>
    <row r="4" spans="1:9" ht="15.6" x14ac:dyDescent="0.3">
      <c r="A4" s="1"/>
      <c r="B4" s="93"/>
      <c r="C4" s="93"/>
      <c r="D4" s="93"/>
      <c r="E4" s="93"/>
      <c r="F4" s="93"/>
      <c r="G4" s="93"/>
      <c r="H4" s="93"/>
      <c r="I4" s="93"/>
    </row>
    <row r="5" spans="1:9" s="3" customFormat="1" ht="21.75" customHeight="1" x14ac:dyDescent="0.25">
      <c r="A5" s="48" t="s">
        <v>271</v>
      </c>
      <c r="B5" s="49"/>
      <c r="C5" s="49"/>
      <c r="D5" s="49"/>
      <c r="E5" s="49"/>
      <c r="F5" s="49"/>
      <c r="G5" s="49"/>
      <c r="H5" s="49"/>
      <c r="I5" s="50"/>
    </row>
    <row r="6" spans="1:9" s="3" customFormat="1" ht="15.75" customHeight="1" x14ac:dyDescent="0.25">
      <c r="A6" s="298"/>
      <c r="B6" s="210"/>
      <c r="C6" s="210"/>
      <c r="D6" s="210"/>
      <c r="E6" s="210"/>
      <c r="F6" s="210"/>
      <c r="G6" s="210"/>
      <c r="H6" s="210"/>
      <c r="I6" s="211"/>
    </row>
    <row r="7" spans="1:9" s="3" customFormat="1" ht="15.75" customHeight="1" x14ac:dyDescent="0.25">
      <c r="A7" s="215"/>
      <c r="B7" s="216"/>
      <c r="C7" s="216"/>
      <c r="D7" s="216"/>
      <c r="E7" s="216"/>
      <c r="F7" s="216"/>
      <c r="G7" s="216"/>
      <c r="H7" s="216"/>
      <c r="I7" s="217"/>
    </row>
    <row r="8" spans="1:9" s="3" customFormat="1" ht="15.75" customHeight="1" x14ac:dyDescent="0.25">
      <c r="A8" s="201"/>
      <c r="B8" s="202"/>
      <c r="C8" s="202"/>
      <c r="D8" s="202"/>
      <c r="E8" s="202"/>
      <c r="F8" s="202"/>
      <c r="G8" s="202"/>
      <c r="H8" s="202"/>
      <c r="I8" s="203"/>
    </row>
    <row r="9" spans="1:9" s="3" customFormat="1" ht="15.75" customHeight="1" x14ac:dyDescent="0.25">
      <c r="A9" s="207"/>
      <c r="B9" s="208"/>
      <c r="C9" s="208"/>
      <c r="D9" s="208"/>
      <c r="E9" s="208"/>
      <c r="F9" s="208"/>
      <c r="G9" s="208"/>
      <c r="H9" s="208"/>
      <c r="I9" s="209"/>
    </row>
    <row r="10" spans="1:9" s="3" customFormat="1" ht="15.75" customHeight="1" x14ac:dyDescent="0.25">
      <c r="A10" s="201"/>
      <c r="B10" s="202"/>
      <c r="C10" s="202"/>
      <c r="D10" s="202"/>
      <c r="E10" s="202"/>
      <c r="F10" s="202"/>
      <c r="G10" s="202"/>
      <c r="H10" s="202"/>
      <c r="I10" s="203"/>
    </row>
    <row r="11" spans="1:9" s="3" customFormat="1" ht="15.75" customHeight="1" x14ac:dyDescent="0.25">
      <c r="A11" s="207"/>
      <c r="B11" s="208"/>
      <c r="C11" s="208"/>
      <c r="D11" s="208"/>
      <c r="E11" s="208"/>
      <c r="F11" s="208"/>
      <c r="G11" s="208"/>
      <c r="H11" s="208"/>
      <c r="I11" s="209"/>
    </row>
    <row r="12" spans="1:9" s="3" customFormat="1" ht="13.8" x14ac:dyDescent="0.25"/>
    <row r="13" spans="1:9" s="47" customFormat="1" ht="33.75" customHeight="1" x14ac:dyDescent="0.3">
      <c r="A13" s="295" t="s">
        <v>273</v>
      </c>
      <c r="B13" s="296"/>
      <c r="C13" s="296"/>
      <c r="D13" s="296"/>
      <c r="E13" s="296"/>
      <c r="F13" s="296"/>
      <c r="G13" s="296"/>
      <c r="H13" s="296"/>
      <c r="I13" s="297"/>
    </row>
    <row r="14" spans="1:9" ht="15.75" customHeight="1" x14ac:dyDescent="0.25">
      <c r="A14" s="299" t="s">
        <v>274</v>
      </c>
      <c r="B14" s="301"/>
      <c r="C14" s="299" t="s">
        <v>241</v>
      </c>
      <c r="D14" s="300"/>
      <c r="E14" s="300"/>
      <c r="F14" s="300"/>
      <c r="G14" s="300"/>
      <c r="H14" s="300"/>
      <c r="I14" s="300"/>
    </row>
    <row r="15" spans="1:9" ht="15.75" customHeight="1" x14ac:dyDescent="0.25">
      <c r="A15" s="201"/>
      <c r="B15" s="203"/>
      <c r="C15" s="298"/>
      <c r="D15" s="210"/>
      <c r="E15" s="210"/>
      <c r="F15" s="210"/>
      <c r="G15" s="210"/>
      <c r="H15" s="210"/>
      <c r="I15" s="211"/>
    </row>
    <row r="16" spans="1:9" ht="15.75" customHeight="1" x14ac:dyDescent="0.25">
      <c r="A16" s="207"/>
      <c r="B16" s="209"/>
      <c r="C16" s="215"/>
      <c r="D16" s="216"/>
      <c r="E16" s="216"/>
      <c r="F16" s="216"/>
      <c r="G16" s="216"/>
      <c r="H16" s="216"/>
      <c r="I16" s="217"/>
    </row>
    <row r="17" spans="1:9" ht="15.75" customHeight="1" x14ac:dyDescent="0.25">
      <c r="A17" s="298"/>
      <c r="B17" s="211"/>
      <c r="C17" s="298"/>
      <c r="D17" s="210"/>
      <c r="E17" s="210"/>
      <c r="F17" s="210"/>
      <c r="G17" s="210"/>
      <c r="H17" s="210"/>
      <c r="I17" s="211"/>
    </row>
    <row r="18" spans="1:9" ht="15.75" customHeight="1" x14ac:dyDescent="0.25">
      <c r="A18" s="215"/>
      <c r="B18" s="217"/>
      <c r="C18" s="215"/>
      <c r="D18" s="216"/>
      <c r="E18" s="216"/>
      <c r="F18" s="216"/>
      <c r="G18" s="216"/>
      <c r="H18" s="216"/>
      <c r="I18" s="217"/>
    </row>
    <row r="19" spans="1:9" ht="15.75" customHeight="1" x14ac:dyDescent="0.25">
      <c r="A19" s="298"/>
      <c r="B19" s="211"/>
      <c r="C19" s="298"/>
      <c r="D19" s="210"/>
      <c r="E19" s="210"/>
      <c r="F19" s="210"/>
      <c r="G19" s="210"/>
      <c r="H19" s="210"/>
      <c r="I19" s="211"/>
    </row>
    <row r="20" spans="1:9" ht="15.75" customHeight="1" x14ac:dyDescent="0.25">
      <c r="A20" s="215"/>
      <c r="B20" s="217"/>
      <c r="C20" s="215"/>
      <c r="D20" s="216"/>
      <c r="E20" s="216"/>
      <c r="F20" s="216"/>
      <c r="G20" s="216"/>
      <c r="H20" s="216"/>
      <c r="I20" s="217"/>
    </row>
    <row r="22" spans="1:9" ht="22.5" customHeight="1" x14ac:dyDescent="0.25">
      <c r="A22" s="326" t="s">
        <v>288</v>
      </c>
      <c r="B22" s="327"/>
      <c r="C22" s="327"/>
      <c r="D22" s="327"/>
      <c r="E22" s="327"/>
      <c r="F22" s="327"/>
      <c r="G22" s="327"/>
      <c r="H22" s="327"/>
      <c r="I22" s="327"/>
    </row>
    <row r="23" spans="1:9" ht="19.5" customHeight="1" x14ac:dyDescent="0.25">
      <c r="A23" s="328" t="s">
        <v>188</v>
      </c>
      <c r="B23" s="329"/>
      <c r="C23" s="330"/>
      <c r="D23" s="331" t="s">
        <v>289</v>
      </c>
      <c r="E23" s="332"/>
      <c r="F23" s="54" t="s">
        <v>277</v>
      </c>
      <c r="G23" s="54" t="s">
        <v>290</v>
      </c>
      <c r="H23" s="54" t="s">
        <v>291</v>
      </c>
      <c r="I23" s="54" t="s">
        <v>292</v>
      </c>
    </row>
    <row r="24" spans="1:9" x14ac:dyDescent="0.25">
      <c r="A24" s="323" t="s">
        <v>293</v>
      </c>
      <c r="B24" s="324"/>
      <c r="C24" s="325"/>
      <c r="D24" s="321" t="s">
        <v>294</v>
      </c>
      <c r="E24" s="322"/>
      <c r="F24" s="106" t="s">
        <v>295</v>
      </c>
      <c r="G24" s="106"/>
      <c r="H24" s="106"/>
      <c r="I24" s="106" t="s">
        <v>296</v>
      </c>
    </row>
    <row r="25" spans="1:9" x14ac:dyDescent="0.25">
      <c r="A25" s="323" t="s">
        <v>297</v>
      </c>
      <c r="B25" s="324"/>
      <c r="C25" s="325"/>
      <c r="D25" s="321" t="s">
        <v>294</v>
      </c>
      <c r="E25" s="322"/>
      <c r="F25" s="106" t="s">
        <v>298</v>
      </c>
      <c r="G25" s="106"/>
      <c r="H25" s="106"/>
      <c r="I25" s="106" t="s">
        <v>299</v>
      </c>
    </row>
    <row r="26" spans="1:9" x14ac:dyDescent="0.25">
      <c r="A26" s="323" t="s">
        <v>300</v>
      </c>
      <c r="B26" s="324"/>
      <c r="C26" s="325"/>
      <c r="D26" s="321" t="s">
        <v>294</v>
      </c>
      <c r="E26" s="322"/>
      <c r="F26" s="106" t="s">
        <v>295</v>
      </c>
      <c r="G26" s="106"/>
      <c r="H26" s="106"/>
      <c r="I26" s="106" t="s">
        <v>296</v>
      </c>
    </row>
    <row r="27" spans="1:9" x14ac:dyDescent="0.25">
      <c r="A27" s="323" t="s">
        <v>301</v>
      </c>
      <c r="B27" s="324"/>
      <c r="C27" s="325"/>
      <c r="D27" s="321" t="s">
        <v>294</v>
      </c>
      <c r="E27" s="322"/>
      <c r="F27" s="106" t="s">
        <v>302</v>
      </c>
      <c r="G27" s="106"/>
      <c r="H27" s="106"/>
      <c r="I27" s="106" t="s">
        <v>296</v>
      </c>
    </row>
    <row r="28" spans="1:9" x14ac:dyDescent="0.25">
      <c r="A28" s="323" t="s">
        <v>303</v>
      </c>
      <c r="B28" s="324"/>
      <c r="C28" s="325"/>
      <c r="D28" s="321" t="s">
        <v>294</v>
      </c>
      <c r="E28" s="322"/>
      <c r="F28" s="106" t="s">
        <v>304</v>
      </c>
      <c r="G28" s="106"/>
      <c r="H28" s="106"/>
      <c r="I28" s="106" t="s">
        <v>296</v>
      </c>
    </row>
    <row r="29" spans="1:9" x14ac:dyDescent="0.25">
      <c r="A29" s="323" t="s">
        <v>305</v>
      </c>
      <c r="B29" s="324"/>
      <c r="C29" s="325"/>
      <c r="D29" s="321" t="s">
        <v>294</v>
      </c>
      <c r="E29" s="322"/>
      <c r="F29" s="106" t="s">
        <v>306</v>
      </c>
      <c r="G29" s="106"/>
      <c r="H29" s="106"/>
      <c r="I29" s="106" t="s">
        <v>296</v>
      </c>
    </row>
    <row r="30" spans="1:9" x14ac:dyDescent="0.25">
      <c r="A30" s="320"/>
      <c r="B30" s="320"/>
      <c r="C30" s="320"/>
      <c r="D30" s="321"/>
      <c r="E30" s="322"/>
      <c r="F30" s="106"/>
      <c r="G30" s="106"/>
      <c r="H30" s="106"/>
      <c r="I30" s="106"/>
    </row>
    <row r="31" spans="1:9" x14ac:dyDescent="0.25">
      <c r="A31" s="121"/>
      <c r="B31" s="121"/>
      <c r="C31" s="121"/>
      <c r="D31" s="121"/>
      <c r="E31" s="121"/>
      <c r="F31" s="121"/>
      <c r="G31" s="121"/>
      <c r="H31" s="121"/>
      <c r="I31" s="121"/>
    </row>
    <row r="32" spans="1:9" x14ac:dyDescent="0.25">
      <c r="A32" s="121"/>
      <c r="B32" s="121"/>
      <c r="C32" s="121"/>
      <c r="D32" s="121"/>
      <c r="E32" s="121"/>
      <c r="F32" s="121"/>
      <c r="G32" s="121"/>
      <c r="H32" s="121"/>
      <c r="I32" s="121"/>
    </row>
    <row r="33" spans="1:9" x14ac:dyDescent="0.25">
      <c r="A33" s="121"/>
      <c r="B33" s="121"/>
      <c r="C33" s="121"/>
      <c r="D33" s="121"/>
      <c r="E33" s="121"/>
      <c r="F33" s="121"/>
      <c r="G33" s="121"/>
      <c r="H33" s="121"/>
      <c r="I33" s="121"/>
    </row>
    <row r="66" spans="5:5" x14ac:dyDescent="0.25">
      <c r="E66" s="3"/>
    </row>
  </sheetData>
  <mergeCells count="29">
    <mergeCell ref="A6:I7"/>
    <mergeCell ref="A8:I9"/>
    <mergeCell ref="A10:I11"/>
    <mergeCell ref="A13:I13"/>
    <mergeCell ref="A14:B14"/>
    <mergeCell ref="C14:I14"/>
    <mergeCell ref="A22:I22"/>
    <mergeCell ref="A23:C23"/>
    <mergeCell ref="D23:E23"/>
    <mergeCell ref="A15:B16"/>
    <mergeCell ref="C15:I16"/>
    <mergeCell ref="A17:B18"/>
    <mergeCell ref="C17:I18"/>
    <mergeCell ref="A19:B20"/>
    <mergeCell ref="C19:I20"/>
    <mergeCell ref="A24:C24"/>
    <mergeCell ref="D24:E24"/>
    <mergeCell ref="A25:C25"/>
    <mergeCell ref="D25:E25"/>
    <mergeCell ref="A26:C26"/>
    <mergeCell ref="D26:E26"/>
    <mergeCell ref="A30:C30"/>
    <mergeCell ref="D30:E30"/>
    <mergeCell ref="A27:C27"/>
    <mergeCell ref="D27:E27"/>
    <mergeCell ref="A28:C28"/>
    <mergeCell ref="D28:E28"/>
    <mergeCell ref="A29:C29"/>
    <mergeCell ref="D29:E29"/>
  </mergeCells>
  <pageMargins left="0.7" right="0.7" top="0.75" bottom="0.75" header="0.3" footer="0.3"/>
  <pageSetup paperSize="9" scale="87" orientation="portrait" r:id="rId1"/>
  <headerFooter scaleWithDoc="0">
    <oddFooter>&amp;C&amp;"Arial,Regular"Page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92D050"/>
  </sheetPr>
  <dimension ref="A1:P64"/>
  <sheetViews>
    <sheetView topLeftCell="A10" workbookViewId="0">
      <selection activeCell="G38" sqref="G38"/>
    </sheetView>
  </sheetViews>
  <sheetFormatPr defaultColWidth="9.44140625" defaultRowHeight="15" x14ac:dyDescent="0.25"/>
  <cols>
    <col min="1" max="1" width="9.44140625" style="2" customWidth="1"/>
    <col min="2" max="2" width="14.5546875" style="2" bestFit="1" customWidth="1"/>
    <col min="3" max="9" width="9.44140625" style="2"/>
    <col min="10" max="10" width="10.44140625" style="2" customWidth="1"/>
    <col min="11" max="16384" width="9.44140625" style="2"/>
  </cols>
  <sheetData>
    <row r="1" spans="1:16" x14ac:dyDescent="0.25">
      <c r="A1" s="93" t="str">
        <f>+'Cover Page'!$B$29</f>
        <v>Annual Performance Report 2022</v>
      </c>
      <c r="B1" s="93"/>
      <c r="C1" s="93"/>
      <c r="D1" s="93"/>
      <c r="E1" s="93" t="str">
        <f>+'Cover Page'!$B$33</f>
        <v>GLPP</v>
      </c>
      <c r="F1" s="93"/>
      <c r="G1" s="93"/>
      <c r="H1" s="93"/>
      <c r="I1" s="93"/>
      <c r="J1" s="93"/>
      <c r="K1" s="93"/>
      <c r="L1" s="93"/>
      <c r="M1" s="93"/>
      <c r="N1" s="93"/>
      <c r="O1" s="93"/>
      <c r="P1" s="93"/>
    </row>
    <row r="2" spans="1:16" ht="7.5" customHeight="1" x14ac:dyDescent="0.25">
      <c r="A2" s="93"/>
      <c r="B2" s="93"/>
      <c r="C2" s="93"/>
      <c r="D2" s="93"/>
      <c r="E2" s="93"/>
      <c r="F2" s="93"/>
      <c r="G2" s="93"/>
      <c r="H2" s="93"/>
      <c r="I2" s="93"/>
      <c r="J2" s="93"/>
      <c r="K2" s="93"/>
      <c r="L2" s="93"/>
      <c r="M2" s="93"/>
      <c r="N2" s="93"/>
      <c r="O2" s="93"/>
      <c r="P2" s="93"/>
    </row>
    <row r="3" spans="1:16" ht="15.6" x14ac:dyDescent="0.3">
      <c r="A3" s="1" t="s">
        <v>42</v>
      </c>
      <c r="B3" s="93"/>
      <c r="C3" s="93"/>
      <c r="D3" s="93"/>
      <c r="E3" s="93"/>
      <c r="F3" s="93"/>
      <c r="G3" s="93"/>
      <c r="H3" s="93"/>
      <c r="I3" s="93"/>
      <c r="J3" s="93"/>
      <c r="K3" s="93"/>
      <c r="L3" s="93"/>
      <c r="M3" s="93"/>
      <c r="N3" s="93"/>
      <c r="O3" s="93"/>
      <c r="P3" s="93"/>
    </row>
    <row r="4" spans="1:16" ht="9.75" customHeight="1" x14ac:dyDescent="0.3">
      <c r="A4" s="1"/>
      <c r="B4" s="93"/>
      <c r="C4" s="93"/>
      <c r="D4" s="93"/>
      <c r="E4" s="93"/>
      <c r="F4" s="93"/>
      <c r="G4" s="93"/>
      <c r="H4" s="93"/>
      <c r="I4" s="93"/>
      <c r="J4" s="93"/>
      <c r="K4" s="93"/>
      <c r="L4" s="93"/>
      <c r="M4" s="93"/>
      <c r="N4" s="93"/>
      <c r="O4" s="93"/>
      <c r="P4" s="93"/>
    </row>
    <row r="5" spans="1:16" s="3" customFormat="1" ht="21.75" customHeight="1" x14ac:dyDescent="0.3">
      <c r="A5" s="48" t="s">
        <v>307</v>
      </c>
      <c r="B5" s="49"/>
      <c r="C5" s="49"/>
      <c r="D5" s="49"/>
      <c r="E5" s="49"/>
      <c r="F5" s="49"/>
      <c r="G5" s="49"/>
      <c r="H5" s="49"/>
      <c r="I5" s="49"/>
      <c r="J5" s="50"/>
      <c r="M5" s="82" t="s">
        <v>3</v>
      </c>
    </row>
    <row r="6" spans="1:16" s="3" customFormat="1" ht="15.75" customHeight="1" x14ac:dyDescent="0.25">
      <c r="A6" s="298"/>
      <c r="B6" s="210"/>
      <c r="C6" s="210"/>
      <c r="D6" s="210"/>
      <c r="E6" s="210"/>
      <c r="F6" s="210"/>
      <c r="G6" s="210"/>
      <c r="H6" s="210"/>
      <c r="I6" s="210"/>
      <c r="J6" s="211"/>
      <c r="M6" s="346" t="s">
        <v>308</v>
      </c>
      <c r="N6" s="346"/>
      <c r="O6" s="346"/>
      <c r="P6" s="346"/>
    </row>
    <row r="7" spans="1:16" s="3" customFormat="1" ht="15.75" customHeight="1" x14ac:dyDescent="0.25">
      <c r="A7" s="215"/>
      <c r="B7" s="216"/>
      <c r="C7" s="216"/>
      <c r="D7" s="216"/>
      <c r="E7" s="216"/>
      <c r="F7" s="216"/>
      <c r="G7" s="216"/>
      <c r="H7" s="216"/>
      <c r="I7" s="216"/>
      <c r="J7" s="217"/>
      <c r="M7" s="346"/>
      <c r="N7" s="346"/>
      <c r="O7" s="346"/>
      <c r="P7" s="346"/>
    </row>
    <row r="8" spans="1:16" s="3" customFormat="1" ht="13.8" x14ac:dyDescent="0.25">
      <c r="M8" s="346"/>
      <c r="N8" s="346"/>
      <c r="O8" s="346"/>
      <c r="P8" s="346"/>
    </row>
    <row r="9" spans="1:16" s="56" customFormat="1" ht="16.5" customHeight="1" x14ac:dyDescent="0.25">
      <c r="A9" s="319" t="s">
        <v>309</v>
      </c>
      <c r="B9" s="319"/>
      <c r="C9" s="319"/>
      <c r="D9" s="319"/>
      <c r="E9" s="319"/>
      <c r="F9" s="319"/>
      <c r="G9" s="319"/>
      <c r="H9" s="319"/>
      <c r="I9" s="319"/>
      <c r="J9" s="319"/>
      <c r="M9" s="346"/>
      <c r="N9" s="346"/>
      <c r="O9" s="346"/>
      <c r="P9" s="346"/>
    </row>
    <row r="10" spans="1:16" s="56" customFormat="1" ht="16.5" customHeight="1" x14ac:dyDescent="0.25">
      <c r="A10" s="333" t="s">
        <v>214</v>
      </c>
      <c r="B10" s="334"/>
      <c r="C10" s="344" t="s">
        <v>310</v>
      </c>
      <c r="D10" s="340" t="s">
        <v>311</v>
      </c>
      <c r="E10" s="341"/>
      <c r="F10" s="337" t="s">
        <v>292</v>
      </c>
      <c r="G10" s="338"/>
      <c r="H10" s="338"/>
      <c r="I10" s="338"/>
      <c r="J10" s="339"/>
      <c r="M10" s="346" t="s">
        <v>312</v>
      </c>
      <c r="N10" s="346"/>
      <c r="O10" s="346"/>
      <c r="P10" s="346"/>
    </row>
    <row r="11" spans="1:16" s="12" customFormat="1" ht="17.25" customHeight="1" x14ac:dyDescent="0.25">
      <c r="A11" s="335"/>
      <c r="B11" s="336"/>
      <c r="C11" s="345"/>
      <c r="D11" s="342"/>
      <c r="E11" s="343"/>
      <c r="F11" s="46" t="s">
        <v>313</v>
      </c>
      <c r="G11" s="46" t="s">
        <v>314</v>
      </c>
      <c r="H11" s="46" t="s">
        <v>315</v>
      </c>
      <c r="I11" s="46" t="s">
        <v>316</v>
      </c>
      <c r="J11" s="46" t="s">
        <v>317</v>
      </c>
      <c r="K11" s="121"/>
      <c r="L11" s="121"/>
      <c r="M11" s="346"/>
      <c r="N11" s="346"/>
      <c r="O11" s="346"/>
      <c r="P11" s="346"/>
    </row>
    <row r="12" spans="1:16" s="12" customFormat="1" ht="23.25" customHeight="1" x14ac:dyDescent="0.25">
      <c r="A12" s="228" t="s">
        <v>318</v>
      </c>
      <c r="B12" s="228"/>
      <c r="C12" s="168" t="s">
        <v>319</v>
      </c>
      <c r="D12" s="274" t="s">
        <v>320</v>
      </c>
      <c r="E12" s="274"/>
      <c r="F12" s="106">
        <v>3.5000000000000003E-2</v>
      </c>
      <c r="G12" s="106">
        <v>0.09</v>
      </c>
      <c r="H12" s="106"/>
      <c r="I12" s="106"/>
      <c r="J12" s="106"/>
      <c r="K12" s="121"/>
      <c r="L12" s="121"/>
      <c r="M12" s="346"/>
      <c r="N12" s="346"/>
      <c r="O12" s="346"/>
      <c r="P12" s="346"/>
    </row>
    <row r="13" spans="1:16" s="12" customFormat="1" ht="23.25" customHeight="1" x14ac:dyDescent="0.25">
      <c r="A13" s="228" t="s">
        <v>321</v>
      </c>
      <c r="B13" s="228"/>
      <c r="C13" s="168" t="s">
        <v>322</v>
      </c>
      <c r="D13" s="274" t="s">
        <v>323</v>
      </c>
      <c r="E13" s="274"/>
      <c r="F13" s="106">
        <v>1.1000000000000001E-3</v>
      </c>
      <c r="G13" s="106">
        <v>1.8500000000000001E-3</v>
      </c>
      <c r="H13" s="106"/>
      <c r="I13" s="106"/>
      <c r="J13" s="106"/>
      <c r="K13" s="121"/>
      <c r="L13" s="121"/>
      <c r="M13" s="121"/>
      <c r="N13" s="121"/>
      <c r="O13" s="121"/>
      <c r="P13" s="121"/>
    </row>
    <row r="14" spans="1:16" s="12" customFormat="1" ht="23.25" customHeight="1" x14ac:dyDescent="0.25">
      <c r="A14" s="228" t="s">
        <v>324</v>
      </c>
      <c r="B14" s="228"/>
      <c r="C14" s="168" t="s">
        <v>322</v>
      </c>
      <c r="D14" s="274" t="s">
        <v>323</v>
      </c>
      <c r="E14" s="274"/>
      <c r="F14" s="106">
        <v>5.9000000000000003E-4</v>
      </c>
      <c r="G14" s="106">
        <v>7.5000000000000002E-4</v>
      </c>
      <c r="H14" s="106"/>
      <c r="I14" s="106"/>
      <c r="J14" s="106"/>
      <c r="K14" s="121"/>
      <c r="L14" s="121"/>
      <c r="M14" s="121"/>
      <c r="N14" s="121"/>
      <c r="O14" s="121"/>
      <c r="P14" s="121"/>
    </row>
    <row r="15" spans="1:16" s="12" customFormat="1" ht="23.25" customHeight="1" x14ac:dyDescent="0.25">
      <c r="A15" s="228" t="s">
        <v>325</v>
      </c>
      <c r="B15" s="228"/>
      <c r="C15" s="168" t="s">
        <v>322</v>
      </c>
      <c r="D15" s="274" t="s">
        <v>326</v>
      </c>
      <c r="E15" s="274"/>
      <c r="F15" s="106">
        <v>7.5999999999999998E-2</v>
      </c>
      <c r="G15" s="106">
        <v>3.85E-2</v>
      </c>
      <c r="H15" s="106"/>
      <c r="I15" s="106"/>
      <c r="J15" s="106"/>
      <c r="K15" s="121"/>
      <c r="L15" s="121"/>
      <c r="M15" s="121"/>
      <c r="N15" s="121"/>
      <c r="O15" s="121"/>
      <c r="P15" s="121"/>
    </row>
    <row r="16" spans="1:16" s="12" customFormat="1" ht="23.25" customHeight="1" x14ac:dyDescent="0.25">
      <c r="A16" s="228" t="s">
        <v>327</v>
      </c>
      <c r="B16" s="228"/>
      <c r="C16" s="168" t="s">
        <v>322</v>
      </c>
      <c r="D16" s="274" t="s">
        <v>328</v>
      </c>
      <c r="E16" s="274"/>
      <c r="F16" s="106">
        <v>4.4999999999999998E-2</v>
      </c>
      <c r="G16" s="106">
        <v>2.9000000000000001E-2</v>
      </c>
      <c r="H16" s="106"/>
      <c r="I16" s="106"/>
      <c r="J16" s="106"/>
      <c r="K16" s="121"/>
      <c r="L16" s="121"/>
      <c r="M16" s="121"/>
      <c r="N16" s="121"/>
      <c r="O16" s="121"/>
      <c r="P16" s="121"/>
    </row>
    <row r="17" spans="1:10" s="12" customFormat="1" ht="23.25" customHeight="1" x14ac:dyDescent="0.25">
      <c r="A17" s="228" t="s">
        <v>329</v>
      </c>
      <c r="B17" s="228"/>
      <c r="C17" s="168" t="s">
        <v>322</v>
      </c>
      <c r="D17" s="274" t="s">
        <v>330</v>
      </c>
      <c r="E17" s="274"/>
      <c r="F17" s="106">
        <v>4.0000000000000001E-3</v>
      </c>
      <c r="G17" s="106">
        <v>9.4000000000000004E-3</v>
      </c>
      <c r="H17" s="106"/>
      <c r="I17" s="106"/>
      <c r="J17" s="106"/>
    </row>
    <row r="18" spans="1:10" s="12" customFormat="1" ht="23.25" customHeight="1" x14ac:dyDescent="0.25">
      <c r="A18" s="228" t="s">
        <v>331</v>
      </c>
      <c r="B18" s="228"/>
      <c r="C18" s="168" t="s">
        <v>322</v>
      </c>
      <c r="D18" s="274" t="s">
        <v>330</v>
      </c>
      <c r="E18" s="274"/>
      <c r="F18" s="106">
        <v>1.8000000000000001E-4</v>
      </c>
      <c r="G18" s="106">
        <v>4.4000000000000002E-4</v>
      </c>
      <c r="H18" s="106"/>
      <c r="I18" s="106"/>
      <c r="J18" s="106"/>
    </row>
    <row r="19" spans="1:10" s="12" customFormat="1" ht="23.25" customHeight="1" x14ac:dyDescent="0.25">
      <c r="A19" s="228" t="s">
        <v>332</v>
      </c>
      <c r="B19" s="228"/>
      <c r="C19" s="168" t="s">
        <v>322</v>
      </c>
      <c r="D19" s="274" t="s">
        <v>330</v>
      </c>
      <c r="E19" s="274"/>
      <c r="F19" s="106">
        <v>7.0000000000000001E-3</v>
      </c>
      <c r="G19" s="106">
        <v>1.8700000000000001E-2</v>
      </c>
      <c r="H19" s="106"/>
      <c r="I19" s="106"/>
      <c r="J19" s="106"/>
    </row>
    <row r="20" spans="1:10" s="12" customFormat="1" ht="23.25" customHeight="1" x14ac:dyDescent="0.25">
      <c r="A20" s="228" t="s">
        <v>333</v>
      </c>
      <c r="B20" s="228"/>
      <c r="C20" s="168" t="s">
        <v>322</v>
      </c>
      <c r="D20" s="274" t="s">
        <v>330</v>
      </c>
      <c r="E20" s="274"/>
      <c r="F20" s="106">
        <v>4.2500000000000003E-2</v>
      </c>
      <c r="G20" s="106">
        <v>2.6689999999999998E-2</v>
      </c>
      <c r="H20" s="106"/>
      <c r="I20" s="106"/>
      <c r="J20" s="106"/>
    </row>
    <row r="21" spans="1:10" s="12" customFormat="1" ht="23.25" customHeight="1" x14ac:dyDescent="0.25">
      <c r="A21" s="228" t="s">
        <v>334</v>
      </c>
      <c r="B21" s="228"/>
      <c r="C21" s="168" t="s">
        <v>322</v>
      </c>
      <c r="D21" s="274" t="s">
        <v>330</v>
      </c>
      <c r="E21" s="274"/>
      <c r="F21" s="106">
        <v>4.99E-2</v>
      </c>
      <c r="G21" s="106">
        <v>3.1E-2</v>
      </c>
      <c r="H21" s="106"/>
      <c r="I21" s="106"/>
      <c r="J21" s="106"/>
    </row>
    <row r="22" spans="1:10" s="12" customFormat="1" ht="23.25" customHeight="1" x14ac:dyDescent="0.25">
      <c r="A22" s="228" t="s">
        <v>335</v>
      </c>
      <c r="B22" s="228"/>
      <c r="C22" s="168" t="s">
        <v>322</v>
      </c>
      <c r="D22" s="274" t="s">
        <v>330</v>
      </c>
      <c r="E22" s="274"/>
      <c r="F22" s="106">
        <v>9.4799999999999995E-2</v>
      </c>
      <c r="G22" s="106">
        <v>1.8700000000000001E-2</v>
      </c>
      <c r="H22" s="106"/>
      <c r="I22" s="106"/>
      <c r="J22" s="106"/>
    </row>
    <row r="23" spans="1:10" s="12" customFormat="1" ht="23.25" customHeight="1" x14ac:dyDescent="0.25">
      <c r="A23" s="228" t="s">
        <v>336</v>
      </c>
      <c r="B23" s="228"/>
      <c r="C23" s="168" t="s">
        <v>322</v>
      </c>
      <c r="D23" s="274" t="s">
        <v>337</v>
      </c>
      <c r="E23" s="274"/>
      <c r="F23" s="106">
        <v>1.5E-3</v>
      </c>
      <c r="G23" s="106">
        <v>1.8E-3</v>
      </c>
      <c r="H23" s="106"/>
      <c r="I23" s="106"/>
      <c r="J23" s="106"/>
    </row>
    <row r="24" spans="1:10" s="12" customFormat="1" ht="23.25" customHeight="1" x14ac:dyDescent="0.25">
      <c r="A24" s="228" t="s">
        <v>338</v>
      </c>
      <c r="B24" s="228"/>
      <c r="C24" s="168" t="s">
        <v>322</v>
      </c>
      <c r="D24" s="274" t="s">
        <v>337</v>
      </c>
      <c r="E24" s="274"/>
      <c r="F24" s="106">
        <v>1.5E-3</v>
      </c>
      <c r="G24" s="106">
        <v>1.8E-3</v>
      </c>
      <c r="H24" s="106"/>
      <c r="I24" s="106"/>
      <c r="J24" s="106"/>
    </row>
    <row r="25" spans="1:10" s="12" customFormat="1" ht="23.25" customHeight="1" x14ac:dyDescent="0.25">
      <c r="A25" s="228" t="s">
        <v>339</v>
      </c>
      <c r="B25" s="228"/>
      <c r="C25" s="168" t="s">
        <v>322</v>
      </c>
      <c r="D25" s="274" t="s">
        <v>337</v>
      </c>
      <c r="E25" s="274"/>
      <c r="F25" s="106">
        <v>1.5E-3</v>
      </c>
      <c r="G25" s="106">
        <v>1.8E-3</v>
      </c>
      <c r="H25" s="106"/>
      <c r="I25" s="106"/>
      <c r="J25" s="106"/>
    </row>
    <row r="26" spans="1:10" s="12" customFormat="1" ht="23.25" customHeight="1" x14ac:dyDescent="0.25">
      <c r="A26" s="228" t="s">
        <v>340</v>
      </c>
      <c r="B26" s="228"/>
      <c r="C26" s="168" t="s">
        <v>322</v>
      </c>
      <c r="D26" s="274" t="s">
        <v>337</v>
      </c>
      <c r="E26" s="274"/>
      <c r="F26" s="106">
        <v>1.8E-3</v>
      </c>
      <c r="G26" s="106">
        <v>1.8E-3</v>
      </c>
      <c r="H26" s="106"/>
      <c r="I26" s="106"/>
      <c r="J26" s="106"/>
    </row>
    <row r="27" spans="1:10" s="12" customFormat="1" ht="23.25" customHeight="1" x14ac:dyDescent="0.25">
      <c r="A27" s="228" t="s">
        <v>341</v>
      </c>
      <c r="B27" s="228"/>
      <c r="C27" s="168" t="s">
        <v>322</v>
      </c>
      <c r="D27" s="274" t="s">
        <v>337</v>
      </c>
      <c r="E27" s="274"/>
      <c r="F27" s="106">
        <v>8.0000000000000002E-3</v>
      </c>
      <c r="G27" s="106">
        <v>1.6500000000000001E-2</v>
      </c>
      <c r="H27" s="106"/>
      <c r="I27" s="106"/>
      <c r="J27" s="106"/>
    </row>
    <row r="28" spans="1:10" s="12" customFormat="1" ht="23.25" customHeight="1" x14ac:dyDescent="0.25">
      <c r="A28" s="228" t="s">
        <v>342</v>
      </c>
      <c r="B28" s="228"/>
      <c r="C28" s="168" t="s">
        <v>322</v>
      </c>
      <c r="D28" s="274" t="s">
        <v>337</v>
      </c>
      <c r="E28" s="274"/>
      <c r="F28" s="106">
        <v>1.5E-3</v>
      </c>
      <c r="G28" s="106">
        <v>1.8E-3</v>
      </c>
      <c r="H28" s="106"/>
      <c r="I28" s="106"/>
      <c r="J28" s="106"/>
    </row>
    <row r="29" spans="1:10" s="12" customFormat="1" ht="23.25" customHeight="1" x14ac:dyDescent="0.25">
      <c r="A29" s="228" t="s">
        <v>343</v>
      </c>
      <c r="B29" s="228"/>
      <c r="C29" s="168" t="s">
        <v>322</v>
      </c>
      <c r="D29" s="274" t="s">
        <v>337</v>
      </c>
      <c r="E29" s="274"/>
      <c r="F29" s="106">
        <v>1.5E-3</v>
      </c>
      <c r="G29" s="106">
        <v>1.8E-3</v>
      </c>
      <c r="H29" s="106"/>
      <c r="I29" s="106"/>
      <c r="J29" s="106"/>
    </row>
    <row r="30" spans="1:10" s="12" customFormat="1" ht="23.25" customHeight="1" x14ac:dyDescent="0.25">
      <c r="A30" s="228" t="s">
        <v>344</v>
      </c>
      <c r="B30" s="228"/>
      <c r="C30" s="168" t="s">
        <v>322</v>
      </c>
      <c r="D30" s="274" t="s">
        <v>337</v>
      </c>
      <c r="E30" s="274"/>
      <c r="F30" s="106">
        <v>1.5E-3</v>
      </c>
      <c r="G30" s="106">
        <v>1.8E-3</v>
      </c>
      <c r="H30" s="106"/>
      <c r="I30" s="106"/>
      <c r="J30" s="106"/>
    </row>
    <row r="31" spans="1:10" s="12" customFormat="1" ht="23.25" customHeight="1" x14ac:dyDescent="0.25">
      <c r="A31" s="228" t="s">
        <v>345</v>
      </c>
      <c r="B31" s="228"/>
      <c r="C31" s="168" t="s">
        <v>322</v>
      </c>
      <c r="D31" s="274" t="s">
        <v>337</v>
      </c>
      <c r="E31" s="274"/>
      <c r="F31" s="106">
        <v>1.5E-3</v>
      </c>
      <c r="G31" s="106">
        <v>1.8E-3</v>
      </c>
      <c r="H31" s="106"/>
      <c r="I31" s="106"/>
      <c r="J31" s="106"/>
    </row>
    <row r="32" spans="1:10" s="12" customFormat="1" ht="23.25" customHeight="1" x14ac:dyDescent="0.25">
      <c r="A32" s="228" t="s">
        <v>346</v>
      </c>
      <c r="B32" s="228"/>
      <c r="C32" s="168" t="s">
        <v>322</v>
      </c>
      <c r="D32" s="274" t="s">
        <v>337</v>
      </c>
      <c r="E32" s="274"/>
      <c r="F32" s="106">
        <v>3.2499999999999999E-3</v>
      </c>
      <c r="G32" s="106">
        <v>1.8E-3</v>
      </c>
      <c r="H32" s="106"/>
      <c r="I32" s="106"/>
      <c r="J32" s="106"/>
    </row>
    <row r="33" spans="1:10" s="12" customFormat="1" ht="23.25" customHeight="1" x14ac:dyDescent="0.25">
      <c r="A33" s="228" t="s">
        <v>347</v>
      </c>
      <c r="B33" s="228"/>
      <c r="C33" s="168" t="s">
        <v>322</v>
      </c>
      <c r="D33" s="274" t="s">
        <v>337</v>
      </c>
      <c r="E33" s="274"/>
      <c r="F33" s="106">
        <v>1.5E-3</v>
      </c>
      <c r="G33" s="106">
        <v>1.8E-3</v>
      </c>
      <c r="H33" s="106"/>
      <c r="I33" s="106"/>
      <c r="J33" s="106"/>
    </row>
    <row r="34" spans="1:10" s="12" customFormat="1" ht="23.25" customHeight="1" x14ac:dyDescent="0.25">
      <c r="A34" s="228" t="s">
        <v>348</v>
      </c>
      <c r="B34" s="228"/>
      <c r="C34" s="168" t="s">
        <v>322</v>
      </c>
      <c r="D34" s="274" t="s">
        <v>337</v>
      </c>
      <c r="E34" s="274"/>
      <c r="F34" s="106">
        <v>1.5E-3</v>
      </c>
      <c r="G34" s="106">
        <v>1.8E-3</v>
      </c>
      <c r="H34" s="106"/>
      <c r="I34" s="106"/>
      <c r="J34" s="106"/>
    </row>
    <row r="35" spans="1:10" s="12" customFormat="1" ht="23.25" customHeight="1" x14ac:dyDescent="0.25">
      <c r="A35" s="228" t="s">
        <v>349</v>
      </c>
      <c r="B35" s="228"/>
      <c r="C35" s="168" t="s">
        <v>322</v>
      </c>
      <c r="D35" s="274" t="s">
        <v>337</v>
      </c>
      <c r="E35" s="274"/>
      <c r="F35" s="106">
        <v>1.5E-3</v>
      </c>
      <c r="G35" s="106">
        <v>1.8E-3</v>
      </c>
      <c r="H35" s="106"/>
      <c r="I35" s="106"/>
      <c r="J35" s="106"/>
    </row>
    <row r="36" spans="1:10" s="12" customFormat="1" ht="23.25" customHeight="1" x14ac:dyDescent="0.25">
      <c r="A36" s="228" t="s">
        <v>350</v>
      </c>
      <c r="B36" s="228"/>
      <c r="C36" s="168" t="s">
        <v>322</v>
      </c>
      <c r="D36" s="274" t="s">
        <v>337</v>
      </c>
      <c r="E36" s="274"/>
      <c r="F36" s="106">
        <v>3.9800000000000002E-2</v>
      </c>
      <c r="G36" s="106">
        <v>3.6700000000000003E-2</v>
      </c>
      <c r="H36" s="106"/>
      <c r="I36" s="106"/>
      <c r="J36" s="106"/>
    </row>
    <row r="37" spans="1:10" s="12" customFormat="1" ht="23.25" customHeight="1" x14ac:dyDescent="0.25">
      <c r="A37" s="228" t="s">
        <v>351</v>
      </c>
      <c r="B37" s="228"/>
      <c r="C37" s="168" t="s">
        <v>322</v>
      </c>
      <c r="D37" s="274" t="s">
        <v>337</v>
      </c>
      <c r="E37" s="274"/>
      <c r="F37" s="106">
        <v>1.5E-3</v>
      </c>
      <c r="G37" s="106">
        <v>1.8E-3</v>
      </c>
      <c r="H37" s="106"/>
      <c r="I37" s="106"/>
      <c r="J37" s="106"/>
    </row>
    <row r="38" spans="1:10" s="12" customFormat="1" ht="23.25" customHeight="1" x14ac:dyDescent="0.25">
      <c r="A38" s="228" t="s">
        <v>352</v>
      </c>
      <c r="B38" s="228"/>
      <c r="C38" s="168" t="s">
        <v>322</v>
      </c>
      <c r="D38" s="274" t="s">
        <v>337</v>
      </c>
      <c r="E38" s="274"/>
      <c r="F38" s="106">
        <v>0.2394</v>
      </c>
      <c r="G38" s="106">
        <v>0.24399999999999999</v>
      </c>
      <c r="H38" s="106"/>
      <c r="I38" s="106"/>
      <c r="J38" s="106"/>
    </row>
    <row r="39" spans="1:10" x14ac:dyDescent="0.25">
      <c r="A39" s="229" t="s">
        <v>287</v>
      </c>
      <c r="B39" s="229"/>
      <c r="C39" s="229"/>
      <c r="D39" s="229"/>
      <c r="E39" s="229"/>
      <c r="F39" s="229"/>
      <c r="G39" s="229"/>
      <c r="H39" s="229"/>
      <c r="I39" s="229"/>
      <c r="J39" s="229"/>
    </row>
    <row r="40" spans="1:10" x14ac:dyDescent="0.25">
      <c r="A40" s="311"/>
      <c r="B40" s="311"/>
      <c r="C40" s="311"/>
      <c r="D40" s="311"/>
      <c r="E40" s="311"/>
      <c r="F40" s="311"/>
      <c r="G40" s="311"/>
      <c r="H40" s="311"/>
      <c r="I40" s="311"/>
      <c r="J40" s="311"/>
    </row>
    <row r="41" spans="1:10" x14ac:dyDescent="0.25">
      <c r="A41" s="311"/>
      <c r="B41" s="311"/>
      <c r="C41" s="311"/>
      <c r="D41" s="311"/>
      <c r="E41" s="311"/>
      <c r="F41" s="311"/>
      <c r="G41" s="311"/>
      <c r="H41" s="311"/>
      <c r="I41" s="311"/>
      <c r="J41" s="311"/>
    </row>
    <row r="64" spans="6:6" x14ac:dyDescent="0.25">
      <c r="F64" s="3"/>
    </row>
  </sheetData>
  <mergeCells count="64">
    <mergeCell ref="M6:P9"/>
    <mergeCell ref="M10:P12"/>
    <mergeCell ref="A9:J9"/>
    <mergeCell ref="A6:J7"/>
    <mergeCell ref="A12:B12"/>
    <mergeCell ref="A13:B13"/>
    <mergeCell ref="D12:E12"/>
    <mergeCell ref="D13:E13"/>
    <mergeCell ref="A10:B11"/>
    <mergeCell ref="F10:J10"/>
    <mergeCell ref="D10:E11"/>
    <mergeCell ref="C10:C11"/>
    <mergeCell ref="A17:B17"/>
    <mergeCell ref="A18:B18"/>
    <mergeCell ref="A19:B19"/>
    <mergeCell ref="A14:B14"/>
    <mergeCell ref="A15:B15"/>
    <mergeCell ref="A16:B16"/>
    <mergeCell ref="A40:J41"/>
    <mergeCell ref="A26:B26"/>
    <mergeCell ref="A27:B27"/>
    <mergeCell ref="A23:B23"/>
    <mergeCell ref="A24:B24"/>
    <mergeCell ref="A38:B38"/>
    <mergeCell ref="A28:B28"/>
    <mergeCell ref="A29:B29"/>
    <mergeCell ref="A30:B30"/>
    <mergeCell ref="A31:B31"/>
    <mergeCell ref="A32:B32"/>
    <mergeCell ref="A33:B33"/>
    <mergeCell ref="D38:E38"/>
    <mergeCell ref="D30:E30"/>
    <mergeCell ref="D31:E31"/>
    <mergeCell ref="D37:E37"/>
    <mergeCell ref="A39:J39"/>
    <mergeCell ref="A20:B20"/>
    <mergeCell ref="A21:B21"/>
    <mergeCell ref="A22:B22"/>
    <mergeCell ref="D35:E35"/>
    <mergeCell ref="D36:E36"/>
    <mergeCell ref="A34:B34"/>
    <mergeCell ref="A35:B35"/>
    <mergeCell ref="A36:B36"/>
    <mergeCell ref="A37:B37"/>
    <mergeCell ref="A25:B25"/>
    <mergeCell ref="D33:E33"/>
    <mergeCell ref="D14:E14"/>
    <mergeCell ref="D15:E15"/>
    <mergeCell ref="D16:E16"/>
    <mergeCell ref="D17:E17"/>
    <mergeCell ref="D18:E18"/>
    <mergeCell ref="D19:E19"/>
    <mergeCell ref="D28:E28"/>
    <mergeCell ref="D34:E34"/>
    <mergeCell ref="D20:E20"/>
    <mergeCell ref="D21:E21"/>
    <mergeCell ref="D22:E22"/>
    <mergeCell ref="D23:E23"/>
    <mergeCell ref="D24:E24"/>
    <mergeCell ref="D25:E25"/>
    <mergeCell ref="D32:E32"/>
    <mergeCell ref="D26:E26"/>
    <mergeCell ref="D27:E27"/>
    <mergeCell ref="D29:E29"/>
  </mergeCells>
  <pageMargins left="0.7" right="0.7" top="0.75" bottom="0.75" header="0.3" footer="0.3"/>
  <pageSetup paperSize="9" scale="87" orientation="portrait" r:id="rId1"/>
  <headerFooter scaleWithDoc="0">
    <oddFooter>&amp;C&amp;"Arial,Regular"Page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rgb="FF92D050"/>
  </sheetPr>
  <dimension ref="A1:P67"/>
  <sheetViews>
    <sheetView topLeftCell="A13" workbookViewId="0">
      <selection activeCell="C35" sqref="C35"/>
    </sheetView>
  </sheetViews>
  <sheetFormatPr defaultColWidth="9.44140625" defaultRowHeight="15" x14ac:dyDescent="0.25"/>
  <cols>
    <col min="1" max="1" width="21.44140625" style="2" customWidth="1"/>
    <col min="2" max="2" width="13.5546875" style="2" customWidth="1"/>
    <col min="3" max="3" width="16.44140625" style="2" customWidth="1"/>
    <col min="4" max="12" width="9.44140625" style="2"/>
    <col min="13" max="13" width="10.44140625" style="2" customWidth="1"/>
    <col min="14" max="16384" width="9.44140625" style="2"/>
  </cols>
  <sheetData>
    <row r="1" spans="1:16" x14ac:dyDescent="0.25">
      <c r="A1" s="93" t="str">
        <f>+'Cover Page'!$B$29</f>
        <v>Annual Performance Report 2022</v>
      </c>
      <c r="B1" s="93"/>
      <c r="C1" s="93"/>
      <c r="D1" s="93"/>
      <c r="E1" s="93"/>
      <c r="F1" s="93"/>
      <c r="G1" s="93"/>
      <c r="H1" s="93"/>
      <c r="I1" s="93" t="str">
        <f>+'Cover Page'!$B$33</f>
        <v>GLPP</v>
      </c>
      <c r="J1" s="93"/>
      <c r="K1" s="93"/>
      <c r="L1" s="93"/>
      <c r="M1" s="93"/>
      <c r="N1" s="93"/>
      <c r="O1" s="93"/>
      <c r="P1" s="93"/>
    </row>
    <row r="3" spans="1:16" ht="15.6" x14ac:dyDescent="0.3">
      <c r="A3" s="1" t="s">
        <v>353</v>
      </c>
      <c r="B3" s="93"/>
      <c r="C3" s="93"/>
      <c r="D3" s="93"/>
      <c r="E3" s="93"/>
      <c r="F3" s="93"/>
      <c r="G3" s="93"/>
      <c r="H3" s="93"/>
      <c r="I3" s="93"/>
      <c r="J3" s="93"/>
      <c r="K3" s="93"/>
      <c r="L3" s="93"/>
      <c r="M3" s="93"/>
      <c r="N3" s="93"/>
      <c r="O3" s="93"/>
      <c r="P3" s="93"/>
    </row>
    <row r="4" spans="1:16" ht="15.6" x14ac:dyDescent="0.3">
      <c r="A4" s="1"/>
      <c r="B4" s="93"/>
      <c r="C4" s="93"/>
      <c r="D4" s="93"/>
      <c r="E4" s="93"/>
      <c r="F4" s="93"/>
      <c r="G4" s="93"/>
      <c r="H4" s="93"/>
      <c r="I4" s="93"/>
      <c r="J4" s="93"/>
      <c r="K4" s="93"/>
      <c r="L4" s="93"/>
      <c r="M4" s="93"/>
      <c r="N4" s="93"/>
      <c r="O4" s="93"/>
      <c r="P4" s="73" t="s">
        <v>3</v>
      </c>
    </row>
    <row r="5" spans="1:16" s="3" customFormat="1" ht="21.75" customHeight="1" x14ac:dyDescent="0.3">
      <c r="A5" s="48" t="s">
        <v>307</v>
      </c>
      <c r="B5" s="49"/>
      <c r="C5" s="49"/>
      <c r="D5" s="49"/>
      <c r="E5" s="49"/>
      <c r="F5" s="49"/>
      <c r="G5" s="49"/>
      <c r="H5" s="49"/>
      <c r="I5" s="49"/>
      <c r="J5" s="49"/>
      <c r="K5" s="49"/>
      <c r="L5" s="49"/>
      <c r="M5" s="50"/>
      <c r="P5" s="74" t="s">
        <v>354</v>
      </c>
    </row>
    <row r="6" spans="1:16" s="3" customFormat="1" ht="15.75" customHeight="1" x14ac:dyDescent="0.25">
      <c r="A6" s="298"/>
      <c r="B6" s="210"/>
      <c r="C6" s="210"/>
      <c r="D6" s="210"/>
      <c r="E6" s="210"/>
      <c r="F6" s="210"/>
      <c r="G6" s="210"/>
      <c r="H6" s="210"/>
      <c r="I6" s="210"/>
      <c r="J6" s="210"/>
      <c r="K6" s="210"/>
      <c r="L6" s="210"/>
      <c r="M6" s="211"/>
      <c r="P6" s="3" t="s">
        <v>355</v>
      </c>
    </row>
    <row r="7" spans="1:16" s="3" customFormat="1" ht="15.75" customHeight="1" x14ac:dyDescent="0.25">
      <c r="A7" s="215"/>
      <c r="B7" s="216"/>
      <c r="C7" s="216"/>
      <c r="D7" s="216"/>
      <c r="E7" s="216"/>
      <c r="F7" s="216"/>
      <c r="G7" s="216"/>
      <c r="H7" s="216"/>
      <c r="I7" s="216"/>
      <c r="J7" s="216"/>
      <c r="K7" s="216"/>
      <c r="L7" s="216"/>
      <c r="M7" s="217"/>
    </row>
    <row r="8" spans="1:16" s="3" customFormat="1" ht="15.75" customHeight="1" x14ac:dyDescent="0.25">
      <c r="A8" s="201"/>
      <c r="B8" s="202"/>
      <c r="C8" s="202"/>
      <c r="D8" s="202"/>
      <c r="E8" s="202"/>
      <c r="F8" s="202"/>
      <c r="G8" s="202"/>
      <c r="H8" s="202"/>
      <c r="I8" s="202"/>
      <c r="J8" s="202"/>
      <c r="K8" s="202"/>
      <c r="L8" s="202"/>
      <c r="M8" s="203"/>
    </row>
    <row r="9" spans="1:16" s="3" customFormat="1" ht="15.75" customHeight="1" x14ac:dyDescent="0.25">
      <c r="A9" s="207"/>
      <c r="B9" s="208"/>
      <c r="C9" s="208"/>
      <c r="D9" s="208"/>
      <c r="E9" s="208"/>
      <c r="F9" s="208"/>
      <c r="G9" s="208"/>
      <c r="H9" s="208"/>
      <c r="I9" s="208"/>
      <c r="J9" s="208"/>
      <c r="K9" s="208"/>
      <c r="L9" s="208"/>
      <c r="M9" s="209"/>
    </row>
    <row r="10" spans="1:16" s="3" customFormat="1" ht="13.8" x14ac:dyDescent="0.25"/>
    <row r="11" spans="1:16" s="56" customFormat="1" ht="16.5" customHeight="1" x14ac:dyDescent="0.25">
      <c r="A11" s="319" t="s">
        <v>356</v>
      </c>
      <c r="B11" s="319"/>
      <c r="C11" s="319"/>
      <c r="D11" s="319"/>
      <c r="E11" s="319"/>
      <c r="F11" s="319"/>
      <c r="G11" s="319"/>
      <c r="H11" s="319"/>
      <c r="I11" s="319"/>
      <c r="J11" s="319"/>
      <c r="K11" s="319"/>
      <c r="L11" s="319"/>
      <c r="M11" s="319"/>
    </row>
    <row r="12" spans="1:16" s="56" customFormat="1" ht="16.5" customHeight="1" x14ac:dyDescent="0.25">
      <c r="A12" s="351" t="s">
        <v>214</v>
      </c>
      <c r="B12" s="344" t="s">
        <v>357</v>
      </c>
      <c r="C12" s="281" t="s">
        <v>311</v>
      </c>
      <c r="D12" s="282" t="s">
        <v>190</v>
      </c>
      <c r="E12" s="353"/>
      <c r="F12" s="282" t="s">
        <v>191</v>
      </c>
      <c r="G12" s="353"/>
      <c r="H12" s="282"/>
      <c r="I12" s="353"/>
      <c r="J12" s="282"/>
      <c r="K12" s="353"/>
      <c r="L12" s="282"/>
      <c r="M12" s="353"/>
    </row>
    <row r="13" spans="1:16" s="12" customFormat="1" ht="17.25" customHeight="1" x14ac:dyDescent="0.25">
      <c r="A13" s="351"/>
      <c r="B13" s="352"/>
      <c r="C13" s="281"/>
      <c r="D13" s="46" t="s">
        <v>291</v>
      </c>
      <c r="E13" s="57" t="s">
        <v>358</v>
      </c>
      <c r="F13" s="46" t="s">
        <v>291</v>
      </c>
      <c r="G13" s="57" t="s">
        <v>358</v>
      </c>
      <c r="H13" s="46" t="s">
        <v>291</v>
      </c>
      <c r="I13" s="57" t="s">
        <v>358</v>
      </c>
      <c r="J13" s="46" t="s">
        <v>291</v>
      </c>
      <c r="K13" s="57" t="s">
        <v>358</v>
      </c>
      <c r="L13" s="46" t="s">
        <v>291</v>
      </c>
      <c r="M13" s="57" t="s">
        <v>358</v>
      </c>
      <c r="N13" s="121"/>
      <c r="O13" s="121"/>
      <c r="P13" s="121"/>
    </row>
    <row r="14" spans="1:16" s="12" customFormat="1" ht="23.25" customHeight="1" x14ac:dyDescent="0.25">
      <c r="A14" s="228" t="s">
        <v>220</v>
      </c>
      <c r="B14" s="164" t="s">
        <v>359</v>
      </c>
      <c r="C14" s="164" t="s">
        <v>360</v>
      </c>
      <c r="D14" s="106">
        <v>180</v>
      </c>
      <c r="E14" s="106">
        <v>81.67</v>
      </c>
      <c r="F14" s="106">
        <v>191</v>
      </c>
      <c r="G14" s="106">
        <v>75.5</v>
      </c>
      <c r="H14" s="106"/>
      <c r="I14" s="106"/>
      <c r="J14" s="106"/>
      <c r="K14" s="106"/>
      <c r="L14" s="106"/>
      <c r="M14" s="106"/>
      <c r="N14" s="121"/>
      <c r="O14" s="121"/>
      <c r="P14" s="121"/>
    </row>
    <row r="15" spans="1:16" s="12" customFormat="1" ht="23.25" customHeight="1" x14ac:dyDescent="0.25">
      <c r="A15" s="228"/>
      <c r="B15" s="164" t="s">
        <v>361</v>
      </c>
      <c r="C15" s="164" t="s">
        <v>362</v>
      </c>
      <c r="D15" s="106">
        <v>206</v>
      </c>
      <c r="E15" s="106">
        <v>85.92</v>
      </c>
      <c r="F15" s="106">
        <v>198</v>
      </c>
      <c r="G15" s="106">
        <v>76.83</v>
      </c>
      <c r="H15" s="106"/>
      <c r="I15" s="106"/>
      <c r="J15" s="106"/>
      <c r="K15" s="106"/>
      <c r="L15" s="106"/>
      <c r="M15" s="106"/>
      <c r="N15" s="121"/>
      <c r="O15" s="121"/>
      <c r="P15" s="121"/>
    </row>
    <row r="16" spans="1:16" s="12" customFormat="1" ht="23.25" customHeight="1" x14ac:dyDescent="0.25">
      <c r="A16" s="107" t="s">
        <v>219</v>
      </c>
      <c r="B16" s="169" t="s">
        <v>359</v>
      </c>
      <c r="C16" s="164" t="s">
        <v>363</v>
      </c>
      <c r="D16" s="106">
        <v>1</v>
      </c>
      <c r="E16" s="106">
        <v>0</v>
      </c>
      <c r="F16" s="106">
        <v>2</v>
      </c>
      <c r="G16" s="106">
        <v>0</v>
      </c>
      <c r="H16" s="106"/>
      <c r="I16" s="106"/>
      <c r="J16" s="106"/>
      <c r="K16" s="106"/>
      <c r="L16" s="106"/>
      <c r="M16" s="106"/>
      <c r="N16" s="121"/>
      <c r="O16" s="121"/>
      <c r="P16" s="121"/>
    </row>
    <row r="17" spans="1:13" s="12" customFormat="1" ht="23.25" customHeight="1" x14ac:dyDescent="0.25">
      <c r="A17" s="107"/>
      <c r="B17" s="164" t="s">
        <v>361</v>
      </c>
      <c r="C17" s="164" t="s">
        <v>364</v>
      </c>
      <c r="D17" s="106">
        <v>3</v>
      </c>
      <c r="E17" s="106">
        <v>0.25</v>
      </c>
      <c r="F17" s="106">
        <v>4</v>
      </c>
      <c r="G17" s="106">
        <v>0.17</v>
      </c>
      <c r="H17" s="106"/>
      <c r="I17" s="106"/>
      <c r="J17" s="106"/>
      <c r="K17" s="106"/>
      <c r="L17" s="106"/>
      <c r="M17" s="106"/>
    </row>
    <row r="18" spans="1:13" s="12" customFormat="1" ht="23.25" customHeight="1" x14ac:dyDescent="0.25">
      <c r="A18" s="107" t="s">
        <v>365</v>
      </c>
      <c r="B18" s="164" t="s">
        <v>359</v>
      </c>
      <c r="C18" s="164" t="s">
        <v>366</v>
      </c>
      <c r="D18" s="106">
        <v>0</v>
      </c>
      <c r="E18" s="106">
        <v>0</v>
      </c>
      <c r="F18" s="106">
        <v>1</v>
      </c>
      <c r="G18" s="106">
        <v>0</v>
      </c>
      <c r="H18" s="106"/>
      <c r="I18" s="106"/>
      <c r="J18" s="106"/>
      <c r="K18" s="106"/>
      <c r="L18" s="106"/>
      <c r="M18" s="106"/>
    </row>
    <row r="19" spans="1:13" s="12" customFormat="1" ht="23.25" customHeight="1" x14ac:dyDescent="0.25">
      <c r="A19" s="107"/>
      <c r="B19" s="164" t="s">
        <v>361</v>
      </c>
      <c r="C19" s="164" t="s">
        <v>367</v>
      </c>
      <c r="D19" s="106">
        <v>3</v>
      </c>
      <c r="E19" s="106">
        <v>0.25</v>
      </c>
      <c r="F19" s="106">
        <v>3</v>
      </c>
      <c r="G19" s="106">
        <v>0.08</v>
      </c>
      <c r="H19" s="106"/>
      <c r="I19" s="106"/>
      <c r="J19" s="106"/>
      <c r="K19" s="106"/>
      <c r="L19" s="106"/>
      <c r="M19" s="106"/>
    </row>
    <row r="20" spans="1:13" s="12" customFormat="1" ht="23.25" customHeight="1" x14ac:dyDescent="0.25">
      <c r="A20" s="107" t="s">
        <v>368</v>
      </c>
      <c r="B20" s="164" t="s">
        <v>359</v>
      </c>
      <c r="C20" s="164" t="s">
        <v>366</v>
      </c>
      <c r="D20" s="106">
        <v>4</v>
      </c>
      <c r="E20" s="106">
        <v>0.57999999999999996</v>
      </c>
      <c r="F20" s="106">
        <v>3</v>
      </c>
      <c r="G20" s="106">
        <v>0.83</v>
      </c>
      <c r="H20" s="106"/>
      <c r="I20" s="106"/>
      <c r="J20" s="106"/>
      <c r="K20" s="106"/>
      <c r="L20" s="106"/>
      <c r="M20" s="106"/>
    </row>
    <row r="21" spans="1:13" s="12" customFormat="1" ht="23.25" customHeight="1" x14ac:dyDescent="0.25">
      <c r="A21" s="107"/>
      <c r="B21" s="164" t="s">
        <v>361</v>
      </c>
      <c r="C21" s="164" t="s">
        <v>369</v>
      </c>
      <c r="D21" s="106">
        <v>8</v>
      </c>
      <c r="E21" s="106">
        <v>1.5</v>
      </c>
      <c r="F21" s="106">
        <v>9</v>
      </c>
      <c r="G21" s="106">
        <v>1.42</v>
      </c>
      <c r="H21" s="106"/>
      <c r="I21" s="106"/>
      <c r="J21" s="106"/>
      <c r="K21" s="106"/>
      <c r="L21" s="106"/>
      <c r="M21" s="106"/>
    </row>
    <row r="22" spans="1:13" s="12" customFormat="1" ht="23.25" customHeight="1" x14ac:dyDescent="0.25">
      <c r="A22" s="107" t="s">
        <v>221</v>
      </c>
      <c r="B22" s="164" t="s">
        <v>359</v>
      </c>
      <c r="C22" s="164" t="s">
        <v>370</v>
      </c>
      <c r="D22" s="106">
        <v>27</v>
      </c>
      <c r="E22" s="106">
        <v>5.42</v>
      </c>
      <c r="F22" s="106">
        <v>27</v>
      </c>
      <c r="G22" s="106">
        <v>3.92</v>
      </c>
      <c r="H22" s="106"/>
      <c r="I22" s="106"/>
      <c r="J22" s="106"/>
      <c r="K22" s="106"/>
      <c r="L22" s="106"/>
      <c r="M22" s="106"/>
    </row>
    <row r="23" spans="1:13" s="12" customFormat="1" ht="23.25" customHeight="1" x14ac:dyDescent="0.25">
      <c r="A23" s="107"/>
      <c r="B23" s="164" t="s">
        <v>361</v>
      </c>
      <c r="C23" s="164" t="s">
        <v>360</v>
      </c>
      <c r="D23" s="106">
        <v>38</v>
      </c>
      <c r="E23" s="106">
        <v>6.42</v>
      </c>
      <c r="F23" s="106">
        <v>41</v>
      </c>
      <c r="G23" s="106">
        <v>1.42</v>
      </c>
      <c r="H23" s="106"/>
      <c r="I23" s="106"/>
      <c r="J23" s="106"/>
      <c r="K23" s="106"/>
      <c r="L23" s="106"/>
      <c r="M23" s="106"/>
    </row>
    <row r="24" spans="1:13" s="12" customFormat="1" ht="23.25" customHeight="1" x14ac:dyDescent="0.25">
      <c r="A24" s="107" t="s">
        <v>371</v>
      </c>
      <c r="B24" s="164" t="s">
        <v>359</v>
      </c>
      <c r="C24" s="164" t="s">
        <v>370</v>
      </c>
      <c r="D24" s="106">
        <v>20</v>
      </c>
      <c r="E24" s="106">
        <v>4.33</v>
      </c>
      <c r="F24" s="106">
        <v>18</v>
      </c>
      <c r="G24" s="106">
        <v>5.17</v>
      </c>
      <c r="H24" s="106"/>
      <c r="I24" s="106"/>
      <c r="J24" s="106"/>
      <c r="K24" s="106"/>
      <c r="L24" s="106"/>
      <c r="M24" s="106"/>
    </row>
    <row r="25" spans="1:13" s="12" customFormat="1" ht="23.25" customHeight="1" x14ac:dyDescent="0.25">
      <c r="A25" s="107"/>
      <c r="B25" s="106" t="s">
        <v>372</v>
      </c>
      <c r="C25" s="106" t="s">
        <v>373</v>
      </c>
      <c r="D25" s="106">
        <v>28</v>
      </c>
      <c r="E25" s="106">
        <v>5.25</v>
      </c>
      <c r="F25" s="106">
        <v>42</v>
      </c>
      <c r="G25" s="106">
        <v>5.92</v>
      </c>
      <c r="H25" s="106"/>
      <c r="I25" s="106"/>
      <c r="J25" s="106"/>
      <c r="K25" s="106"/>
      <c r="L25" s="106"/>
      <c r="M25" s="106"/>
    </row>
    <row r="26" spans="1:13" s="12" customFormat="1" ht="23.25" customHeight="1" x14ac:dyDescent="0.25">
      <c r="A26" s="170" t="s">
        <v>374</v>
      </c>
      <c r="B26" s="171" t="s">
        <v>359</v>
      </c>
      <c r="C26" s="171" t="s">
        <v>375</v>
      </c>
      <c r="D26" s="172"/>
      <c r="E26" s="172"/>
      <c r="F26" s="172"/>
      <c r="G26" s="172"/>
      <c r="H26" s="172"/>
      <c r="I26" s="172"/>
      <c r="J26" s="172"/>
      <c r="K26" s="172"/>
      <c r="L26" s="172"/>
      <c r="M26" s="172"/>
    </row>
    <row r="27" spans="1:13" x14ac:dyDescent="0.25">
      <c r="A27" s="347" t="s">
        <v>376</v>
      </c>
      <c r="B27" s="348"/>
      <c r="C27" s="348"/>
      <c r="D27" s="348"/>
      <c r="E27" s="348"/>
      <c r="F27" s="348"/>
      <c r="G27" s="348"/>
      <c r="H27" s="348"/>
      <c r="I27" s="348"/>
      <c r="J27" s="348"/>
      <c r="K27" s="348"/>
      <c r="L27" s="348"/>
      <c r="M27" s="349"/>
    </row>
    <row r="28" spans="1:13" x14ac:dyDescent="0.25">
      <c r="A28" s="83" t="s">
        <v>287</v>
      </c>
      <c r="B28" s="84"/>
      <c r="C28" s="84"/>
      <c r="D28" s="84"/>
      <c r="E28" s="84"/>
      <c r="F28" s="84"/>
      <c r="G28" s="84"/>
      <c r="H28" s="84"/>
      <c r="I28" s="84"/>
      <c r="J28" s="84"/>
      <c r="K28" s="84"/>
      <c r="L28" s="84"/>
      <c r="M28" s="85"/>
    </row>
    <row r="29" spans="1:13" x14ac:dyDescent="0.25">
      <c r="A29" s="350"/>
      <c r="B29" s="350"/>
      <c r="C29" s="350"/>
      <c r="D29" s="350"/>
      <c r="E29" s="350"/>
      <c r="F29" s="350"/>
      <c r="G29" s="350"/>
      <c r="H29" s="350"/>
      <c r="I29" s="350"/>
      <c r="J29" s="350"/>
      <c r="K29" s="350"/>
      <c r="L29" s="350"/>
      <c r="M29" s="350"/>
    </row>
    <row r="30" spans="1:13" x14ac:dyDescent="0.25">
      <c r="A30" s="311"/>
      <c r="B30" s="311"/>
      <c r="C30" s="311"/>
      <c r="D30" s="311"/>
      <c r="E30" s="311"/>
      <c r="F30" s="311"/>
      <c r="G30" s="311"/>
      <c r="H30" s="311"/>
      <c r="I30" s="311"/>
      <c r="J30" s="311"/>
      <c r="K30" s="311"/>
      <c r="L30" s="311"/>
      <c r="M30" s="311"/>
    </row>
    <row r="67" spans="6:6" x14ac:dyDescent="0.25">
      <c r="F67" s="3"/>
    </row>
  </sheetData>
  <mergeCells count="14">
    <mergeCell ref="A27:M27"/>
    <mergeCell ref="A29:M30"/>
    <mergeCell ref="A14:A15"/>
    <mergeCell ref="A6:M7"/>
    <mergeCell ref="A8:M9"/>
    <mergeCell ref="A11:M11"/>
    <mergeCell ref="A12:A13"/>
    <mergeCell ref="C12:C13"/>
    <mergeCell ref="B12:B13"/>
    <mergeCell ref="D12:E12"/>
    <mergeCell ref="F12:G12"/>
    <mergeCell ref="H12:I12"/>
    <mergeCell ref="J12:K12"/>
    <mergeCell ref="L12:M12"/>
  </mergeCells>
  <pageMargins left="0.7" right="0.7" top="0.75" bottom="0.75" header="0.3" footer="0.3"/>
  <pageSetup paperSize="9" scale="87" orientation="landscape" r:id="rId1"/>
  <headerFooter scaleWithDoc="0">
    <oddFooter>&amp;C&amp;"Arial,Regular"Page &amp;P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92D050"/>
    <pageSetUpPr fitToPage="1"/>
  </sheetPr>
  <dimension ref="A1:S79"/>
  <sheetViews>
    <sheetView topLeftCell="A4" workbookViewId="0">
      <selection activeCell="G19" sqref="G19"/>
    </sheetView>
  </sheetViews>
  <sheetFormatPr defaultRowHeight="13.8" x14ac:dyDescent="0.25"/>
  <cols>
    <col min="1" max="1" width="14" style="3" customWidth="1"/>
    <col min="2" max="7" width="17" style="35" customWidth="1"/>
    <col min="8" max="11" width="9.44140625" style="3"/>
    <col min="12" max="12" width="15.44140625" style="3" customWidth="1"/>
    <col min="13" max="13" width="17.44140625" style="3" bestFit="1" customWidth="1"/>
    <col min="14" max="14" width="13.5546875" style="3" customWidth="1"/>
    <col min="15" max="15" width="15" style="3" customWidth="1"/>
    <col min="16" max="18" width="9.44140625" style="3"/>
    <col min="19" max="19" width="21.5546875" style="3" customWidth="1"/>
    <col min="20" max="256" width="9.44140625" style="3"/>
    <col min="257" max="257" width="14" style="3" customWidth="1"/>
    <col min="258" max="263" width="10.44140625" style="3" customWidth="1"/>
    <col min="264" max="512" width="9.44140625" style="3"/>
    <col min="513" max="513" width="14" style="3" customWidth="1"/>
    <col min="514" max="519" width="10.44140625" style="3" customWidth="1"/>
    <col min="520" max="768" width="9.44140625" style="3"/>
    <col min="769" max="769" width="14" style="3" customWidth="1"/>
    <col min="770" max="775" width="10.44140625" style="3" customWidth="1"/>
    <col min="776" max="1024" width="9.44140625" style="3"/>
    <col min="1025" max="1025" width="14" style="3" customWidth="1"/>
    <col min="1026" max="1031" width="10.44140625" style="3" customWidth="1"/>
    <col min="1032" max="1280" width="9.44140625" style="3"/>
    <col min="1281" max="1281" width="14" style="3" customWidth="1"/>
    <col min="1282" max="1287" width="10.44140625" style="3" customWidth="1"/>
    <col min="1288" max="1536" width="9.44140625" style="3"/>
    <col min="1537" max="1537" width="14" style="3" customWidth="1"/>
    <col min="1538" max="1543" width="10.44140625" style="3" customWidth="1"/>
    <col min="1544" max="1792" width="9.44140625" style="3"/>
    <col min="1793" max="1793" width="14" style="3" customWidth="1"/>
    <col min="1794" max="1799" width="10.44140625" style="3" customWidth="1"/>
    <col min="1800" max="2048" width="9.44140625" style="3"/>
    <col min="2049" max="2049" width="14" style="3" customWidth="1"/>
    <col min="2050" max="2055" width="10.44140625" style="3" customWidth="1"/>
    <col min="2056" max="2304" width="9.44140625" style="3"/>
    <col min="2305" max="2305" width="14" style="3" customWidth="1"/>
    <col min="2306" max="2311" width="10.44140625" style="3" customWidth="1"/>
    <col min="2312" max="2560" width="9.44140625" style="3"/>
    <col min="2561" max="2561" width="14" style="3" customWidth="1"/>
    <col min="2562" max="2567" width="10.44140625" style="3" customWidth="1"/>
    <col min="2568" max="2816" width="9.44140625" style="3"/>
    <col min="2817" max="2817" width="14" style="3" customWidth="1"/>
    <col min="2818" max="2823" width="10.44140625" style="3" customWidth="1"/>
    <col min="2824" max="3072" width="9.44140625" style="3"/>
    <col min="3073" max="3073" width="14" style="3" customWidth="1"/>
    <col min="3074" max="3079" width="10.44140625" style="3" customWidth="1"/>
    <col min="3080" max="3328" width="9.44140625" style="3"/>
    <col min="3329" max="3329" width="14" style="3" customWidth="1"/>
    <col min="3330" max="3335" width="10.44140625" style="3" customWidth="1"/>
    <col min="3336" max="3584" width="9.44140625" style="3"/>
    <col min="3585" max="3585" width="14" style="3" customWidth="1"/>
    <col min="3586" max="3591" width="10.44140625" style="3" customWidth="1"/>
    <col min="3592" max="3840" width="9.44140625" style="3"/>
    <col min="3841" max="3841" width="14" style="3" customWidth="1"/>
    <col min="3842" max="3847" width="10.44140625" style="3" customWidth="1"/>
    <col min="3848" max="4096" width="9.44140625" style="3"/>
    <col min="4097" max="4097" width="14" style="3" customWidth="1"/>
    <col min="4098" max="4103" width="10.44140625" style="3" customWidth="1"/>
    <col min="4104" max="4352" width="9.44140625" style="3"/>
    <col min="4353" max="4353" width="14" style="3" customWidth="1"/>
    <col min="4354" max="4359" width="10.44140625" style="3" customWidth="1"/>
    <col min="4360" max="4608" width="9.44140625" style="3"/>
    <col min="4609" max="4609" width="14" style="3" customWidth="1"/>
    <col min="4610" max="4615" width="10.44140625" style="3" customWidth="1"/>
    <col min="4616" max="4864" width="9.44140625" style="3"/>
    <col min="4865" max="4865" width="14" style="3" customWidth="1"/>
    <col min="4866" max="4871" width="10.44140625" style="3" customWidth="1"/>
    <col min="4872" max="5120" width="9.44140625" style="3"/>
    <col min="5121" max="5121" width="14" style="3" customWidth="1"/>
    <col min="5122" max="5127" width="10.44140625" style="3" customWidth="1"/>
    <col min="5128" max="5376" width="9.44140625" style="3"/>
    <col min="5377" max="5377" width="14" style="3" customWidth="1"/>
    <col min="5378" max="5383" width="10.44140625" style="3" customWidth="1"/>
    <col min="5384" max="5632" width="9.44140625" style="3"/>
    <col min="5633" max="5633" width="14" style="3" customWidth="1"/>
    <col min="5634" max="5639" width="10.44140625" style="3" customWidth="1"/>
    <col min="5640" max="5888" width="9.44140625" style="3"/>
    <col min="5889" max="5889" width="14" style="3" customWidth="1"/>
    <col min="5890" max="5895" width="10.44140625" style="3" customWidth="1"/>
    <col min="5896" max="6144" width="9.44140625" style="3"/>
    <col min="6145" max="6145" width="14" style="3" customWidth="1"/>
    <col min="6146" max="6151" width="10.44140625" style="3" customWidth="1"/>
    <col min="6152" max="6400" width="9.44140625" style="3"/>
    <col min="6401" max="6401" width="14" style="3" customWidth="1"/>
    <col min="6402" max="6407" width="10.44140625" style="3" customWidth="1"/>
    <col min="6408" max="6656" width="9.44140625" style="3"/>
    <col min="6657" max="6657" width="14" style="3" customWidth="1"/>
    <col min="6658" max="6663" width="10.44140625" style="3" customWidth="1"/>
    <col min="6664" max="6912" width="9.44140625" style="3"/>
    <col min="6913" max="6913" width="14" style="3" customWidth="1"/>
    <col min="6914" max="6919" width="10.44140625" style="3" customWidth="1"/>
    <col min="6920" max="7168" width="9.44140625" style="3"/>
    <col min="7169" max="7169" width="14" style="3" customWidth="1"/>
    <col min="7170" max="7175" width="10.44140625" style="3" customWidth="1"/>
    <col min="7176" max="7424" width="9.44140625" style="3"/>
    <col min="7425" max="7425" width="14" style="3" customWidth="1"/>
    <col min="7426" max="7431" width="10.44140625" style="3" customWidth="1"/>
    <col min="7432" max="7680" width="9.44140625" style="3"/>
    <col min="7681" max="7681" width="14" style="3" customWidth="1"/>
    <col min="7682" max="7687" width="10.44140625" style="3" customWidth="1"/>
    <col min="7688" max="7936" width="9.44140625" style="3"/>
    <col min="7937" max="7937" width="14" style="3" customWidth="1"/>
    <col min="7938" max="7943" width="10.44140625" style="3" customWidth="1"/>
    <col min="7944" max="8192" width="9.44140625" style="3"/>
    <col min="8193" max="8193" width="14" style="3" customWidth="1"/>
    <col min="8194" max="8199" width="10.44140625" style="3" customWidth="1"/>
    <col min="8200" max="8448" width="9.44140625" style="3"/>
    <col min="8449" max="8449" width="14" style="3" customWidth="1"/>
    <col min="8450" max="8455" width="10.44140625" style="3" customWidth="1"/>
    <col min="8456" max="8704" width="9.44140625" style="3"/>
    <col min="8705" max="8705" width="14" style="3" customWidth="1"/>
    <col min="8706" max="8711" width="10.44140625" style="3" customWidth="1"/>
    <col min="8712" max="8960" width="9.44140625" style="3"/>
    <col min="8961" max="8961" width="14" style="3" customWidth="1"/>
    <col min="8962" max="8967" width="10.44140625" style="3" customWidth="1"/>
    <col min="8968" max="9216" width="9.44140625" style="3"/>
    <col min="9217" max="9217" width="14" style="3" customWidth="1"/>
    <col min="9218" max="9223" width="10.44140625" style="3" customWidth="1"/>
    <col min="9224" max="9472" width="9.44140625" style="3"/>
    <col min="9473" max="9473" width="14" style="3" customWidth="1"/>
    <col min="9474" max="9479" width="10.44140625" style="3" customWidth="1"/>
    <col min="9480" max="9728" width="9.44140625" style="3"/>
    <col min="9729" max="9729" width="14" style="3" customWidth="1"/>
    <col min="9730" max="9735" width="10.44140625" style="3" customWidth="1"/>
    <col min="9736" max="9984" width="9.44140625" style="3"/>
    <col min="9985" max="9985" width="14" style="3" customWidth="1"/>
    <col min="9986" max="9991" width="10.44140625" style="3" customWidth="1"/>
    <col min="9992" max="10240" width="9.44140625" style="3"/>
    <col min="10241" max="10241" width="14" style="3" customWidth="1"/>
    <col min="10242" max="10247" width="10.44140625" style="3" customWidth="1"/>
    <col min="10248" max="10496" width="9.44140625" style="3"/>
    <col min="10497" max="10497" width="14" style="3" customWidth="1"/>
    <col min="10498" max="10503" width="10.44140625" style="3" customWidth="1"/>
    <col min="10504" max="10752" width="9.44140625" style="3"/>
    <col min="10753" max="10753" width="14" style="3" customWidth="1"/>
    <col min="10754" max="10759" width="10.44140625" style="3" customWidth="1"/>
    <col min="10760" max="11008" width="9.44140625" style="3"/>
    <col min="11009" max="11009" width="14" style="3" customWidth="1"/>
    <col min="11010" max="11015" width="10.44140625" style="3" customWidth="1"/>
    <col min="11016" max="11264" width="9.44140625" style="3"/>
    <col min="11265" max="11265" width="14" style="3" customWidth="1"/>
    <col min="11266" max="11271" width="10.44140625" style="3" customWidth="1"/>
    <col min="11272" max="11520" width="9.44140625" style="3"/>
    <col min="11521" max="11521" width="14" style="3" customWidth="1"/>
    <col min="11522" max="11527" width="10.44140625" style="3" customWidth="1"/>
    <col min="11528" max="11776" width="9.44140625" style="3"/>
    <col min="11777" max="11777" width="14" style="3" customWidth="1"/>
    <col min="11778" max="11783" width="10.44140625" style="3" customWidth="1"/>
    <col min="11784" max="12032" width="9.44140625" style="3"/>
    <col min="12033" max="12033" width="14" style="3" customWidth="1"/>
    <col min="12034" max="12039" width="10.44140625" style="3" customWidth="1"/>
    <col min="12040" max="12288" width="9.44140625" style="3"/>
    <col min="12289" max="12289" width="14" style="3" customWidth="1"/>
    <col min="12290" max="12295" width="10.44140625" style="3" customWidth="1"/>
    <col min="12296" max="12544" width="9.44140625" style="3"/>
    <col min="12545" max="12545" width="14" style="3" customWidth="1"/>
    <col min="12546" max="12551" width="10.44140625" style="3" customWidth="1"/>
    <col min="12552" max="12800" width="9.44140625" style="3"/>
    <col min="12801" max="12801" width="14" style="3" customWidth="1"/>
    <col min="12802" max="12807" width="10.44140625" style="3" customWidth="1"/>
    <col min="12808" max="13056" width="9.44140625" style="3"/>
    <col min="13057" max="13057" width="14" style="3" customWidth="1"/>
    <col min="13058" max="13063" width="10.44140625" style="3" customWidth="1"/>
    <col min="13064" max="13312" width="9.44140625" style="3"/>
    <col min="13313" max="13313" width="14" style="3" customWidth="1"/>
    <col min="13314" max="13319" width="10.44140625" style="3" customWidth="1"/>
    <col min="13320" max="13568" width="9.44140625" style="3"/>
    <col min="13569" max="13569" width="14" style="3" customWidth="1"/>
    <col min="13570" max="13575" width="10.44140625" style="3" customWidth="1"/>
    <col min="13576" max="13824" width="9.44140625" style="3"/>
    <col min="13825" max="13825" width="14" style="3" customWidth="1"/>
    <col min="13826" max="13831" width="10.44140625" style="3" customWidth="1"/>
    <col min="13832" max="14080" width="9.44140625" style="3"/>
    <col min="14081" max="14081" width="14" style="3" customWidth="1"/>
    <col min="14082" max="14087" width="10.44140625" style="3" customWidth="1"/>
    <col min="14088" max="14336" width="9.44140625" style="3"/>
    <col min="14337" max="14337" width="14" style="3" customWidth="1"/>
    <col min="14338" max="14343" width="10.44140625" style="3" customWidth="1"/>
    <col min="14344" max="14592" width="9.44140625" style="3"/>
    <col min="14593" max="14593" width="14" style="3" customWidth="1"/>
    <col min="14594" max="14599" width="10.44140625" style="3" customWidth="1"/>
    <col min="14600" max="14848" width="9.44140625" style="3"/>
    <col min="14849" max="14849" width="14" style="3" customWidth="1"/>
    <col min="14850" max="14855" width="10.44140625" style="3" customWidth="1"/>
    <col min="14856" max="15104" width="9.44140625" style="3"/>
    <col min="15105" max="15105" width="14" style="3" customWidth="1"/>
    <col min="15106" max="15111" width="10.44140625" style="3" customWidth="1"/>
    <col min="15112" max="15360" width="9.44140625" style="3"/>
    <col min="15361" max="15361" width="14" style="3" customWidth="1"/>
    <col min="15362" max="15367" width="10.44140625" style="3" customWidth="1"/>
    <col min="15368" max="15616" width="9.44140625" style="3"/>
    <col min="15617" max="15617" width="14" style="3" customWidth="1"/>
    <col min="15618" max="15623" width="10.44140625" style="3" customWidth="1"/>
    <col min="15624" max="15872" width="9.44140625" style="3"/>
    <col min="15873" max="15873" width="14" style="3" customWidth="1"/>
    <col min="15874" max="15879" width="10.44140625" style="3" customWidth="1"/>
    <col min="15880" max="16128" width="9.44140625" style="3"/>
    <col min="16129" max="16129" width="14" style="3" customWidth="1"/>
    <col min="16130" max="16135" width="10.44140625" style="3" customWidth="1"/>
    <col min="16136" max="16384" width="9.44140625" style="3"/>
  </cols>
  <sheetData>
    <row r="1" spans="1:19" ht="15" x14ac:dyDescent="0.25">
      <c r="A1" s="93" t="str">
        <f>+'Cover Page'!$B$29</f>
        <v>Annual Performance Report 2022</v>
      </c>
      <c r="B1" s="93"/>
      <c r="C1" s="93"/>
      <c r="D1" s="93"/>
      <c r="E1" s="93" t="str">
        <f>+'Cover Page'!$B$33</f>
        <v>GLPP</v>
      </c>
      <c r="F1" s="93"/>
      <c r="G1" s="93"/>
    </row>
    <row r="3" spans="1:19" ht="14.4" x14ac:dyDescent="0.3">
      <c r="A3" s="60" t="s">
        <v>377</v>
      </c>
      <c r="D3" s="76" t="s">
        <v>378</v>
      </c>
      <c r="G3" s="80" t="s">
        <v>379</v>
      </c>
      <c r="J3" s="9" t="str">
        <f>+A3</f>
        <v>Monitoring of Hydrogen Chloride emissions</v>
      </c>
      <c r="L3" s="9"/>
      <c r="N3" s="9" t="s">
        <v>380</v>
      </c>
      <c r="Q3" s="79" t="s">
        <v>3</v>
      </c>
      <c r="R3" s="74"/>
      <c r="S3" s="74"/>
    </row>
    <row r="4" spans="1:19" ht="14.1" customHeight="1" x14ac:dyDescent="0.25">
      <c r="Q4" s="346" t="s">
        <v>381</v>
      </c>
      <c r="R4" s="346"/>
      <c r="S4" s="346"/>
    </row>
    <row r="5" spans="1:19" ht="16.2" x14ac:dyDescent="0.25">
      <c r="A5" s="68" t="s">
        <v>382</v>
      </c>
      <c r="B5" s="357" t="s">
        <v>383</v>
      </c>
      <c r="C5" s="357"/>
      <c r="D5" s="357"/>
      <c r="E5" s="357" t="s">
        <v>384</v>
      </c>
      <c r="F5" s="357"/>
      <c r="G5" s="357"/>
      <c r="J5" s="356"/>
      <c r="K5" s="356"/>
      <c r="L5" s="356"/>
      <c r="M5" s="356"/>
      <c r="N5" s="356"/>
      <c r="O5" s="356"/>
      <c r="Q5" s="346"/>
      <c r="R5" s="346"/>
      <c r="S5" s="346"/>
    </row>
    <row r="6" spans="1:19" s="58" customFormat="1" ht="37.5" customHeight="1" x14ac:dyDescent="0.3">
      <c r="A6" s="65">
        <f>+'Cover Page'!C39</f>
        <v>2022</v>
      </c>
      <c r="B6" s="55" t="s">
        <v>385</v>
      </c>
      <c r="C6" s="55" t="s">
        <v>386</v>
      </c>
      <c r="D6" s="55" t="s">
        <v>387</v>
      </c>
      <c r="E6" s="55" t="s">
        <v>388</v>
      </c>
      <c r="F6" s="55" t="s">
        <v>389</v>
      </c>
      <c r="G6" s="55" t="s">
        <v>390</v>
      </c>
      <c r="H6" s="59"/>
      <c r="J6" s="61">
        <f>+A6</f>
        <v>2022</v>
      </c>
      <c r="K6" s="61" t="s">
        <v>391</v>
      </c>
      <c r="L6" s="67" t="s">
        <v>386</v>
      </c>
      <c r="M6" s="67" t="s">
        <v>392</v>
      </c>
      <c r="N6" s="67" t="s">
        <v>389</v>
      </c>
      <c r="O6" s="67" t="s">
        <v>393</v>
      </c>
      <c r="Q6" s="346"/>
      <c r="R6" s="346"/>
      <c r="S6" s="346"/>
    </row>
    <row r="7" spans="1:19" ht="14.1" customHeight="1" x14ac:dyDescent="0.25">
      <c r="A7" s="66" t="s">
        <v>394</v>
      </c>
      <c r="B7" s="63">
        <v>60</v>
      </c>
      <c r="C7" s="64">
        <v>1</v>
      </c>
      <c r="D7" s="64">
        <v>5</v>
      </c>
      <c r="E7" s="63">
        <v>10</v>
      </c>
      <c r="F7" s="64">
        <v>0.5</v>
      </c>
      <c r="G7" s="64">
        <v>2</v>
      </c>
      <c r="J7" s="355" t="s">
        <v>313</v>
      </c>
      <c r="K7" s="66" t="s">
        <v>394</v>
      </c>
      <c r="L7" s="64"/>
      <c r="M7" s="64"/>
      <c r="N7" s="64"/>
      <c r="O7" s="64"/>
      <c r="Q7" s="346"/>
      <c r="R7" s="346"/>
      <c r="S7" s="346"/>
    </row>
    <row r="8" spans="1:19" x14ac:dyDescent="0.25">
      <c r="A8" s="66" t="s">
        <v>395</v>
      </c>
      <c r="B8" s="63">
        <v>60</v>
      </c>
      <c r="C8" s="64">
        <v>1</v>
      </c>
      <c r="D8" s="64">
        <v>5</v>
      </c>
      <c r="E8" s="63">
        <v>10</v>
      </c>
      <c r="F8" s="64">
        <v>0.5</v>
      </c>
      <c r="G8" s="64">
        <v>2</v>
      </c>
      <c r="J8" s="355"/>
      <c r="K8" s="66" t="s">
        <v>395</v>
      </c>
      <c r="L8" s="64"/>
      <c r="M8" s="64"/>
      <c r="N8" s="64"/>
      <c r="O8" s="64"/>
      <c r="Q8" s="346"/>
      <c r="R8" s="346"/>
      <c r="S8" s="346"/>
    </row>
    <row r="9" spans="1:19" x14ac:dyDescent="0.25">
      <c r="A9" s="66" t="s">
        <v>396</v>
      </c>
      <c r="B9" s="63">
        <v>60</v>
      </c>
      <c r="C9" s="64">
        <v>1</v>
      </c>
      <c r="D9" s="64">
        <v>6</v>
      </c>
      <c r="E9" s="63">
        <v>10</v>
      </c>
      <c r="F9" s="64">
        <v>0.5</v>
      </c>
      <c r="G9" s="64">
        <v>2</v>
      </c>
      <c r="J9" s="355"/>
      <c r="K9" s="66" t="s">
        <v>396</v>
      </c>
      <c r="L9" s="64"/>
      <c r="M9" s="64"/>
      <c r="N9" s="64"/>
      <c r="O9" s="64"/>
      <c r="Q9" s="78" t="s">
        <v>397</v>
      </c>
    </row>
    <row r="10" spans="1:19" ht="14.1" customHeight="1" x14ac:dyDescent="0.25">
      <c r="A10" s="66" t="s">
        <v>398</v>
      </c>
      <c r="B10" s="63">
        <v>60</v>
      </c>
      <c r="C10" s="64">
        <v>1</v>
      </c>
      <c r="D10" s="64">
        <v>5</v>
      </c>
      <c r="E10" s="63">
        <v>10</v>
      </c>
      <c r="F10" s="64">
        <v>0.5</v>
      </c>
      <c r="G10" s="64">
        <v>2</v>
      </c>
      <c r="J10" s="355"/>
      <c r="K10" s="66" t="s">
        <v>398</v>
      </c>
      <c r="L10" s="64"/>
      <c r="M10" s="64"/>
      <c r="N10" s="64"/>
      <c r="O10" s="64"/>
      <c r="Q10" s="354" t="s">
        <v>399</v>
      </c>
      <c r="R10" s="354"/>
      <c r="S10" s="354"/>
    </row>
    <row r="11" spans="1:19" x14ac:dyDescent="0.25">
      <c r="A11" s="66" t="s">
        <v>400</v>
      </c>
      <c r="B11" s="63">
        <v>60</v>
      </c>
      <c r="C11" s="64">
        <v>2</v>
      </c>
      <c r="D11" s="64">
        <v>5</v>
      </c>
      <c r="E11" s="63">
        <v>10</v>
      </c>
      <c r="F11" s="64">
        <v>1.5</v>
      </c>
      <c r="G11" s="64">
        <v>3</v>
      </c>
      <c r="J11" s="355"/>
      <c r="K11" s="66" t="s">
        <v>400</v>
      </c>
      <c r="L11" s="64"/>
      <c r="M11" s="64"/>
      <c r="N11" s="64"/>
      <c r="O11" s="64"/>
      <c r="Q11" s="354"/>
      <c r="R11" s="354"/>
      <c r="S11" s="354"/>
    </row>
    <row r="12" spans="1:19" x14ac:dyDescent="0.25">
      <c r="A12" s="66" t="s">
        <v>401</v>
      </c>
      <c r="B12" s="63">
        <v>60</v>
      </c>
      <c r="C12" s="64">
        <v>1</v>
      </c>
      <c r="D12" s="64">
        <v>5</v>
      </c>
      <c r="E12" s="63">
        <v>10</v>
      </c>
      <c r="F12" s="64">
        <v>0.5</v>
      </c>
      <c r="G12" s="64">
        <v>2</v>
      </c>
      <c r="J12" s="355"/>
      <c r="K12" s="66" t="s">
        <v>401</v>
      </c>
      <c r="L12" s="64"/>
      <c r="M12" s="64"/>
      <c r="N12" s="64"/>
      <c r="O12" s="64"/>
      <c r="Q12" s="354"/>
      <c r="R12" s="354"/>
      <c r="S12" s="354"/>
    </row>
    <row r="13" spans="1:19" ht="14.1" customHeight="1" x14ac:dyDescent="0.25">
      <c r="A13" s="66" t="s">
        <v>402</v>
      </c>
      <c r="B13" s="63">
        <v>60</v>
      </c>
      <c r="C13" s="64">
        <v>2</v>
      </c>
      <c r="D13" s="64">
        <v>8</v>
      </c>
      <c r="E13" s="63">
        <v>10</v>
      </c>
      <c r="F13" s="64">
        <v>1</v>
      </c>
      <c r="G13" s="64">
        <v>3</v>
      </c>
      <c r="J13" s="355"/>
      <c r="K13" s="66" t="s">
        <v>402</v>
      </c>
      <c r="L13" s="64"/>
      <c r="M13" s="64"/>
      <c r="N13" s="64"/>
      <c r="O13" s="64"/>
      <c r="Q13" s="354" t="s">
        <v>403</v>
      </c>
      <c r="R13" s="354"/>
      <c r="S13" s="354"/>
    </row>
    <row r="14" spans="1:19" x14ac:dyDescent="0.25">
      <c r="A14" s="66" t="s">
        <v>404</v>
      </c>
      <c r="B14" s="63">
        <v>60</v>
      </c>
      <c r="C14" s="64">
        <v>1</v>
      </c>
      <c r="D14" s="64">
        <v>8</v>
      </c>
      <c r="E14" s="63">
        <v>10</v>
      </c>
      <c r="F14" s="64">
        <v>0</v>
      </c>
      <c r="G14" s="64">
        <v>3</v>
      </c>
      <c r="J14" s="355"/>
      <c r="K14" s="66" t="s">
        <v>404</v>
      </c>
      <c r="L14" s="64"/>
      <c r="M14" s="64"/>
      <c r="N14" s="64"/>
      <c r="O14" s="64"/>
      <c r="Q14" s="354"/>
      <c r="R14" s="354"/>
      <c r="S14" s="354"/>
    </row>
    <row r="15" spans="1:19" x14ac:dyDescent="0.25">
      <c r="A15" s="66" t="s">
        <v>405</v>
      </c>
      <c r="B15" s="63">
        <v>60</v>
      </c>
      <c r="C15" s="64">
        <v>2</v>
      </c>
      <c r="D15" s="64">
        <v>8</v>
      </c>
      <c r="E15" s="63">
        <v>10</v>
      </c>
      <c r="F15" s="64">
        <v>1</v>
      </c>
      <c r="G15" s="64">
        <v>4</v>
      </c>
      <c r="J15" s="355"/>
      <c r="K15" s="66" t="s">
        <v>405</v>
      </c>
      <c r="L15" s="64"/>
      <c r="M15" s="64"/>
      <c r="N15" s="64"/>
      <c r="O15" s="64"/>
      <c r="Q15" s="354"/>
      <c r="R15" s="354"/>
      <c r="S15" s="354"/>
    </row>
    <row r="16" spans="1:19" x14ac:dyDescent="0.25">
      <c r="A16" s="66" t="s">
        <v>406</v>
      </c>
      <c r="B16" s="63">
        <v>60</v>
      </c>
      <c r="C16" s="64">
        <v>1.5</v>
      </c>
      <c r="D16" s="64">
        <v>8</v>
      </c>
      <c r="E16" s="63">
        <v>10</v>
      </c>
      <c r="F16" s="64">
        <v>0.5</v>
      </c>
      <c r="G16" s="64">
        <v>3</v>
      </c>
      <c r="J16" s="355"/>
      <c r="K16" s="66" t="s">
        <v>406</v>
      </c>
      <c r="L16" s="64"/>
      <c r="M16" s="64"/>
      <c r="N16" s="64"/>
      <c r="O16" s="64"/>
      <c r="Q16" s="354"/>
      <c r="R16" s="354"/>
      <c r="S16" s="354"/>
    </row>
    <row r="17" spans="1:15" x14ac:dyDescent="0.25">
      <c r="A17" s="66" t="s">
        <v>407</v>
      </c>
      <c r="B17" s="63">
        <v>60</v>
      </c>
      <c r="C17" s="64">
        <v>2</v>
      </c>
      <c r="D17" s="64">
        <v>9</v>
      </c>
      <c r="E17" s="63">
        <v>10</v>
      </c>
      <c r="F17" s="64">
        <v>1</v>
      </c>
      <c r="G17" s="64">
        <v>3</v>
      </c>
      <c r="J17" s="355"/>
      <c r="K17" s="66" t="s">
        <v>407</v>
      </c>
      <c r="L17" s="64"/>
      <c r="M17" s="64"/>
      <c r="N17" s="64"/>
      <c r="O17" s="64"/>
    </row>
    <row r="18" spans="1:15" x14ac:dyDescent="0.25">
      <c r="A18" s="66" t="s">
        <v>408</v>
      </c>
      <c r="B18" s="63">
        <v>60</v>
      </c>
      <c r="C18" s="64">
        <v>2</v>
      </c>
      <c r="D18" s="64">
        <v>8</v>
      </c>
      <c r="E18" s="63">
        <v>10</v>
      </c>
      <c r="F18" s="64">
        <v>1</v>
      </c>
      <c r="G18" s="64">
        <v>3</v>
      </c>
      <c r="J18" s="355"/>
      <c r="K18" s="66" t="s">
        <v>408</v>
      </c>
      <c r="L18" s="64"/>
      <c r="M18" s="64"/>
      <c r="N18" s="64"/>
      <c r="O18" s="64"/>
    </row>
    <row r="19" spans="1:15" x14ac:dyDescent="0.25">
      <c r="J19" s="355"/>
      <c r="K19" s="62" t="s">
        <v>409</v>
      </c>
      <c r="L19" s="62" t="e">
        <f>AVERAGE(L7:L18)</f>
        <v>#DIV/0!</v>
      </c>
      <c r="M19" s="62">
        <f>MAX(M7:M18)</f>
        <v>0</v>
      </c>
      <c r="N19" s="62" t="e">
        <f>AVERAGE(N7:N18)</f>
        <v>#DIV/0!</v>
      </c>
      <c r="O19" s="62">
        <f>MAX(O7:O18)</f>
        <v>0</v>
      </c>
    </row>
    <row r="21" spans="1:15" ht="41.4" x14ac:dyDescent="0.25">
      <c r="J21" s="61">
        <f>+A6</f>
        <v>2022</v>
      </c>
      <c r="K21" s="61" t="s">
        <v>391</v>
      </c>
      <c r="L21" s="67" t="s">
        <v>386</v>
      </c>
      <c r="M21" s="67" t="s">
        <v>392</v>
      </c>
      <c r="N21" s="67" t="s">
        <v>389</v>
      </c>
      <c r="O21" s="67" t="s">
        <v>393</v>
      </c>
    </row>
    <row r="22" spans="1:15" x14ac:dyDescent="0.25">
      <c r="J22" s="355" t="s">
        <v>314</v>
      </c>
      <c r="K22" s="66" t="s">
        <v>394</v>
      </c>
      <c r="L22" s="64"/>
      <c r="M22" s="64"/>
      <c r="N22" s="64"/>
      <c r="O22" s="64"/>
    </row>
    <row r="23" spans="1:15" x14ac:dyDescent="0.25">
      <c r="J23" s="355"/>
      <c r="K23" s="66" t="s">
        <v>395</v>
      </c>
      <c r="L23" s="64"/>
      <c r="M23" s="64"/>
      <c r="N23" s="64"/>
      <c r="O23" s="64"/>
    </row>
    <row r="24" spans="1:15" x14ac:dyDescent="0.25">
      <c r="J24" s="355"/>
      <c r="K24" s="66" t="s">
        <v>396</v>
      </c>
      <c r="L24" s="64"/>
      <c r="M24" s="64"/>
      <c r="N24" s="64"/>
      <c r="O24" s="64"/>
    </row>
    <row r="25" spans="1:15" x14ac:dyDescent="0.25">
      <c r="J25" s="355"/>
      <c r="K25" s="66" t="s">
        <v>398</v>
      </c>
      <c r="L25" s="64"/>
      <c r="M25" s="64"/>
      <c r="N25" s="64"/>
      <c r="O25" s="64"/>
    </row>
    <row r="26" spans="1:15" x14ac:dyDescent="0.25">
      <c r="J26" s="355"/>
      <c r="K26" s="66" t="s">
        <v>400</v>
      </c>
      <c r="L26" s="64"/>
      <c r="M26" s="64"/>
      <c r="N26" s="64"/>
      <c r="O26" s="64"/>
    </row>
    <row r="27" spans="1:15" x14ac:dyDescent="0.25">
      <c r="J27" s="355"/>
      <c r="K27" s="66" t="s">
        <v>401</v>
      </c>
      <c r="L27" s="64"/>
      <c r="M27" s="64"/>
      <c r="N27" s="64"/>
      <c r="O27" s="64"/>
    </row>
    <row r="28" spans="1:15" x14ac:dyDescent="0.25">
      <c r="J28" s="355"/>
      <c r="K28" s="66" t="s">
        <v>402</v>
      </c>
      <c r="L28" s="64"/>
      <c r="M28" s="64"/>
      <c r="N28" s="64"/>
      <c r="O28" s="64"/>
    </row>
    <row r="29" spans="1:15" x14ac:dyDescent="0.25">
      <c r="J29" s="355"/>
      <c r="K29" s="66" t="s">
        <v>404</v>
      </c>
      <c r="L29" s="64"/>
      <c r="M29" s="64"/>
      <c r="N29" s="64"/>
      <c r="O29" s="64"/>
    </row>
    <row r="30" spans="1:15" x14ac:dyDescent="0.25">
      <c r="J30" s="355"/>
      <c r="K30" s="66" t="s">
        <v>405</v>
      </c>
      <c r="L30" s="64"/>
      <c r="M30" s="64"/>
      <c r="N30" s="64"/>
      <c r="O30" s="64"/>
    </row>
    <row r="31" spans="1:15" x14ac:dyDescent="0.25">
      <c r="J31" s="355"/>
      <c r="K31" s="66" t="s">
        <v>406</v>
      </c>
      <c r="L31" s="64"/>
      <c r="M31" s="64"/>
      <c r="N31" s="64"/>
      <c r="O31" s="64"/>
    </row>
    <row r="32" spans="1:15" x14ac:dyDescent="0.25">
      <c r="J32" s="355"/>
      <c r="K32" s="66" t="s">
        <v>407</v>
      </c>
      <c r="L32" s="64"/>
      <c r="M32" s="64"/>
      <c r="N32" s="64"/>
      <c r="O32" s="64"/>
    </row>
    <row r="33" spans="1:15" x14ac:dyDescent="0.25">
      <c r="J33" s="355"/>
      <c r="K33" s="66" t="s">
        <v>408</v>
      </c>
      <c r="L33" s="64"/>
      <c r="M33" s="64"/>
      <c r="N33" s="64"/>
      <c r="O33" s="64"/>
    </row>
    <row r="34" spans="1:15" x14ac:dyDescent="0.25">
      <c r="J34" s="355"/>
      <c r="K34" s="62" t="s">
        <v>409</v>
      </c>
      <c r="L34" s="62" t="e">
        <f>AVERAGE(L22:L33)</f>
        <v>#DIV/0!</v>
      </c>
      <c r="M34" s="62">
        <f>MAX(M22:M33)</f>
        <v>0</v>
      </c>
      <c r="N34" s="62" t="e">
        <f>AVERAGE(N22:N33)</f>
        <v>#DIV/0!</v>
      </c>
      <c r="O34" s="62">
        <f>MAX(O22:O33)</f>
        <v>0</v>
      </c>
    </row>
    <row r="36" spans="1:15" ht="41.4" x14ac:dyDescent="0.25">
      <c r="J36" s="61">
        <f>+A6</f>
        <v>2022</v>
      </c>
      <c r="K36" s="61" t="s">
        <v>391</v>
      </c>
      <c r="L36" s="67" t="s">
        <v>386</v>
      </c>
      <c r="M36" s="67" t="s">
        <v>392</v>
      </c>
      <c r="N36" s="67" t="s">
        <v>389</v>
      </c>
      <c r="O36" s="67" t="s">
        <v>393</v>
      </c>
    </row>
    <row r="37" spans="1:15" x14ac:dyDescent="0.25">
      <c r="J37" s="355" t="s">
        <v>315</v>
      </c>
      <c r="K37" s="66" t="s">
        <v>394</v>
      </c>
      <c r="L37" s="64"/>
      <c r="M37" s="64"/>
      <c r="N37" s="64"/>
      <c r="O37" s="64"/>
    </row>
    <row r="38" spans="1:15" x14ac:dyDescent="0.25">
      <c r="J38" s="355"/>
      <c r="K38" s="66" t="s">
        <v>395</v>
      </c>
      <c r="L38" s="64"/>
      <c r="M38" s="64"/>
      <c r="N38" s="64"/>
      <c r="O38" s="64"/>
    </row>
    <row r="39" spans="1:15" x14ac:dyDescent="0.25">
      <c r="J39" s="355"/>
      <c r="K39" s="66" t="s">
        <v>396</v>
      </c>
      <c r="L39" s="64"/>
      <c r="M39" s="64"/>
      <c r="N39" s="64"/>
      <c r="O39" s="64"/>
    </row>
    <row r="40" spans="1:15" x14ac:dyDescent="0.25">
      <c r="J40" s="355"/>
      <c r="K40" s="66" t="s">
        <v>398</v>
      </c>
      <c r="L40" s="64"/>
      <c r="M40" s="64"/>
      <c r="N40" s="64"/>
      <c r="O40" s="64"/>
    </row>
    <row r="41" spans="1:15" x14ac:dyDescent="0.25">
      <c r="J41" s="355"/>
      <c r="K41" s="66" t="s">
        <v>400</v>
      </c>
      <c r="L41" s="64"/>
      <c r="M41" s="64"/>
      <c r="N41" s="64"/>
      <c r="O41" s="64"/>
    </row>
    <row r="42" spans="1:15" x14ac:dyDescent="0.25">
      <c r="J42" s="355"/>
      <c r="K42" s="66" t="s">
        <v>401</v>
      </c>
      <c r="L42" s="64"/>
      <c r="M42" s="64"/>
      <c r="N42" s="64"/>
      <c r="O42" s="64"/>
    </row>
    <row r="43" spans="1:15" x14ac:dyDescent="0.25">
      <c r="J43" s="355"/>
      <c r="K43" s="66" t="s">
        <v>402</v>
      </c>
      <c r="L43" s="64"/>
      <c r="M43" s="64"/>
      <c r="N43" s="64"/>
      <c r="O43" s="64"/>
    </row>
    <row r="44" spans="1:15" x14ac:dyDescent="0.25">
      <c r="J44" s="355"/>
      <c r="K44" s="66" t="s">
        <v>404</v>
      </c>
      <c r="L44" s="64"/>
      <c r="M44" s="64"/>
      <c r="N44" s="64"/>
      <c r="O44" s="64"/>
    </row>
    <row r="45" spans="1:15" x14ac:dyDescent="0.25">
      <c r="J45" s="355"/>
      <c r="K45" s="66" t="s">
        <v>405</v>
      </c>
      <c r="L45" s="64"/>
      <c r="M45" s="64"/>
      <c r="N45" s="64"/>
      <c r="O45" s="64"/>
    </row>
    <row r="46" spans="1:15" x14ac:dyDescent="0.25">
      <c r="J46" s="355"/>
      <c r="K46" s="66" t="s">
        <v>406</v>
      </c>
      <c r="L46" s="64"/>
      <c r="M46" s="64"/>
      <c r="N46" s="64"/>
      <c r="O46" s="64"/>
    </row>
    <row r="47" spans="1:15" x14ac:dyDescent="0.25">
      <c r="J47" s="355"/>
      <c r="K47" s="66" t="s">
        <v>407</v>
      </c>
      <c r="L47" s="64"/>
      <c r="M47" s="64"/>
      <c r="N47" s="64"/>
      <c r="O47" s="64"/>
    </row>
    <row r="48" spans="1:15" x14ac:dyDescent="0.25">
      <c r="A48" s="367" t="s">
        <v>287</v>
      </c>
      <c r="B48" s="368"/>
      <c r="C48" s="368"/>
      <c r="D48" s="368"/>
      <c r="E48" s="368"/>
      <c r="F48" s="368"/>
      <c r="G48" s="369"/>
      <c r="J48" s="355"/>
      <c r="K48" s="66" t="s">
        <v>408</v>
      </c>
      <c r="L48" s="64"/>
      <c r="M48" s="64"/>
      <c r="N48" s="64"/>
      <c r="O48" s="64"/>
    </row>
    <row r="49" spans="1:15" x14ac:dyDescent="0.25">
      <c r="A49" s="358"/>
      <c r="B49" s="359"/>
      <c r="C49" s="359"/>
      <c r="D49" s="359"/>
      <c r="E49" s="359"/>
      <c r="F49" s="359"/>
      <c r="G49" s="360"/>
      <c r="J49" s="355"/>
      <c r="K49" s="62" t="s">
        <v>409</v>
      </c>
      <c r="L49" s="62" t="e">
        <f>AVERAGE(L37:L48)</f>
        <v>#DIV/0!</v>
      </c>
      <c r="M49" s="62">
        <f>MAX(M37:M48)</f>
        <v>0</v>
      </c>
      <c r="N49" s="62" t="e">
        <f>AVERAGE(N37:N48)</f>
        <v>#DIV/0!</v>
      </c>
      <c r="O49" s="62">
        <f>MAX(O37:O48)</f>
        <v>0</v>
      </c>
    </row>
    <row r="50" spans="1:15" x14ac:dyDescent="0.25">
      <c r="A50" s="361"/>
      <c r="B50" s="362"/>
      <c r="C50" s="362"/>
      <c r="D50" s="362"/>
      <c r="E50" s="362"/>
      <c r="F50" s="362"/>
      <c r="G50" s="363"/>
    </row>
    <row r="51" spans="1:15" ht="41.4" x14ac:dyDescent="0.25">
      <c r="A51" s="361"/>
      <c r="B51" s="362"/>
      <c r="C51" s="362"/>
      <c r="D51" s="362"/>
      <c r="E51" s="362"/>
      <c r="F51" s="362"/>
      <c r="G51" s="363"/>
      <c r="J51" s="61">
        <f>+A6</f>
        <v>2022</v>
      </c>
      <c r="K51" s="61" t="s">
        <v>391</v>
      </c>
      <c r="L51" s="67" t="s">
        <v>386</v>
      </c>
      <c r="M51" s="67" t="s">
        <v>392</v>
      </c>
      <c r="N51" s="67" t="s">
        <v>389</v>
      </c>
      <c r="O51" s="67" t="s">
        <v>393</v>
      </c>
    </row>
    <row r="52" spans="1:15" x14ac:dyDescent="0.25">
      <c r="A52" s="364"/>
      <c r="B52" s="365"/>
      <c r="C52" s="365"/>
      <c r="D52" s="365"/>
      <c r="E52" s="365"/>
      <c r="F52" s="365"/>
      <c r="G52" s="366"/>
      <c r="J52" s="355" t="s">
        <v>316</v>
      </c>
      <c r="K52" s="66" t="s">
        <v>394</v>
      </c>
      <c r="L52" s="64"/>
      <c r="M52" s="64"/>
      <c r="N52" s="64"/>
      <c r="O52" s="64"/>
    </row>
    <row r="53" spans="1:15" x14ac:dyDescent="0.25">
      <c r="J53" s="355"/>
      <c r="K53" s="66" t="s">
        <v>395</v>
      </c>
      <c r="L53" s="64"/>
      <c r="M53" s="64"/>
      <c r="N53" s="64"/>
      <c r="O53" s="64"/>
    </row>
    <row r="54" spans="1:15" x14ac:dyDescent="0.25">
      <c r="J54" s="355"/>
      <c r="K54" s="66" t="s">
        <v>396</v>
      </c>
      <c r="L54" s="64"/>
      <c r="M54" s="64"/>
      <c r="N54" s="64"/>
      <c r="O54" s="64"/>
    </row>
    <row r="55" spans="1:15" x14ac:dyDescent="0.25">
      <c r="J55" s="355"/>
      <c r="K55" s="66" t="s">
        <v>398</v>
      </c>
      <c r="L55" s="64"/>
      <c r="M55" s="64"/>
      <c r="N55" s="64"/>
      <c r="O55" s="64"/>
    </row>
    <row r="56" spans="1:15" x14ac:dyDescent="0.25">
      <c r="J56" s="355"/>
      <c r="K56" s="66" t="s">
        <v>400</v>
      </c>
      <c r="L56" s="64"/>
      <c r="M56" s="64"/>
      <c r="N56" s="64"/>
      <c r="O56" s="64"/>
    </row>
    <row r="57" spans="1:15" x14ac:dyDescent="0.25">
      <c r="J57" s="355"/>
      <c r="K57" s="66" t="s">
        <v>401</v>
      </c>
      <c r="L57" s="64"/>
      <c r="M57" s="64"/>
      <c r="N57" s="64"/>
      <c r="O57" s="64"/>
    </row>
    <row r="58" spans="1:15" x14ac:dyDescent="0.25">
      <c r="J58" s="355"/>
      <c r="K58" s="66" t="s">
        <v>402</v>
      </c>
      <c r="L58" s="64"/>
      <c r="M58" s="64"/>
      <c r="N58" s="64"/>
      <c r="O58" s="64"/>
    </row>
    <row r="59" spans="1:15" x14ac:dyDescent="0.25">
      <c r="J59" s="355"/>
      <c r="K59" s="66" t="s">
        <v>404</v>
      </c>
      <c r="L59" s="64"/>
      <c r="M59" s="64"/>
      <c r="N59" s="64"/>
      <c r="O59" s="64"/>
    </row>
    <row r="60" spans="1:15" x14ac:dyDescent="0.25">
      <c r="J60" s="355"/>
      <c r="K60" s="66" t="s">
        <v>405</v>
      </c>
      <c r="L60" s="64"/>
      <c r="M60" s="64"/>
      <c r="N60" s="64"/>
      <c r="O60" s="64"/>
    </row>
    <row r="61" spans="1:15" x14ac:dyDescent="0.25">
      <c r="J61" s="355"/>
      <c r="K61" s="66" t="s">
        <v>406</v>
      </c>
      <c r="L61" s="64"/>
      <c r="M61" s="64"/>
      <c r="N61" s="64"/>
      <c r="O61" s="64"/>
    </row>
    <row r="62" spans="1:15" x14ac:dyDescent="0.25">
      <c r="J62" s="355"/>
      <c r="K62" s="66" t="s">
        <v>407</v>
      </c>
      <c r="L62" s="64"/>
      <c r="M62" s="64"/>
      <c r="N62" s="64"/>
      <c r="O62" s="64"/>
    </row>
    <row r="63" spans="1:15" x14ac:dyDescent="0.25">
      <c r="J63" s="355"/>
      <c r="K63" s="66" t="s">
        <v>408</v>
      </c>
      <c r="L63" s="64"/>
      <c r="M63" s="64"/>
      <c r="N63" s="64"/>
      <c r="O63" s="64"/>
    </row>
    <row r="64" spans="1:15" x14ac:dyDescent="0.25">
      <c r="J64" s="355"/>
      <c r="K64" s="62" t="s">
        <v>409</v>
      </c>
      <c r="L64" s="62" t="e">
        <f>AVERAGE(L52:L63)</f>
        <v>#DIV/0!</v>
      </c>
      <c r="M64" s="62">
        <f>MAX(M52:M63)</f>
        <v>0</v>
      </c>
      <c r="N64" s="62" t="e">
        <f>AVERAGE(N52:N63)</f>
        <v>#DIV/0!</v>
      </c>
      <c r="O64" s="62">
        <f>MAX(O52:O63)</f>
        <v>0</v>
      </c>
    </row>
    <row r="66" spans="10:15" ht="41.4" x14ac:dyDescent="0.25">
      <c r="J66" s="61">
        <f>+A6</f>
        <v>2022</v>
      </c>
      <c r="K66" s="61" t="s">
        <v>391</v>
      </c>
      <c r="L66" s="67" t="s">
        <v>386</v>
      </c>
      <c r="M66" s="67" t="s">
        <v>392</v>
      </c>
      <c r="N66" s="67" t="s">
        <v>389</v>
      </c>
      <c r="O66" s="67" t="s">
        <v>393</v>
      </c>
    </row>
    <row r="67" spans="10:15" x14ac:dyDescent="0.25">
      <c r="J67" s="355" t="s">
        <v>317</v>
      </c>
      <c r="K67" s="66" t="s">
        <v>394</v>
      </c>
      <c r="L67" s="64"/>
      <c r="M67" s="64"/>
      <c r="N67" s="64"/>
      <c r="O67" s="64"/>
    </row>
    <row r="68" spans="10:15" x14ac:dyDescent="0.25">
      <c r="J68" s="355"/>
      <c r="K68" s="66" t="s">
        <v>395</v>
      </c>
      <c r="L68" s="64"/>
      <c r="M68" s="64"/>
      <c r="N68" s="64"/>
      <c r="O68" s="64"/>
    </row>
    <row r="69" spans="10:15" x14ac:dyDescent="0.25">
      <c r="J69" s="355"/>
      <c r="K69" s="66" t="s">
        <v>396</v>
      </c>
      <c r="L69" s="64"/>
      <c r="M69" s="64"/>
      <c r="N69" s="64"/>
      <c r="O69" s="64"/>
    </row>
    <row r="70" spans="10:15" x14ac:dyDescent="0.25">
      <c r="J70" s="355"/>
      <c r="K70" s="66" t="s">
        <v>398</v>
      </c>
      <c r="L70" s="64"/>
      <c r="M70" s="64"/>
      <c r="N70" s="64"/>
      <c r="O70" s="64"/>
    </row>
    <row r="71" spans="10:15" x14ac:dyDescent="0.25">
      <c r="J71" s="355"/>
      <c r="K71" s="66" t="s">
        <v>400</v>
      </c>
      <c r="L71" s="64"/>
      <c r="M71" s="64"/>
      <c r="N71" s="64"/>
      <c r="O71" s="64"/>
    </row>
    <row r="72" spans="10:15" x14ac:dyDescent="0.25">
      <c r="J72" s="355"/>
      <c r="K72" s="66" t="s">
        <v>401</v>
      </c>
      <c r="L72" s="64"/>
      <c r="M72" s="64"/>
      <c r="N72" s="64"/>
      <c r="O72" s="64"/>
    </row>
    <row r="73" spans="10:15" x14ac:dyDescent="0.25">
      <c r="J73" s="355"/>
      <c r="K73" s="66" t="s">
        <v>402</v>
      </c>
      <c r="L73" s="64"/>
      <c r="M73" s="64"/>
      <c r="N73" s="64"/>
      <c r="O73" s="64"/>
    </row>
    <row r="74" spans="10:15" x14ac:dyDescent="0.25">
      <c r="J74" s="355"/>
      <c r="K74" s="66" t="s">
        <v>404</v>
      </c>
      <c r="L74" s="64"/>
      <c r="M74" s="64"/>
      <c r="N74" s="64"/>
      <c r="O74" s="64"/>
    </row>
    <row r="75" spans="10:15" x14ac:dyDescent="0.25">
      <c r="J75" s="355"/>
      <c r="K75" s="66" t="s">
        <v>405</v>
      </c>
      <c r="L75" s="64"/>
      <c r="M75" s="64"/>
      <c r="N75" s="64"/>
      <c r="O75" s="64"/>
    </row>
    <row r="76" spans="10:15" x14ac:dyDescent="0.25">
      <c r="J76" s="355"/>
      <c r="K76" s="66" t="s">
        <v>406</v>
      </c>
      <c r="L76" s="64"/>
      <c r="M76" s="64"/>
      <c r="N76" s="64"/>
      <c r="O76" s="64"/>
    </row>
    <row r="77" spans="10:15" x14ac:dyDescent="0.25">
      <c r="J77" s="355"/>
      <c r="K77" s="66" t="s">
        <v>407</v>
      </c>
      <c r="L77" s="64"/>
      <c r="M77" s="64"/>
      <c r="N77" s="64"/>
      <c r="O77" s="64"/>
    </row>
    <row r="78" spans="10:15" x14ac:dyDescent="0.25">
      <c r="J78" s="355"/>
      <c r="K78" s="66" t="s">
        <v>408</v>
      </c>
      <c r="L78" s="64"/>
      <c r="M78" s="64"/>
      <c r="N78" s="64"/>
      <c r="O78" s="64"/>
    </row>
    <row r="79" spans="10:15" x14ac:dyDescent="0.25">
      <c r="J79" s="355"/>
      <c r="K79" s="62" t="s">
        <v>409</v>
      </c>
      <c r="L79" s="62" t="e">
        <f>AVERAGE(L67:L78)</f>
        <v>#DIV/0!</v>
      </c>
      <c r="M79" s="62">
        <f>MAX(M67:M78)</f>
        <v>0</v>
      </c>
      <c r="N79" s="62" t="e">
        <f>AVERAGE(N67:N78)</f>
        <v>#DIV/0!</v>
      </c>
      <c r="O79" s="62">
        <f>MAX(O67:O78)</f>
        <v>0</v>
      </c>
    </row>
  </sheetData>
  <mergeCells count="13">
    <mergeCell ref="Q13:S16"/>
    <mergeCell ref="J52:J64"/>
    <mergeCell ref="J67:J79"/>
    <mergeCell ref="J5:O5"/>
    <mergeCell ref="B5:D5"/>
    <mergeCell ref="E5:G5"/>
    <mergeCell ref="A49:G52"/>
    <mergeCell ref="A48:G48"/>
    <mergeCell ref="J7:J19"/>
    <mergeCell ref="J22:J34"/>
    <mergeCell ref="J37:J49"/>
    <mergeCell ref="Q4:S8"/>
    <mergeCell ref="Q10:S12"/>
  </mergeCells>
  <pageMargins left="0.7" right="0.7" top="0.75" bottom="0.75" header="0.3" footer="0.3"/>
  <pageSetup paperSize="9" scale="75" fitToHeight="0" orientation="portrait" r:id="rId1"/>
  <headerFooter scaleWithDoc="0">
    <oddFooter>&amp;C&amp;"Arial,Regular"Page &amp;P</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rgb="FF92D050"/>
    <pageSetUpPr fitToPage="1"/>
  </sheetPr>
  <dimension ref="A1:S79"/>
  <sheetViews>
    <sheetView workbookViewId="0">
      <selection activeCell="G19" sqref="G19"/>
    </sheetView>
  </sheetViews>
  <sheetFormatPr defaultRowHeight="13.8" x14ac:dyDescent="0.25"/>
  <cols>
    <col min="1" max="1" width="14" style="3" customWidth="1"/>
    <col min="2" max="4" width="17" style="35" customWidth="1"/>
    <col min="5" max="5" width="14.5546875" style="35" customWidth="1"/>
    <col min="6" max="7" width="17" style="35" customWidth="1"/>
    <col min="8" max="11" width="9.44140625" style="3"/>
    <col min="12" max="12" width="15.44140625" style="3" customWidth="1"/>
    <col min="13" max="13" width="17.44140625" style="3" bestFit="1" customWidth="1"/>
    <col min="14" max="14" width="13.5546875" style="3" customWidth="1"/>
    <col min="15" max="15" width="15" style="3" customWidth="1"/>
    <col min="16" max="18" width="9.44140625" style="3"/>
    <col min="19" max="19" width="22" style="3" customWidth="1"/>
    <col min="20" max="256" width="9.44140625" style="3"/>
    <col min="257" max="257" width="14" style="3" customWidth="1"/>
    <col min="258" max="263" width="10.44140625" style="3" customWidth="1"/>
    <col min="264" max="512" width="9.44140625" style="3"/>
    <col min="513" max="513" width="14" style="3" customWidth="1"/>
    <col min="514" max="519" width="10.44140625" style="3" customWidth="1"/>
    <col min="520" max="768" width="9.44140625" style="3"/>
    <col min="769" max="769" width="14" style="3" customWidth="1"/>
    <col min="770" max="775" width="10.44140625" style="3" customWidth="1"/>
    <col min="776" max="1024" width="9.44140625" style="3"/>
    <col min="1025" max="1025" width="14" style="3" customWidth="1"/>
    <col min="1026" max="1031" width="10.44140625" style="3" customWidth="1"/>
    <col min="1032" max="1280" width="9.44140625" style="3"/>
    <col min="1281" max="1281" width="14" style="3" customWidth="1"/>
    <col min="1282" max="1287" width="10.44140625" style="3" customWidth="1"/>
    <col min="1288" max="1536" width="9.44140625" style="3"/>
    <col min="1537" max="1537" width="14" style="3" customWidth="1"/>
    <col min="1538" max="1543" width="10.44140625" style="3" customWidth="1"/>
    <col min="1544" max="1792" width="9.44140625" style="3"/>
    <col min="1793" max="1793" width="14" style="3" customWidth="1"/>
    <col min="1794" max="1799" width="10.44140625" style="3" customWidth="1"/>
    <col min="1800" max="2048" width="9.44140625" style="3"/>
    <col min="2049" max="2049" width="14" style="3" customWidth="1"/>
    <col min="2050" max="2055" width="10.44140625" style="3" customWidth="1"/>
    <col min="2056" max="2304" width="9.44140625" style="3"/>
    <col min="2305" max="2305" width="14" style="3" customWidth="1"/>
    <col min="2306" max="2311" width="10.44140625" style="3" customWidth="1"/>
    <col min="2312" max="2560" width="9.44140625" style="3"/>
    <col min="2561" max="2561" width="14" style="3" customWidth="1"/>
    <col min="2562" max="2567" width="10.44140625" style="3" customWidth="1"/>
    <col min="2568" max="2816" width="9.44140625" style="3"/>
    <col min="2817" max="2817" width="14" style="3" customWidth="1"/>
    <col min="2818" max="2823" width="10.44140625" style="3" customWidth="1"/>
    <col min="2824" max="3072" width="9.44140625" style="3"/>
    <col min="3073" max="3073" width="14" style="3" customWidth="1"/>
    <col min="3074" max="3079" width="10.44140625" style="3" customWidth="1"/>
    <col min="3080" max="3328" width="9.44140625" style="3"/>
    <col min="3329" max="3329" width="14" style="3" customWidth="1"/>
    <col min="3330" max="3335" width="10.44140625" style="3" customWidth="1"/>
    <col min="3336" max="3584" width="9.44140625" style="3"/>
    <col min="3585" max="3585" width="14" style="3" customWidth="1"/>
    <col min="3586" max="3591" width="10.44140625" style="3" customWidth="1"/>
    <col min="3592" max="3840" width="9.44140625" style="3"/>
    <col min="3841" max="3841" width="14" style="3" customWidth="1"/>
    <col min="3842" max="3847" width="10.44140625" style="3" customWidth="1"/>
    <col min="3848" max="4096" width="9.44140625" style="3"/>
    <col min="4097" max="4097" width="14" style="3" customWidth="1"/>
    <col min="4098" max="4103" width="10.44140625" style="3" customWidth="1"/>
    <col min="4104" max="4352" width="9.44140625" style="3"/>
    <col min="4353" max="4353" width="14" style="3" customWidth="1"/>
    <col min="4354" max="4359" width="10.44140625" style="3" customWidth="1"/>
    <col min="4360" max="4608" width="9.44140625" style="3"/>
    <col min="4609" max="4609" width="14" style="3" customWidth="1"/>
    <col min="4610" max="4615" width="10.44140625" style="3" customWidth="1"/>
    <col min="4616" max="4864" width="9.44140625" style="3"/>
    <col min="4865" max="4865" width="14" style="3" customWidth="1"/>
    <col min="4866" max="4871" width="10.44140625" style="3" customWidth="1"/>
    <col min="4872" max="5120" width="9.44140625" style="3"/>
    <col min="5121" max="5121" width="14" style="3" customWidth="1"/>
    <col min="5122" max="5127" width="10.44140625" style="3" customWidth="1"/>
    <col min="5128" max="5376" width="9.44140625" style="3"/>
    <col min="5377" max="5377" width="14" style="3" customWidth="1"/>
    <col min="5378" max="5383" width="10.44140625" style="3" customWidth="1"/>
    <col min="5384" max="5632" width="9.44140625" style="3"/>
    <col min="5633" max="5633" width="14" style="3" customWidth="1"/>
    <col min="5634" max="5639" width="10.44140625" style="3" customWidth="1"/>
    <col min="5640" max="5888" width="9.44140625" style="3"/>
    <col min="5889" max="5889" width="14" style="3" customWidth="1"/>
    <col min="5890" max="5895" width="10.44140625" style="3" customWidth="1"/>
    <col min="5896" max="6144" width="9.44140625" style="3"/>
    <col min="6145" max="6145" width="14" style="3" customWidth="1"/>
    <col min="6146" max="6151" width="10.44140625" style="3" customWidth="1"/>
    <col min="6152" max="6400" width="9.44140625" style="3"/>
    <col min="6401" max="6401" width="14" style="3" customWidth="1"/>
    <col min="6402" max="6407" width="10.44140625" style="3" customWidth="1"/>
    <col min="6408" max="6656" width="9.44140625" style="3"/>
    <col min="6657" max="6657" width="14" style="3" customWidth="1"/>
    <col min="6658" max="6663" width="10.44140625" style="3" customWidth="1"/>
    <col min="6664" max="6912" width="9.44140625" style="3"/>
    <col min="6913" max="6913" width="14" style="3" customWidth="1"/>
    <col min="6914" max="6919" width="10.44140625" style="3" customWidth="1"/>
    <col min="6920" max="7168" width="9.44140625" style="3"/>
    <col min="7169" max="7169" width="14" style="3" customWidth="1"/>
    <col min="7170" max="7175" width="10.44140625" style="3" customWidth="1"/>
    <col min="7176" max="7424" width="9.44140625" style="3"/>
    <col min="7425" max="7425" width="14" style="3" customWidth="1"/>
    <col min="7426" max="7431" width="10.44140625" style="3" customWidth="1"/>
    <col min="7432" max="7680" width="9.44140625" style="3"/>
    <col min="7681" max="7681" width="14" style="3" customWidth="1"/>
    <col min="7682" max="7687" width="10.44140625" style="3" customWidth="1"/>
    <col min="7688" max="7936" width="9.44140625" style="3"/>
    <col min="7937" max="7937" width="14" style="3" customWidth="1"/>
    <col min="7938" max="7943" width="10.44140625" style="3" customWidth="1"/>
    <col min="7944" max="8192" width="9.44140625" style="3"/>
    <col min="8193" max="8193" width="14" style="3" customWidth="1"/>
    <col min="8194" max="8199" width="10.44140625" style="3" customWidth="1"/>
    <col min="8200" max="8448" width="9.44140625" style="3"/>
    <col min="8449" max="8449" width="14" style="3" customWidth="1"/>
    <col min="8450" max="8455" width="10.44140625" style="3" customWidth="1"/>
    <col min="8456" max="8704" width="9.44140625" style="3"/>
    <col min="8705" max="8705" width="14" style="3" customWidth="1"/>
    <col min="8706" max="8711" width="10.44140625" style="3" customWidth="1"/>
    <col min="8712" max="8960" width="9.44140625" style="3"/>
    <col min="8961" max="8961" width="14" style="3" customWidth="1"/>
    <col min="8962" max="8967" width="10.44140625" style="3" customWidth="1"/>
    <col min="8968" max="9216" width="9.44140625" style="3"/>
    <col min="9217" max="9217" width="14" style="3" customWidth="1"/>
    <col min="9218" max="9223" width="10.44140625" style="3" customWidth="1"/>
    <col min="9224" max="9472" width="9.44140625" style="3"/>
    <col min="9473" max="9473" width="14" style="3" customWidth="1"/>
    <col min="9474" max="9479" width="10.44140625" style="3" customWidth="1"/>
    <col min="9480" max="9728" width="9.44140625" style="3"/>
    <col min="9729" max="9729" width="14" style="3" customWidth="1"/>
    <col min="9730" max="9735" width="10.44140625" style="3" customWidth="1"/>
    <col min="9736" max="9984" width="9.44140625" style="3"/>
    <col min="9985" max="9985" width="14" style="3" customWidth="1"/>
    <col min="9986" max="9991" width="10.44140625" style="3" customWidth="1"/>
    <col min="9992" max="10240" width="9.44140625" style="3"/>
    <col min="10241" max="10241" width="14" style="3" customWidth="1"/>
    <col min="10242" max="10247" width="10.44140625" style="3" customWidth="1"/>
    <col min="10248" max="10496" width="9.44140625" style="3"/>
    <col min="10497" max="10497" width="14" style="3" customWidth="1"/>
    <col min="10498" max="10503" width="10.44140625" style="3" customWidth="1"/>
    <col min="10504" max="10752" width="9.44140625" style="3"/>
    <col min="10753" max="10753" width="14" style="3" customWidth="1"/>
    <col min="10754" max="10759" width="10.44140625" style="3" customWidth="1"/>
    <col min="10760" max="11008" width="9.44140625" style="3"/>
    <col min="11009" max="11009" width="14" style="3" customWidth="1"/>
    <col min="11010" max="11015" width="10.44140625" style="3" customWidth="1"/>
    <col min="11016" max="11264" width="9.44140625" style="3"/>
    <col min="11265" max="11265" width="14" style="3" customWidth="1"/>
    <col min="11266" max="11271" width="10.44140625" style="3" customWidth="1"/>
    <col min="11272" max="11520" width="9.44140625" style="3"/>
    <col min="11521" max="11521" width="14" style="3" customWidth="1"/>
    <col min="11522" max="11527" width="10.44140625" style="3" customWidth="1"/>
    <col min="11528" max="11776" width="9.44140625" style="3"/>
    <col min="11777" max="11777" width="14" style="3" customWidth="1"/>
    <col min="11778" max="11783" width="10.44140625" style="3" customWidth="1"/>
    <col min="11784" max="12032" width="9.44140625" style="3"/>
    <col min="12033" max="12033" width="14" style="3" customWidth="1"/>
    <col min="12034" max="12039" width="10.44140625" style="3" customWidth="1"/>
    <col min="12040" max="12288" width="9.44140625" style="3"/>
    <col min="12289" max="12289" width="14" style="3" customWidth="1"/>
    <col min="12290" max="12295" width="10.44140625" style="3" customWidth="1"/>
    <col min="12296" max="12544" width="9.44140625" style="3"/>
    <col min="12545" max="12545" width="14" style="3" customWidth="1"/>
    <col min="12546" max="12551" width="10.44140625" style="3" customWidth="1"/>
    <col min="12552" max="12800" width="9.44140625" style="3"/>
    <col min="12801" max="12801" width="14" style="3" customWidth="1"/>
    <col min="12802" max="12807" width="10.44140625" style="3" customWidth="1"/>
    <col min="12808" max="13056" width="9.44140625" style="3"/>
    <col min="13057" max="13057" width="14" style="3" customWidth="1"/>
    <col min="13058" max="13063" width="10.44140625" style="3" customWidth="1"/>
    <col min="13064" max="13312" width="9.44140625" style="3"/>
    <col min="13313" max="13313" width="14" style="3" customWidth="1"/>
    <col min="13314" max="13319" width="10.44140625" style="3" customWidth="1"/>
    <col min="13320" max="13568" width="9.44140625" style="3"/>
    <col min="13569" max="13569" width="14" style="3" customWidth="1"/>
    <col min="13570" max="13575" width="10.44140625" style="3" customWidth="1"/>
    <col min="13576" max="13824" width="9.44140625" style="3"/>
    <col min="13825" max="13825" width="14" style="3" customWidth="1"/>
    <col min="13826" max="13831" width="10.44140625" style="3" customWidth="1"/>
    <col min="13832" max="14080" width="9.44140625" style="3"/>
    <col min="14081" max="14081" width="14" style="3" customWidth="1"/>
    <col min="14082" max="14087" width="10.44140625" style="3" customWidth="1"/>
    <col min="14088" max="14336" width="9.44140625" style="3"/>
    <col min="14337" max="14337" width="14" style="3" customWidth="1"/>
    <col min="14338" max="14343" width="10.44140625" style="3" customWidth="1"/>
    <col min="14344" max="14592" width="9.44140625" style="3"/>
    <col min="14593" max="14593" width="14" style="3" customWidth="1"/>
    <col min="14594" max="14599" width="10.44140625" style="3" customWidth="1"/>
    <col min="14600" max="14848" width="9.44140625" style="3"/>
    <col min="14849" max="14849" width="14" style="3" customWidth="1"/>
    <col min="14850" max="14855" width="10.44140625" style="3" customWidth="1"/>
    <col min="14856" max="15104" width="9.44140625" style="3"/>
    <col min="15105" max="15105" width="14" style="3" customWidth="1"/>
    <col min="15106" max="15111" width="10.44140625" style="3" customWidth="1"/>
    <col min="15112" max="15360" width="9.44140625" style="3"/>
    <col min="15361" max="15361" width="14" style="3" customWidth="1"/>
    <col min="15362" max="15367" width="10.44140625" style="3" customWidth="1"/>
    <col min="15368" max="15616" width="9.44140625" style="3"/>
    <col min="15617" max="15617" width="14" style="3" customWidth="1"/>
    <col min="15618" max="15623" width="10.44140625" style="3" customWidth="1"/>
    <col min="15624" max="15872" width="9.44140625" style="3"/>
    <col min="15873" max="15873" width="14" style="3" customWidth="1"/>
    <col min="15874" max="15879" width="10.44140625" style="3" customWidth="1"/>
    <col min="15880" max="16128" width="9.44140625" style="3"/>
    <col min="16129" max="16129" width="14" style="3" customWidth="1"/>
    <col min="16130" max="16135" width="10.44140625" style="3" customWidth="1"/>
    <col min="16136" max="16384" width="9.44140625" style="3"/>
  </cols>
  <sheetData>
    <row r="1" spans="1:19" ht="15" x14ac:dyDescent="0.25">
      <c r="A1" s="93" t="str">
        <f>+'Cover Page'!$B$29</f>
        <v>Annual Performance Report 2022</v>
      </c>
      <c r="B1" s="93"/>
      <c r="C1" s="93"/>
      <c r="D1" s="93"/>
      <c r="E1" s="93" t="str">
        <f>+'Cover Page'!$B$33</f>
        <v>GLPP</v>
      </c>
      <c r="F1" s="93"/>
      <c r="G1" s="93"/>
    </row>
    <row r="3" spans="1:19" ht="14.4" x14ac:dyDescent="0.3">
      <c r="A3" s="60" t="s">
        <v>410</v>
      </c>
      <c r="D3" s="76" t="s">
        <v>378</v>
      </c>
      <c r="G3" s="80" t="s">
        <v>379</v>
      </c>
      <c r="J3" s="9" t="str">
        <f>+A3</f>
        <v>Monitoring of Sulphur dioxide emissions</v>
      </c>
      <c r="L3" s="9"/>
      <c r="N3" s="9" t="s">
        <v>380</v>
      </c>
      <c r="Q3" s="79" t="s">
        <v>3</v>
      </c>
      <c r="R3" s="74"/>
      <c r="S3" s="74"/>
    </row>
    <row r="4" spans="1:19" ht="14.1" customHeight="1" x14ac:dyDescent="0.25">
      <c r="Q4" s="346" t="s">
        <v>381</v>
      </c>
      <c r="R4" s="346"/>
      <c r="S4" s="346"/>
    </row>
    <row r="5" spans="1:19" ht="16.2" x14ac:dyDescent="0.25">
      <c r="A5" s="68" t="s">
        <v>382</v>
      </c>
      <c r="B5" s="357" t="s">
        <v>383</v>
      </c>
      <c r="C5" s="357"/>
      <c r="D5" s="357"/>
      <c r="E5" s="357" t="s">
        <v>384</v>
      </c>
      <c r="F5" s="357"/>
      <c r="G5" s="357"/>
      <c r="J5" s="356"/>
      <c r="K5" s="356"/>
      <c r="L5" s="356"/>
      <c r="M5" s="356"/>
      <c r="N5" s="356"/>
      <c r="O5" s="356"/>
      <c r="Q5" s="346"/>
      <c r="R5" s="346"/>
      <c r="S5" s="346"/>
    </row>
    <row r="6" spans="1:19" s="58" customFormat="1" ht="37.5" customHeight="1" x14ac:dyDescent="0.3">
      <c r="A6" s="65">
        <f>+'Cover Page'!C39</f>
        <v>2022</v>
      </c>
      <c r="B6" s="55" t="s">
        <v>411</v>
      </c>
      <c r="C6" s="55" t="s">
        <v>386</v>
      </c>
      <c r="D6" s="55" t="s">
        <v>387</v>
      </c>
      <c r="E6" s="55" t="s">
        <v>412</v>
      </c>
      <c r="F6" s="55" t="s">
        <v>389</v>
      </c>
      <c r="G6" s="55" t="s">
        <v>390</v>
      </c>
      <c r="H6" s="59"/>
      <c r="J6" s="61">
        <f>+A6</f>
        <v>2022</v>
      </c>
      <c r="K6" s="61" t="s">
        <v>391</v>
      </c>
      <c r="L6" s="67" t="s">
        <v>386</v>
      </c>
      <c r="M6" s="67" t="s">
        <v>392</v>
      </c>
      <c r="N6" s="67" t="s">
        <v>389</v>
      </c>
      <c r="O6" s="67" t="s">
        <v>393</v>
      </c>
      <c r="Q6" s="346"/>
      <c r="R6" s="346"/>
      <c r="S6" s="346"/>
    </row>
    <row r="7" spans="1:19" x14ac:dyDescent="0.25">
      <c r="A7" s="66" t="s">
        <v>394</v>
      </c>
      <c r="B7" s="63">
        <v>200</v>
      </c>
      <c r="C7" s="64">
        <v>3</v>
      </c>
      <c r="D7" s="64">
        <v>19</v>
      </c>
      <c r="E7" s="63">
        <v>50</v>
      </c>
      <c r="F7" s="64">
        <v>2</v>
      </c>
      <c r="G7" s="64">
        <v>7</v>
      </c>
      <c r="J7" s="355" t="s">
        <v>313</v>
      </c>
      <c r="K7" s="66" t="s">
        <v>394</v>
      </c>
      <c r="L7" s="64"/>
      <c r="M7" s="64"/>
      <c r="N7" s="64"/>
      <c r="O7" s="64"/>
      <c r="Q7" s="346"/>
      <c r="R7" s="346"/>
      <c r="S7" s="346"/>
    </row>
    <row r="8" spans="1:19" x14ac:dyDescent="0.25">
      <c r="A8" s="66" t="s">
        <v>395</v>
      </c>
      <c r="B8" s="63">
        <v>200</v>
      </c>
      <c r="C8" s="64">
        <v>2</v>
      </c>
      <c r="D8" s="64">
        <v>20</v>
      </c>
      <c r="E8" s="63">
        <v>50</v>
      </c>
      <c r="F8" s="64">
        <v>1.5</v>
      </c>
      <c r="G8" s="64">
        <v>7</v>
      </c>
      <c r="J8" s="355"/>
      <c r="K8" s="66" t="s">
        <v>395</v>
      </c>
      <c r="L8" s="64"/>
      <c r="M8" s="64"/>
      <c r="N8" s="64"/>
      <c r="O8" s="64"/>
      <c r="Q8" s="346"/>
      <c r="R8" s="346"/>
      <c r="S8" s="346"/>
    </row>
    <row r="9" spans="1:19" x14ac:dyDescent="0.25">
      <c r="A9" s="66" t="s">
        <v>396</v>
      </c>
      <c r="B9" s="63">
        <v>200</v>
      </c>
      <c r="C9" s="64">
        <v>4.5</v>
      </c>
      <c r="D9" s="64">
        <v>19</v>
      </c>
      <c r="E9" s="63">
        <v>50</v>
      </c>
      <c r="F9" s="64">
        <v>3.5</v>
      </c>
      <c r="G9" s="64">
        <v>8</v>
      </c>
      <c r="J9" s="355"/>
      <c r="K9" s="66" t="s">
        <v>396</v>
      </c>
      <c r="L9" s="64"/>
      <c r="M9" s="64"/>
      <c r="N9" s="64"/>
      <c r="O9" s="64"/>
      <c r="Q9" s="78" t="s">
        <v>397</v>
      </c>
    </row>
    <row r="10" spans="1:19" ht="14.25" customHeight="1" x14ac:dyDescent="0.25">
      <c r="A10" s="66" t="s">
        <v>398</v>
      </c>
      <c r="B10" s="63">
        <v>200</v>
      </c>
      <c r="C10" s="64">
        <v>2.5</v>
      </c>
      <c r="D10" s="64">
        <v>14</v>
      </c>
      <c r="E10" s="63">
        <v>50</v>
      </c>
      <c r="F10" s="64">
        <v>1.5</v>
      </c>
      <c r="G10" s="64">
        <v>5</v>
      </c>
      <c r="J10" s="355"/>
      <c r="K10" s="66" t="s">
        <v>398</v>
      </c>
      <c r="L10" s="64"/>
      <c r="M10" s="64"/>
      <c r="N10" s="64"/>
      <c r="O10" s="64"/>
      <c r="Q10" s="354" t="s">
        <v>399</v>
      </c>
      <c r="R10" s="354"/>
      <c r="S10" s="354"/>
    </row>
    <row r="11" spans="1:19" x14ac:dyDescent="0.25">
      <c r="A11" s="66" t="s">
        <v>400</v>
      </c>
      <c r="B11" s="63">
        <v>200</v>
      </c>
      <c r="C11" s="64">
        <v>8</v>
      </c>
      <c r="D11" s="64">
        <v>31</v>
      </c>
      <c r="E11" s="63">
        <v>50</v>
      </c>
      <c r="F11" s="64">
        <v>7</v>
      </c>
      <c r="G11" s="64">
        <v>18</v>
      </c>
      <c r="J11" s="355"/>
      <c r="K11" s="66" t="s">
        <v>400</v>
      </c>
      <c r="L11" s="64"/>
      <c r="M11" s="64"/>
      <c r="N11" s="64"/>
      <c r="O11" s="64"/>
      <c r="Q11" s="354"/>
      <c r="R11" s="354"/>
      <c r="S11" s="354"/>
    </row>
    <row r="12" spans="1:19" x14ac:dyDescent="0.25">
      <c r="A12" s="66" t="s">
        <v>401</v>
      </c>
      <c r="B12" s="63">
        <v>200</v>
      </c>
      <c r="C12" s="64">
        <v>12</v>
      </c>
      <c r="D12" s="64">
        <v>35</v>
      </c>
      <c r="E12" s="63">
        <v>50</v>
      </c>
      <c r="F12" s="64">
        <v>11</v>
      </c>
      <c r="G12" s="64">
        <v>24</v>
      </c>
      <c r="J12" s="355"/>
      <c r="K12" s="66" t="s">
        <v>401</v>
      </c>
      <c r="L12" s="64"/>
      <c r="M12" s="64"/>
      <c r="N12" s="64"/>
      <c r="O12" s="64"/>
      <c r="Q12" s="354"/>
      <c r="R12" s="354"/>
      <c r="S12" s="354"/>
    </row>
    <row r="13" spans="1:19" ht="14.25" customHeight="1" x14ac:dyDescent="0.25">
      <c r="A13" s="66" t="s">
        <v>402</v>
      </c>
      <c r="B13" s="63">
        <v>200</v>
      </c>
      <c r="C13" s="64">
        <v>4</v>
      </c>
      <c r="D13" s="64">
        <v>30</v>
      </c>
      <c r="E13" s="63">
        <v>50</v>
      </c>
      <c r="F13" s="64">
        <v>3.5</v>
      </c>
      <c r="G13" s="64">
        <v>13</v>
      </c>
      <c r="J13" s="355"/>
      <c r="K13" s="66" t="s">
        <v>402</v>
      </c>
      <c r="L13" s="64"/>
      <c r="M13" s="64"/>
      <c r="N13" s="64"/>
      <c r="O13" s="64"/>
      <c r="Q13" s="354" t="s">
        <v>403</v>
      </c>
      <c r="R13" s="354"/>
      <c r="S13" s="354"/>
    </row>
    <row r="14" spans="1:19" x14ac:dyDescent="0.25">
      <c r="A14" s="66" t="s">
        <v>404</v>
      </c>
      <c r="B14" s="63">
        <v>200</v>
      </c>
      <c r="C14" s="64">
        <v>5</v>
      </c>
      <c r="D14" s="64">
        <v>29</v>
      </c>
      <c r="E14" s="63">
        <v>50</v>
      </c>
      <c r="F14" s="64">
        <v>4</v>
      </c>
      <c r="G14" s="64">
        <v>7</v>
      </c>
      <c r="J14" s="355"/>
      <c r="K14" s="66" t="s">
        <v>404</v>
      </c>
      <c r="L14" s="64"/>
      <c r="M14" s="64"/>
      <c r="N14" s="64"/>
      <c r="O14" s="64"/>
      <c r="Q14" s="354"/>
      <c r="R14" s="354"/>
      <c r="S14" s="354"/>
    </row>
    <row r="15" spans="1:19" x14ac:dyDescent="0.25">
      <c r="A15" s="66" t="s">
        <v>405</v>
      </c>
      <c r="B15" s="63">
        <v>200</v>
      </c>
      <c r="C15" s="64">
        <v>4</v>
      </c>
      <c r="D15" s="64">
        <v>16</v>
      </c>
      <c r="E15" s="63">
        <v>50</v>
      </c>
      <c r="F15" s="64">
        <v>3</v>
      </c>
      <c r="G15" s="64">
        <v>8</v>
      </c>
      <c r="J15" s="355"/>
      <c r="K15" s="66" t="s">
        <v>405</v>
      </c>
      <c r="L15" s="64"/>
      <c r="M15" s="64"/>
      <c r="N15" s="64"/>
      <c r="O15" s="64"/>
      <c r="Q15" s="354"/>
      <c r="R15" s="354"/>
      <c r="S15" s="354"/>
    </row>
    <row r="16" spans="1:19" x14ac:dyDescent="0.25">
      <c r="A16" s="66" t="s">
        <v>406</v>
      </c>
      <c r="B16" s="63">
        <v>200</v>
      </c>
      <c r="C16" s="64">
        <v>6.5</v>
      </c>
      <c r="D16" s="64">
        <v>38</v>
      </c>
      <c r="E16" s="63">
        <v>50</v>
      </c>
      <c r="F16" s="64">
        <v>5.5</v>
      </c>
      <c r="G16" s="64">
        <v>27</v>
      </c>
      <c r="J16" s="355"/>
      <c r="K16" s="66" t="s">
        <v>406</v>
      </c>
      <c r="L16" s="64"/>
      <c r="M16" s="64"/>
      <c r="N16" s="64"/>
      <c r="O16" s="64"/>
      <c r="Q16" s="354"/>
      <c r="R16" s="354"/>
      <c r="S16" s="354"/>
    </row>
    <row r="17" spans="1:15" x14ac:dyDescent="0.25">
      <c r="A17" s="66" t="s">
        <v>407</v>
      </c>
      <c r="B17" s="63">
        <v>200</v>
      </c>
      <c r="C17" s="64">
        <v>9.5</v>
      </c>
      <c r="D17" s="64">
        <v>41</v>
      </c>
      <c r="E17" s="63">
        <v>50</v>
      </c>
      <c r="F17" s="64">
        <v>8.5</v>
      </c>
      <c r="G17" s="64">
        <v>27</v>
      </c>
      <c r="J17" s="355"/>
      <c r="K17" s="66" t="s">
        <v>407</v>
      </c>
      <c r="L17" s="64"/>
      <c r="M17" s="64"/>
      <c r="N17" s="64"/>
      <c r="O17" s="64"/>
    </row>
    <row r="18" spans="1:15" x14ac:dyDescent="0.25">
      <c r="A18" s="66" t="s">
        <v>408</v>
      </c>
      <c r="B18" s="63">
        <v>200</v>
      </c>
      <c r="C18" s="64">
        <v>6</v>
      </c>
      <c r="D18" s="64">
        <v>28</v>
      </c>
      <c r="E18" s="63">
        <v>50</v>
      </c>
      <c r="F18" s="64">
        <v>5</v>
      </c>
      <c r="G18" s="64">
        <v>17</v>
      </c>
      <c r="J18" s="355"/>
      <c r="K18" s="66" t="s">
        <v>408</v>
      </c>
      <c r="L18" s="64"/>
      <c r="M18" s="64"/>
      <c r="N18" s="64"/>
      <c r="O18" s="64"/>
    </row>
    <row r="19" spans="1:15" x14ac:dyDescent="0.25">
      <c r="J19" s="355"/>
      <c r="K19" s="62" t="s">
        <v>409</v>
      </c>
      <c r="L19" s="62" t="e">
        <f>AVERAGE(L7:L18)</f>
        <v>#DIV/0!</v>
      </c>
      <c r="M19" s="62">
        <f>MAX(M7:M18)</f>
        <v>0</v>
      </c>
      <c r="N19" s="62" t="e">
        <f>AVERAGE(N7:N18)</f>
        <v>#DIV/0!</v>
      </c>
      <c r="O19" s="62">
        <f>MAX(O7:O18)</f>
        <v>0</v>
      </c>
    </row>
    <row r="21" spans="1:15" ht="41.4" x14ac:dyDescent="0.25">
      <c r="J21" s="61">
        <f>+A6</f>
        <v>2022</v>
      </c>
      <c r="K21" s="61" t="s">
        <v>391</v>
      </c>
      <c r="L21" s="67" t="s">
        <v>386</v>
      </c>
      <c r="M21" s="67" t="s">
        <v>392</v>
      </c>
      <c r="N21" s="67" t="s">
        <v>389</v>
      </c>
      <c r="O21" s="67" t="s">
        <v>393</v>
      </c>
    </row>
    <row r="22" spans="1:15" x14ac:dyDescent="0.25">
      <c r="J22" s="355" t="s">
        <v>314</v>
      </c>
      <c r="K22" s="66" t="s">
        <v>394</v>
      </c>
      <c r="L22" s="64"/>
      <c r="M22" s="64"/>
      <c r="N22" s="64"/>
      <c r="O22" s="64"/>
    </row>
    <row r="23" spans="1:15" x14ac:dyDescent="0.25">
      <c r="J23" s="355"/>
      <c r="K23" s="66" t="s">
        <v>395</v>
      </c>
      <c r="L23" s="64"/>
      <c r="M23" s="64"/>
      <c r="N23" s="64"/>
      <c r="O23" s="64"/>
    </row>
    <row r="24" spans="1:15" x14ac:dyDescent="0.25">
      <c r="J24" s="355"/>
      <c r="K24" s="66" t="s">
        <v>396</v>
      </c>
      <c r="L24" s="64"/>
      <c r="M24" s="64"/>
      <c r="N24" s="64"/>
      <c r="O24" s="64"/>
    </row>
    <row r="25" spans="1:15" x14ac:dyDescent="0.25">
      <c r="J25" s="355"/>
      <c r="K25" s="66" t="s">
        <v>398</v>
      </c>
      <c r="L25" s="64"/>
      <c r="M25" s="64"/>
      <c r="N25" s="64"/>
      <c r="O25" s="64"/>
    </row>
    <row r="26" spans="1:15" x14ac:dyDescent="0.25">
      <c r="J26" s="355"/>
      <c r="K26" s="66" t="s">
        <v>400</v>
      </c>
      <c r="L26" s="64"/>
      <c r="M26" s="64"/>
      <c r="N26" s="64"/>
      <c r="O26" s="64"/>
    </row>
    <row r="27" spans="1:15" x14ac:dyDescent="0.25">
      <c r="J27" s="355"/>
      <c r="K27" s="66" t="s">
        <v>401</v>
      </c>
      <c r="L27" s="64"/>
      <c r="M27" s="64"/>
      <c r="N27" s="64"/>
      <c r="O27" s="64"/>
    </row>
    <row r="28" spans="1:15" x14ac:dyDescent="0.25">
      <c r="J28" s="355"/>
      <c r="K28" s="66" t="s">
        <v>402</v>
      </c>
      <c r="L28" s="64"/>
      <c r="M28" s="64"/>
      <c r="N28" s="64"/>
      <c r="O28" s="64"/>
    </row>
    <row r="29" spans="1:15" x14ac:dyDescent="0.25">
      <c r="J29" s="355"/>
      <c r="K29" s="66" t="s">
        <v>404</v>
      </c>
      <c r="L29" s="64"/>
      <c r="M29" s="64"/>
      <c r="N29" s="64"/>
      <c r="O29" s="64"/>
    </row>
    <row r="30" spans="1:15" x14ac:dyDescent="0.25">
      <c r="J30" s="355"/>
      <c r="K30" s="66" t="s">
        <v>405</v>
      </c>
      <c r="L30" s="64"/>
      <c r="M30" s="64"/>
      <c r="N30" s="64"/>
      <c r="O30" s="64"/>
    </row>
    <row r="31" spans="1:15" x14ac:dyDescent="0.25">
      <c r="J31" s="355"/>
      <c r="K31" s="66" t="s">
        <v>406</v>
      </c>
      <c r="L31" s="64"/>
      <c r="M31" s="64"/>
      <c r="N31" s="64"/>
      <c r="O31" s="64"/>
    </row>
    <row r="32" spans="1:15" x14ac:dyDescent="0.25">
      <c r="J32" s="355"/>
      <c r="K32" s="66" t="s">
        <v>407</v>
      </c>
      <c r="L32" s="64"/>
      <c r="M32" s="64"/>
      <c r="N32" s="64"/>
      <c r="O32" s="64"/>
    </row>
    <row r="33" spans="1:15" x14ac:dyDescent="0.25">
      <c r="J33" s="355"/>
      <c r="K33" s="66" t="s">
        <v>408</v>
      </c>
      <c r="L33" s="64"/>
      <c r="M33" s="64"/>
      <c r="N33" s="64"/>
      <c r="O33" s="64"/>
    </row>
    <row r="34" spans="1:15" x14ac:dyDescent="0.25">
      <c r="J34" s="355"/>
      <c r="K34" s="62" t="s">
        <v>409</v>
      </c>
      <c r="L34" s="62" t="e">
        <f>AVERAGE(L22:L33)</f>
        <v>#DIV/0!</v>
      </c>
      <c r="M34" s="62">
        <f>MAX(M22:M33)</f>
        <v>0</v>
      </c>
      <c r="N34" s="62" t="e">
        <f>AVERAGE(N22:N33)</f>
        <v>#DIV/0!</v>
      </c>
      <c r="O34" s="62">
        <f>MAX(O22:O33)</f>
        <v>0</v>
      </c>
    </row>
    <row r="36" spans="1:15" ht="41.4" x14ac:dyDescent="0.25">
      <c r="J36" s="61">
        <f>+A6</f>
        <v>2022</v>
      </c>
      <c r="K36" s="61" t="s">
        <v>391</v>
      </c>
      <c r="L36" s="67" t="s">
        <v>386</v>
      </c>
      <c r="M36" s="67" t="s">
        <v>392</v>
      </c>
      <c r="N36" s="67" t="s">
        <v>389</v>
      </c>
      <c r="O36" s="67" t="s">
        <v>393</v>
      </c>
    </row>
    <row r="37" spans="1:15" x14ac:dyDescent="0.25">
      <c r="J37" s="355" t="s">
        <v>315</v>
      </c>
      <c r="K37" s="66" t="s">
        <v>394</v>
      </c>
      <c r="L37" s="64"/>
      <c r="M37" s="64"/>
      <c r="N37" s="64"/>
      <c r="O37" s="64"/>
    </row>
    <row r="38" spans="1:15" x14ac:dyDescent="0.25">
      <c r="J38" s="355"/>
      <c r="K38" s="66" t="s">
        <v>395</v>
      </c>
      <c r="L38" s="64"/>
      <c r="M38" s="64"/>
      <c r="N38" s="64"/>
      <c r="O38" s="64"/>
    </row>
    <row r="39" spans="1:15" x14ac:dyDescent="0.25">
      <c r="J39" s="355"/>
      <c r="K39" s="66" t="s">
        <v>396</v>
      </c>
      <c r="L39" s="64"/>
      <c r="M39" s="64"/>
      <c r="N39" s="64"/>
      <c r="O39" s="64"/>
    </row>
    <row r="40" spans="1:15" x14ac:dyDescent="0.25">
      <c r="J40" s="355"/>
      <c r="K40" s="66" t="s">
        <v>398</v>
      </c>
      <c r="L40" s="64"/>
      <c r="M40" s="64"/>
      <c r="N40" s="64"/>
      <c r="O40" s="64"/>
    </row>
    <row r="41" spans="1:15" x14ac:dyDescent="0.25">
      <c r="J41" s="355"/>
      <c r="K41" s="66" t="s">
        <v>400</v>
      </c>
      <c r="L41" s="64"/>
      <c r="M41" s="64"/>
      <c r="N41" s="64"/>
      <c r="O41" s="64"/>
    </row>
    <row r="42" spans="1:15" x14ac:dyDescent="0.25">
      <c r="J42" s="355"/>
      <c r="K42" s="66" t="s">
        <v>401</v>
      </c>
      <c r="L42" s="64"/>
      <c r="M42" s="64"/>
      <c r="N42" s="64"/>
      <c r="O42" s="64"/>
    </row>
    <row r="43" spans="1:15" x14ac:dyDescent="0.25">
      <c r="J43" s="355"/>
      <c r="K43" s="66" t="s">
        <v>402</v>
      </c>
      <c r="L43" s="64"/>
      <c r="M43" s="64"/>
      <c r="N43" s="64"/>
      <c r="O43" s="64"/>
    </row>
    <row r="44" spans="1:15" x14ac:dyDescent="0.25">
      <c r="J44" s="355"/>
      <c r="K44" s="66" t="s">
        <v>404</v>
      </c>
      <c r="L44" s="64"/>
      <c r="M44" s="64"/>
      <c r="N44" s="64"/>
      <c r="O44" s="64"/>
    </row>
    <row r="45" spans="1:15" x14ac:dyDescent="0.25">
      <c r="J45" s="355"/>
      <c r="K45" s="66" t="s">
        <v>405</v>
      </c>
      <c r="L45" s="64"/>
      <c r="M45" s="64"/>
      <c r="N45" s="64"/>
      <c r="O45" s="64"/>
    </row>
    <row r="46" spans="1:15" x14ac:dyDescent="0.25">
      <c r="J46" s="355"/>
      <c r="K46" s="66" t="s">
        <v>406</v>
      </c>
      <c r="L46" s="64"/>
      <c r="M46" s="64"/>
      <c r="N46" s="64"/>
      <c r="O46" s="64"/>
    </row>
    <row r="47" spans="1:15" x14ac:dyDescent="0.25">
      <c r="J47" s="355"/>
      <c r="K47" s="66" t="s">
        <v>407</v>
      </c>
      <c r="L47" s="64"/>
      <c r="M47" s="64"/>
      <c r="N47" s="64"/>
      <c r="O47" s="64"/>
    </row>
    <row r="48" spans="1:15" x14ac:dyDescent="0.25">
      <c r="A48" s="367" t="s">
        <v>287</v>
      </c>
      <c r="B48" s="368"/>
      <c r="C48" s="368"/>
      <c r="D48" s="368"/>
      <c r="E48" s="368"/>
      <c r="F48" s="368"/>
      <c r="G48" s="369"/>
      <c r="J48" s="355"/>
      <c r="K48" s="66" t="s">
        <v>408</v>
      </c>
      <c r="L48" s="64"/>
      <c r="M48" s="64"/>
      <c r="N48" s="64"/>
      <c r="O48" s="64"/>
    </row>
    <row r="49" spans="1:15" x14ac:dyDescent="0.25">
      <c r="A49" s="358"/>
      <c r="B49" s="359"/>
      <c r="C49" s="359"/>
      <c r="D49" s="359"/>
      <c r="E49" s="359"/>
      <c r="F49" s="359"/>
      <c r="G49" s="360"/>
      <c r="J49" s="355"/>
      <c r="K49" s="62" t="s">
        <v>409</v>
      </c>
      <c r="L49" s="62" t="e">
        <f>AVERAGE(L37:L48)</f>
        <v>#DIV/0!</v>
      </c>
      <c r="M49" s="62">
        <f>MAX(M37:M48)</f>
        <v>0</v>
      </c>
      <c r="N49" s="62" t="e">
        <f>AVERAGE(N37:N48)</f>
        <v>#DIV/0!</v>
      </c>
      <c r="O49" s="62">
        <f>MAX(O37:O48)</f>
        <v>0</v>
      </c>
    </row>
    <row r="50" spans="1:15" x14ac:dyDescent="0.25">
      <c r="A50" s="361"/>
      <c r="B50" s="362"/>
      <c r="C50" s="362"/>
      <c r="D50" s="362"/>
      <c r="E50" s="362"/>
      <c r="F50" s="362"/>
      <c r="G50" s="363"/>
    </row>
    <row r="51" spans="1:15" ht="41.4" x14ac:dyDescent="0.25">
      <c r="A51" s="361"/>
      <c r="B51" s="362"/>
      <c r="C51" s="362"/>
      <c r="D51" s="362"/>
      <c r="E51" s="362"/>
      <c r="F51" s="362"/>
      <c r="G51" s="363"/>
      <c r="J51" s="61">
        <f>+A6</f>
        <v>2022</v>
      </c>
      <c r="K51" s="61" t="s">
        <v>391</v>
      </c>
      <c r="L51" s="67" t="s">
        <v>386</v>
      </c>
      <c r="M51" s="67" t="s">
        <v>392</v>
      </c>
      <c r="N51" s="67" t="s">
        <v>389</v>
      </c>
      <c r="O51" s="67" t="s">
        <v>393</v>
      </c>
    </row>
    <row r="52" spans="1:15" x14ac:dyDescent="0.25">
      <c r="A52" s="364"/>
      <c r="B52" s="365"/>
      <c r="C52" s="365"/>
      <c r="D52" s="365"/>
      <c r="E52" s="365"/>
      <c r="F52" s="365"/>
      <c r="G52" s="366"/>
      <c r="J52" s="355" t="s">
        <v>316</v>
      </c>
      <c r="K52" s="66" t="s">
        <v>394</v>
      </c>
      <c r="L52" s="64"/>
      <c r="M52" s="64"/>
      <c r="N52" s="64"/>
      <c r="O52" s="64"/>
    </row>
    <row r="53" spans="1:15" x14ac:dyDescent="0.25">
      <c r="J53" s="355"/>
      <c r="K53" s="66" t="s">
        <v>395</v>
      </c>
      <c r="L53" s="64"/>
      <c r="M53" s="64"/>
      <c r="N53" s="64"/>
      <c r="O53" s="64"/>
    </row>
    <row r="54" spans="1:15" x14ac:dyDescent="0.25">
      <c r="J54" s="355"/>
      <c r="K54" s="66" t="s">
        <v>396</v>
      </c>
      <c r="L54" s="64"/>
      <c r="M54" s="64"/>
      <c r="N54" s="64"/>
      <c r="O54" s="64"/>
    </row>
    <row r="55" spans="1:15" x14ac:dyDescent="0.25">
      <c r="J55" s="355"/>
      <c r="K55" s="66" t="s">
        <v>398</v>
      </c>
      <c r="L55" s="64"/>
      <c r="M55" s="64"/>
      <c r="N55" s="64"/>
      <c r="O55" s="64"/>
    </row>
    <row r="56" spans="1:15" x14ac:dyDescent="0.25">
      <c r="J56" s="355"/>
      <c r="K56" s="66" t="s">
        <v>400</v>
      </c>
      <c r="L56" s="64"/>
      <c r="M56" s="64"/>
      <c r="N56" s="64"/>
      <c r="O56" s="64"/>
    </row>
    <row r="57" spans="1:15" x14ac:dyDescent="0.25">
      <c r="J57" s="355"/>
      <c r="K57" s="66" t="s">
        <v>401</v>
      </c>
      <c r="L57" s="64"/>
      <c r="M57" s="64"/>
      <c r="N57" s="64"/>
      <c r="O57" s="64"/>
    </row>
    <row r="58" spans="1:15" x14ac:dyDescent="0.25">
      <c r="J58" s="355"/>
      <c r="K58" s="66" t="s">
        <v>402</v>
      </c>
      <c r="L58" s="64"/>
      <c r="M58" s="64"/>
      <c r="N58" s="64"/>
      <c r="O58" s="64"/>
    </row>
    <row r="59" spans="1:15" x14ac:dyDescent="0.25">
      <c r="J59" s="355"/>
      <c r="K59" s="66" t="s">
        <v>404</v>
      </c>
      <c r="L59" s="64"/>
      <c r="M59" s="64"/>
      <c r="N59" s="64"/>
      <c r="O59" s="64"/>
    </row>
    <row r="60" spans="1:15" x14ac:dyDescent="0.25">
      <c r="J60" s="355"/>
      <c r="K60" s="66" t="s">
        <v>405</v>
      </c>
      <c r="L60" s="64"/>
      <c r="M60" s="64"/>
      <c r="N60" s="64"/>
      <c r="O60" s="64"/>
    </row>
    <row r="61" spans="1:15" x14ac:dyDescent="0.25">
      <c r="J61" s="355"/>
      <c r="K61" s="66" t="s">
        <v>406</v>
      </c>
      <c r="L61" s="64"/>
      <c r="M61" s="64"/>
      <c r="N61" s="64"/>
      <c r="O61" s="64"/>
    </row>
    <row r="62" spans="1:15" x14ac:dyDescent="0.25">
      <c r="J62" s="355"/>
      <c r="K62" s="66" t="s">
        <v>407</v>
      </c>
      <c r="L62" s="64"/>
      <c r="M62" s="64"/>
      <c r="N62" s="64"/>
      <c r="O62" s="64"/>
    </row>
    <row r="63" spans="1:15" x14ac:dyDescent="0.25">
      <c r="J63" s="355"/>
      <c r="K63" s="66" t="s">
        <v>408</v>
      </c>
      <c r="L63" s="64"/>
      <c r="M63" s="64"/>
      <c r="N63" s="64"/>
      <c r="O63" s="64"/>
    </row>
    <row r="64" spans="1:15" x14ac:dyDescent="0.25">
      <c r="J64" s="355"/>
      <c r="K64" s="62" t="s">
        <v>409</v>
      </c>
      <c r="L64" s="62" t="e">
        <f>AVERAGE(L52:L63)</f>
        <v>#DIV/0!</v>
      </c>
      <c r="M64" s="62">
        <f>MAX(M52:M63)</f>
        <v>0</v>
      </c>
      <c r="N64" s="62" t="e">
        <f>AVERAGE(N52:N63)</f>
        <v>#DIV/0!</v>
      </c>
      <c r="O64" s="62">
        <f>MAX(O52:O63)</f>
        <v>0</v>
      </c>
    </row>
    <row r="66" spans="10:15" ht="41.4" x14ac:dyDescent="0.25">
      <c r="J66" s="61">
        <f>+A6</f>
        <v>2022</v>
      </c>
      <c r="K66" s="61" t="s">
        <v>391</v>
      </c>
      <c r="L66" s="67" t="s">
        <v>386</v>
      </c>
      <c r="M66" s="67" t="s">
        <v>392</v>
      </c>
      <c r="N66" s="67" t="s">
        <v>389</v>
      </c>
      <c r="O66" s="67" t="s">
        <v>393</v>
      </c>
    </row>
    <row r="67" spans="10:15" x14ac:dyDescent="0.25">
      <c r="J67" s="355" t="s">
        <v>317</v>
      </c>
      <c r="K67" s="66" t="s">
        <v>394</v>
      </c>
      <c r="L67" s="64"/>
      <c r="M67" s="64"/>
      <c r="N67" s="64"/>
      <c r="O67" s="64"/>
    </row>
    <row r="68" spans="10:15" x14ac:dyDescent="0.25">
      <c r="J68" s="355"/>
      <c r="K68" s="66" t="s">
        <v>395</v>
      </c>
      <c r="L68" s="64"/>
      <c r="M68" s="64"/>
      <c r="N68" s="64"/>
      <c r="O68" s="64"/>
    </row>
    <row r="69" spans="10:15" x14ac:dyDescent="0.25">
      <c r="J69" s="355"/>
      <c r="K69" s="66" t="s">
        <v>396</v>
      </c>
      <c r="L69" s="64"/>
      <c r="M69" s="64"/>
      <c r="N69" s="64"/>
      <c r="O69" s="64"/>
    </row>
    <row r="70" spans="10:15" x14ac:dyDescent="0.25">
      <c r="J70" s="355"/>
      <c r="K70" s="66" t="s">
        <v>398</v>
      </c>
      <c r="L70" s="64"/>
      <c r="M70" s="64"/>
      <c r="N70" s="64"/>
      <c r="O70" s="64"/>
    </row>
    <row r="71" spans="10:15" x14ac:dyDescent="0.25">
      <c r="J71" s="355"/>
      <c r="K71" s="66" t="s">
        <v>400</v>
      </c>
      <c r="L71" s="64"/>
      <c r="M71" s="64"/>
      <c r="N71" s="64"/>
      <c r="O71" s="64"/>
    </row>
    <row r="72" spans="10:15" x14ac:dyDescent="0.25">
      <c r="J72" s="355"/>
      <c r="K72" s="66" t="s">
        <v>401</v>
      </c>
      <c r="L72" s="64"/>
      <c r="M72" s="64"/>
      <c r="N72" s="64"/>
      <c r="O72" s="64"/>
    </row>
    <row r="73" spans="10:15" x14ac:dyDescent="0.25">
      <c r="J73" s="355"/>
      <c r="K73" s="66" t="s">
        <v>402</v>
      </c>
      <c r="L73" s="64"/>
      <c r="M73" s="64"/>
      <c r="N73" s="64"/>
      <c r="O73" s="64"/>
    </row>
    <row r="74" spans="10:15" x14ac:dyDescent="0.25">
      <c r="J74" s="355"/>
      <c r="K74" s="66" t="s">
        <v>404</v>
      </c>
      <c r="L74" s="64"/>
      <c r="M74" s="64"/>
      <c r="N74" s="64"/>
      <c r="O74" s="64"/>
    </row>
    <row r="75" spans="10:15" x14ac:dyDescent="0.25">
      <c r="J75" s="355"/>
      <c r="K75" s="66" t="s">
        <v>405</v>
      </c>
      <c r="L75" s="64"/>
      <c r="M75" s="64"/>
      <c r="N75" s="64"/>
      <c r="O75" s="64"/>
    </row>
    <row r="76" spans="10:15" x14ac:dyDescent="0.25">
      <c r="J76" s="355"/>
      <c r="K76" s="66" t="s">
        <v>406</v>
      </c>
      <c r="L76" s="64"/>
      <c r="M76" s="64"/>
      <c r="N76" s="64"/>
      <c r="O76" s="64"/>
    </row>
    <row r="77" spans="10:15" x14ac:dyDescent="0.25">
      <c r="J77" s="355"/>
      <c r="K77" s="66" t="s">
        <v>407</v>
      </c>
      <c r="L77" s="64"/>
      <c r="M77" s="64"/>
      <c r="N77" s="64"/>
      <c r="O77" s="64"/>
    </row>
    <row r="78" spans="10:15" x14ac:dyDescent="0.25">
      <c r="J78" s="355"/>
      <c r="K78" s="66" t="s">
        <v>408</v>
      </c>
      <c r="L78" s="64"/>
      <c r="M78" s="64"/>
      <c r="N78" s="64"/>
      <c r="O78" s="64"/>
    </row>
    <row r="79" spans="10:15" x14ac:dyDescent="0.25">
      <c r="J79" s="355"/>
      <c r="K79" s="62" t="s">
        <v>409</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7" fitToHeight="0" orientation="portrait" r:id="rId1"/>
  <headerFooter scaleWithDoc="0">
    <oddFooter>&amp;C&amp;"Arial,Regular"Page &amp;P</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rgb="FF92D050"/>
    <pageSetUpPr fitToPage="1"/>
  </sheetPr>
  <dimension ref="A1:S79"/>
  <sheetViews>
    <sheetView topLeftCell="A22" workbookViewId="0">
      <selection activeCell="G19" sqref="G19"/>
    </sheetView>
  </sheetViews>
  <sheetFormatPr defaultRowHeight="13.8" x14ac:dyDescent="0.25"/>
  <cols>
    <col min="1" max="1" width="14" style="3" customWidth="1"/>
    <col min="2" max="4" width="17" style="35" customWidth="1"/>
    <col min="5" max="5" width="14.5546875" style="35" customWidth="1"/>
    <col min="6" max="7" width="17" style="35" customWidth="1"/>
    <col min="8" max="11" width="9.44140625" style="3"/>
    <col min="12" max="12" width="15.44140625" style="3" customWidth="1"/>
    <col min="13" max="13" width="17.44140625" style="3" bestFit="1" customWidth="1"/>
    <col min="14" max="14" width="13.5546875" style="3" customWidth="1"/>
    <col min="15" max="15" width="15" style="3" customWidth="1"/>
    <col min="16" max="18" width="9.44140625" style="3"/>
    <col min="19" max="19" width="21.5546875" style="3" customWidth="1"/>
    <col min="20" max="256" width="9.44140625" style="3"/>
    <col min="257" max="257" width="14" style="3" customWidth="1"/>
    <col min="258" max="263" width="10.44140625" style="3" customWidth="1"/>
    <col min="264" max="512" width="9.44140625" style="3"/>
    <col min="513" max="513" width="14" style="3" customWidth="1"/>
    <col min="514" max="519" width="10.44140625" style="3" customWidth="1"/>
    <col min="520" max="768" width="9.44140625" style="3"/>
    <col min="769" max="769" width="14" style="3" customWidth="1"/>
    <col min="770" max="775" width="10.44140625" style="3" customWidth="1"/>
    <col min="776" max="1024" width="9.44140625" style="3"/>
    <col min="1025" max="1025" width="14" style="3" customWidth="1"/>
    <col min="1026" max="1031" width="10.44140625" style="3" customWidth="1"/>
    <col min="1032" max="1280" width="9.44140625" style="3"/>
    <col min="1281" max="1281" width="14" style="3" customWidth="1"/>
    <col min="1282" max="1287" width="10.44140625" style="3" customWidth="1"/>
    <col min="1288" max="1536" width="9.44140625" style="3"/>
    <col min="1537" max="1537" width="14" style="3" customWidth="1"/>
    <col min="1538" max="1543" width="10.44140625" style="3" customWidth="1"/>
    <col min="1544" max="1792" width="9.44140625" style="3"/>
    <col min="1793" max="1793" width="14" style="3" customWidth="1"/>
    <col min="1794" max="1799" width="10.44140625" style="3" customWidth="1"/>
    <col min="1800" max="2048" width="9.44140625" style="3"/>
    <col min="2049" max="2049" width="14" style="3" customWidth="1"/>
    <col min="2050" max="2055" width="10.44140625" style="3" customWidth="1"/>
    <col min="2056" max="2304" width="9.44140625" style="3"/>
    <col min="2305" max="2305" width="14" style="3" customWidth="1"/>
    <col min="2306" max="2311" width="10.44140625" style="3" customWidth="1"/>
    <col min="2312" max="2560" width="9.44140625" style="3"/>
    <col min="2561" max="2561" width="14" style="3" customWidth="1"/>
    <col min="2562" max="2567" width="10.44140625" style="3" customWidth="1"/>
    <col min="2568" max="2816" width="9.44140625" style="3"/>
    <col min="2817" max="2817" width="14" style="3" customWidth="1"/>
    <col min="2818" max="2823" width="10.44140625" style="3" customWidth="1"/>
    <col min="2824" max="3072" width="9.44140625" style="3"/>
    <col min="3073" max="3073" width="14" style="3" customWidth="1"/>
    <col min="3074" max="3079" width="10.44140625" style="3" customWidth="1"/>
    <col min="3080" max="3328" width="9.44140625" style="3"/>
    <col min="3329" max="3329" width="14" style="3" customWidth="1"/>
    <col min="3330" max="3335" width="10.44140625" style="3" customWidth="1"/>
    <col min="3336" max="3584" width="9.44140625" style="3"/>
    <col min="3585" max="3585" width="14" style="3" customWidth="1"/>
    <col min="3586" max="3591" width="10.44140625" style="3" customWidth="1"/>
    <col min="3592" max="3840" width="9.44140625" style="3"/>
    <col min="3841" max="3841" width="14" style="3" customWidth="1"/>
    <col min="3842" max="3847" width="10.44140625" style="3" customWidth="1"/>
    <col min="3848" max="4096" width="9.44140625" style="3"/>
    <col min="4097" max="4097" width="14" style="3" customWidth="1"/>
    <col min="4098" max="4103" width="10.44140625" style="3" customWidth="1"/>
    <col min="4104" max="4352" width="9.44140625" style="3"/>
    <col min="4353" max="4353" width="14" style="3" customWidth="1"/>
    <col min="4354" max="4359" width="10.44140625" style="3" customWidth="1"/>
    <col min="4360" max="4608" width="9.44140625" style="3"/>
    <col min="4609" max="4609" width="14" style="3" customWidth="1"/>
    <col min="4610" max="4615" width="10.44140625" style="3" customWidth="1"/>
    <col min="4616" max="4864" width="9.44140625" style="3"/>
    <col min="4865" max="4865" width="14" style="3" customWidth="1"/>
    <col min="4866" max="4871" width="10.44140625" style="3" customWidth="1"/>
    <col min="4872" max="5120" width="9.44140625" style="3"/>
    <col min="5121" max="5121" width="14" style="3" customWidth="1"/>
    <col min="5122" max="5127" width="10.44140625" style="3" customWidth="1"/>
    <col min="5128" max="5376" width="9.44140625" style="3"/>
    <col min="5377" max="5377" width="14" style="3" customWidth="1"/>
    <col min="5378" max="5383" width="10.44140625" style="3" customWidth="1"/>
    <col min="5384" max="5632" width="9.44140625" style="3"/>
    <col min="5633" max="5633" width="14" style="3" customWidth="1"/>
    <col min="5634" max="5639" width="10.44140625" style="3" customWidth="1"/>
    <col min="5640" max="5888" width="9.44140625" style="3"/>
    <col min="5889" max="5889" width="14" style="3" customWidth="1"/>
    <col min="5890" max="5895" width="10.44140625" style="3" customWidth="1"/>
    <col min="5896" max="6144" width="9.44140625" style="3"/>
    <col min="6145" max="6145" width="14" style="3" customWidth="1"/>
    <col min="6146" max="6151" width="10.44140625" style="3" customWidth="1"/>
    <col min="6152" max="6400" width="9.44140625" style="3"/>
    <col min="6401" max="6401" width="14" style="3" customWidth="1"/>
    <col min="6402" max="6407" width="10.44140625" style="3" customWidth="1"/>
    <col min="6408" max="6656" width="9.44140625" style="3"/>
    <col min="6657" max="6657" width="14" style="3" customWidth="1"/>
    <col min="6658" max="6663" width="10.44140625" style="3" customWidth="1"/>
    <col min="6664" max="6912" width="9.44140625" style="3"/>
    <col min="6913" max="6913" width="14" style="3" customWidth="1"/>
    <col min="6914" max="6919" width="10.44140625" style="3" customWidth="1"/>
    <col min="6920" max="7168" width="9.44140625" style="3"/>
    <col min="7169" max="7169" width="14" style="3" customWidth="1"/>
    <col min="7170" max="7175" width="10.44140625" style="3" customWidth="1"/>
    <col min="7176" max="7424" width="9.44140625" style="3"/>
    <col min="7425" max="7425" width="14" style="3" customWidth="1"/>
    <col min="7426" max="7431" width="10.44140625" style="3" customWidth="1"/>
    <col min="7432" max="7680" width="9.44140625" style="3"/>
    <col min="7681" max="7681" width="14" style="3" customWidth="1"/>
    <col min="7682" max="7687" width="10.44140625" style="3" customWidth="1"/>
    <col min="7688" max="7936" width="9.44140625" style="3"/>
    <col min="7937" max="7937" width="14" style="3" customWidth="1"/>
    <col min="7938" max="7943" width="10.44140625" style="3" customWidth="1"/>
    <col min="7944" max="8192" width="9.44140625" style="3"/>
    <col min="8193" max="8193" width="14" style="3" customWidth="1"/>
    <col min="8194" max="8199" width="10.44140625" style="3" customWidth="1"/>
    <col min="8200" max="8448" width="9.44140625" style="3"/>
    <col min="8449" max="8449" width="14" style="3" customWidth="1"/>
    <col min="8450" max="8455" width="10.44140625" style="3" customWidth="1"/>
    <col min="8456" max="8704" width="9.44140625" style="3"/>
    <col min="8705" max="8705" width="14" style="3" customWidth="1"/>
    <col min="8706" max="8711" width="10.44140625" style="3" customWidth="1"/>
    <col min="8712" max="8960" width="9.44140625" style="3"/>
    <col min="8961" max="8961" width="14" style="3" customWidth="1"/>
    <col min="8962" max="8967" width="10.44140625" style="3" customWidth="1"/>
    <col min="8968" max="9216" width="9.44140625" style="3"/>
    <col min="9217" max="9217" width="14" style="3" customWidth="1"/>
    <col min="9218" max="9223" width="10.44140625" style="3" customWidth="1"/>
    <col min="9224" max="9472" width="9.44140625" style="3"/>
    <col min="9473" max="9473" width="14" style="3" customWidth="1"/>
    <col min="9474" max="9479" width="10.44140625" style="3" customWidth="1"/>
    <col min="9480" max="9728" width="9.44140625" style="3"/>
    <col min="9729" max="9729" width="14" style="3" customWidth="1"/>
    <col min="9730" max="9735" width="10.44140625" style="3" customWidth="1"/>
    <col min="9736" max="9984" width="9.44140625" style="3"/>
    <col min="9985" max="9985" width="14" style="3" customWidth="1"/>
    <col min="9986" max="9991" width="10.44140625" style="3" customWidth="1"/>
    <col min="9992" max="10240" width="9.44140625" style="3"/>
    <col min="10241" max="10241" width="14" style="3" customWidth="1"/>
    <col min="10242" max="10247" width="10.44140625" style="3" customWidth="1"/>
    <col min="10248" max="10496" width="9.44140625" style="3"/>
    <col min="10497" max="10497" width="14" style="3" customWidth="1"/>
    <col min="10498" max="10503" width="10.44140625" style="3" customWidth="1"/>
    <col min="10504" max="10752" width="9.44140625" style="3"/>
    <col min="10753" max="10753" width="14" style="3" customWidth="1"/>
    <col min="10754" max="10759" width="10.44140625" style="3" customWidth="1"/>
    <col min="10760" max="11008" width="9.44140625" style="3"/>
    <col min="11009" max="11009" width="14" style="3" customWidth="1"/>
    <col min="11010" max="11015" width="10.44140625" style="3" customWidth="1"/>
    <col min="11016" max="11264" width="9.44140625" style="3"/>
    <col min="11265" max="11265" width="14" style="3" customWidth="1"/>
    <col min="11266" max="11271" width="10.44140625" style="3" customWidth="1"/>
    <col min="11272" max="11520" width="9.44140625" style="3"/>
    <col min="11521" max="11521" width="14" style="3" customWidth="1"/>
    <col min="11522" max="11527" width="10.44140625" style="3" customWidth="1"/>
    <col min="11528" max="11776" width="9.44140625" style="3"/>
    <col min="11777" max="11777" width="14" style="3" customWidth="1"/>
    <col min="11778" max="11783" width="10.44140625" style="3" customWidth="1"/>
    <col min="11784" max="12032" width="9.44140625" style="3"/>
    <col min="12033" max="12033" width="14" style="3" customWidth="1"/>
    <col min="12034" max="12039" width="10.44140625" style="3" customWidth="1"/>
    <col min="12040" max="12288" width="9.44140625" style="3"/>
    <col min="12289" max="12289" width="14" style="3" customWidth="1"/>
    <col min="12290" max="12295" width="10.44140625" style="3" customWidth="1"/>
    <col min="12296" max="12544" width="9.44140625" style="3"/>
    <col min="12545" max="12545" width="14" style="3" customWidth="1"/>
    <col min="12546" max="12551" width="10.44140625" style="3" customWidth="1"/>
    <col min="12552" max="12800" width="9.44140625" style="3"/>
    <col min="12801" max="12801" width="14" style="3" customWidth="1"/>
    <col min="12802" max="12807" width="10.44140625" style="3" customWidth="1"/>
    <col min="12808" max="13056" width="9.44140625" style="3"/>
    <col min="13057" max="13057" width="14" style="3" customWidth="1"/>
    <col min="13058" max="13063" width="10.44140625" style="3" customWidth="1"/>
    <col min="13064" max="13312" width="9.44140625" style="3"/>
    <col min="13313" max="13313" width="14" style="3" customWidth="1"/>
    <col min="13314" max="13319" width="10.44140625" style="3" customWidth="1"/>
    <col min="13320" max="13568" width="9.44140625" style="3"/>
    <col min="13569" max="13569" width="14" style="3" customWidth="1"/>
    <col min="13570" max="13575" width="10.44140625" style="3" customWidth="1"/>
    <col min="13576" max="13824" width="9.44140625" style="3"/>
    <col min="13825" max="13825" width="14" style="3" customWidth="1"/>
    <col min="13826" max="13831" width="10.44140625" style="3" customWidth="1"/>
    <col min="13832" max="14080" width="9.44140625" style="3"/>
    <col min="14081" max="14081" width="14" style="3" customWidth="1"/>
    <col min="14082" max="14087" width="10.44140625" style="3" customWidth="1"/>
    <col min="14088" max="14336" width="9.44140625" style="3"/>
    <col min="14337" max="14337" width="14" style="3" customWidth="1"/>
    <col min="14338" max="14343" width="10.44140625" style="3" customWidth="1"/>
    <col min="14344" max="14592" width="9.44140625" style="3"/>
    <col min="14593" max="14593" width="14" style="3" customWidth="1"/>
    <col min="14594" max="14599" width="10.44140625" style="3" customWidth="1"/>
    <col min="14600" max="14848" width="9.44140625" style="3"/>
    <col min="14849" max="14849" width="14" style="3" customWidth="1"/>
    <col min="14850" max="14855" width="10.44140625" style="3" customWidth="1"/>
    <col min="14856" max="15104" width="9.44140625" style="3"/>
    <col min="15105" max="15105" width="14" style="3" customWidth="1"/>
    <col min="15106" max="15111" width="10.44140625" style="3" customWidth="1"/>
    <col min="15112" max="15360" width="9.44140625" style="3"/>
    <col min="15361" max="15361" width="14" style="3" customWidth="1"/>
    <col min="15362" max="15367" width="10.44140625" style="3" customWidth="1"/>
    <col min="15368" max="15616" width="9.44140625" style="3"/>
    <col min="15617" max="15617" width="14" style="3" customWidth="1"/>
    <col min="15618" max="15623" width="10.44140625" style="3" customWidth="1"/>
    <col min="15624" max="15872" width="9.44140625" style="3"/>
    <col min="15873" max="15873" width="14" style="3" customWidth="1"/>
    <col min="15874" max="15879" width="10.44140625" style="3" customWidth="1"/>
    <col min="15880" max="16128" width="9.44140625" style="3"/>
    <col min="16129" max="16129" width="14" style="3" customWidth="1"/>
    <col min="16130" max="16135" width="10.44140625" style="3" customWidth="1"/>
    <col min="16136" max="16384" width="9.44140625" style="3"/>
  </cols>
  <sheetData>
    <row r="1" spans="1:19" ht="15" x14ac:dyDescent="0.25">
      <c r="A1" s="93" t="str">
        <f>+'Cover Page'!$B$29</f>
        <v>Annual Performance Report 2022</v>
      </c>
      <c r="B1" s="93"/>
      <c r="C1" s="93"/>
      <c r="D1" s="93"/>
      <c r="E1" s="93" t="str">
        <f>+'Cover Page'!$B$33</f>
        <v>GLPP</v>
      </c>
      <c r="F1" s="93"/>
    </row>
    <row r="3" spans="1:19" ht="14.4" x14ac:dyDescent="0.3">
      <c r="A3" s="60" t="s">
        <v>413</v>
      </c>
      <c r="D3" s="76" t="s">
        <v>378</v>
      </c>
      <c r="G3" s="80" t="s">
        <v>379</v>
      </c>
      <c r="J3" s="9" t="str">
        <f>+A3</f>
        <v>Monitoring of Oxides of Nitrogen emissions</v>
      </c>
      <c r="L3" s="9"/>
      <c r="N3" s="9" t="s">
        <v>380</v>
      </c>
      <c r="Q3" s="79" t="s">
        <v>3</v>
      </c>
      <c r="R3" s="74"/>
      <c r="S3" s="74"/>
    </row>
    <row r="4" spans="1:19" ht="14.1" customHeight="1" x14ac:dyDescent="0.25">
      <c r="Q4" s="346" t="s">
        <v>381</v>
      </c>
      <c r="R4" s="346"/>
      <c r="S4" s="346"/>
    </row>
    <row r="5" spans="1:19" ht="16.2" x14ac:dyDescent="0.25">
      <c r="A5" s="68" t="s">
        <v>382</v>
      </c>
      <c r="B5" s="357" t="s">
        <v>383</v>
      </c>
      <c r="C5" s="357"/>
      <c r="D5" s="357"/>
      <c r="E5" s="357" t="s">
        <v>384</v>
      </c>
      <c r="F5" s="357"/>
      <c r="G5" s="357"/>
      <c r="J5" s="356"/>
      <c r="K5" s="356"/>
      <c r="L5" s="356"/>
      <c r="M5" s="356"/>
      <c r="N5" s="356"/>
      <c r="O5" s="356"/>
      <c r="Q5" s="346"/>
      <c r="R5" s="346"/>
      <c r="S5" s="346"/>
    </row>
    <row r="6" spans="1:19" s="58" customFormat="1" ht="37.5" customHeight="1" x14ac:dyDescent="0.3">
      <c r="A6" s="65">
        <f>+'Cover Page'!C39</f>
        <v>2022</v>
      </c>
      <c r="B6" s="55" t="s">
        <v>414</v>
      </c>
      <c r="C6" s="55" t="s">
        <v>386</v>
      </c>
      <c r="D6" s="55" t="s">
        <v>387</v>
      </c>
      <c r="E6" s="55" t="s">
        <v>415</v>
      </c>
      <c r="F6" s="55" t="s">
        <v>389</v>
      </c>
      <c r="G6" s="55" t="s">
        <v>390</v>
      </c>
      <c r="H6" s="59"/>
      <c r="J6" s="61">
        <f>+A6</f>
        <v>2022</v>
      </c>
      <c r="K6" s="61" t="s">
        <v>391</v>
      </c>
      <c r="L6" s="67" t="s">
        <v>386</v>
      </c>
      <c r="M6" s="67" t="s">
        <v>392</v>
      </c>
      <c r="N6" s="67" t="s">
        <v>389</v>
      </c>
      <c r="O6" s="67" t="s">
        <v>393</v>
      </c>
      <c r="Q6" s="346"/>
      <c r="R6" s="346"/>
      <c r="S6" s="346"/>
    </row>
    <row r="7" spans="1:19" x14ac:dyDescent="0.25">
      <c r="A7" s="66" t="s">
        <v>394</v>
      </c>
      <c r="B7" s="63">
        <v>400</v>
      </c>
      <c r="C7" s="64">
        <v>46</v>
      </c>
      <c r="D7" s="64">
        <v>140</v>
      </c>
      <c r="E7" s="63">
        <v>200</v>
      </c>
      <c r="F7" s="64">
        <v>45.5</v>
      </c>
      <c r="G7" s="64">
        <v>95</v>
      </c>
      <c r="J7" s="355" t="s">
        <v>313</v>
      </c>
      <c r="K7" s="66" t="s">
        <v>394</v>
      </c>
      <c r="L7" s="64"/>
      <c r="M7" s="64"/>
      <c r="N7" s="64"/>
      <c r="O7" s="64"/>
      <c r="Q7" s="346"/>
      <c r="R7" s="346"/>
      <c r="S7" s="346"/>
    </row>
    <row r="8" spans="1:19" x14ac:dyDescent="0.25">
      <c r="A8" s="66" t="s">
        <v>395</v>
      </c>
      <c r="B8" s="63">
        <v>400</v>
      </c>
      <c r="C8" s="64">
        <v>70.5</v>
      </c>
      <c r="D8" s="64">
        <v>165</v>
      </c>
      <c r="E8" s="63">
        <v>200</v>
      </c>
      <c r="F8" s="64">
        <v>69.5</v>
      </c>
      <c r="G8" s="64">
        <v>127</v>
      </c>
      <c r="J8" s="355"/>
      <c r="K8" s="66" t="s">
        <v>395</v>
      </c>
      <c r="L8" s="64"/>
      <c r="M8" s="64"/>
      <c r="N8" s="64"/>
      <c r="O8" s="64"/>
      <c r="Q8" s="346"/>
      <c r="R8" s="346"/>
      <c r="S8" s="346"/>
    </row>
    <row r="9" spans="1:19" x14ac:dyDescent="0.25">
      <c r="A9" s="66" t="s">
        <v>396</v>
      </c>
      <c r="B9" s="63">
        <v>400</v>
      </c>
      <c r="C9" s="64">
        <v>103.5</v>
      </c>
      <c r="D9" s="64">
        <v>198</v>
      </c>
      <c r="E9" s="63">
        <v>200</v>
      </c>
      <c r="F9" s="64">
        <v>102.5</v>
      </c>
      <c r="G9" s="64">
        <v>145</v>
      </c>
      <c r="J9" s="355"/>
      <c r="K9" s="66" t="s">
        <v>396</v>
      </c>
      <c r="L9" s="64"/>
      <c r="M9" s="64"/>
      <c r="N9" s="64"/>
      <c r="O9" s="64"/>
      <c r="Q9" s="78" t="s">
        <v>397</v>
      </c>
    </row>
    <row r="10" spans="1:19" ht="14.25" customHeight="1" x14ac:dyDescent="0.25">
      <c r="A10" s="66" t="s">
        <v>398</v>
      </c>
      <c r="B10" s="63">
        <v>400</v>
      </c>
      <c r="C10" s="64">
        <v>73.5</v>
      </c>
      <c r="D10" s="64">
        <v>197</v>
      </c>
      <c r="E10" s="63">
        <v>200</v>
      </c>
      <c r="F10" s="64">
        <v>72.5</v>
      </c>
      <c r="G10" s="64">
        <v>134</v>
      </c>
      <c r="J10" s="355"/>
      <c r="K10" s="66" t="s">
        <v>398</v>
      </c>
      <c r="L10" s="64"/>
      <c r="M10" s="64"/>
      <c r="N10" s="64"/>
      <c r="O10" s="64"/>
      <c r="Q10" s="354" t="s">
        <v>399</v>
      </c>
      <c r="R10" s="354"/>
      <c r="S10" s="354"/>
    </row>
    <row r="11" spans="1:19" x14ac:dyDescent="0.25">
      <c r="A11" s="66" t="s">
        <v>400</v>
      </c>
      <c r="B11" s="63">
        <v>400</v>
      </c>
      <c r="C11" s="64">
        <v>51</v>
      </c>
      <c r="D11" s="64">
        <v>151</v>
      </c>
      <c r="E11" s="63">
        <v>200</v>
      </c>
      <c r="F11" s="64">
        <v>49.5</v>
      </c>
      <c r="G11" s="64">
        <v>100</v>
      </c>
      <c r="J11" s="355"/>
      <c r="K11" s="66" t="s">
        <v>400</v>
      </c>
      <c r="L11" s="64"/>
      <c r="M11" s="64"/>
      <c r="N11" s="64"/>
      <c r="O11" s="64"/>
      <c r="Q11" s="354"/>
      <c r="R11" s="354"/>
      <c r="S11" s="354"/>
    </row>
    <row r="12" spans="1:19" x14ac:dyDescent="0.25">
      <c r="A12" s="66" t="s">
        <v>401</v>
      </c>
      <c r="B12" s="63">
        <v>400</v>
      </c>
      <c r="C12" s="64">
        <v>68</v>
      </c>
      <c r="D12" s="64">
        <v>178</v>
      </c>
      <c r="E12" s="63">
        <v>200</v>
      </c>
      <c r="F12" s="64">
        <v>66.5</v>
      </c>
      <c r="G12" s="64">
        <v>98</v>
      </c>
      <c r="J12" s="355"/>
      <c r="K12" s="66" t="s">
        <v>401</v>
      </c>
      <c r="L12" s="64"/>
      <c r="M12" s="64"/>
      <c r="N12" s="64"/>
      <c r="O12" s="64"/>
      <c r="Q12" s="354"/>
      <c r="R12" s="354"/>
      <c r="S12" s="354"/>
    </row>
    <row r="13" spans="1:19" ht="14.25" customHeight="1" x14ac:dyDescent="0.25">
      <c r="A13" s="66" t="s">
        <v>402</v>
      </c>
      <c r="B13" s="63">
        <v>400</v>
      </c>
      <c r="C13" s="64">
        <v>124.5</v>
      </c>
      <c r="D13" s="64">
        <v>206</v>
      </c>
      <c r="E13" s="63">
        <v>200</v>
      </c>
      <c r="F13" s="64">
        <v>123</v>
      </c>
      <c r="G13" s="64">
        <v>180</v>
      </c>
      <c r="J13" s="355"/>
      <c r="K13" s="66" t="s">
        <v>402</v>
      </c>
      <c r="L13" s="64"/>
      <c r="M13" s="64"/>
      <c r="N13" s="64"/>
      <c r="O13" s="64"/>
      <c r="Q13" s="354" t="s">
        <v>403</v>
      </c>
      <c r="R13" s="354"/>
      <c r="S13" s="354"/>
    </row>
    <row r="14" spans="1:19" x14ac:dyDescent="0.25">
      <c r="A14" s="66" t="s">
        <v>404</v>
      </c>
      <c r="B14" s="63">
        <v>400</v>
      </c>
      <c r="C14" s="64">
        <v>73.5</v>
      </c>
      <c r="D14" s="64">
        <v>185</v>
      </c>
      <c r="E14" s="63">
        <v>200</v>
      </c>
      <c r="F14" s="64">
        <v>72.5</v>
      </c>
      <c r="G14" s="64">
        <v>120</v>
      </c>
      <c r="J14" s="355"/>
      <c r="K14" s="66" t="s">
        <v>404</v>
      </c>
      <c r="L14" s="64"/>
      <c r="M14" s="64"/>
      <c r="N14" s="64"/>
      <c r="O14" s="64"/>
      <c r="Q14" s="354"/>
      <c r="R14" s="354"/>
      <c r="S14" s="354"/>
    </row>
    <row r="15" spans="1:19" x14ac:dyDescent="0.25">
      <c r="A15" s="66" t="s">
        <v>405</v>
      </c>
      <c r="B15" s="63">
        <v>400</v>
      </c>
      <c r="C15" s="64">
        <v>78.5</v>
      </c>
      <c r="D15" s="64">
        <v>189</v>
      </c>
      <c r="E15" s="63">
        <v>200</v>
      </c>
      <c r="F15" s="64">
        <v>77.5</v>
      </c>
      <c r="G15" s="64">
        <v>119</v>
      </c>
      <c r="J15" s="355"/>
      <c r="K15" s="66" t="s">
        <v>405</v>
      </c>
      <c r="L15" s="64"/>
      <c r="M15" s="64"/>
      <c r="N15" s="64"/>
      <c r="O15" s="64"/>
      <c r="Q15" s="354"/>
      <c r="R15" s="354"/>
      <c r="S15" s="354"/>
    </row>
    <row r="16" spans="1:19" x14ac:dyDescent="0.25">
      <c r="A16" s="66" t="s">
        <v>406</v>
      </c>
      <c r="B16" s="63">
        <v>400</v>
      </c>
      <c r="C16" s="64">
        <v>98</v>
      </c>
      <c r="D16" s="64">
        <v>197</v>
      </c>
      <c r="E16" s="63">
        <v>200</v>
      </c>
      <c r="F16" s="64">
        <v>97</v>
      </c>
      <c r="G16" s="64">
        <v>181</v>
      </c>
      <c r="J16" s="355"/>
      <c r="K16" s="66" t="s">
        <v>406</v>
      </c>
      <c r="L16" s="64"/>
      <c r="M16" s="64"/>
      <c r="N16" s="64"/>
      <c r="O16" s="64"/>
      <c r="Q16" s="354"/>
      <c r="R16" s="354"/>
      <c r="S16" s="354"/>
    </row>
    <row r="17" spans="1:15" x14ac:dyDescent="0.25">
      <c r="A17" s="66" t="s">
        <v>407</v>
      </c>
      <c r="B17" s="63">
        <v>400</v>
      </c>
      <c r="C17" s="64">
        <v>109.5</v>
      </c>
      <c r="D17" s="64">
        <v>200</v>
      </c>
      <c r="E17" s="63">
        <v>200</v>
      </c>
      <c r="F17" s="64">
        <v>88</v>
      </c>
      <c r="G17" s="64">
        <v>191</v>
      </c>
      <c r="J17" s="355"/>
      <c r="K17" s="66" t="s">
        <v>407</v>
      </c>
      <c r="L17" s="64"/>
      <c r="M17" s="64"/>
      <c r="N17" s="64"/>
      <c r="O17" s="64"/>
    </row>
    <row r="18" spans="1:15" x14ac:dyDescent="0.25">
      <c r="A18" s="66" t="s">
        <v>408</v>
      </c>
      <c r="B18" s="63">
        <v>400</v>
      </c>
      <c r="C18" s="64">
        <v>80</v>
      </c>
      <c r="D18" s="64">
        <v>198</v>
      </c>
      <c r="E18" s="63">
        <v>200</v>
      </c>
      <c r="F18" s="64">
        <v>79</v>
      </c>
      <c r="G18" s="64">
        <v>148</v>
      </c>
      <c r="J18" s="355"/>
      <c r="K18" s="66" t="s">
        <v>408</v>
      </c>
      <c r="L18" s="64"/>
      <c r="M18" s="64"/>
      <c r="N18" s="64"/>
      <c r="O18" s="64"/>
    </row>
    <row r="19" spans="1:15" x14ac:dyDescent="0.25">
      <c r="J19" s="355"/>
      <c r="K19" s="62" t="s">
        <v>409</v>
      </c>
      <c r="L19" s="62" t="e">
        <f>AVERAGE(L7:L18)</f>
        <v>#DIV/0!</v>
      </c>
      <c r="M19" s="62">
        <f>MAX(M7:M18)</f>
        <v>0</v>
      </c>
      <c r="N19" s="62" t="e">
        <f>AVERAGE(N7:N18)</f>
        <v>#DIV/0!</v>
      </c>
      <c r="O19" s="62">
        <f>MAX(O7:O18)</f>
        <v>0</v>
      </c>
    </row>
    <row r="21" spans="1:15" ht="41.4" x14ac:dyDescent="0.25">
      <c r="J21" s="61">
        <f>+A6</f>
        <v>2022</v>
      </c>
      <c r="K21" s="61" t="s">
        <v>391</v>
      </c>
      <c r="L21" s="67" t="s">
        <v>386</v>
      </c>
      <c r="M21" s="67" t="s">
        <v>392</v>
      </c>
      <c r="N21" s="67" t="s">
        <v>389</v>
      </c>
      <c r="O21" s="67" t="s">
        <v>393</v>
      </c>
    </row>
    <row r="22" spans="1:15" x14ac:dyDescent="0.25">
      <c r="J22" s="355" t="s">
        <v>314</v>
      </c>
      <c r="K22" s="66" t="s">
        <v>394</v>
      </c>
      <c r="L22" s="64"/>
      <c r="M22" s="64"/>
      <c r="N22" s="64"/>
      <c r="O22" s="64"/>
    </row>
    <row r="23" spans="1:15" x14ac:dyDescent="0.25">
      <c r="J23" s="355"/>
      <c r="K23" s="66" t="s">
        <v>395</v>
      </c>
      <c r="L23" s="64"/>
      <c r="M23" s="64"/>
      <c r="N23" s="64"/>
      <c r="O23" s="64"/>
    </row>
    <row r="24" spans="1:15" x14ac:dyDescent="0.25">
      <c r="J24" s="355"/>
      <c r="K24" s="66" t="s">
        <v>396</v>
      </c>
      <c r="L24" s="64"/>
      <c r="M24" s="64"/>
      <c r="N24" s="64"/>
      <c r="O24" s="64"/>
    </row>
    <row r="25" spans="1:15" x14ac:dyDescent="0.25">
      <c r="J25" s="355"/>
      <c r="K25" s="66" t="s">
        <v>398</v>
      </c>
      <c r="L25" s="64"/>
      <c r="M25" s="64"/>
      <c r="N25" s="64"/>
      <c r="O25" s="64"/>
    </row>
    <row r="26" spans="1:15" x14ac:dyDescent="0.25">
      <c r="J26" s="355"/>
      <c r="K26" s="66" t="s">
        <v>400</v>
      </c>
      <c r="L26" s="64"/>
      <c r="M26" s="64"/>
      <c r="N26" s="64"/>
      <c r="O26" s="64"/>
    </row>
    <row r="27" spans="1:15" x14ac:dyDescent="0.25">
      <c r="J27" s="355"/>
      <c r="K27" s="66" t="s">
        <v>401</v>
      </c>
      <c r="L27" s="64"/>
      <c r="M27" s="64"/>
      <c r="N27" s="64"/>
      <c r="O27" s="64"/>
    </row>
    <row r="28" spans="1:15" x14ac:dyDescent="0.25">
      <c r="J28" s="355"/>
      <c r="K28" s="66" t="s">
        <v>402</v>
      </c>
      <c r="L28" s="64"/>
      <c r="M28" s="64"/>
      <c r="N28" s="64"/>
      <c r="O28" s="64"/>
    </row>
    <row r="29" spans="1:15" x14ac:dyDescent="0.25">
      <c r="J29" s="355"/>
      <c r="K29" s="66" t="s">
        <v>404</v>
      </c>
      <c r="L29" s="64"/>
      <c r="M29" s="64"/>
      <c r="N29" s="64"/>
      <c r="O29" s="64"/>
    </row>
    <row r="30" spans="1:15" x14ac:dyDescent="0.25">
      <c r="J30" s="355"/>
      <c r="K30" s="66" t="s">
        <v>405</v>
      </c>
      <c r="L30" s="64"/>
      <c r="M30" s="64"/>
      <c r="N30" s="64"/>
      <c r="O30" s="64"/>
    </row>
    <row r="31" spans="1:15" x14ac:dyDescent="0.25">
      <c r="J31" s="355"/>
      <c r="K31" s="66" t="s">
        <v>406</v>
      </c>
      <c r="L31" s="64"/>
      <c r="M31" s="64"/>
      <c r="N31" s="64"/>
      <c r="O31" s="64"/>
    </row>
    <row r="32" spans="1:15" x14ac:dyDescent="0.25">
      <c r="J32" s="355"/>
      <c r="K32" s="66" t="s">
        <v>407</v>
      </c>
      <c r="L32" s="64"/>
      <c r="M32" s="64"/>
      <c r="N32" s="64"/>
      <c r="O32" s="64"/>
    </row>
    <row r="33" spans="1:15" x14ac:dyDescent="0.25">
      <c r="J33" s="355"/>
      <c r="K33" s="66" t="s">
        <v>408</v>
      </c>
      <c r="L33" s="64"/>
      <c r="M33" s="64"/>
      <c r="N33" s="64"/>
      <c r="O33" s="64"/>
    </row>
    <row r="34" spans="1:15" x14ac:dyDescent="0.25">
      <c r="J34" s="355"/>
      <c r="K34" s="62" t="s">
        <v>409</v>
      </c>
      <c r="L34" s="62" t="e">
        <f>AVERAGE(L22:L33)</f>
        <v>#DIV/0!</v>
      </c>
      <c r="M34" s="62">
        <f>MAX(M22:M33)</f>
        <v>0</v>
      </c>
      <c r="N34" s="62" t="e">
        <f>AVERAGE(N22:N33)</f>
        <v>#DIV/0!</v>
      </c>
      <c r="O34" s="62">
        <f>MAX(O22:O33)</f>
        <v>0</v>
      </c>
    </row>
    <row r="36" spans="1:15" ht="41.4" x14ac:dyDescent="0.25">
      <c r="J36" s="61">
        <f>+A6</f>
        <v>2022</v>
      </c>
      <c r="K36" s="61" t="s">
        <v>391</v>
      </c>
      <c r="L36" s="67" t="s">
        <v>386</v>
      </c>
      <c r="M36" s="67" t="s">
        <v>392</v>
      </c>
      <c r="N36" s="67" t="s">
        <v>389</v>
      </c>
      <c r="O36" s="67" t="s">
        <v>393</v>
      </c>
    </row>
    <row r="37" spans="1:15" x14ac:dyDescent="0.25">
      <c r="J37" s="355" t="s">
        <v>315</v>
      </c>
      <c r="K37" s="66" t="s">
        <v>394</v>
      </c>
      <c r="L37" s="64"/>
      <c r="M37" s="64"/>
      <c r="N37" s="64"/>
      <c r="O37" s="64"/>
    </row>
    <row r="38" spans="1:15" x14ac:dyDescent="0.25">
      <c r="J38" s="355"/>
      <c r="K38" s="66" t="s">
        <v>395</v>
      </c>
      <c r="L38" s="64"/>
      <c r="M38" s="64"/>
      <c r="N38" s="64"/>
      <c r="O38" s="64"/>
    </row>
    <row r="39" spans="1:15" x14ac:dyDescent="0.25">
      <c r="J39" s="355"/>
      <c r="K39" s="66" t="s">
        <v>396</v>
      </c>
      <c r="L39" s="64"/>
      <c r="M39" s="64"/>
      <c r="N39" s="64"/>
      <c r="O39" s="64"/>
    </row>
    <row r="40" spans="1:15" x14ac:dyDescent="0.25">
      <c r="J40" s="355"/>
      <c r="K40" s="66" t="s">
        <v>398</v>
      </c>
      <c r="L40" s="64"/>
      <c r="M40" s="64"/>
      <c r="N40" s="64"/>
      <c r="O40" s="64"/>
    </row>
    <row r="41" spans="1:15" x14ac:dyDescent="0.25">
      <c r="J41" s="355"/>
      <c r="K41" s="66" t="s">
        <v>400</v>
      </c>
      <c r="L41" s="64"/>
      <c r="M41" s="64"/>
      <c r="N41" s="64"/>
      <c r="O41" s="64"/>
    </row>
    <row r="42" spans="1:15" x14ac:dyDescent="0.25">
      <c r="J42" s="355"/>
      <c r="K42" s="66" t="s">
        <v>401</v>
      </c>
      <c r="L42" s="64"/>
      <c r="M42" s="64"/>
      <c r="N42" s="64"/>
      <c r="O42" s="64"/>
    </row>
    <row r="43" spans="1:15" x14ac:dyDescent="0.25">
      <c r="J43" s="355"/>
      <c r="K43" s="66" t="s">
        <v>402</v>
      </c>
      <c r="L43" s="64"/>
      <c r="M43" s="64"/>
      <c r="N43" s="64"/>
      <c r="O43" s="64"/>
    </row>
    <row r="44" spans="1:15" x14ac:dyDescent="0.25">
      <c r="J44" s="355"/>
      <c r="K44" s="66" t="s">
        <v>404</v>
      </c>
      <c r="L44" s="64"/>
      <c r="M44" s="64"/>
      <c r="N44" s="64"/>
      <c r="O44" s="64"/>
    </row>
    <row r="45" spans="1:15" x14ac:dyDescent="0.25">
      <c r="J45" s="355"/>
      <c r="K45" s="66" t="s">
        <v>405</v>
      </c>
      <c r="L45" s="64"/>
      <c r="M45" s="64"/>
      <c r="N45" s="64"/>
      <c r="O45" s="64"/>
    </row>
    <row r="46" spans="1:15" x14ac:dyDescent="0.25">
      <c r="J46" s="355"/>
      <c r="K46" s="66" t="s">
        <v>406</v>
      </c>
      <c r="L46" s="64"/>
      <c r="M46" s="64"/>
      <c r="N46" s="64"/>
      <c r="O46" s="64"/>
    </row>
    <row r="47" spans="1:15" x14ac:dyDescent="0.25">
      <c r="J47" s="355"/>
      <c r="K47" s="66" t="s">
        <v>407</v>
      </c>
      <c r="L47" s="64"/>
      <c r="M47" s="64"/>
      <c r="N47" s="64"/>
      <c r="O47" s="64"/>
    </row>
    <row r="48" spans="1:15" x14ac:dyDescent="0.25">
      <c r="A48" s="367" t="s">
        <v>287</v>
      </c>
      <c r="B48" s="368"/>
      <c r="C48" s="368"/>
      <c r="D48" s="368"/>
      <c r="E48" s="368"/>
      <c r="F48" s="368"/>
      <c r="G48" s="369"/>
      <c r="J48" s="355"/>
      <c r="K48" s="66" t="s">
        <v>408</v>
      </c>
      <c r="L48" s="64"/>
      <c r="M48" s="64"/>
      <c r="N48" s="64"/>
      <c r="O48" s="64"/>
    </row>
    <row r="49" spans="1:15" x14ac:dyDescent="0.25">
      <c r="A49" s="358"/>
      <c r="B49" s="359"/>
      <c r="C49" s="359"/>
      <c r="D49" s="359"/>
      <c r="E49" s="359"/>
      <c r="F49" s="359"/>
      <c r="G49" s="360"/>
      <c r="J49" s="355"/>
      <c r="K49" s="62" t="s">
        <v>409</v>
      </c>
      <c r="L49" s="62" t="e">
        <f>AVERAGE(L37:L48)</f>
        <v>#DIV/0!</v>
      </c>
      <c r="M49" s="62">
        <f>MAX(M37:M48)</f>
        <v>0</v>
      </c>
      <c r="N49" s="62" t="e">
        <f>AVERAGE(N37:N48)</f>
        <v>#DIV/0!</v>
      </c>
      <c r="O49" s="62">
        <f>MAX(O37:O48)</f>
        <v>0</v>
      </c>
    </row>
    <row r="50" spans="1:15" x14ac:dyDescent="0.25">
      <c r="A50" s="361"/>
      <c r="B50" s="362"/>
      <c r="C50" s="362"/>
      <c r="D50" s="362"/>
      <c r="E50" s="362"/>
      <c r="F50" s="362"/>
      <c r="G50" s="363"/>
    </row>
    <row r="51" spans="1:15" ht="41.4" x14ac:dyDescent="0.25">
      <c r="A51" s="361"/>
      <c r="B51" s="362"/>
      <c r="C51" s="362"/>
      <c r="D51" s="362"/>
      <c r="E51" s="362"/>
      <c r="F51" s="362"/>
      <c r="G51" s="363"/>
      <c r="J51" s="61">
        <f>+A6</f>
        <v>2022</v>
      </c>
      <c r="K51" s="61" t="s">
        <v>391</v>
      </c>
      <c r="L51" s="67" t="s">
        <v>386</v>
      </c>
      <c r="M51" s="67" t="s">
        <v>392</v>
      </c>
      <c r="N51" s="67" t="s">
        <v>389</v>
      </c>
      <c r="O51" s="67" t="s">
        <v>393</v>
      </c>
    </row>
    <row r="52" spans="1:15" x14ac:dyDescent="0.25">
      <c r="A52" s="364"/>
      <c r="B52" s="365"/>
      <c r="C52" s="365"/>
      <c r="D52" s="365"/>
      <c r="E52" s="365"/>
      <c r="F52" s="365"/>
      <c r="G52" s="366"/>
      <c r="J52" s="355" t="s">
        <v>316</v>
      </c>
      <c r="K52" s="66" t="s">
        <v>394</v>
      </c>
      <c r="L52" s="64"/>
      <c r="M52" s="64"/>
      <c r="N52" s="64"/>
      <c r="O52" s="64"/>
    </row>
    <row r="53" spans="1:15" x14ac:dyDescent="0.25">
      <c r="J53" s="355"/>
      <c r="K53" s="66" t="s">
        <v>395</v>
      </c>
      <c r="L53" s="64"/>
      <c r="M53" s="64"/>
      <c r="N53" s="64"/>
      <c r="O53" s="64"/>
    </row>
    <row r="54" spans="1:15" x14ac:dyDescent="0.25">
      <c r="J54" s="355"/>
      <c r="K54" s="66" t="s">
        <v>396</v>
      </c>
      <c r="L54" s="64"/>
      <c r="M54" s="64"/>
      <c r="N54" s="64"/>
      <c r="O54" s="64"/>
    </row>
    <row r="55" spans="1:15" x14ac:dyDescent="0.25">
      <c r="J55" s="355"/>
      <c r="K55" s="66" t="s">
        <v>398</v>
      </c>
      <c r="L55" s="64"/>
      <c r="M55" s="64"/>
      <c r="N55" s="64"/>
      <c r="O55" s="64"/>
    </row>
    <row r="56" spans="1:15" x14ac:dyDescent="0.25">
      <c r="J56" s="355"/>
      <c r="K56" s="66" t="s">
        <v>400</v>
      </c>
      <c r="L56" s="64"/>
      <c r="M56" s="64"/>
      <c r="N56" s="64"/>
      <c r="O56" s="64"/>
    </row>
    <row r="57" spans="1:15" x14ac:dyDescent="0.25">
      <c r="J57" s="355"/>
      <c r="K57" s="66" t="s">
        <v>401</v>
      </c>
      <c r="L57" s="64"/>
      <c r="M57" s="64"/>
      <c r="N57" s="64"/>
      <c r="O57" s="64"/>
    </row>
    <row r="58" spans="1:15" x14ac:dyDescent="0.25">
      <c r="J58" s="355"/>
      <c r="K58" s="66" t="s">
        <v>402</v>
      </c>
      <c r="L58" s="64"/>
      <c r="M58" s="64"/>
      <c r="N58" s="64"/>
      <c r="O58" s="64"/>
    </row>
    <row r="59" spans="1:15" x14ac:dyDescent="0.25">
      <c r="J59" s="355"/>
      <c r="K59" s="66" t="s">
        <v>404</v>
      </c>
      <c r="L59" s="64"/>
      <c r="M59" s="64"/>
      <c r="N59" s="64"/>
      <c r="O59" s="64"/>
    </row>
    <row r="60" spans="1:15" x14ac:dyDescent="0.25">
      <c r="J60" s="355"/>
      <c r="K60" s="66" t="s">
        <v>405</v>
      </c>
      <c r="L60" s="64"/>
      <c r="M60" s="64"/>
      <c r="N60" s="64"/>
      <c r="O60" s="64"/>
    </row>
    <row r="61" spans="1:15" x14ac:dyDescent="0.25">
      <c r="J61" s="355"/>
      <c r="K61" s="66" t="s">
        <v>406</v>
      </c>
      <c r="L61" s="64"/>
      <c r="M61" s="64"/>
      <c r="N61" s="64"/>
      <c r="O61" s="64"/>
    </row>
    <row r="62" spans="1:15" x14ac:dyDescent="0.25">
      <c r="J62" s="355"/>
      <c r="K62" s="66" t="s">
        <v>407</v>
      </c>
      <c r="L62" s="64"/>
      <c r="M62" s="64"/>
      <c r="N62" s="64"/>
      <c r="O62" s="64"/>
    </row>
    <row r="63" spans="1:15" x14ac:dyDescent="0.25">
      <c r="J63" s="355"/>
      <c r="K63" s="66" t="s">
        <v>408</v>
      </c>
      <c r="L63" s="64"/>
      <c r="M63" s="64"/>
      <c r="N63" s="64"/>
      <c r="O63" s="64"/>
    </row>
    <row r="64" spans="1:15" x14ac:dyDescent="0.25">
      <c r="J64" s="355"/>
      <c r="K64" s="62" t="s">
        <v>409</v>
      </c>
      <c r="L64" s="62" t="e">
        <f>AVERAGE(L52:L63)</f>
        <v>#DIV/0!</v>
      </c>
      <c r="M64" s="62">
        <f>MAX(M52:M63)</f>
        <v>0</v>
      </c>
      <c r="N64" s="62" t="e">
        <f>AVERAGE(N52:N63)</f>
        <v>#DIV/0!</v>
      </c>
      <c r="O64" s="62">
        <f>MAX(O52:O63)</f>
        <v>0</v>
      </c>
    </row>
    <row r="66" spans="10:15" ht="41.4" x14ac:dyDescent="0.25">
      <c r="J66" s="61">
        <f>+A6</f>
        <v>2022</v>
      </c>
      <c r="K66" s="61" t="s">
        <v>391</v>
      </c>
      <c r="L66" s="67" t="s">
        <v>386</v>
      </c>
      <c r="M66" s="67" t="s">
        <v>392</v>
      </c>
      <c r="N66" s="67" t="s">
        <v>389</v>
      </c>
      <c r="O66" s="67" t="s">
        <v>393</v>
      </c>
    </row>
    <row r="67" spans="10:15" x14ac:dyDescent="0.25">
      <c r="J67" s="355" t="s">
        <v>317</v>
      </c>
      <c r="K67" s="66" t="s">
        <v>394</v>
      </c>
      <c r="L67" s="64"/>
      <c r="M67" s="64"/>
      <c r="N67" s="64"/>
      <c r="O67" s="64"/>
    </row>
    <row r="68" spans="10:15" x14ac:dyDescent="0.25">
      <c r="J68" s="355"/>
      <c r="K68" s="66" t="s">
        <v>395</v>
      </c>
      <c r="L68" s="64"/>
      <c r="M68" s="64"/>
      <c r="N68" s="64"/>
      <c r="O68" s="64"/>
    </row>
    <row r="69" spans="10:15" x14ac:dyDescent="0.25">
      <c r="J69" s="355"/>
      <c r="K69" s="66" t="s">
        <v>396</v>
      </c>
      <c r="L69" s="64"/>
      <c r="M69" s="64"/>
      <c r="N69" s="64"/>
      <c r="O69" s="64"/>
    </row>
    <row r="70" spans="10:15" x14ac:dyDescent="0.25">
      <c r="J70" s="355"/>
      <c r="K70" s="66" t="s">
        <v>398</v>
      </c>
      <c r="L70" s="64"/>
      <c r="M70" s="64"/>
      <c r="N70" s="64"/>
      <c r="O70" s="64"/>
    </row>
    <row r="71" spans="10:15" x14ac:dyDescent="0.25">
      <c r="J71" s="355"/>
      <c r="K71" s="66" t="s">
        <v>400</v>
      </c>
      <c r="L71" s="64"/>
      <c r="M71" s="64"/>
      <c r="N71" s="64"/>
      <c r="O71" s="64"/>
    </row>
    <row r="72" spans="10:15" x14ac:dyDescent="0.25">
      <c r="J72" s="355"/>
      <c r="K72" s="66" t="s">
        <v>401</v>
      </c>
      <c r="L72" s="64"/>
      <c r="M72" s="64"/>
      <c r="N72" s="64"/>
      <c r="O72" s="64"/>
    </row>
    <row r="73" spans="10:15" x14ac:dyDescent="0.25">
      <c r="J73" s="355"/>
      <c r="K73" s="66" t="s">
        <v>402</v>
      </c>
      <c r="L73" s="64"/>
      <c r="M73" s="64"/>
      <c r="N73" s="64"/>
      <c r="O73" s="64"/>
    </row>
    <row r="74" spans="10:15" x14ac:dyDescent="0.25">
      <c r="J74" s="355"/>
      <c r="K74" s="66" t="s">
        <v>404</v>
      </c>
      <c r="L74" s="64"/>
      <c r="M74" s="64"/>
      <c r="N74" s="64"/>
      <c r="O74" s="64"/>
    </row>
    <row r="75" spans="10:15" x14ac:dyDescent="0.25">
      <c r="J75" s="355"/>
      <c r="K75" s="66" t="s">
        <v>405</v>
      </c>
      <c r="L75" s="64"/>
      <c r="M75" s="64"/>
      <c r="N75" s="64"/>
      <c r="O75" s="64"/>
    </row>
    <row r="76" spans="10:15" x14ac:dyDescent="0.25">
      <c r="J76" s="355"/>
      <c r="K76" s="66" t="s">
        <v>406</v>
      </c>
      <c r="L76" s="64"/>
      <c r="M76" s="64"/>
      <c r="N76" s="64"/>
      <c r="O76" s="64"/>
    </row>
    <row r="77" spans="10:15" x14ac:dyDescent="0.25">
      <c r="J77" s="355"/>
      <c r="K77" s="66" t="s">
        <v>407</v>
      </c>
      <c r="L77" s="64"/>
      <c r="M77" s="64"/>
      <c r="N77" s="64"/>
      <c r="O77" s="64"/>
    </row>
    <row r="78" spans="10:15" x14ac:dyDescent="0.25">
      <c r="J78" s="355"/>
      <c r="K78" s="66" t="s">
        <v>408</v>
      </c>
      <c r="L78" s="64"/>
      <c r="M78" s="64"/>
      <c r="N78" s="64"/>
      <c r="O78" s="64"/>
    </row>
    <row r="79" spans="10:15" x14ac:dyDescent="0.25">
      <c r="J79" s="355"/>
      <c r="K79" s="62" t="s">
        <v>409</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7" fitToHeight="0" orientation="portrait" r:id="rId1"/>
  <headerFooter scaleWithDoc="0">
    <oddFooter>&amp;C&amp;"Arial,Regular"Page &amp;P</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rgb="FF92D050"/>
    <pageSetUpPr fitToPage="1"/>
  </sheetPr>
  <dimension ref="A1:S79"/>
  <sheetViews>
    <sheetView topLeftCell="A7" workbookViewId="0">
      <selection activeCell="G19" sqref="G19"/>
    </sheetView>
  </sheetViews>
  <sheetFormatPr defaultRowHeight="13.8" x14ac:dyDescent="0.25"/>
  <cols>
    <col min="1" max="1" width="14" style="3" customWidth="1"/>
    <col min="2" max="4" width="17" style="35" customWidth="1"/>
    <col min="5" max="5" width="14.5546875" style="35" customWidth="1"/>
    <col min="6" max="7" width="17" style="35" customWidth="1"/>
    <col min="8" max="11" width="9.44140625" style="3"/>
    <col min="12" max="12" width="15.44140625" style="3" customWidth="1"/>
    <col min="13" max="13" width="17.44140625" style="3" bestFit="1" customWidth="1"/>
    <col min="14" max="14" width="13.5546875" style="3" customWidth="1"/>
    <col min="15" max="15" width="15" style="3" customWidth="1"/>
    <col min="16" max="18" width="9.44140625" style="3"/>
    <col min="19" max="19" width="21.5546875" style="3" customWidth="1"/>
    <col min="20" max="256" width="9.44140625" style="3"/>
    <col min="257" max="257" width="14" style="3" customWidth="1"/>
    <col min="258" max="263" width="10.44140625" style="3" customWidth="1"/>
    <col min="264" max="512" width="9.44140625" style="3"/>
    <col min="513" max="513" width="14" style="3" customWidth="1"/>
    <col min="514" max="519" width="10.44140625" style="3" customWidth="1"/>
    <col min="520" max="768" width="9.44140625" style="3"/>
    <col min="769" max="769" width="14" style="3" customWidth="1"/>
    <col min="770" max="775" width="10.44140625" style="3" customWidth="1"/>
    <col min="776" max="1024" width="9.44140625" style="3"/>
    <col min="1025" max="1025" width="14" style="3" customWidth="1"/>
    <col min="1026" max="1031" width="10.44140625" style="3" customWidth="1"/>
    <col min="1032" max="1280" width="9.44140625" style="3"/>
    <col min="1281" max="1281" width="14" style="3" customWidth="1"/>
    <col min="1282" max="1287" width="10.44140625" style="3" customWidth="1"/>
    <col min="1288" max="1536" width="9.44140625" style="3"/>
    <col min="1537" max="1537" width="14" style="3" customWidth="1"/>
    <col min="1538" max="1543" width="10.44140625" style="3" customWidth="1"/>
    <col min="1544" max="1792" width="9.44140625" style="3"/>
    <col min="1793" max="1793" width="14" style="3" customWidth="1"/>
    <col min="1794" max="1799" width="10.44140625" style="3" customWidth="1"/>
    <col min="1800" max="2048" width="9.44140625" style="3"/>
    <col min="2049" max="2049" width="14" style="3" customWidth="1"/>
    <col min="2050" max="2055" width="10.44140625" style="3" customWidth="1"/>
    <col min="2056" max="2304" width="9.44140625" style="3"/>
    <col min="2305" max="2305" width="14" style="3" customWidth="1"/>
    <col min="2306" max="2311" width="10.44140625" style="3" customWidth="1"/>
    <col min="2312" max="2560" width="9.44140625" style="3"/>
    <col min="2561" max="2561" width="14" style="3" customWidth="1"/>
    <col min="2562" max="2567" width="10.44140625" style="3" customWidth="1"/>
    <col min="2568" max="2816" width="9.44140625" style="3"/>
    <col min="2817" max="2817" width="14" style="3" customWidth="1"/>
    <col min="2818" max="2823" width="10.44140625" style="3" customWidth="1"/>
    <col min="2824" max="3072" width="9.44140625" style="3"/>
    <col min="3073" max="3073" width="14" style="3" customWidth="1"/>
    <col min="3074" max="3079" width="10.44140625" style="3" customWidth="1"/>
    <col min="3080" max="3328" width="9.44140625" style="3"/>
    <col min="3329" max="3329" width="14" style="3" customWidth="1"/>
    <col min="3330" max="3335" width="10.44140625" style="3" customWidth="1"/>
    <col min="3336" max="3584" width="9.44140625" style="3"/>
    <col min="3585" max="3585" width="14" style="3" customWidth="1"/>
    <col min="3586" max="3591" width="10.44140625" style="3" customWidth="1"/>
    <col min="3592" max="3840" width="9.44140625" style="3"/>
    <col min="3841" max="3841" width="14" style="3" customWidth="1"/>
    <col min="3842" max="3847" width="10.44140625" style="3" customWidth="1"/>
    <col min="3848" max="4096" width="9.44140625" style="3"/>
    <col min="4097" max="4097" width="14" style="3" customWidth="1"/>
    <col min="4098" max="4103" width="10.44140625" style="3" customWidth="1"/>
    <col min="4104" max="4352" width="9.44140625" style="3"/>
    <col min="4353" max="4353" width="14" style="3" customWidth="1"/>
    <col min="4354" max="4359" width="10.44140625" style="3" customWidth="1"/>
    <col min="4360" max="4608" width="9.44140625" style="3"/>
    <col min="4609" max="4609" width="14" style="3" customWidth="1"/>
    <col min="4610" max="4615" width="10.44140625" style="3" customWidth="1"/>
    <col min="4616" max="4864" width="9.44140625" style="3"/>
    <col min="4865" max="4865" width="14" style="3" customWidth="1"/>
    <col min="4866" max="4871" width="10.44140625" style="3" customWidth="1"/>
    <col min="4872" max="5120" width="9.44140625" style="3"/>
    <col min="5121" max="5121" width="14" style="3" customWidth="1"/>
    <col min="5122" max="5127" width="10.44140625" style="3" customWidth="1"/>
    <col min="5128" max="5376" width="9.44140625" style="3"/>
    <col min="5377" max="5377" width="14" style="3" customWidth="1"/>
    <col min="5378" max="5383" width="10.44140625" style="3" customWidth="1"/>
    <col min="5384" max="5632" width="9.44140625" style="3"/>
    <col min="5633" max="5633" width="14" style="3" customWidth="1"/>
    <col min="5634" max="5639" width="10.44140625" style="3" customWidth="1"/>
    <col min="5640" max="5888" width="9.44140625" style="3"/>
    <col min="5889" max="5889" width="14" style="3" customWidth="1"/>
    <col min="5890" max="5895" width="10.44140625" style="3" customWidth="1"/>
    <col min="5896" max="6144" width="9.44140625" style="3"/>
    <col min="6145" max="6145" width="14" style="3" customWidth="1"/>
    <col min="6146" max="6151" width="10.44140625" style="3" customWidth="1"/>
    <col min="6152" max="6400" width="9.44140625" style="3"/>
    <col min="6401" max="6401" width="14" style="3" customWidth="1"/>
    <col min="6402" max="6407" width="10.44140625" style="3" customWidth="1"/>
    <col min="6408" max="6656" width="9.44140625" style="3"/>
    <col min="6657" max="6657" width="14" style="3" customWidth="1"/>
    <col min="6658" max="6663" width="10.44140625" style="3" customWidth="1"/>
    <col min="6664" max="6912" width="9.44140625" style="3"/>
    <col min="6913" max="6913" width="14" style="3" customWidth="1"/>
    <col min="6914" max="6919" width="10.44140625" style="3" customWidth="1"/>
    <col min="6920" max="7168" width="9.44140625" style="3"/>
    <col min="7169" max="7169" width="14" style="3" customWidth="1"/>
    <col min="7170" max="7175" width="10.44140625" style="3" customWidth="1"/>
    <col min="7176" max="7424" width="9.44140625" style="3"/>
    <col min="7425" max="7425" width="14" style="3" customWidth="1"/>
    <col min="7426" max="7431" width="10.44140625" style="3" customWidth="1"/>
    <col min="7432" max="7680" width="9.44140625" style="3"/>
    <col min="7681" max="7681" width="14" style="3" customWidth="1"/>
    <col min="7682" max="7687" width="10.44140625" style="3" customWidth="1"/>
    <col min="7688" max="7936" width="9.44140625" style="3"/>
    <col min="7937" max="7937" width="14" style="3" customWidth="1"/>
    <col min="7938" max="7943" width="10.44140625" style="3" customWidth="1"/>
    <col min="7944" max="8192" width="9.44140625" style="3"/>
    <col min="8193" max="8193" width="14" style="3" customWidth="1"/>
    <col min="8194" max="8199" width="10.44140625" style="3" customWidth="1"/>
    <col min="8200" max="8448" width="9.44140625" style="3"/>
    <col min="8449" max="8449" width="14" style="3" customWidth="1"/>
    <col min="8450" max="8455" width="10.44140625" style="3" customWidth="1"/>
    <col min="8456" max="8704" width="9.44140625" style="3"/>
    <col min="8705" max="8705" width="14" style="3" customWidth="1"/>
    <col min="8706" max="8711" width="10.44140625" style="3" customWidth="1"/>
    <col min="8712" max="8960" width="9.44140625" style="3"/>
    <col min="8961" max="8961" width="14" style="3" customWidth="1"/>
    <col min="8962" max="8967" width="10.44140625" style="3" customWidth="1"/>
    <col min="8968" max="9216" width="9.44140625" style="3"/>
    <col min="9217" max="9217" width="14" style="3" customWidth="1"/>
    <col min="9218" max="9223" width="10.44140625" style="3" customWidth="1"/>
    <col min="9224" max="9472" width="9.44140625" style="3"/>
    <col min="9473" max="9473" width="14" style="3" customWidth="1"/>
    <col min="9474" max="9479" width="10.44140625" style="3" customWidth="1"/>
    <col min="9480" max="9728" width="9.44140625" style="3"/>
    <col min="9729" max="9729" width="14" style="3" customWidth="1"/>
    <col min="9730" max="9735" width="10.44140625" style="3" customWidth="1"/>
    <col min="9736" max="9984" width="9.44140625" style="3"/>
    <col min="9985" max="9985" width="14" style="3" customWidth="1"/>
    <col min="9986" max="9991" width="10.44140625" style="3" customWidth="1"/>
    <col min="9992" max="10240" width="9.44140625" style="3"/>
    <col min="10241" max="10241" width="14" style="3" customWidth="1"/>
    <col min="10242" max="10247" width="10.44140625" style="3" customWidth="1"/>
    <col min="10248" max="10496" width="9.44140625" style="3"/>
    <col min="10497" max="10497" width="14" style="3" customWidth="1"/>
    <col min="10498" max="10503" width="10.44140625" style="3" customWidth="1"/>
    <col min="10504" max="10752" width="9.44140625" style="3"/>
    <col min="10753" max="10753" width="14" style="3" customWidth="1"/>
    <col min="10754" max="10759" width="10.44140625" style="3" customWidth="1"/>
    <col min="10760" max="11008" width="9.44140625" style="3"/>
    <col min="11009" max="11009" width="14" style="3" customWidth="1"/>
    <col min="11010" max="11015" width="10.44140625" style="3" customWidth="1"/>
    <col min="11016" max="11264" width="9.44140625" style="3"/>
    <col min="11265" max="11265" width="14" style="3" customWidth="1"/>
    <col min="11266" max="11271" width="10.44140625" style="3" customWidth="1"/>
    <col min="11272" max="11520" width="9.44140625" style="3"/>
    <col min="11521" max="11521" width="14" style="3" customWidth="1"/>
    <col min="11522" max="11527" width="10.44140625" style="3" customWidth="1"/>
    <col min="11528" max="11776" width="9.44140625" style="3"/>
    <col min="11777" max="11777" width="14" style="3" customWidth="1"/>
    <col min="11778" max="11783" width="10.44140625" style="3" customWidth="1"/>
    <col min="11784" max="12032" width="9.44140625" style="3"/>
    <col min="12033" max="12033" width="14" style="3" customWidth="1"/>
    <col min="12034" max="12039" width="10.44140625" style="3" customWidth="1"/>
    <col min="12040" max="12288" width="9.44140625" style="3"/>
    <col min="12289" max="12289" width="14" style="3" customWidth="1"/>
    <col min="12290" max="12295" width="10.44140625" style="3" customWidth="1"/>
    <col min="12296" max="12544" width="9.44140625" style="3"/>
    <col min="12545" max="12545" width="14" style="3" customWidth="1"/>
    <col min="12546" max="12551" width="10.44140625" style="3" customWidth="1"/>
    <col min="12552" max="12800" width="9.44140625" style="3"/>
    <col min="12801" max="12801" width="14" style="3" customWidth="1"/>
    <col min="12802" max="12807" width="10.44140625" style="3" customWidth="1"/>
    <col min="12808" max="13056" width="9.44140625" style="3"/>
    <col min="13057" max="13057" width="14" style="3" customWidth="1"/>
    <col min="13058" max="13063" width="10.44140625" style="3" customWidth="1"/>
    <col min="13064" max="13312" width="9.44140625" style="3"/>
    <col min="13313" max="13313" width="14" style="3" customWidth="1"/>
    <col min="13314" max="13319" width="10.44140625" style="3" customWidth="1"/>
    <col min="13320" max="13568" width="9.44140625" style="3"/>
    <col min="13569" max="13569" width="14" style="3" customWidth="1"/>
    <col min="13570" max="13575" width="10.44140625" style="3" customWidth="1"/>
    <col min="13576" max="13824" width="9.44140625" style="3"/>
    <col min="13825" max="13825" width="14" style="3" customWidth="1"/>
    <col min="13826" max="13831" width="10.44140625" style="3" customWidth="1"/>
    <col min="13832" max="14080" width="9.44140625" style="3"/>
    <col min="14081" max="14081" width="14" style="3" customWidth="1"/>
    <col min="14082" max="14087" width="10.44140625" style="3" customWidth="1"/>
    <col min="14088" max="14336" width="9.44140625" style="3"/>
    <col min="14337" max="14337" width="14" style="3" customWidth="1"/>
    <col min="14338" max="14343" width="10.44140625" style="3" customWidth="1"/>
    <col min="14344" max="14592" width="9.44140625" style="3"/>
    <col min="14593" max="14593" width="14" style="3" customWidth="1"/>
    <col min="14594" max="14599" width="10.44140625" style="3" customWidth="1"/>
    <col min="14600" max="14848" width="9.44140625" style="3"/>
    <col min="14849" max="14849" width="14" style="3" customWidth="1"/>
    <col min="14850" max="14855" width="10.44140625" style="3" customWidth="1"/>
    <col min="14856" max="15104" width="9.44140625" style="3"/>
    <col min="15105" max="15105" width="14" style="3" customWidth="1"/>
    <col min="15106" max="15111" width="10.44140625" style="3" customWidth="1"/>
    <col min="15112" max="15360" width="9.44140625" style="3"/>
    <col min="15361" max="15361" width="14" style="3" customWidth="1"/>
    <col min="15362" max="15367" width="10.44140625" style="3" customWidth="1"/>
    <col min="15368" max="15616" width="9.44140625" style="3"/>
    <col min="15617" max="15617" width="14" style="3" customWidth="1"/>
    <col min="15618" max="15623" width="10.44140625" style="3" customWidth="1"/>
    <col min="15624" max="15872" width="9.44140625" style="3"/>
    <col min="15873" max="15873" width="14" style="3" customWidth="1"/>
    <col min="15874" max="15879" width="10.44140625" style="3" customWidth="1"/>
    <col min="15880" max="16128" width="9.44140625" style="3"/>
    <col min="16129" max="16129" width="14" style="3" customWidth="1"/>
    <col min="16130" max="16135" width="10.44140625" style="3" customWidth="1"/>
    <col min="16136" max="16384" width="9.44140625" style="3"/>
  </cols>
  <sheetData>
    <row r="1" spans="1:19" ht="15" x14ac:dyDescent="0.25">
      <c r="A1" s="93" t="str">
        <f>+'Cover Page'!$B$29</f>
        <v>Annual Performance Report 2022</v>
      </c>
      <c r="B1" s="93"/>
      <c r="C1" s="93"/>
      <c r="D1" s="93"/>
      <c r="E1" s="93" t="str">
        <f>+'Cover Page'!$B$33</f>
        <v>GLPP</v>
      </c>
    </row>
    <row r="3" spans="1:19" ht="14.4" x14ac:dyDescent="0.3">
      <c r="A3" s="60" t="s">
        <v>416</v>
      </c>
      <c r="D3" s="76" t="s">
        <v>378</v>
      </c>
      <c r="G3" s="80" t="s">
        <v>379</v>
      </c>
      <c r="J3" s="9" t="str">
        <f>+A3</f>
        <v>Monitoring of Total organic carbon emissions</v>
      </c>
      <c r="L3" s="9"/>
      <c r="N3" s="9" t="s">
        <v>380</v>
      </c>
      <c r="Q3" s="79" t="s">
        <v>3</v>
      </c>
      <c r="R3" s="74"/>
      <c r="S3" s="74"/>
    </row>
    <row r="4" spans="1:19" ht="14.1" customHeight="1" x14ac:dyDescent="0.25">
      <c r="Q4" s="346" t="s">
        <v>381</v>
      </c>
      <c r="R4" s="346"/>
      <c r="S4" s="346"/>
    </row>
    <row r="5" spans="1:19" ht="16.2" x14ac:dyDescent="0.25">
      <c r="A5" s="68" t="s">
        <v>382</v>
      </c>
      <c r="B5" s="357" t="s">
        <v>383</v>
      </c>
      <c r="C5" s="357"/>
      <c r="D5" s="357"/>
      <c r="E5" s="357" t="s">
        <v>384</v>
      </c>
      <c r="F5" s="357"/>
      <c r="G5" s="357"/>
      <c r="J5" s="356"/>
      <c r="K5" s="356"/>
      <c r="L5" s="356"/>
      <c r="M5" s="356"/>
      <c r="N5" s="356"/>
      <c r="O5" s="356"/>
      <c r="Q5" s="346"/>
      <c r="R5" s="346"/>
      <c r="S5" s="346"/>
    </row>
    <row r="6" spans="1:19" s="58" customFormat="1" ht="37.5" customHeight="1" x14ac:dyDescent="0.3">
      <c r="A6" s="65">
        <f>+'Cover Page'!C39</f>
        <v>2022</v>
      </c>
      <c r="B6" s="55" t="s">
        <v>417</v>
      </c>
      <c r="C6" s="55" t="s">
        <v>386</v>
      </c>
      <c r="D6" s="55" t="s">
        <v>387</v>
      </c>
      <c r="E6" s="55" t="s">
        <v>418</v>
      </c>
      <c r="F6" s="55" t="s">
        <v>389</v>
      </c>
      <c r="G6" s="55" t="s">
        <v>390</v>
      </c>
      <c r="H6" s="59"/>
      <c r="J6" s="61">
        <f>+A6</f>
        <v>2022</v>
      </c>
      <c r="K6" s="61" t="s">
        <v>391</v>
      </c>
      <c r="L6" s="67" t="s">
        <v>386</v>
      </c>
      <c r="M6" s="67" t="s">
        <v>392</v>
      </c>
      <c r="N6" s="67" t="s">
        <v>389</v>
      </c>
      <c r="O6" s="67" t="s">
        <v>393</v>
      </c>
      <c r="Q6" s="346"/>
      <c r="R6" s="346"/>
      <c r="S6" s="346"/>
    </row>
    <row r="7" spans="1:19" x14ac:dyDescent="0.25">
      <c r="A7" s="66" t="s">
        <v>394</v>
      </c>
      <c r="B7" s="63">
        <v>20</v>
      </c>
      <c r="C7" s="64">
        <v>0</v>
      </c>
      <c r="D7" s="64">
        <v>2</v>
      </c>
      <c r="E7" s="63">
        <v>10</v>
      </c>
      <c r="F7" s="64">
        <v>0</v>
      </c>
      <c r="G7" s="64">
        <v>0</v>
      </c>
      <c r="J7" s="355" t="s">
        <v>313</v>
      </c>
      <c r="K7" s="66" t="s">
        <v>394</v>
      </c>
      <c r="L7" s="64"/>
      <c r="M7" s="64"/>
      <c r="N7" s="64"/>
      <c r="O7" s="64"/>
      <c r="Q7" s="346"/>
      <c r="R7" s="346"/>
      <c r="S7" s="346"/>
    </row>
    <row r="8" spans="1:19" x14ac:dyDescent="0.25">
      <c r="A8" s="66" t="s">
        <v>395</v>
      </c>
      <c r="B8" s="63">
        <v>20</v>
      </c>
      <c r="C8" s="64">
        <v>0</v>
      </c>
      <c r="D8" s="64">
        <v>2</v>
      </c>
      <c r="E8" s="63">
        <v>10</v>
      </c>
      <c r="F8" s="64">
        <v>0</v>
      </c>
      <c r="G8" s="64">
        <v>0</v>
      </c>
      <c r="J8" s="355"/>
      <c r="K8" s="66" t="s">
        <v>395</v>
      </c>
      <c r="L8" s="64"/>
      <c r="M8" s="64"/>
      <c r="N8" s="64"/>
      <c r="O8" s="64"/>
      <c r="Q8" s="346"/>
      <c r="R8" s="346"/>
      <c r="S8" s="346"/>
    </row>
    <row r="9" spans="1:19" x14ac:dyDescent="0.25">
      <c r="A9" s="66" t="s">
        <v>396</v>
      </c>
      <c r="B9" s="63">
        <v>20</v>
      </c>
      <c r="C9" s="64">
        <v>0</v>
      </c>
      <c r="D9" s="64">
        <v>3</v>
      </c>
      <c r="E9" s="63">
        <v>10</v>
      </c>
      <c r="F9" s="64">
        <v>0</v>
      </c>
      <c r="G9" s="64">
        <v>0</v>
      </c>
      <c r="J9" s="355"/>
      <c r="K9" s="66" t="s">
        <v>396</v>
      </c>
      <c r="L9" s="64"/>
      <c r="M9" s="64"/>
      <c r="N9" s="64"/>
      <c r="O9" s="64"/>
      <c r="Q9" s="78" t="s">
        <v>397</v>
      </c>
    </row>
    <row r="10" spans="1:19" ht="14.25" customHeight="1" x14ac:dyDescent="0.25">
      <c r="A10" s="66" t="s">
        <v>398</v>
      </c>
      <c r="B10" s="63">
        <v>20</v>
      </c>
      <c r="C10" s="64">
        <v>0</v>
      </c>
      <c r="D10" s="64">
        <v>3</v>
      </c>
      <c r="E10" s="63">
        <v>10</v>
      </c>
      <c r="F10" s="64">
        <v>0</v>
      </c>
      <c r="G10" s="64">
        <v>0</v>
      </c>
      <c r="J10" s="355"/>
      <c r="K10" s="66" t="s">
        <v>398</v>
      </c>
      <c r="L10" s="64"/>
      <c r="M10" s="64"/>
      <c r="N10" s="64"/>
      <c r="O10" s="64"/>
      <c r="Q10" s="354" t="s">
        <v>399</v>
      </c>
      <c r="R10" s="354"/>
      <c r="S10" s="354"/>
    </row>
    <row r="11" spans="1:19" x14ac:dyDescent="0.25">
      <c r="A11" s="66" t="s">
        <v>400</v>
      </c>
      <c r="B11" s="63">
        <v>20</v>
      </c>
      <c r="C11" s="64">
        <v>0</v>
      </c>
      <c r="D11" s="64">
        <v>3</v>
      </c>
      <c r="E11" s="63">
        <v>10</v>
      </c>
      <c r="F11" s="64">
        <v>0</v>
      </c>
      <c r="G11" s="64">
        <v>0</v>
      </c>
      <c r="J11" s="355"/>
      <c r="K11" s="66" t="s">
        <v>400</v>
      </c>
      <c r="L11" s="64"/>
      <c r="M11" s="64"/>
      <c r="N11" s="64"/>
      <c r="O11" s="64"/>
      <c r="Q11" s="354"/>
      <c r="R11" s="354"/>
      <c r="S11" s="354"/>
    </row>
    <row r="12" spans="1:19" x14ac:dyDescent="0.25">
      <c r="A12" s="66" t="s">
        <v>401</v>
      </c>
      <c r="B12" s="63">
        <v>20</v>
      </c>
      <c r="C12" s="64">
        <v>0</v>
      </c>
      <c r="D12" s="64">
        <v>2</v>
      </c>
      <c r="E12" s="63">
        <v>10</v>
      </c>
      <c r="F12" s="64">
        <v>0</v>
      </c>
      <c r="G12" s="64">
        <v>0</v>
      </c>
      <c r="J12" s="355"/>
      <c r="K12" s="66" t="s">
        <v>401</v>
      </c>
      <c r="L12" s="64"/>
      <c r="M12" s="64"/>
      <c r="N12" s="64"/>
      <c r="O12" s="64"/>
      <c r="Q12" s="354"/>
      <c r="R12" s="354"/>
      <c r="S12" s="354"/>
    </row>
    <row r="13" spans="1:19" ht="14.25" customHeight="1" x14ac:dyDescent="0.25">
      <c r="A13" s="66" t="s">
        <v>402</v>
      </c>
      <c r="B13" s="63">
        <v>20</v>
      </c>
      <c r="C13" s="64">
        <v>0</v>
      </c>
      <c r="D13" s="64">
        <v>1</v>
      </c>
      <c r="E13" s="63">
        <v>10</v>
      </c>
      <c r="F13" s="64">
        <v>0</v>
      </c>
      <c r="G13" s="64">
        <v>0</v>
      </c>
      <c r="J13" s="355"/>
      <c r="K13" s="66" t="s">
        <v>402</v>
      </c>
      <c r="L13" s="64"/>
      <c r="M13" s="64"/>
      <c r="N13" s="64"/>
      <c r="O13" s="64"/>
      <c r="Q13" s="354" t="s">
        <v>403</v>
      </c>
      <c r="R13" s="354"/>
      <c r="S13" s="354"/>
    </row>
    <row r="14" spans="1:19" x14ac:dyDescent="0.25">
      <c r="A14" s="66" t="s">
        <v>404</v>
      </c>
      <c r="B14" s="63">
        <v>20</v>
      </c>
      <c r="C14" s="64">
        <v>0</v>
      </c>
      <c r="D14" s="64">
        <v>3</v>
      </c>
      <c r="E14" s="63">
        <v>10</v>
      </c>
      <c r="F14" s="64">
        <v>0</v>
      </c>
      <c r="G14" s="64">
        <v>0</v>
      </c>
      <c r="J14" s="355"/>
      <c r="K14" s="66" t="s">
        <v>404</v>
      </c>
      <c r="L14" s="64"/>
      <c r="M14" s="64"/>
      <c r="N14" s="64"/>
      <c r="O14" s="64"/>
      <c r="Q14" s="354"/>
      <c r="R14" s="354"/>
      <c r="S14" s="354"/>
    </row>
    <row r="15" spans="1:19" x14ac:dyDescent="0.25">
      <c r="A15" s="66" t="s">
        <v>405</v>
      </c>
      <c r="B15" s="63">
        <v>20</v>
      </c>
      <c r="C15" s="64">
        <v>0</v>
      </c>
      <c r="D15" s="64">
        <v>2</v>
      </c>
      <c r="E15" s="63">
        <v>10</v>
      </c>
      <c r="F15" s="64">
        <v>0</v>
      </c>
      <c r="G15" s="64">
        <v>0</v>
      </c>
      <c r="J15" s="355"/>
      <c r="K15" s="66" t="s">
        <v>405</v>
      </c>
      <c r="L15" s="64"/>
      <c r="M15" s="64"/>
      <c r="N15" s="64"/>
      <c r="O15" s="64"/>
      <c r="Q15" s="354"/>
      <c r="R15" s="354"/>
      <c r="S15" s="354"/>
    </row>
    <row r="16" spans="1:19" x14ac:dyDescent="0.25">
      <c r="A16" s="66" t="s">
        <v>406</v>
      </c>
      <c r="B16" s="63">
        <v>20</v>
      </c>
      <c r="C16" s="64">
        <v>1</v>
      </c>
      <c r="D16" s="64">
        <v>3</v>
      </c>
      <c r="E16" s="63">
        <v>10</v>
      </c>
      <c r="F16" s="64">
        <v>0</v>
      </c>
      <c r="G16" s="64">
        <v>1</v>
      </c>
      <c r="J16" s="355"/>
      <c r="K16" s="66" t="s">
        <v>406</v>
      </c>
      <c r="L16" s="64"/>
      <c r="M16" s="64"/>
      <c r="N16" s="64"/>
      <c r="O16" s="64"/>
      <c r="Q16" s="354"/>
      <c r="R16" s="354"/>
      <c r="S16" s="354"/>
    </row>
    <row r="17" spans="1:15" x14ac:dyDescent="0.25">
      <c r="A17" s="66" t="s">
        <v>407</v>
      </c>
      <c r="B17" s="63">
        <v>20</v>
      </c>
      <c r="C17" s="64">
        <v>0.5</v>
      </c>
      <c r="D17" s="64">
        <v>2</v>
      </c>
      <c r="E17" s="63">
        <v>10</v>
      </c>
      <c r="F17" s="64">
        <v>0</v>
      </c>
      <c r="G17" s="64">
        <v>0</v>
      </c>
      <c r="J17" s="355"/>
      <c r="K17" s="66" t="s">
        <v>407</v>
      </c>
      <c r="L17" s="64"/>
      <c r="M17" s="64"/>
      <c r="N17" s="64"/>
      <c r="O17" s="64"/>
    </row>
    <row r="18" spans="1:15" x14ac:dyDescent="0.25">
      <c r="A18" s="66" t="s">
        <v>408</v>
      </c>
      <c r="B18" s="63">
        <v>20</v>
      </c>
      <c r="C18" s="64">
        <v>0.5</v>
      </c>
      <c r="D18" s="64">
        <v>3</v>
      </c>
      <c r="E18" s="63">
        <v>10</v>
      </c>
      <c r="F18" s="64">
        <v>0</v>
      </c>
      <c r="G18" s="64">
        <v>0</v>
      </c>
      <c r="J18" s="355"/>
      <c r="K18" s="66" t="s">
        <v>408</v>
      </c>
      <c r="L18" s="64"/>
      <c r="M18" s="64"/>
      <c r="N18" s="64"/>
      <c r="O18" s="64"/>
    </row>
    <row r="19" spans="1:15" x14ac:dyDescent="0.25">
      <c r="J19" s="355"/>
      <c r="K19" s="62" t="s">
        <v>409</v>
      </c>
      <c r="L19" s="62" t="e">
        <f>AVERAGE(L7:L18)</f>
        <v>#DIV/0!</v>
      </c>
      <c r="M19" s="62">
        <f>MAX(M7:M18)</f>
        <v>0</v>
      </c>
      <c r="N19" s="62" t="e">
        <f>AVERAGE(N7:N18)</f>
        <v>#DIV/0!</v>
      </c>
      <c r="O19" s="62">
        <f>MAX(O7:O18)</f>
        <v>0</v>
      </c>
    </row>
    <row r="21" spans="1:15" ht="41.4" x14ac:dyDescent="0.25">
      <c r="J21" s="61">
        <f>+A6</f>
        <v>2022</v>
      </c>
      <c r="K21" s="61" t="s">
        <v>391</v>
      </c>
      <c r="L21" s="67" t="s">
        <v>386</v>
      </c>
      <c r="M21" s="67" t="s">
        <v>392</v>
      </c>
      <c r="N21" s="67" t="s">
        <v>389</v>
      </c>
      <c r="O21" s="67" t="s">
        <v>393</v>
      </c>
    </row>
    <row r="22" spans="1:15" x14ac:dyDescent="0.25">
      <c r="J22" s="355" t="s">
        <v>314</v>
      </c>
      <c r="K22" s="66" t="s">
        <v>394</v>
      </c>
      <c r="L22" s="64"/>
      <c r="M22" s="64"/>
      <c r="N22" s="64"/>
      <c r="O22" s="64"/>
    </row>
    <row r="23" spans="1:15" x14ac:dyDescent="0.25">
      <c r="J23" s="355"/>
      <c r="K23" s="66" t="s">
        <v>395</v>
      </c>
      <c r="L23" s="64"/>
      <c r="M23" s="64"/>
      <c r="N23" s="64"/>
      <c r="O23" s="64"/>
    </row>
    <row r="24" spans="1:15" x14ac:dyDescent="0.25">
      <c r="J24" s="355"/>
      <c r="K24" s="66" t="s">
        <v>396</v>
      </c>
      <c r="L24" s="64"/>
      <c r="M24" s="64"/>
      <c r="N24" s="64"/>
      <c r="O24" s="64"/>
    </row>
    <row r="25" spans="1:15" x14ac:dyDescent="0.25">
      <c r="J25" s="355"/>
      <c r="K25" s="66" t="s">
        <v>398</v>
      </c>
      <c r="L25" s="64"/>
      <c r="M25" s="64"/>
      <c r="N25" s="64"/>
      <c r="O25" s="64"/>
    </row>
    <row r="26" spans="1:15" x14ac:dyDescent="0.25">
      <c r="J26" s="355"/>
      <c r="K26" s="66" t="s">
        <v>400</v>
      </c>
      <c r="L26" s="64"/>
      <c r="M26" s="64"/>
      <c r="N26" s="64"/>
      <c r="O26" s="64"/>
    </row>
    <row r="27" spans="1:15" x14ac:dyDescent="0.25">
      <c r="J27" s="355"/>
      <c r="K27" s="66" t="s">
        <v>401</v>
      </c>
      <c r="L27" s="64"/>
      <c r="M27" s="64"/>
      <c r="N27" s="64"/>
      <c r="O27" s="64"/>
    </row>
    <row r="28" spans="1:15" x14ac:dyDescent="0.25">
      <c r="J28" s="355"/>
      <c r="K28" s="66" t="s">
        <v>402</v>
      </c>
      <c r="L28" s="64"/>
      <c r="M28" s="64"/>
      <c r="N28" s="64"/>
      <c r="O28" s="64"/>
    </row>
    <row r="29" spans="1:15" x14ac:dyDescent="0.25">
      <c r="J29" s="355"/>
      <c r="K29" s="66" t="s">
        <v>404</v>
      </c>
      <c r="L29" s="64"/>
      <c r="M29" s="64"/>
      <c r="N29" s="64"/>
      <c r="O29" s="64"/>
    </row>
    <row r="30" spans="1:15" x14ac:dyDescent="0.25">
      <c r="J30" s="355"/>
      <c r="K30" s="66" t="s">
        <v>405</v>
      </c>
      <c r="L30" s="64"/>
      <c r="M30" s="64"/>
      <c r="N30" s="64"/>
      <c r="O30" s="64"/>
    </row>
    <row r="31" spans="1:15" x14ac:dyDescent="0.25">
      <c r="J31" s="355"/>
      <c r="K31" s="66" t="s">
        <v>406</v>
      </c>
      <c r="L31" s="64"/>
      <c r="M31" s="64"/>
      <c r="N31" s="64"/>
      <c r="O31" s="64"/>
    </row>
    <row r="32" spans="1:15" x14ac:dyDescent="0.25">
      <c r="J32" s="355"/>
      <c r="K32" s="66" t="s">
        <v>407</v>
      </c>
      <c r="L32" s="64"/>
      <c r="M32" s="64"/>
      <c r="N32" s="64"/>
      <c r="O32" s="64"/>
    </row>
    <row r="33" spans="1:15" x14ac:dyDescent="0.25">
      <c r="J33" s="355"/>
      <c r="K33" s="66" t="s">
        <v>408</v>
      </c>
      <c r="L33" s="64"/>
      <c r="M33" s="64"/>
      <c r="N33" s="64"/>
      <c r="O33" s="64"/>
    </row>
    <row r="34" spans="1:15" x14ac:dyDescent="0.25">
      <c r="J34" s="355"/>
      <c r="K34" s="62" t="s">
        <v>409</v>
      </c>
      <c r="L34" s="62" t="e">
        <f>AVERAGE(L22:L33)</f>
        <v>#DIV/0!</v>
      </c>
      <c r="M34" s="62">
        <f>MAX(M22:M33)</f>
        <v>0</v>
      </c>
      <c r="N34" s="62" t="e">
        <f>AVERAGE(N22:N33)</f>
        <v>#DIV/0!</v>
      </c>
      <c r="O34" s="62">
        <f>MAX(O22:O33)</f>
        <v>0</v>
      </c>
    </row>
    <row r="36" spans="1:15" ht="41.4" x14ac:dyDescent="0.25">
      <c r="J36" s="61">
        <f>+A6</f>
        <v>2022</v>
      </c>
      <c r="K36" s="61" t="s">
        <v>391</v>
      </c>
      <c r="L36" s="67" t="s">
        <v>386</v>
      </c>
      <c r="M36" s="67" t="s">
        <v>392</v>
      </c>
      <c r="N36" s="67" t="s">
        <v>389</v>
      </c>
      <c r="O36" s="67" t="s">
        <v>393</v>
      </c>
    </row>
    <row r="37" spans="1:15" x14ac:dyDescent="0.25">
      <c r="J37" s="355" t="s">
        <v>315</v>
      </c>
      <c r="K37" s="66" t="s">
        <v>394</v>
      </c>
      <c r="L37" s="64"/>
      <c r="M37" s="64"/>
      <c r="N37" s="64"/>
      <c r="O37" s="64"/>
    </row>
    <row r="38" spans="1:15" x14ac:dyDescent="0.25">
      <c r="J38" s="355"/>
      <c r="K38" s="66" t="s">
        <v>395</v>
      </c>
      <c r="L38" s="64"/>
      <c r="M38" s="64"/>
      <c r="N38" s="64"/>
      <c r="O38" s="64"/>
    </row>
    <row r="39" spans="1:15" x14ac:dyDescent="0.25">
      <c r="J39" s="355"/>
      <c r="K39" s="66" t="s">
        <v>396</v>
      </c>
      <c r="L39" s="64"/>
      <c r="M39" s="64"/>
      <c r="N39" s="64"/>
      <c r="O39" s="64"/>
    </row>
    <row r="40" spans="1:15" x14ac:dyDescent="0.25">
      <c r="J40" s="355"/>
      <c r="K40" s="66" t="s">
        <v>398</v>
      </c>
      <c r="L40" s="64"/>
      <c r="M40" s="64"/>
      <c r="N40" s="64"/>
      <c r="O40" s="64"/>
    </row>
    <row r="41" spans="1:15" x14ac:dyDescent="0.25">
      <c r="J41" s="355"/>
      <c r="K41" s="66" t="s">
        <v>400</v>
      </c>
      <c r="L41" s="64"/>
      <c r="M41" s="64"/>
      <c r="N41" s="64"/>
      <c r="O41" s="64"/>
    </row>
    <row r="42" spans="1:15" x14ac:dyDescent="0.25">
      <c r="J42" s="355"/>
      <c r="K42" s="66" t="s">
        <v>401</v>
      </c>
      <c r="L42" s="64"/>
      <c r="M42" s="64"/>
      <c r="N42" s="64"/>
      <c r="O42" s="64"/>
    </row>
    <row r="43" spans="1:15" x14ac:dyDescent="0.25">
      <c r="J43" s="355"/>
      <c r="K43" s="66" t="s">
        <v>402</v>
      </c>
      <c r="L43" s="64"/>
      <c r="M43" s="64"/>
      <c r="N43" s="64"/>
      <c r="O43" s="64"/>
    </row>
    <row r="44" spans="1:15" x14ac:dyDescent="0.25">
      <c r="J44" s="355"/>
      <c r="K44" s="66" t="s">
        <v>404</v>
      </c>
      <c r="L44" s="64"/>
      <c r="M44" s="64"/>
      <c r="N44" s="64"/>
      <c r="O44" s="64"/>
    </row>
    <row r="45" spans="1:15" x14ac:dyDescent="0.25">
      <c r="J45" s="355"/>
      <c r="K45" s="66" t="s">
        <v>405</v>
      </c>
      <c r="L45" s="64"/>
      <c r="M45" s="64"/>
      <c r="N45" s="64"/>
      <c r="O45" s="64"/>
    </row>
    <row r="46" spans="1:15" x14ac:dyDescent="0.25">
      <c r="J46" s="355"/>
      <c r="K46" s="66" t="s">
        <v>406</v>
      </c>
      <c r="L46" s="64"/>
      <c r="M46" s="64"/>
      <c r="N46" s="64"/>
      <c r="O46" s="64"/>
    </row>
    <row r="47" spans="1:15" x14ac:dyDescent="0.25">
      <c r="J47" s="355"/>
      <c r="K47" s="66" t="s">
        <v>407</v>
      </c>
      <c r="L47" s="64"/>
      <c r="M47" s="64"/>
      <c r="N47" s="64"/>
      <c r="O47" s="64"/>
    </row>
    <row r="48" spans="1:15" x14ac:dyDescent="0.25">
      <c r="A48" s="367" t="s">
        <v>287</v>
      </c>
      <c r="B48" s="368"/>
      <c r="C48" s="368"/>
      <c r="D48" s="368"/>
      <c r="E48" s="368"/>
      <c r="F48" s="368"/>
      <c r="G48" s="369"/>
      <c r="J48" s="355"/>
      <c r="K48" s="66" t="s">
        <v>408</v>
      </c>
      <c r="L48" s="64"/>
      <c r="M48" s="64"/>
      <c r="N48" s="64"/>
      <c r="O48" s="64"/>
    </row>
    <row r="49" spans="1:15" x14ac:dyDescent="0.25">
      <c r="A49" s="358"/>
      <c r="B49" s="359"/>
      <c r="C49" s="359"/>
      <c r="D49" s="359"/>
      <c r="E49" s="359"/>
      <c r="F49" s="359"/>
      <c r="G49" s="360"/>
      <c r="J49" s="355"/>
      <c r="K49" s="62" t="s">
        <v>409</v>
      </c>
      <c r="L49" s="62" t="e">
        <f>AVERAGE(L37:L48)</f>
        <v>#DIV/0!</v>
      </c>
      <c r="M49" s="62">
        <f>MAX(M37:M48)</f>
        <v>0</v>
      </c>
      <c r="N49" s="62" t="e">
        <f>AVERAGE(N37:N48)</f>
        <v>#DIV/0!</v>
      </c>
      <c r="O49" s="62">
        <f>MAX(O37:O48)</f>
        <v>0</v>
      </c>
    </row>
    <row r="50" spans="1:15" x14ac:dyDescent="0.25">
      <c r="A50" s="361"/>
      <c r="B50" s="362"/>
      <c r="C50" s="362"/>
      <c r="D50" s="362"/>
      <c r="E50" s="362"/>
      <c r="F50" s="362"/>
      <c r="G50" s="363"/>
    </row>
    <row r="51" spans="1:15" ht="41.4" x14ac:dyDescent="0.25">
      <c r="A51" s="361"/>
      <c r="B51" s="362"/>
      <c r="C51" s="362"/>
      <c r="D51" s="362"/>
      <c r="E51" s="362"/>
      <c r="F51" s="362"/>
      <c r="G51" s="363"/>
      <c r="J51" s="61">
        <f>+A6</f>
        <v>2022</v>
      </c>
      <c r="K51" s="61" t="s">
        <v>391</v>
      </c>
      <c r="L51" s="67" t="s">
        <v>386</v>
      </c>
      <c r="M51" s="67" t="s">
        <v>392</v>
      </c>
      <c r="N51" s="67" t="s">
        <v>389</v>
      </c>
      <c r="O51" s="67" t="s">
        <v>393</v>
      </c>
    </row>
    <row r="52" spans="1:15" x14ac:dyDescent="0.25">
      <c r="A52" s="364"/>
      <c r="B52" s="365"/>
      <c r="C52" s="365"/>
      <c r="D52" s="365"/>
      <c r="E52" s="365"/>
      <c r="F52" s="365"/>
      <c r="G52" s="366"/>
      <c r="J52" s="355" t="s">
        <v>316</v>
      </c>
      <c r="K52" s="66" t="s">
        <v>394</v>
      </c>
      <c r="L52" s="64"/>
      <c r="M52" s="64"/>
      <c r="N52" s="64"/>
      <c r="O52" s="64"/>
    </row>
    <row r="53" spans="1:15" x14ac:dyDescent="0.25">
      <c r="J53" s="355"/>
      <c r="K53" s="66" t="s">
        <v>395</v>
      </c>
      <c r="L53" s="64"/>
      <c r="M53" s="64"/>
      <c r="N53" s="64"/>
      <c r="O53" s="64"/>
    </row>
    <row r="54" spans="1:15" x14ac:dyDescent="0.25">
      <c r="J54" s="355"/>
      <c r="K54" s="66" t="s">
        <v>396</v>
      </c>
      <c r="L54" s="64"/>
      <c r="M54" s="64"/>
      <c r="N54" s="64"/>
      <c r="O54" s="64"/>
    </row>
    <row r="55" spans="1:15" x14ac:dyDescent="0.25">
      <c r="J55" s="355"/>
      <c r="K55" s="66" t="s">
        <v>398</v>
      </c>
      <c r="L55" s="64"/>
      <c r="M55" s="64"/>
      <c r="N55" s="64"/>
      <c r="O55" s="64"/>
    </row>
    <row r="56" spans="1:15" x14ac:dyDescent="0.25">
      <c r="J56" s="355"/>
      <c r="K56" s="66" t="s">
        <v>400</v>
      </c>
      <c r="L56" s="64"/>
      <c r="M56" s="64"/>
      <c r="N56" s="64"/>
      <c r="O56" s="64"/>
    </row>
    <row r="57" spans="1:15" x14ac:dyDescent="0.25">
      <c r="J57" s="355"/>
      <c r="K57" s="66" t="s">
        <v>401</v>
      </c>
      <c r="L57" s="64"/>
      <c r="M57" s="64"/>
      <c r="N57" s="64"/>
      <c r="O57" s="64"/>
    </row>
    <row r="58" spans="1:15" x14ac:dyDescent="0.25">
      <c r="J58" s="355"/>
      <c r="K58" s="66" t="s">
        <v>402</v>
      </c>
      <c r="L58" s="64"/>
      <c r="M58" s="64"/>
      <c r="N58" s="64"/>
      <c r="O58" s="64"/>
    </row>
    <row r="59" spans="1:15" x14ac:dyDescent="0.25">
      <c r="J59" s="355"/>
      <c r="K59" s="66" t="s">
        <v>404</v>
      </c>
      <c r="L59" s="64"/>
      <c r="M59" s="64"/>
      <c r="N59" s="64"/>
      <c r="O59" s="64"/>
    </row>
    <row r="60" spans="1:15" x14ac:dyDescent="0.25">
      <c r="J60" s="355"/>
      <c r="K60" s="66" t="s">
        <v>405</v>
      </c>
      <c r="L60" s="64"/>
      <c r="M60" s="64"/>
      <c r="N60" s="64"/>
      <c r="O60" s="64"/>
    </row>
    <row r="61" spans="1:15" x14ac:dyDescent="0.25">
      <c r="J61" s="355"/>
      <c r="K61" s="66" t="s">
        <v>406</v>
      </c>
      <c r="L61" s="64"/>
      <c r="M61" s="64"/>
      <c r="N61" s="64"/>
      <c r="O61" s="64"/>
    </row>
    <row r="62" spans="1:15" x14ac:dyDescent="0.25">
      <c r="J62" s="355"/>
      <c r="K62" s="66" t="s">
        <v>407</v>
      </c>
      <c r="L62" s="64"/>
      <c r="M62" s="64"/>
      <c r="N62" s="64"/>
      <c r="O62" s="64"/>
    </row>
    <row r="63" spans="1:15" x14ac:dyDescent="0.25">
      <c r="J63" s="355"/>
      <c r="K63" s="66" t="s">
        <v>408</v>
      </c>
      <c r="L63" s="64"/>
      <c r="M63" s="64"/>
      <c r="N63" s="64"/>
      <c r="O63" s="64"/>
    </row>
    <row r="64" spans="1:15" x14ac:dyDescent="0.25">
      <c r="J64" s="355"/>
      <c r="K64" s="62" t="s">
        <v>409</v>
      </c>
      <c r="L64" s="62" t="e">
        <f>AVERAGE(L52:L63)</f>
        <v>#DIV/0!</v>
      </c>
      <c r="M64" s="62">
        <f>MAX(M52:M63)</f>
        <v>0</v>
      </c>
      <c r="N64" s="62" t="e">
        <f>AVERAGE(N52:N63)</f>
        <v>#DIV/0!</v>
      </c>
      <c r="O64" s="62">
        <f>MAX(O52:O63)</f>
        <v>0</v>
      </c>
    </row>
    <row r="66" spans="10:15" ht="41.4" x14ac:dyDescent="0.25">
      <c r="J66" s="61">
        <f>+A6</f>
        <v>2022</v>
      </c>
      <c r="K66" s="61" t="s">
        <v>391</v>
      </c>
      <c r="L66" s="67" t="s">
        <v>386</v>
      </c>
      <c r="M66" s="67" t="s">
        <v>392</v>
      </c>
      <c r="N66" s="67" t="s">
        <v>389</v>
      </c>
      <c r="O66" s="67" t="s">
        <v>393</v>
      </c>
    </row>
    <row r="67" spans="10:15" x14ac:dyDescent="0.25">
      <c r="J67" s="355" t="s">
        <v>317</v>
      </c>
      <c r="K67" s="66" t="s">
        <v>394</v>
      </c>
      <c r="L67" s="64"/>
      <c r="M67" s="64"/>
      <c r="N67" s="64"/>
      <c r="O67" s="64"/>
    </row>
    <row r="68" spans="10:15" x14ac:dyDescent="0.25">
      <c r="J68" s="355"/>
      <c r="K68" s="66" t="s">
        <v>395</v>
      </c>
      <c r="L68" s="64"/>
      <c r="M68" s="64"/>
      <c r="N68" s="64"/>
      <c r="O68" s="64"/>
    </row>
    <row r="69" spans="10:15" x14ac:dyDescent="0.25">
      <c r="J69" s="355"/>
      <c r="K69" s="66" t="s">
        <v>396</v>
      </c>
      <c r="L69" s="64"/>
      <c r="M69" s="64"/>
      <c r="N69" s="64"/>
      <c r="O69" s="64"/>
    </row>
    <row r="70" spans="10:15" x14ac:dyDescent="0.25">
      <c r="J70" s="355"/>
      <c r="K70" s="66" t="s">
        <v>398</v>
      </c>
      <c r="L70" s="64"/>
      <c r="M70" s="64"/>
      <c r="N70" s="64"/>
      <c r="O70" s="64"/>
    </row>
    <row r="71" spans="10:15" x14ac:dyDescent="0.25">
      <c r="J71" s="355"/>
      <c r="K71" s="66" t="s">
        <v>400</v>
      </c>
      <c r="L71" s="64"/>
      <c r="M71" s="64"/>
      <c r="N71" s="64"/>
      <c r="O71" s="64"/>
    </row>
    <row r="72" spans="10:15" x14ac:dyDescent="0.25">
      <c r="J72" s="355"/>
      <c r="K72" s="66" t="s">
        <v>401</v>
      </c>
      <c r="L72" s="64"/>
      <c r="M72" s="64"/>
      <c r="N72" s="64"/>
      <c r="O72" s="64"/>
    </row>
    <row r="73" spans="10:15" x14ac:dyDescent="0.25">
      <c r="J73" s="355"/>
      <c r="K73" s="66" t="s">
        <v>402</v>
      </c>
      <c r="L73" s="64"/>
      <c r="M73" s="64"/>
      <c r="N73" s="64"/>
      <c r="O73" s="64"/>
    </row>
    <row r="74" spans="10:15" x14ac:dyDescent="0.25">
      <c r="J74" s="355"/>
      <c r="K74" s="66" t="s">
        <v>404</v>
      </c>
      <c r="L74" s="64"/>
      <c r="M74" s="64"/>
      <c r="N74" s="64"/>
      <c r="O74" s="64"/>
    </row>
    <row r="75" spans="10:15" x14ac:dyDescent="0.25">
      <c r="J75" s="355"/>
      <c r="K75" s="66" t="s">
        <v>405</v>
      </c>
      <c r="L75" s="64"/>
      <c r="M75" s="64"/>
      <c r="N75" s="64"/>
      <c r="O75" s="64"/>
    </row>
    <row r="76" spans="10:15" x14ac:dyDescent="0.25">
      <c r="J76" s="355"/>
      <c r="K76" s="66" t="s">
        <v>406</v>
      </c>
      <c r="L76" s="64"/>
      <c r="M76" s="64"/>
      <c r="N76" s="64"/>
      <c r="O76" s="64"/>
    </row>
    <row r="77" spans="10:15" x14ac:dyDescent="0.25">
      <c r="J77" s="355"/>
      <c r="K77" s="66" t="s">
        <v>407</v>
      </c>
      <c r="L77" s="64"/>
      <c r="M77" s="64"/>
      <c r="N77" s="64"/>
      <c r="O77" s="64"/>
    </row>
    <row r="78" spans="10:15" x14ac:dyDescent="0.25">
      <c r="J78" s="355"/>
      <c r="K78" s="66" t="s">
        <v>408</v>
      </c>
      <c r="L78" s="64"/>
      <c r="M78" s="64"/>
      <c r="N78" s="64"/>
      <c r="O78" s="64"/>
    </row>
    <row r="79" spans="10:15" x14ac:dyDescent="0.25">
      <c r="J79" s="355"/>
      <c r="K79" s="62" t="s">
        <v>409</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7" fitToHeight="0" orientation="portrait" r:id="rId1"/>
  <headerFooter scaleWithDoc="0">
    <oddFooter>&amp;C&amp;"Arial,Regular"Page &amp;P</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rgb="FF92D050"/>
    <pageSetUpPr fitToPage="1"/>
  </sheetPr>
  <dimension ref="A1:S79"/>
  <sheetViews>
    <sheetView topLeftCell="A16" workbookViewId="0">
      <selection activeCell="G19" sqref="G19"/>
    </sheetView>
  </sheetViews>
  <sheetFormatPr defaultRowHeight="13.8" x14ac:dyDescent="0.25"/>
  <cols>
    <col min="1" max="1" width="14" style="3" customWidth="1"/>
    <col min="2" max="4" width="17" style="35" customWidth="1"/>
    <col min="5" max="5" width="14.5546875" style="35" customWidth="1"/>
    <col min="6" max="7" width="17" style="35" customWidth="1"/>
    <col min="8" max="11" width="9.44140625" style="3"/>
    <col min="12" max="12" width="15.44140625" style="3" customWidth="1"/>
    <col min="13" max="13" width="17.44140625" style="3" bestFit="1" customWidth="1"/>
    <col min="14" max="14" width="13.5546875" style="3" customWidth="1"/>
    <col min="15" max="15" width="15" style="3" customWidth="1"/>
    <col min="16" max="18" width="9.44140625" style="3"/>
    <col min="19" max="19" width="22.44140625" style="3" customWidth="1"/>
    <col min="20" max="256" width="9.44140625" style="3"/>
    <col min="257" max="257" width="14" style="3" customWidth="1"/>
    <col min="258" max="263" width="10.44140625" style="3" customWidth="1"/>
    <col min="264" max="512" width="9.44140625" style="3"/>
    <col min="513" max="513" width="14" style="3" customWidth="1"/>
    <col min="514" max="519" width="10.44140625" style="3" customWidth="1"/>
    <col min="520" max="768" width="9.44140625" style="3"/>
    <col min="769" max="769" width="14" style="3" customWidth="1"/>
    <col min="770" max="775" width="10.44140625" style="3" customWidth="1"/>
    <col min="776" max="1024" width="9.44140625" style="3"/>
    <col min="1025" max="1025" width="14" style="3" customWidth="1"/>
    <col min="1026" max="1031" width="10.44140625" style="3" customWidth="1"/>
    <col min="1032" max="1280" width="9.44140625" style="3"/>
    <col min="1281" max="1281" width="14" style="3" customWidth="1"/>
    <col min="1282" max="1287" width="10.44140625" style="3" customWidth="1"/>
    <col min="1288" max="1536" width="9.44140625" style="3"/>
    <col min="1537" max="1537" width="14" style="3" customWidth="1"/>
    <col min="1538" max="1543" width="10.44140625" style="3" customWidth="1"/>
    <col min="1544" max="1792" width="9.44140625" style="3"/>
    <col min="1793" max="1793" width="14" style="3" customWidth="1"/>
    <col min="1794" max="1799" width="10.44140625" style="3" customWidth="1"/>
    <col min="1800" max="2048" width="9.44140625" style="3"/>
    <col min="2049" max="2049" width="14" style="3" customWidth="1"/>
    <col min="2050" max="2055" width="10.44140625" style="3" customWidth="1"/>
    <col min="2056" max="2304" width="9.44140625" style="3"/>
    <col min="2305" max="2305" width="14" style="3" customWidth="1"/>
    <col min="2306" max="2311" width="10.44140625" style="3" customWidth="1"/>
    <col min="2312" max="2560" width="9.44140625" style="3"/>
    <col min="2561" max="2561" width="14" style="3" customWidth="1"/>
    <col min="2562" max="2567" width="10.44140625" style="3" customWidth="1"/>
    <col min="2568" max="2816" width="9.44140625" style="3"/>
    <col min="2817" max="2817" width="14" style="3" customWidth="1"/>
    <col min="2818" max="2823" width="10.44140625" style="3" customWidth="1"/>
    <col min="2824" max="3072" width="9.44140625" style="3"/>
    <col min="3073" max="3073" width="14" style="3" customWidth="1"/>
    <col min="3074" max="3079" width="10.44140625" style="3" customWidth="1"/>
    <col min="3080" max="3328" width="9.44140625" style="3"/>
    <col min="3329" max="3329" width="14" style="3" customWidth="1"/>
    <col min="3330" max="3335" width="10.44140625" style="3" customWidth="1"/>
    <col min="3336" max="3584" width="9.44140625" style="3"/>
    <col min="3585" max="3585" width="14" style="3" customWidth="1"/>
    <col min="3586" max="3591" width="10.44140625" style="3" customWidth="1"/>
    <col min="3592" max="3840" width="9.44140625" style="3"/>
    <col min="3841" max="3841" width="14" style="3" customWidth="1"/>
    <col min="3842" max="3847" width="10.44140625" style="3" customWidth="1"/>
    <col min="3848" max="4096" width="9.44140625" style="3"/>
    <col min="4097" max="4097" width="14" style="3" customWidth="1"/>
    <col min="4098" max="4103" width="10.44140625" style="3" customWidth="1"/>
    <col min="4104" max="4352" width="9.44140625" style="3"/>
    <col min="4353" max="4353" width="14" style="3" customWidth="1"/>
    <col min="4354" max="4359" width="10.44140625" style="3" customWidth="1"/>
    <col min="4360" max="4608" width="9.44140625" style="3"/>
    <col min="4609" max="4609" width="14" style="3" customWidth="1"/>
    <col min="4610" max="4615" width="10.44140625" style="3" customWidth="1"/>
    <col min="4616" max="4864" width="9.44140625" style="3"/>
    <col min="4865" max="4865" width="14" style="3" customWidth="1"/>
    <col min="4866" max="4871" width="10.44140625" style="3" customWidth="1"/>
    <col min="4872" max="5120" width="9.44140625" style="3"/>
    <col min="5121" max="5121" width="14" style="3" customWidth="1"/>
    <col min="5122" max="5127" width="10.44140625" style="3" customWidth="1"/>
    <col min="5128" max="5376" width="9.44140625" style="3"/>
    <col min="5377" max="5377" width="14" style="3" customWidth="1"/>
    <col min="5378" max="5383" width="10.44140625" style="3" customWidth="1"/>
    <col min="5384" max="5632" width="9.44140625" style="3"/>
    <col min="5633" max="5633" width="14" style="3" customWidth="1"/>
    <col min="5634" max="5639" width="10.44140625" style="3" customWidth="1"/>
    <col min="5640" max="5888" width="9.44140625" style="3"/>
    <col min="5889" max="5889" width="14" style="3" customWidth="1"/>
    <col min="5890" max="5895" width="10.44140625" style="3" customWidth="1"/>
    <col min="5896" max="6144" width="9.44140625" style="3"/>
    <col min="6145" max="6145" width="14" style="3" customWidth="1"/>
    <col min="6146" max="6151" width="10.44140625" style="3" customWidth="1"/>
    <col min="6152" max="6400" width="9.44140625" style="3"/>
    <col min="6401" max="6401" width="14" style="3" customWidth="1"/>
    <col min="6402" max="6407" width="10.44140625" style="3" customWidth="1"/>
    <col min="6408" max="6656" width="9.44140625" style="3"/>
    <col min="6657" max="6657" width="14" style="3" customWidth="1"/>
    <col min="6658" max="6663" width="10.44140625" style="3" customWidth="1"/>
    <col min="6664" max="6912" width="9.44140625" style="3"/>
    <col min="6913" max="6913" width="14" style="3" customWidth="1"/>
    <col min="6914" max="6919" width="10.44140625" style="3" customWidth="1"/>
    <col min="6920" max="7168" width="9.44140625" style="3"/>
    <col min="7169" max="7169" width="14" style="3" customWidth="1"/>
    <col min="7170" max="7175" width="10.44140625" style="3" customWidth="1"/>
    <col min="7176" max="7424" width="9.44140625" style="3"/>
    <col min="7425" max="7425" width="14" style="3" customWidth="1"/>
    <col min="7426" max="7431" width="10.44140625" style="3" customWidth="1"/>
    <col min="7432" max="7680" width="9.44140625" style="3"/>
    <col min="7681" max="7681" width="14" style="3" customWidth="1"/>
    <col min="7682" max="7687" width="10.44140625" style="3" customWidth="1"/>
    <col min="7688" max="7936" width="9.44140625" style="3"/>
    <col min="7937" max="7937" width="14" style="3" customWidth="1"/>
    <col min="7938" max="7943" width="10.44140625" style="3" customWidth="1"/>
    <col min="7944" max="8192" width="9.44140625" style="3"/>
    <col min="8193" max="8193" width="14" style="3" customWidth="1"/>
    <col min="8194" max="8199" width="10.44140625" style="3" customWidth="1"/>
    <col min="8200" max="8448" width="9.44140625" style="3"/>
    <col min="8449" max="8449" width="14" style="3" customWidth="1"/>
    <col min="8450" max="8455" width="10.44140625" style="3" customWidth="1"/>
    <col min="8456" max="8704" width="9.44140625" style="3"/>
    <col min="8705" max="8705" width="14" style="3" customWidth="1"/>
    <col min="8706" max="8711" width="10.44140625" style="3" customWidth="1"/>
    <col min="8712" max="8960" width="9.44140625" style="3"/>
    <col min="8961" max="8961" width="14" style="3" customWidth="1"/>
    <col min="8962" max="8967" width="10.44140625" style="3" customWidth="1"/>
    <col min="8968" max="9216" width="9.44140625" style="3"/>
    <col min="9217" max="9217" width="14" style="3" customWidth="1"/>
    <col min="9218" max="9223" width="10.44140625" style="3" customWidth="1"/>
    <col min="9224" max="9472" width="9.44140625" style="3"/>
    <col min="9473" max="9473" width="14" style="3" customWidth="1"/>
    <col min="9474" max="9479" width="10.44140625" style="3" customWidth="1"/>
    <col min="9480" max="9728" width="9.44140625" style="3"/>
    <col min="9729" max="9729" width="14" style="3" customWidth="1"/>
    <col min="9730" max="9735" width="10.44140625" style="3" customWidth="1"/>
    <col min="9736" max="9984" width="9.44140625" style="3"/>
    <col min="9985" max="9985" width="14" style="3" customWidth="1"/>
    <col min="9986" max="9991" width="10.44140625" style="3" customWidth="1"/>
    <col min="9992" max="10240" width="9.44140625" style="3"/>
    <col min="10241" max="10241" width="14" style="3" customWidth="1"/>
    <col min="10242" max="10247" width="10.44140625" style="3" customWidth="1"/>
    <col min="10248" max="10496" width="9.44140625" style="3"/>
    <col min="10497" max="10497" width="14" style="3" customWidth="1"/>
    <col min="10498" max="10503" width="10.44140625" style="3" customWidth="1"/>
    <col min="10504" max="10752" width="9.44140625" style="3"/>
    <col min="10753" max="10753" width="14" style="3" customWidth="1"/>
    <col min="10754" max="10759" width="10.44140625" style="3" customWidth="1"/>
    <col min="10760" max="11008" width="9.44140625" style="3"/>
    <col min="11009" max="11009" width="14" style="3" customWidth="1"/>
    <col min="11010" max="11015" width="10.44140625" style="3" customWidth="1"/>
    <col min="11016" max="11264" width="9.44140625" style="3"/>
    <col min="11265" max="11265" width="14" style="3" customWidth="1"/>
    <col min="11266" max="11271" width="10.44140625" style="3" customWidth="1"/>
    <col min="11272" max="11520" width="9.44140625" style="3"/>
    <col min="11521" max="11521" width="14" style="3" customWidth="1"/>
    <col min="11522" max="11527" width="10.44140625" style="3" customWidth="1"/>
    <col min="11528" max="11776" width="9.44140625" style="3"/>
    <col min="11777" max="11777" width="14" style="3" customWidth="1"/>
    <col min="11778" max="11783" width="10.44140625" style="3" customWidth="1"/>
    <col min="11784" max="12032" width="9.44140625" style="3"/>
    <col min="12033" max="12033" width="14" style="3" customWidth="1"/>
    <col min="12034" max="12039" width="10.44140625" style="3" customWidth="1"/>
    <col min="12040" max="12288" width="9.44140625" style="3"/>
    <col min="12289" max="12289" width="14" style="3" customWidth="1"/>
    <col min="12290" max="12295" width="10.44140625" style="3" customWidth="1"/>
    <col min="12296" max="12544" width="9.44140625" style="3"/>
    <col min="12545" max="12545" width="14" style="3" customWidth="1"/>
    <col min="12546" max="12551" width="10.44140625" style="3" customWidth="1"/>
    <col min="12552" max="12800" width="9.44140625" style="3"/>
    <col min="12801" max="12801" width="14" style="3" customWidth="1"/>
    <col min="12802" max="12807" width="10.44140625" style="3" customWidth="1"/>
    <col min="12808" max="13056" width="9.44140625" style="3"/>
    <col min="13057" max="13057" width="14" style="3" customWidth="1"/>
    <col min="13058" max="13063" width="10.44140625" style="3" customWidth="1"/>
    <col min="13064" max="13312" width="9.44140625" style="3"/>
    <col min="13313" max="13313" width="14" style="3" customWidth="1"/>
    <col min="13314" max="13319" width="10.44140625" style="3" customWidth="1"/>
    <col min="13320" max="13568" width="9.44140625" style="3"/>
    <col min="13569" max="13569" width="14" style="3" customWidth="1"/>
    <col min="13570" max="13575" width="10.44140625" style="3" customWidth="1"/>
    <col min="13576" max="13824" width="9.44140625" style="3"/>
    <col min="13825" max="13825" width="14" style="3" customWidth="1"/>
    <col min="13826" max="13831" width="10.44140625" style="3" customWidth="1"/>
    <col min="13832" max="14080" width="9.44140625" style="3"/>
    <col min="14081" max="14081" width="14" style="3" customWidth="1"/>
    <col min="14082" max="14087" width="10.44140625" style="3" customWidth="1"/>
    <col min="14088" max="14336" width="9.44140625" style="3"/>
    <col min="14337" max="14337" width="14" style="3" customWidth="1"/>
    <col min="14338" max="14343" width="10.44140625" style="3" customWidth="1"/>
    <col min="14344" max="14592" width="9.44140625" style="3"/>
    <col min="14593" max="14593" width="14" style="3" customWidth="1"/>
    <col min="14594" max="14599" width="10.44140625" style="3" customWidth="1"/>
    <col min="14600" max="14848" width="9.44140625" style="3"/>
    <col min="14849" max="14849" width="14" style="3" customWidth="1"/>
    <col min="14850" max="14855" width="10.44140625" style="3" customWidth="1"/>
    <col min="14856" max="15104" width="9.44140625" style="3"/>
    <col min="15105" max="15105" width="14" style="3" customWidth="1"/>
    <col min="15106" max="15111" width="10.44140625" style="3" customWidth="1"/>
    <col min="15112" max="15360" width="9.44140625" style="3"/>
    <col min="15361" max="15361" width="14" style="3" customWidth="1"/>
    <col min="15362" max="15367" width="10.44140625" style="3" customWidth="1"/>
    <col min="15368" max="15616" width="9.44140625" style="3"/>
    <col min="15617" max="15617" width="14" style="3" customWidth="1"/>
    <col min="15618" max="15623" width="10.44140625" style="3" customWidth="1"/>
    <col min="15624" max="15872" width="9.44140625" style="3"/>
    <col min="15873" max="15873" width="14" style="3" customWidth="1"/>
    <col min="15874" max="15879" width="10.44140625" style="3" customWidth="1"/>
    <col min="15880" max="16128" width="9.44140625" style="3"/>
    <col min="16129" max="16129" width="14" style="3" customWidth="1"/>
    <col min="16130" max="16135" width="10.44140625" style="3" customWidth="1"/>
    <col min="16136" max="16384" width="9.44140625" style="3"/>
  </cols>
  <sheetData>
    <row r="1" spans="1:19" ht="15" x14ac:dyDescent="0.25">
      <c r="A1" s="93" t="str">
        <f>+'Cover Page'!$B$29</f>
        <v>Annual Performance Report 2022</v>
      </c>
      <c r="B1" s="93"/>
      <c r="C1" s="93"/>
      <c r="D1" s="93"/>
      <c r="E1" s="93" t="str">
        <f>+'Cover Page'!$B$33</f>
        <v>GLPP</v>
      </c>
    </row>
    <row r="3" spans="1:19" ht="14.4" x14ac:dyDescent="0.3">
      <c r="A3" s="60" t="s">
        <v>419</v>
      </c>
      <c r="D3" s="76" t="s">
        <v>378</v>
      </c>
      <c r="G3" s="80" t="s">
        <v>379</v>
      </c>
      <c r="J3" s="9" t="str">
        <f>+A3</f>
        <v>Monitoring of Particulate matter emissions</v>
      </c>
      <c r="L3" s="9"/>
      <c r="N3" s="9" t="s">
        <v>380</v>
      </c>
      <c r="Q3" s="79" t="s">
        <v>3</v>
      </c>
      <c r="R3" s="74"/>
      <c r="S3" s="74"/>
    </row>
    <row r="4" spans="1:19" ht="14.1" customHeight="1" x14ac:dyDescent="0.25">
      <c r="Q4" s="346" t="s">
        <v>381</v>
      </c>
      <c r="R4" s="346"/>
      <c r="S4" s="346"/>
    </row>
    <row r="5" spans="1:19" ht="16.2" x14ac:dyDescent="0.25">
      <c r="A5" s="68" t="s">
        <v>382</v>
      </c>
      <c r="B5" s="357" t="s">
        <v>383</v>
      </c>
      <c r="C5" s="357"/>
      <c r="D5" s="357"/>
      <c r="E5" s="357" t="s">
        <v>384</v>
      </c>
      <c r="F5" s="357"/>
      <c r="G5" s="357"/>
      <c r="J5" s="356"/>
      <c r="K5" s="356"/>
      <c r="L5" s="356"/>
      <c r="M5" s="356"/>
      <c r="N5" s="356"/>
      <c r="O5" s="356"/>
      <c r="Q5" s="346"/>
      <c r="R5" s="346"/>
      <c r="S5" s="346"/>
    </row>
    <row r="6" spans="1:19" s="58" customFormat="1" ht="37.5" customHeight="1" x14ac:dyDescent="0.3">
      <c r="A6" s="65">
        <f>+'Cover Page'!C39</f>
        <v>2022</v>
      </c>
      <c r="B6" s="55" t="s">
        <v>420</v>
      </c>
      <c r="C6" s="55" t="s">
        <v>386</v>
      </c>
      <c r="D6" s="55" t="s">
        <v>387</v>
      </c>
      <c r="E6" s="55" t="s">
        <v>421</v>
      </c>
      <c r="F6" s="55" t="s">
        <v>389</v>
      </c>
      <c r="G6" s="55" t="s">
        <v>390</v>
      </c>
      <c r="H6" s="59"/>
      <c r="J6" s="61">
        <f>+A6</f>
        <v>2022</v>
      </c>
      <c r="K6" s="61" t="s">
        <v>391</v>
      </c>
      <c r="L6" s="67" t="s">
        <v>386</v>
      </c>
      <c r="M6" s="67" t="s">
        <v>392</v>
      </c>
      <c r="N6" s="67" t="s">
        <v>389</v>
      </c>
      <c r="O6" s="67" t="s">
        <v>393</v>
      </c>
      <c r="Q6" s="346"/>
      <c r="R6" s="346"/>
      <c r="S6" s="346"/>
    </row>
    <row r="7" spans="1:19" x14ac:dyDescent="0.25">
      <c r="A7" s="66" t="s">
        <v>394</v>
      </c>
      <c r="B7" s="63">
        <v>30</v>
      </c>
      <c r="C7" s="64">
        <v>0</v>
      </c>
      <c r="D7" s="64">
        <v>2</v>
      </c>
      <c r="E7" s="63">
        <v>10</v>
      </c>
      <c r="F7" s="64">
        <v>0</v>
      </c>
      <c r="G7" s="64">
        <v>0</v>
      </c>
      <c r="J7" s="355" t="s">
        <v>313</v>
      </c>
      <c r="K7" s="66" t="s">
        <v>394</v>
      </c>
      <c r="L7" s="64"/>
      <c r="M7" s="64"/>
      <c r="N7" s="64"/>
      <c r="O7" s="64"/>
      <c r="Q7" s="346"/>
      <c r="R7" s="346"/>
      <c r="S7" s="346"/>
    </row>
    <row r="8" spans="1:19" x14ac:dyDescent="0.25">
      <c r="A8" s="66" t="s">
        <v>395</v>
      </c>
      <c r="B8" s="63">
        <v>30</v>
      </c>
      <c r="C8" s="64">
        <v>0</v>
      </c>
      <c r="D8" s="64">
        <v>3</v>
      </c>
      <c r="E8" s="63">
        <v>10</v>
      </c>
      <c r="F8" s="64">
        <v>0</v>
      </c>
      <c r="G8" s="64">
        <v>0</v>
      </c>
      <c r="J8" s="355"/>
      <c r="K8" s="66" t="s">
        <v>395</v>
      </c>
      <c r="L8" s="64"/>
      <c r="M8" s="64"/>
      <c r="N8" s="64"/>
      <c r="O8" s="64"/>
      <c r="Q8" s="346"/>
      <c r="R8" s="346"/>
      <c r="S8" s="346"/>
    </row>
    <row r="9" spans="1:19" x14ac:dyDescent="0.25">
      <c r="A9" s="66" t="s">
        <v>396</v>
      </c>
      <c r="B9" s="63">
        <v>30</v>
      </c>
      <c r="C9" s="64">
        <v>0</v>
      </c>
      <c r="D9" s="64">
        <v>3</v>
      </c>
      <c r="E9" s="63">
        <v>10</v>
      </c>
      <c r="F9" s="64">
        <v>0</v>
      </c>
      <c r="G9" s="64">
        <v>0</v>
      </c>
      <c r="J9" s="355"/>
      <c r="K9" s="66" t="s">
        <v>396</v>
      </c>
      <c r="L9" s="64"/>
      <c r="M9" s="64"/>
      <c r="N9" s="64"/>
      <c r="O9" s="64"/>
      <c r="Q9" s="78" t="s">
        <v>397</v>
      </c>
    </row>
    <row r="10" spans="1:19" ht="14.25" customHeight="1" x14ac:dyDescent="0.25">
      <c r="A10" s="66" t="s">
        <v>398</v>
      </c>
      <c r="B10" s="63">
        <v>30</v>
      </c>
      <c r="C10" s="64">
        <v>0</v>
      </c>
      <c r="D10" s="64">
        <v>3</v>
      </c>
      <c r="E10" s="63">
        <v>10</v>
      </c>
      <c r="F10" s="64">
        <v>0</v>
      </c>
      <c r="G10" s="64">
        <v>0</v>
      </c>
      <c r="J10" s="355"/>
      <c r="K10" s="66" t="s">
        <v>398</v>
      </c>
      <c r="L10" s="64"/>
      <c r="M10" s="64"/>
      <c r="N10" s="64"/>
      <c r="O10" s="64"/>
      <c r="Q10" s="354" t="s">
        <v>399</v>
      </c>
      <c r="R10" s="354"/>
      <c r="S10" s="354"/>
    </row>
    <row r="11" spans="1:19" x14ac:dyDescent="0.25">
      <c r="A11" s="66" t="s">
        <v>400</v>
      </c>
      <c r="B11" s="63">
        <v>30</v>
      </c>
      <c r="C11" s="64">
        <v>0</v>
      </c>
      <c r="D11" s="64">
        <v>2</v>
      </c>
      <c r="E11" s="63">
        <v>10</v>
      </c>
      <c r="F11" s="64">
        <v>0</v>
      </c>
      <c r="G11" s="64">
        <v>0</v>
      </c>
      <c r="J11" s="355"/>
      <c r="K11" s="66" t="s">
        <v>400</v>
      </c>
      <c r="L11" s="64"/>
      <c r="M11" s="64"/>
      <c r="N11" s="64"/>
      <c r="O11" s="64"/>
      <c r="Q11" s="354"/>
      <c r="R11" s="354"/>
      <c r="S11" s="354"/>
    </row>
    <row r="12" spans="1:19" x14ac:dyDescent="0.25">
      <c r="A12" s="66" t="s">
        <v>401</v>
      </c>
      <c r="B12" s="63">
        <v>30</v>
      </c>
      <c r="C12" s="64">
        <v>0</v>
      </c>
      <c r="D12" s="64">
        <v>2</v>
      </c>
      <c r="E12" s="63">
        <v>10</v>
      </c>
      <c r="F12" s="64">
        <v>0</v>
      </c>
      <c r="G12" s="64">
        <v>0</v>
      </c>
      <c r="J12" s="355"/>
      <c r="K12" s="66" t="s">
        <v>401</v>
      </c>
      <c r="L12" s="64"/>
      <c r="M12" s="64"/>
      <c r="N12" s="64"/>
      <c r="O12" s="64"/>
      <c r="Q12" s="354"/>
      <c r="R12" s="354"/>
      <c r="S12" s="354"/>
    </row>
    <row r="13" spans="1:19" ht="14.25" customHeight="1" x14ac:dyDescent="0.25">
      <c r="A13" s="66" t="s">
        <v>402</v>
      </c>
      <c r="B13" s="63">
        <v>30</v>
      </c>
      <c r="C13" s="64">
        <v>0</v>
      </c>
      <c r="D13" s="64">
        <v>2</v>
      </c>
      <c r="E13" s="63">
        <v>10</v>
      </c>
      <c r="F13" s="64">
        <v>0</v>
      </c>
      <c r="G13" s="64">
        <v>0</v>
      </c>
      <c r="J13" s="355"/>
      <c r="K13" s="66" t="s">
        <v>402</v>
      </c>
      <c r="L13" s="64"/>
      <c r="M13" s="64"/>
      <c r="N13" s="64"/>
      <c r="O13" s="64"/>
      <c r="Q13" s="354" t="s">
        <v>403</v>
      </c>
      <c r="R13" s="354"/>
      <c r="S13" s="354"/>
    </row>
    <row r="14" spans="1:19" x14ac:dyDescent="0.25">
      <c r="A14" s="66" t="s">
        <v>404</v>
      </c>
      <c r="B14" s="63">
        <v>30</v>
      </c>
      <c r="C14" s="64">
        <v>0.5</v>
      </c>
      <c r="D14" s="64">
        <v>2</v>
      </c>
      <c r="E14" s="63">
        <v>10</v>
      </c>
      <c r="F14" s="64">
        <v>0</v>
      </c>
      <c r="G14" s="64">
        <v>0</v>
      </c>
      <c r="J14" s="355"/>
      <c r="K14" s="66" t="s">
        <v>404</v>
      </c>
      <c r="L14" s="64"/>
      <c r="M14" s="64"/>
      <c r="N14" s="64"/>
      <c r="O14" s="64"/>
      <c r="Q14" s="354"/>
      <c r="R14" s="354"/>
      <c r="S14" s="354"/>
    </row>
    <row r="15" spans="1:19" x14ac:dyDescent="0.25">
      <c r="A15" s="66" t="s">
        <v>405</v>
      </c>
      <c r="B15" s="63">
        <v>30</v>
      </c>
      <c r="C15" s="64">
        <v>0</v>
      </c>
      <c r="D15" s="64">
        <v>3</v>
      </c>
      <c r="E15" s="63">
        <v>10</v>
      </c>
      <c r="F15" s="64">
        <v>0</v>
      </c>
      <c r="G15" s="64">
        <v>0</v>
      </c>
      <c r="J15" s="355"/>
      <c r="K15" s="66" t="s">
        <v>405</v>
      </c>
      <c r="L15" s="64"/>
      <c r="M15" s="64"/>
      <c r="N15" s="64"/>
      <c r="O15" s="64"/>
      <c r="Q15" s="354"/>
      <c r="R15" s="354"/>
      <c r="S15" s="354"/>
    </row>
    <row r="16" spans="1:19" x14ac:dyDescent="0.25">
      <c r="A16" s="66" t="s">
        <v>406</v>
      </c>
      <c r="B16" s="63">
        <v>30</v>
      </c>
      <c r="C16" s="64">
        <v>1</v>
      </c>
      <c r="D16" s="64">
        <v>4</v>
      </c>
      <c r="E16" s="63">
        <v>10</v>
      </c>
      <c r="F16" s="64">
        <v>0</v>
      </c>
      <c r="G16" s="64">
        <v>2</v>
      </c>
      <c r="J16" s="355"/>
      <c r="K16" s="66" t="s">
        <v>406</v>
      </c>
      <c r="L16" s="64"/>
      <c r="M16" s="64"/>
      <c r="N16" s="64"/>
      <c r="O16" s="64"/>
      <c r="Q16" s="354"/>
      <c r="R16" s="354"/>
      <c r="S16" s="354"/>
    </row>
    <row r="17" spans="1:15" x14ac:dyDescent="0.25">
      <c r="A17" s="66" t="s">
        <v>407</v>
      </c>
      <c r="B17" s="63">
        <v>30</v>
      </c>
      <c r="C17" s="64">
        <v>0.5</v>
      </c>
      <c r="D17" s="64">
        <v>2</v>
      </c>
      <c r="E17" s="63">
        <v>10</v>
      </c>
      <c r="F17" s="64">
        <v>0</v>
      </c>
      <c r="G17" s="64">
        <v>0</v>
      </c>
      <c r="J17" s="355"/>
      <c r="K17" s="66" t="s">
        <v>407</v>
      </c>
      <c r="L17" s="64"/>
      <c r="M17" s="64"/>
      <c r="N17" s="64"/>
      <c r="O17" s="64"/>
    </row>
    <row r="18" spans="1:15" x14ac:dyDescent="0.25">
      <c r="A18" s="66" t="s">
        <v>408</v>
      </c>
      <c r="B18" s="63">
        <v>30</v>
      </c>
      <c r="C18" s="64">
        <v>0.5</v>
      </c>
      <c r="D18" s="64">
        <v>2</v>
      </c>
      <c r="E18" s="63">
        <v>10</v>
      </c>
      <c r="F18" s="64">
        <v>0</v>
      </c>
      <c r="G18" s="64">
        <v>0</v>
      </c>
      <c r="J18" s="355"/>
      <c r="K18" s="66" t="s">
        <v>408</v>
      </c>
      <c r="L18" s="64"/>
      <c r="M18" s="64"/>
      <c r="N18" s="64"/>
      <c r="O18" s="64"/>
    </row>
    <row r="19" spans="1:15" x14ac:dyDescent="0.25">
      <c r="J19" s="355"/>
      <c r="K19" s="62" t="s">
        <v>409</v>
      </c>
      <c r="L19" s="62" t="e">
        <f>AVERAGE(L7:L18)</f>
        <v>#DIV/0!</v>
      </c>
      <c r="M19" s="62">
        <f>MAX(M7:M18)</f>
        <v>0</v>
      </c>
      <c r="N19" s="62" t="e">
        <f>AVERAGE(N7:N18)</f>
        <v>#DIV/0!</v>
      </c>
      <c r="O19" s="62">
        <f>MAX(O7:O18)</f>
        <v>0</v>
      </c>
    </row>
    <row r="21" spans="1:15" ht="41.4" x14ac:dyDescent="0.25">
      <c r="J21" s="61">
        <f>+A6</f>
        <v>2022</v>
      </c>
      <c r="K21" s="61" t="s">
        <v>391</v>
      </c>
      <c r="L21" s="67" t="s">
        <v>386</v>
      </c>
      <c r="M21" s="67" t="s">
        <v>392</v>
      </c>
      <c r="N21" s="67" t="s">
        <v>389</v>
      </c>
      <c r="O21" s="67" t="s">
        <v>393</v>
      </c>
    </row>
    <row r="22" spans="1:15" x14ac:dyDescent="0.25">
      <c r="J22" s="355" t="s">
        <v>314</v>
      </c>
      <c r="K22" s="66" t="s">
        <v>394</v>
      </c>
      <c r="L22" s="64"/>
      <c r="M22" s="64"/>
      <c r="N22" s="64"/>
      <c r="O22" s="64"/>
    </row>
    <row r="23" spans="1:15" x14ac:dyDescent="0.25">
      <c r="J23" s="355"/>
      <c r="K23" s="66" t="s">
        <v>395</v>
      </c>
      <c r="L23" s="64"/>
      <c r="M23" s="64"/>
      <c r="N23" s="64"/>
      <c r="O23" s="64"/>
    </row>
    <row r="24" spans="1:15" x14ac:dyDescent="0.25">
      <c r="J24" s="355"/>
      <c r="K24" s="66" t="s">
        <v>396</v>
      </c>
      <c r="L24" s="64"/>
      <c r="M24" s="64"/>
      <c r="N24" s="64"/>
      <c r="O24" s="64"/>
    </row>
    <row r="25" spans="1:15" x14ac:dyDescent="0.25">
      <c r="J25" s="355"/>
      <c r="K25" s="66" t="s">
        <v>398</v>
      </c>
      <c r="L25" s="64"/>
      <c r="M25" s="64"/>
      <c r="N25" s="64"/>
      <c r="O25" s="64"/>
    </row>
    <row r="26" spans="1:15" x14ac:dyDescent="0.25">
      <c r="J26" s="355"/>
      <c r="K26" s="66" t="s">
        <v>400</v>
      </c>
      <c r="L26" s="64"/>
      <c r="M26" s="64"/>
      <c r="N26" s="64"/>
      <c r="O26" s="64"/>
    </row>
    <row r="27" spans="1:15" x14ac:dyDescent="0.25">
      <c r="J27" s="355"/>
      <c r="K27" s="66" t="s">
        <v>401</v>
      </c>
      <c r="L27" s="64"/>
      <c r="M27" s="64"/>
      <c r="N27" s="64"/>
      <c r="O27" s="64"/>
    </row>
    <row r="28" spans="1:15" x14ac:dyDescent="0.25">
      <c r="J28" s="355"/>
      <c r="K28" s="66" t="s">
        <v>402</v>
      </c>
      <c r="L28" s="64"/>
      <c r="M28" s="64"/>
      <c r="N28" s="64"/>
      <c r="O28" s="64"/>
    </row>
    <row r="29" spans="1:15" x14ac:dyDescent="0.25">
      <c r="J29" s="355"/>
      <c r="K29" s="66" t="s">
        <v>404</v>
      </c>
      <c r="L29" s="64"/>
      <c r="M29" s="64"/>
      <c r="N29" s="64"/>
      <c r="O29" s="64"/>
    </row>
    <row r="30" spans="1:15" x14ac:dyDescent="0.25">
      <c r="J30" s="355"/>
      <c r="K30" s="66" t="s">
        <v>405</v>
      </c>
      <c r="L30" s="64"/>
      <c r="M30" s="64"/>
      <c r="N30" s="64"/>
      <c r="O30" s="64"/>
    </row>
    <row r="31" spans="1:15" x14ac:dyDescent="0.25">
      <c r="J31" s="355"/>
      <c r="K31" s="66" t="s">
        <v>406</v>
      </c>
      <c r="L31" s="64"/>
      <c r="M31" s="64"/>
      <c r="N31" s="64"/>
      <c r="O31" s="64"/>
    </row>
    <row r="32" spans="1:15" x14ac:dyDescent="0.25">
      <c r="J32" s="355"/>
      <c r="K32" s="66" t="s">
        <v>407</v>
      </c>
      <c r="L32" s="64"/>
      <c r="M32" s="64"/>
      <c r="N32" s="64"/>
      <c r="O32" s="64"/>
    </row>
    <row r="33" spans="1:15" x14ac:dyDescent="0.25">
      <c r="J33" s="355"/>
      <c r="K33" s="66" t="s">
        <v>408</v>
      </c>
      <c r="L33" s="64"/>
      <c r="M33" s="64"/>
      <c r="N33" s="64"/>
      <c r="O33" s="64"/>
    </row>
    <row r="34" spans="1:15" x14ac:dyDescent="0.25">
      <c r="J34" s="355"/>
      <c r="K34" s="62" t="s">
        <v>409</v>
      </c>
      <c r="L34" s="62" t="e">
        <f>AVERAGE(L22:L33)</f>
        <v>#DIV/0!</v>
      </c>
      <c r="M34" s="62">
        <f>MAX(M22:M33)</f>
        <v>0</v>
      </c>
      <c r="N34" s="62" t="e">
        <f>AVERAGE(N22:N33)</f>
        <v>#DIV/0!</v>
      </c>
      <c r="O34" s="62">
        <f>MAX(O22:O33)</f>
        <v>0</v>
      </c>
    </row>
    <row r="36" spans="1:15" ht="41.4" x14ac:dyDescent="0.25">
      <c r="J36" s="61">
        <f>+A6</f>
        <v>2022</v>
      </c>
      <c r="K36" s="61" t="s">
        <v>391</v>
      </c>
      <c r="L36" s="67" t="s">
        <v>386</v>
      </c>
      <c r="M36" s="67" t="s">
        <v>392</v>
      </c>
      <c r="N36" s="67" t="s">
        <v>389</v>
      </c>
      <c r="O36" s="67" t="s">
        <v>393</v>
      </c>
    </row>
    <row r="37" spans="1:15" x14ac:dyDescent="0.25">
      <c r="J37" s="355" t="s">
        <v>315</v>
      </c>
      <c r="K37" s="66" t="s">
        <v>394</v>
      </c>
      <c r="L37" s="64"/>
      <c r="M37" s="64"/>
      <c r="N37" s="64"/>
      <c r="O37" s="64"/>
    </row>
    <row r="38" spans="1:15" x14ac:dyDescent="0.25">
      <c r="J38" s="355"/>
      <c r="K38" s="66" t="s">
        <v>395</v>
      </c>
      <c r="L38" s="64"/>
      <c r="M38" s="64"/>
      <c r="N38" s="64"/>
      <c r="O38" s="64"/>
    </row>
    <row r="39" spans="1:15" x14ac:dyDescent="0.25">
      <c r="J39" s="355"/>
      <c r="K39" s="66" t="s">
        <v>396</v>
      </c>
      <c r="L39" s="64"/>
      <c r="M39" s="64"/>
      <c r="N39" s="64"/>
      <c r="O39" s="64"/>
    </row>
    <row r="40" spans="1:15" x14ac:dyDescent="0.25">
      <c r="J40" s="355"/>
      <c r="K40" s="66" t="s">
        <v>398</v>
      </c>
      <c r="L40" s="64"/>
      <c r="M40" s="64"/>
      <c r="N40" s="64"/>
      <c r="O40" s="64"/>
    </row>
    <row r="41" spans="1:15" x14ac:dyDescent="0.25">
      <c r="J41" s="355"/>
      <c r="K41" s="66" t="s">
        <v>400</v>
      </c>
      <c r="L41" s="64"/>
      <c r="M41" s="64"/>
      <c r="N41" s="64"/>
      <c r="O41" s="64"/>
    </row>
    <row r="42" spans="1:15" x14ac:dyDescent="0.25">
      <c r="J42" s="355"/>
      <c r="K42" s="66" t="s">
        <v>401</v>
      </c>
      <c r="L42" s="64"/>
      <c r="M42" s="64"/>
      <c r="N42" s="64"/>
      <c r="O42" s="64"/>
    </row>
    <row r="43" spans="1:15" x14ac:dyDescent="0.25">
      <c r="J43" s="355"/>
      <c r="K43" s="66" t="s">
        <v>402</v>
      </c>
      <c r="L43" s="64"/>
      <c r="M43" s="64"/>
      <c r="N43" s="64"/>
      <c r="O43" s="64"/>
    </row>
    <row r="44" spans="1:15" x14ac:dyDescent="0.25">
      <c r="J44" s="355"/>
      <c r="K44" s="66" t="s">
        <v>404</v>
      </c>
      <c r="L44" s="64"/>
      <c r="M44" s="64"/>
      <c r="N44" s="64"/>
      <c r="O44" s="64"/>
    </row>
    <row r="45" spans="1:15" x14ac:dyDescent="0.25">
      <c r="J45" s="355"/>
      <c r="K45" s="66" t="s">
        <v>405</v>
      </c>
      <c r="L45" s="64"/>
      <c r="M45" s="64"/>
      <c r="N45" s="64"/>
      <c r="O45" s="64"/>
    </row>
    <row r="46" spans="1:15" x14ac:dyDescent="0.25">
      <c r="J46" s="355"/>
      <c r="K46" s="66" t="s">
        <v>406</v>
      </c>
      <c r="L46" s="64"/>
      <c r="M46" s="64"/>
      <c r="N46" s="64"/>
      <c r="O46" s="64"/>
    </row>
    <row r="47" spans="1:15" x14ac:dyDescent="0.25">
      <c r="J47" s="355"/>
      <c r="K47" s="66" t="s">
        <v>407</v>
      </c>
      <c r="L47" s="64"/>
      <c r="M47" s="64"/>
      <c r="N47" s="64"/>
      <c r="O47" s="64"/>
    </row>
    <row r="48" spans="1:15" x14ac:dyDescent="0.25">
      <c r="A48" s="367" t="s">
        <v>287</v>
      </c>
      <c r="B48" s="368"/>
      <c r="C48" s="368"/>
      <c r="D48" s="368"/>
      <c r="E48" s="368"/>
      <c r="F48" s="368"/>
      <c r="G48" s="369"/>
      <c r="J48" s="355"/>
      <c r="K48" s="66" t="s">
        <v>408</v>
      </c>
      <c r="L48" s="64"/>
      <c r="M48" s="64"/>
      <c r="N48" s="64"/>
      <c r="O48" s="64"/>
    </row>
    <row r="49" spans="1:15" x14ac:dyDescent="0.25">
      <c r="A49" s="358"/>
      <c r="B49" s="359"/>
      <c r="C49" s="359"/>
      <c r="D49" s="359"/>
      <c r="E49" s="359"/>
      <c r="F49" s="359"/>
      <c r="G49" s="360"/>
      <c r="J49" s="355"/>
      <c r="K49" s="62" t="s">
        <v>409</v>
      </c>
      <c r="L49" s="62" t="e">
        <f>AVERAGE(L37:L48)</f>
        <v>#DIV/0!</v>
      </c>
      <c r="M49" s="62">
        <f>MAX(M37:M48)</f>
        <v>0</v>
      </c>
      <c r="N49" s="62" t="e">
        <f>AVERAGE(N37:N48)</f>
        <v>#DIV/0!</v>
      </c>
      <c r="O49" s="62">
        <f>MAX(O37:O48)</f>
        <v>0</v>
      </c>
    </row>
    <row r="50" spans="1:15" x14ac:dyDescent="0.25">
      <c r="A50" s="361"/>
      <c r="B50" s="362"/>
      <c r="C50" s="362"/>
      <c r="D50" s="362"/>
      <c r="E50" s="362"/>
      <c r="F50" s="362"/>
      <c r="G50" s="363"/>
    </row>
    <row r="51" spans="1:15" ht="41.4" x14ac:dyDescent="0.25">
      <c r="A51" s="361"/>
      <c r="B51" s="362"/>
      <c r="C51" s="362"/>
      <c r="D51" s="362"/>
      <c r="E51" s="362"/>
      <c r="F51" s="362"/>
      <c r="G51" s="363"/>
      <c r="J51" s="61">
        <f>+A6</f>
        <v>2022</v>
      </c>
      <c r="K51" s="61" t="s">
        <v>391</v>
      </c>
      <c r="L51" s="67" t="s">
        <v>386</v>
      </c>
      <c r="M51" s="67" t="s">
        <v>392</v>
      </c>
      <c r="N51" s="67" t="s">
        <v>389</v>
      </c>
      <c r="O51" s="67" t="s">
        <v>393</v>
      </c>
    </row>
    <row r="52" spans="1:15" x14ac:dyDescent="0.25">
      <c r="A52" s="364"/>
      <c r="B52" s="365"/>
      <c r="C52" s="365"/>
      <c r="D52" s="365"/>
      <c r="E52" s="365"/>
      <c r="F52" s="365"/>
      <c r="G52" s="366"/>
      <c r="J52" s="355" t="s">
        <v>316</v>
      </c>
      <c r="K52" s="66" t="s">
        <v>394</v>
      </c>
      <c r="L52" s="64"/>
      <c r="M52" s="64"/>
      <c r="N52" s="64"/>
      <c r="O52" s="64"/>
    </row>
    <row r="53" spans="1:15" x14ac:dyDescent="0.25">
      <c r="J53" s="355"/>
      <c r="K53" s="66" t="s">
        <v>395</v>
      </c>
      <c r="L53" s="64"/>
      <c r="M53" s="64"/>
      <c r="N53" s="64"/>
      <c r="O53" s="64"/>
    </row>
    <row r="54" spans="1:15" x14ac:dyDescent="0.25">
      <c r="J54" s="355"/>
      <c r="K54" s="66" t="s">
        <v>396</v>
      </c>
      <c r="L54" s="64"/>
      <c r="M54" s="64"/>
      <c r="N54" s="64"/>
      <c r="O54" s="64"/>
    </row>
    <row r="55" spans="1:15" x14ac:dyDescent="0.25">
      <c r="J55" s="355"/>
      <c r="K55" s="66" t="s">
        <v>398</v>
      </c>
      <c r="L55" s="64"/>
      <c r="M55" s="64"/>
      <c r="N55" s="64"/>
      <c r="O55" s="64"/>
    </row>
    <row r="56" spans="1:15" x14ac:dyDescent="0.25">
      <c r="J56" s="355"/>
      <c r="K56" s="66" t="s">
        <v>400</v>
      </c>
      <c r="L56" s="64"/>
      <c r="M56" s="64"/>
      <c r="N56" s="64"/>
      <c r="O56" s="64"/>
    </row>
    <row r="57" spans="1:15" x14ac:dyDescent="0.25">
      <c r="J57" s="355"/>
      <c r="K57" s="66" t="s">
        <v>401</v>
      </c>
      <c r="L57" s="64"/>
      <c r="M57" s="64"/>
      <c r="N57" s="64"/>
      <c r="O57" s="64"/>
    </row>
    <row r="58" spans="1:15" x14ac:dyDescent="0.25">
      <c r="J58" s="355"/>
      <c r="K58" s="66" t="s">
        <v>402</v>
      </c>
      <c r="L58" s="64"/>
      <c r="M58" s="64"/>
      <c r="N58" s="64"/>
      <c r="O58" s="64"/>
    </row>
    <row r="59" spans="1:15" x14ac:dyDescent="0.25">
      <c r="J59" s="355"/>
      <c r="K59" s="66" t="s">
        <v>404</v>
      </c>
      <c r="L59" s="64"/>
      <c r="M59" s="64"/>
      <c r="N59" s="64"/>
      <c r="O59" s="64"/>
    </row>
    <row r="60" spans="1:15" x14ac:dyDescent="0.25">
      <c r="J60" s="355"/>
      <c r="K60" s="66" t="s">
        <v>405</v>
      </c>
      <c r="L60" s="64"/>
      <c r="M60" s="64"/>
      <c r="N60" s="64"/>
      <c r="O60" s="64"/>
    </row>
    <row r="61" spans="1:15" x14ac:dyDescent="0.25">
      <c r="J61" s="355"/>
      <c r="K61" s="66" t="s">
        <v>406</v>
      </c>
      <c r="L61" s="64"/>
      <c r="M61" s="64"/>
      <c r="N61" s="64"/>
      <c r="O61" s="64"/>
    </row>
    <row r="62" spans="1:15" x14ac:dyDescent="0.25">
      <c r="J62" s="355"/>
      <c r="K62" s="66" t="s">
        <v>407</v>
      </c>
      <c r="L62" s="64"/>
      <c r="M62" s="64"/>
      <c r="N62" s="64"/>
      <c r="O62" s="64"/>
    </row>
    <row r="63" spans="1:15" x14ac:dyDescent="0.25">
      <c r="J63" s="355"/>
      <c r="K63" s="66" t="s">
        <v>408</v>
      </c>
      <c r="L63" s="64"/>
      <c r="M63" s="64"/>
      <c r="N63" s="64"/>
      <c r="O63" s="64"/>
    </row>
    <row r="64" spans="1:15" x14ac:dyDescent="0.25">
      <c r="J64" s="355"/>
      <c r="K64" s="62" t="s">
        <v>409</v>
      </c>
      <c r="L64" s="62" t="e">
        <f>AVERAGE(L52:L63)</f>
        <v>#DIV/0!</v>
      </c>
      <c r="M64" s="62">
        <f>MAX(M52:M63)</f>
        <v>0</v>
      </c>
      <c r="N64" s="62" t="e">
        <f>AVERAGE(N52:N63)</f>
        <v>#DIV/0!</v>
      </c>
      <c r="O64" s="62">
        <f>MAX(O52:O63)</f>
        <v>0</v>
      </c>
    </row>
    <row r="66" spans="10:15" ht="41.4" x14ac:dyDescent="0.25">
      <c r="J66" s="61">
        <f>+A6</f>
        <v>2022</v>
      </c>
      <c r="K66" s="61" t="s">
        <v>391</v>
      </c>
      <c r="L66" s="67" t="s">
        <v>386</v>
      </c>
      <c r="M66" s="67" t="s">
        <v>392</v>
      </c>
      <c r="N66" s="67" t="s">
        <v>389</v>
      </c>
      <c r="O66" s="67" t="s">
        <v>393</v>
      </c>
    </row>
    <row r="67" spans="10:15" x14ac:dyDescent="0.25">
      <c r="J67" s="355" t="s">
        <v>317</v>
      </c>
      <c r="K67" s="66" t="s">
        <v>394</v>
      </c>
      <c r="L67" s="64"/>
      <c r="M67" s="64"/>
      <c r="N67" s="64"/>
      <c r="O67" s="64"/>
    </row>
    <row r="68" spans="10:15" x14ac:dyDescent="0.25">
      <c r="J68" s="355"/>
      <c r="K68" s="66" t="s">
        <v>395</v>
      </c>
      <c r="L68" s="64"/>
      <c r="M68" s="64"/>
      <c r="N68" s="64"/>
      <c r="O68" s="64"/>
    </row>
    <row r="69" spans="10:15" x14ac:dyDescent="0.25">
      <c r="J69" s="355"/>
      <c r="K69" s="66" t="s">
        <v>396</v>
      </c>
      <c r="L69" s="64"/>
      <c r="M69" s="64"/>
      <c r="N69" s="64"/>
      <c r="O69" s="64"/>
    </row>
    <row r="70" spans="10:15" x14ac:dyDescent="0.25">
      <c r="J70" s="355"/>
      <c r="K70" s="66" t="s">
        <v>398</v>
      </c>
      <c r="L70" s="64"/>
      <c r="M70" s="64"/>
      <c r="N70" s="64"/>
      <c r="O70" s="64"/>
    </row>
    <row r="71" spans="10:15" x14ac:dyDescent="0.25">
      <c r="J71" s="355"/>
      <c r="K71" s="66" t="s">
        <v>400</v>
      </c>
      <c r="L71" s="64"/>
      <c r="M71" s="64"/>
      <c r="N71" s="64"/>
      <c r="O71" s="64"/>
    </row>
    <row r="72" spans="10:15" x14ac:dyDescent="0.25">
      <c r="J72" s="355"/>
      <c r="K72" s="66" t="s">
        <v>401</v>
      </c>
      <c r="L72" s="64"/>
      <c r="M72" s="64"/>
      <c r="N72" s="64"/>
      <c r="O72" s="64"/>
    </row>
    <row r="73" spans="10:15" x14ac:dyDescent="0.25">
      <c r="J73" s="355"/>
      <c r="K73" s="66" t="s">
        <v>402</v>
      </c>
      <c r="L73" s="64"/>
      <c r="M73" s="64"/>
      <c r="N73" s="64"/>
      <c r="O73" s="64"/>
    </row>
    <row r="74" spans="10:15" x14ac:dyDescent="0.25">
      <c r="J74" s="355"/>
      <c r="K74" s="66" t="s">
        <v>404</v>
      </c>
      <c r="L74" s="64"/>
      <c r="M74" s="64"/>
      <c r="N74" s="64"/>
      <c r="O74" s="64"/>
    </row>
    <row r="75" spans="10:15" x14ac:dyDescent="0.25">
      <c r="J75" s="355"/>
      <c r="K75" s="66" t="s">
        <v>405</v>
      </c>
      <c r="L75" s="64"/>
      <c r="M75" s="64"/>
      <c r="N75" s="64"/>
      <c r="O75" s="64"/>
    </row>
    <row r="76" spans="10:15" x14ac:dyDescent="0.25">
      <c r="J76" s="355"/>
      <c r="K76" s="66" t="s">
        <v>406</v>
      </c>
      <c r="L76" s="64"/>
      <c r="M76" s="64"/>
      <c r="N76" s="64"/>
      <c r="O76" s="64"/>
    </row>
    <row r="77" spans="10:15" x14ac:dyDescent="0.25">
      <c r="J77" s="355"/>
      <c r="K77" s="66" t="s">
        <v>407</v>
      </c>
      <c r="L77" s="64"/>
      <c r="M77" s="64"/>
      <c r="N77" s="64"/>
      <c r="O77" s="64"/>
    </row>
    <row r="78" spans="10:15" x14ac:dyDescent="0.25">
      <c r="J78" s="355"/>
      <c r="K78" s="66" t="s">
        <v>408</v>
      </c>
      <c r="L78" s="64"/>
      <c r="M78" s="64"/>
      <c r="N78" s="64"/>
      <c r="O78" s="64"/>
    </row>
    <row r="79" spans="10:15" x14ac:dyDescent="0.25">
      <c r="J79" s="355"/>
      <c r="K79" s="62" t="s">
        <v>409</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7" fitToHeight="0" orientation="portrait" r:id="rId1"/>
  <headerFooter scaleWithDoc="0">
    <oddFooter>&amp;C&amp;"Arial,Regular"Page &amp;P</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rgb="FF92D050"/>
    <pageSetUpPr fitToPage="1"/>
  </sheetPr>
  <dimension ref="A1:S79"/>
  <sheetViews>
    <sheetView topLeftCell="A16" workbookViewId="0">
      <selection activeCell="G19" sqref="G19"/>
    </sheetView>
  </sheetViews>
  <sheetFormatPr defaultRowHeight="13.8" x14ac:dyDescent="0.25"/>
  <cols>
    <col min="1" max="1" width="14" style="3" customWidth="1"/>
    <col min="2" max="4" width="17" style="35" customWidth="1"/>
    <col min="5" max="5" width="14.5546875" style="35" customWidth="1"/>
    <col min="6" max="7" width="17" style="35" customWidth="1"/>
    <col min="8" max="11" width="9.44140625" style="3"/>
    <col min="12" max="12" width="15.44140625" style="3" customWidth="1"/>
    <col min="13" max="13" width="17.44140625" style="3" bestFit="1" customWidth="1"/>
    <col min="14" max="14" width="13.5546875" style="3" customWidth="1"/>
    <col min="15" max="15" width="15" style="3" customWidth="1"/>
    <col min="16" max="18" width="9.44140625" style="3"/>
    <col min="19" max="19" width="21.5546875" style="3" customWidth="1"/>
    <col min="20" max="256" width="9.44140625" style="3"/>
    <col min="257" max="257" width="14" style="3" customWidth="1"/>
    <col min="258" max="263" width="10.44140625" style="3" customWidth="1"/>
    <col min="264" max="512" width="9.44140625" style="3"/>
    <col min="513" max="513" width="14" style="3" customWidth="1"/>
    <col min="514" max="519" width="10.44140625" style="3" customWidth="1"/>
    <col min="520" max="768" width="9.44140625" style="3"/>
    <col min="769" max="769" width="14" style="3" customWidth="1"/>
    <col min="770" max="775" width="10.44140625" style="3" customWidth="1"/>
    <col min="776" max="1024" width="9.44140625" style="3"/>
    <col min="1025" max="1025" width="14" style="3" customWidth="1"/>
    <col min="1026" max="1031" width="10.44140625" style="3" customWidth="1"/>
    <col min="1032" max="1280" width="9.44140625" style="3"/>
    <col min="1281" max="1281" width="14" style="3" customWidth="1"/>
    <col min="1282" max="1287" width="10.44140625" style="3" customWidth="1"/>
    <col min="1288" max="1536" width="9.44140625" style="3"/>
    <col min="1537" max="1537" width="14" style="3" customWidth="1"/>
    <col min="1538" max="1543" width="10.44140625" style="3" customWidth="1"/>
    <col min="1544" max="1792" width="9.44140625" style="3"/>
    <col min="1793" max="1793" width="14" style="3" customWidth="1"/>
    <col min="1794" max="1799" width="10.44140625" style="3" customWidth="1"/>
    <col min="1800" max="2048" width="9.44140625" style="3"/>
    <col min="2049" max="2049" width="14" style="3" customWidth="1"/>
    <col min="2050" max="2055" width="10.44140625" style="3" customWidth="1"/>
    <col min="2056" max="2304" width="9.44140625" style="3"/>
    <col min="2305" max="2305" width="14" style="3" customWidth="1"/>
    <col min="2306" max="2311" width="10.44140625" style="3" customWidth="1"/>
    <col min="2312" max="2560" width="9.44140625" style="3"/>
    <col min="2561" max="2561" width="14" style="3" customWidth="1"/>
    <col min="2562" max="2567" width="10.44140625" style="3" customWidth="1"/>
    <col min="2568" max="2816" width="9.44140625" style="3"/>
    <col min="2817" max="2817" width="14" style="3" customWidth="1"/>
    <col min="2818" max="2823" width="10.44140625" style="3" customWidth="1"/>
    <col min="2824" max="3072" width="9.44140625" style="3"/>
    <col min="3073" max="3073" width="14" style="3" customWidth="1"/>
    <col min="3074" max="3079" width="10.44140625" style="3" customWidth="1"/>
    <col min="3080" max="3328" width="9.44140625" style="3"/>
    <col min="3329" max="3329" width="14" style="3" customWidth="1"/>
    <col min="3330" max="3335" width="10.44140625" style="3" customWidth="1"/>
    <col min="3336" max="3584" width="9.44140625" style="3"/>
    <col min="3585" max="3585" width="14" style="3" customWidth="1"/>
    <col min="3586" max="3591" width="10.44140625" style="3" customWidth="1"/>
    <col min="3592" max="3840" width="9.44140625" style="3"/>
    <col min="3841" max="3841" width="14" style="3" customWidth="1"/>
    <col min="3842" max="3847" width="10.44140625" style="3" customWidth="1"/>
    <col min="3848" max="4096" width="9.44140625" style="3"/>
    <col min="4097" max="4097" width="14" style="3" customWidth="1"/>
    <col min="4098" max="4103" width="10.44140625" style="3" customWidth="1"/>
    <col min="4104" max="4352" width="9.44140625" style="3"/>
    <col min="4353" max="4353" width="14" style="3" customWidth="1"/>
    <col min="4354" max="4359" width="10.44140625" style="3" customWidth="1"/>
    <col min="4360" max="4608" width="9.44140625" style="3"/>
    <col min="4609" max="4609" width="14" style="3" customWidth="1"/>
    <col min="4610" max="4615" width="10.44140625" style="3" customWidth="1"/>
    <col min="4616" max="4864" width="9.44140625" style="3"/>
    <col min="4865" max="4865" width="14" style="3" customWidth="1"/>
    <col min="4866" max="4871" width="10.44140625" style="3" customWidth="1"/>
    <col min="4872" max="5120" width="9.44140625" style="3"/>
    <col min="5121" max="5121" width="14" style="3" customWidth="1"/>
    <col min="5122" max="5127" width="10.44140625" style="3" customWidth="1"/>
    <col min="5128" max="5376" width="9.44140625" style="3"/>
    <col min="5377" max="5377" width="14" style="3" customWidth="1"/>
    <col min="5378" max="5383" width="10.44140625" style="3" customWidth="1"/>
    <col min="5384" max="5632" width="9.44140625" style="3"/>
    <col min="5633" max="5633" width="14" style="3" customWidth="1"/>
    <col min="5634" max="5639" width="10.44140625" style="3" customWidth="1"/>
    <col min="5640" max="5888" width="9.44140625" style="3"/>
    <col min="5889" max="5889" width="14" style="3" customWidth="1"/>
    <col min="5890" max="5895" width="10.44140625" style="3" customWidth="1"/>
    <col min="5896" max="6144" width="9.44140625" style="3"/>
    <col min="6145" max="6145" width="14" style="3" customWidth="1"/>
    <col min="6146" max="6151" width="10.44140625" style="3" customWidth="1"/>
    <col min="6152" max="6400" width="9.44140625" style="3"/>
    <col min="6401" max="6401" width="14" style="3" customWidth="1"/>
    <col min="6402" max="6407" width="10.44140625" style="3" customWidth="1"/>
    <col min="6408" max="6656" width="9.44140625" style="3"/>
    <col min="6657" max="6657" width="14" style="3" customWidth="1"/>
    <col min="6658" max="6663" width="10.44140625" style="3" customWidth="1"/>
    <col min="6664" max="6912" width="9.44140625" style="3"/>
    <col min="6913" max="6913" width="14" style="3" customWidth="1"/>
    <col min="6914" max="6919" width="10.44140625" style="3" customWidth="1"/>
    <col min="6920" max="7168" width="9.44140625" style="3"/>
    <col min="7169" max="7169" width="14" style="3" customWidth="1"/>
    <col min="7170" max="7175" width="10.44140625" style="3" customWidth="1"/>
    <col min="7176" max="7424" width="9.44140625" style="3"/>
    <col min="7425" max="7425" width="14" style="3" customWidth="1"/>
    <col min="7426" max="7431" width="10.44140625" style="3" customWidth="1"/>
    <col min="7432" max="7680" width="9.44140625" style="3"/>
    <col min="7681" max="7681" width="14" style="3" customWidth="1"/>
    <col min="7682" max="7687" width="10.44140625" style="3" customWidth="1"/>
    <col min="7688" max="7936" width="9.44140625" style="3"/>
    <col min="7937" max="7937" width="14" style="3" customWidth="1"/>
    <col min="7938" max="7943" width="10.44140625" style="3" customWidth="1"/>
    <col min="7944" max="8192" width="9.44140625" style="3"/>
    <col min="8193" max="8193" width="14" style="3" customWidth="1"/>
    <col min="8194" max="8199" width="10.44140625" style="3" customWidth="1"/>
    <col min="8200" max="8448" width="9.44140625" style="3"/>
    <col min="8449" max="8449" width="14" style="3" customWidth="1"/>
    <col min="8450" max="8455" width="10.44140625" style="3" customWidth="1"/>
    <col min="8456" max="8704" width="9.44140625" style="3"/>
    <col min="8705" max="8705" width="14" style="3" customWidth="1"/>
    <col min="8706" max="8711" width="10.44140625" style="3" customWidth="1"/>
    <col min="8712" max="8960" width="9.44140625" style="3"/>
    <col min="8961" max="8961" width="14" style="3" customWidth="1"/>
    <col min="8962" max="8967" width="10.44140625" style="3" customWidth="1"/>
    <col min="8968" max="9216" width="9.44140625" style="3"/>
    <col min="9217" max="9217" width="14" style="3" customWidth="1"/>
    <col min="9218" max="9223" width="10.44140625" style="3" customWidth="1"/>
    <col min="9224" max="9472" width="9.44140625" style="3"/>
    <col min="9473" max="9473" width="14" style="3" customWidth="1"/>
    <col min="9474" max="9479" width="10.44140625" style="3" customWidth="1"/>
    <col min="9480" max="9728" width="9.44140625" style="3"/>
    <col min="9729" max="9729" width="14" style="3" customWidth="1"/>
    <col min="9730" max="9735" width="10.44140625" style="3" customWidth="1"/>
    <col min="9736" max="9984" width="9.44140625" style="3"/>
    <col min="9985" max="9985" width="14" style="3" customWidth="1"/>
    <col min="9986" max="9991" width="10.44140625" style="3" customWidth="1"/>
    <col min="9992" max="10240" width="9.44140625" style="3"/>
    <col min="10241" max="10241" width="14" style="3" customWidth="1"/>
    <col min="10242" max="10247" width="10.44140625" style="3" customWidth="1"/>
    <col min="10248" max="10496" width="9.44140625" style="3"/>
    <col min="10497" max="10497" width="14" style="3" customWidth="1"/>
    <col min="10498" max="10503" width="10.44140625" style="3" customWidth="1"/>
    <col min="10504" max="10752" width="9.44140625" style="3"/>
    <col min="10753" max="10753" width="14" style="3" customWidth="1"/>
    <col min="10754" max="10759" width="10.44140625" style="3" customWidth="1"/>
    <col min="10760" max="11008" width="9.44140625" style="3"/>
    <col min="11009" max="11009" width="14" style="3" customWidth="1"/>
    <col min="11010" max="11015" width="10.44140625" style="3" customWidth="1"/>
    <col min="11016" max="11264" width="9.44140625" style="3"/>
    <col min="11265" max="11265" width="14" style="3" customWidth="1"/>
    <col min="11266" max="11271" width="10.44140625" style="3" customWidth="1"/>
    <col min="11272" max="11520" width="9.44140625" style="3"/>
    <col min="11521" max="11521" width="14" style="3" customWidth="1"/>
    <col min="11522" max="11527" width="10.44140625" style="3" customWidth="1"/>
    <col min="11528" max="11776" width="9.44140625" style="3"/>
    <col min="11777" max="11777" width="14" style="3" customWidth="1"/>
    <col min="11778" max="11783" width="10.44140625" style="3" customWidth="1"/>
    <col min="11784" max="12032" width="9.44140625" style="3"/>
    <col min="12033" max="12033" width="14" style="3" customWidth="1"/>
    <col min="12034" max="12039" width="10.44140625" style="3" customWidth="1"/>
    <col min="12040" max="12288" width="9.44140625" style="3"/>
    <col min="12289" max="12289" width="14" style="3" customWidth="1"/>
    <col min="12290" max="12295" width="10.44140625" style="3" customWidth="1"/>
    <col min="12296" max="12544" width="9.44140625" style="3"/>
    <col min="12545" max="12545" width="14" style="3" customWidth="1"/>
    <col min="12546" max="12551" width="10.44140625" style="3" customWidth="1"/>
    <col min="12552" max="12800" width="9.44140625" style="3"/>
    <col min="12801" max="12801" width="14" style="3" customWidth="1"/>
    <col min="12802" max="12807" width="10.44140625" style="3" customWidth="1"/>
    <col min="12808" max="13056" width="9.44140625" style="3"/>
    <col min="13057" max="13057" width="14" style="3" customWidth="1"/>
    <col min="13058" max="13063" width="10.44140625" style="3" customWidth="1"/>
    <col min="13064" max="13312" width="9.44140625" style="3"/>
    <col min="13313" max="13313" width="14" style="3" customWidth="1"/>
    <col min="13314" max="13319" width="10.44140625" style="3" customWidth="1"/>
    <col min="13320" max="13568" width="9.44140625" style="3"/>
    <col min="13569" max="13569" width="14" style="3" customWidth="1"/>
    <col min="13570" max="13575" width="10.44140625" style="3" customWidth="1"/>
    <col min="13576" max="13824" width="9.44140625" style="3"/>
    <col min="13825" max="13825" width="14" style="3" customWidth="1"/>
    <col min="13826" max="13831" width="10.44140625" style="3" customWidth="1"/>
    <col min="13832" max="14080" width="9.44140625" style="3"/>
    <col min="14081" max="14081" width="14" style="3" customWidth="1"/>
    <col min="14082" max="14087" width="10.44140625" style="3" customWidth="1"/>
    <col min="14088" max="14336" width="9.44140625" style="3"/>
    <col min="14337" max="14337" width="14" style="3" customWidth="1"/>
    <col min="14338" max="14343" width="10.44140625" style="3" customWidth="1"/>
    <col min="14344" max="14592" width="9.44140625" style="3"/>
    <col min="14593" max="14593" width="14" style="3" customWidth="1"/>
    <col min="14594" max="14599" width="10.44140625" style="3" customWidth="1"/>
    <col min="14600" max="14848" width="9.44140625" style="3"/>
    <col min="14849" max="14849" width="14" style="3" customWidth="1"/>
    <col min="14850" max="14855" width="10.44140625" style="3" customWidth="1"/>
    <col min="14856" max="15104" width="9.44140625" style="3"/>
    <col min="15105" max="15105" width="14" style="3" customWidth="1"/>
    <col min="15106" max="15111" width="10.44140625" style="3" customWidth="1"/>
    <col min="15112" max="15360" width="9.44140625" style="3"/>
    <col min="15361" max="15361" width="14" style="3" customWidth="1"/>
    <col min="15362" max="15367" width="10.44140625" style="3" customWidth="1"/>
    <col min="15368" max="15616" width="9.44140625" style="3"/>
    <col min="15617" max="15617" width="14" style="3" customWidth="1"/>
    <col min="15618" max="15623" width="10.44140625" style="3" customWidth="1"/>
    <col min="15624" max="15872" width="9.44140625" style="3"/>
    <col min="15873" max="15873" width="14" style="3" customWidth="1"/>
    <col min="15874" max="15879" width="10.44140625" style="3" customWidth="1"/>
    <col min="15880" max="16128" width="9.44140625" style="3"/>
    <col min="16129" max="16129" width="14" style="3" customWidth="1"/>
    <col min="16130" max="16135" width="10.44140625" style="3" customWidth="1"/>
    <col min="16136" max="16384" width="9.44140625" style="3"/>
  </cols>
  <sheetData>
    <row r="1" spans="1:19" ht="15" x14ac:dyDescent="0.25">
      <c r="A1" s="93" t="str">
        <f>+'Cover Page'!$B$29</f>
        <v>Annual Performance Report 2022</v>
      </c>
      <c r="B1" s="93"/>
      <c r="C1" s="93"/>
      <c r="D1" s="93"/>
      <c r="E1" s="93" t="str">
        <f>+'Cover Page'!$B$33</f>
        <v>GLPP</v>
      </c>
    </row>
    <row r="3" spans="1:19" ht="14.4" x14ac:dyDescent="0.3">
      <c r="A3" s="60" t="s">
        <v>422</v>
      </c>
      <c r="D3" s="76" t="s">
        <v>378</v>
      </c>
      <c r="G3" s="80" t="s">
        <v>379</v>
      </c>
      <c r="J3" s="9" t="str">
        <f>+A3</f>
        <v>Monitoring of Carbon Monoxide (half hourly)</v>
      </c>
      <c r="L3" s="9"/>
      <c r="N3" s="9" t="s">
        <v>380</v>
      </c>
      <c r="Q3" s="79" t="s">
        <v>3</v>
      </c>
      <c r="R3" s="74"/>
      <c r="S3" s="74"/>
    </row>
    <row r="4" spans="1:19" ht="14.1" customHeight="1" x14ac:dyDescent="0.25">
      <c r="Q4" s="346" t="s">
        <v>381</v>
      </c>
      <c r="R4" s="346"/>
      <c r="S4" s="346"/>
    </row>
    <row r="5" spans="1:19" ht="16.2" x14ac:dyDescent="0.25">
      <c r="A5" s="68" t="s">
        <v>382</v>
      </c>
      <c r="B5" s="357" t="s">
        <v>383</v>
      </c>
      <c r="C5" s="357"/>
      <c r="D5" s="357"/>
      <c r="E5" s="357" t="s">
        <v>384</v>
      </c>
      <c r="F5" s="357"/>
      <c r="G5" s="357"/>
      <c r="J5" s="356"/>
      <c r="K5" s="356"/>
      <c r="L5" s="356"/>
      <c r="M5" s="356"/>
      <c r="N5" s="356"/>
      <c r="O5" s="356"/>
      <c r="Q5" s="346"/>
      <c r="R5" s="346"/>
      <c r="S5" s="346"/>
    </row>
    <row r="6" spans="1:19" s="58" customFormat="1" ht="37.5" customHeight="1" x14ac:dyDescent="0.3">
      <c r="A6" s="65">
        <f>+'Cover Page'!C39</f>
        <v>2022</v>
      </c>
      <c r="B6" s="55" t="s">
        <v>423</v>
      </c>
      <c r="C6" s="55" t="s">
        <v>386</v>
      </c>
      <c r="D6" s="55" t="s">
        <v>387</v>
      </c>
      <c r="E6" s="55" t="s">
        <v>424</v>
      </c>
      <c r="F6" s="55" t="s">
        <v>389</v>
      </c>
      <c r="G6" s="55" t="s">
        <v>390</v>
      </c>
      <c r="H6" s="59"/>
      <c r="J6" s="61">
        <f>+A6</f>
        <v>2022</v>
      </c>
      <c r="K6" s="61" t="s">
        <v>391</v>
      </c>
      <c r="L6" s="67" t="s">
        <v>386</v>
      </c>
      <c r="M6" s="67" t="s">
        <v>392</v>
      </c>
      <c r="N6" s="67" t="s">
        <v>389</v>
      </c>
      <c r="O6" s="67" t="s">
        <v>393</v>
      </c>
      <c r="Q6" s="346"/>
      <c r="R6" s="346"/>
      <c r="S6" s="346"/>
    </row>
    <row r="7" spans="1:19" x14ac:dyDescent="0.25">
      <c r="A7" s="66" t="s">
        <v>394</v>
      </c>
      <c r="B7" s="69">
        <v>100</v>
      </c>
      <c r="C7" s="64">
        <v>2.5</v>
      </c>
      <c r="D7" s="64">
        <v>15</v>
      </c>
      <c r="E7" s="69">
        <v>50</v>
      </c>
      <c r="F7" s="64">
        <v>2</v>
      </c>
      <c r="G7" s="64">
        <v>7</v>
      </c>
      <c r="J7" s="355" t="s">
        <v>313</v>
      </c>
      <c r="K7" s="66" t="s">
        <v>394</v>
      </c>
      <c r="L7" s="64"/>
      <c r="M7" s="64"/>
      <c r="N7" s="64"/>
      <c r="O7" s="64"/>
      <c r="Q7" s="346"/>
      <c r="R7" s="346"/>
      <c r="S7" s="346"/>
    </row>
    <row r="8" spans="1:19" x14ac:dyDescent="0.25">
      <c r="A8" s="66" t="s">
        <v>395</v>
      </c>
      <c r="B8" s="63">
        <f>+B7</f>
        <v>100</v>
      </c>
      <c r="C8" s="64">
        <v>6.5</v>
      </c>
      <c r="D8" s="64">
        <v>42</v>
      </c>
      <c r="E8" s="63">
        <f>+E7</f>
        <v>50</v>
      </c>
      <c r="F8" s="64">
        <v>5.5</v>
      </c>
      <c r="G8" s="64">
        <v>17</v>
      </c>
      <c r="J8" s="355"/>
      <c r="K8" s="66" t="s">
        <v>395</v>
      </c>
      <c r="L8" s="64"/>
      <c r="M8" s="64"/>
      <c r="N8" s="64"/>
      <c r="O8" s="64"/>
      <c r="Q8" s="346"/>
      <c r="R8" s="346"/>
      <c r="S8" s="346"/>
    </row>
    <row r="9" spans="1:19" x14ac:dyDescent="0.25">
      <c r="A9" s="66" t="s">
        <v>396</v>
      </c>
      <c r="B9" s="63">
        <f t="shared" ref="B9:B18" si="0">+B8</f>
        <v>100</v>
      </c>
      <c r="C9" s="64">
        <v>5</v>
      </c>
      <c r="D9" s="64">
        <v>18</v>
      </c>
      <c r="E9" s="63">
        <f t="shared" ref="E9:E18" si="1">+E8</f>
        <v>50</v>
      </c>
      <c r="F9" s="64">
        <v>4</v>
      </c>
      <c r="G9" s="64">
        <v>11</v>
      </c>
      <c r="J9" s="355"/>
      <c r="K9" s="66" t="s">
        <v>396</v>
      </c>
      <c r="L9" s="64"/>
      <c r="M9" s="64"/>
      <c r="N9" s="64"/>
      <c r="O9" s="64"/>
      <c r="Q9" s="78" t="s">
        <v>397</v>
      </c>
    </row>
    <row r="10" spans="1:19" ht="14.25" customHeight="1" x14ac:dyDescent="0.25">
      <c r="A10" s="66" t="s">
        <v>398</v>
      </c>
      <c r="B10" s="63">
        <f t="shared" si="0"/>
        <v>100</v>
      </c>
      <c r="C10" s="64">
        <v>4.5</v>
      </c>
      <c r="D10" s="64">
        <v>21</v>
      </c>
      <c r="E10" s="63">
        <f t="shared" si="1"/>
        <v>50</v>
      </c>
      <c r="F10" s="64">
        <v>3.5</v>
      </c>
      <c r="G10" s="64">
        <v>10</v>
      </c>
      <c r="J10" s="355"/>
      <c r="K10" s="66" t="s">
        <v>398</v>
      </c>
      <c r="L10" s="64"/>
      <c r="M10" s="64"/>
      <c r="N10" s="64"/>
      <c r="O10" s="64"/>
      <c r="Q10" s="354" t="s">
        <v>399</v>
      </c>
      <c r="R10" s="354"/>
      <c r="S10" s="354"/>
    </row>
    <row r="11" spans="1:19" x14ac:dyDescent="0.25">
      <c r="A11" s="66" t="s">
        <v>400</v>
      </c>
      <c r="B11" s="63">
        <f t="shared" si="0"/>
        <v>100</v>
      </c>
      <c r="C11" s="64">
        <v>5</v>
      </c>
      <c r="D11" s="64">
        <v>26</v>
      </c>
      <c r="E11" s="63">
        <f t="shared" si="1"/>
        <v>50</v>
      </c>
      <c r="F11" s="64">
        <v>4</v>
      </c>
      <c r="G11" s="64">
        <v>15</v>
      </c>
      <c r="J11" s="355"/>
      <c r="K11" s="66" t="s">
        <v>400</v>
      </c>
      <c r="L11" s="64"/>
      <c r="M11" s="64"/>
      <c r="N11" s="64"/>
      <c r="O11" s="64"/>
      <c r="Q11" s="354"/>
      <c r="R11" s="354"/>
      <c r="S11" s="354"/>
    </row>
    <row r="12" spans="1:19" x14ac:dyDescent="0.25">
      <c r="A12" s="66" t="s">
        <v>401</v>
      </c>
      <c r="B12" s="63">
        <f t="shared" si="0"/>
        <v>100</v>
      </c>
      <c r="C12" s="64">
        <v>8</v>
      </c>
      <c r="D12" s="64">
        <v>35</v>
      </c>
      <c r="E12" s="63">
        <f t="shared" si="1"/>
        <v>50</v>
      </c>
      <c r="F12" s="64">
        <v>7.5</v>
      </c>
      <c r="G12" s="64">
        <v>18</v>
      </c>
      <c r="J12" s="355"/>
      <c r="K12" s="66" t="s">
        <v>401</v>
      </c>
      <c r="L12" s="64"/>
      <c r="M12" s="64"/>
      <c r="N12" s="64"/>
      <c r="O12" s="64"/>
      <c r="Q12" s="354"/>
      <c r="R12" s="354"/>
      <c r="S12" s="354"/>
    </row>
    <row r="13" spans="1:19" ht="14.25" customHeight="1" x14ac:dyDescent="0.25">
      <c r="A13" s="66" t="s">
        <v>402</v>
      </c>
      <c r="B13" s="63">
        <f t="shared" si="0"/>
        <v>100</v>
      </c>
      <c r="C13" s="64">
        <v>5</v>
      </c>
      <c r="D13" s="64">
        <v>24</v>
      </c>
      <c r="E13" s="63">
        <f t="shared" si="1"/>
        <v>50</v>
      </c>
      <c r="F13" s="64">
        <v>4</v>
      </c>
      <c r="G13" s="64">
        <v>8</v>
      </c>
      <c r="J13" s="355"/>
      <c r="K13" s="66" t="s">
        <v>402</v>
      </c>
      <c r="L13" s="64"/>
      <c r="M13" s="64"/>
      <c r="N13" s="64"/>
      <c r="O13" s="64"/>
      <c r="Q13" s="354" t="s">
        <v>403</v>
      </c>
      <c r="R13" s="354"/>
      <c r="S13" s="354"/>
    </row>
    <row r="14" spans="1:19" x14ac:dyDescent="0.25">
      <c r="A14" s="66" t="s">
        <v>404</v>
      </c>
      <c r="B14" s="63">
        <f t="shared" si="0"/>
        <v>100</v>
      </c>
      <c r="C14" s="64">
        <v>8.5</v>
      </c>
      <c r="D14" s="64">
        <v>26</v>
      </c>
      <c r="E14" s="63">
        <f t="shared" si="1"/>
        <v>50</v>
      </c>
      <c r="F14" s="64">
        <v>7.5</v>
      </c>
      <c r="G14" s="64">
        <v>15</v>
      </c>
      <c r="J14" s="355"/>
      <c r="K14" s="66" t="s">
        <v>404</v>
      </c>
      <c r="L14" s="64"/>
      <c r="M14" s="64"/>
      <c r="N14" s="64"/>
      <c r="O14" s="64"/>
      <c r="Q14" s="354"/>
      <c r="R14" s="354"/>
      <c r="S14" s="354"/>
    </row>
    <row r="15" spans="1:19" x14ac:dyDescent="0.25">
      <c r="A15" s="66" t="s">
        <v>405</v>
      </c>
      <c r="B15" s="63">
        <f t="shared" si="0"/>
        <v>100</v>
      </c>
      <c r="C15" s="64">
        <v>6</v>
      </c>
      <c r="D15" s="64">
        <v>24</v>
      </c>
      <c r="E15" s="63">
        <f t="shared" si="1"/>
        <v>50</v>
      </c>
      <c r="F15" s="64">
        <v>5.5</v>
      </c>
      <c r="G15" s="64">
        <v>8</v>
      </c>
      <c r="J15" s="355"/>
      <c r="K15" s="66" t="s">
        <v>405</v>
      </c>
      <c r="L15" s="64"/>
      <c r="M15" s="64"/>
      <c r="N15" s="64"/>
      <c r="O15" s="64"/>
      <c r="Q15" s="354"/>
      <c r="R15" s="354"/>
      <c r="S15" s="354"/>
    </row>
    <row r="16" spans="1:19" x14ac:dyDescent="0.25">
      <c r="A16" s="66" t="s">
        <v>406</v>
      </c>
      <c r="B16" s="63">
        <f t="shared" si="0"/>
        <v>100</v>
      </c>
      <c r="C16" s="64">
        <v>3.5</v>
      </c>
      <c r="D16" s="64">
        <v>24</v>
      </c>
      <c r="E16" s="63">
        <f t="shared" si="1"/>
        <v>50</v>
      </c>
      <c r="F16" s="64">
        <v>3</v>
      </c>
      <c r="G16" s="64">
        <v>13</v>
      </c>
      <c r="J16" s="355"/>
      <c r="K16" s="66" t="s">
        <v>406</v>
      </c>
      <c r="L16" s="64"/>
      <c r="M16" s="64"/>
      <c r="N16" s="64"/>
      <c r="O16" s="64"/>
      <c r="Q16" s="354"/>
      <c r="R16" s="354"/>
      <c r="S16" s="354"/>
    </row>
    <row r="17" spans="1:15" x14ac:dyDescent="0.25">
      <c r="A17" s="66" t="s">
        <v>407</v>
      </c>
      <c r="B17" s="63">
        <f t="shared" si="0"/>
        <v>100</v>
      </c>
      <c r="C17" s="64">
        <v>7.5</v>
      </c>
      <c r="D17" s="64">
        <v>28</v>
      </c>
      <c r="E17" s="63">
        <f t="shared" si="1"/>
        <v>50</v>
      </c>
      <c r="F17" s="64">
        <v>6.5</v>
      </c>
      <c r="G17" s="64">
        <v>20</v>
      </c>
      <c r="J17" s="355"/>
      <c r="K17" s="66" t="s">
        <v>407</v>
      </c>
      <c r="L17" s="64"/>
      <c r="M17" s="64"/>
      <c r="N17" s="64"/>
      <c r="O17" s="64"/>
    </row>
    <row r="18" spans="1:15" x14ac:dyDescent="0.25">
      <c r="A18" s="66" t="s">
        <v>408</v>
      </c>
      <c r="B18" s="63">
        <f t="shared" si="0"/>
        <v>100</v>
      </c>
      <c r="C18" s="64">
        <v>5</v>
      </c>
      <c r="D18" s="64">
        <v>28</v>
      </c>
      <c r="E18" s="63">
        <f t="shared" si="1"/>
        <v>50</v>
      </c>
      <c r="F18" s="64">
        <v>4</v>
      </c>
      <c r="G18" s="64">
        <v>17</v>
      </c>
      <c r="J18" s="355"/>
      <c r="K18" s="66" t="s">
        <v>408</v>
      </c>
      <c r="L18" s="64"/>
      <c r="M18" s="64"/>
      <c r="N18" s="64"/>
      <c r="O18" s="64"/>
    </row>
    <row r="19" spans="1:15" x14ac:dyDescent="0.25">
      <c r="J19" s="355"/>
      <c r="K19" s="62" t="s">
        <v>409</v>
      </c>
      <c r="L19" s="62" t="e">
        <f>AVERAGE(L7:L18)</f>
        <v>#DIV/0!</v>
      </c>
      <c r="M19" s="62">
        <f>MAX(M7:M18)</f>
        <v>0</v>
      </c>
      <c r="N19" s="62" t="e">
        <f>AVERAGE(N7:N18)</f>
        <v>#DIV/0!</v>
      </c>
      <c r="O19" s="62">
        <f>MAX(O7:O18)</f>
        <v>0</v>
      </c>
    </row>
    <row r="21" spans="1:15" ht="41.4" x14ac:dyDescent="0.25">
      <c r="J21" s="61">
        <f>+A6</f>
        <v>2022</v>
      </c>
      <c r="K21" s="61" t="s">
        <v>391</v>
      </c>
      <c r="L21" s="67" t="s">
        <v>386</v>
      </c>
      <c r="M21" s="67" t="s">
        <v>392</v>
      </c>
      <c r="N21" s="67" t="s">
        <v>389</v>
      </c>
      <c r="O21" s="67" t="s">
        <v>393</v>
      </c>
    </row>
    <row r="22" spans="1:15" x14ac:dyDescent="0.25">
      <c r="J22" s="355" t="s">
        <v>314</v>
      </c>
      <c r="K22" s="66" t="s">
        <v>394</v>
      </c>
      <c r="L22" s="64"/>
      <c r="M22" s="64"/>
      <c r="N22" s="64"/>
      <c r="O22" s="64"/>
    </row>
    <row r="23" spans="1:15" x14ac:dyDescent="0.25">
      <c r="J23" s="355"/>
      <c r="K23" s="66" t="s">
        <v>395</v>
      </c>
      <c r="L23" s="64"/>
      <c r="M23" s="64"/>
      <c r="N23" s="64"/>
      <c r="O23" s="64"/>
    </row>
    <row r="24" spans="1:15" x14ac:dyDescent="0.25">
      <c r="J24" s="355"/>
      <c r="K24" s="66" t="s">
        <v>396</v>
      </c>
      <c r="L24" s="64"/>
      <c r="M24" s="64"/>
      <c r="N24" s="64"/>
      <c r="O24" s="64"/>
    </row>
    <row r="25" spans="1:15" x14ac:dyDescent="0.25">
      <c r="J25" s="355"/>
      <c r="K25" s="66" t="s">
        <v>398</v>
      </c>
      <c r="L25" s="64"/>
      <c r="M25" s="64"/>
      <c r="N25" s="64"/>
      <c r="O25" s="64"/>
    </row>
    <row r="26" spans="1:15" x14ac:dyDescent="0.25">
      <c r="J26" s="355"/>
      <c r="K26" s="66" t="s">
        <v>400</v>
      </c>
      <c r="L26" s="64"/>
      <c r="M26" s="64"/>
      <c r="N26" s="64"/>
      <c r="O26" s="64"/>
    </row>
    <row r="27" spans="1:15" x14ac:dyDescent="0.25">
      <c r="J27" s="355"/>
      <c r="K27" s="66" t="s">
        <v>401</v>
      </c>
      <c r="L27" s="64"/>
      <c r="M27" s="64"/>
      <c r="N27" s="64"/>
      <c r="O27" s="64"/>
    </row>
    <row r="28" spans="1:15" x14ac:dyDescent="0.25">
      <c r="J28" s="355"/>
      <c r="K28" s="66" t="s">
        <v>402</v>
      </c>
      <c r="L28" s="64"/>
      <c r="M28" s="64"/>
      <c r="N28" s="64"/>
      <c r="O28" s="64"/>
    </row>
    <row r="29" spans="1:15" x14ac:dyDescent="0.25">
      <c r="J29" s="355"/>
      <c r="K29" s="66" t="s">
        <v>404</v>
      </c>
      <c r="L29" s="64"/>
      <c r="M29" s="64"/>
      <c r="N29" s="64"/>
      <c r="O29" s="64"/>
    </row>
    <row r="30" spans="1:15" x14ac:dyDescent="0.25">
      <c r="J30" s="355"/>
      <c r="K30" s="66" t="s">
        <v>405</v>
      </c>
      <c r="L30" s="64"/>
      <c r="M30" s="64"/>
      <c r="N30" s="64"/>
      <c r="O30" s="64"/>
    </row>
    <row r="31" spans="1:15" x14ac:dyDescent="0.25">
      <c r="J31" s="355"/>
      <c r="K31" s="66" t="s">
        <v>406</v>
      </c>
      <c r="L31" s="64"/>
      <c r="M31" s="64"/>
      <c r="N31" s="64"/>
      <c r="O31" s="64"/>
    </row>
    <row r="32" spans="1:15" x14ac:dyDescent="0.25">
      <c r="J32" s="355"/>
      <c r="K32" s="66" t="s">
        <v>407</v>
      </c>
      <c r="L32" s="64"/>
      <c r="M32" s="64"/>
      <c r="N32" s="64"/>
      <c r="O32" s="64"/>
    </row>
    <row r="33" spans="1:15" x14ac:dyDescent="0.25">
      <c r="J33" s="355"/>
      <c r="K33" s="66" t="s">
        <v>408</v>
      </c>
      <c r="L33" s="64"/>
      <c r="M33" s="64"/>
      <c r="N33" s="64"/>
      <c r="O33" s="64"/>
    </row>
    <row r="34" spans="1:15" x14ac:dyDescent="0.25">
      <c r="J34" s="355"/>
      <c r="K34" s="62" t="s">
        <v>409</v>
      </c>
      <c r="L34" s="62" t="e">
        <f>AVERAGE(L22:L33)</f>
        <v>#DIV/0!</v>
      </c>
      <c r="M34" s="62">
        <f>MAX(M22:M33)</f>
        <v>0</v>
      </c>
      <c r="N34" s="62" t="e">
        <f>AVERAGE(N22:N33)</f>
        <v>#DIV/0!</v>
      </c>
      <c r="O34" s="62">
        <f>MAX(O22:O33)</f>
        <v>0</v>
      </c>
    </row>
    <row r="36" spans="1:15" ht="41.4" x14ac:dyDescent="0.25">
      <c r="J36" s="61">
        <f>+A6</f>
        <v>2022</v>
      </c>
      <c r="K36" s="61" t="s">
        <v>391</v>
      </c>
      <c r="L36" s="67" t="s">
        <v>386</v>
      </c>
      <c r="M36" s="67" t="s">
        <v>392</v>
      </c>
      <c r="N36" s="67" t="s">
        <v>389</v>
      </c>
      <c r="O36" s="67" t="s">
        <v>393</v>
      </c>
    </row>
    <row r="37" spans="1:15" x14ac:dyDescent="0.25">
      <c r="J37" s="355" t="s">
        <v>315</v>
      </c>
      <c r="K37" s="66" t="s">
        <v>394</v>
      </c>
      <c r="L37" s="64"/>
      <c r="M37" s="64"/>
      <c r="N37" s="64"/>
      <c r="O37" s="64"/>
    </row>
    <row r="38" spans="1:15" x14ac:dyDescent="0.25">
      <c r="J38" s="355"/>
      <c r="K38" s="66" t="s">
        <v>395</v>
      </c>
      <c r="L38" s="64"/>
      <c r="M38" s="64"/>
      <c r="N38" s="64"/>
      <c r="O38" s="64"/>
    </row>
    <row r="39" spans="1:15" x14ac:dyDescent="0.25">
      <c r="J39" s="355"/>
      <c r="K39" s="66" t="s">
        <v>396</v>
      </c>
      <c r="L39" s="64"/>
      <c r="M39" s="64"/>
      <c r="N39" s="64"/>
      <c r="O39" s="64"/>
    </row>
    <row r="40" spans="1:15" x14ac:dyDescent="0.25">
      <c r="J40" s="355"/>
      <c r="K40" s="66" t="s">
        <v>398</v>
      </c>
      <c r="L40" s="64"/>
      <c r="M40" s="64"/>
      <c r="N40" s="64"/>
      <c r="O40" s="64"/>
    </row>
    <row r="41" spans="1:15" x14ac:dyDescent="0.25">
      <c r="J41" s="355"/>
      <c r="K41" s="66" t="s">
        <v>400</v>
      </c>
      <c r="L41" s="64"/>
      <c r="M41" s="64"/>
      <c r="N41" s="64"/>
      <c r="O41" s="64"/>
    </row>
    <row r="42" spans="1:15" x14ac:dyDescent="0.25">
      <c r="J42" s="355"/>
      <c r="K42" s="66" t="s">
        <v>401</v>
      </c>
      <c r="L42" s="64"/>
      <c r="M42" s="64"/>
      <c r="N42" s="64"/>
      <c r="O42" s="64"/>
    </row>
    <row r="43" spans="1:15" x14ac:dyDescent="0.25">
      <c r="J43" s="355"/>
      <c r="K43" s="66" t="s">
        <v>402</v>
      </c>
      <c r="L43" s="64"/>
      <c r="M43" s="64"/>
      <c r="N43" s="64"/>
      <c r="O43" s="64"/>
    </row>
    <row r="44" spans="1:15" x14ac:dyDescent="0.25">
      <c r="J44" s="355"/>
      <c r="K44" s="66" t="s">
        <v>404</v>
      </c>
      <c r="L44" s="64"/>
      <c r="M44" s="64"/>
      <c r="N44" s="64"/>
      <c r="O44" s="64"/>
    </row>
    <row r="45" spans="1:15" x14ac:dyDescent="0.25">
      <c r="J45" s="355"/>
      <c r="K45" s="66" t="s">
        <v>405</v>
      </c>
      <c r="L45" s="64"/>
      <c r="M45" s="64"/>
      <c r="N45" s="64"/>
      <c r="O45" s="64"/>
    </row>
    <row r="46" spans="1:15" x14ac:dyDescent="0.25">
      <c r="J46" s="355"/>
      <c r="K46" s="66" t="s">
        <v>406</v>
      </c>
      <c r="L46" s="64"/>
      <c r="M46" s="64"/>
      <c r="N46" s="64"/>
      <c r="O46" s="64"/>
    </row>
    <row r="47" spans="1:15" x14ac:dyDescent="0.25">
      <c r="J47" s="355"/>
      <c r="K47" s="66" t="s">
        <v>407</v>
      </c>
      <c r="L47" s="64"/>
      <c r="M47" s="64"/>
      <c r="N47" s="64"/>
      <c r="O47" s="64"/>
    </row>
    <row r="48" spans="1:15" x14ac:dyDescent="0.25">
      <c r="A48" s="367" t="s">
        <v>287</v>
      </c>
      <c r="B48" s="368"/>
      <c r="C48" s="368"/>
      <c r="D48" s="368"/>
      <c r="E48" s="368"/>
      <c r="F48" s="368"/>
      <c r="G48" s="369"/>
      <c r="J48" s="355"/>
      <c r="K48" s="66" t="s">
        <v>408</v>
      </c>
      <c r="L48" s="64"/>
      <c r="M48" s="64"/>
      <c r="N48" s="64"/>
      <c r="O48" s="64"/>
    </row>
    <row r="49" spans="1:15" x14ac:dyDescent="0.25">
      <c r="A49" s="358"/>
      <c r="B49" s="359"/>
      <c r="C49" s="359"/>
      <c r="D49" s="359"/>
      <c r="E49" s="359"/>
      <c r="F49" s="359"/>
      <c r="G49" s="360"/>
      <c r="J49" s="355"/>
      <c r="K49" s="62" t="s">
        <v>409</v>
      </c>
      <c r="L49" s="62" t="e">
        <f>AVERAGE(L37:L48)</f>
        <v>#DIV/0!</v>
      </c>
      <c r="M49" s="62">
        <f>MAX(M37:M48)</f>
        <v>0</v>
      </c>
      <c r="N49" s="62" t="e">
        <f>AVERAGE(N37:N48)</f>
        <v>#DIV/0!</v>
      </c>
      <c r="O49" s="62">
        <f>MAX(O37:O48)</f>
        <v>0</v>
      </c>
    </row>
    <row r="50" spans="1:15" x14ac:dyDescent="0.25">
      <c r="A50" s="361"/>
      <c r="B50" s="362"/>
      <c r="C50" s="362"/>
      <c r="D50" s="362"/>
      <c r="E50" s="362"/>
      <c r="F50" s="362"/>
      <c r="G50" s="363"/>
    </row>
    <row r="51" spans="1:15" ht="41.4" x14ac:dyDescent="0.25">
      <c r="A51" s="361"/>
      <c r="B51" s="362"/>
      <c r="C51" s="362"/>
      <c r="D51" s="362"/>
      <c r="E51" s="362"/>
      <c r="F51" s="362"/>
      <c r="G51" s="363"/>
      <c r="J51" s="61">
        <f>+A6</f>
        <v>2022</v>
      </c>
      <c r="K51" s="61" t="s">
        <v>391</v>
      </c>
      <c r="L51" s="67" t="s">
        <v>386</v>
      </c>
      <c r="M51" s="67" t="s">
        <v>392</v>
      </c>
      <c r="N51" s="67" t="s">
        <v>389</v>
      </c>
      <c r="O51" s="67" t="s">
        <v>393</v>
      </c>
    </row>
    <row r="52" spans="1:15" x14ac:dyDescent="0.25">
      <c r="A52" s="364"/>
      <c r="B52" s="365"/>
      <c r="C52" s="365"/>
      <c r="D52" s="365"/>
      <c r="E52" s="365"/>
      <c r="F52" s="365"/>
      <c r="G52" s="366"/>
      <c r="J52" s="355" t="s">
        <v>316</v>
      </c>
      <c r="K52" s="66" t="s">
        <v>394</v>
      </c>
      <c r="L52" s="64"/>
      <c r="M52" s="64"/>
      <c r="N52" s="64"/>
      <c r="O52" s="64"/>
    </row>
    <row r="53" spans="1:15" x14ac:dyDescent="0.25">
      <c r="J53" s="355"/>
      <c r="K53" s="66" t="s">
        <v>395</v>
      </c>
      <c r="L53" s="64"/>
      <c r="M53" s="64"/>
      <c r="N53" s="64"/>
      <c r="O53" s="64"/>
    </row>
    <row r="54" spans="1:15" x14ac:dyDescent="0.25">
      <c r="J54" s="355"/>
      <c r="K54" s="66" t="s">
        <v>396</v>
      </c>
      <c r="L54" s="64"/>
      <c r="M54" s="64"/>
      <c r="N54" s="64"/>
      <c r="O54" s="64"/>
    </row>
    <row r="55" spans="1:15" x14ac:dyDescent="0.25">
      <c r="J55" s="355"/>
      <c r="K55" s="66" t="s">
        <v>398</v>
      </c>
      <c r="L55" s="64"/>
      <c r="M55" s="64"/>
      <c r="N55" s="64"/>
      <c r="O55" s="64"/>
    </row>
    <row r="56" spans="1:15" x14ac:dyDescent="0.25">
      <c r="J56" s="355"/>
      <c r="K56" s="66" t="s">
        <v>400</v>
      </c>
      <c r="L56" s="64"/>
      <c r="M56" s="64"/>
      <c r="N56" s="64"/>
      <c r="O56" s="64"/>
    </row>
    <row r="57" spans="1:15" x14ac:dyDescent="0.25">
      <c r="J57" s="355"/>
      <c r="K57" s="66" t="s">
        <v>401</v>
      </c>
      <c r="L57" s="64"/>
      <c r="M57" s="64"/>
      <c r="N57" s="64"/>
      <c r="O57" s="64"/>
    </row>
    <row r="58" spans="1:15" x14ac:dyDescent="0.25">
      <c r="J58" s="355"/>
      <c r="K58" s="66" t="s">
        <v>402</v>
      </c>
      <c r="L58" s="64"/>
      <c r="M58" s="64"/>
      <c r="N58" s="64"/>
      <c r="O58" s="64"/>
    </row>
    <row r="59" spans="1:15" x14ac:dyDescent="0.25">
      <c r="J59" s="355"/>
      <c r="K59" s="66" t="s">
        <v>404</v>
      </c>
      <c r="L59" s="64"/>
      <c r="M59" s="64"/>
      <c r="N59" s="64"/>
      <c r="O59" s="64"/>
    </row>
    <row r="60" spans="1:15" x14ac:dyDescent="0.25">
      <c r="J60" s="355"/>
      <c r="K60" s="66" t="s">
        <v>405</v>
      </c>
      <c r="L60" s="64"/>
      <c r="M60" s="64"/>
      <c r="N60" s="64"/>
      <c r="O60" s="64"/>
    </row>
    <row r="61" spans="1:15" x14ac:dyDescent="0.25">
      <c r="J61" s="355"/>
      <c r="K61" s="66" t="s">
        <v>406</v>
      </c>
      <c r="L61" s="64"/>
      <c r="M61" s="64"/>
      <c r="N61" s="64"/>
      <c r="O61" s="64"/>
    </row>
    <row r="62" spans="1:15" x14ac:dyDescent="0.25">
      <c r="J62" s="355"/>
      <c r="K62" s="66" t="s">
        <v>407</v>
      </c>
      <c r="L62" s="64"/>
      <c r="M62" s="64"/>
      <c r="N62" s="64"/>
      <c r="O62" s="64"/>
    </row>
    <row r="63" spans="1:15" x14ac:dyDescent="0.25">
      <c r="J63" s="355"/>
      <c r="K63" s="66" t="s">
        <v>408</v>
      </c>
      <c r="L63" s="64"/>
      <c r="M63" s="64"/>
      <c r="N63" s="64"/>
      <c r="O63" s="64"/>
    </row>
    <row r="64" spans="1:15" x14ac:dyDescent="0.25">
      <c r="J64" s="355"/>
      <c r="K64" s="62" t="s">
        <v>409</v>
      </c>
      <c r="L64" s="62" t="e">
        <f>AVERAGE(L52:L63)</f>
        <v>#DIV/0!</v>
      </c>
      <c r="M64" s="62">
        <f>MAX(M52:M63)</f>
        <v>0</v>
      </c>
      <c r="N64" s="62" t="e">
        <f>AVERAGE(N52:N63)</f>
        <v>#DIV/0!</v>
      </c>
      <c r="O64" s="62">
        <f>MAX(O52:O63)</f>
        <v>0</v>
      </c>
    </row>
    <row r="66" spans="10:15" ht="41.4" x14ac:dyDescent="0.25">
      <c r="J66" s="61">
        <f>+A6</f>
        <v>2022</v>
      </c>
      <c r="K66" s="61" t="s">
        <v>391</v>
      </c>
      <c r="L66" s="67" t="s">
        <v>386</v>
      </c>
      <c r="M66" s="67" t="s">
        <v>392</v>
      </c>
      <c r="N66" s="67" t="s">
        <v>389</v>
      </c>
      <c r="O66" s="67" t="s">
        <v>393</v>
      </c>
    </row>
    <row r="67" spans="10:15" x14ac:dyDescent="0.25">
      <c r="J67" s="355" t="s">
        <v>317</v>
      </c>
      <c r="K67" s="66" t="s">
        <v>394</v>
      </c>
      <c r="L67" s="64"/>
      <c r="M67" s="64"/>
      <c r="N67" s="64"/>
      <c r="O67" s="64"/>
    </row>
    <row r="68" spans="10:15" x14ac:dyDescent="0.25">
      <c r="J68" s="355"/>
      <c r="K68" s="66" t="s">
        <v>395</v>
      </c>
      <c r="L68" s="64"/>
      <c r="M68" s="64"/>
      <c r="N68" s="64"/>
      <c r="O68" s="64"/>
    </row>
    <row r="69" spans="10:15" x14ac:dyDescent="0.25">
      <c r="J69" s="355"/>
      <c r="K69" s="66" t="s">
        <v>396</v>
      </c>
      <c r="L69" s="64"/>
      <c r="M69" s="64"/>
      <c r="N69" s="64"/>
      <c r="O69" s="64"/>
    </row>
    <row r="70" spans="10:15" x14ac:dyDescent="0.25">
      <c r="J70" s="355"/>
      <c r="K70" s="66" t="s">
        <v>398</v>
      </c>
      <c r="L70" s="64"/>
      <c r="M70" s="64"/>
      <c r="N70" s="64"/>
      <c r="O70" s="64"/>
    </row>
    <row r="71" spans="10:15" x14ac:dyDescent="0.25">
      <c r="J71" s="355"/>
      <c r="K71" s="66" t="s">
        <v>400</v>
      </c>
      <c r="L71" s="64"/>
      <c r="M71" s="64"/>
      <c r="N71" s="64"/>
      <c r="O71" s="64"/>
    </row>
    <row r="72" spans="10:15" x14ac:dyDescent="0.25">
      <c r="J72" s="355"/>
      <c r="K72" s="66" t="s">
        <v>401</v>
      </c>
      <c r="L72" s="64"/>
      <c r="M72" s="64"/>
      <c r="N72" s="64"/>
      <c r="O72" s="64"/>
    </row>
    <row r="73" spans="10:15" x14ac:dyDescent="0.25">
      <c r="J73" s="355"/>
      <c r="K73" s="66" t="s">
        <v>402</v>
      </c>
      <c r="L73" s="64"/>
      <c r="M73" s="64"/>
      <c r="N73" s="64"/>
      <c r="O73" s="64"/>
    </row>
    <row r="74" spans="10:15" x14ac:dyDescent="0.25">
      <c r="J74" s="355"/>
      <c r="K74" s="66" t="s">
        <v>404</v>
      </c>
      <c r="L74" s="64"/>
      <c r="M74" s="64"/>
      <c r="N74" s="64"/>
      <c r="O74" s="64"/>
    </row>
    <row r="75" spans="10:15" x14ac:dyDescent="0.25">
      <c r="J75" s="355"/>
      <c r="K75" s="66" t="s">
        <v>405</v>
      </c>
      <c r="L75" s="64"/>
      <c r="M75" s="64"/>
      <c r="N75" s="64"/>
      <c r="O75" s="64"/>
    </row>
    <row r="76" spans="10:15" x14ac:dyDescent="0.25">
      <c r="J76" s="355"/>
      <c r="K76" s="66" t="s">
        <v>406</v>
      </c>
      <c r="L76" s="64"/>
      <c r="M76" s="64"/>
      <c r="N76" s="64"/>
      <c r="O76" s="64"/>
    </row>
    <row r="77" spans="10:15" x14ac:dyDescent="0.25">
      <c r="J77" s="355"/>
      <c r="K77" s="66" t="s">
        <v>407</v>
      </c>
      <c r="L77" s="64"/>
      <c r="M77" s="64"/>
      <c r="N77" s="64"/>
      <c r="O77" s="64"/>
    </row>
    <row r="78" spans="10:15" x14ac:dyDescent="0.25">
      <c r="J78" s="355"/>
      <c r="K78" s="66" t="s">
        <v>408</v>
      </c>
      <c r="L78" s="64"/>
      <c r="M78" s="64"/>
      <c r="N78" s="64"/>
      <c r="O78" s="64"/>
    </row>
    <row r="79" spans="10:15" x14ac:dyDescent="0.25">
      <c r="J79" s="355"/>
      <c r="K79" s="62" t="s">
        <v>409</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7" fitToHeight="0" orientation="portrait" r:id="rId1"/>
  <headerFooter scaleWithDoc="0">
    <oddFooter>&amp;C&amp;"Arial,Regular"Page &amp;P</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rgb="FF92D050"/>
    <pageSetUpPr fitToPage="1"/>
  </sheetPr>
  <dimension ref="A1:U79"/>
  <sheetViews>
    <sheetView workbookViewId="0"/>
  </sheetViews>
  <sheetFormatPr defaultRowHeight="13.8" x14ac:dyDescent="0.25"/>
  <cols>
    <col min="1" max="1" width="14" style="3" customWidth="1"/>
    <col min="2" max="2" width="12.5546875" style="35" customWidth="1"/>
    <col min="3" max="3" width="15.44140625" style="35" customWidth="1"/>
    <col min="4" max="4" width="17.5546875" style="35" customWidth="1"/>
    <col min="5" max="5" width="14.5546875" style="35" customWidth="1"/>
    <col min="6" max="6" width="11.5546875" style="35" customWidth="1"/>
    <col min="7" max="7" width="15" style="35" customWidth="1"/>
    <col min="8" max="8" width="14.5546875" style="35" customWidth="1"/>
    <col min="9" max="12" width="9.44140625" style="3"/>
    <col min="13" max="13" width="15.44140625" style="3" customWidth="1"/>
    <col min="14" max="14" width="17.5546875" style="3" customWidth="1"/>
    <col min="15" max="15" width="17.44140625" style="3" bestFit="1" customWidth="1"/>
    <col min="16" max="16" width="13.5546875" style="3" customWidth="1"/>
    <col min="17" max="17" width="15" style="3" customWidth="1"/>
    <col min="18" max="20" width="9.44140625" style="3"/>
    <col min="21" max="21" width="22.44140625" style="3" customWidth="1"/>
    <col min="22" max="258" width="9.44140625" style="3"/>
    <col min="259" max="259" width="14" style="3" customWidth="1"/>
    <col min="260" max="265" width="10.44140625" style="3" customWidth="1"/>
    <col min="266" max="514" width="9.44140625" style="3"/>
    <col min="515" max="515" width="14" style="3" customWidth="1"/>
    <col min="516" max="521" width="10.44140625" style="3" customWidth="1"/>
    <col min="522" max="770" width="9.44140625" style="3"/>
    <col min="771" max="771" width="14" style="3" customWidth="1"/>
    <col min="772" max="777" width="10.44140625" style="3" customWidth="1"/>
    <col min="778" max="1026" width="9.44140625" style="3"/>
    <col min="1027" max="1027" width="14" style="3" customWidth="1"/>
    <col min="1028" max="1033" width="10.44140625" style="3" customWidth="1"/>
    <col min="1034" max="1282" width="9.44140625" style="3"/>
    <col min="1283" max="1283" width="14" style="3" customWidth="1"/>
    <col min="1284" max="1289" width="10.44140625" style="3" customWidth="1"/>
    <col min="1290" max="1538" width="9.44140625" style="3"/>
    <col min="1539" max="1539" width="14" style="3" customWidth="1"/>
    <col min="1540" max="1545" width="10.44140625" style="3" customWidth="1"/>
    <col min="1546" max="1794" width="9.44140625" style="3"/>
    <col min="1795" max="1795" width="14" style="3" customWidth="1"/>
    <col min="1796" max="1801" width="10.44140625" style="3" customWidth="1"/>
    <col min="1802" max="2050" width="9.44140625" style="3"/>
    <col min="2051" max="2051" width="14" style="3" customWidth="1"/>
    <col min="2052" max="2057" width="10.44140625" style="3" customWidth="1"/>
    <col min="2058" max="2306" width="9.44140625" style="3"/>
    <col min="2307" max="2307" width="14" style="3" customWidth="1"/>
    <col min="2308" max="2313" width="10.44140625" style="3" customWidth="1"/>
    <col min="2314" max="2562" width="9.44140625" style="3"/>
    <col min="2563" max="2563" width="14" style="3" customWidth="1"/>
    <col min="2564" max="2569" width="10.44140625" style="3" customWidth="1"/>
    <col min="2570" max="2818" width="9.44140625" style="3"/>
    <col min="2819" max="2819" width="14" style="3" customWidth="1"/>
    <col min="2820" max="2825" width="10.44140625" style="3" customWidth="1"/>
    <col min="2826" max="3074" width="9.44140625" style="3"/>
    <col min="3075" max="3075" width="14" style="3" customWidth="1"/>
    <col min="3076" max="3081" width="10.44140625" style="3" customWidth="1"/>
    <col min="3082" max="3330" width="9.44140625" style="3"/>
    <col min="3331" max="3331" width="14" style="3" customWidth="1"/>
    <col min="3332" max="3337" width="10.44140625" style="3" customWidth="1"/>
    <col min="3338" max="3586" width="9.44140625" style="3"/>
    <col min="3587" max="3587" width="14" style="3" customWidth="1"/>
    <col min="3588" max="3593" width="10.44140625" style="3" customWidth="1"/>
    <col min="3594" max="3842" width="9.44140625" style="3"/>
    <col min="3843" max="3843" width="14" style="3" customWidth="1"/>
    <col min="3844" max="3849" width="10.44140625" style="3" customWidth="1"/>
    <col min="3850" max="4098" width="9.44140625" style="3"/>
    <col min="4099" max="4099" width="14" style="3" customWidth="1"/>
    <col min="4100" max="4105" width="10.44140625" style="3" customWidth="1"/>
    <col min="4106" max="4354" width="9.44140625" style="3"/>
    <col min="4355" max="4355" width="14" style="3" customWidth="1"/>
    <col min="4356" max="4361" width="10.44140625" style="3" customWidth="1"/>
    <col min="4362" max="4610" width="9.44140625" style="3"/>
    <col min="4611" max="4611" width="14" style="3" customWidth="1"/>
    <col min="4612" max="4617" width="10.44140625" style="3" customWidth="1"/>
    <col min="4618" max="4866" width="9.44140625" style="3"/>
    <col min="4867" max="4867" width="14" style="3" customWidth="1"/>
    <col min="4868" max="4873" width="10.44140625" style="3" customWidth="1"/>
    <col min="4874" max="5122" width="9.44140625" style="3"/>
    <col min="5123" max="5123" width="14" style="3" customWidth="1"/>
    <col min="5124" max="5129" width="10.44140625" style="3" customWidth="1"/>
    <col min="5130" max="5378" width="9.44140625" style="3"/>
    <col min="5379" max="5379" width="14" style="3" customWidth="1"/>
    <col min="5380" max="5385" width="10.44140625" style="3" customWidth="1"/>
    <col min="5386" max="5634" width="9.44140625" style="3"/>
    <col min="5635" max="5635" width="14" style="3" customWidth="1"/>
    <col min="5636" max="5641" width="10.44140625" style="3" customWidth="1"/>
    <col min="5642" max="5890" width="9.44140625" style="3"/>
    <col min="5891" max="5891" width="14" style="3" customWidth="1"/>
    <col min="5892" max="5897" width="10.44140625" style="3" customWidth="1"/>
    <col min="5898" max="6146" width="9.44140625" style="3"/>
    <col min="6147" max="6147" width="14" style="3" customWidth="1"/>
    <col min="6148" max="6153" width="10.44140625" style="3" customWidth="1"/>
    <col min="6154" max="6402" width="9.44140625" style="3"/>
    <col min="6403" max="6403" width="14" style="3" customWidth="1"/>
    <col min="6404" max="6409" width="10.44140625" style="3" customWidth="1"/>
    <col min="6410" max="6658" width="9.44140625" style="3"/>
    <col min="6659" max="6659" width="14" style="3" customWidth="1"/>
    <col min="6660" max="6665" width="10.44140625" style="3" customWidth="1"/>
    <col min="6666" max="6914" width="9.44140625" style="3"/>
    <col min="6915" max="6915" width="14" style="3" customWidth="1"/>
    <col min="6916" max="6921" width="10.44140625" style="3" customWidth="1"/>
    <col min="6922" max="7170" width="9.44140625" style="3"/>
    <col min="7171" max="7171" width="14" style="3" customWidth="1"/>
    <col min="7172" max="7177" width="10.44140625" style="3" customWidth="1"/>
    <col min="7178" max="7426" width="9.44140625" style="3"/>
    <col min="7427" max="7427" width="14" style="3" customWidth="1"/>
    <col min="7428" max="7433" width="10.44140625" style="3" customWidth="1"/>
    <col min="7434" max="7682" width="9.44140625" style="3"/>
    <col min="7683" max="7683" width="14" style="3" customWidth="1"/>
    <col min="7684" max="7689" width="10.44140625" style="3" customWidth="1"/>
    <col min="7690" max="7938" width="9.44140625" style="3"/>
    <col min="7939" max="7939" width="14" style="3" customWidth="1"/>
    <col min="7940" max="7945" width="10.44140625" style="3" customWidth="1"/>
    <col min="7946" max="8194" width="9.44140625" style="3"/>
    <col min="8195" max="8195" width="14" style="3" customWidth="1"/>
    <col min="8196" max="8201" width="10.44140625" style="3" customWidth="1"/>
    <col min="8202" max="8450" width="9.44140625" style="3"/>
    <col min="8451" max="8451" width="14" style="3" customWidth="1"/>
    <col min="8452" max="8457" width="10.44140625" style="3" customWidth="1"/>
    <col min="8458" max="8706" width="9.44140625" style="3"/>
    <col min="8707" max="8707" width="14" style="3" customWidth="1"/>
    <col min="8708" max="8713" width="10.44140625" style="3" customWidth="1"/>
    <col min="8714" max="8962" width="9.44140625" style="3"/>
    <col min="8963" max="8963" width="14" style="3" customWidth="1"/>
    <col min="8964" max="8969" width="10.44140625" style="3" customWidth="1"/>
    <col min="8970" max="9218" width="9.44140625" style="3"/>
    <col min="9219" max="9219" width="14" style="3" customWidth="1"/>
    <col min="9220" max="9225" width="10.44140625" style="3" customWidth="1"/>
    <col min="9226" max="9474" width="9.44140625" style="3"/>
    <col min="9475" max="9475" width="14" style="3" customWidth="1"/>
    <col min="9476" max="9481" width="10.44140625" style="3" customWidth="1"/>
    <col min="9482" max="9730" width="9.44140625" style="3"/>
    <col min="9731" max="9731" width="14" style="3" customWidth="1"/>
    <col min="9732" max="9737" width="10.44140625" style="3" customWidth="1"/>
    <col min="9738" max="9986" width="9.44140625" style="3"/>
    <col min="9987" max="9987" width="14" style="3" customWidth="1"/>
    <col min="9988" max="9993" width="10.44140625" style="3" customWidth="1"/>
    <col min="9994" max="10242" width="9.44140625" style="3"/>
    <col min="10243" max="10243" width="14" style="3" customWidth="1"/>
    <col min="10244" max="10249" width="10.44140625" style="3" customWidth="1"/>
    <col min="10250" max="10498" width="9.44140625" style="3"/>
    <col min="10499" max="10499" width="14" style="3" customWidth="1"/>
    <col min="10500" max="10505" width="10.44140625" style="3" customWidth="1"/>
    <col min="10506" max="10754" width="9.44140625" style="3"/>
    <col min="10755" max="10755" width="14" style="3" customWidth="1"/>
    <col min="10756" max="10761" width="10.44140625" style="3" customWidth="1"/>
    <col min="10762" max="11010" width="9.44140625" style="3"/>
    <col min="11011" max="11011" width="14" style="3" customWidth="1"/>
    <col min="11012" max="11017" width="10.44140625" style="3" customWidth="1"/>
    <col min="11018" max="11266" width="9.44140625" style="3"/>
    <col min="11267" max="11267" width="14" style="3" customWidth="1"/>
    <col min="11268" max="11273" width="10.44140625" style="3" customWidth="1"/>
    <col min="11274" max="11522" width="9.44140625" style="3"/>
    <col min="11523" max="11523" width="14" style="3" customWidth="1"/>
    <col min="11524" max="11529" width="10.44140625" style="3" customWidth="1"/>
    <col min="11530" max="11778" width="9.44140625" style="3"/>
    <col min="11779" max="11779" width="14" style="3" customWidth="1"/>
    <col min="11780" max="11785" width="10.44140625" style="3" customWidth="1"/>
    <col min="11786" max="12034" width="9.44140625" style="3"/>
    <col min="12035" max="12035" width="14" style="3" customWidth="1"/>
    <col min="12036" max="12041" width="10.44140625" style="3" customWidth="1"/>
    <col min="12042" max="12290" width="9.44140625" style="3"/>
    <col min="12291" max="12291" width="14" style="3" customWidth="1"/>
    <col min="12292" max="12297" width="10.44140625" style="3" customWidth="1"/>
    <col min="12298" max="12546" width="9.44140625" style="3"/>
    <col min="12547" max="12547" width="14" style="3" customWidth="1"/>
    <col min="12548" max="12553" width="10.44140625" style="3" customWidth="1"/>
    <col min="12554" max="12802" width="9.44140625" style="3"/>
    <col min="12803" max="12803" width="14" style="3" customWidth="1"/>
    <col min="12804" max="12809" width="10.44140625" style="3" customWidth="1"/>
    <col min="12810" max="13058" width="9.44140625" style="3"/>
    <col min="13059" max="13059" width="14" style="3" customWidth="1"/>
    <col min="13060" max="13065" width="10.44140625" style="3" customWidth="1"/>
    <col min="13066" max="13314" width="9.44140625" style="3"/>
    <col min="13315" max="13315" width="14" style="3" customWidth="1"/>
    <col min="13316" max="13321" width="10.44140625" style="3" customWidth="1"/>
    <col min="13322" max="13570" width="9.44140625" style="3"/>
    <col min="13571" max="13571" width="14" style="3" customWidth="1"/>
    <col min="13572" max="13577" width="10.44140625" style="3" customWidth="1"/>
    <col min="13578" max="13826" width="9.44140625" style="3"/>
    <col min="13827" max="13827" width="14" style="3" customWidth="1"/>
    <col min="13828" max="13833" width="10.44140625" style="3" customWidth="1"/>
    <col min="13834" max="14082" width="9.44140625" style="3"/>
    <col min="14083" max="14083" width="14" style="3" customWidth="1"/>
    <col min="14084" max="14089" width="10.44140625" style="3" customWidth="1"/>
    <col min="14090" max="14338" width="9.44140625" style="3"/>
    <col min="14339" max="14339" width="14" style="3" customWidth="1"/>
    <col min="14340" max="14345" width="10.44140625" style="3" customWidth="1"/>
    <col min="14346" max="14594" width="9.44140625" style="3"/>
    <col min="14595" max="14595" width="14" style="3" customWidth="1"/>
    <col min="14596" max="14601" width="10.44140625" style="3" customWidth="1"/>
    <col min="14602" max="14850" width="9.44140625" style="3"/>
    <col min="14851" max="14851" width="14" style="3" customWidth="1"/>
    <col min="14852" max="14857" width="10.44140625" style="3" customWidth="1"/>
    <col min="14858" max="15106" width="9.44140625" style="3"/>
    <col min="15107" max="15107" width="14" style="3" customWidth="1"/>
    <col min="15108" max="15113" width="10.44140625" style="3" customWidth="1"/>
    <col min="15114" max="15362" width="9.44140625" style="3"/>
    <col min="15363" max="15363" width="14" style="3" customWidth="1"/>
    <col min="15364" max="15369" width="10.44140625" style="3" customWidth="1"/>
    <col min="15370" max="15618" width="9.44140625" style="3"/>
    <col min="15619" max="15619" width="14" style="3" customWidth="1"/>
    <col min="15620" max="15625" width="10.44140625" style="3" customWidth="1"/>
    <col min="15626" max="15874" width="9.44140625" style="3"/>
    <col min="15875" max="15875" width="14" style="3" customWidth="1"/>
    <col min="15876" max="15881" width="10.44140625" style="3" customWidth="1"/>
    <col min="15882" max="16130" width="9.44140625" style="3"/>
    <col min="16131" max="16131" width="14" style="3" customWidth="1"/>
    <col min="16132" max="16137" width="10.44140625" style="3" customWidth="1"/>
    <col min="16138" max="16384" width="9.44140625" style="3"/>
  </cols>
  <sheetData>
    <row r="1" spans="1:21" ht="15" x14ac:dyDescent="0.25">
      <c r="A1" s="93" t="str">
        <f>+'Cover Page'!$B$29</f>
        <v>Annual Performance Report 2022</v>
      </c>
      <c r="B1" s="93"/>
      <c r="C1" s="93"/>
      <c r="D1" s="93"/>
      <c r="E1" s="93" t="str">
        <f>+'Cover Page'!$B$33</f>
        <v>GLPP</v>
      </c>
    </row>
    <row r="3" spans="1:21" ht="14.4" x14ac:dyDescent="0.3">
      <c r="A3" s="60" t="s">
        <v>425</v>
      </c>
      <c r="E3" s="76" t="s">
        <v>378</v>
      </c>
      <c r="H3" s="80" t="s">
        <v>426</v>
      </c>
      <c r="J3" s="9" t="str">
        <f>+A3</f>
        <v>Monitoring of Carbon Monoxide (10-minute avg)</v>
      </c>
      <c r="L3" s="9"/>
      <c r="O3" s="9" t="s">
        <v>380</v>
      </c>
      <c r="Q3" s="77" t="s">
        <v>3</v>
      </c>
      <c r="S3" s="79" t="s">
        <v>3</v>
      </c>
      <c r="T3" s="74"/>
      <c r="U3" s="74"/>
    </row>
    <row r="4" spans="1:21" ht="14.1" customHeight="1" x14ac:dyDescent="0.25">
      <c r="S4" s="346" t="s">
        <v>427</v>
      </c>
      <c r="T4" s="346"/>
      <c r="U4" s="346"/>
    </row>
    <row r="5" spans="1:21" ht="16.2" x14ac:dyDescent="0.25">
      <c r="A5" s="68" t="s">
        <v>382</v>
      </c>
      <c r="B5" s="357" t="s">
        <v>428</v>
      </c>
      <c r="C5" s="357"/>
      <c r="D5" s="357"/>
      <c r="E5" s="357"/>
      <c r="F5" s="357" t="s">
        <v>384</v>
      </c>
      <c r="G5" s="357"/>
      <c r="H5" s="357"/>
      <c r="K5" s="356"/>
      <c r="L5" s="356"/>
      <c r="M5" s="356"/>
      <c r="N5" s="356"/>
      <c r="O5" s="356"/>
      <c r="P5" s="356"/>
      <c r="Q5" s="356"/>
      <c r="S5" s="346"/>
      <c r="T5" s="346"/>
      <c r="U5" s="346"/>
    </row>
    <row r="6" spans="1:21" s="58" customFormat="1" ht="37.5" customHeight="1" x14ac:dyDescent="0.3">
      <c r="A6" s="65">
        <f>+'Cover Page'!C39</f>
        <v>2022</v>
      </c>
      <c r="B6" s="55" t="s">
        <v>429</v>
      </c>
      <c r="C6" s="55" t="s">
        <v>430</v>
      </c>
      <c r="D6" s="55" t="s">
        <v>431</v>
      </c>
      <c r="E6" s="55" t="s">
        <v>432</v>
      </c>
      <c r="F6" s="55" t="s">
        <v>424</v>
      </c>
      <c r="G6" s="55" t="s">
        <v>389</v>
      </c>
      <c r="H6" s="55" t="s">
        <v>390</v>
      </c>
      <c r="I6" s="59"/>
      <c r="K6" s="61">
        <f>+A6</f>
        <v>2022</v>
      </c>
      <c r="L6" s="61" t="s">
        <v>391</v>
      </c>
      <c r="M6" s="55" t="s">
        <v>430</v>
      </c>
      <c r="N6" s="55" t="s">
        <v>431</v>
      </c>
      <c r="O6" s="55" t="s">
        <v>432</v>
      </c>
      <c r="P6" s="67" t="s">
        <v>389</v>
      </c>
      <c r="Q6" s="67" t="s">
        <v>393</v>
      </c>
      <c r="S6" s="346"/>
      <c r="T6" s="346"/>
      <c r="U6" s="346"/>
    </row>
    <row r="7" spans="1:21" x14ac:dyDescent="0.25">
      <c r="A7" s="66" t="s">
        <v>394</v>
      </c>
      <c r="B7" s="69">
        <v>150</v>
      </c>
      <c r="C7" s="64"/>
      <c r="D7" s="64"/>
      <c r="E7" s="64"/>
      <c r="F7" s="69">
        <v>50</v>
      </c>
      <c r="G7" s="64"/>
      <c r="H7" s="64"/>
      <c r="K7" s="355" t="s">
        <v>313</v>
      </c>
      <c r="L7" s="66" t="s">
        <v>394</v>
      </c>
      <c r="M7" s="64"/>
      <c r="N7" s="64"/>
      <c r="O7" s="64"/>
      <c r="P7" s="64"/>
      <c r="Q7" s="64"/>
      <c r="S7" s="346"/>
      <c r="T7" s="346"/>
      <c r="U7" s="346"/>
    </row>
    <row r="8" spans="1:21" x14ac:dyDescent="0.25">
      <c r="A8" s="66" t="s">
        <v>395</v>
      </c>
      <c r="B8" s="63">
        <f>+B7</f>
        <v>150</v>
      </c>
      <c r="C8" s="64"/>
      <c r="D8" s="64"/>
      <c r="E8" s="64"/>
      <c r="F8" s="63">
        <f>+F7</f>
        <v>50</v>
      </c>
      <c r="G8" s="64"/>
      <c r="H8" s="64"/>
      <c r="K8" s="355"/>
      <c r="L8" s="66" t="s">
        <v>395</v>
      </c>
      <c r="M8" s="64"/>
      <c r="N8" s="64"/>
      <c r="O8" s="64"/>
      <c r="P8" s="64"/>
      <c r="Q8" s="64"/>
      <c r="S8" s="346"/>
      <c r="T8" s="346"/>
      <c r="U8" s="346"/>
    </row>
    <row r="9" spans="1:21" x14ac:dyDescent="0.25">
      <c r="A9" s="66" t="s">
        <v>396</v>
      </c>
      <c r="B9" s="63">
        <f t="shared" ref="B9:B18" si="0">+B8</f>
        <v>150</v>
      </c>
      <c r="C9" s="64"/>
      <c r="D9" s="64"/>
      <c r="E9" s="64"/>
      <c r="F9" s="63">
        <f t="shared" ref="F9:F18" si="1">+F8</f>
        <v>50</v>
      </c>
      <c r="G9" s="64"/>
      <c r="H9" s="64"/>
      <c r="K9" s="355"/>
      <c r="L9" s="66" t="s">
        <v>396</v>
      </c>
      <c r="M9" s="64"/>
      <c r="N9" s="64"/>
      <c r="O9" s="64"/>
      <c r="P9" s="64"/>
      <c r="Q9" s="64"/>
      <c r="S9" s="78" t="s">
        <v>433</v>
      </c>
    </row>
    <row r="10" spans="1:21" x14ac:dyDescent="0.25">
      <c r="A10" s="66" t="s">
        <v>398</v>
      </c>
      <c r="B10" s="63">
        <f t="shared" si="0"/>
        <v>150</v>
      </c>
      <c r="C10" s="64"/>
      <c r="D10" s="64"/>
      <c r="E10" s="64"/>
      <c r="F10" s="63">
        <f t="shared" si="1"/>
        <v>50</v>
      </c>
      <c r="G10" s="64"/>
      <c r="H10" s="64"/>
      <c r="K10" s="355"/>
      <c r="L10" s="66" t="s">
        <v>398</v>
      </c>
      <c r="M10" s="64"/>
      <c r="N10" s="64"/>
      <c r="O10" s="64"/>
      <c r="P10" s="64"/>
      <c r="Q10" s="64"/>
      <c r="S10" s="354" t="s">
        <v>434</v>
      </c>
      <c r="T10" s="354"/>
      <c r="U10" s="354"/>
    </row>
    <row r="11" spans="1:21" x14ac:dyDescent="0.25">
      <c r="A11" s="66" t="s">
        <v>400</v>
      </c>
      <c r="B11" s="63">
        <f t="shared" si="0"/>
        <v>150</v>
      </c>
      <c r="C11" s="64"/>
      <c r="D11" s="64"/>
      <c r="E11" s="64"/>
      <c r="F11" s="63">
        <f t="shared" si="1"/>
        <v>50</v>
      </c>
      <c r="G11" s="64"/>
      <c r="H11" s="64"/>
      <c r="K11" s="355"/>
      <c r="L11" s="66" t="s">
        <v>400</v>
      </c>
      <c r="M11" s="64"/>
      <c r="N11" s="64"/>
      <c r="O11" s="64"/>
      <c r="P11" s="64"/>
      <c r="Q11" s="64"/>
      <c r="S11" s="354"/>
      <c r="T11" s="354"/>
      <c r="U11" s="354"/>
    </row>
    <row r="12" spans="1:21" x14ac:dyDescent="0.25">
      <c r="A12" s="66" t="s">
        <v>401</v>
      </c>
      <c r="B12" s="63">
        <f t="shared" si="0"/>
        <v>150</v>
      </c>
      <c r="C12" s="64"/>
      <c r="D12" s="64"/>
      <c r="E12" s="64"/>
      <c r="F12" s="63">
        <f t="shared" si="1"/>
        <v>50</v>
      </c>
      <c r="G12" s="64"/>
      <c r="H12" s="64"/>
      <c r="K12" s="355"/>
      <c r="L12" s="66" t="s">
        <v>401</v>
      </c>
      <c r="M12" s="64"/>
      <c r="N12" s="64"/>
      <c r="O12" s="64"/>
      <c r="P12" s="64"/>
      <c r="Q12" s="64"/>
      <c r="S12" s="354"/>
      <c r="T12" s="354"/>
      <c r="U12" s="354"/>
    </row>
    <row r="13" spans="1:21" x14ac:dyDescent="0.25">
      <c r="A13" s="66" t="s">
        <v>402</v>
      </c>
      <c r="B13" s="63">
        <f t="shared" si="0"/>
        <v>150</v>
      </c>
      <c r="C13" s="64"/>
      <c r="D13" s="64"/>
      <c r="E13" s="64"/>
      <c r="F13" s="63">
        <f t="shared" si="1"/>
        <v>50</v>
      </c>
      <c r="G13" s="64"/>
      <c r="H13" s="64"/>
      <c r="K13" s="355"/>
      <c r="L13" s="66" t="s">
        <v>402</v>
      </c>
      <c r="M13" s="64"/>
      <c r="N13" s="64"/>
      <c r="O13" s="64"/>
      <c r="P13" s="64"/>
      <c r="Q13" s="64"/>
      <c r="S13" s="354" t="s">
        <v>435</v>
      </c>
      <c r="T13" s="354"/>
      <c r="U13" s="354"/>
    </row>
    <row r="14" spans="1:21" x14ac:dyDescent="0.25">
      <c r="A14" s="66" t="s">
        <v>404</v>
      </c>
      <c r="B14" s="63">
        <f t="shared" si="0"/>
        <v>150</v>
      </c>
      <c r="C14" s="64"/>
      <c r="D14" s="64"/>
      <c r="E14" s="64"/>
      <c r="F14" s="63">
        <f t="shared" si="1"/>
        <v>50</v>
      </c>
      <c r="G14" s="64"/>
      <c r="H14" s="64"/>
      <c r="K14" s="355"/>
      <c r="L14" s="66" t="s">
        <v>404</v>
      </c>
      <c r="M14" s="64"/>
      <c r="N14" s="64"/>
      <c r="O14" s="64"/>
      <c r="P14" s="64"/>
      <c r="Q14" s="64"/>
      <c r="S14" s="354"/>
      <c r="T14" s="354"/>
      <c r="U14" s="354"/>
    </row>
    <row r="15" spans="1:21" x14ac:dyDescent="0.25">
      <c r="A15" s="66" t="s">
        <v>405</v>
      </c>
      <c r="B15" s="63">
        <f t="shared" si="0"/>
        <v>150</v>
      </c>
      <c r="C15" s="64"/>
      <c r="D15" s="64"/>
      <c r="E15" s="64"/>
      <c r="F15" s="63">
        <f t="shared" si="1"/>
        <v>50</v>
      </c>
      <c r="G15" s="64"/>
      <c r="H15" s="64"/>
      <c r="K15" s="355"/>
      <c r="L15" s="66" t="s">
        <v>405</v>
      </c>
      <c r="M15" s="64"/>
      <c r="N15" s="64"/>
      <c r="O15" s="64"/>
      <c r="P15" s="64"/>
      <c r="Q15" s="64"/>
      <c r="S15" s="354"/>
      <c r="T15" s="354"/>
      <c r="U15" s="354"/>
    </row>
    <row r="16" spans="1:21" x14ac:dyDescent="0.25">
      <c r="A16" s="66" t="s">
        <v>406</v>
      </c>
      <c r="B16" s="63">
        <f t="shared" si="0"/>
        <v>150</v>
      </c>
      <c r="C16" s="64"/>
      <c r="D16" s="64"/>
      <c r="E16" s="64"/>
      <c r="F16" s="63">
        <f t="shared" si="1"/>
        <v>50</v>
      </c>
      <c r="G16" s="64"/>
      <c r="H16" s="64"/>
      <c r="K16" s="355"/>
      <c r="L16" s="66" t="s">
        <v>406</v>
      </c>
      <c r="M16" s="64"/>
      <c r="N16" s="64"/>
      <c r="O16" s="64"/>
      <c r="P16" s="64"/>
      <c r="Q16" s="64"/>
      <c r="S16" s="354"/>
      <c r="T16" s="354"/>
      <c r="U16" s="354"/>
    </row>
    <row r="17" spans="1:17" x14ac:dyDescent="0.25">
      <c r="A17" s="66" t="s">
        <v>407</v>
      </c>
      <c r="B17" s="63">
        <f t="shared" si="0"/>
        <v>150</v>
      </c>
      <c r="C17" s="64"/>
      <c r="D17" s="64"/>
      <c r="E17" s="64"/>
      <c r="F17" s="63">
        <f t="shared" si="1"/>
        <v>50</v>
      </c>
      <c r="G17" s="64"/>
      <c r="H17" s="64"/>
      <c r="K17" s="355"/>
      <c r="L17" s="66" t="s">
        <v>407</v>
      </c>
      <c r="M17" s="64"/>
      <c r="N17" s="64"/>
      <c r="O17" s="64"/>
      <c r="P17" s="64"/>
      <c r="Q17" s="64"/>
    </row>
    <row r="18" spans="1:17" x14ac:dyDescent="0.25">
      <c r="A18" s="66" t="s">
        <v>408</v>
      </c>
      <c r="B18" s="63">
        <f t="shared" si="0"/>
        <v>150</v>
      </c>
      <c r="C18" s="64"/>
      <c r="D18" s="64"/>
      <c r="E18" s="64"/>
      <c r="F18" s="63">
        <f t="shared" si="1"/>
        <v>50</v>
      </c>
      <c r="G18" s="64"/>
      <c r="H18" s="64"/>
      <c r="K18" s="355"/>
      <c r="L18" s="66" t="s">
        <v>408</v>
      </c>
      <c r="M18" s="64"/>
      <c r="N18" s="64"/>
      <c r="O18" s="64"/>
      <c r="P18" s="64"/>
      <c r="Q18" s="64"/>
    </row>
    <row r="19" spans="1:17" x14ac:dyDescent="0.25">
      <c r="K19" s="355"/>
      <c r="L19" s="62" t="s">
        <v>409</v>
      </c>
      <c r="M19" s="62" t="e">
        <f>AVERAGE(M7:M18)</f>
        <v>#DIV/0!</v>
      </c>
      <c r="N19" s="62"/>
      <c r="O19" s="62">
        <f>MAX(O7:O18)</f>
        <v>0</v>
      </c>
      <c r="P19" s="62" t="e">
        <f>AVERAGE(P7:P18)</f>
        <v>#DIV/0!</v>
      </c>
      <c r="Q19" s="62">
        <f>MAX(Q7:Q18)</f>
        <v>0</v>
      </c>
    </row>
    <row r="21" spans="1:17" ht="27.6" x14ac:dyDescent="0.25">
      <c r="K21" s="61">
        <f>+A6</f>
        <v>2022</v>
      </c>
      <c r="L21" s="61" t="s">
        <v>391</v>
      </c>
      <c r="M21" s="55" t="s">
        <v>430</v>
      </c>
      <c r="N21" s="55" t="s">
        <v>431</v>
      </c>
      <c r="O21" s="55" t="s">
        <v>432</v>
      </c>
      <c r="P21" s="67" t="s">
        <v>389</v>
      </c>
      <c r="Q21" s="67" t="s">
        <v>393</v>
      </c>
    </row>
    <row r="22" spans="1:17" x14ac:dyDescent="0.25">
      <c r="K22" s="355" t="s">
        <v>314</v>
      </c>
      <c r="L22" s="66" t="s">
        <v>394</v>
      </c>
      <c r="M22" s="64"/>
      <c r="N22" s="64"/>
      <c r="O22" s="64"/>
      <c r="P22" s="64"/>
      <c r="Q22" s="64"/>
    </row>
    <row r="23" spans="1:17" x14ac:dyDescent="0.25">
      <c r="K23" s="355"/>
      <c r="L23" s="66" t="s">
        <v>395</v>
      </c>
      <c r="M23" s="64"/>
      <c r="N23" s="64"/>
      <c r="O23" s="64"/>
      <c r="P23" s="64"/>
      <c r="Q23" s="64"/>
    </row>
    <row r="24" spans="1:17" x14ac:dyDescent="0.25">
      <c r="K24" s="355"/>
      <c r="L24" s="66" t="s">
        <v>396</v>
      </c>
      <c r="M24" s="64"/>
      <c r="N24" s="64"/>
      <c r="O24" s="64"/>
      <c r="P24" s="64"/>
      <c r="Q24" s="64"/>
    </row>
    <row r="25" spans="1:17" x14ac:dyDescent="0.25">
      <c r="K25" s="355"/>
      <c r="L25" s="66" t="s">
        <v>398</v>
      </c>
      <c r="M25" s="64"/>
      <c r="N25" s="64"/>
      <c r="O25" s="64"/>
      <c r="P25" s="64"/>
      <c r="Q25" s="64"/>
    </row>
    <row r="26" spans="1:17" x14ac:dyDescent="0.25">
      <c r="K26" s="355"/>
      <c r="L26" s="66" t="s">
        <v>400</v>
      </c>
      <c r="M26" s="64"/>
      <c r="N26" s="64"/>
      <c r="O26" s="64"/>
      <c r="P26" s="64"/>
      <c r="Q26" s="64"/>
    </row>
    <row r="27" spans="1:17" x14ac:dyDescent="0.25">
      <c r="K27" s="355"/>
      <c r="L27" s="66" t="s">
        <v>401</v>
      </c>
      <c r="M27" s="64"/>
      <c r="N27" s="64"/>
      <c r="O27" s="64"/>
      <c r="P27" s="64"/>
      <c r="Q27" s="64"/>
    </row>
    <row r="28" spans="1:17" x14ac:dyDescent="0.25">
      <c r="K28" s="355"/>
      <c r="L28" s="66" t="s">
        <v>402</v>
      </c>
      <c r="M28" s="64"/>
      <c r="N28" s="64"/>
      <c r="O28" s="64"/>
      <c r="P28" s="64"/>
      <c r="Q28" s="64"/>
    </row>
    <row r="29" spans="1:17" x14ac:dyDescent="0.25">
      <c r="K29" s="355"/>
      <c r="L29" s="66" t="s">
        <v>404</v>
      </c>
      <c r="M29" s="64"/>
      <c r="N29" s="64"/>
      <c r="O29" s="64"/>
      <c r="P29" s="64"/>
      <c r="Q29" s="64"/>
    </row>
    <row r="30" spans="1:17" x14ac:dyDescent="0.25">
      <c r="K30" s="355"/>
      <c r="L30" s="66" t="s">
        <v>405</v>
      </c>
      <c r="M30" s="64"/>
      <c r="N30" s="64"/>
      <c r="O30" s="64"/>
      <c r="P30" s="64"/>
      <c r="Q30" s="64"/>
    </row>
    <row r="31" spans="1:17" x14ac:dyDescent="0.25">
      <c r="K31" s="355"/>
      <c r="L31" s="66" t="s">
        <v>406</v>
      </c>
      <c r="M31" s="64"/>
      <c r="N31" s="64"/>
      <c r="O31" s="64"/>
      <c r="P31" s="64"/>
      <c r="Q31" s="64"/>
    </row>
    <row r="32" spans="1:17" x14ac:dyDescent="0.25">
      <c r="K32" s="355"/>
      <c r="L32" s="66" t="s">
        <v>407</v>
      </c>
      <c r="M32" s="64"/>
      <c r="N32" s="64"/>
      <c r="O32" s="64"/>
      <c r="P32" s="64"/>
      <c r="Q32" s="64"/>
    </row>
    <row r="33" spans="1:17" x14ac:dyDescent="0.25">
      <c r="K33" s="355"/>
      <c r="L33" s="66" t="s">
        <v>408</v>
      </c>
      <c r="M33" s="64"/>
      <c r="N33" s="64"/>
      <c r="O33" s="64"/>
      <c r="P33" s="64"/>
      <c r="Q33" s="64"/>
    </row>
    <row r="34" spans="1:17" x14ac:dyDescent="0.25">
      <c r="K34" s="355"/>
      <c r="L34" s="62" t="s">
        <v>409</v>
      </c>
      <c r="M34" s="62" t="e">
        <f>AVERAGE(M22:M33)</f>
        <v>#DIV/0!</v>
      </c>
      <c r="N34" s="62"/>
      <c r="O34" s="62">
        <f>MAX(O22:O33)</f>
        <v>0</v>
      </c>
      <c r="P34" s="62" t="e">
        <f>AVERAGE(P22:P33)</f>
        <v>#DIV/0!</v>
      </c>
      <c r="Q34" s="62">
        <f>MAX(Q22:Q33)</f>
        <v>0</v>
      </c>
    </row>
    <row r="36" spans="1:17" ht="27.6" x14ac:dyDescent="0.25">
      <c r="K36" s="61">
        <f>+A6</f>
        <v>2022</v>
      </c>
      <c r="L36" s="61" t="s">
        <v>391</v>
      </c>
      <c r="M36" s="55" t="s">
        <v>430</v>
      </c>
      <c r="N36" s="55" t="s">
        <v>431</v>
      </c>
      <c r="O36" s="55" t="s">
        <v>432</v>
      </c>
      <c r="P36" s="67" t="s">
        <v>389</v>
      </c>
      <c r="Q36" s="67" t="s">
        <v>393</v>
      </c>
    </row>
    <row r="37" spans="1:17" x14ac:dyDescent="0.25">
      <c r="K37" s="355" t="s">
        <v>315</v>
      </c>
      <c r="L37" s="66" t="s">
        <v>394</v>
      </c>
      <c r="M37" s="64"/>
      <c r="N37" s="64"/>
      <c r="O37" s="64"/>
      <c r="P37" s="64"/>
      <c r="Q37" s="64"/>
    </row>
    <row r="38" spans="1:17" x14ac:dyDescent="0.25">
      <c r="K38" s="355"/>
      <c r="L38" s="66" t="s">
        <v>395</v>
      </c>
      <c r="M38" s="64"/>
      <c r="N38" s="64"/>
      <c r="O38" s="64"/>
      <c r="P38" s="64"/>
      <c r="Q38" s="64"/>
    </row>
    <row r="39" spans="1:17" x14ac:dyDescent="0.25">
      <c r="K39" s="355"/>
      <c r="L39" s="66" t="s">
        <v>396</v>
      </c>
      <c r="M39" s="64"/>
      <c r="N39" s="64"/>
      <c r="O39" s="64"/>
      <c r="P39" s="64"/>
      <c r="Q39" s="64"/>
    </row>
    <row r="40" spans="1:17" x14ac:dyDescent="0.25">
      <c r="K40" s="355"/>
      <c r="L40" s="66" t="s">
        <v>398</v>
      </c>
      <c r="M40" s="64"/>
      <c r="N40" s="64"/>
      <c r="O40" s="64"/>
      <c r="P40" s="64"/>
      <c r="Q40" s="64"/>
    </row>
    <row r="41" spans="1:17" x14ac:dyDescent="0.25">
      <c r="K41" s="355"/>
      <c r="L41" s="66" t="s">
        <v>400</v>
      </c>
      <c r="M41" s="64"/>
      <c r="N41" s="64"/>
      <c r="O41" s="64"/>
      <c r="P41" s="64"/>
      <c r="Q41" s="64"/>
    </row>
    <row r="42" spans="1:17" x14ac:dyDescent="0.25">
      <c r="K42" s="355"/>
      <c r="L42" s="66" t="s">
        <v>401</v>
      </c>
      <c r="M42" s="64"/>
      <c r="N42" s="64"/>
      <c r="O42" s="64"/>
      <c r="P42" s="64"/>
      <c r="Q42" s="64"/>
    </row>
    <row r="43" spans="1:17" x14ac:dyDescent="0.25">
      <c r="K43" s="355"/>
      <c r="L43" s="66" t="s">
        <v>402</v>
      </c>
      <c r="M43" s="64"/>
      <c r="N43" s="64"/>
      <c r="O43" s="64"/>
      <c r="P43" s="64"/>
      <c r="Q43" s="64"/>
    </row>
    <row r="44" spans="1:17" x14ac:dyDescent="0.25">
      <c r="K44" s="355"/>
      <c r="L44" s="66" t="s">
        <v>404</v>
      </c>
      <c r="M44" s="64"/>
      <c r="N44" s="64"/>
      <c r="O44" s="64"/>
      <c r="P44" s="64"/>
      <c r="Q44" s="64"/>
    </row>
    <row r="45" spans="1:17" x14ac:dyDescent="0.25">
      <c r="K45" s="355"/>
      <c r="L45" s="66" t="s">
        <v>405</v>
      </c>
      <c r="M45" s="64"/>
      <c r="N45" s="64"/>
      <c r="O45" s="64"/>
      <c r="P45" s="64"/>
      <c r="Q45" s="64"/>
    </row>
    <row r="46" spans="1:17" x14ac:dyDescent="0.25">
      <c r="K46" s="355"/>
      <c r="L46" s="66" t="s">
        <v>406</v>
      </c>
      <c r="M46" s="64"/>
      <c r="N46" s="64"/>
      <c r="O46" s="64"/>
      <c r="P46" s="64"/>
      <c r="Q46" s="64"/>
    </row>
    <row r="47" spans="1:17" x14ac:dyDescent="0.25">
      <c r="K47" s="355"/>
      <c r="L47" s="66" t="s">
        <v>407</v>
      </c>
      <c r="M47" s="64"/>
      <c r="N47" s="64"/>
      <c r="O47" s="64"/>
      <c r="P47" s="64"/>
      <c r="Q47" s="64"/>
    </row>
    <row r="48" spans="1:17" x14ac:dyDescent="0.25">
      <c r="A48" s="367" t="s">
        <v>287</v>
      </c>
      <c r="B48" s="368"/>
      <c r="C48" s="368"/>
      <c r="D48" s="368"/>
      <c r="E48" s="368"/>
      <c r="F48" s="368"/>
      <c r="G48" s="368"/>
      <c r="H48" s="369"/>
      <c r="K48" s="355"/>
      <c r="L48" s="66" t="s">
        <v>408</v>
      </c>
      <c r="M48" s="64"/>
      <c r="N48" s="64"/>
      <c r="O48" s="64"/>
      <c r="P48" s="64"/>
      <c r="Q48" s="64"/>
    </row>
    <row r="49" spans="1:17" x14ac:dyDescent="0.25">
      <c r="A49" s="370" t="s">
        <v>436</v>
      </c>
      <c r="B49" s="371"/>
      <c r="C49" s="371"/>
      <c r="D49" s="371"/>
      <c r="E49" s="371"/>
      <c r="F49" s="371"/>
      <c r="G49" s="371"/>
      <c r="H49" s="372"/>
      <c r="K49" s="355"/>
      <c r="L49" s="62" t="s">
        <v>409</v>
      </c>
      <c r="M49" s="62" t="e">
        <f>AVERAGE(M37:M48)</f>
        <v>#DIV/0!</v>
      </c>
      <c r="N49" s="62"/>
      <c r="O49" s="62">
        <f>MAX(O37:O48)</f>
        <v>0</v>
      </c>
      <c r="P49" s="62" t="e">
        <f>AVERAGE(P37:P48)</f>
        <v>#DIV/0!</v>
      </c>
      <c r="Q49" s="62">
        <f>MAX(Q37:Q48)</f>
        <v>0</v>
      </c>
    </row>
    <row r="50" spans="1:17" x14ac:dyDescent="0.25">
      <c r="A50" s="373"/>
      <c r="B50" s="374"/>
      <c r="C50" s="374"/>
      <c r="D50" s="374"/>
      <c r="E50" s="374"/>
      <c r="F50" s="374"/>
      <c r="G50" s="374"/>
      <c r="H50" s="375"/>
    </row>
    <row r="51" spans="1:17" ht="27.6" x14ac:dyDescent="0.25">
      <c r="A51" s="373"/>
      <c r="B51" s="374"/>
      <c r="C51" s="374"/>
      <c r="D51" s="374"/>
      <c r="E51" s="374"/>
      <c r="F51" s="374"/>
      <c r="G51" s="374"/>
      <c r="H51" s="375"/>
      <c r="K51" s="61">
        <f>+A6</f>
        <v>2022</v>
      </c>
      <c r="L51" s="61" t="s">
        <v>391</v>
      </c>
      <c r="M51" s="55" t="s">
        <v>430</v>
      </c>
      <c r="N51" s="55" t="s">
        <v>431</v>
      </c>
      <c r="O51" s="55" t="s">
        <v>432</v>
      </c>
      <c r="P51" s="67" t="s">
        <v>389</v>
      </c>
      <c r="Q51" s="67" t="s">
        <v>393</v>
      </c>
    </row>
    <row r="52" spans="1:17" x14ac:dyDescent="0.25">
      <c r="A52" s="376"/>
      <c r="B52" s="377"/>
      <c r="C52" s="377"/>
      <c r="D52" s="377"/>
      <c r="E52" s="377"/>
      <c r="F52" s="377"/>
      <c r="G52" s="377"/>
      <c r="H52" s="378"/>
      <c r="K52" s="355" t="s">
        <v>316</v>
      </c>
      <c r="L52" s="66" t="s">
        <v>394</v>
      </c>
      <c r="M52" s="64"/>
      <c r="N52" s="64"/>
      <c r="O52" s="64"/>
      <c r="P52" s="64"/>
      <c r="Q52" s="64"/>
    </row>
    <row r="53" spans="1:17" x14ac:dyDescent="0.25">
      <c r="K53" s="355"/>
      <c r="L53" s="66" t="s">
        <v>395</v>
      </c>
      <c r="M53" s="64"/>
      <c r="N53" s="64"/>
      <c r="O53" s="64"/>
      <c r="P53" s="64"/>
      <c r="Q53" s="64"/>
    </row>
    <row r="54" spans="1:17" x14ac:dyDescent="0.25">
      <c r="K54" s="355"/>
      <c r="L54" s="66" t="s">
        <v>396</v>
      </c>
      <c r="M54" s="64"/>
      <c r="N54" s="64"/>
      <c r="O54" s="64"/>
      <c r="P54" s="64"/>
      <c r="Q54" s="64"/>
    </row>
    <row r="55" spans="1:17" x14ac:dyDescent="0.25">
      <c r="K55" s="355"/>
      <c r="L55" s="66" t="s">
        <v>398</v>
      </c>
      <c r="M55" s="64"/>
      <c r="N55" s="64"/>
      <c r="O55" s="64"/>
      <c r="P55" s="64"/>
      <c r="Q55" s="64"/>
    </row>
    <row r="56" spans="1:17" x14ac:dyDescent="0.25">
      <c r="K56" s="355"/>
      <c r="L56" s="66" t="s">
        <v>400</v>
      </c>
      <c r="M56" s="64"/>
      <c r="N56" s="64"/>
      <c r="O56" s="64"/>
      <c r="P56" s="64"/>
      <c r="Q56" s="64"/>
    </row>
    <row r="57" spans="1:17" x14ac:dyDescent="0.25">
      <c r="K57" s="355"/>
      <c r="L57" s="66" t="s">
        <v>401</v>
      </c>
      <c r="M57" s="64"/>
      <c r="N57" s="64"/>
      <c r="O57" s="64"/>
      <c r="P57" s="64"/>
      <c r="Q57" s="64"/>
    </row>
    <row r="58" spans="1:17" x14ac:dyDescent="0.25">
      <c r="K58" s="355"/>
      <c r="L58" s="66" t="s">
        <v>402</v>
      </c>
      <c r="M58" s="64"/>
      <c r="N58" s="64"/>
      <c r="O58" s="64"/>
      <c r="P58" s="64"/>
      <c r="Q58" s="64"/>
    </row>
    <row r="59" spans="1:17" x14ac:dyDescent="0.25">
      <c r="K59" s="355"/>
      <c r="L59" s="66" t="s">
        <v>404</v>
      </c>
      <c r="M59" s="64"/>
      <c r="N59" s="64"/>
      <c r="O59" s="64"/>
      <c r="P59" s="64"/>
      <c r="Q59" s="64"/>
    </row>
    <row r="60" spans="1:17" x14ac:dyDescent="0.25">
      <c r="K60" s="355"/>
      <c r="L60" s="66" t="s">
        <v>405</v>
      </c>
      <c r="M60" s="64"/>
      <c r="N60" s="64"/>
      <c r="O60" s="64"/>
      <c r="P60" s="64"/>
      <c r="Q60" s="64"/>
    </row>
    <row r="61" spans="1:17" x14ac:dyDescent="0.25">
      <c r="K61" s="355"/>
      <c r="L61" s="66" t="s">
        <v>406</v>
      </c>
      <c r="M61" s="64"/>
      <c r="N61" s="64"/>
      <c r="O61" s="64"/>
      <c r="P61" s="64"/>
      <c r="Q61" s="64"/>
    </row>
    <row r="62" spans="1:17" x14ac:dyDescent="0.25">
      <c r="K62" s="355"/>
      <c r="L62" s="66" t="s">
        <v>407</v>
      </c>
      <c r="M62" s="64"/>
      <c r="N62" s="64"/>
      <c r="O62" s="64"/>
      <c r="P62" s="64"/>
      <c r="Q62" s="64"/>
    </row>
    <row r="63" spans="1:17" x14ac:dyDescent="0.25">
      <c r="K63" s="355"/>
      <c r="L63" s="66" t="s">
        <v>408</v>
      </c>
      <c r="M63" s="64"/>
      <c r="N63" s="64"/>
      <c r="O63" s="64"/>
      <c r="P63" s="64"/>
      <c r="Q63" s="64"/>
    </row>
    <row r="64" spans="1:17" x14ac:dyDescent="0.25">
      <c r="K64" s="355"/>
      <c r="L64" s="62" t="s">
        <v>409</v>
      </c>
      <c r="M64" s="62" t="e">
        <f>AVERAGE(M52:M63)</f>
        <v>#DIV/0!</v>
      </c>
      <c r="N64" s="62"/>
      <c r="O64" s="62">
        <f>MAX(O52:O63)</f>
        <v>0</v>
      </c>
      <c r="P64" s="62" t="e">
        <f>AVERAGE(P52:P63)</f>
        <v>#DIV/0!</v>
      </c>
      <c r="Q64" s="62">
        <f>MAX(Q52:Q63)</f>
        <v>0</v>
      </c>
    </row>
    <row r="66" spans="11:17" ht="27.6" x14ac:dyDescent="0.25">
      <c r="K66" s="61">
        <f>+A6</f>
        <v>2022</v>
      </c>
      <c r="L66" s="61" t="s">
        <v>391</v>
      </c>
      <c r="M66" s="55" t="s">
        <v>430</v>
      </c>
      <c r="N66" s="55" t="s">
        <v>431</v>
      </c>
      <c r="O66" s="55" t="s">
        <v>432</v>
      </c>
      <c r="P66" s="67" t="s">
        <v>389</v>
      </c>
      <c r="Q66" s="67" t="s">
        <v>393</v>
      </c>
    </row>
    <row r="67" spans="11:17" x14ac:dyDescent="0.25">
      <c r="K67" s="355" t="s">
        <v>317</v>
      </c>
      <c r="L67" s="66" t="s">
        <v>394</v>
      </c>
      <c r="M67" s="64"/>
      <c r="N67" s="64"/>
      <c r="O67" s="64"/>
      <c r="P67" s="64"/>
      <c r="Q67" s="64"/>
    </row>
    <row r="68" spans="11:17" x14ac:dyDescent="0.25">
      <c r="K68" s="355"/>
      <c r="L68" s="66" t="s">
        <v>395</v>
      </c>
      <c r="M68" s="64"/>
      <c r="N68" s="64"/>
      <c r="O68" s="64"/>
      <c r="P68" s="64"/>
      <c r="Q68" s="64"/>
    </row>
    <row r="69" spans="11:17" x14ac:dyDescent="0.25">
      <c r="K69" s="355"/>
      <c r="L69" s="66" t="s">
        <v>396</v>
      </c>
      <c r="M69" s="64"/>
      <c r="N69" s="64"/>
      <c r="O69" s="64"/>
      <c r="P69" s="64"/>
      <c r="Q69" s="64"/>
    </row>
    <row r="70" spans="11:17" x14ac:dyDescent="0.25">
      <c r="K70" s="355"/>
      <c r="L70" s="66" t="s">
        <v>398</v>
      </c>
      <c r="M70" s="64"/>
      <c r="N70" s="64"/>
      <c r="O70" s="64"/>
      <c r="P70" s="64"/>
      <c r="Q70" s="64"/>
    </row>
    <row r="71" spans="11:17" x14ac:dyDescent="0.25">
      <c r="K71" s="355"/>
      <c r="L71" s="66" t="s">
        <v>400</v>
      </c>
      <c r="M71" s="64"/>
      <c r="N71" s="64"/>
      <c r="O71" s="64"/>
      <c r="P71" s="64"/>
      <c r="Q71" s="64"/>
    </row>
    <row r="72" spans="11:17" x14ac:dyDescent="0.25">
      <c r="K72" s="355"/>
      <c r="L72" s="66" t="s">
        <v>401</v>
      </c>
      <c r="M72" s="64"/>
      <c r="N72" s="64"/>
      <c r="O72" s="64"/>
      <c r="P72" s="64"/>
      <c r="Q72" s="64"/>
    </row>
    <row r="73" spans="11:17" x14ac:dyDescent="0.25">
      <c r="K73" s="355"/>
      <c r="L73" s="66" t="s">
        <v>402</v>
      </c>
      <c r="M73" s="64"/>
      <c r="N73" s="64"/>
      <c r="O73" s="64"/>
      <c r="P73" s="64"/>
      <c r="Q73" s="64"/>
    </row>
    <row r="74" spans="11:17" x14ac:dyDescent="0.25">
      <c r="K74" s="355"/>
      <c r="L74" s="66" t="s">
        <v>404</v>
      </c>
      <c r="M74" s="64"/>
      <c r="N74" s="64"/>
      <c r="O74" s="64"/>
      <c r="P74" s="64"/>
      <c r="Q74" s="64"/>
    </row>
    <row r="75" spans="11:17" x14ac:dyDescent="0.25">
      <c r="K75" s="355"/>
      <c r="L75" s="66" t="s">
        <v>405</v>
      </c>
      <c r="M75" s="64"/>
      <c r="N75" s="64"/>
      <c r="O75" s="64"/>
      <c r="P75" s="64"/>
      <c r="Q75" s="64"/>
    </row>
    <row r="76" spans="11:17" x14ac:dyDescent="0.25">
      <c r="K76" s="355"/>
      <c r="L76" s="66" t="s">
        <v>406</v>
      </c>
      <c r="M76" s="64"/>
      <c r="N76" s="64"/>
      <c r="O76" s="64"/>
      <c r="P76" s="64"/>
      <c r="Q76" s="64"/>
    </row>
    <row r="77" spans="11:17" x14ac:dyDescent="0.25">
      <c r="K77" s="355"/>
      <c r="L77" s="66" t="s">
        <v>407</v>
      </c>
      <c r="M77" s="64"/>
      <c r="N77" s="64"/>
      <c r="O77" s="64"/>
      <c r="P77" s="64"/>
      <c r="Q77" s="64"/>
    </row>
    <row r="78" spans="11:17" x14ac:dyDescent="0.25">
      <c r="K78" s="355"/>
      <c r="L78" s="66" t="s">
        <v>408</v>
      </c>
      <c r="M78" s="64"/>
      <c r="N78" s="64"/>
      <c r="O78" s="64"/>
      <c r="P78" s="64"/>
      <c r="Q78" s="64"/>
    </row>
    <row r="79" spans="11:17" x14ac:dyDescent="0.25">
      <c r="K79" s="355"/>
      <c r="L79" s="62" t="s">
        <v>409</v>
      </c>
      <c r="M79" s="62" t="e">
        <f>AVERAGE(M67:M78)</f>
        <v>#DIV/0!</v>
      </c>
      <c r="N79" s="62"/>
      <c r="O79" s="62">
        <f>MAX(O67:O78)</f>
        <v>0</v>
      </c>
      <c r="P79" s="62" t="e">
        <f>AVERAGE(P67:P78)</f>
        <v>#DIV/0!</v>
      </c>
      <c r="Q79" s="62">
        <f>MAX(Q67:Q78)</f>
        <v>0</v>
      </c>
    </row>
  </sheetData>
  <mergeCells count="13">
    <mergeCell ref="S4:U8"/>
    <mergeCell ref="S10:U12"/>
    <mergeCell ref="S13:U16"/>
    <mergeCell ref="K67:K79"/>
    <mergeCell ref="B5:E5"/>
    <mergeCell ref="F5:H5"/>
    <mergeCell ref="K5:Q5"/>
    <mergeCell ref="K7:K19"/>
    <mergeCell ref="K22:K34"/>
    <mergeCell ref="K37:K49"/>
    <mergeCell ref="A48:H48"/>
    <mergeCell ref="A49:H52"/>
    <mergeCell ref="K52:K64"/>
  </mergeCells>
  <pageMargins left="0.7" right="0.7" top="0.75" bottom="0.75" header="0.3" footer="0.3"/>
  <pageSetup paperSize="9" scale="75" fitToHeight="0" orientation="portrait" r:id="rId1"/>
  <headerFooter scaleWithDoc="0">
    <oddFooter>&amp;C&amp;"Arial,Regular"Page &amp;P</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rgb="FF92D050"/>
    <pageSetUpPr fitToPage="1"/>
  </sheetPr>
  <dimension ref="A1:S79"/>
  <sheetViews>
    <sheetView workbookViewId="0"/>
  </sheetViews>
  <sheetFormatPr defaultRowHeight="13.8" x14ac:dyDescent="0.25"/>
  <cols>
    <col min="1" max="1" width="14" style="3" customWidth="1"/>
    <col min="2" max="4" width="17" style="35" customWidth="1"/>
    <col min="5" max="5" width="14.5546875" style="35" customWidth="1"/>
    <col min="6" max="7" width="17" style="35" customWidth="1"/>
    <col min="8" max="11" width="9.44140625" style="3"/>
    <col min="12" max="12" width="15.44140625" style="3" customWidth="1"/>
    <col min="13" max="13" width="17.44140625" style="3" bestFit="1" customWidth="1"/>
    <col min="14" max="14" width="13.5546875" style="3" customWidth="1"/>
    <col min="15" max="15" width="15" style="3" customWidth="1"/>
    <col min="16" max="18" width="9.44140625" style="3"/>
    <col min="19" max="19" width="22" style="3" customWidth="1"/>
    <col min="20" max="256" width="9.44140625" style="3"/>
    <col min="257" max="257" width="14" style="3" customWidth="1"/>
    <col min="258" max="263" width="10.44140625" style="3" customWidth="1"/>
    <col min="264" max="512" width="9.44140625" style="3"/>
    <col min="513" max="513" width="14" style="3" customWidth="1"/>
    <col min="514" max="519" width="10.44140625" style="3" customWidth="1"/>
    <col min="520" max="768" width="9.44140625" style="3"/>
    <col min="769" max="769" width="14" style="3" customWidth="1"/>
    <col min="770" max="775" width="10.44140625" style="3" customWidth="1"/>
    <col min="776" max="1024" width="9.44140625" style="3"/>
    <col min="1025" max="1025" width="14" style="3" customWidth="1"/>
    <col min="1026" max="1031" width="10.44140625" style="3" customWidth="1"/>
    <col min="1032" max="1280" width="9.44140625" style="3"/>
    <col min="1281" max="1281" width="14" style="3" customWidth="1"/>
    <col min="1282" max="1287" width="10.44140625" style="3" customWidth="1"/>
    <col min="1288" max="1536" width="9.44140625" style="3"/>
    <col min="1537" max="1537" width="14" style="3" customWidth="1"/>
    <col min="1538" max="1543" width="10.44140625" style="3" customWidth="1"/>
    <col min="1544" max="1792" width="9.44140625" style="3"/>
    <col min="1793" max="1793" width="14" style="3" customWidth="1"/>
    <col min="1794" max="1799" width="10.44140625" style="3" customWidth="1"/>
    <col min="1800" max="2048" width="9.44140625" style="3"/>
    <col min="2049" max="2049" width="14" style="3" customWidth="1"/>
    <col min="2050" max="2055" width="10.44140625" style="3" customWidth="1"/>
    <col min="2056" max="2304" width="9.44140625" style="3"/>
    <col min="2305" max="2305" width="14" style="3" customWidth="1"/>
    <col min="2306" max="2311" width="10.44140625" style="3" customWidth="1"/>
    <col min="2312" max="2560" width="9.44140625" style="3"/>
    <col min="2561" max="2561" width="14" style="3" customWidth="1"/>
    <col min="2562" max="2567" width="10.44140625" style="3" customWidth="1"/>
    <col min="2568" max="2816" width="9.44140625" style="3"/>
    <col min="2817" max="2817" width="14" style="3" customWidth="1"/>
    <col min="2818" max="2823" width="10.44140625" style="3" customWidth="1"/>
    <col min="2824" max="3072" width="9.44140625" style="3"/>
    <col min="3073" max="3073" width="14" style="3" customWidth="1"/>
    <col min="3074" max="3079" width="10.44140625" style="3" customWidth="1"/>
    <col min="3080" max="3328" width="9.44140625" style="3"/>
    <col min="3329" max="3329" width="14" style="3" customWidth="1"/>
    <col min="3330" max="3335" width="10.44140625" style="3" customWidth="1"/>
    <col min="3336" max="3584" width="9.44140625" style="3"/>
    <col min="3585" max="3585" width="14" style="3" customWidth="1"/>
    <col min="3586" max="3591" width="10.44140625" style="3" customWidth="1"/>
    <col min="3592" max="3840" width="9.44140625" style="3"/>
    <col min="3841" max="3841" width="14" style="3" customWidth="1"/>
    <col min="3842" max="3847" width="10.44140625" style="3" customWidth="1"/>
    <col min="3848" max="4096" width="9.44140625" style="3"/>
    <col min="4097" max="4097" width="14" style="3" customWidth="1"/>
    <col min="4098" max="4103" width="10.44140625" style="3" customWidth="1"/>
    <col min="4104" max="4352" width="9.44140625" style="3"/>
    <col min="4353" max="4353" width="14" style="3" customWidth="1"/>
    <col min="4354" max="4359" width="10.44140625" style="3" customWidth="1"/>
    <col min="4360" max="4608" width="9.44140625" style="3"/>
    <col min="4609" max="4609" width="14" style="3" customWidth="1"/>
    <col min="4610" max="4615" width="10.44140625" style="3" customWidth="1"/>
    <col min="4616" max="4864" width="9.44140625" style="3"/>
    <col min="4865" max="4865" width="14" style="3" customWidth="1"/>
    <col min="4866" max="4871" width="10.44140625" style="3" customWidth="1"/>
    <col min="4872" max="5120" width="9.44140625" style="3"/>
    <col min="5121" max="5121" width="14" style="3" customWidth="1"/>
    <col min="5122" max="5127" width="10.44140625" style="3" customWidth="1"/>
    <col min="5128" max="5376" width="9.44140625" style="3"/>
    <col min="5377" max="5377" width="14" style="3" customWidth="1"/>
    <col min="5378" max="5383" width="10.44140625" style="3" customWidth="1"/>
    <col min="5384" max="5632" width="9.44140625" style="3"/>
    <col min="5633" max="5633" width="14" style="3" customWidth="1"/>
    <col min="5634" max="5639" width="10.44140625" style="3" customWidth="1"/>
    <col min="5640" max="5888" width="9.44140625" style="3"/>
    <col min="5889" max="5889" width="14" style="3" customWidth="1"/>
    <col min="5890" max="5895" width="10.44140625" style="3" customWidth="1"/>
    <col min="5896" max="6144" width="9.44140625" style="3"/>
    <col min="6145" max="6145" width="14" style="3" customWidth="1"/>
    <col min="6146" max="6151" width="10.44140625" style="3" customWidth="1"/>
    <col min="6152" max="6400" width="9.44140625" style="3"/>
    <col min="6401" max="6401" width="14" style="3" customWidth="1"/>
    <col min="6402" max="6407" width="10.44140625" style="3" customWidth="1"/>
    <col min="6408" max="6656" width="9.44140625" style="3"/>
    <col min="6657" max="6657" width="14" style="3" customWidth="1"/>
    <col min="6658" max="6663" width="10.44140625" style="3" customWidth="1"/>
    <col min="6664" max="6912" width="9.44140625" style="3"/>
    <col min="6913" max="6913" width="14" style="3" customWidth="1"/>
    <col min="6914" max="6919" width="10.44140625" style="3" customWidth="1"/>
    <col min="6920" max="7168" width="9.44140625" style="3"/>
    <col min="7169" max="7169" width="14" style="3" customWidth="1"/>
    <col min="7170" max="7175" width="10.44140625" style="3" customWidth="1"/>
    <col min="7176" max="7424" width="9.44140625" style="3"/>
    <col min="7425" max="7425" width="14" style="3" customWidth="1"/>
    <col min="7426" max="7431" width="10.44140625" style="3" customWidth="1"/>
    <col min="7432" max="7680" width="9.44140625" style="3"/>
    <col min="7681" max="7681" width="14" style="3" customWidth="1"/>
    <col min="7682" max="7687" width="10.44140625" style="3" customWidth="1"/>
    <col min="7688" max="7936" width="9.44140625" style="3"/>
    <col min="7937" max="7937" width="14" style="3" customWidth="1"/>
    <col min="7938" max="7943" width="10.44140625" style="3" customWidth="1"/>
    <col min="7944" max="8192" width="9.44140625" style="3"/>
    <col min="8193" max="8193" width="14" style="3" customWidth="1"/>
    <col min="8194" max="8199" width="10.44140625" style="3" customWidth="1"/>
    <col min="8200" max="8448" width="9.44140625" style="3"/>
    <col min="8449" max="8449" width="14" style="3" customWidth="1"/>
    <col min="8450" max="8455" width="10.44140625" style="3" customWidth="1"/>
    <col min="8456" max="8704" width="9.44140625" style="3"/>
    <col min="8705" max="8705" width="14" style="3" customWidth="1"/>
    <col min="8706" max="8711" width="10.44140625" style="3" customWidth="1"/>
    <col min="8712" max="8960" width="9.44140625" style="3"/>
    <col min="8961" max="8961" width="14" style="3" customWidth="1"/>
    <col min="8962" max="8967" width="10.44140625" style="3" customWidth="1"/>
    <col min="8968" max="9216" width="9.44140625" style="3"/>
    <col min="9217" max="9217" width="14" style="3" customWidth="1"/>
    <col min="9218" max="9223" width="10.44140625" style="3" customWidth="1"/>
    <col min="9224" max="9472" width="9.44140625" style="3"/>
    <col min="9473" max="9473" width="14" style="3" customWidth="1"/>
    <col min="9474" max="9479" width="10.44140625" style="3" customWidth="1"/>
    <col min="9480" max="9728" width="9.44140625" style="3"/>
    <col min="9729" max="9729" width="14" style="3" customWidth="1"/>
    <col min="9730" max="9735" width="10.44140625" style="3" customWidth="1"/>
    <col min="9736" max="9984" width="9.44140625" style="3"/>
    <col min="9985" max="9985" width="14" style="3" customWidth="1"/>
    <col min="9986" max="9991" width="10.44140625" style="3" customWidth="1"/>
    <col min="9992" max="10240" width="9.44140625" style="3"/>
    <col min="10241" max="10241" width="14" style="3" customWidth="1"/>
    <col min="10242" max="10247" width="10.44140625" style="3" customWidth="1"/>
    <col min="10248" max="10496" width="9.44140625" style="3"/>
    <col min="10497" max="10497" width="14" style="3" customWidth="1"/>
    <col min="10498" max="10503" width="10.44140625" style="3" customWidth="1"/>
    <col min="10504" max="10752" width="9.44140625" style="3"/>
    <col min="10753" max="10753" width="14" style="3" customWidth="1"/>
    <col min="10754" max="10759" width="10.44140625" style="3" customWidth="1"/>
    <col min="10760" max="11008" width="9.44140625" style="3"/>
    <col min="11009" max="11009" width="14" style="3" customWidth="1"/>
    <col min="11010" max="11015" width="10.44140625" style="3" customWidth="1"/>
    <col min="11016" max="11264" width="9.44140625" style="3"/>
    <col min="11265" max="11265" width="14" style="3" customWidth="1"/>
    <col min="11266" max="11271" width="10.44140625" style="3" customWidth="1"/>
    <col min="11272" max="11520" width="9.44140625" style="3"/>
    <col min="11521" max="11521" width="14" style="3" customWidth="1"/>
    <col min="11522" max="11527" width="10.44140625" style="3" customWidth="1"/>
    <col min="11528" max="11776" width="9.44140625" style="3"/>
    <col min="11777" max="11777" width="14" style="3" customWidth="1"/>
    <col min="11778" max="11783" width="10.44140625" style="3" customWidth="1"/>
    <col min="11784" max="12032" width="9.44140625" style="3"/>
    <col min="12033" max="12033" width="14" style="3" customWidth="1"/>
    <col min="12034" max="12039" width="10.44140625" style="3" customWidth="1"/>
    <col min="12040" max="12288" width="9.44140625" style="3"/>
    <col min="12289" max="12289" width="14" style="3" customWidth="1"/>
    <col min="12290" max="12295" width="10.44140625" style="3" customWidth="1"/>
    <col min="12296" max="12544" width="9.44140625" style="3"/>
    <col min="12545" max="12545" width="14" style="3" customWidth="1"/>
    <col min="12546" max="12551" width="10.44140625" style="3" customWidth="1"/>
    <col min="12552" max="12800" width="9.44140625" style="3"/>
    <col min="12801" max="12801" width="14" style="3" customWidth="1"/>
    <col min="12802" max="12807" width="10.44140625" style="3" customWidth="1"/>
    <col min="12808" max="13056" width="9.44140625" style="3"/>
    <col min="13057" max="13057" width="14" style="3" customWidth="1"/>
    <col min="13058" max="13063" width="10.44140625" style="3" customWidth="1"/>
    <col min="13064" max="13312" width="9.44140625" style="3"/>
    <col min="13313" max="13313" width="14" style="3" customWidth="1"/>
    <col min="13314" max="13319" width="10.44140625" style="3" customWidth="1"/>
    <col min="13320" max="13568" width="9.44140625" style="3"/>
    <col min="13569" max="13569" width="14" style="3" customWidth="1"/>
    <col min="13570" max="13575" width="10.44140625" style="3" customWidth="1"/>
    <col min="13576" max="13824" width="9.44140625" style="3"/>
    <col min="13825" max="13825" width="14" style="3" customWidth="1"/>
    <col min="13826" max="13831" width="10.44140625" style="3" customWidth="1"/>
    <col min="13832" max="14080" width="9.44140625" style="3"/>
    <col min="14081" max="14081" width="14" style="3" customWidth="1"/>
    <col min="14082" max="14087" width="10.44140625" style="3" customWidth="1"/>
    <col min="14088" max="14336" width="9.44140625" style="3"/>
    <col min="14337" max="14337" width="14" style="3" customWidth="1"/>
    <col min="14338" max="14343" width="10.44140625" style="3" customWidth="1"/>
    <col min="14344" max="14592" width="9.44140625" style="3"/>
    <col min="14593" max="14593" width="14" style="3" customWidth="1"/>
    <col min="14594" max="14599" width="10.44140625" style="3" customWidth="1"/>
    <col min="14600" max="14848" width="9.44140625" style="3"/>
    <col min="14849" max="14849" width="14" style="3" customWidth="1"/>
    <col min="14850" max="14855" width="10.44140625" style="3" customWidth="1"/>
    <col min="14856" max="15104" width="9.44140625" style="3"/>
    <col min="15105" max="15105" width="14" style="3" customWidth="1"/>
    <col min="15106" max="15111" width="10.44140625" style="3" customWidth="1"/>
    <col min="15112" max="15360" width="9.44140625" style="3"/>
    <col min="15361" max="15361" width="14" style="3" customWidth="1"/>
    <col min="15362" max="15367" width="10.44140625" style="3" customWidth="1"/>
    <col min="15368" max="15616" width="9.44140625" style="3"/>
    <col min="15617" max="15617" width="14" style="3" customWidth="1"/>
    <col min="15618" max="15623" width="10.44140625" style="3" customWidth="1"/>
    <col min="15624" max="15872" width="9.44140625" style="3"/>
    <col min="15873" max="15873" width="14" style="3" customWidth="1"/>
    <col min="15874" max="15879" width="10.44140625" style="3" customWidth="1"/>
    <col min="15880" max="16128" width="9.44140625" style="3"/>
    <col min="16129" max="16129" width="14" style="3" customWidth="1"/>
    <col min="16130" max="16135" width="10.44140625" style="3" customWidth="1"/>
    <col min="16136" max="16384" width="9.44140625" style="3"/>
  </cols>
  <sheetData>
    <row r="1" spans="1:19" ht="15" x14ac:dyDescent="0.25">
      <c r="A1" s="93" t="str">
        <f>+'Cover Page'!$B$29</f>
        <v>Annual Performance Report 2022</v>
      </c>
      <c r="B1" s="93"/>
      <c r="C1" s="93"/>
      <c r="D1" s="93"/>
      <c r="E1" s="93" t="str">
        <f>+'Cover Page'!$B$33</f>
        <v>GLPP</v>
      </c>
    </row>
    <row r="3" spans="1:19" ht="14.4" x14ac:dyDescent="0.3">
      <c r="A3" s="60" t="s">
        <v>437</v>
      </c>
      <c r="D3" s="76" t="s">
        <v>378</v>
      </c>
      <c r="G3" s="80" t="s">
        <v>379</v>
      </c>
      <c r="J3" s="9" t="str">
        <f>+A3</f>
        <v xml:space="preserve">Monitoring of Ammnonia emissions </v>
      </c>
      <c r="L3" s="9"/>
      <c r="N3" s="9" t="s">
        <v>380</v>
      </c>
      <c r="Q3" s="79" t="s">
        <v>3</v>
      </c>
      <c r="R3" s="74"/>
      <c r="S3" s="74"/>
    </row>
    <row r="4" spans="1:19" ht="14.1" customHeight="1" x14ac:dyDescent="0.25">
      <c r="Q4" s="346" t="s">
        <v>381</v>
      </c>
      <c r="R4" s="346"/>
      <c r="S4" s="346"/>
    </row>
    <row r="5" spans="1:19" ht="16.2" x14ac:dyDescent="0.25">
      <c r="A5" s="68" t="s">
        <v>382</v>
      </c>
      <c r="B5" s="357" t="s">
        <v>383</v>
      </c>
      <c r="C5" s="357"/>
      <c r="D5" s="357"/>
      <c r="E5" s="357" t="s">
        <v>384</v>
      </c>
      <c r="F5" s="357"/>
      <c r="G5" s="357"/>
      <c r="J5" s="356"/>
      <c r="K5" s="356"/>
      <c r="L5" s="356"/>
      <c r="M5" s="356"/>
      <c r="N5" s="356"/>
      <c r="O5" s="356"/>
      <c r="Q5" s="346"/>
      <c r="R5" s="346"/>
      <c r="S5" s="346"/>
    </row>
    <row r="6" spans="1:19" s="58" customFormat="1" ht="37.5" customHeight="1" x14ac:dyDescent="0.3">
      <c r="A6" s="65">
        <f>+'Cover Page'!C39</f>
        <v>2022</v>
      </c>
      <c r="B6" s="55" t="s">
        <v>438</v>
      </c>
      <c r="C6" s="55" t="s">
        <v>386</v>
      </c>
      <c r="D6" s="55" t="s">
        <v>387</v>
      </c>
      <c r="E6" s="55" t="s">
        <v>439</v>
      </c>
      <c r="F6" s="55" t="s">
        <v>389</v>
      </c>
      <c r="G6" s="55" t="s">
        <v>390</v>
      </c>
      <c r="H6" s="59"/>
      <c r="J6" s="61">
        <f>+A6</f>
        <v>2022</v>
      </c>
      <c r="K6" s="61" t="s">
        <v>391</v>
      </c>
      <c r="L6" s="67" t="s">
        <v>386</v>
      </c>
      <c r="M6" s="67" t="s">
        <v>392</v>
      </c>
      <c r="N6" s="67" t="s">
        <v>389</v>
      </c>
      <c r="O6" s="67" t="s">
        <v>393</v>
      </c>
      <c r="Q6" s="346"/>
      <c r="R6" s="346"/>
      <c r="S6" s="346"/>
    </row>
    <row r="7" spans="1:19" x14ac:dyDescent="0.25">
      <c r="A7" s="66" t="s">
        <v>394</v>
      </c>
      <c r="B7" s="69">
        <v>0</v>
      </c>
      <c r="C7" s="64"/>
      <c r="D7" s="64"/>
      <c r="E7" s="69">
        <v>10</v>
      </c>
      <c r="F7" s="64"/>
      <c r="G7" s="64"/>
      <c r="J7" s="355" t="s">
        <v>313</v>
      </c>
      <c r="K7" s="66" t="s">
        <v>394</v>
      </c>
      <c r="L7" s="64"/>
      <c r="M7" s="64"/>
      <c r="N7" s="64"/>
      <c r="O7" s="64"/>
      <c r="Q7" s="346"/>
      <c r="R7" s="346"/>
      <c r="S7" s="346"/>
    </row>
    <row r="8" spans="1:19" x14ac:dyDescent="0.25">
      <c r="A8" s="66" t="s">
        <v>395</v>
      </c>
      <c r="B8" s="63">
        <f>+B7</f>
        <v>0</v>
      </c>
      <c r="C8" s="64"/>
      <c r="D8" s="64"/>
      <c r="E8" s="63">
        <f>+E7</f>
        <v>10</v>
      </c>
      <c r="F8" s="64"/>
      <c r="G8" s="64"/>
      <c r="J8" s="355"/>
      <c r="K8" s="66" t="s">
        <v>395</v>
      </c>
      <c r="L8" s="64"/>
      <c r="M8" s="64"/>
      <c r="N8" s="64"/>
      <c r="O8" s="64"/>
      <c r="Q8" s="346"/>
      <c r="R8" s="346"/>
      <c r="S8" s="346"/>
    </row>
    <row r="9" spans="1:19" x14ac:dyDescent="0.25">
      <c r="A9" s="66" t="s">
        <v>396</v>
      </c>
      <c r="B9" s="63">
        <f t="shared" ref="B9:B18" si="0">+B8</f>
        <v>0</v>
      </c>
      <c r="C9" s="64"/>
      <c r="D9" s="64"/>
      <c r="E9" s="63">
        <f t="shared" ref="E9:E18" si="1">+E8</f>
        <v>10</v>
      </c>
      <c r="F9" s="64"/>
      <c r="G9" s="64"/>
      <c r="J9" s="355"/>
      <c r="K9" s="66" t="s">
        <v>396</v>
      </c>
      <c r="L9" s="64"/>
      <c r="M9" s="64"/>
      <c r="N9" s="64"/>
      <c r="O9" s="64"/>
      <c r="Q9" s="78" t="s">
        <v>397</v>
      </c>
    </row>
    <row r="10" spans="1:19" ht="14.25" customHeight="1" x14ac:dyDescent="0.25">
      <c r="A10" s="66" t="s">
        <v>398</v>
      </c>
      <c r="B10" s="63">
        <f t="shared" si="0"/>
        <v>0</v>
      </c>
      <c r="C10" s="64"/>
      <c r="D10" s="64"/>
      <c r="E10" s="63">
        <f t="shared" si="1"/>
        <v>10</v>
      </c>
      <c r="F10" s="64"/>
      <c r="G10" s="64"/>
      <c r="J10" s="355"/>
      <c r="K10" s="66" t="s">
        <v>398</v>
      </c>
      <c r="L10" s="64"/>
      <c r="M10" s="64"/>
      <c r="N10" s="64"/>
      <c r="O10" s="64"/>
      <c r="Q10" s="354" t="s">
        <v>399</v>
      </c>
      <c r="R10" s="354"/>
      <c r="S10" s="354"/>
    </row>
    <row r="11" spans="1:19" x14ac:dyDescent="0.25">
      <c r="A11" s="66" t="s">
        <v>400</v>
      </c>
      <c r="B11" s="63">
        <f t="shared" si="0"/>
        <v>0</v>
      </c>
      <c r="C11" s="64"/>
      <c r="D11" s="64"/>
      <c r="E11" s="63">
        <f t="shared" si="1"/>
        <v>10</v>
      </c>
      <c r="F11" s="64"/>
      <c r="G11" s="64"/>
      <c r="J11" s="355"/>
      <c r="K11" s="66" t="s">
        <v>400</v>
      </c>
      <c r="L11" s="64"/>
      <c r="M11" s="64"/>
      <c r="N11" s="64"/>
      <c r="O11" s="64"/>
      <c r="Q11" s="354"/>
      <c r="R11" s="354"/>
      <c r="S11" s="354"/>
    </row>
    <row r="12" spans="1:19" x14ac:dyDescent="0.25">
      <c r="A12" s="66" t="s">
        <v>401</v>
      </c>
      <c r="B12" s="63">
        <f t="shared" si="0"/>
        <v>0</v>
      </c>
      <c r="C12" s="64"/>
      <c r="D12" s="64"/>
      <c r="E12" s="63">
        <f t="shared" si="1"/>
        <v>10</v>
      </c>
      <c r="F12" s="64"/>
      <c r="G12" s="64"/>
      <c r="J12" s="355"/>
      <c r="K12" s="66" t="s">
        <v>401</v>
      </c>
      <c r="L12" s="64"/>
      <c r="M12" s="64"/>
      <c r="N12" s="64"/>
      <c r="O12" s="64"/>
      <c r="Q12" s="354"/>
      <c r="R12" s="354"/>
      <c r="S12" s="354"/>
    </row>
    <row r="13" spans="1:19" ht="14.25" customHeight="1" x14ac:dyDescent="0.25">
      <c r="A13" s="66" t="s">
        <v>402</v>
      </c>
      <c r="B13" s="63">
        <f t="shared" si="0"/>
        <v>0</v>
      </c>
      <c r="C13" s="64"/>
      <c r="D13" s="64"/>
      <c r="E13" s="63">
        <f t="shared" si="1"/>
        <v>10</v>
      </c>
      <c r="F13" s="64"/>
      <c r="G13" s="64"/>
      <c r="J13" s="355"/>
      <c r="K13" s="66" t="s">
        <v>402</v>
      </c>
      <c r="L13" s="64"/>
      <c r="M13" s="64"/>
      <c r="N13" s="64"/>
      <c r="O13" s="64"/>
      <c r="Q13" s="354" t="s">
        <v>403</v>
      </c>
      <c r="R13" s="354"/>
      <c r="S13" s="354"/>
    </row>
    <row r="14" spans="1:19" x14ac:dyDescent="0.25">
      <c r="A14" s="66" t="s">
        <v>404</v>
      </c>
      <c r="B14" s="63">
        <f t="shared" si="0"/>
        <v>0</v>
      </c>
      <c r="C14" s="64"/>
      <c r="D14" s="64"/>
      <c r="E14" s="63">
        <f t="shared" si="1"/>
        <v>10</v>
      </c>
      <c r="F14" s="64"/>
      <c r="G14" s="64"/>
      <c r="J14" s="355"/>
      <c r="K14" s="66" t="s">
        <v>404</v>
      </c>
      <c r="L14" s="64"/>
      <c r="M14" s="64"/>
      <c r="N14" s="64"/>
      <c r="O14" s="64"/>
      <c r="Q14" s="354"/>
      <c r="R14" s="354"/>
      <c r="S14" s="354"/>
    </row>
    <row r="15" spans="1:19" x14ac:dyDescent="0.25">
      <c r="A15" s="66" t="s">
        <v>405</v>
      </c>
      <c r="B15" s="63">
        <f t="shared" si="0"/>
        <v>0</v>
      </c>
      <c r="C15" s="64"/>
      <c r="D15" s="64"/>
      <c r="E15" s="63">
        <f t="shared" si="1"/>
        <v>10</v>
      </c>
      <c r="F15" s="64"/>
      <c r="G15" s="64"/>
      <c r="J15" s="355"/>
      <c r="K15" s="66" t="s">
        <v>405</v>
      </c>
      <c r="L15" s="64"/>
      <c r="M15" s="64"/>
      <c r="N15" s="64"/>
      <c r="O15" s="64"/>
      <c r="Q15" s="354"/>
      <c r="R15" s="354"/>
      <c r="S15" s="354"/>
    </row>
    <row r="16" spans="1:19" x14ac:dyDescent="0.25">
      <c r="A16" s="66" t="s">
        <v>406</v>
      </c>
      <c r="B16" s="63">
        <f t="shared" si="0"/>
        <v>0</v>
      </c>
      <c r="C16" s="64"/>
      <c r="D16" s="64"/>
      <c r="E16" s="63">
        <f t="shared" si="1"/>
        <v>10</v>
      </c>
      <c r="F16" s="64"/>
      <c r="G16" s="64"/>
      <c r="J16" s="355"/>
      <c r="K16" s="66" t="s">
        <v>406</v>
      </c>
      <c r="L16" s="64"/>
      <c r="M16" s="64"/>
      <c r="N16" s="64"/>
      <c r="O16" s="64"/>
      <c r="Q16" s="354"/>
      <c r="R16" s="354"/>
      <c r="S16" s="354"/>
    </row>
    <row r="17" spans="1:15" x14ac:dyDescent="0.25">
      <c r="A17" s="66" t="s">
        <v>407</v>
      </c>
      <c r="B17" s="63">
        <f t="shared" si="0"/>
        <v>0</v>
      </c>
      <c r="C17" s="64"/>
      <c r="D17" s="64"/>
      <c r="E17" s="63">
        <f t="shared" si="1"/>
        <v>10</v>
      </c>
      <c r="F17" s="64"/>
      <c r="G17" s="64"/>
      <c r="J17" s="355"/>
      <c r="K17" s="66" t="s">
        <v>407</v>
      </c>
      <c r="L17" s="64"/>
      <c r="M17" s="64"/>
      <c r="N17" s="64"/>
      <c r="O17" s="64"/>
    </row>
    <row r="18" spans="1:15" x14ac:dyDescent="0.25">
      <c r="A18" s="66" t="s">
        <v>408</v>
      </c>
      <c r="B18" s="63">
        <f t="shared" si="0"/>
        <v>0</v>
      </c>
      <c r="C18" s="64"/>
      <c r="D18" s="64"/>
      <c r="E18" s="63">
        <f t="shared" si="1"/>
        <v>10</v>
      </c>
      <c r="F18" s="64"/>
      <c r="G18" s="64"/>
      <c r="J18" s="355"/>
      <c r="K18" s="66" t="s">
        <v>408</v>
      </c>
      <c r="L18" s="64"/>
      <c r="M18" s="64"/>
      <c r="N18" s="64"/>
      <c r="O18" s="64"/>
    </row>
    <row r="19" spans="1:15" x14ac:dyDescent="0.25">
      <c r="J19" s="355"/>
      <c r="K19" s="62" t="s">
        <v>409</v>
      </c>
      <c r="L19" s="62" t="e">
        <f>AVERAGE(L7:L18)</f>
        <v>#DIV/0!</v>
      </c>
      <c r="M19" s="62">
        <f>MAX(M7:M18)</f>
        <v>0</v>
      </c>
      <c r="N19" s="62" t="e">
        <f>AVERAGE(N7:N18)</f>
        <v>#DIV/0!</v>
      </c>
      <c r="O19" s="62">
        <f>MAX(O7:O18)</f>
        <v>0</v>
      </c>
    </row>
    <row r="21" spans="1:15" ht="41.4" x14ac:dyDescent="0.25">
      <c r="J21" s="61">
        <f>+A6</f>
        <v>2022</v>
      </c>
      <c r="K21" s="61" t="s">
        <v>391</v>
      </c>
      <c r="L21" s="67" t="s">
        <v>386</v>
      </c>
      <c r="M21" s="67" t="s">
        <v>392</v>
      </c>
      <c r="N21" s="67" t="s">
        <v>389</v>
      </c>
      <c r="O21" s="67" t="s">
        <v>393</v>
      </c>
    </row>
    <row r="22" spans="1:15" x14ac:dyDescent="0.25">
      <c r="J22" s="355" t="s">
        <v>314</v>
      </c>
      <c r="K22" s="66" t="s">
        <v>394</v>
      </c>
      <c r="L22" s="64"/>
      <c r="M22" s="64"/>
      <c r="N22" s="64"/>
      <c r="O22" s="64"/>
    </row>
    <row r="23" spans="1:15" x14ac:dyDescent="0.25">
      <c r="J23" s="355"/>
      <c r="K23" s="66" t="s">
        <v>395</v>
      </c>
      <c r="L23" s="64"/>
      <c r="M23" s="64"/>
      <c r="N23" s="64"/>
      <c r="O23" s="64"/>
    </row>
    <row r="24" spans="1:15" x14ac:dyDescent="0.25">
      <c r="J24" s="355"/>
      <c r="K24" s="66" t="s">
        <v>396</v>
      </c>
      <c r="L24" s="64"/>
      <c r="M24" s="64"/>
      <c r="N24" s="64"/>
      <c r="O24" s="64"/>
    </row>
    <row r="25" spans="1:15" x14ac:dyDescent="0.25">
      <c r="J25" s="355"/>
      <c r="K25" s="66" t="s">
        <v>398</v>
      </c>
      <c r="L25" s="64"/>
      <c r="M25" s="64"/>
      <c r="N25" s="64"/>
      <c r="O25" s="64"/>
    </row>
    <row r="26" spans="1:15" x14ac:dyDescent="0.25">
      <c r="J26" s="355"/>
      <c r="K26" s="66" t="s">
        <v>400</v>
      </c>
      <c r="L26" s="64"/>
      <c r="M26" s="64"/>
      <c r="N26" s="64"/>
      <c r="O26" s="64"/>
    </row>
    <row r="27" spans="1:15" x14ac:dyDescent="0.25">
      <c r="J27" s="355"/>
      <c r="K27" s="66" t="s">
        <v>401</v>
      </c>
      <c r="L27" s="64"/>
      <c r="M27" s="64"/>
      <c r="N27" s="64"/>
      <c r="O27" s="64"/>
    </row>
    <row r="28" spans="1:15" x14ac:dyDescent="0.25">
      <c r="J28" s="355"/>
      <c r="K28" s="66" t="s">
        <v>402</v>
      </c>
      <c r="L28" s="64"/>
      <c r="M28" s="64"/>
      <c r="N28" s="64"/>
      <c r="O28" s="64"/>
    </row>
    <row r="29" spans="1:15" x14ac:dyDescent="0.25">
      <c r="J29" s="355"/>
      <c r="K29" s="66" t="s">
        <v>404</v>
      </c>
      <c r="L29" s="64"/>
      <c r="M29" s="64"/>
      <c r="N29" s="64"/>
      <c r="O29" s="64"/>
    </row>
    <row r="30" spans="1:15" x14ac:dyDescent="0.25">
      <c r="J30" s="355"/>
      <c r="K30" s="66" t="s">
        <v>405</v>
      </c>
      <c r="L30" s="64"/>
      <c r="M30" s="64"/>
      <c r="N30" s="64"/>
      <c r="O30" s="64"/>
    </row>
    <row r="31" spans="1:15" x14ac:dyDescent="0.25">
      <c r="J31" s="355"/>
      <c r="K31" s="66" t="s">
        <v>406</v>
      </c>
      <c r="L31" s="64"/>
      <c r="M31" s="64"/>
      <c r="N31" s="64"/>
      <c r="O31" s="64"/>
    </row>
    <row r="32" spans="1:15" x14ac:dyDescent="0.25">
      <c r="J32" s="355"/>
      <c r="K32" s="66" t="s">
        <v>407</v>
      </c>
      <c r="L32" s="64"/>
      <c r="M32" s="64"/>
      <c r="N32" s="64"/>
      <c r="O32" s="64"/>
    </row>
    <row r="33" spans="1:15" x14ac:dyDescent="0.25">
      <c r="J33" s="355"/>
      <c r="K33" s="66" t="s">
        <v>408</v>
      </c>
      <c r="L33" s="64"/>
      <c r="M33" s="64"/>
      <c r="N33" s="64"/>
      <c r="O33" s="64"/>
    </row>
    <row r="34" spans="1:15" x14ac:dyDescent="0.25">
      <c r="J34" s="355"/>
      <c r="K34" s="62" t="s">
        <v>409</v>
      </c>
      <c r="L34" s="62" t="e">
        <f>AVERAGE(L22:L33)</f>
        <v>#DIV/0!</v>
      </c>
      <c r="M34" s="62">
        <f>MAX(M22:M33)</f>
        <v>0</v>
      </c>
      <c r="N34" s="62" t="e">
        <f>AVERAGE(N22:N33)</f>
        <v>#DIV/0!</v>
      </c>
      <c r="O34" s="62">
        <f>MAX(O22:O33)</f>
        <v>0</v>
      </c>
    </row>
    <row r="36" spans="1:15" ht="41.4" x14ac:dyDescent="0.25">
      <c r="J36" s="61">
        <f>+A6</f>
        <v>2022</v>
      </c>
      <c r="K36" s="61" t="s">
        <v>391</v>
      </c>
      <c r="L36" s="67" t="s">
        <v>386</v>
      </c>
      <c r="M36" s="67" t="s">
        <v>392</v>
      </c>
      <c r="N36" s="67" t="s">
        <v>389</v>
      </c>
      <c r="O36" s="67" t="s">
        <v>393</v>
      </c>
    </row>
    <row r="37" spans="1:15" x14ac:dyDescent="0.25">
      <c r="J37" s="355" t="s">
        <v>315</v>
      </c>
      <c r="K37" s="66" t="s">
        <v>394</v>
      </c>
      <c r="L37" s="64"/>
      <c r="M37" s="64"/>
      <c r="N37" s="64"/>
      <c r="O37" s="64"/>
    </row>
    <row r="38" spans="1:15" x14ac:dyDescent="0.25">
      <c r="J38" s="355"/>
      <c r="K38" s="66" t="s">
        <v>395</v>
      </c>
      <c r="L38" s="64"/>
      <c r="M38" s="64"/>
      <c r="N38" s="64"/>
      <c r="O38" s="64"/>
    </row>
    <row r="39" spans="1:15" x14ac:dyDescent="0.25">
      <c r="J39" s="355"/>
      <c r="K39" s="66" t="s">
        <v>396</v>
      </c>
      <c r="L39" s="64"/>
      <c r="M39" s="64"/>
      <c r="N39" s="64"/>
      <c r="O39" s="64"/>
    </row>
    <row r="40" spans="1:15" x14ac:dyDescent="0.25">
      <c r="J40" s="355"/>
      <c r="K40" s="66" t="s">
        <v>398</v>
      </c>
      <c r="L40" s="64"/>
      <c r="M40" s="64"/>
      <c r="N40" s="64"/>
      <c r="O40" s="64"/>
    </row>
    <row r="41" spans="1:15" x14ac:dyDescent="0.25">
      <c r="J41" s="355"/>
      <c r="K41" s="66" t="s">
        <v>400</v>
      </c>
      <c r="L41" s="64"/>
      <c r="M41" s="64"/>
      <c r="N41" s="64"/>
      <c r="O41" s="64"/>
    </row>
    <row r="42" spans="1:15" x14ac:dyDescent="0.25">
      <c r="J42" s="355"/>
      <c r="K42" s="66" t="s">
        <v>401</v>
      </c>
      <c r="L42" s="64"/>
      <c r="M42" s="64"/>
      <c r="N42" s="64"/>
      <c r="O42" s="64"/>
    </row>
    <row r="43" spans="1:15" x14ac:dyDescent="0.25">
      <c r="J43" s="355"/>
      <c r="K43" s="66" t="s">
        <v>402</v>
      </c>
      <c r="L43" s="64"/>
      <c r="M43" s="64"/>
      <c r="N43" s="64"/>
      <c r="O43" s="64"/>
    </row>
    <row r="44" spans="1:15" x14ac:dyDescent="0.25">
      <c r="J44" s="355"/>
      <c r="K44" s="66" t="s">
        <v>404</v>
      </c>
      <c r="L44" s="64"/>
      <c r="M44" s="64"/>
      <c r="N44" s="64"/>
      <c r="O44" s="64"/>
    </row>
    <row r="45" spans="1:15" x14ac:dyDescent="0.25">
      <c r="J45" s="355"/>
      <c r="K45" s="66" t="s">
        <v>405</v>
      </c>
      <c r="L45" s="64"/>
      <c r="M45" s="64"/>
      <c r="N45" s="64"/>
      <c r="O45" s="64"/>
    </row>
    <row r="46" spans="1:15" x14ac:dyDescent="0.25">
      <c r="J46" s="355"/>
      <c r="K46" s="66" t="s">
        <v>406</v>
      </c>
      <c r="L46" s="64"/>
      <c r="M46" s="64"/>
      <c r="N46" s="64"/>
      <c r="O46" s="64"/>
    </row>
    <row r="47" spans="1:15" x14ac:dyDescent="0.25">
      <c r="J47" s="355"/>
      <c r="K47" s="66" t="s">
        <v>407</v>
      </c>
      <c r="L47" s="64"/>
      <c r="M47" s="64"/>
      <c r="N47" s="64"/>
      <c r="O47" s="64"/>
    </row>
    <row r="48" spans="1:15" x14ac:dyDescent="0.25">
      <c r="A48" s="367" t="s">
        <v>287</v>
      </c>
      <c r="B48" s="368"/>
      <c r="C48" s="368"/>
      <c r="D48" s="368"/>
      <c r="E48" s="368"/>
      <c r="F48" s="368"/>
      <c r="G48" s="369"/>
      <c r="J48" s="355"/>
      <c r="K48" s="66" t="s">
        <v>408</v>
      </c>
      <c r="L48" s="64"/>
      <c r="M48" s="64"/>
      <c r="N48" s="64"/>
      <c r="O48" s="64"/>
    </row>
    <row r="49" spans="1:15" x14ac:dyDescent="0.25">
      <c r="A49" s="358" t="s">
        <v>440</v>
      </c>
      <c r="B49" s="359"/>
      <c r="C49" s="359"/>
      <c r="D49" s="359"/>
      <c r="E49" s="359"/>
      <c r="F49" s="359"/>
      <c r="G49" s="360"/>
      <c r="J49" s="355"/>
      <c r="K49" s="62" t="s">
        <v>409</v>
      </c>
      <c r="L49" s="62" t="e">
        <f>AVERAGE(L37:L48)</f>
        <v>#DIV/0!</v>
      </c>
      <c r="M49" s="62">
        <f>MAX(M37:M48)</f>
        <v>0</v>
      </c>
      <c r="N49" s="62" t="e">
        <f>AVERAGE(N37:N48)</f>
        <v>#DIV/0!</v>
      </c>
      <c r="O49" s="62">
        <f>MAX(O37:O48)</f>
        <v>0</v>
      </c>
    </row>
    <row r="50" spans="1:15" x14ac:dyDescent="0.25">
      <c r="A50" s="361"/>
      <c r="B50" s="362"/>
      <c r="C50" s="362"/>
      <c r="D50" s="362"/>
      <c r="E50" s="362"/>
      <c r="F50" s="362"/>
      <c r="G50" s="363"/>
    </row>
    <row r="51" spans="1:15" ht="41.4" x14ac:dyDescent="0.25">
      <c r="A51" s="361"/>
      <c r="B51" s="362"/>
      <c r="C51" s="362"/>
      <c r="D51" s="362"/>
      <c r="E51" s="362"/>
      <c r="F51" s="362"/>
      <c r="G51" s="363"/>
      <c r="J51" s="61">
        <f>+A6</f>
        <v>2022</v>
      </c>
      <c r="K51" s="61" t="s">
        <v>391</v>
      </c>
      <c r="L51" s="67" t="s">
        <v>386</v>
      </c>
      <c r="M51" s="67" t="s">
        <v>392</v>
      </c>
      <c r="N51" s="67" t="s">
        <v>389</v>
      </c>
      <c r="O51" s="67" t="s">
        <v>393</v>
      </c>
    </row>
    <row r="52" spans="1:15" x14ac:dyDescent="0.25">
      <c r="A52" s="364"/>
      <c r="B52" s="365"/>
      <c r="C52" s="365"/>
      <c r="D52" s="365"/>
      <c r="E52" s="365"/>
      <c r="F52" s="365"/>
      <c r="G52" s="366"/>
      <c r="J52" s="355" t="s">
        <v>316</v>
      </c>
      <c r="K52" s="66" t="s">
        <v>394</v>
      </c>
      <c r="L52" s="64"/>
      <c r="M52" s="64"/>
      <c r="N52" s="64"/>
      <c r="O52" s="64"/>
    </row>
    <row r="53" spans="1:15" x14ac:dyDescent="0.25">
      <c r="J53" s="355"/>
      <c r="K53" s="66" t="s">
        <v>395</v>
      </c>
      <c r="L53" s="64"/>
      <c r="M53" s="64"/>
      <c r="N53" s="64"/>
      <c r="O53" s="64"/>
    </row>
    <row r="54" spans="1:15" x14ac:dyDescent="0.25">
      <c r="J54" s="355"/>
      <c r="K54" s="66" t="s">
        <v>396</v>
      </c>
      <c r="L54" s="64"/>
      <c r="M54" s="64"/>
      <c r="N54" s="64"/>
      <c r="O54" s="64"/>
    </row>
    <row r="55" spans="1:15" x14ac:dyDescent="0.25">
      <c r="J55" s="355"/>
      <c r="K55" s="66" t="s">
        <v>398</v>
      </c>
      <c r="L55" s="64"/>
      <c r="M55" s="64"/>
      <c r="N55" s="64"/>
      <c r="O55" s="64"/>
    </row>
    <row r="56" spans="1:15" x14ac:dyDescent="0.25">
      <c r="J56" s="355"/>
      <c r="K56" s="66" t="s">
        <v>400</v>
      </c>
      <c r="L56" s="64"/>
      <c r="M56" s="64"/>
      <c r="N56" s="64"/>
      <c r="O56" s="64"/>
    </row>
    <row r="57" spans="1:15" x14ac:dyDescent="0.25">
      <c r="J57" s="355"/>
      <c r="K57" s="66" t="s">
        <v>401</v>
      </c>
      <c r="L57" s="64"/>
      <c r="M57" s="64"/>
      <c r="N57" s="64"/>
      <c r="O57" s="64"/>
    </row>
    <row r="58" spans="1:15" x14ac:dyDescent="0.25">
      <c r="J58" s="355"/>
      <c r="K58" s="66" t="s">
        <v>402</v>
      </c>
      <c r="L58" s="64"/>
      <c r="M58" s="64"/>
      <c r="N58" s="64"/>
      <c r="O58" s="64"/>
    </row>
    <row r="59" spans="1:15" x14ac:dyDescent="0.25">
      <c r="J59" s="355"/>
      <c r="K59" s="66" t="s">
        <v>404</v>
      </c>
      <c r="L59" s="64"/>
      <c r="M59" s="64"/>
      <c r="N59" s="64"/>
      <c r="O59" s="64"/>
    </row>
    <row r="60" spans="1:15" x14ac:dyDescent="0.25">
      <c r="J60" s="355"/>
      <c r="K60" s="66" t="s">
        <v>405</v>
      </c>
      <c r="L60" s="64"/>
      <c r="M60" s="64"/>
      <c r="N60" s="64"/>
      <c r="O60" s="64"/>
    </row>
    <row r="61" spans="1:15" x14ac:dyDescent="0.25">
      <c r="J61" s="355"/>
      <c r="K61" s="66" t="s">
        <v>406</v>
      </c>
      <c r="L61" s="64"/>
      <c r="M61" s="64"/>
      <c r="N61" s="64"/>
      <c r="O61" s="64"/>
    </row>
    <row r="62" spans="1:15" x14ac:dyDescent="0.25">
      <c r="J62" s="355"/>
      <c r="K62" s="66" t="s">
        <v>407</v>
      </c>
      <c r="L62" s="64"/>
      <c r="M62" s="64"/>
      <c r="N62" s="64"/>
      <c r="O62" s="64"/>
    </row>
    <row r="63" spans="1:15" x14ac:dyDescent="0.25">
      <c r="J63" s="355"/>
      <c r="K63" s="66" t="s">
        <v>408</v>
      </c>
      <c r="L63" s="64"/>
      <c r="M63" s="64"/>
      <c r="N63" s="64"/>
      <c r="O63" s="64"/>
    </row>
    <row r="64" spans="1:15" x14ac:dyDescent="0.25">
      <c r="J64" s="355"/>
      <c r="K64" s="62" t="s">
        <v>409</v>
      </c>
      <c r="L64" s="62" t="e">
        <f>AVERAGE(L52:L63)</f>
        <v>#DIV/0!</v>
      </c>
      <c r="M64" s="62">
        <f>MAX(M52:M63)</f>
        <v>0</v>
      </c>
      <c r="N64" s="62" t="e">
        <f>AVERAGE(N52:N63)</f>
        <v>#DIV/0!</v>
      </c>
      <c r="O64" s="62">
        <f>MAX(O52:O63)</f>
        <v>0</v>
      </c>
    </row>
    <row r="66" spans="10:15" ht="41.4" x14ac:dyDescent="0.25">
      <c r="J66" s="61">
        <f>+A6</f>
        <v>2022</v>
      </c>
      <c r="K66" s="61" t="s">
        <v>391</v>
      </c>
      <c r="L66" s="67" t="s">
        <v>386</v>
      </c>
      <c r="M66" s="67" t="s">
        <v>392</v>
      </c>
      <c r="N66" s="67" t="s">
        <v>389</v>
      </c>
      <c r="O66" s="67" t="s">
        <v>393</v>
      </c>
    </row>
    <row r="67" spans="10:15" x14ac:dyDescent="0.25">
      <c r="J67" s="355" t="s">
        <v>317</v>
      </c>
      <c r="K67" s="66" t="s">
        <v>394</v>
      </c>
      <c r="L67" s="64"/>
      <c r="M67" s="64"/>
      <c r="N67" s="64"/>
      <c r="O67" s="64"/>
    </row>
    <row r="68" spans="10:15" x14ac:dyDescent="0.25">
      <c r="J68" s="355"/>
      <c r="K68" s="66" t="s">
        <v>395</v>
      </c>
      <c r="L68" s="64"/>
      <c r="M68" s="64"/>
      <c r="N68" s="64"/>
      <c r="O68" s="64"/>
    </row>
    <row r="69" spans="10:15" x14ac:dyDescent="0.25">
      <c r="J69" s="355"/>
      <c r="K69" s="66" t="s">
        <v>396</v>
      </c>
      <c r="L69" s="64"/>
      <c r="M69" s="64"/>
      <c r="N69" s="64"/>
      <c r="O69" s="64"/>
    </row>
    <row r="70" spans="10:15" x14ac:dyDescent="0.25">
      <c r="J70" s="355"/>
      <c r="K70" s="66" t="s">
        <v>398</v>
      </c>
      <c r="L70" s="64"/>
      <c r="M70" s="64"/>
      <c r="N70" s="64"/>
      <c r="O70" s="64"/>
    </row>
    <row r="71" spans="10:15" x14ac:dyDescent="0.25">
      <c r="J71" s="355"/>
      <c r="K71" s="66" t="s">
        <v>400</v>
      </c>
      <c r="L71" s="64"/>
      <c r="M71" s="64"/>
      <c r="N71" s="64"/>
      <c r="O71" s="64"/>
    </row>
    <row r="72" spans="10:15" x14ac:dyDescent="0.25">
      <c r="J72" s="355"/>
      <c r="K72" s="66" t="s">
        <v>401</v>
      </c>
      <c r="L72" s="64"/>
      <c r="M72" s="64"/>
      <c r="N72" s="64"/>
      <c r="O72" s="64"/>
    </row>
    <row r="73" spans="10:15" x14ac:dyDescent="0.25">
      <c r="J73" s="355"/>
      <c r="K73" s="66" t="s">
        <v>402</v>
      </c>
      <c r="L73" s="64"/>
      <c r="M73" s="64"/>
      <c r="N73" s="64"/>
      <c r="O73" s="64"/>
    </row>
    <row r="74" spans="10:15" x14ac:dyDescent="0.25">
      <c r="J74" s="355"/>
      <c r="K74" s="66" t="s">
        <v>404</v>
      </c>
      <c r="L74" s="64"/>
      <c r="M74" s="64"/>
      <c r="N74" s="64"/>
      <c r="O74" s="64"/>
    </row>
    <row r="75" spans="10:15" x14ac:dyDescent="0.25">
      <c r="J75" s="355"/>
      <c r="K75" s="66" t="s">
        <v>405</v>
      </c>
      <c r="L75" s="64"/>
      <c r="M75" s="64"/>
      <c r="N75" s="64"/>
      <c r="O75" s="64"/>
    </row>
    <row r="76" spans="10:15" x14ac:dyDescent="0.25">
      <c r="J76" s="355"/>
      <c r="K76" s="66" t="s">
        <v>406</v>
      </c>
      <c r="L76" s="64"/>
      <c r="M76" s="64"/>
      <c r="N76" s="64"/>
      <c r="O76" s="64"/>
    </row>
    <row r="77" spans="10:15" x14ac:dyDescent="0.25">
      <c r="J77" s="355"/>
      <c r="K77" s="66" t="s">
        <v>407</v>
      </c>
      <c r="L77" s="64"/>
      <c r="M77" s="64"/>
      <c r="N77" s="64"/>
      <c r="O77" s="64"/>
    </row>
    <row r="78" spans="10:15" x14ac:dyDescent="0.25">
      <c r="J78" s="355"/>
      <c r="K78" s="66" t="s">
        <v>408</v>
      </c>
      <c r="L78" s="64"/>
      <c r="M78" s="64"/>
      <c r="N78" s="64"/>
      <c r="O78" s="64"/>
    </row>
    <row r="79" spans="10:15" x14ac:dyDescent="0.25">
      <c r="J79" s="355"/>
      <c r="K79" s="62" t="s">
        <v>409</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7" fitToHeight="0" orientation="portrait" r:id="rId1"/>
  <headerFooter scaleWithDoc="0">
    <oddFooter>&amp;C&amp;"Arial,Regular"Page &amp;P</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efra document" ma:contentTypeID="0x010100A5BF1C78D9F64B679A5EBDE1C6598EBC01002D7C47F8D1FA7C4FAC096C5BA9D41879" ma:contentTypeVersion="18" ma:contentTypeDescription="Create a new document." ma:contentTypeScope="" ma:versionID="b4c84f15be57a99d6c8fb3a7f53e361a">
  <xsd:schema xmlns:xsd="http://www.w3.org/2001/XMLSchema" xmlns:xs="http://www.w3.org/2001/XMLSchema" xmlns:p="http://schemas.microsoft.com/office/2006/metadata/properties" xmlns:ns1="http://schemas.microsoft.com/sharepoint/v3" xmlns:ns2="662745e8-e224-48e8-a2e3-254862b8c2f5" xmlns:ns3="a30ec2d3-6aa3-4f23-a79e-22af4b182761" xmlns:ns4="e76eb3f9-f7d4-4afe-8d75-1839375753c6" targetNamespace="http://schemas.microsoft.com/office/2006/metadata/properties" ma:root="true" ma:fieldsID="f8f5991706eee4c950446b948786e1c3" ns1:_="" ns2:_="" ns3:_="" ns4:_="">
    <xsd:import namespace="http://schemas.microsoft.com/sharepoint/v3"/>
    <xsd:import namespace="662745e8-e224-48e8-a2e3-254862b8c2f5"/>
    <xsd:import namespace="a30ec2d3-6aa3-4f23-a79e-22af4b182761"/>
    <xsd:import namespace="e76eb3f9-f7d4-4afe-8d75-1839375753c6"/>
    <xsd:element name="properties">
      <xsd:complexType>
        <xsd:sequence>
          <xsd:element name="documentManagement">
            <xsd:complexType>
              <xsd:all>
                <xsd:element ref="ns2:lae2bfa7b6474897ab4a53f76ea236c7" minOccurs="0"/>
                <xsd:element ref="ns2:TaxCatchAll" minOccurs="0"/>
                <xsd:element ref="ns2:TaxCatchAllLabel" minOccurs="0"/>
                <xsd:element ref="ns2:cf401361b24e474cb011be6eb76c0e76" minOccurs="0"/>
                <xsd:element ref="ns2:n7493b4506bf40e28c373b1e51a33445" minOccurs="0"/>
                <xsd:element ref="ns2:HOMigrated" minOccurs="0"/>
                <xsd:element ref="ns2:k85d23755b3a46b5a51451cf336b2e9b" minOccurs="0"/>
                <xsd:element ref="ns2:Team" minOccurs="0"/>
                <xsd:element ref="ns2:Topic" minOccurs="0"/>
                <xsd:element ref="ns2:ddeb1fd0a9ad4436a96525d34737dc44" minOccurs="0"/>
                <xsd:element ref="ns2:fe59e9859d6a491389c5b03567f5dda5"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4:SharedWithUsers" minOccurs="0"/>
                <xsd:element ref="ns4:SharedWithDetails"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36" nillable="true" ma:displayName="Unified Compliance Policy Properties" ma:hidden="true" ma:internalName="_ip_UnifiedCompliancePolicyProperties">
      <xsd:simpleType>
        <xsd:restriction base="dms:Note"/>
      </xsd:simpleType>
    </xsd:element>
    <xsd:element name="_ip_UnifiedCompliancePolicyUIAction" ma:index="37"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62745e8-e224-48e8-a2e3-254862b8c2f5" elementFormDefault="qualified">
    <xsd:import namespace="http://schemas.microsoft.com/office/2006/documentManagement/types"/>
    <xsd:import namespace="http://schemas.microsoft.com/office/infopath/2007/PartnerControls"/>
    <xsd:element name="lae2bfa7b6474897ab4a53f76ea236c7" ma:index="8" ma:taxonomy="true" ma:internalName="lae2bfa7b6474897ab4a53f76ea236c7" ma:taxonomyFieldName="HOGovernmentSecurityClassification" ma:displayName="Government Security Classification" ma:readOnly="false" ma:default="6;#Official|14c80daa-741b-422c-9722-f71693c9ede4" ma:fieldId="{5ae2bfa7-b647-4897-ab4a-53f76ea236c7}" ma:sspId="d1117845-93f6-4da3-abaa-fcb4fa669c78" ma:termSetId="56209604-fc17-4ace-9b7b-f45f0f17d50b" ma:anchorId="00000000-0000-0000-0000-000000000000" ma:open="false" ma:isKeyword="false">
      <xsd:complexType>
        <xsd:sequence>
          <xsd:element ref="pc:Terms" minOccurs="0" maxOccurs="1"/>
        </xsd:sequence>
      </xsd:complexType>
    </xsd:element>
    <xsd:element name="TaxCatchAll" ma:index="9" nillable="true" ma:displayName="Taxonomy Catch All Column" ma:hidden="true" ma:list="{7e042894-9561-4bd7-be94-427ec9057a51}" ma:internalName="TaxCatchAll" ma:showField="CatchAllData"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TaxCatchAllLabel" ma:index="10" nillable="true" ma:displayName="Taxonomy Catch All Column1" ma:hidden="true" ma:list="{7e042894-9561-4bd7-be94-427ec9057a51}" ma:internalName="TaxCatchAllLabel" ma:readOnly="true" ma:showField="CatchAllDataLabel"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cf401361b24e474cb011be6eb76c0e76" ma:index="12" ma:taxonomy="true" ma:internalName="cf401361b24e474cb011be6eb76c0e76" ma:taxonomyFieldName="HOCopyrightLevel" ma:displayName="Copyright level" ma:readOnly="false" ma:default="7;#Crown|69589897-2828-4761-976e-717fd8e631c9" ma:fieldId="{cf401361-b24e-474c-b011-be6eb76c0e76}" ma:sspId="d1117845-93f6-4da3-abaa-fcb4fa669c78" ma:termSetId="bdd694c6-7266-48f2-93d6-d15992cd203e" ma:anchorId="00000000-0000-0000-0000-000000000000" ma:open="false" ma:isKeyword="false">
      <xsd:complexType>
        <xsd:sequence>
          <xsd:element ref="pc:Terms" minOccurs="0" maxOccurs="1"/>
        </xsd:sequence>
      </xsd:complexType>
    </xsd:element>
    <xsd:element name="n7493b4506bf40e28c373b1e51a33445" ma:index="14" nillable="true" ma:taxonomy="true" ma:internalName="n7493b4506bf40e28c373b1e51a33445" ma:taxonomyFieldName="HOSiteType" ma:displayName="Site type" ma:default="10;#Community|144ac7d7-0b9a-42f9-9385-2935294b6de3" ma:fieldId="{77493b45-06bf-40e2-8c37-3b1e51a33445}" ma:sspId="d1117845-93f6-4da3-abaa-fcb4fa669c78" ma:termSetId="4518b03a-1a05-49af-8bf2-e5548589f21b" ma:anchorId="00000000-0000-0000-0000-000000000000" ma:open="false" ma:isKeyword="false">
      <xsd:complexType>
        <xsd:sequence>
          <xsd:element ref="pc:Terms" minOccurs="0" maxOccurs="1"/>
        </xsd:sequence>
      </xsd:complexType>
    </xsd:element>
    <xsd:element name="HOMigrated" ma:index="16" nillable="true" ma:displayName="Migrated" ma:default="0" ma:internalName="HOMigrated">
      <xsd:simpleType>
        <xsd:restriction base="dms:Boolean"/>
      </xsd:simpleType>
    </xsd:element>
    <xsd:element name="k85d23755b3a46b5a51451cf336b2e9b" ma:index="17" nillable="true" ma:taxonomy="true" ma:internalName="k85d23755b3a46b5a51451cf336b2e9b" ma:taxonomyFieldName="InformationType" ma:displayName="Information Type" ma:fieldId="{485d2375-5b3a-46b5-a514-51cf336b2e9b}" ma:sspId="d1117845-93f6-4da3-abaa-fcb4fa669c78" ma:termSetId="75cb3767-2327-4339-b999-281b3f58ac0a" ma:anchorId="00000000-0000-0000-0000-000000000000" ma:open="false" ma:isKeyword="false">
      <xsd:complexType>
        <xsd:sequence>
          <xsd:element ref="pc:Terms" minOccurs="0" maxOccurs="1"/>
        </xsd:sequence>
      </xsd:complexType>
    </xsd:element>
    <xsd:element name="Team" ma:index="19" nillable="true" ma:displayName="Team" ma:default="Waste Incineration Sector Group" ma:internalName="Team">
      <xsd:simpleType>
        <xsd:restriction base="dms:Text"/>
      </xsd:simpleType>
    </xsd:element>
    <xsd:element name="Topic" ma:index="20" nillable="true" ma:displayName="Topic" ma:default="Data" ma:internalName="Topic">
      <xsd:simpleType>
        <xsd:restriction base="dms:Text"/>
      </xsd:simpleType>
    </xsd:element>
    <xsd:element name="ddeb1fd0a9ad4436a96525d34737dc44" ma:index="21" nillable="true" ma:taxonomy="true" ma:internalName="ddeb1fd0a9ad4436a96525d34737dc44" ma:taxonomyFieldName="Distribution" ma:displayName="Distribution" ma:default="9;#Internal EA|b77da37e-7166-4741-8c12-4679faab22d9" ma:fieldId="{ddeb1fd0-a9ad-4436-a965-25d34737dc44}" ma:sspId="d1117845-93f6-4da3-abaa-fcb4fa669c78" ma:termSetId="9c8b5dbf-8bad-46e4-8055-6e01c16178d6" ma:anchorId="00000000-0000-0000-0000-000000000000" ma:open="false" ma:isKeyword="false">
      <xsd:complexType>
        <xsd:sequence>
          <xsd:element ref="pc:Terms" minOccurs="0" maxOccurs="1"/>
        </xsd:sequence>
      </xsd:complexType>
    </xsd:element>
    <xsd:element name="fe59e9859d6a491389c5b03567f5dda5" ma:index="23" nillable="true" ma:taxonomy="true" ma:internalName="fe59e9859d6a491389c5b03567f5dda5" ma:taxonomyFieldName="OrganisationalUnit" ma:displayName="Organisational Unit" ma:default="8;#EA|d5f78ddb-b1b6-4328-9877-d7e3ed06fdac" ma:fieldId="{fe59e985-9d6a-4913-89c5-b03567f5dda5}" ma:sspId="d1117845-93f6-4da3-abaa-fcb4fa669c78" ma:termSetId="55eb802e-fbca-455b-a7d2-d5919d4ea3d2"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a30ec2d3-6aa3-4f23-a79e-22af4b182761" elementFormDefault="qualified">
    <xsd:import namespace="http://schemas.microsoft.com/office/2006/documentManagement/types"/>
    <xsd:import namespace="http://schemas.microsoft.com/office/infopath/2007/PartnerControls"/>
    <xsd:element name="MediaServiceMetadata" ma:index="25" nillable="true" ma:displayName="MediaServiceMetadata" ma:hidden="true" ma:internalName="MediaServiceMetadata" ma:readOnly="true">
      <xsd:simpleType>
        <xsd:restriction base="dms:Note"/>
      </xsd:simpleType>
    </xsd:element>
    <xsd:element name="MediaServiceFastMetadata" ma:index="26" nillable="true" ma:displayName="MediaServiceFastMetadata" ma:hidden="true" ma:internalName="MediaServiceFastMetadata" ma:readOnly="true">
      <xsd:simpleType>
        <xsd:restriction base="dms:Note"/>
      </xsd:simpleType>
    </xsd:element>
    <xsd:element name="MediaServiceAutoKeyPoints" ma:index="27" nillable="true" ma:displayName="MediaServiceAutoKeyPoints" ma:hidden="true" ma:internalName="MediaServiceAutoKeyPoints" ma:readOnly="true">
      <xsd:simpleType>
        <xsd:restriction base="dms:Note"/>
      </xsd:simpleType>
    </xsd:element>
    <xsd:element name="MediaServiceKeyPoints" ma:index="28" nillable="true" ma:displayName="KeyPoints" ma:internalName="MediaServiceKeyPoints" ma:readOnly="true">
      <xsd:simpleType>
        <xsd:restriction base="dms:Note">
          <xsd:maxLength value="255"/>
        </xsd:restriction>
      </xsd:simpleType>
    </xsd:element>
    <xsd:element name="MediaServiceDateTaken" ma:index="29" nillable="true" ma:displayName="MediaServiceDateTaken" ma:hidden="true" ma:internalName="MediaServiceDateTaken" ma:readOnly="true">
      <xsd:simpleType>
        <xsd:restriction base="dms:Text"/>
      </xsd:simpleType>
    </xsd:element>
    <xsd:element name="MediaServiceAutoTags" ma:index="30" nillable="true" ma:displayName="Tags" ma:internalName="MediaServiceAutoTags" ma:readOnly="true">
      <xsd:simpleType>
        <xsd:restriction base="dms:Text"/>
      </xsd:simpleType>
    </xsd:element>
    <xsd:element name="MediaServiceOCR" ma:index="31" nillable="true" ma:displayName="Extracted Text" ma:internalName="MediaServiceOCR" ma:readOnly="true">
      <xsd:simpleType>
        <xsd:restriction base="dms:Note">
          <xsd:maxLength value="255"/>
        </xsd:restriction>
      </xsd:simpleType>
    </xsd:element>
    <xsd:element name="MediaServiceGenerationTime" ma:index="32" nillable="true" ma:displayName="MediaServiceGenerationTime" ma:hidden="true" ma:internalName="MediaServiceGenerationTime" ma:readOnly="true">
      <xsd:simpleType>
        <xsd:restriction base="dms:Text"/>
      </xsd:simpleType>
    </xsd:element>
    <xsd:element name="MediaServiceEventHashCode" ma:index="3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76eb3f9-f7d4-4afe-8d75-1839375753c6" elementFormDefault="qualified">
    <xsd:import namespace="http://schemas.microsoft.com/office/2006/documentManagement/types"/>
    <xsd:import namespace="http://schemas.microsoft.com/office/infopath/2007/PartnerControls"/>
    <xsd:element name="SharedWithUsers" ma:index="3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662745e8-e224-48e8-a2e3-254862b8c2f5">
      <Value>6</Value>
      <Value>10</Value>
      <Value>9</Value>
      <Value>8</Value>
      <Value>7</Value>
    </TaxCatchAll>
    <cf401361b24e474cb011be6eb76c0e76 xmlns="662745e8-e224-48e8-a2e3-254862b8c2f5">
      <Terms xmlns="http://schemas.microsoft.com/office/infopath/2007/PartnerControls">
        <TermInfo xmlns="http://schemas.microsoft.com/office/infopath/2007/PartnerControls">
          <TermName xmlns="http://schemas.microsoft.com/office/infopath/2007/PartnerControls">Crown</TermName>
          <TermId xmlns="http://schemas.microsoft.com/office/infopath/2007/PartnerControls">69589897-2828-4761-976e-717fd8e631c9</TermId>
        </TermInfo>
      </Terms>
    </cf401361b24e474cb011be6eb76c0e76>
    <_ip_UnifiedCompliancePolicyUIAction xmlns="http://schemas.microsoft.com/sharepoint/v3" xsi:nil="true"/>
    <k85d23755b3a46b5a51451cf336b2e9b xmlns="662745e8-e224-48e8-a2e3-254862b8c2f5">
      <Terms xmlns="http://schemas.microsoft.com/office/infopath/2007/PartnerControls"/>
    </k85d23755b3a46b5a51451cf336b2e9b>
    <Topic xmlns="662745e8-e224-48e8-a2e3-254862b8c2f5">Data</Topic>
    <HOMigrated xmlns="662745e8-e224-48e8-a2e3-254862b8c2f5">false</HOMigrated>
    <ddeb1fd0a9ad4436a96525d34737dc44 xmlns="662745e8-e224-48e8-a2e3-254862b8c2f5">
      <Terms xmlns="http://schemas.microsoft.com/office/infopath/2007/PartnerControls">
        <TermInfo xmlns="http://schemas.microsoft.com/office/infopath/2007/PartnerControls">
          <TermName xmlns="http://schemas.microsoft.com/office/infopath/2007/PartnerControls">Internal EA</TermName>
          <TermId xmlns="http://schemas.microsoft.com/office/infopath/2007/PartnerControls">b77da37e-7166-4741-8c12-4679faab22d9</TermId>
        </TermInfo>
      </Terms>
    </ddeb1fd0a9ad4436a96525d34737dc44>
    <_ip_UnifiedCompliancePolicyProperties xmlns="http://schemas.microsoft.com/sharepoint/v3" xsi:nil="true"/>
    <lae2bfa7b6474897ab4a53f76ea236c7 xmlns="662745e8-e224-48e8-a2e3-254862b8c2f5">
      <Terms xmlns="http://schemas.microsoft.com/office/infopath/2007/PartnerControls">
        <TermInfo xmlns="http://schemas.microsoft.com/office/infopath/2007/PartnerControls">
          <TermName xmlns="http://schemas.microsoft.com/office/infopath/2007/PartnerControls">Official</TermName>
          <TermId xmlns="http://schemas.microsoft.com/office/infopath/2007/PartnerControls">14c80daa-741b-422c-9722-f71693c9ede4</TermId>
        </TermInfo>
      </Terms>
    </lae2bfa7b6474897ab4a53f76ea236c7>
    <fe59e9859d6a491389c5b03567f5dda5 xmlns="662745e8-e224-48e8-a2e3-254862b8c2f5">
      <Terms xmlns="http://schemas.microsoft.com/office/infopath/2007/PartnerControls">
        <TermInfo xmlns="http://schemas.microsoft.com/office/infopath/2007/PartnerControls">
          <TermName xmlns="http://schemas.microsoft.com/office/infopath/2007/PartnerControls">EA</TermName>
          <TermId xmlns="http://schemas.microsoft.com/office/infopath/2007/PartnerControls">d5f78ddb-b1b6-4328-9877-d7e3ed06fdac</TermId>
        </TermInfo>
      </Terms>
    </fe59e9859d6a491389c5b03567f5dda5>
    <Team xmlns="662745e8-e224-48e8-a2e3-254862b8c2f5">Waste Incineration Sector Group</Team>
    <n7493b4506bf40e28c373b1e51a33445 xmlns="662745e8-e224-48e8-a2e3-254862b8c2f5">
      <Terms xmlns="http://schemas.microsoft.com/office/infopath/2007/PartnerControls">
        <TermInfo xmlns="http://schemas.microsoft.com/office/infopath/2007/PartnerControls">
          <TermName xmlns="http://schemas.microsoft.com/office/infopath/2007/PartnerControls">Community</TermName>
          <TermId xmlns="http://schemas.microsoft.com/office/infopath/2007/PartnerControls">144ac7d7-0b9a-42f9-9385-2935294b6de3</TermId>
        </TermInfo>
      </Terms>
    </n7493b4506bf40e28c373b1e51a33445>
  </documentManagement>
</p:properties>
</file>

<file path=customXml/item4.xml><?xml version="1.0" encoding="utf-8"?>
<?mso-contentType ?>
<SharedContentType xmlns="Microsoft.SharePoint.Taxonomy.ContentTypeSync" SourceId="d1117845-93f6-4da3-abaa-fcb4fa669c78" ContentTypeId="0x010100A5BF1C78D9F64B679A5EBDE1C6598EBC01" PreviousValue="false"/>
</file>

<file path=customXml/itemProps1.xml><?xml version="1.0" encoding="utf-8"?>
<ds:datastoreItem xmlns:ds="http://schemas.openxmlformats.org/officeDocument/2006/customXml" ds:itemID="{130E79B3-286C-4594-AC93-4243D3FE78E7}">
  <ds:schemaRefs>
    <ds:schemaRef ds:uri="http://schemas.microsoft.com/sharepoint/v3/contenttype/forms"/>
  </ds:schemaRefs>
</ds:datastoreItem>
</file>

<file path=customXml/itemProps2.xml><?xml version="1.0" encoding="utf-8"?>
<ds:datastoreItem xmlns:ds="http://schemas.openxmlformats.org/officeDocument/2006/customXml" ds:itemID="{A8C1EAD9-7139-4A71-992C-406E9A38253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662745e8-e224-48e8-a2e3-254862b8c2f5"/>
    <ds:schemaRef ds:uri="a30ec2d3-6aa3-4f23-a79e-22af4b182761"/>
    <ds:schemaRef ds:uri="e76eb3f9-f7d4-4afe-8d75-1839375753c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3A65312-EDD8-4ED5-85CD-21EC9D2BFEF5}">
  <ds:schemaRefs>
    <ds:schemaRef ds:uri="http://schemas.microsoft.com/office/2006/metadata/properties"/>
    <ds:schemaRef ds:uri="http://schemas.microsoft.com/office/infopath/2007/PartnerControls"/>
    <ds:schemaRef ds:uri="662745e8-e224-48e8-a2e3-254862b8c2f5"/>
    <ds:schemaRef ds:uri="http://schemas.microsoft.com/sharepoint/v3"/>
  </ds:schemaRefs>
</ds:datastoreItem>
</file>

<file path=customXml/itemProps4.xml><?xml version="1.0" encoding="utf-8"?>
<ds:datastoreItem xmlns:ds="http://schemas.openxmlformats.org/officeDocument/2006/customXml" ds:itemID="{CA266F6C-64CD-4576-BF0D-B7B67273B3CB}">
  <ds:schemaRefs>
    <ds:schemaRef ds:uri="Microsoft.SharePoint.Taxonomy.ContentTypeSyn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23</vt:i4>
      </vt:variant>
    </vt:vector>
  </HeadingPairs>
  <TitlesOfParts>
    <vt:vector size="46" baseType="lpstr">
      <vt:lpstr>Cover Page</vt:lpstr>
      <vt:lpstr>Contents</vt:lpstr>
      <vt:lpstr>Facility Info</vt:lpstr>
      <vt:lpstr>Operational Data</vt:lpstr>
      <vt:lpstr>Operational Summary</vt:lpstr>
      <vt:lpstr>Perf. Form 1</vt:lpstr>
      <vt:lpstr>Energy Form 1</vt:lpstr>
      <vt:lpstr>Permit Compliance</vt:lpstr>
      <vt:lpstr>Improvements</vt:lpstr>
      <vt:lpstr>Public Liasion</vt:lpstr>
      <vt:lpstr>CO2 N2O</vt:lpstr>
      <vt:lpstr>Residue Quality </vt:lpstr>
      <vt:lpstr>Water</vt:lpstr>
      <vt:lpstr>Air (periodic)</vt:lpstr>
      <vt:lpstr>Air (CEMS)</vt:lpstr>
      <vt:lpstr>HCl</vt:lpstr>
      <vt:lpstr>SO2</vt:lpstr>
      <vt:lpstr>NOx</vt:lpstr>
      <vt:lpstr>TOC</vt:lpstr>
      <vt:lpstr>Particulates</vt:lpstr>
      <vt:lpstr>CO 0.5hourly</vt:lpstr>
      <vt:lpstr>CO 95% 10 min</vt:lpstr>
      <vt:lpstr>NH3</vt:lpstr>
      <vt:lpstr>'Air (CEMS)'!Print_Area</vt:lpstr>
      <vt:lpstr>'Air (periodic)'!Print_Area</vt:lpstr>
      <vt:lpstr>'CO 0.5hourly'!Print_Area</vt:lpstr>
      <vt:lpstr>'CO 95% 10 min'!Print_Area</vt:lpstr>
      <vt:lpstr>'CO2 N2O'!Print_Area</vt:lpstr>
      <vt:lpstr>Contents!Print_Area</vt:lpstr>
      <vt:lpstr>'Cover Page'!Print_Area</vt:lpstr>
      <vt:lpstr>'Energy Form 1'!Print_Area</vt:lpstr>
      <vt:lpstr>'Facility Info'!Print_Area</vt:lpstr>
      <vt:lpstr>HCl!Print_Area</vt:lpstr>
      <vt:lpstr>Improvements!Print_Area</vt:lpstr>
      <vt:lpstr>'NH3'!Print_Area</vt:lpstr>
      <vt:lpstr>NOx!Print_Area</vt:lpstr>
      <vt:lpstr>'Operational Data'!Print_Area</vt:lpstr>
      <vt:lpstr>'Operational Summary'!Print_Area</vt:lpstr>
      <vt:lpstr>Particulates!Print_Area</vt:lpstr>
      <vt:lpstr>'Perf. Form 1'!Print_Area</vt:lpstr>
      <vt:lpstr>'Permit Compliance'!Print_Area</vt:lpstr>
      <vt:lpstr>'Public Liasion'!Print_Area</vt:lpstr>
      <vt:lpstr>'Residue Quality '!Print_Area</vt:lpstr>
      <vt:lpstr>'SO2'!Print_Area</vt:lpstr>
      <vt:lpstr>TOC!Print_Area</vt:lpstr>
      <vt:lpstr>Water!Print_Area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Jonas</dc:creator>
  <cp:keywords/>
  <dc:description/>
  <cp:lastModifiedBy>Freeman, Ben</cp:lastModifiedBy>
  <cp:revision/>
  <dcterms:created xsi:type="dcterms:W3CDTF">2019-04-02T06:44:55Z</dcterms:created>
  <dcterms:modified xsi:type="dcterms:W3CDTF">2023-03-22T17:17:34Z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0x010100A5BF1C78D9F64B679A5EBDE1C6598EBC01002D7C47F8D1FA7C4FAC096C5BA9D41879</vt:lpwstr>
  </property>
  <property fmtid="{D5CDD505-2E9C-101B-9397-08002B2CF9AE}" pid="3" name="MediaServiceImageTags">
    <vt:lpwstr/>
  </property>
  <property fmtid="{D5CDD505-2E9C-101B-9397-08002B2CF9AE}" pid="4" name="InformationType">
    <vt:lpwstr/>
  </property>
  <property fmtid="{D5CDD505-2E9C-101B-9397-08002B2CF9AE}" pid="5" name="Distribution">
    <vt:lpwstr>9;#Internal EA|b77da37e-7166-4741-8c12-4679faab22d9</vt:lpwstr>
  </property>
  <property fmtid="{D5CDD505-2E9C-101B-9397-08002B2CF9AE}" pid="6" name="HOCopyrightLevel">
    <vt:lpwstr>7;#Crown|69589897-2828-4761-976e-717fd8e631c9</vt:lpwstr>
  </property>
  <property fmtid="{D5CDD505-2E9C-101B-9397-08002B2CF9AE}" pid="7" name="HOGovernmentSecurityClassification">
    <vt:lpwstr>6;#Official|14c80daa-741b-422c-9722-f71693c9ede4</vt:lpwstr>
  </property>
  <property fmtid="{D5CDD505-2E9C-101B-9397-08002B2CF9AE}" pid="8" name="HOSiteType">
    <vt:lpwstr>10;#Community|144ac7d7-0b9a-42f9-9385-2935294b6de3</vt:lpwstr>
  </property>
  <property fmtid="{D5CDD505-2E9C-101B-9397-08002B2CF9AE}" pid="9" name="OrganisationalUnit">
    <vt:lpwstr>8;#EA|d5f78ddb-b1b6-4328-9877-d7e3ed06fdac</vt:lpwstr>
  </property>
</Properties>
</file>