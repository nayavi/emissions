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Greater Manchester &amp; Cheshire/"/>
    </mc:Choice>
  </mc:AlternateContent>
  <xr:revisionPtr revIDLastSave="0" documentId="13_ncr:1_{FDEC07D2-2778-4DB6-9F6A-6D7D4AA80198}" xr6:coauthVersionLast="47" xr6:coauthVersionMax="47" xr10:uidLastSave="{00000000-0000-0000-0000-000000000000}"/>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N20 CO2"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externalReferences>
    <externalReference r:id="rId23"/>
  </externalReferences>
  <definedNames>
    <definedName name="_xlnm.Print_Area" localSheetId="14">'Air (CEMS)'!$A$1:$M$31</definedName>
    <definedName name="_xlnm.Print_Area" localSheetId="13">'Air (periodic)'!$A$1:$J$41</definedName>
    <definedName name="_xlnm.Print_Area" localSheetId="20">'CO 95% 10 min'!$A$1:$H$52</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Improvements!$A$1:$J$38</definedName>
    <definedName name="_xlnm.Print_Area" localSheetId="21">'NH3'!$A$1:$G$52</definedName>
    <definedName name="_xlnm.Print_Area" localSheetId="17">NOx!$A$1:$G$52</definedName>
    <definedName name="_xlnm.Print_Area" localSheetId="3">'Operational Data'!$A$1:$L$64</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Compliance'!$A$1:$J$38</definedName>
    <definedName name="_xlnm.Print_Area" localSheetId="9">'Public Liasion'!$A$1:$J$29</definedName>
    <definedName name="_xlnm.Print_Area" localSheetId="11">'Residue Quality '!$A$1:$G$37</definedName>
    <definedName name="_xlnm.Print_Area" localSheetId="16">'SO2'!$A$1:$G$52</definedName>
    <definedName name="_xlnm.Print_Area" localSheetId="18">TOC!$A$1:$G$52</definedName>
    <definedName name="_xlnm.Print_Area" localSheetId="12">Water!$A$1:$J$25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9" i="30" l="1"/>
  <c r="A1" i="32"/>
  <c r="C1" i="32"/>
  <c r="H38" i="6"/>
  <c r="H37" i="6"/>
  <c r="H29" i="6"/>
  <c r="H28" i="6"/>
  <c r="H19" i="6"/>
  <c r="H15" i="6"/>
  <c r="H14" i="6"/>
  <c r="H13" i="6"/>
  <c r="H12" i="6"/>
  <c r="H11" i="6"/>
  <c r="H10" i="6"/>
  <c r="H9" i="6"/>
  <c r="I12" i="7" l="1"/>
  <c r="I13" i="7"/>
  <c r="I14" i="7"/>
  <c r="I20" i="7"/>
  <c r="I21" i="7"/>
  <c r="I22" i="7"/>
  <c r="A1" i="3" l="1"/>
  <c r="G33" i="6" l="1"/>
  <c r="E11" i="7" s="1"/>
  <c r="A1" i="22" l="1"/>
  <c r="H8" i="30" l="1"/>
  <c r="H9" i="30"/>
  <c r="H10" i="30"/>
  <c r="H11" i="30"/>
  <c r="H12" i="30"/>
  <c r="H13" i="30"/>
  <c r="H14" i="30"/>
  <c r="H15" i="30"/>
  <c r="H16" i="30"/>
  <c r="H17" i="30"/>
  <c r="H18" i="30"/>
  <c r="H7" i="30"/>
  <c r="G8" i="30"/>
  <c r="G9" i="30"/>
  <c r="G10" i="30"/>
  <c r="G11" i="30"/>
  <c r="G12" i="30"/>
  <c r="G13" i="30"/>
  <c r="G14" i="30"/>
  <c r="G15" i="30"/>
  <c r="G16" i="30"/>
  <c r="G17" i="30"/>
  <c r="G18" i="30"/>
  <c r="G7" i="30"/>
  <c r="E8" i="30"/>
  <c r="E9" i="30"/>
  <c r="E10" i="30"/>
  <c r="E11" i="30"/>
  <c r="E12" i="30"/>
  <c r="E13" i="30"/>
  <c r="E14" i="30"/>
  <c r="E15" i="30"/>
  <c r="E16" i="30"/>
  <c r="E17" i="30"/>
  <c r="E18" i="30"/>
  <c r="E7" i="30"/>
  <c r="D8" i="30"/>
  <c r="D9" i="30"/>
  <c r="D10" i="30"/>
  <c r="D11" i="30"/>
  <c r="D12" i="30"/>
  <c r="D13" i="30"/>
  <c r="D14" i="30"/>
  <c r="D15" i="30"/>
  <c r="D16" i="30"/>
  <c r="D17" i="30"/>
  <c r="D18" i="30"/>
  <c r="D7" i="30"/>
  <c r="C8" i="30"/>
  <c r="C9" i="30"/>
  <c r="C10" i="30"/>
  <c r="C11" i="30"/>
  <c r="C12" i="30"/>
  <c r="C13" i="30"/>
  <c r="C14" i="30"/>
  <c r="C15" i="30"/>
  <c r="C16" i="30"/>
  <c r="C17" i="30"/>
  <c r="C18" i="30"/>
  <c r="C7" i="30"/>
  <c r="G8" i="31" l="1"/>
  <c r="G9" i="31"/>
  <c r="G10" i="31"/>
  <c r="G11" i="31"/>
  <c r="G12" i="31"/>
  <c r="G13" i="31"/>
  <c r="G14" i="31"/>
  <c r="G15" i="31"/>
  <c r="G16" i="31"/>
  <c r="G17" i="31"/>
  <c r="G18" i="31"/>
  <c r="F8" i="31"/>
  <c r="F9" i="31"/>
  <c r="F10" i="31"/>
  <c r="F11" i="31"/>
  <c r="F12" i="31"/>
  <c r="F13" i="31"/>
  <c r="F14" i="31"/>
  <c r="F15" i="31"/>
  <c r="F16" i="31"/>
  <c r="F17" i="31"/>
  <c r="F18" i="31"/>
  <c r="D18" i="31"/>
  <c r="D8" i="31"/>
  <c r="D9" i="31"/>
  <c r="D10" i="31"/>
  <c r="D11" i="31"/>
  <c r="D12" i="31"/>
  <c r="D13" i="31"/>
  <c r="D14" i="31"/>
  <c r="D15" i="31"/>
  <c r="D16" i="31"/>
  <c r="D17" i="31"/>
  <c r="C8" i="31"/>
  <c r="C9" i="31"/>
  <c r="C10" i="31"/>
  <c r="C11" i="31"/>
  <c r="C12" i="31"/>
  <c r="C13" i="31"/>
  <c r="C14" i="31"/>
  <c r="C15" i="31"/>
  <c r="C16" i="31"/>
  <c r="C17" i="31"/>
  <c r="C18" i="31"/>
  <c r="G7" i="31"/>
  <c r="F7" i="31"/>
  <c r="D7" i="31"/>
  <c r="C7" i="31"/>
  <c r="G8" i="28"/>
  <c r="G9" i="28"/>
  <c r="G10" i="28"/>
  <c r="G11" i="28"/>
  <c r="G12" i="28"/>
  <c r="G13" i="28"/>
  <c r="G14" i="28"/>
  <c r="G15" i="28"/>
  <c r="G16" i="28"/>
  <c r="G17" i="28"/>
  <c r="G18" i="28"/>
  <c r="F8" i="28"/>
  <c r="F9" i="28"/>
  <c r="F10" i="28"/>
  <c r="F11" i="28"/>
  <c r="F12" i="28"/>
  <c r="F13" i="28"/>
  <c r="F14" i="28"/>
  <c r="F15" i="28"/>
  <c r="F16" i="28"/>
  <c r="F17" i="28"/>
  <c r="F18" i="28"/>
  <c r="D8" i="28"/>
  <c r="D9" i="28"/>
  <c r="D10" i="28"/>
  <c r="D11" i="28"/>
  <c r="D12" i="28"/>
  <c r="D13" i="28"/>
  <c r="D14" i="28"/>
  <c r="D15" i="28"/>
  <c r="D16" i="28"/>
  <c r="D17" i="28"/>
  <c r="D18" i="28"/>
  <c r="C8" i="28"/>
  <c r="C9" i="28"/>
  <c r="C10" i="28"/>
  <c r="C11" i="28"/>
  <c r="C12" i="28"/>
  <c r="C13" i="28"/>
  <c r="C14" i="28"/>
  <c r="C15" i="28"/>
  <c r="C16" i="28"/>
  <c r="C17" i="28"/>
  <c r="C18" i="28"/>
  <c r="G7" i="28"/>
  <c r="F7" i="28"/>
  <c r="D7" i="28"/>
  <c r="C7" i="28"/>
  <c r="G8" i="27"/>
  <c r="G9" i="27"/>
  <c r="G10" i="27"/>
  <c r="G11" i="27"/>
  <c r="G12" i="27"/>
  <c r="G13" i="27"/>
  <c r="G14" i="27"/>
  <c r="G15" i="27"/>
  <c r="G16" i="27"/>
  <c r="G17" i="27"/>
  <c r="G18" i="27"/>
  <c r="F8" i="27"/>
  <c r="F9" i="27"/>
  <c r="F10" i="27"/>
  <c r="F11" i="27"/>
  <c r="F12" i="27"/>
  <c r="F13" i="27"/>
  <c r="F14" i="27"/>
  <c r="F15" i="27"/>
  <c r="F16" i="27"/>
  <c r="F17" i="27"/>
  <c r="F18" i="27"/>
  <c r="D8" i="27"/>
  <c r="D9" i="27"/>
  <c r="D10" i="27"/>
  <c r="D11" i="27"/>
  <c r="D12" i="27"/>
  <c r="D13" i="27"/>
  <c r="D14" i="27"/>
  <c r="D15" i="27"/>
  <c r="D16" i="27"/>
  <c r="D17" i="27"/>
  <c r="D18" i="27"/>
  <c r="C18" i="27"/>
  <c r="C8" i="27"/>
  <c r="C9" i="27"/>
  <c r="C10" i="27"/>
  <c r="C11" i="27"/>
  <c r="C12" i="27"/>
  <c r="C13" i="27"/>
  <c r="C14" i="27"/>
  <c r="C15" i="27"/>
  <c r="C16" i="27"/>
  <c r="C17" i="27"/>
  <c r="G7" i="27"/>
  <c r="F7" i="27"/>
  <c r="D7" i="27"/>
  <c r="C7" i="27"/>
  <c r="C8" i="26"/>
  <c r="C9" i="26"/>
  <c r="C10" i="26"/>
  <c r="C11" i="26"/>
  <c r="C12" i="26"/>
  <c r="C13" i="26"/>
  <c r="C14" i="26"/>
  <c r="C15" i="26"/>
  <c r="C16" i="26"/>
  <c r="C17" i="26"/>
  <c r="C18" i="26"/>
  <c r="D8" i="26"/>
  <c r="D9" i="26"/>
  <c r="D10" i="26"/>
  <c r="D11" i="26"/>
  <c r="D12" i="26"/>
  <c r="D13" i="26"/>
  <c r="D14" i="26"/>
  <c r="D15" i="26"/>
  <c r="D16" i="26"/>
  <c r="D17" i="26"/>
  <c r="D18" i="26"/>
  <c r="F8" i="26"/>
  <c r="F9" i="26"/>
  <c r="F10" i="26"/>
  <c r="F11" i="26"/>
  <c r="F12" i="26"/>
  <c r="F13" i="26"/>
  <c r="F14" i="26"/>
  <c r="F15" i="26"/>
  <c r="F16" i="26"/>
  <c r="F17" i="26"/>
  <c r="F18" i="26"/>
  <c r="G8" i="26"/>
  <c r="G9" i="26"/>
  <c r="G10" i="26"/>
  <c r="G11" i="26"/>
  <c r="G12" i="26"/>
  <c r="G13" i="26"/>
  <c r="G14" i="26"/>
  <c r="G15" i="26"/>
  <c r="G16" i="26"/>
  <c r="G17" i="26"/>
  <c r="G18" i="26"/>
  <c r="G7" i="26"/>
  <c r="F7" i="26"/>
  <c r="D7" i="26"/>
  <c r="C7" i="26"/>
  <c r="G8" i="25"/>
  <c r="G9" i="25"/>
  <c r="G10" i="25"/>
  <c r="G11" i="25"/>
  <c r="G12" i="25"/>
  <c r="G13" i="25"/>
  <c r="G14" i="25"/>
  <c r="G15" i="25"/>
  <c r="G16" i="25"/>
  <c r="G17" i="25"/>
  <c r="G18" i="25"/>
  <c r="F8" i="25"/>
  <c r="F9" i="25"/>
  <c r="F10" i="25"/>
  <c r="F11" i="25"/>
  <c r="F12" i="25"/>
  <c r="F13" i="25"/>
  <c r="F14" i="25"/>
  <c r="F15" i="25"/>
  <c r="F16" i="25"/>
  <c r="F17" i="25"/>
  <c r="F18" i="25"/>
  <c r="D8" i="25"/>
  <c r="D9" i="25"/>
  <c r="D10" i="25"/>
  <c r="D11" i="25"/>
  <c r="D12" i="25"/>
  <c r="D13" i="25"/>
  <c r="D14" i="25"/>
  <c r="D15" i="25"/>
  <c r="D16" i="25"/>
  <c r="D17" i="25"/>
  <c r="D18" i="25"/>
  <c r="C8" i="25"/>
  <c r="C9" i="25"/>
  <c r="C10" i="25"/>
  <c r="C11" i="25"/>
  <c r="C12" i="25"/>
  <c r="C13" i="25"/>
  <c r="C14" i="25"/>
  <c r="C15" i="25"/>
  <c r="C16" i="25"/>
  <c r="C17" i="25"/>
  <c r="C18" i="25"/>
  <c r="G7" i="25"/>
  <c r="F7" i="25"/>
  <c r="D7" i="25"/>
  <c r="C7" i="25"/>
  <c r="G8" i="13"/>
  <c r="G9" i="13"/>
  <c r="G10" i="13"/>
  <c r="G11" i="13"/>
  <c r="G12" i="13"/>
  <c r="G13" i="13"/>
  <c r="G14" i="13"/>
  <c r="G15" i="13"/>
  <c r="G16" i="13"/>
  <c r="G17" i="13"/>
  <c r="G18" i="13"/>
  <c r="G7" i="13"/>
  <c r="F8" i="13"/>
  <c r="F9" i="13"/>
  <c r="F10" i="13"/>
  <c r="F11" i="13"/>
  <c r="F12" i="13"/>
  <c r="F13" i="13"/>
  <c r="F14" i="13"/>
  <c r="F15" i="13"/>
  <c r="F16" i="13"/>
  <c r="F17" i="13"/>
  <c r="F18" i="13"/>
  <c r="F7" i="13"/>
  <c r="D8" i="13"/>
  <c r="D9" i="13"/>
  <c r="D10" i="13"/>
  <c r="D11" i="13"/>
  <c r="D12" i="13"/>
  <c r="D13" i="13"/>
  <c r="D14" i="13"/>
  <c r="D15" i="13"/>
  <c r="D16" i="13"/>
  <c r="D17" i="13"/>
  <c r="D18" i="13"/>
  <c r="D7" i="13"/>
  <c r="C8" i="13"/>
  <c r="C9" i="13"/>
  <c r="C10" i="13"/>
  <c r="C11" i="13"/>
  <c r="C12" i="13"/>
  <c r="C13" i="13"/>
  <c r="C14" i="13"/>
  <c r="C15" i="13"/>
  <c r="C16" i="13"/>
  <c r="C17" i="13"/>
  <c r="C18" i="13"/>
  <c r="C7" i="13"/>
  <c r="E8" i="31" l="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J3" i="31" l="1"/>
  <c r="J3" i="30"/>
  <c r="J3" i="28"/>
  <c r="J3" i="27"/>
  <c r="J3" i="26"/>
  <c r="J3" i="25"/>
  <c r="J3" i="13"/>
  <c r="G19" i="6" l="1"/>
  <c r="G55" i="6" l="1"/>
  <c r="H55" i="6" s="1"/>
  <c r="G57" i="6" l="1"/>
  <c r="H57" i="6" s="1"/>
  <c r="G63" i="6"/>
  <c r="G62" i="6"/>
  <c r="C48" i="7" s="1"/>
  <c r="G61" i="6"/>
  <c r="C47" i="7" s="1"/>
  <c r="G59" i="6"/>
  <c r="G52" i="6"/>
  <c r="H52" i="6" s="1"/>
  <c r="G53" i="6"/>
  <c r="H53" i="6" s="1"/>
  <c r="G54" i="6"/>
  <c r="H54" i="6" s="1"/>
  <c r="G58" i="6"/>
  <c r="H58" i="6" s="1"/>
  <c r="H51" i="6" l="1"/>
  <c r="C46" i="7"/>
  <c r="D18" i="6"/>
  <c r="D21" i="6" s="1"/>
  <c r="E18" i="6"/>
  <c r="E21" i="6" s="1"/>
  <c r="F18" i="6"/>
  <c r="F21" i="6" s="1"/>
  <c r="C18" i="6"/>
  <c r="C21" i="6" s="1"/>
  <c r="G21" i="6" l="1"/>
  <c r="H33" i="6" s="1"/>
  <c r="E1" i="31"/>
  <c r="A1" i="31"/>
  <c r="E1" i="30"/>
  <c r="A1" i="30"/>
  <c r="E1" i="28"/>
  <c r="A1" i="28"/>
  <c r="E1" i="27"/>
  <c r="A1" i="27"/>
  <c r="E1" i="26"/>
  <c r="A1" i="26"/>
  <c r="E1" i="25"/>
  <c r="A1" i="25"/>
  <c r="E1" i="13"/>
  <c r="A1" i="13"/>
  <c r="I1" i="24"/>
  <c r="A1" i="24"/>
  <c r="E1" i="23"/>
  <c r="A1" i="23"/>
  <c r="E1" i="22"/>
  <c r="E1" i="21"/>
  <c r="A1" i="21"/>
  <c r="E1" i="11"/>
  <c r="A1" i="11"/>
  <c r="E1" i="10"/>
  <c r="A1" i="10"/>
  <c r="E1" i="9"/>
  <c r="A1" i="9"/>
  <c r="E1" i="6"/>
  <c r="A1" i="6"/>
  <c r="E1" i="5"/>
  <c r="A1" i="5"/>
  <c r="E1" i="4"/>
  <c r="A1" i="4"/>
  <c r="E1" i="3"/>
  <c r="O79" i="31"/>
  <c r="N79" i="31"/>
  <c r="M79" i="31"/>
  <c r="L79" i="31"/>
  <c r="O64" i="31"/>
  <c r="N64" i="31"/>
  <c r="M64" i="31"/>
  <c r="L64" i="31"/>
  <c r="O49" i="31"/>
  <c r="N49" i="31"/>
  <c r="M49" i="31"/>
  <c r="L49" i="31"/>
  <c r="O34" i="31"/>
  <c r="N34" i="31"/>
  <c r="M34" i="31"/>
  <c r="L34" i="31"/>
  <c r="O19" i="31"/>
  <c r="D26" i="24" s="1"/>
  <c r="N19" i="31"/>
  <c r="E26" i="24" s="1"/>
  <c r="M19" i="31"/>
  <c r="D27" i="24" s="1"/>
  <c r="L19" i="31"/>
  <c r="E27" i="24" s="1"/>
  <c r="A6" i="31"/>
  <c r="J51" i="31" s="1"/>
  <c r="Q79" i="30"/>
  <c r="P79" i="30"/>
  <c r="O79" i="30"/>
  <c r="M79" i="30"/>
  <c r="Q64" i="30"/>
  <c r="P64" i="30"/>
  <c r="O64" i="30"/>
  <c r="M64" i="30"/>
  <c r="Q49" i="30"/>
  <c r="P49" i="30"/>
  <c r="O49" i="30"/>
  <c r="M49" i="30"/>
  <c r="Q34" i="30"/>
  <c r="P34" i="30"/>
  <c r="O34" i="30"/>
  <c r="M34" i="30"/>
  <c r="Q19" i="30"/>
  <c r="D24" i="24" s="1"/>
  <c r="P19" i="30"/>
  <c r="E24" i="24" s="1"/>
  <c r="O19" i="30"/>
  <c r="M19" i="30"/>
  <c r="D25"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N34" i="28"/>
  <c r="M34" i="28"/>
  <c r="L34" i="28"/>
  <c r="O19" i="28"/>
  <c r="D16" i="24" s="1"/>
  <c r="N19" i="28"/>
  <c r="E16" i="24" s="1"/>
  <c r="M19" i="28"/>
  <c r="D17" i="24" s="1"/>
  <c r="L19" i="28"/>
  <c r="E17" i="24" s="1"/>
  <c r="A6" i="28"/>
  <c r="J66" i="28" s="1"/>
  <c r="O79" i="27"/>
  <c r="N79" i="27"/>
  <c r="M79" i="27"/>
  <c r="L79" i="27"/>
  <c r="O64" i="27"/>
  <c r="N64" i="27"/>
  <c r="M64" i="27"/>
  <c r="L64" i="27"/>
  <c r="O49" i="27"/>
  <c r="N49" i="27"/>
  <c r="M49" i="27"/>
  <c r="L49" i="27"/>
  <c r="O34" i="27"/>
  <c r="N34" i="27"/>
  <c r="M34" i="27"/>
  <c r="L34" i="27"/>
  <c r="O19" i="27"/>
  <c r="D18" i="24" s="1"/>
  <c r="N19" i="27"/>
  <c r="E18" i="24" s="1"/>
  <c r="M19" i="27"/>
  <c r="D19" i="24" s="1"/>
  <c r="L19" i="27"/>
  <c r="E19" i="24" s="1"/>
  <c r="A6" i="27"/>
  <c r="J66" i="27" s="1"/>
  <c r="O79" i="26"/>
  <c r="N79" i="26"/>
  <c r="M79" i="26"/>
  <c r="L79" i="26"/>
  <c r="O64" i="26"/>
  <c r="N64" i="26"/>
  <c r="M64" i="26"/>
  <c r="L64" i="26"/>
  <c r="O49" i="26"/>
  <c r="N49" i="26"/>
  <c r="M49" i="26"/>
  <c r="L49" i="26"/>
  <c r="O34" i="26"/>
  <c r="N34" i="26"/>
  <c r="M34" i="26"/>
  <c r="L34" i="26"/>
  <c r="O19" i="26"/>
  <c r="D14" i="24" s="1"/>
  <c r="N19" i="26"/>
  <c r="E14" i="24" s="1"/>
  <c r="M19" i="26"/>
  <c r="D15" i="24" s="1"/>
  <c r="L19" i="26"/>
  <c r="E15" i="24" s="1"/>
  <c r="A6" i="26"/>
  <c r="J66" i="26" s="1"/>
  <c r="O79" i="25"/>
  <c r="N79" i="25"/>
  <c r="M79" i="25"/>
  <c r="L79" i="25"/>
  <c r="O64" i="25"/>
  <c r="N64" i="25"/>
  <c r="M64" i="25"/>
  <c r="L64" i="25"/>
  <c r="O49" i="25"/>
  <c r="N49" i="25"/>
  <c r="M49" i="25"/>
  <c r="L49" i="25"/>
  <c r="O34" i="25"/>
  <c r="N34" i="25"/>
  <c r="M34" i="25"/>
  <c r="L34" i="25"/>
  <c r="O19" i="25"/>
  <c r="D22" i="24" s="1"/>
  <c r="N19" i="25"/>
  <c r="E22" i="24" s="1"/>
  <c r="M19" i="25"/>
  <c r="D23" i="24" s="1"/>
  <c r="L19" i="25"/>
  <c r="E23" i="24" s="1"/>
  <c r="A6" i="25"/>
  <c r="J66" i="25" s="1"/>
  <c r="O79" i="13"/>
  <c r="N79" i="13"/>
  <c r="M79" i="13"/>
  <c r="L79" i="13"/>
  <c r="O64" i="13"/>
  <c r="N64" i="13"/>
  <c r="M64" i="13"/>
  <c r="L64" i="13"/>
  <c r="O49" i="13"/>
  <c r="N49" i="13"/>
  <c r="M49" i="13"/>
  <c r="L49" i="13"/>
  <c r="O34" i="13"/>
  <c r="N34" i="13"/>
  <c r="M34" i="13"/>
  <c r="L34" i="13"/>
  <c r="O19" i="13"/>
  <c r="D20" i="24" s="1"/>
  <c r="N19" i="13"/>
  <c r="E20" i="24" s="1"/>
  <c r="M19" i="13"/>
  <c r="D21" i="24" s="1"/>
  <c r="L19" i="13"/>
  <c r="E21" i="24" s="1"/>
  <c r="A6" i="13"/>
  <c r="J66" i="13" s="1"/>
  <c r="I11" i="7" l="1"/>
  <c r="J36" i="27"/>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D27" i="6"/>
  <c r="E27" i="6"/>
  <c r="F27" i="6"/>
  <c r="C27" i="6"/>
  <c r="G7" i="8"/>
  <c r="D7" i="8"/>
  <c r="B5" i="8"/>
  <c r="G3" i="8"/>
  <c r="A3" i="8"/>
  <c r="A1" i="8"/>
  <c r="G23" i="7"/>
  <c r="G15" i="7"/>
  <c r="E15" i="7"/>
  <c r="I15" i="7" s="1"/>
  <c r="B4" i="7"/>
  <c r="G3" i="7"/>
  <c r="A3" i="7"/>
  <c r="A1" i="7"/>
  <c r="A8" i="7" s="1"/>
  <c r="H63" i="6"/>
  <c r="H62" i="6"/>
  <c r="H61" i="6"/>
  <c r="H59" i="6"/>
  <c r="B51" i="6"/>
  <c r="G48" i="6"/>
  <c r="H48" i="6" s="1"/>
  <c r="G47" i="6"/>
  <c r="H47" i="6" s="1"/>
  <c r="G46" i="6"/>
  <c r="G45" i="6"/>
  <c r="G44" i="6"/>
  <c r="G43" i="6"/>
  <c r="G42" i="6"/>
  <c r="H42" i="6" s="1"/>
  <c r="G41" i="6"/>
  <c r="G38" i="6"/>
  <c r="G37" i="6"/>
  <c r="G36" i="6"/>
  <c r="H36" i="6" s="1"/>
  <c r="G35" i="6"/>
  <c r="G34" i="6"/>
  <c r="G29" i="6"/>
  <c r="D14" i="8" s="1"/>
  <c r="G28" i="6"/>
  <c r="G26" i="6"/>
  <c r="G25" i="6"/>
  <c r="H25" i="6" s="1"/>
  <c r="G24" i="6"/>
  <c r="G23" i="6"/>
  <c r="H23" i="6" s="1"/>
  <c r="G20" i="6"/>
  <c r="G15" i="6"/>
  <c r="G14" i="6"/>
  <c r="G13" i="6"/>
  <c r="G12" i="6"/>
  <c r="G11" i="6"/>
  <c r="G10" i="6"/>
  <c r="G9" i="6"/>
  <c r="G8" i="6"/>
  <c r="H46" i="6" l="1"/>
  <c r="D13" i="8"/>
  <c r="H34" i="6"/>
  <c r="E18" i="7"/>
  <c r="H35" i="6"/>
  <c r="E19" i="7"/>
  <c r="I19" i="7" s="1"/>
  <c r="D12" i="8"/>
  <c r="H24" i="6"/>
  <c r="E33" i="7"/>
  <c r="H33" i="7" s="1"/>
  <c r="H41" i="6"/>
  <c r="E35" i="7"/>
  <c r="H35" i="7" s="1"/>
  <c r="H43" i="6"/>
  <c r="E36" i="7"/>
  <c r="H36" i="7" s="1"/>
  <c r="H44" i="6"/>
  <c r="E37" i="7"/>
  <c r="H37" i="7" s="1"/>
  <c r="H45" i="6"/>
  <c r="D11" i="8"/>
  <c r="H26" i="6"/>
  <c r="G24" i="7"/>
  <c r="G18" i="6"/>
  <c r="G27" i="6"/>
  <c r="E34" i="7"/>
  <c r="H34" i="7" s="1"/>
  <c r="D10" i="8"/>
  <c r="G10" i="8"/>
  <c r="A31" i="7"/>
  <c r="A43" i="7" s="1"/>
  <c r="E23" i="7" l="1"/>
  <c r="I18" i="7"/>
  <c r="H20" i="6"/>
  <c r="H21" i="6"/>
  <c r="H8" i="6"/>
  <c r="G11" i="8"/>
  <c r="G12" i="8"/>
  <c r="G14" i="8"/>
  <c r="I23" i="7" l="1"/>
  <c r="E24" i="7"/>
  <c r="I24" i="7" s="1"/>
</calcChain>
</file>

<file path=xl/sharedStrings.xml><?xml version="1.0" encoding="utf-8"?>
<sst xmlns="http://schemas.openxmlformats.org/spreadsheetml/2006/main" count="3091" uniqueCount="457">
  <si>
    <t>Version 2.1 11/11/19</t>
  </si>
  <si>
    <t>Notes:</t>
  </si>
  <si>
    <t>This template may require adjustments by individual operators to meet specific reporting requirements as defined in the site Permit(s)</t>
  </si>
  <si>
    <t>Annual Performance Report 2022</t>
  </si>
  <si>
    <t>Permit EPR/RP3036QU</t>
  </si>
  <si>
    <t>Bolton Thermal Recovery Facility</t>
  </si>
  <si>
    <t>SUEZ Recycling &amp; Recovery</t>
  </si>
  <si>
    <t xml:space="preserve">Year: </t>
  </si>
  <si>
    <t>Address:</t>
  </si>
  <si>
    <t>Raikes Lane, Bolton BL3 2NH</t>
  </si>
  <si>
    <t xml:space="preserve">Tel: </t>
  </si>
  <si>
    <t>01204 369254</t>
  </si>
  <si>
    <t xml:space="preserve">Email: </t>
  </si>
  <si>
    <t>stephen.taylor@suez.com</t>
  </si>
  <si>
    <t>Prepared by:</t>
  </si>
  <si>
    <t>Steve Taylor</t>
  </si>
  <si>
    <t>Position:</t>
  </si>
  <si>
    <t>EIR Adviser</t>
  </si>
  <si>
    <t>Approved by:</t>
  </si>
  <si>
    <t>Robin Walsh</t>
  </si>
  <si>
    <t>Plant Manager</t>
  </si>
  <si>
    <t>Version:</t>
  </si>
  <si>
    <t>Issue Date:</t>
  </si>
  <si>
    <t>31st January 2023</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</si>
  <si>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</si>
  <si>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</si>
  <si>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</si>
  <si>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</si>
  <si>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</si>
  <si>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</si>
  <si>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</si>
  <si>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</si>
  <si>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</si>
  <si>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</si>
  <si>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</si>
  <si>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</si>
  <si>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</si>
  <si>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</si>
  <si>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Carbon dioxide and nitrous oxide emissions</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</si>
  <si>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</si>
  <si>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</si>
  <si>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</si>
  <si>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</si>
  <si>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</si>
  <si>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</si>
  <si>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</si>
  <si>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</si>
  <si>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</si>
  <si>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</si>
  <si>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</si>
  <si>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</si>
  <si>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</si>
  <si>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</si>
  <si>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Annual Performance Report 2021</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</si>
  <si>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</si>
  <si>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</si>
  <si>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</si>
  <si>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</si>
  <si>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</si>
  <si>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</si>
  <si>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Bolton Energy Recycling Center (ERC), Raikes Lane, Bolton, BL3 2NH, has been operated by SUEZ Recycling &amp; Recovery since June 1st 2019. Prior to that date the site was operated by Viridor (Greater Manchester) under an 18 month interim contract with the Greater Manchester Combined Authority (GMCA) after the PFI contract was terminated in September 2017
The ERC burns mixed municipal waste from Bolton MBC, Bury MBC, Salford CC and Rochdale MBC. The site also imports mixed municipal waste from other SUEZ run facilities within Greater Manchester.
The installation is a single incinerator designed to have a capacity to burn municipal waste at approximately 16 tonnes an hour, and is designed to generate up to 8.5MW of electricity
</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</si>
  <si>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</si>
  <si>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</si>
  <si>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Waste types are brought to the site by road transport (mainly council collection vehicles and bulk transfer vehicles) which enters the site via a weighbridge
Acceptable waste is discharged into a reception pit with a holding capacity of 1530m3 and any excess is discharged onto the floor of the tipping hall, both of which are enclosed within a building. Waste is transferred from the reception pit to the incinerator feed hopper by crane operated grab. From the hopper, it falls by gravity onto the inclined four hearth rocking grate
Primary, combustion air is provided by two primary air fans upwards through the grate and secondary combustion air is provided by a separate fan, via ports in the roof of the furnace
Supplementary oil fired burners are used to ensure the combustion temperature of the waste combustion gases are raised to a minimum of 850degC at all times when waste is being burned on the incinerator grates and particularly during start up and shut down. Heat from the burning of the waste is used in the heat recovery boiler to raise steam which is then intended to drive a steam turbine which is coupled to a generator via a gearbox
However, since September 2017 when a major fire destroyed the turbine and associated equipment,  the steam provided by the boiler was bypassed to a water cooled condenser where it was condensed back into water and fed back to the boiler. As such, the site had not generated any electricity throughout 2019 and 2020. The turbine installation was completed in April 2021 and  the site resumed generating electricity and exporting to the National Grid)
The site has an additional standby connection to a 6.6kV electricity supply for emergency use i.e. it has sufficient capacity to allow the plant to be safely shut down in the event of a failure of the 33kV connection. There are electrical interlocks in place which prevent the site being connected to both the 33kV and the 6.6kV at the same time. The site now has the capabilty to run on Island mode, when disconnected from the national grid and running off the power generated by the turbine.
Within the first pass of the boiler diluted ammonia is injected to control the oxides of nitrogen (NOx) of the combustion gases. This ammonia injection is controlled by a selective, non-catalytic reduction (SNCR) system. Feedback signals of the NOx concentration are fed to the SNCR from the continuous emissions monitoring system (CEMS) at the chimney. Recipes within the SNCR then regulate the ammonia injection concentration to ensure all emission limit values (ELV’s) are met
On exiting the heat recovery boiler the combustion gases pass into a reaction area where lime and activated carbon are injected into the gas stream to remove acid gases, dioxins, heavy metals and organic vapours. The gases then pass through a four cell bag filter where the scrubbing agents and the dust in the combustion gases are collected before the cleaned gases are discharged to atmosphere via a 61 metre high chimney stack
A proportion of the scrubbing reagents are recycled in the process to ensure maximum use of the lime.Storage silos are provided for the lime, activated carbon, recycled reagent and the atmospheric pollution control residue (APCr)
Incinerator bottom ash (IBA) is discharged from the incinerator grate and falls into a water quenching trough. The ash is drained of surplus water as it moves up a slow moving, inclined chain ash conveyor before dropping onto an inclined belt conveyor. Up to 31st May 2019 an over-band magnet recovered ferrous metal from the ash and the residual ash ws stored within a covered building before being sent for reuse. Since 1st June, the over¬-band magnet has been taken out of service and the IBA has been sent for processing off-site to extract both ferrous and non-ferrous metals
Duty and standby CEMS are installed in the gas ducting upstream of the chimney stack to analyse the exhaust gases from the process. These include particulates, sulphur dioxide, NOx, carbon monoxide, hydrogen chloride, TOC and ammonia
Water is abstracted from the River Croal for use in the twin cell, hybrid cooling tower and for other process use, such as the water in the quench trough. Blow down water from the cooling tower is returned to the River Croal
Surface water from the flue gas treatment (FGT) area and ash quenching areas is recycled back to the process. Solids that are filtered from the river water, along with some of the river water, are discharged to public sewer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</si>
  <si>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</si>
  <si>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</si>
  <si>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</si>
  <si>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</si>
  <si>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</si>
  <si>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</si>
  <si>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</si>
  <si>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</si>
  <si>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</si>
  <si>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</si>
  <si>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</si>
  <si>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</si>
  <si>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</si>
  <si>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</si>
  <si>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</si>
  <si>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</si>
  <si>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</si>
  <si>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</si>
  <si>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</si>
  <si>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Clinical</t>
  </si>
  <si>
    <t xml:space="preserve">Waste wood (biomass) </t>
  </si>
  <si>
    <t xml:space="preserve">Refuse derived fuel </t>
  </si>
  <si>
    <t xml:space="preserve">Solid recovered fuel </t>
  </si>
  <si>
    <t>Other [Please specify]</t>
  </si>
  <si>
    <t>Total waste received</t>
  </si>
  <si>
    <t xml:space="preserve">Rejected Waste </t>
  </si>
  <si>
    <t>Waste transferred out</t>
  </si>
  <si>
    <t>Total waste combusted</t>
  </si>
  <si>
    <t>Energy Useage / Export</t>
  </si>
  <si>
    <t>KWh/te</t>
  </si>
  <si>
    <t>Power Generated</t>
  </si>
  <si>
    <t>MWh</t>
  </si>
  <si>
    <t>Power Exported</t>
  </si>
  <si>
    <t>Power Used on site</t>
  </si>
  <si>
    <t>Power Imported</t>
  </si>
  <si>
    <t>Parasitic Load</t>
  </si>
  <si>
    <t>Thermal Energy Produced</t>
  </si>
  <si>
    <t>GWh</t>
  </si>
  <si>
    <t>Thermal Energy Exported</t>
  </si>
  <si>
    <t>R1 value</t>
  </si>
  <si>
    <t>N/A</t>
  </si>
  <si>
    <t>Design / Operational / n/a</t>
  </si>
  <si>
    <t>Waste Disposal &amp; Recovery</t>
  </si>
  <si>
    <t>% inputs</t>
  </si>
  <si>
    <t>APC Residues - produced</t>
  </si>
  <si>
    <t>IBA - produced</t>
  </si>
  <si>
    <t>Ferrous metals recycling</t>
  </si>
  <si>
    <t>Non-ferrous metals recycling</t>
  </si>
  <si>
    <t>Other</t>
  </si>
  <si>
    <t>Raw Material Usage</t>
  </si>
  <si>
    <t>kg or Ltr /te</t>
  </si>
  <si>
    <t>Mains Water</t>
  </si>
  <si>
    <r>
      <t>m</t>
    </r>
    <r>
      <rPr>
        <vertAlign val="superscript"/>
        <sz val="10"/>
        <color theme="1"/>
        <rFont val="Arial"/>
        <family val="2"/>
      </rPr>
      <t>3</t>
    </r>
  </si>
  <si>
    <t>Other Water</t>
  </si>
  <si>
    <t>Ammonia / Urea</t>
  </si>
  <si>
    <t>kgs</t>
  </si>
  <si>
    <t>Activated Carbon</t>
  </si>
  <si>
    <t>Lime / hydrated lime</t>
  </si>
  <si>
    <t>Fuel oil</t>
  </si>
  <si>
    <t>ltrs</t>
  </si>
  <si>
    <t>Gas</t>
  </si>
  <si>
    <t>cf</t>
  </si>
  <si>
    <t>Summary of Hours</t>
  </si>
  <si>
    <t>Line/Unit</t>
  </si>
  <si>
    <t>Hours of waste combustion, total</t>
  </si>
  <si>
    <t>Overall Availability, mean avg off all lines</t>
  </si>
  <si>
    <t>Hours of turbine operations, total</t>
  </si>
  <si>
    <t>Hours of heat / steam export</t>
  </si>
  <si>
    <t>Net Calorific Value of waste</t>
  </si>
  <si>
    <t>MJ/kg</t>
  </si>
  <si>
    <t>Abnormal Events</t>
  </si>
  <si>
    <t>qty.</t>
  </si>
  <si>
    <t>Abnormal operation</t>
  </si>
  <si>
    <t>hours</t>
  </si>
  <si>
    <t>Permit Breaches</t>
  </si>
  <si>
    <t>Summary of Plant Operations and Maintenance during the reporting year</t>
  </si>
  <si>
    <t>Major Outage Sep-Dec 22:
- Furnace wall design upgrade
- 200+ sq. m. boiler tube changes
- Eco 2 replacement
- Bag filter change
- CEMS replacement
- DCS Upgrade
- WIC recommissioning
- Ash conveyor replacements
Signifcant availability issues Jan - Sep due to design of furnace and age of plant causing weld failure issues.</t>
  </si>
  <si>
    <t xml:space="preserve">Include summary of key operational and/or mainteanance activity undertaken in the year, such as any major component upgrades and/or replacements </t>
  </si>
  <si>
    <t>Summary of Residue Handling for the reporting year</t>
  </si>
  <si>
    <t xml:space="preserve">Periods of poor burn out (during Combustion control commissioning and following the furnace redesgin), meant that large quantities of ash were sent to Teesside for further processing prior to acceptance by BP for processing.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</si>
  <si>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</si>
  <si>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</si>
  <si>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</si>
  <si>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</si>
  <si>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</si>
  <si>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</si>
  <si>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</si>
  <si>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January</t>
  </si>
  <si>
    <t>to:</t>
  </si>
  <si>
    <t>December</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</si>
  <si>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</si>
  <si>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</si>
  <si>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</si>
  <si>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</si>
  <si>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</si>
  <si>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</si>
  <si>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</si>
  <si>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</si>
  <si>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</si>
  <si>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</si>
  <si>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</si>
  <si>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</si>
  <si>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</si>
  <si>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</si>
  <si>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</si>
  <si>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</si>
  <si>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Raw Material</t>
  </si>
  <si>
    <t>Usage</t>
  </si>
  <si>
    <t>Specific Useage</t>
  </si>
  <si>
    <r>
      <t>m</t>
    </r>
    <r>
      <rPr>
        <vertAlign val="superscript"/>
        <sz val="10"/>
        <color theme="1"/>
        <rFont val="Arial"/>
        <family val="2"/>
      </rPr>
      <t>3</t>
    </r>
    <r>
      <rPr>
        <sz val="10"/>
        <color theme="1"/>
        <rFont val="Arial"/>
        <family val="2"/>
      </rPr>
      <t>/te</t>
    </r>
  </si>
  <si>
    <t>Total Water</t>
  </si>
  <si>
    <t>Ammonia</t>
  </si>
  <si>
    <t>kg</t>
  </si>
  <si>
    <t>kg/te</t>
  </si>
  <si>
    <t>Hydrated lime</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</si>
  <si>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</si>
  <si>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</si>
  <si>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</si>
  <si>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</si>
  <si>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</si>
  <si>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</si>
  <si>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</si>
  <si>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</si>
  <si>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</si>
  <si>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</si>
  <si>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</si>
  <si>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</si>
  <si>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</si>
  <si>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</si>
  <si>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</si>
  <si>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</si>
  <si>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</si>
  <si>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</si>
  <si>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</si>
  <si>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</si>
  <si>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</si>
  <si>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</si>
  <si>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</si>
  <si>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</si>
  <si>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</si>
  <si>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</si>
  <si>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</si>
  <si>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</si>
  <si>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</si>
  <si>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</si>
  <si>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</si>
  <si>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</si>
  <si>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</si>
  <si>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</si>
  <si>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</si>
  <si>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</si>
  <si>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</si>
  <si>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100% 95% of 10-min averages</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</si>
  <si>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</si>
  <si>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</si>
  <si>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</si>
  <si>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</si>
  <si>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</si>
  <si>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</si>
  <si>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25.1mg/m3 against the limit of 20mg/m3</t>
  </si>
  <si>
    <t xml:space="preserve">This Dust breach occurred during the quarterly testing. Further details will be provided by the third party. </t>
  </si>
  <si>
    <t>NH3 breach of 16.1mg/m3 against the limit of 10mg/m3.</t>
  </si>
  <si>
    <t>NH3 increased due to ammonia tank pump having an air lock, this meant poor pressure and flow to the SNCR system. The pump pressure and flow dramatically increased when pump was vented, the ammonia control valves were open to 100%, the pressure &amp; flow increased and ammonia was overdosed. The SNCR system was shutdown to limit the ammonia slip. The SNCR system was off between 00.40 – 01.20 whilst ammonia was monitored, ammonia was slow to reduce even with the system off.</t>
  </si>
  <si>
    <t>Inspect the ammonia pump and raise any maintenance issues via a work order.
• Carry out a root cause analysis to find the route cause.
• Implement findings into a standard operating procedure &amp; place local to Ammonia pump
• Check PM to assess whether checks are sufficient.
• Roll out SOP to all Shift staff.</t>
  </si>
  <si>
    <t xml:space="preserve">IBA - TOC Breach of 4.65% (limit of 3%). </t>
  </si>
  <si>
    <t>Bolton takes in houshold waste in the form of MSW and bulky from the HWRCs in the area. No 3rd party waste was taken in leading up to the sample being taken on 07/02/2022. Combustion was Good in the 3 days leading up to the 7th Feb (sample date) The plant had suffered from poor combustion the week before where unburnt waste was notice coming off the conveying system with the IBA. Unburnt was being stored separate from good quality ash to prevent contamination KPI log checked to confirm no issues with combustion recorded and no shutdown of the combustion process OEE App shows steam flows as expected for good combustion.</t>
  </si>
  <si>
    <t>TOC analysis repeated and confirmed the original result</t>
  </si>
  <si>
    <t>Second Bi-annual stack test breach - Dioxis/Flurans - 2.3ng/m3</t>
  </si>
  <si>
    <t xml:space="preserve">Biannual testing carried out and Dioxins/furans and HF failed. Retests to be carried out in due course. Plant had been non operational prior to the testing being carried out. </t>
  </si>
  <si>
    <t>Second Bi-annual stack test breach - Hydrogen Flouride - 6.1mg/m3</t>
  </si>
  <si>
    <t>Second Bi-annual stack test breach - Mercury - 0.177mg/m3</t>
  </si>
  <si>
    <t xml:space="preserve">IBA - TOC Breach of 3.85% (limit of 3%). </t>
  </si>
  <si>
    <t>The furnace and combustion control system (CCS) at Bolton has undergone a review by SUEZ to identify improvements to increase the efficiency and operational performance of this area of plant. As part of this review, major engineering and operational changes have been identified to optimise the system (furnace and CCS), with the majority of improvement works to take place in this Octobers outage which is currently underway. These changes required significant planning and design and a major outage to put in place. Prior to the outage the Technikguppe WiC combustion control system was installed and following the TOC breach in Q1 2022, changes were made to the control system to separately control the final furnace grate to help ensure complete burn out. On review of the second breach, as the site was preparing for the outage at this point, they were digging down into the waste pits where the waste was wet due to water collecting in the bottom. Wet waste can destabilise combustion and can lead to poor burn.</t>
  </si>
  <si>
    <t>The current ongoing outage works which will enable the site to manage combustion challenges better in the future includes:
•	the installation of waterwalls which will enhance temperature control in the furnace allowing a more reliable process in the chamber
•	the replacement of the economiser to eliminate blockages in the flue gas path, improving back pressure and improving ID fan performance to stabilise primary and secondary air controls 
•	the replacement of pipework and ducting to eliminate air leaks from the process, improving back pressure and allowing automatic operation of primary air dampers, which will then enable WiC to adjust air distribution according to combustion conditions stabilising burn
•	the commissioning of WiC for these new conditions by Technikgruppe allowing the system to evaluate many key characteristics at once and optimise them in order to ensure higher quality of combustion, therefore reducing the TOC output.</t>
  </si>
  <si>
    <t>CO breach - (158.69-358.52)</t>
  </si>
  <si>
    <t>The major redesign of the furnace has meant that the combustion dynamics have changed significantly. We are currently undergoing a process of commissioning, where we are altering parameters such as air flows, grate speeds &amp; furnace temperatures as a result of the design change. Once this commissioning process has been completed, we are looking to activate our combustion control system (WIC) to ensure that we remain in stable operation at the new, optimum process conditions. Unfortunately, the commissioning of the new water walls in manual control has meant that we have had a number of 10-minute CO breaches on the 4th December. We are currently taking steps to shorten the commissioning period wherever practical and safe to do so, to ensure that we can return to stable operation as soon as possible; and have now identified operational areas to avoid, to mitigate against further CO breaches.</t>
  </si>
  <si>
    <t>Altering parameters such as air flows, grate speeds &amp; furnace temperatures. •	Functional checks are being carried out by external contractor 
•	QAL 2 to be carried out w/c 12th December</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</si>
  <si>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</si>
  <si>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</si>
  <si>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</si>
  <si>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</si>
  <si>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</si>
  <si>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</si>
  <si>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Increased area of heat recovery (added water walls to furnace)
Recommissioning combustion control system (Improved operational efficiency)
Installed online oxygen probe in first pass
Replaced ejector nozzles (Improved water-steam cycle efficiency by reducing sub-cooling effect)</t>
  </si>
  <si>
    <t>Summary of any permit improvement conditions that have been completed within the year and the resulting environmental benefits.</t>
  </si>
  <si>
    <t>None</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</si>
  <si>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</si>
  <si>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</si>
  <si>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</si>
  <si>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</si>
  <si>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</si>
  <si>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Monthly operations meeting held with asset owner/client - GMCA</t>
  </si>
  <si>
    <t>List of events planned for next year</t>
  </si>
  <si>
    <t>Monthly meetings with the GMCA are planned from January 2022</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</si>
  <si>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</si>
  <si>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</si>
  <si>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</si>
  <si>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</si>
  <si>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55492 tonnes </t>
  </si>
  <si>
    <t>Annual mass of carbon dioxide released per tonne of waste burned</t>
  </si>
  <si>
    <t xml:space="preserve">0.77 tonnes </t>
  </si>
  <si>
    <t>Annual mass of carbon dioxide released per MWh of energy exported</t>
  </si>
  <si>
    <t xml:space="preserve">1.53 tonnes </t>
  </si>
  <si>
    <t>Description of how annual carbon dioxide mass emission has been calculated</t>
  </si>
  <si>
    <t>Calculated from reported CO2 volume fraction on the CEMS and the stack flowrate readings on an adjusted basis for each line</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</si>
  <si>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</si>
  <si>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</si>
  <si>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</si>
  <si>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0.59 tonnes </t>
  </si>
  <si>
    <t>Description of how annual nitrous oxide mass emission has been calculated</t>
  </si>
  <si>
    <t>Calculated from periodic monitoring, operational hours  and the stack flowrate readings on an adjusted basis for each line</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</si>
  <si>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</si>
  <si>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</si>
  <si>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55667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</si>
  <si>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</si>
  <si>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</si>
  <si>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</si>
  <si>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Assed from breakdown of waste composition from third-party reporting (M.E.L) in March 2022 and the respective carbon content of each component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</si>
  <si>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</si>
  <si>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</si>
  <si>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</si>
  <si>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</si>
  <si>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</si>
  <si>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Summary of monitoring undertaken and compliance</t>
  </si>
  <si>
    <t>IBA and APCR quarterly samples are taken and sent to SOCOTEC for analysis and report</t>
  </si>
  <si>
    <t xml:space="preserve">Fortnightly hazard assessments carried out </t>
  </si>
  <si>
    <t>Commentary on any specific events</t>
  </si>
  <si>
    <t>Date &amp; Event</t>
  </si>
  <si>
    <t>Residue Quality Monitoring Results</t>
  </si>
  <si>
    <t xml:space="preserve">Parameter (unit) </t>
  </si>
  <si>
    <t>Limit</t>
  </si>
  <si>
    <t xml:space="preserve">Normal Operation </t>
  </si>
  <si>
    <t xml:space="preserve">Bottom ash  </t>
  </si>
  <si>
    <t>Loss on Ignition (%)</t>
  </si>
  <si>
    <t>&lt;5%</t>
  </si>
  <si>
    <t>ToC (%)</t>
  </si>
  <si>
    <t>&lt;3%</t>
  </si>
  <si>
    <t>No. of Assessments Undertaken</t>
  </si>
  <si>
    <t>---</t>
  </si>
  <si>
    <t>1 per quarter Line 1</t>
  </si>
  <si>
    <t>No. of Hazardous Assessments</t>
  </si>
  <si>
    <t>Fortnightly hazard assessments unless Plant is on outage</t>
  </si>
  <si>
    <t>Comments :</t>
  </si>
  <si>
    <t>Quarterly samples are taken for 1 line 2 of the samples results for TOC were above 3%. The TOC % is an average of the 4 quarters of 2022 sampling.</t>
  </si>
  <si>
    <t>All monitoring was carried out to Permit requirements and all readings were within specification</t>
  </si>
  <si>
    <t>Emissions to Water / Sewer</t>
  </si>
  <si>
    <t>Monitoring Frequency</t>
  </si>
  <si>
    <t>Target</t>
  </si>
  <si>
    <t>Max.</t>
  </si>
  <si>
    <t>Average</t>
  </si>
  <si>
    <t>Total Suspended Solids (Pond-River)</t>
  </si>
  <si>
    <t>Monthly</t>
  </si>
  <si>
    <t>&lt;20mg/l</t>
  </si>
  <si>
    <r>
      <t>&lt;0</t>
    </r>
    <r>
      <rPr>
        <sz val="10"/>
        <color rgb="FF000000"/>
        <rFont val="Arial"/>
        <family val="2"/>
      </rPr>
      <t> </t>
    </r>
  </si>
  <si>
    <t>pH</t>
  </si>
  <si>
    <t>Daily/Weekly</t>
  </si>
  <si>
    <r>
      <t>6-9</t>
    </r>
    <r>
      <rPr>
        <sz val="10"/>
        <color rgb="FF000000"/>
        <rFont val="Arial"/>
        <family val="2"/>
      </rPr>
      <t> </t>
    </r>
  </si>
  <si>
    <t>Temperature</t>
  </si>
  <si>
    <r>
      <t> </t>
    </r>
    <r>
      <rPr>
        <sz val="10"/>
        <color theme="1"/>
        <rFont val="Arial"/>
        <family val="2"/>
      </rPr>
      <t>30</t>
    </r>
  </si>
  <si>
    <r>
      <t> </t>
    </r>
    <r>
      <rPr>
        <sz val="10"/>
        <color theme="1"/>
        <rFont val="Arial"/>
        <family val="2"/>
      </rPr>
      <t>15</t>
    </r>
  </si>
  <si>
    <t>Chlorine </t>
  </si>
  <si>
    <t>&lt;0.1</t>
  </si>
  <si>
    <t>Summary of monitoring undertaken, standards used and compliance</t>
  </si>
  <si>
    <t>H1 &amp; H2 testing are carried out biannually.</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</si>
  <si>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</si>
  <si>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</si>
  <si>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</si>
  <si>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</si>
  <si>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</si>
  <si>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</si>
  <si>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</si>
  <si>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</si>
  <si>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</si>
  <si>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</si>
  <si>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</si>
  <si>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</si>
  <si>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</si>
  <si>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</si>
  <si>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</si>
  <si>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</si>
  <si>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</si>
  <si>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</si>
  <si>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</si>
  <si>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</si>
  <si>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</si>
  <si>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</si>
  <si>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</si>
  <si>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</si>
  <si>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</si>
  <si>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</si>
  <si>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</si>
  <si>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</si>
  <si>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</si>
  <si>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</si>
  <si>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</si>
  <si>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</si>
  <si>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</si>
  <si>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</si>
  <si>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</si>
  <si>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</si>
  <si>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</si>
  <si>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</si>
  <si>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</si>
  <si>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</si>
  <si>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Single line</t>
  </si>
  <si>
    <t>Emissions to Air (continously monitored)</t>
  </si>
  <si>
    <t>Template may require adjustment for any bespoke monitoring requirements of permit</t>
  </si>
  <si>
    <t>Emissions to air were continuously monitored throughout 2022 using MCERTS continuous monitoring equipment. The data handling acquisition system was upgraded to MCERTS version in Q4</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</si>
  <si>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</si>
  <si>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</si>
  <si>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</si>
  <si>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</si>
  <si>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</si>
  <si>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</si>
  <si>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</si>
  <si>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</si>
  <si>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</si>
  <si>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</si>
  <si>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</si>
  <si>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</si>
  <si>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</si>
  <si>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</si>
  <si>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</si>
  <si>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</si>
  <si>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</si>
  <si>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</si>
  <si>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</si>
  <si>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</si>
  <si>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</si>
  <si>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Single combustion stream</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</si>
  <si>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</si>
  <si>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</si>
  <si>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</si>
  <si>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</si>
  <si>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</si>
  <si>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</si>
  <si>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</si>
  <si>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</si>
  <si>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</si>
  <si>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</si>
  <si>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</si>
  <si>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</si>
  <si>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</si>
  <si>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</si>
  <si>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</si>
  <si>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</si>
  <si>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</si>
  <si>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</si>
  <si>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</si>
  <si>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</si>
  <si>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</si>
  <si>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</si>
  <si>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</si>
  <si>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</si>
  <si>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</si>
  <si>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</si>
  <si>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</si>
  <si>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</si>
  <si>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</si>
  <si>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</si>
  <si>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</si>
  <si>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</si>
  <si>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</si>
  <si>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</si>
  <si>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</si>
  <si>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</si>
  <si>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Single combustion line</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</si>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</sst>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_ ;\-#,##0.00\ "/>
    <numFmt numFmtId="170" formatCode="0.0"/>
    <numFmt numFmtId="171" formatCode="dd/mm/yy;@"/>
  </numFmts>
  <fonts count="38" x14ac:knownFonts="1">
    <font>
      <sz val="11"/>
      <color theme="1"/>
      <name val="Calibri"/>
      <family val="2"/>
      <scheme val="minor"/>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u/>
      <sz val="11"/>
      <color theme="10"/>
      <name val="Calibri"/>
      <family val="2"/>
      <scheme val="minor"/>
    </font>
    <font>
      <sz val="11"/>
      <name val="Arial"/>
      <family val="2"/>
    </font>
    <font>
      <sz val="10"/>
      <color rgb="FF000000"/>
      <name val="Arial"/>
      <family val="2"/>
    </font>
    <font>
      <sz val="10"/>
      <color rgb="FFFF0000"/>
      <name val="Arial"/>
      <family val="2"/>
    </font>
    <font>
      <sz val="10"/>
      <name val="Arial"/>
      <family val="2"/>
    </font>
    <font>
      <sz val="11"/>
      <name val="Calibri"/>
      <family val="2"/>
      <scheme val="minor"/>
    </font>
    <font>
      <i/>
      <sz val="11"/>
      <name val="Arial"/>
      <family val="2"/>
    </font>
    <font>
      <b/>
      <sz val="12"/>
      <color rgb="FF000000"/>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DEDED"/>
        <bgColor rgb="FF000000"/>
      </patternFill>
    </fill>
    <fill>
      <patternFill patternType="solid">
        <fgColor theme="0" tint="-0.14999847407452621"/>
        <bgColor indexed="64"/>
      </patternFill>
    </fill>
    <fill>
      <patternFill patternType="solid">
        <fgColor theme="0" tint="-4.9989318521683403E-2"/>
        <bgColor rgb="FF000000"/>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5">
    <xf numFmtId="0" fontId="0" fillId="0" borderId="0"/>
    <xf numFmtId="43" fontId="2"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xf numFmtId="43" fontId="2" fillId="0" borderId="0" applyFont="0" applyFill="0" applyBorder="0" applyAlignment="0" applyProtection="0"/>
  </cellStyleXfs>
  <cellXfs count="506">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7" fillId="0" borderId="0" xfId="0" applyFont="1"/>
    <xf numFmtId="0" fontId="8" fillId="0" borderId="0" xfId="0" applyFont="1"/>
    <xf numFmtId="0" fontId="6" fillId="0" borderId="0" xfId="0" applyFont="1"/>
    <xf numFmtId="0" fontId="9" fillId="0" borderId="2" xfId="0" applyFont="1" applyBorder="1" applyAlignment="1">
      <alignment horizontal="center"/>
    </xf>
    <xf numFmtId="0" fontId="9" fillId="0" borderId="2" xfId="0" applyFont="1" applyBorder="1"/>
    <xf numFmtId="0" fontId="10" fillId="2" borderId="2" xfId="0" applyFont="1" applyFill="1" applyBorder="1" applyAlignment="1">
      <alignment horizontal="center"/>
    </xf>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10" fillId="2" borderId="2" xfId="0" applyFont="1" applyFill="1" applyBorder="1" applyAlignment="1">
      <alignment horizontal="center" vertical="top"/>
    </xf>
    <xf numFmtId="0" fontId="10" fillId="0" borderId="0" xfId="0" applyFont="1" applyAlignment="1">
      <alignment horizontal="center"/>
    </xf>
    <xf numFmtId="0" fontId="11" fillId="0" borderId="0" xfId="0" applyFont="1"/>
    <xf numFmtId="0" fontId="5" fillId="0" borderId="6" xfId="0" applyFont="1" applyBorder="1"/>
    <xf numFmtId="0" fontId="5" fillId="3" borderId="7" xfId="0" applyFont="1" applyFill="1" applyBorder="1" applyAlignment="1">
      <alignment vertical="center"/>
    </xf>
    <xf numFmtId="0" fontId="5" fillId="0" borderId="11" xfId="0" applyFont="1" applyBorder="1"/>
    <xf numFmtId="0" fontId="5" fillId="2" borderId="12" xfId="0" applyFont="1" applyFill="1" applyBorder="1" applyAlignment="1">
      <alignment horizontal="center" vertical="center"/>
    </xf>
    <xf numFmtId="0" fontId="5" fillId="0" borderId="12" xfId="0" applyFont="1" applyBorder="1"/>
    <xf numFmtId="0" fontId="5" fillId="2" borderId="12" xfId="0" applyFont="1" applyFill="1" applyBorder="1" applyAlignment="1">
      <alignment horizontal="center"/>
    </xf>
    <xf numFmtId="0" fontId="5" fillId="0" borderId="13" xfId="0" applyFont="1" applyBorder="1" applyAlignment="1">
      <alignment horizontal="center"/>
    </xf>
    <xf numFmtId="0" fontId="10" fillId="0" borderId="3" xfId="0" applyFont="1" applyBorder="1"/>
    <xf numFmtId="0" fontId="10" fillId="0" borderId="4" xfId="0" applyFont="1" applyBorder="1" applyAlignment="1">
      <alignment horizontal="center"/>
    </xf>
    <xf numFmtId="0" fontId="9" fillId="0" borderId="4" xfId="0" applyFont="1" applyBorder="1" applyAlignment="1">
      <alignment horizontal="center"/>
    </xf>
    <xf numFmtId="0" fontId="10" fillId="0" borderId="5" xfId="0" applyFont="1" applyBorder="1" applyAlignment="1">
      <alignment horizontal="center"/>
    </xf>
    <xf numFmtId="165" fontId="10" fillId="0" borderId="10" xfId="2" applyNumberFormat="1" applyFont="1" applyBorder="1" applyAlignment="1">
      <alignment horizontal="center"/>
    </xf>
    <xf numFmtId="164" fontId="10" fillId="2" borderId="0" xfId="1" applyNumberFormat="1" applyFont="1" applyFill="1" applyAlignment="1">
      <alignment horizontal="center"/>
    </xf>
    <xf numFmtId="0" fontId="9" fillId="0" borderId="9" xfId="0" applyFont="1" applyBorder="1" applyAlignment="1">
      <alignment vertical="center"/>
    </xf>
    <xf numFmtId="0" fontId="10" fillId="0" borderId="11" xfId="0" applyFont="1" applyBorder="1" applyAlignment="1">
      <alignment vertical="center"/>
    </xf>
    <xf numFmtId="164" fontId="10" fillId="2" borderId="12" xfId="1" applyNumberFormat="1" applyFont="1" applyFill="1" applyBorder="1" applyAlignment="1">
      <alignment horizontal="center"/>
    </xf>
    <xf numFmtId="0" fontId="10" fillId="0" borderId="7" xfId="0" applyFont="1" applyBorder="1" applyAlignment="1">
      <alignment horizontal="center"/>
    </xf>
    <xf numFmtId="0" fontId="9"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xf numFmtId="0" fontId="10" fillId="0" borderId="9" xfId="0" applyFont="1" applyBorder="1"/>
    <xf numFmtId="164" fontId="10" fillId="0" borderId="10" xfId="0" applyNumberFormat="1" applyFont="1" applyBorder="1" applyAlignment="1">
      <alignment horizontal="center"/>
    </xf>
    <xf numFmtId="0" fontId="10" fillId="0" borderId="0" xfId="0" applyFont="1" applyAlignment="1">
      <alignment horizontal="center" vertical="center"/>
    </xf>
    <xf numFmtId="0" fontId="10" fillId="0" borderId="11" xfId="0" applyFont="1" applyBorder="1"/>
    <xf numFmtId="0" fontId="10" fillId="0" borderId="12" xfId="0" applyFont="1" applyBorder="1"/>
    <xf numFmtId="0" fontId="10" fillId="0" borderId="6" xfId="0" applyFont="1" applyBorder="1" applyAlignment="1">
      <alignment horizontal="center" vertical="center"/>
    </xf>
    <xf numFmtId="0" fontId="10" fillId="0" borderId="8" xfId="0" quotePrefix="1" applyFont="1" applyBorder="1" applyAlignment="1">
      <alignment horizontal="center"/>
    </xf>
    <xf numFmtId="0" fontId="10" fillId="2" borderId="9" xfId="0" applyFont="1" applyFill="1" applyBorder="1"/>
    <xf numFmtId="0" fontId="10" fillId="2" borderId="11" xfId="0" applyFont="1" applyFill="1" applyBorder="1"/>
    <xf numFmtId="0" fontId="10" fillId="0" borderId="3" xfId="0" applyFont="1" applyBorder="1" applyAlignment="1">
      <alignment horizontal="center" vertical="center"/>
    </xf>
    <xf numFmtId="43" fontId="10" fillId="0" borderId="10" xfId="0" applyNumberFormat="1" applyFont="1" applyBorder="1" applyAlignment="1">
      <alignment horizontal="center" vertical="center"/>
    </xf>
    <xf numFmtId="0" fontId="10" fillId="2" borderId="12" xfId="0" applyFont="1" applyFill="1" applyBorder="1" applyAlignment="1">
      <alignment horizontal="center" vertical="center"/>
    </xf>
    <xf numFmtId="0" fontId="10" fillId="0" borderId="6" xfId="0" applyFont="1" applyBorder="1" applyAlignment="1">
      <alignment horizontal="center"/>
    </xf>
    <xf numFmtId="10" fontId="10" fillId="0" borderId="10" xfId="2" applyNumberFormat="1" applyFont="1" applyBorder="1" applyAlignment="1">
      <alignment horizontal="center"/>
    </xf>
    <xf numFmtId="0" fontId="10" fillId="0" borderId="12" xfId="0" applyFont="1" applyBorder="1" applyAlignment="1">
      <alignment horizontal="center"/>
    </xf>
    <xf numFmtId="164" fontId="10" fillId="0" borderId="13" xfId="0" applyNumberFormat="1" applyFont="1" applyBorder="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3" fillId="4" borderId="2" xfId="0" applyFont="1" applyFill="1" applyBorder="1" applyAlignment="1">
      <alignment horizontal="center" vertical="center" wrapText="1"/>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0" fontId="10" fillId="0" borderId="2" xfId="0" applyFont="1" applyBorder="1" applyAlignment="1">
      <alignment vertical="center" wrapText="1"/>
    </xf>
    <xf numFmtId="0" fontId="10" fillId="0" borderId="0" xfId="0" applyFont="1" applyAlignment="1">
      <alignment vertical="center"/>
    </xf>
    <xf numFmtId="0" fontId="13" fillId="4" borderId="6" xfId="0" applyFont="1" applyFill="1" applyBorder="1" applyAlignment="1">
      <alignment vertical="center" wrapText="1"/>
    </xf>
    <xf numFmtId="0" fontId="13" fillId="4" borderId="8" xfId="0" applyFont="1" applyFill="1" applyBorder="1" applyAlignment="1">
      <alignment vertical="center" wrapText="1"/>
    </xf>
    <xf numFmtId="0" fontId="13" fillId="4" borderId="1" xfId="0" applyFont="1" applyFill="1" applyBorder="1" applyAlignment="1">
      <alignment horizontal="center" vertical="center" wrapText="1"/>
    </xf>
    <xf numFmtId="0" fontId="13" fillId="4" borderId="1" xfId="0" applyFont="1" applyFill="1" applyBorder="1" applyAlignment="1">
      <alignment vertical="center" wrapText="1"/>
    </xf>
    <xf numFmtId="4" fontId="10" fillId="0" borderId="2" xfId="0" applyNumberFormat="1" applyFont="1" applyBorder="1" applyAlignment="1">
      <alignment horizontal="center" vertical="center" wrapText="1"/>
    </xf>
    <xf numFmtId="4" fontId="10" fillId="2" borderId="2" xfId="0" applyNumberFormat="1" applyFont="1" applyFill="1" applyBorder="1" applyAlignment="1">
      <alignment horizontal="center" vertical="center" wrapText="1"/>
    </xf>
    <xf numFmtId="0" fontId="5" fillId="0" borderId="0" xfId="0" applyFont="1" applyAlignment="1">
      <alignment horizontal="left" vertical="top" wrapText="1"/>
    </xf>
    <xf numFmtId="0" fontId="13" fillId="4" borderId="2" xfId="0" applyFont="1" applyFill="1" applyBorder="1" applyAlignment="1">
      <alignment vertical="center" wrapText="1"/>
    </xf>
    <xf numFmtId="0" fontId="14" fillId="0" borderId="12" xfId="0" applyFont="1" applyBorder="1"/>
    <xf numFmtId="0" fontId="5" fillId="0" borderId="0" xfId="0" applyFont="1" applyAlignment="1">
      <alignment vertical="center"/>
    </xf>
    <xf numFmtId="0" fontId="9" fillId="0" borderId="2" xfId="0" applyFont="1" applyBorder="1" applyAlignment="1">
      <alignment horizontal="center" vertical="center" wrapText="1"/>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6" fillId="0" borderId="3" xfId="0" applyFont="1" applyBorder="1"/>
    <xf numFmtId="0" fontId="3" fillId="0" borderId="3" xfId="0" applyFont="1" applyBorder="1"/>
    <xf numFmtId="0" fontId="10" fillId="0" borderId="2" xfId="0" applyFont="1" applyBorder="1" applyAlignment="1">
      <alignment horizontal="center"/>
    </xf>
    <xf numFmtId="0" fontId="9" fillId="0" borderId="2" xfId="0" applyFont="1" applyBorder="1" applyAlignment="1">
      <alignment horizontal="center" vertical="center"/>
    </xf>
    <xf numFmtId="0" fontId="10"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15" fillId="0" borderId="0" xfId="0" applyFont="1"/>
    <xf numFmtId="9" fontId="10" fillId="0" borderId="2" xfId="0" applyNumberFormat="1" applyFont="1" applyBorder="1" applyAlignment="1">
      <alignment horizontal="center" vertical="center" wrapText="1"/>
    </xf>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5" fillId="0" borderId="8" xfId="0" applyFont="1" applyBorder="1" applyAlignment="1">
      <alignment horizontal="left"/>
    </xf>
    <xf numFmtId="0" fontId="20" fillId="0" borderId="0" xfId="0" applyFont="1"/>
    <xf numFmtId="164" fontId="10" fillId="2" borderId="0" xfId="1" applyNumberFormat="1" applyFont="1" applyFill="1" applyBorder="1" applyAlignment="1">
      <alignment horizontal="center"/>
    </xf>
    <xf numFmtId="0" fontId="5" fillId="0" borderId="9" xfId="0" applyFont="1" applyBorder="1"/>
    <xf numFmtId="0" fontId="21" fillId="0" borderId="0" xfId="0" applyFont="1"/>
    <xf numFmtId="0" fontId="22" fillId="0" borderId="0" xfId="0" applyFont="1"/>
    <xf numFmtId="0" fontId="23" fillId="0" borderId="0" xfId="0" applyFont="1"/>
    <xf numFmtId="0" fontId="10" fillId="0" borderId="7" xfId="0" applyFont="1" applyBorder="1" applyAlignment="1">
      <alignment horizontal="center" vertical="center"/>
    </xf>
    <xf numFmtId="0" fontId="6" fillId="0" borderId="0" xfId="0" applyFont="1" applyAlignment="1">
      <alignment horizontal="center"/>
    </xf>
    <xf numFmtId="0" fontId="25" fillId="0" borderId="0" xfId="0" applyFont="1"/>
    <xf numFmtId="0" fontId="26" fillId="0" borderId="0" xfId="0" applyFont="1"/>
    <xf numFmtId="0" fontId="27" fillId="0" borderId="0" xfId="0" applyFont="1"/>
    <xf numFmtId="0" fontId="22" fillId="0" borderId="0" xfId="0" applyFont="1" applyAlignment="1">
      <alignment horizontal="right"/>
    </xf>
    <xf numFmtId="0" fontId="28" fillId="0" borderId="0" xfId="0" applyFont="1"/>
    <xf numFmtId="0" fontId="29" fillId="0" borderId="0" xfId="0" applyFont="1"/>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1" fillId="0" borderId="0" xfId="0" applyFont="1"/>
    <xf numFmtId="0" fontId="18" fillId="0" borderId="0" xfId="0" applyFont="1" applyAlignment="1">
      <alignment horizontal="justify" vertical="center"/>
    </xf>
    <xf numFmtId="0" fontId="18" fillId="0" borderId="0" xfId="0" applyFont="1" applyAlignment="1">
      <alignment horizontal="left" vertical="center" indent="5"/>
    </xf>
    <xf numFmtId="169" fontId="5" fillId="2" borderId="7" xfId="1" applyNumberFormat="1" applyFont="1" applyFill="1" applyBorder="1"/>
    <xf numFmtId="2" fontId="10" fillId="5" borderId="2" xfId="0" applyNumberFormat="1" applyFont="1" applyFill="1" applyBorder="1" applyAlignment="1">
      <alignment horizontal="center" vertical="center" wrapText="1"/>
    </xf>
    <xf numFmtId="2" fontId="10" fillId="5" borderId="1" xfId="0" applyNumberFormat="1" applyFont="1" applyFill="1" applyBorder="1" applyAlignment="1">
      <alignment horizontal="center" vertical="center" wrapText="1"/>
    </xf>
    <xf numFmtId="170" fontId="31" fillId="5" borderId="2" xfId="0" applyNumberFormat="1" applyFont="1" applyFill="1" applyBorder="1" applyAlignment="1" applyProtection="1">
      <alignment horizontal="center" vertical="center"/>
      <protection locked="0"/>
    </xf>
    <xf numFmtId="170" fontId="31" fillId="5" borderId="2" xfId="0" applyNumberFormat="1" applyFont="1" applyFill="1" applyBorder="1" applyAlignment="1" applyProtection="1">
      <alignment horizontal="center"/>
      <protection locked="0"/>
    </xf>
    <xf numFmtId="0" fontId="22" fillId="0" borderId="0" xfId="0" applyFont="1" applyAlignment="1">
      <alignment horizontal="left" vertical="top" wrapText="1"/>
    </xf>
    <xf numFmtId="0" fontId="5" fillId="0" borderId="0" xfId="0" applyFont="1" applyAlignment="1">
      <alignment horizontal="left"/>
    </xf>
    <xf numFmtId="165" fontId="10" fillId="0" borderId="0" xfId="2" applyNumberFormat="1" applyFont="1" applyBorder="1" applyAlignment="1">
      <alignment horizontal="center"/>
    </xf>
    <xf numFmtId="164" fontId="10" fillId="0" borderId="0" xfId="0" applyNumberFormat="1" applyFont="1" applyAlignment="1">
      <alignment horizontal="center"/>
    </xf>
    <xf numFmtId="0" fontId="10" fillId="0" borderId="0" xfId="0" quotePrefix="1" applyFont="1" applyAlignment="1">
      <alignment horizontal="center"/>
    </xf>
    <xf numFmtId="43" fontId="10" fillId="0" borderId="0" xfId="0" applyNumberFormat="1" applyFont="1" applyAlignment="1">
      <alignment horizontal="center" vertical="center"/>
    </xf>
    <xf numFmtId="10" fontId="10" fillId="0" borderId="0" xfId="2" applyNumberFormat="1" applyFont="1" applyBorder="1" applyAlignment="1">
      <alignment horizontal="center"/>
    </xf>
    <xf numFmtId="0" fontId="0" fillId="0" borderId="0" xfId="0" applyAlignment="1">
      <alignment wrapText="1"/>
    </xf>
    <xf numFmtId="43" fontId="10" fillId="0" borderId="0" xfId="0" applyNumberFormat="1" applyFont="1" applyAlignment="1">
      <alignment horizontal="center" wrapText="1"/>
    </xf>
    <xf numFmtId="165" fontId="10" fillId="0" borderId="0" xfId="2" applyNumberFormat="1" applyFont="1" applyFill="1" applyBorder="1" applyAlignment="1">
      <alignment horizontal="center"/>
    </xf>
    <xf numFmtId="3" fontId="32" fillId="8" borderId="12" xfId="0" applyNumberFormat="1" applyFont="1" applyFill="1" applyBorder="1" applyAlignment="1">
      <alignment horizontal="center"/>
    </xf>
    <xf numFmtId="164" fontId="10" fillId="5" borderId="0" xfId="1" applyNumberFormat="1" applyFont="1" applyFill="1" applyAlignment="1">
      <alignment horizontal="center"/>
    </xf>
    <xf numFmtId="0" fontId="10" fillId="0" borderId="6" xfId="0" applyFont="1" applyBorder="1" applyAlignment="1">
      <alignment vertical="center"/>
    </xf>
    <xf numFmtId="0" fontId="10" fillId="0" borderId="9" xfId="0" applyFont="1" applyBorder="1" applyAlignment="1">
      <alignment vertical="center"/>
    </xf>
    <xf numFmtId="165" fontId="10" fillId="0" borderId="8" xfId="2" applyNumberFormat="1" applyFont="1" applyBorder="1" applyAlignment="1">
      <alignment horizontal="center"/>
    </xf>
    <xf numFmtId="0" fontId="10" fillId="7" borderId="9" xfId="0" applyFont="1" applyFill="1" applyBorder="1" applyAlignment="1">
      <alignment vertical="center"/>
    </xf>
    <xf numFmtId="164" fontId="9" fillId="0" borderId="0" xfId="1" applyNumberFormat="1" applyFont="1" applyBorder="1" applyAlignment="1">
      <alignment horizontal="center"/>
    </xf>
    <xf numFmtId="0" fontId="9" fillId="0" borderId="0" xfId="0" applyFont="1" applyAlignment="1">
      <alignment horizontal="center"/>
    </xf>
    <xf numFmtId="0" fontId="10" fillId="0" borderId="10" xfId="0" applyFont="1" applyBorder="1" applyAlignment="1">
      <alignment horizontal="center"/>
    </xf>
    <xf numFmtId="0" fontId="9" fillId="0" borderId="18" xfId="0" applyFont="1" applyBorder="1" applyAlignment="1">
      <alignment vertical="center"/>
    </xf>
    <xf numFmtId="0" fontId="10" fillId="0" borderId="19" xfId="0" applyFont="1" applyBorder="1" applyAlignment="1">
      <alignment horizontal="center" vertical="center" textRotation="90"/>
    </xf>
    <xf numFmtId="164" fontId="9" fillId="2" borderId="12" xfId="1" applyNumberFormat="1" applyFont="1" applyFill="1" applyBorder="1" applyAlignment="1">
      <alignment horizontal="center"/>
    </xf>
    <xf numFmtId="165" fontId="10" fillId="0" borderId="13" xfId="2" applyNumberFormat="1" applyFont="1" applyBorder="1" applyAlignment="1">
      <alignment horizontal="center"/>
    </xf>
    <xf numFmtId="164" fontId="10" fillId="0" borderId="8" xfId="0" applyNumberFormat="1" applyFont="1" applyBorder="1" applyAlignment="1">
      <alignment horizontal="center"/>
    </xf>
    <xf numFmtId="165" fontId="10" fillId="0" borderId="10" xfId="2" applyNumberFormat="1" applyFont="1" applyFill="1" applyBorder="1" applyAlignment="1">
      <alignment horizontal="center"/>
    </xf>
    <xf numFmtId="43" fontId="10" fillId="5" borderId="13" xfId="0" applyNumberFormat="1" applyFont="1" applyFill="1" applyBorder="1" applyAlignment="1">
      <alignment horizontal="center" vertical="center"/>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1" xfId="0" applyFont="1" applyBorder="1" applyAlignment="1">
      <alignment horizontal="center" vertical="center" wrapText="1"/>
    </xf>
    <xf numFmtId="0" fontId="31" fillId="5" borderId="2" xfId="0" applyFont="1" applyFill="1" applyBorder="1" applyAlignment="1">
      <alignment horizontal="center"/>
    </xf>
    <xf numFmtId="2" fontId="31" fillId="5" borderId="2" xfId="0" applyNumberFormat="1" applyFont="1" applyFill="1" applyBorder="1" applyAlignment="1" applyProtection="1">
      <alignment horizontal="center" vertical="center"/>
      <protection locked="0"/>
    </xf>
    <xf numFmtId="2" fontId="31" fillId="5" borderId="2" xfId="0" applyNumberFormat="1" applyFont="1" applyFill="1" applyBorder="1" applyAlignment="1" applyProtection="1">
      <alignment horizontal="center"/>
      <protection locked="0"/>
    </xf>
    <xf numFmtId="2" fontId="31" fillId="5" borderId="2" xfId="0" applyNumberFormat="1" applyFont="1" applyFill="1" applyBorder="1" applyAlignment="1">
      <alignment horizontal="center"/>
    </xf>
    <xf numFmtId="0" fontId="34" fillId="0" borderId="2" xfId="0" applyFont="1" applyBorder="1" applyAlignment="1">
      <alignment horizontal="center" vertical="center" wrapText="1"/>
    </xf>
    <xf numFmtId="0" fontId="1" fillId="0" borderId="2" xfId="0" applyFont="1" applyBorder="1" applyAlignment="1">
      <alignment vertical="top" wrapText="1"/>
    </xf>
    <xf numFmtId="0" fontId="1" fillId="0" borderId="2" xfId="0" applyFont="1" applyBorder="1" applyAlignment="1">
      <alignment horizontal="center" vertical="top"/>
    </xf>
    <xf numFmtId="0" fontId="1" fillId="5" borderId="2" xfId="0" applyFont="1" applyFill="1" applyBorder="1" applyAlignment="1">
      <alignment vertical="top"/>
    </xf>
    <xf numFmtId="0" fontId="1" fillId="0" borderId="0" xfId="0" applyFont="1" applyAlignment="1">
      <alignment vertical="top" wrapText="1"/>
    </xf>
    <xf numFmtId="0" fontId="1" fillId="0" borderId="0" xfId="0" applyFont="1" applyAlignment="1">
      <alignment vertical="top"/>
    </xf>
    <xf numFmtId="0" fontId="1" fillId="0" borderId="7" xfId="0" applyFont="1" applyBorder="1"/>
    <xf numFmtId="171" fontId="4" fillId="0" borderId="0" xfId="0" applyNumberFormat="1" applyFont="1"/>
    <xf numFmtId="171" fontId="3" fillId="0" borderId="0" xfId="0" applyNumberFormat="1" applyFont="1"/>
    <xf numFmtId="171" fontId="6" fillId="0" borderId="0" xfId="0" applyNumberFormat="1" applyFont="1"/>
    <xf numFmtId="171" fontId="10" fillId="0" borderId="0" xfId="0" applyNumberFormat="1" applyFont="1"/>
    <xf numFmtId="171" fontId="5" fillId="0" borderId="0" xfId="0" applyNumberFormat="1" applyFont="1"/>
    <xf numFmtId="171" fontId="9" fillId="0" borderId="2" xfId="0" applyNumberFormat="1" applyFont="1" applyBorder="1" applyAlignment="1">
      <alignment horizontal="center" vertical="center" wrapText="1"/>
    </xf>
    <xf numFmtId="171" fontId="10" fillId="2" borderId="2" xfId="0" applyNumberFormat="1" applyFont="1" applyFill="1" applyBorder="1" applyAlignment="1">
      <alignment horizontal="left"/>
    </xf>
    <xf numFmtId="0" fontId="31" fillId="0" borderId="2" xfId="0" applyFont="1" applyBorder="1" applyAlignment="1">
      <alignment horizontal="center"/>
    </xf>
    <xf numFmtId="0" fontId="6" fillId="0" borderId="14" xfId="0" applyFont="1" applyBorder="1" applyAlignment="1">
      <alignment horizontal="center"/>
    </xf>
    <xf numFmtId="9" fontId="1" fillId="0" borderId="2" xfId="0" applyNumberFormat="1" applyFont="1" applyBorder="1" applyAlignment="1">
      <alignment horizontal="center" vertical="top"/>
    </xf>
    <xf numFmtId="3" fontId="32" fillId="8" borderId="0" xfId="0" applyNumberFormat="1" applyFont="1" applyFill="1" applyAlignment="1">
      <alignment horizontal="right"/>
    </xf>
    <xf numFmtId="164" fontId="10" fillId="2" borderId="0" xfId="1" applyNumberFormat="1" applyFont="1" applyFill="1" applyBorder="1" applyAlignment="1">
      <alignment horizontal="right"/>
    </xf>
    <xf numFmtId="3" fontId="32" fillId="8" borderId="7" xfId="0" applyNumberFormat="1" applyFont="1" applyFill="1" applyBorder="1" applyAlignment="1">
      <alignment horizontal="right"/>
    </xf>
    <xf numFmtId="0" fontId="32" fillId="8" borderId="7" xfId="0" applyFont="1" applyFill="1" applyBorder="1" applyAlignment="1">
      <alignment horizontal="right"/>
    </xf>
    <xf numFmtId="0" fontId="32" fillId="8" borderId="0" xfId="0" applyFont="1" applyFill="1" applyAlignment="1">
      <alignment horizontal="right"/>
    </xf>
    <xf numFmtId="164" fontId="10" fillId="2" borderId="7" xfId="1" applyNumberFormat="1" applyFont="1" applyFill="1" applyBorder="1" applyAlignment="1">
      <alignment horizontal="right"/>
    </xf>
    <xf numFmtId="164" fontId="10" fillId="2" borderId="0" xfId="1" applyNumberFormat="1" applyFont="1" applyFill="1" applyAlignment="1">
      <alignment horizontal="right"/>
    </xf>
    <xf numFmtId="165" fontId="10" fillId="0" borderId="0" xfId="2" applyNumberFormat="1" applyFont="1" applyAlignment="1">
      <alignment horizontal="right" vertical="center"/>
    </xf>
    <xf numFmtId="3" fontId="32" fillId="10" borderId="7" xfId="0" applyNumberFormat="1" applyFont="1" applyFill="1" applyBorder="1" applyAlignment="1">
      <alignment horizontal="right"/>
    </xf>
    <xf numFmtId="0" fontId="9" fillId="0" borderId="0" xfId="0" applyFont="1" applyAlignment="1">
      <alignment horizontal="right"/>
    </xf>
    <xf numFmtId="164" fontId="5" fillId="2" borderId="7" xfId="1" applyNumberFormat="1" applyFont="1" applyFill="1" applyBorder="1" applyAlignment="1">
      <alignment horizontal="right"/>
    </xf>
    <xf numFmtId="0" fontId="6" fillId="0" borderId="12" xfId="0" applyFont="1" applyBorder="1" applyAlignment="1">
      <alignment horizontal="right"/>
    </xf>
    <xf numFmtId="164" fontId="9" fillId="0" borderId="7" xfId="1" applyNumberFormat="1" applyFont="1" applyBorder="1" applyAlignment="1">
      <alignment horizontal="right"/>
    </xf>
    <xf numFmtId="164" fontId="9" fillId="0" borderId="0" xfId="1" applyNumberFormat="1" applyFont="1" applyBorder="1" applyAlignment="1">
      <alignment horizontal="right"/>
    </xf>
    <xf numFmtId="164" fontId="10" fillId="0" borderId="12" xfId="1" applyNumberFormat="1" applyFont="1" applyBorder="1" applyAlignment="1">
      <alignment horizontal="right"/>
    </xf>
    <xf numFmtId="164" fontId="9" fillId="0" borderId="12" xfId="1" applyNumberFormat="1" applyFont="1" applyBorder="1" applyAlignment="1">
      <alignment horizontal="right"/>
    </xf>
    <xf numFmtId="164" fontId="9" fillId="0" borderId="0" xfId="1" applyNumberFormat="1" applyFont="1" applyAlignment="1">
      <alignment horizontal="right"/>
    </xf>
    <xf numFmtId="164" fontId="16" fillId="0" borderId="7" xfId="1" applyNumberFormat="1" applyFont="1" applyBorder="1" applyAlignment="1">
      <alignment horizontal="right"/>
    </xf>
    <xf numFmtId="171" fontId="34" fillId="0" borderId="0" xfId="0" applyNumberFormat="1" applyFont="1" applyAlignment="1">
      <alignment horizontal="center" vertical="top"/>
    </xf>
    <xf numFmtId="171" fontId="34" fillId="2" borderId="2" xfId="0" applyNumberFormat="1" applyFont="1" applyFill="1" applyBorder="1" applyAlignment="1">
      <alignment horizontal="center" vertical="top"/>
    </xf>
    <xf numFmtId="171" fontId="34" fillId="2" borderId="2" xfId="0" applyNumberFormat="1" applyFont="1" applyFill="1" applyBorder="1" applyAlignment="1">
      <alignment horizontal="left" vertical="top"/>
    </xf>
    <xf numFmtId="2" fontId="10" fillId="0" borderId="0" xfId="2" applyNumberFormat="1" applyFont="1" applyBorder="1" applyAlignment="1">
      <alignment horizontal="center"/>
    </xf>
    <xf numFmtId="164" fontId="34" fillId="9" borderId="0" xfId="1" applyNumberFormat="1" applyFont="1" applyFill="1" applyAlignment="1">
      <alignment horizontal="right"/>
    </xf>
    <xf numFmtId="164" fontId="34" fillId="9" borderId="12" xfId="1" applyNumberFormat="1" applyFont="1" applyFill="1" applyBorder="1" applyAlignment="1">
      <alignment horizontal="right"/>
    </xf>
    <xf numFmtId="170" fontId="9" fillId="0" borderId="0" xfId="1" applyNumberFormat="1" applyFont="1" applyAlignment="1">
      <alignment horizontal="right"/>
    </xf>
    <xf numFmtId="170" fontId="34" fillId="9" borderId="0" xfId="1" applyNumberFormat="1" applyFont="1" applyFill="1" applyAlignment="1">
      <alignment horizontal="right"/>
    </xf>
    <xf numFmtId="1" fontId="34" fillId="9" borderId="0" xfId="1" applyNumberFormat="1" applyFont="1" applyFill="1" applyAlignment="1">
      <alignment horizontal="right"/>
    </xf>
    <xf numFmtId="0" fontId="34" fillId="0" borderId="1" xfId="0" applyFont="1" applyBorder="1" applyAlignment="1">
      <alignment horizontal="center" vertical="center" wrapText="1"/>
    </xf>
    <xf numFmtId="0" fontId="34" fillId="0" borderId="8" xfId="0" applyFont="1" applyBorder="1" applyAlignment="1">
      <alignment horizontal="center" vertical="center" wrapText="1"/>
    </xf>
    <xf numFmtId="0" fontId="1" fillId="3" borderId="2" xfId="0" applyFont="1" applyFill="1" applyBorder="1" applyAlignment="1">
      <alignment horizontal="center" vertical="top" wrapText="1"/>
    </xf>
    <xf numFmtId="0" fontId="1" fillId="3" borderId="2" xfId="0" applyFont="1" applyFill="1" applyBorder="1" applyAlignment="1">
      <alignment horizontal="center" vertical="top"/>
    </xf>
    <xf numFmtId="0" fontId="34" fillId="0" borderId="5" xfId="0" applyFont="1" applyBorder="1" applyAlignment="1">
      <alignment horizontal="center" vertical="center" wrapText="1"/>
    </xf>
    <xf numFmtId="0" fontId="34" fillId="0" borderId="14" xfId="0" applyFont="1" applyBorder="1" applyAlignment="1">
      <alignment horizontal="center" vertical="center" wrapText="1"/>
    </xf>
    <xf numFmtId="0" fontId="34" fillId="0" borderId="13" xfId="0" applyFont="1" applyBorder="1" applyAlignment="1">
      <alignment horizontal="center" vertical="center" wrapText="1"/>
    </xf>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1" fillId="0" borderId="0" xfId="0" applyFont="1" applyAlignment="1">
      <alignment horizontal="right"/>
    </xf>
    <xf numFmtId="171" fontId="1" fillId="0" borderId="0" xfId="0" applyNumberFormat="1" applyFont="1"/>
    <xf numFmtId="0" fontId="1" fillId="0" borderId="0" xfId="0" applyFont="1" applyAlignment="1">
      <alignment horizontal="left" vertical="center" wrapText="1"/>
    </xf>
    <xf numFmtId="0" fontId="21" fillId="0" borderId="0" xfId="0" applyFont="1" applyAlignment="1">
      <alignment horizontal="left" wrapText="1"/>
    </xf>
    <xf numFmtId="0" fontId="7" fillId="2" borderId="0" xfId="0" applyFont="1" applyFill="1" applyAlignment="1">
      <alignment horizontal="center"/>
    </xf>
    <xf numFmtId="0" fontId="1" fillId="2" borderId="0" xfId="0" applyFont="1" applyFill="1" applyAlignment="1">
      <alignment horizontal="center"/>
    </xf>
    <xf numFmtId="0" fontId="1" fillId="2" borderId="0" xfId="0" applyFont="1" applyFill="1" applyAlignment="1">
      <alignment horizontal="center" vertical="center"/>
    </xf>
    <xf numFmtId="0" fontId="30" fillId="2" borderId="0" xfId="3" applyFill="1" applyAlignment="1">
      <alignment horizontal="center"/>
    </xf>
    <xf numFmtId="0" fontId="5" fillId="3" borderId="2" xfId="0" applyFont="1" applyFill="1" applyBorder="1" applyAlignment="1">
      <alignment horizontal="left"/>
    </xf>
    <xf numFmtId="0" fontId="6" fillId="0" borderId="2" xfId="0" applyFont="1" applyBorder="1" applyAlignment="1">
      <alignment horizontal="left"/>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10" fillId="2" borderId="2" xfId="0" applyFont="1" applyFill="1" applyBorder="1" applyAlignment="1">
      <alignment horizontal="left" vertical="top"/>
    </xf>
    <xf numFmtId="0" fontId="5" fillId="2" borderId="2" xfId="0" applyFont="1" applyFill="1" applyBorder="1" applyAlignment="1">
      <alignment horizontal="left"/>
    </xf>
    <xf numFmtId="0" fontId="9" fillId="0" borderId="2" xfId="0" applyFont="1" applyBorder="1" applyAlignment="1">
      <alignment horizontal="left"/>
    </xf>
    <xf numFmtId="0" fontId="10" fillId="2" borderId="2" xfId="0" applyFont="1" applyFill="1" applyBorder="1" applyAlignment="1">
      <alignment horizontal="left"/>
    </xf>
    <xf numFmtId="0" fontId="9" fillId="0" borderId="2" xfId="0" applyFont="1" applyBorder="1" applyAlignment="1">
      <alignment horizontal="left" vertical="top"/>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0" xfId="0" applyFont="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34" fillId="2" borderId="6" xfId="0" applyFont="1" applyFill="1" applyBorder="1" applyAlignment="1">
      <alignment horizontal="left" vertical="top" wrapText="1"/>
    </xf>
    <xf numFmtId="0" fontId="34" fillId="2" borderId="7" xfId="0" applyFont="1" applyFill="1" applyBorder="1" applyAlignment="1">
      <alignment horizontal="left" vertical="top" wrapText="1"/>
    </xf>
    <xf numFmtId="0" fontId="34" fillId="2" borderId="8" xfId="0" applyFont="1" applyFill="1" applyBorder="1" applyAlignment="1">
      <alignment horizontal="left" vertical="top" wrapText="1"/>
    </xf>
    <xf numFmtId="0" fontId="34" fillId="2" borderId="9" xfId="0" applyFont="1" applyFill="1" applyBorder="1" applyAlignment="1">
      <alignment horizontal="left" vertical="top" wrapText="1"/>
    </xf>
    <xf numFmtId="0" fontId="34" fillId="2" borderId="0" xfId="0" applyFont="1" applyFill="1" applyAlignment="1">
      <alignment horizontal="left" vertical="top" wrapText="1"/>
    </xf>
    <xf numFmtId="0" fontId="34" fillId="2" borderId="10" xfId="0" applyFont="1" applyFill="1" applyBorder="1" applyAlignment="1">
      <alignment horizontal="left" vertical="top" wrapText="1"/>
    </xf>
    <xf numFmtId="0" fontId="34" fillId="2" borderId="11" xfId="0" applyFont="1" applyFill="1" applyBorder="1" applyAlignment="1">
      <alignment horizontal="left" vertical="top" wrapText="1"/>
    </xf>
    <xf numFmtId="0" fontId="34" fillId="2" borderId="12" xfId="0" applyFont="1" applyFill="1" applyBorder="1" applyAlignment="1">
      <alignment horizontal="left" vertical="top" wrapText="1"/>
    </xf>
    <xf numFmtId="0" fontId="34" fillId="2" borderId="13" xfId="0" applyFont="1" applyFill="1" applyBorder="1" applyAlignment="1">
      <alignment horizontal="left" vertical="top" wrapText="1"/>
    </xf>
    <xf numFmtId="0" fontId="1" fillId="0" borderId="0" xfId="0" applyFont="1" applyAlignment="1">
      <alignment horizontal="left" vertical="top" wrapText="1"/>
    </xf>
    <xf numFmtId="0" fontId="34" fillId="0" borderId="7" xfId="0" applyFont="1" applyBorder="1" applyAlignment="1">
      <alignment horizontal="left" vertical="top" wrapText="1"/>
    </xf>
    <xf numFmtId="0" fontId="34" fillId="0" borderId="7" xfId="0" applyFont="1" applyBorder="1" applyAlignment="1">
      <alignment horizontal="left" vertical="top"/>
    </xf>
    <xf numFmtId="0" fontId="34" fillId="0" borderId="0" xfId="0" applyFont="1" applyAlignment="1">
      <alignment horizontal="left" vertical="top"/>
    </xf>
    <xf numFmtId="0" fontId="35" fillId="0" borderId="0" xfId="0" applyFont="1" applyAlignment="1"/>
    <xf numFmtId="166" fontId="10" fillId="2" borderId="12" xfId="0" applyNumberFormat="1" applyFont="1" applyFill="1" applyBorder="1" applyAlignment="1">
      <alignment horizontal="center" wrapText="1"/>
    </xf>
    <xf numFmtId="166" fontId="10" fillId="2" borderId="13" xfId="0" applyNumberFormat="1" applyFont="1" applyFill="1" applyBorder="1" applyAlignment="1">
      <alignment horizontal="center" wrapText="1"/>
    </xf>
    <xf numFmtId="164" fontId="10" fillId="0" borderId="0" xfId="0" applyNumberFormat="1" applyFont="1" applyAlignment="1">
      <alignment vertical="center" wrapText="1"/>
    </xf>
    <xf numFmtId="164" fontId="10" fillId="0" borderId="0" xfId="0" applyNumberFormat="1" applyFont="1" applyAlignment="1">
      <alignment horizontal="left" vertical="center" wrapText="1"/>
    </xf>
    <xf numFmtId="0" fontId="10" fillId="0" borderId="7" xfId="0" applyFont="1" applyBorder="1" applyAlignment="1">
      <alignment vertical="center" wrapText="1"/>
    </xf>
    <xf numFmtId="0" fontId="10" fillId="0" borderId="8" xfId="0" applyFont="1" applyBorder="1" applyAlignment="1">
      <alignment vertical="center" wrapText="1"/>
    </xf>
    <xf numFmtId="0" fontId="10" fillId="0" borderId="0" xfId="0" applyFont="1" applyAlignment="1">
      <alignment vertical="center" wrapText="1"/>
    </xf>
    <xf numFmtId="0" fontId="10" fillId="0" borderId="10" xfId="0" applyFont="1" applyBorder="1" applyAlignment="1">
      <alignment vertical="center" wrapText="1"/>
    </xf>
    <xf numFmtId="0" fontId="10" fillId="0" borderId="12" xfId="0" applyFont="1" applyBorder="1" applyAlignment="1">
      <alignment vertical="center" wrapText="1"/>
    </xf>
    <xf numFmtId="0" fontId="10" fillId="0" borderId="13" xfId="0" applyFont="1" applyBorder="1" applyAlignment="1">
      <alignment vertical="center" wrapText="1"/>
    </xf>
    <xf numFmtId="0" fontId="10" fillId="0" borderId="0" xfId="0" applyFont="1" applyAlignment="1"/>
    <xf numFmtId="0" fontId="0" fillId="0" borderId="0" xfId="0" applyAlignment="1">
      <alignment wrapText="1"/>
    </xf>
    <xf numFmtId="0" fontId="0" fillId="0" borderId="0" xfId="0" applyAlignment="1"/>
    <xf numFmtId="43" fontId="0" fillId="0" borderId="0" xfId="0" applyNumberFormat="1" applyAlignment="1">
      <alignment horizontal="center" wrapText="1"/>
    </xf>
    <xf numFmtId="0" fontId="0" fillId="0" borderId="0" xfId="0" applyAlignment="1">
      <alignment horizontal="center"/>
    </xf>
    <xf numFmtId="0" fontId="10" fillId="0" borderId="7" xfId="0" applyFont="1" applyBorder="1" applyAlignment="1">
      <alignment horizontal="center" vertical="center" textRotation="90"/>
    </xf>
    <xf numFmtId="0" fontId="10" fillId="0" borderId="0" xfId="0" applyFont="1" applyAlignment="1">
      <alignment horizontal="center" vertical="center" textRotation="90"/>
    </xf>
    <xf numFmtId="0" fontId="10" fillId="0" borderId="12" xfId="0" applyFont="1" applyBorder="1" applyAlignment="1">
      <alignment horizontal="center" vertical="center" textRotation="90"/>
    </xf>
    <xf numFmtId="164" fontId="5" fillId="2" borderId="7" xfId="1" applyNumberFormat="1" applyFont="1" applyFill="1" applyBorder="1" applyAlignment="1"/>
    <xf numFmtId="0" fontId="10" fillId="0" borderId="0" xfId="0" applyFont="1" applyAlignment="1">
      <alignment horizontal="center" textRotation="90"/>
    </xf>
    <xf numFmtId="0" fontId="34" fillId="0" borderId="6" xfId="0" applyFont="1" applyBorder="1" applyAlignment="1">
      <alignment horizontal="left" vertical="top" wrapText="1"/>
    </xf>
    <xf numFmtId="0" fontId="34" fillId="0" borderId="8" xfId="0" applyFont="1" applyBorder="1" applyAlignment="1">
      <alignment horizontal="left" vertical="top" wrapText="1"/>
    </xf>
    <xf numFmtId="0" fontId="34" fillId="0" borderId="9" xfId="0" applyFont="1" applyBorder="1" applyAlignment="1">
      <alignment horizontal="left" vertical="top" wrapText="1"/>
    </xf>
    <xf numFmtId="0" fontId="34" fillId="0" borderId="0" xfId="0" applyFont="1" applyAlignment="1">
      <alignment horizontal="left" vertical="top" wrapText="1"/>
    </xf>
    <xf numFmtId="0" fontId="34" fillId="0" borderId="10" xfId="0" applyFont="1" applyBorder="1" applyAlignment="1">
      <alignment horizontal="left" vertical="top" wrapText="1"/>
    </xf>
    <xf numFmtId="0" fontId="34" fillId="0" borderId="11" xfId="0" applyFont="1" applyBorder="1" applyAlignment="1">
      <alignment horizontal="left" vertical="top" wrapText="1"/>
    </xf>
    <xf numFmtId="0" fontId="34" fillId="0" borderId="12" xfId="0" applyFont="1" applyBorder="1" applyAlignment="1">
      <alignment horizontal="left" vertical="top" wrapText="1"/>
    </xf>
    <xf numFmtId="0" fontId="34" fillId="0" borderId="13" xfId="0" applyFont="1" applyBorder="1" applyAlignment="1">
      <alignment horizontal="left" vertical="top" wrapText="1"/>
    </xf>
    <xf numFmtId="0" fontId="34" fillId="0" borderId="8" xfId="0" applyFont="1" applyBorder="1" applyAlignment="1">
      <alignment horizontal="left" vertical="top"/>
    </xf>
    <xf numFmtId="0" fontId="34" fillId="0" borderId="9" xfId="0" applyFont="1" applyBorder="1" applyAlignment="1">
      <alignment horizontal="left" vertical="top"/>
    </xf>
    <xf numFmtId="0" fontId="34" fillId="0" borderId="10" xfId="0" applyFont="1" applyBorder="1" applyAlignment="1">
      <alignment horizontal="left" vertical="top"/>
    </xf>
    <xf numFmtId="0" fontId="34" fillId="0" borderId="11" xfId="0" applyFont="1" applyBorder="1" applyAlignment="1">
      <alignment horizontal="left" vertical="top"/>
    </xf>
    <xf numFmtId="0" fontId="34" fillId="0" borderId="12" xfId="0" applyFont="1" applyBorder="1" applyAlignment="1">
      <alignment horizontal="left" vertical="top"/>
    </xf>
    <xf numFmtId="0" fontId="34" fillId="0" borderId="13" xfId="0" applyFont="1" applyBorder="1" applyAlignment="1">
      <alignment horizontal="left" vertical="top"/>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168" fontId="10" fillId="2" borderId="1" xfId="0" applyNumberFormat="1" applyFont="1" applyFill="1" applyBorder="1" applyAlignment="1">
      <alignment horizontal="center" vertical="center" wrapText="1"/>
    </xf>
    <xf numFmtId="165" fontId="10" fillId="0" borderId="1" xfId="2" applyNumberFormat="1" applyFont="1" applyBorder="1" applyAlignment="1">
      <alignment horizontal="center" vertical="center" wrapText="1"/>
    </xf>
    <xf numFmtId="0" fontId="5" fillId="0" borderId="0" xfId="0" applyFont="1" applyAlignment="1">
      <alignment horizontal="left"/>
    </xf>
    <xf numFmtId="0" fontId="5" fillId="0" borderId="0" xfId="0" applyFont="1" applyAlignment="1">
      <alignment horizontal="left" vertical="top"/>
    </xf>
    <xf numFmtId="167" fontId="5" fillId="2" borderId="0" xfId="0" applyNumberFormat="1" applyFont="1" applyFill="1" applyAlignment="1">
      <alignment horizontal="center" vertical="top"/>
    </xf>
    <xf numFmtId="0" fontId="13" fillId="4" borderId="2" xfId="0" applyFont="1" applyFill="1" applyBorder="1" applyAlignment="1">
      <alignment horizontal="center" vertical="center" wrapText="1"/>
    </xf>
    <xf numFmtId="0" fontId="10" fillId="2" borderId="2" xfId="0" applyFont="1" applyFill="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4" fontId="10" fillId="0" borderId="4" xfId="0" applyNumberFormat="1"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14" xfId="0" applyFont="1" applyBorder="1" applyAlignment="1">
      <alignment vertical="center" wrapText="1"/>
    </xf>
    <xf numFmtId="0" fontId="10" fillId="0" borderId="1" xfId="0" applyFont="1" applyBorder="1" applyAlignment="1">
      <alignment vertical="center" wrapText="1"/>
    </xf>
    <xf numFmtId="168" fontId="10" fillId="0" borderId="1" xfId="0" applyNumberFormat="1" applyFont="1" applyBorder="1" applyAlignment="1">
      <alignment horizontal="center" vertical="center" wrapText="1"/>
    </xf>
    <xf numFmtId="0" fontId="10" fillId="5" borderId="2" xfId="0" applyFont="1" applyFill="1" applyBorder="1" applyAlignment="1">
      <alignment horizontal="left" vertical="center" wrapText="1"/>
    </xf>
    <xf numFmtId="168" fontId="34" fillId="2" borderId="1" xfId="0" applyNumberFormat="1" applyFont="1" applyFill="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3" fillId="4" borderId="9" xfId="0" applyFont="1" applyFill="1" applyBorder="1" applyAlignment="1">
      <alignment horizontal="center" vertical="center" wrapText="1"/>
    </xf>
    <xf numFmtId="0" fontId="13" fillId="4" borderId="0" xfId="0" applyFont="1" applyFill="1" applyAlignment="1">
      <alignment horizontal="center" vertical="center" wrapText="1"/>
    </xf>
    <xf numFmtId="0" fontId="13" fillId="4" borderId="10"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10" fillId="0" borderId="5" xfId="0" applyFont="1" applyBorder="1" applyAlignment="1">
      <alignment horizontal="left" vertical="center" wrapText="1"/>
    </xf>
    <xf numFmtId="0" fontId="34" fillId="0" borderId="3" xfId="0" applyFont="1" applyBorder="1" applyAlignment="1">
      <alignment horizontal="center" vertical="center" wrapText="1"/>
    </xf>
    <xf numFmtId="0" fontId="34" fillId="0" borderId="5" xfId="0" applyFont="1" applyBorder="1" applyAlignment="1">
      <alignment horizontal="center" vertical="center" wrapText="1"/>
    </xf>
    <xf numFmtId="4" fontId="10" fillId="0" borderId="3" xfId="0" applyNumberFormat="1" applyFont="1" applyBorder="1" applyAlignment="1">
      <alignment horizontal="center" vertical="center" wrapText="1"/>
    </xf>
    <xf numFmtId="4" fontId="10" fillId="0" borderId="5" xfId="0" applyNumberFormat="1" applyFont="1" applyBorder="1" applyAlignment="1">
      <alignment horizontal="center" vertical="center" wrapText="1"/>
    </xf>
    <xf numFmtId="0" fontId="9" fillId="0" borderId="2" xfId="0" applyFont="1" applyBorder="1" applyAlignment="1">
      <alignment vertical="center" wrapText="1"/>
    </xf>
    <xf numFmtId="168" fontId="9" fillId="0" borderId="2" xfId="0" applyNumberFormat="1" applyFont="1" applyBorder="1" applyAlignment="1">
      <alignment horizontal="center" vertical="center" wrapText="1"/>
    </xf>
    <xf numFmtId="165" fontId="10" fillId="0" borderId="3" xfId="2" applyNumberFormat="1" applyFont="1" applyBorder="1" applyAlignment="1">
      <alignment horizontal="center" vertical="center" wrapText="1"/>
    </xf>
    <xf numFmtId="165" fontId="10" fillId="0" borderId="5" xfId="2" applyNumberFormat="1" applyFont="1" applyBorder="1" applyAlignment="1">
      <alignment horizontal="center" vertical="center" wrapText="1"/>
    </xf>
    <xf numFmtId="0" fontId="6" fillId="0" borderId="2" xfId="0" applyFont="1" applyBorder="1" applyAlignment="1">
      <alignment horizontal="left" vertical="top" wrapText="1"/>
    </xf>
    <xf numFmtId="0" fontId="5" fillId="2" borderId="2" xfId="0" applyFont="1" applyFill="1" applyBorder="1" applyAlignment="1">
      <alignment horizontal="left" vertical="top" wrapText="1"/>
    </xf>
    <xf numFmtId="4" fontId="10" fillId="5" borderId="3" xfId="0" applyNumberFormat="1" applyFont="1" applyFill="1" applyBorder="1" applyAlignment="1">
      <alignment horizontal="center" vertical="center" wrapText="1"/>
    </xf>
    <xf numFmtId="4" fontId="10" fillId="5" borderId="5" xfId="0" applyNumberFormat="1" applyFont="1" applyFill="1" applyBorder="1" applyAlignment="1">
      <alignment horizontal="center" vertical="center" wrapText="1"/>
    </xf>
    <xf numFmtId="0" fontId="10" fillId="2" borderId="3" xfId="0" applyFont="1" applyFill="1" applyBorder="1" applyAlignment="1">
      <alignment horizontal="left" vertical="center" wrapText="1"/>
    </xf>
    <xf numFmtId="0" fontId="10" fillId="2" borderId="4"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3" xfId="0" applyFont="1" applyFill="1" applyBorder="1" applyAlignment="1">
      <alignment horizontal="center" vertical="center" wrapText="1"/>
    </xf>
    <xf numFmtId="0" fontId="10" fillId="2" borderId="5" xfId="0" applyFont="1" applyFill="1" applyBorder="1" applyAlignment="1">
      <alignment horizontal="center" vertical="center" wrapText="1"/>
    </xf>
    <xf numFmtId="4" fontId="10" fillId="2" borderId="3" xfId="0" applyNumberFormat="1" applyFont="1" applyFill="1" applyBorder="1" applyAlignment="1">
      <alignment horizontal="center" vertical="center" wrapText="1"/>
    </xf>
    <xf numFmtId="4" fontId="10" fillId="2" borderId="5" xfId="0" applyNumberFormat="1" applyFont="1" applyFill="1" applyBorder="1" applyAlignment="1">
      <alignment horizontal="center" vertical="center" wrapText="1"/>
    </xf>
    <xf numFmtId="0" fontId="13" fillId="4" borderId="2" xfId="0" applyFont="1" applyFill="1" applyBorder="1" applyAlignment="1">
      <alignment horizontal="left" vertical="center" wrapText="1"/>
    </xf>
    <xf numFmtId="0" fontId="5" fillId="0" borderId="0" xfId="0" applyFont="1" applyAlignment="1">
      <alignment horizontal="center" vertical="top"/>
    </xf>
    <xf numFmtId="167" fontId="5" fillId="0" borderId="0" xfId="0" applyNumberFormat="1" applyFont="1" applyAlignment="1">
      <alignment horizontal="center" vertical="top"/>
    </xf>
    <xf numFmtId="3" fontId="10"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xf>
    <xf numFmtId="0" fontId="10" fillId="0" borderId="2" xfId="0" applyFont="1" applyBorder="1" applyAlignment="1">
      <alignment horizontal="center" vertical="center" wrapText="1"/>
    </xf>
    <xf numFmtId="0" fontId="34" fillId="5" borderId="2" xfId="0" applyFont="1" applyFill="1" applyBorder="1" applyAlignment="1">
      <alignment horizontal="center" vertical="center" wrapText="1"/>
    </xf>
    <xf numFmtId="9" fontId="10" fillId="0" borderId="2" xfId="0" applyNumberFormat="1" applyFont="1" applyBorder="1" applyAlignment="1">
      <alignment horizontal="center" vertical="center"/>
    </xf>
    <xf numFmtId="0" fontId="10" fillId="0" borderId="2" xfId="0" applyFont="1" applyBorder="1" applyAlignment="1">
      <alignment horizontal="center" vertical="center"/>
    </xf>
    <xf numFmtId="0" fontId="10" fillId="2" borderId="2" xfId="0" applyFont="1" applyFill="1" applyBorder="1" applyAlignment="1">
      <alignment horizontal="left" vertical="top" wrapText="1"/>
    </xf>
    <xf numFmtId="0" fontId="9" fillId="0" borderId="7" xfId="0" applyFont="1" applyBorder="1" applyAlignment="1">
      <alignment horizontal="center" wrapText="1"/>
    </xf>
    <xf numFmtId="0" fontId="6" fillId="0" borderId="2" xfId="0" applyFont="1" applyBorder="1" applyAlignment="1">
      <alignment horizontal="left" vertical="center" wrapText="1"/>
    </xf>
    <xf numFmtId="10" fontId="34" fillId="0" borderId="2" xfId="0" applyNumberFormat="1" applyFont="1" applyBorder="1" applyAlignment="1">
      <alignment horizontal="center" vertical="center"/>
    </xf>
    <xf numFmtId="9" fontId="34" fillId="0" borderId="2" xfId="0" applyNumberFormat="1" applyFont="1" applyBorder="1" applyAlignment="1">
      <alignment horizontal="center" vertical="center"/>
    </xf>
    <xf numFmtId="0" fontId="34" fillId="0" borderId="2" xfId="0" applyFont="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0" fontId="34" fillId="0" borderId="2" xfId="0" applyFont="1" applyBorder="1" applyAlignment="1">
      <alignment horizontal="center" vertical="center" wrapText="1"/>
    </xf>
    <xf numFmtId="0" fontId="9" fillId="0" borderId="2" xfId="0" applyFont="1" applyBorder="1" applyAlignment="1">
      <alignment horizontal="center" vertical="center" wrapText="1"/>
    </xf>
    <xf numFmtId="0" fontId="9" fillId="0" borderId="3" xfId="0" applyFont="1" applyBorder="1" applyAlignment="1">
      <alignment horizontal="center" vertical="center" wrapText="1"/>
    </xf>
    <xf numFmtId="0" fontId="10" fillId="2" borderId="2" xfId="0" applyFont="1" applyFill="1" applyBorder="1" applyAlignment="1">
      <alignment horizontal="center" vertical="center"/>
    </xf>
    <xf numFmtId="0" fontId="5" fillId="7" borderId="3" xfId="0" applyFont="1" applyFill="1" applyBorder="1" applyAlignment="1">
      <alignment horizontal="center"/>
    </xf>
    <xf numFmtId="0" fontId="5" fillId="7" borderId="5" xfId="0" applyFont="1" applyFill="1" applyBorder="1" applyAlignment="1">
      <alignment horizontal="center"/>
    </xf>
    <xf numFmtId="0" fontId="34" fillId="2" borderId="2" xfId="0" applyFont="1" applyFill="1" applyBorder="1" applyAlignment="1">
      <alignment horizontal="left" vertical="top" wrapText="1"/>
    </xf>
    <xf numFmtId="0" fontId="34" fillId="2" borderId="3" xfId="0" applyFont="1" applyFill="1" applyBorder="1" applyAlignment="1">
      <alignment horizontal="left" vertical="top" wrapText="1"/>
    </xf>
    <xf numFmtId="0" fontId="35" fillId="0" borderId="4" xfId="0" applyFont="1" applyBorder="1" applyAlignment="1">
      <alignment horizontal="left" vertical="top" wrapText="1"/>
    </xf>
    <xf numFmtId="0" fontId="35" fillId="0" borderId="5" xfId="0" applyFont="1" applyBorder="1" applyAlignment="1">
      <alignment horizontal="left" vertical="top" wrapText="1"/>
    </xf>
    <xf numFmtId="0" fontId="10" fillId="2" borderId="3" xfId="0" applyFont="1" applyFill="1" applyBorder="1" applyAlignment="1">
      <alignment horizontal="left"/>
    </xf>
    <xf numFmtId="0" fontId="10" fillId="2" borderId="2" xfId="0" applyFont="1" applyFill="1" applyBorder="1" applyAlignment="1">
      <alignment horizontal="left" wrapText="1"/>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Alignment="1">
      <alignment horizontal="center" vertical="center"/>
    </xf>
    <xf numFmtId="0" fontId="34" fillId="2" borderId="3" xfId="0" applyFont="1" applyFill="1" applyBorder="1" applyAlignment="1">
      <alignment horizontal="left" vertical="top"/>
    </xf>
    <xf numFmtId="0" fontId="34" fillId="2" borderId="4" xfId="0" applyFont="1" applyFill="1" applyBorder="1" applyAlignment="1">
      <alignment horizontal="left" vertical="top"/>
    </xf>
    <xf numFmtId="0" fontId="34" fillId="2" borderId="5" xfId="0" applyFont="1" applyFill="1" applyBorder="1" applyAlignment="1">
      <alignment horizontal="left" vertical="top"/>
    </xf>
    <xf numFmtId="0" fontId="34" fillId="2" borderId="4" xfId="0" applyFont="1" applyFill="1" applyBorder="1" applyAlignment="1">
      <alignment horizontal="left" vertical="top" wrapText="1"/>
    </xf>
    <xf numFmtId="0" fontId="34" fillId="2" borderId="5" xfId="0" applyFont="1" applyFill="1" applyBorder="1" applyAlignment="1">
      <alignment horizontal="left" vertical="top" wrapText="1"/>
    </xf>
    <xf numFmtId="0" fontId="34" fillId="0" borderId="6" xfId="0" applyFont="1" applyBorder="1" applyAlignment="1">
      <alignment horizontal="left" vertical="top"/>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6" fillId="0" borderId="3" xfId="0" applyFont="1" applyBorder="1" applyAlignment="1">
      <alignment horizontal="left" vertical="center"/>
    </xf>
    <xf numFmtId="0" fontId="6" fillId="0" borderId="4" xfId="0" applyFont="1" applyBorder="1" applyAlignment="1">
      <alignment horizontal="left" vertical="center"/>
    </xf>
    <xf numFmtId="0" fontId="6" fillId="0" borderId="5" xfId="0" applyFont="1" applyBorder="1" applyAlignment="1">
      <alignment horizontal="left" vertical="center"/>
    </xf>
    <xf numFmtId="0" fontId="34" fillId="0" borderId="7" xfId="0" applyFont="1" applyBorder="1" applyAlignment="1">
      <alignment vertical="top" wrapText="1"/>
    </xf>
    <xf numFmtId="0" fontId="34" fillId="0" borderId="8" xfId="0" applyFont="1" applyBorder="1" applyAlignment="1">
      <alignment vertical="top" wrapText="1"/>
    </xf>
    <xf numFmtId="0" fontId="34" fillId="0" borderId="0" xfId="0" applyFont="1" applyAlignment="1">
      <alignment vertical="top" wrapText="1"/>
    </xf>
    <xf numFmtId="0" fontId="34" fillId="0" borderId="10" xfId="0" applyFont="1" applyBorder="1" applyAlignment="1">
      <alignment vertical="top" wrapText="1"/>
    </xf>
    <xf numFmtId="0" fontId="34" fillId="0" borderId="12" xfId="0" applyFont="1" applyBorder="1" applyAlignment="1">
      <alignment vertical="top" wrapText="1"/>
    </xf>
    <xf numFmtId="0" fontId="34" fillId="0" borderId="13" xfId="0" applyFont="1" applyBorder="1" applyAlignment="1">
      <alignment vertical="top" wrapText="1"/>
    </xf>
    <xf numFmtId="0" fontId="10" fillId="2" borderId="6" xfId="0" applyFont="1" applyFill="1" applyBorder="1" applyAlignment="1">
      <alignment horizontal="left" vertical="top"/>
    </xf>
    <xf numFmtId="0" fontId="10" fillId="2" borderId="8" xfId="0" applyFont="1" applyFill="1" applyBorder="1" applyAlignment="1">
      <alignment horizontal="left" vertical="top"/>
    </xf>
    <xf numFmtId="0" fontId="10" fillId="2" borderId="11" xfId="0" applyFont="1" applyFill="1" applyBorder="1" applyAlignment="1">
      <alignment horizontal="left" vertical="top"/>
    </xf>
    <xf numFmtId="0" fontId="10" fillId="2" borderId="13" xfId="0" applyFont="1" applyFill="1" applyBorder="1" applyAlignment="1">
      <alignment horizontal="left" vertical="top"/>
    </xf>
    <xf numFmtId="0" fontId="34" fillId="5" borderId="6" xfId="0" applyFont="1" applyFill="1" applyBorder="1" applyAlignment="1">
      <alignment horizontal="left" vertical="top"/>
    </xf>
    <xf numFmtId="0" fontId="34" fillId="5" borderId="7" xfId="0" applyFont="1" applyFill="1" applyBorder="1" applyAlignment="1">
      <alignment horizontal="left" vertical="top"/>
    </xf>
    <xf numFmtId="0" fontId="34" fillId="5" borderId="8" xfId="0" applyFont="1" applyFill="1" applyBorder="1" applyAlignment="1">
      <alignment horizontal="left" vertical="top"/>
    </xf>
    <xf numFmtId="0" fontId="34" fillId="5" borderId="11" xfId="0" applyFont="1" applyFill="1" applyBorder="1" applyAlignment="1">
      <alignment horizontal="left" vertical="top"/>
    </xf>
    <xf numFmtId="0" fontId="34" fillId="5" borderId="12" xfId="0" applyFont="1" applyFill="1" applyBorder="1" applyAlignment="1">
      <alignment horizontal="left" vertical="top"/>
    </xf>
    <xf numFmtId="0" fontId="34" fillId="5" borderId="13" xfId="0" applyFont="1" applyFill="1" applyBorder="1" applyAlignment="1">
      <alignment horizontal="left" vertical="top"/>
    </xf>
    <xf numFmtId="0" fontId="10" fillId="2" borderId="7" xfId="0" applyFont="1" applyFill="1" applyBorder="1" applyAlignment="1">
      <alignment horizontal="left" vertical="top"/>
    </xf>
    <xf numFmtId="0" fontId="10" fillId="2" borderId="12" xfId="0" applyFont="1" applyFill="1" applyBorder="1" applyAlignment="1">
      <alignment horizontal="left" vertical="top"/>
    </xf>
    <xf numFmtId="0" fontId="33" fillId="5" borderId="6" xfId="0" applyFont="1" applyFill="1" applyBorder="1" applyAlignment="1">
      <alignment horizontal="left" vertical="top"/>
    </xf>
    <xf numFmtId="0" fontId="33" fillId="5" borderId="7" xfId="0" applyFont="1" applyFill="1" applyBorder="1" applyAlignment="1">
      <alignment horizontal="left" vertical="top"/>
    </xf>
    <xf numFmtId="0" fontId="33" fillId="5" borderId="8" xfId="0" applyFont="1" applyFill="1" applyBorder="1" applyAlignment="1">
      <alignment horizontal="left" vertical="top"/>
    </xf>
    <xf numFmtId="0" fontId="33" fillId="5" borderId="11" xfId="0" applyFont="1" applyFill="1" applyBorder="1" applyAlignment="1">
      <alignment horizontal="left" vertical="top"/>
    </xf>
    <xf numFmtId="0" fontId="33" fillId="5" borderId="12" xfId="0" applyFont="1" applyFill="1" applyBorder="1" applyAlignment="1">
      <alignment horizontal="left" vertical="top"/>
    </xf>
    <xf numFmtId="0" fontId="33" fillId="5" borderId="13" xfId="0" applyFont="1" applyFill="1" applyBorder="1" applyAlignment="1">
      <alignment horizontal="left" vertical="top"/>
    </xf>
    <xf numFmtId="0" fontId="3" fillId="0" borderId="2" xfId="0" applyFont="1" applyBorder="1" applyAlignment="1">
      <alignment vertical="top" wrapText="1"/>
    </xf>
    <xf numFmtId="0" fontId="0" fillId="0" borderId="2" xfId="0" applyBorder="1" applyAlignment="1">
      <alignment vertical="top"/>
    </xf>
    <xf numFmtId="0" fontId="36" fillId="0" borderId="3" xfId="0" applyFont="1" applyBorder="1" applyAlignment="1">
      <alignment vertical="top" wrapText="1"/>
    </xf>
    <xf numFmtId="0" fontId="35" fillId="0" borderId="5" xfId="0" applyFont="1" applyBorder="1" applyAlignment="1">
      <alignment vertical="top" wrapText="1"/>
    </xf>
    <xf numFmtId="0" fontId="1" fillId="0" borderId="0" xfId="0" applyFont="1" applyAlignment="1">
      <alignment vertical="top" wrapText="1"/>
    </xf>
    <xf numFmtId="0" fontId="1" fillId="0" borderId="2" xfId="0" applyFont="1" applyBorder="1" applyAlignment="1">
      <alignment vertical="top" wrapText="1"/>
    </xf>
    <xf numFmtId="0" fontId="36" fillId="0" borderId="2" xfId="0" applyFont="1" applyBorder="1" applyAlignment="1">
      <alignment vertical="top" wrapText="1"/>
    </xf>
    <xf numFmtId="0" fontId="35" fillId="0" borderId="2" xfId="0" applyFont="1" applyBorder="1" applyAlignment="1">
      <alignment vertical="top" wrapText="1"/>
    </xf>
    <xf numFmtId="0" fontId="34" fillId="2" borderId="6" xfId="0" applyFont="1" applyFill="1" applyBorder="1" applyAlignment="1">
      <alignment horizontal="left" vertical="top"/>
    </xf>
    <xf numFmtId="0" fontId="34" fillId="2" borderId="7" xfId="0" applyFont="1" applyFill="1" applyBorder="1" applyAlignment="1">
      <alignment horizontal="left" vertical="top"/>
    </xf>
    <xf numFmtId="0" fontId="34" fillId="2" borderId="8" xfId="0" applyFont="1" applyFill="1" applyBorder="1" applyAlignment="1">
      <alignment horizontal="left" vertical="top"/>
    </xf>
    <xf numFmtId="0" fontId="34" fillId="2" borderId="11" xfId="0" applyFont="1" applyFill="1" applyBorder="1" applyAlignment="1">
      <alignment horizontal="left" vertical="top"/>
    </xf>
    <xf numFmtId="0" fontId="34" fillId="2" borderId="12" xfId="0" applyFont="1" applyFill="1" applyBorder="1" applyAlignment="1">
      <alignment horizontal="left" vertical="top"/>
    </xf>
    <xf numFmtId="0" fontId="34" fillId="2" borderId="13" xfId="0" applyFont="1" applyFill="1" applyBorder="1" applyAlignment="1">
      <alignment horizontal="left" vertical="top"/>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17" fillId="0" borderId="2" xfId="0" applyFont="1" applyBorder="1" applyAlignment="1">
      <alignment horizontal="left" vertical="center" wrapText="1"/>
    </xf>
    <xf numFmtId="0" fontId="31" fillId="2" borderId="2" xfId="0" applyFont="1" applyFill="1" applyBorder="1" applyAlignment="1">
      <alignment horizontal="left" vertical="top" wrapText="1"/>
    </xf>
    <xf numFmtId="0" fontId="9" fillId="3" borderId="2" xfId="0" applyFont="1" applyFill="1" applyBorder="1" applyAlignment="1">
      <alignment horizontal="left" vertical="center" wrapText="1"/>
    </xf>
    <xf numFmtId="0" fontId="10" fillId="5" borderId="2" xfId="0" applyFont="1" applyFill="1" applyBorder="1" applyAlignment="1">
      <alignment horizontal="center" vertical="center" wrapText="1"/>
    </xf>
    <xf numFmtId="10" fontId="34" fillId="0" borderId="2" xfId="0" applyNumberFormat="1" applyFont="1" applyBorder="1" applyAlignment="1">
      <alignment horizontal="center" vertical="center" wrapText="1"/>
    </xf>
    <xf numFmtId="0" fontId="10" fillId="6" borderId="16"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34" fillId="6" borderId="16" xfId="0" applyFont="1" applyFill="1" applyBorder="1" applyAlignment="1">
      <alignment horizontal="center" vertical="center" wrapText="1"/>
    </xf>
    <xf numFmtId="0" fontId="34" fillId="6" borderId="17" xfId="0" applyFont="1" applyFill="1" applyBorder="1" applyAlignment="1">
      <alignment horizontal="center"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10" fillId="5" borderId="3" xfId="0" applyFont="1" applyFill="1" applyBorder="1" applyAlignment="1">
      <alignment horizontal="left" vertical="center" wrapText="1"/>
    </xf>
    <xf numFmtId="0" fontId="10" fillId="5" borderId="4" xfId="0" applyFont="1" applyFill="1" applyBorder="1" applyAlignment="1">
      <alignment horizontal="left" vertical="center" wrapText="1"/>
    </xf>
    <xf numFmtId="0" fontId="10" fillId="5" borderId="5" xfId="0" applyFont="1" applyFill="1" applyBorder="1" applyAlignment="1">
      <alignment horizontal="left" vertical="center" wrapText="1"/>
    </xf>
    <xf numFmtId="0" fontId="10" fillId="5" borderId="6" xfId="0" applyFont="1" applyFill="1" applyBorder="1" applyAlignment="1">
      <alignment horizontal="left" vertical="center" wrapText="1"/>
    </xf>
    <xf numFmtId="0" fontId="10" fillId="5" borderId="7" xfId="0" applyFont="1" applyFill="1" applyBorder="1" applyAlignment="1">
      <alignment horizontal="left" vertical="center" wrapText="1"/>
    </xf>
    <xf numFmtId="0" fontId="10" fillId="5" borderId="8" xfId="0" applyFont="1" applyFill="1" applyBorder="1" applyAlignment="1">
      <alignment horizontal="left" vertical="center" wrapText="1"/>
    </xf>
    <xf numFmtId="0" fontId="22" fillId="0" borderId="0" xfId="0" applyFont="1" applyAlignment="1">
      <alignment horizontal="left" vertical="top" wrapText="1"/>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5" fillId="2" borderId="2" xfId="0" applyFont="1" applyFill="1" applyBorder="1" applyAlignment="1">
      <alignment horizontal="left" vertical="top"/>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5" fillId="2" borderId="14" xfId="0" applyFont="1" applyFill="1" applyBorder="1" applyAlignment="1">
      <alignment horizontal="left" vertical="top"/>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5" fillId="0" borderId="0" xfId="0" applyFont="1" applyAlignment="1">
      <alignment horizontal="left" wrapText="1"/>
    </xf>
    <xf numFmtId="0" fontId="5" fillId="0" borderId="2" xfId="0" applyFont="1" applyBorder="1" applyAlignment="1">
      <alignment horizontal="center" vertical="center"/>
    </xf>
    <xf numFmtId="0" fontId="6" fillId="0" borderId="12" xfId="0" applyFont="1" applyBorder="1" applyAlignment="1">
      <alignment horizontal="center"/>
    </xf>
    <xf numFmtId="0" fontId="6" fillId="0" borderId="2" xfId="0" applyFont="1" applyBorder="1" applyAlignment="1">
      <alignment horizontal="center"/>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5" fillId="2" borderId="6" xfId="0" applyFont="1" applyFill="1" applyBorder="1" applyAlignment="1">
      <alignment horizontal="left" vertical="top" wrapText="1"/>
    </xf>
    <xf numFmtId="0" fontId="5" fillId="2" borderId="7" xfId="0" applyFont="1" applyFill="1" applyBorder="1" applyAlignment="1">
      <alignment horizontal="left" vertical="top" wrapText="1"/>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0" xfId="0" applyFont="1" applyFill="1" applyAlignment="1">
      <alignment horizontal="left" vertical="top"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5" fillId="2" borderId="13" xfId="0" applyFont="1" applyFill="1" applyBorder="1" applyAlignment="1">
      <alignment horizontal="left" vertical="top" wrapText="1"/>
    </xf>
  </cellXfs>
  <cellStyles count="5">
    <cellStyle name="Comma" xfId="1" builtinId="3"/>
    <cellStyle name="Comma 2" xfId="4" xr:uid="{A4E03E83-F21A-49D4-8844-419CBB41654C}"/>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9.36</c:v>
                </c:pt>
                <c:pt idx="1">
                  <c:v>8</c:v>
                </c:pt>
                <c:pt idx="2">
                  <c:v>8</c:v>
                </c:pt>
                <c:pt idx="3">
                  <c:v>6.66</c:v>
                </c:pt>
                <c:pt idx="4">
                  <c:v>6.1</c:v>
                </c:pt>
                <c:pt idx="5">
                  <c:v>7.21</c:v>
                </c:pt>
                <c:pt idx="6">
                  <c:v>7.1</c:v>
                </c:pt>
                <c:pt idx="7">
                  <c:v>7.94</c:v>
                </c:pt>
                <c:pt idx="8">
                  <c:v>7.66</c:v>
                </c:pt>
                <c:pt idx="9">
                  <c:v>0</c:v>
                </c:pt>
                <c:pt idx="10">
                  <c:v>0</c:v>
                </c:pt>
                <c:pt idx="11">
                  <c:v>9</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c:formatCode>
                <c:ptCount val="12"/>
                <c:pt idx="0">
                  <c:v>44</c:v>
                </c:pt>
                <c:pt idx="1">
                  <c:v>26</c:v>
                </c:pt>
                <c:pt idx="2">
                  <c:v>34</c:v>
                </c:pt>
                <c:pt idx="3">
                  <c:v>40.85</c:v>
                </c:pt>
                <c:pt idx="4">
                  <c:v>30</c:v>
                </c:pt>
                <c:pt idx="5">
                  <c:v>24.44</c:v>
                </c:pt>
                <c:pt idx="6">
                  <c:v>23.52</c:v>
                </c:pt>
                <c:pt idx="7">
                  <c:v>95.4</c:v>
                </c:pt>
                <c:pt idx="8">
                  <c:v>29.88</c:v>
                </c:pt>
                <c:pt idx="9">
                  <c:v>0</c:v>
                </c:pt>
                <c:pt idx="10">
                  <c:v>0</c:v>
                </c:pt>
                <c:pt idx="11">
                  <c:v>216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9.36</c:v>
                </c:pt>
                <c:pt idx="1">
                  <c:v>8</c:v>
                </c:pt>
                <c:pt idx="2">
                  <c:v>8</c:v>
                </c:pt>
                <c:pt idx="3">
                  <c:v>6.66</c:v>
                </c:pt>
                <c:pt idx="4">
                  <c:v>6.1</c:v>
                </c:pt>
                <c:pt idx="5">
                  <c:v>7.21</c:v>
                </c:pt>
                <c:pt idx="6">
                  <c:v>7.1</c:v>
                </c:pt>
                <c:pt idx="7">
                  <c:v>7.94</c:v>
                </c:pt>
                <c:pt idx="8">
                  <c:v>7.66</c:v>
                </c:pt>
                <c:pt idx="9">
                  <c:v>0</c:v>
                </c:pt>
                <c:pt idx="10">
                  <c:v>0</c:v>
                </c:pt>
                <c:pt idx="11">
                  <c:v>9</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c:formatCode>
                <c:ptCount val="12"/>
                <c:pt idx="0">
                  <c:v>9.5</c:v>
                </c:pt>
                <c:pt idx="1">
                  <c:v>8.6999999999999993</c:v>
                </c:pt>
                <c:pt idx="2">
                  <c:v>9.67</c:v>
                </c:pt>
                <c:pt idx="3">
                  <c:v>9.19</c:v>
                </c:pt>
                <c:pt idx="4">
                  <c:v>7.7</c:v>
                </c:pt>
                <c:pt idx="5">
                  <c:v>8.83</c:v>
                </c:pt>
                <c:pt idx="6">
                  <c:v>7.84</c:v>
                </c:pt>
                <c:pt idx="7">
                  <c:v>8.7100000000000009</c:v>
                </c:pt>
                <c:pt idx="8">
                  <c:v>9.08</c:v>
                </c:pt>
                <c:pt idx="9">
                  <c:v>0</c:v>
                </c:pt>
                <c:pt idx="10">
                  <c:v>0</c:v>
                </c:pt>
                <c:pt idx="11">
                  <c:v>51</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4607760"/>
        <c:axId val="304608152"/>
      </c:lineChart>
      <c:catAx>
        <c:axId val="304607760"/>
        <c:scaling>
          <c:orientation val="minMax"/>
        </c:scaling>
        <c:delete val="0"/>
        <c:axPos val="b"/>
        <c:numFmt formatCode="General" sourceLinked="1"/>
        <c:majorTickMark val="out"/>
        <c:minorTickMark val="none"/>
        <c:tickLblPos val="nextTo"/>
        <c:crossAx val="304608152"/>
        <c:crosses val="autoZero"/>
        <c:auto val="1"/>
        <c:lblAlgn val="ctr"/>
        <c:lblOffset val="100"/>
        <c:noMultiLvlLbl val="0"/>
      </c:catAx>
      <c:valAx>
        <c:axId val="3046081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77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4</c:v>
                </c:pt>
                <c:pt idx="1">
                  <c:v>4.5999999999999996</c:v>
                </c:pt>
                <c:pt idx="2">
                  <c:v>5.2</c:v>
                </c:pt>
                <c:pt idx="3">
                  <c:v>2.7</c:v>
                </c:pt>
                <c:pt idx="4">
                  <c:v>2.2999999999999998</c:v>
                </c:pt>
                <c:pt idx="5">
                  <c:v>2.2000000000000002</c:v>
                </c:pt>
                <c:pt idx="6">
                  <c:v>3.1</c:v>
                </c:pt>
                <c:pt idx="7">
                  <c:v>4.9000000000000004</c:v>
                </c:pt>
                <c:pt idx="8">
                  <c:v>3.2</c:v>
                </c:pt>
                <c:pt idx="9">
                  <c:v>0</c:v>
                </c:pt>
                <c:pt idx="10">
                  <c:v>0</c:v>
                </c:pt>
                <c:pt idx="11">
                  <c:v>10</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23</c:v>
                </c:pt>
                <c:pt idx="1">
                  <c:v>24.2</c:v>
                </c:pt>
                <c:pt idx="2">
                  <c:v>21</c:v>
                </c:pt>
                <c:pt idx="3">
                  <c:v>28.3</c:v>
                </c:pt>
                <c:pt idx="4">
                  <c:v>25</c:v>
                </c:pt>
                <c:pt idx="5">
                  <c:v>45.7</c:v>
                </c:pt>
                <c:pt idx="6">
                  <c:v>13.4</c:v>
                </c:pt>
                <c:pt idx="7">
                  <c:v>45.7</c:v>
                </c:pt>
                <c:pt idx="8">
                  <c:v>10.199999999999999</c:v>
                </c:pt>
                <c:pt idx="9">
                  <c:v>0</c:v>
                </c:pt>
                <c:pt idx="10">
                  <c:v>0</c:v>
                </c:pt>
                <c:pt idx="11">
                  <c:v>48</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4</c:v>
                </c:pt>
                <c:pt idx="1">
                  <c:v>4.5999999999999996</c:v>
                </c:pt>
                <c:pt idx="2">
                  <c:v>5.2</c:v>
                </c:pt>
                <c:pt idx="3">
                  <c:v>2.7</c:v>
                </c:pt>
                <c:pt idx="4">
                  <c:v>2.2999999999999998</c:v>
                </c:pt>
                <c:pt idx="5">
                  <c:v>2.2000000000000002</c:v>
                </c:pt>
                <c:pt idx="6">
                  <c:v>3.1</c:v>
                </c:pt>
                <c:pt idx="7">
                  <c:v>4.9000000000000004</c:v>
                </c:pt>
                <c:pt idx="8">
                  <c:v>3.2</c:v>
                </c:pt>
                <c:pt idx="9">
                  <c:v>0</c:v>
                </c:pt>
                <c:pt idx="10">
                  <c:v>0</c:v>
                </c:pt>
                <c:pt idx="11">
                  <c:v>10</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6.5</c:v>
                </c:pt>
                <c:pt idx="1">
                  <c:v>7.6</c:v>
                </c:pt>
                <c:pt idx="2">
                  <c:v>6.9</c:v>
                </c:pt>
                <c:pt idx="3">
                  <c:v>5.5</c:v>
                </c:pt>
                <c:pt idx="4">
                  <c:v>3.6</c:v>
                </c:pt>
                <c:pt idx="5">
                  <c:v>3.2</c:v>
                </c:pt>
                <c:pt idx="6">
                  <c:v>5.0999999999999996</c:v>
                </c:pt>
                <c:pt idx="7">
                  <c:v>12.2</c:v>
                </c:pt>
                <c:pt idx="8">
                  <c:v>3.6</c:v>
                </c:pt>
                <c:pt idx="9">
                  <c:v>0</c:v>
                </c:pt>
                <c:pt idx="10">
                  <c:v>0</c:v>
                </c:pt>
                <c:pt idx="11">
                  <c:v>13</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4609328"/>
        <c:axId val="304609720"/>
      </c:lineChart>
      <c:catAx>
        <c:axId val="304609328"/>
        <c:scaling>
          <c:orientation val="minMax"/>
        </c:scaling>
        <c:delete val="0"/>
        <c:axPos val="b"/>
        <c:numFmt formatCode="General" sourceLinked="1"/>
        <c:majorTickMark val="out"/>
        <c:minorTickMark val="none"/>
        <c:tickLblPos val="nextTo"/>
        <c:crossAx val="304609720"/>
        <c:crosses val="autoZero"/>
        <c:auto val="1"/>
        <c:lblAlgn val="ctr"/>
        <c:lblOffset val="100"/>
        <c:noMultiLvlLbl val="0"/>
      </c:catAx>
      <c:valAx>
        <c:axId val="3046097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93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158</c:v>
                </c:pt>
                <c:pt idx="1">
                  <c:v>158</c:v>
                </c:pt>
                <c:pt idx="2">
                  <c:v>160</c:v>
                </c:pt>
                <c:pt idx="3">
                  <c:v>168</c:v>
                </c:pt>
                <c:pt idx="4">
                  <c:v>166</c:v>
                </c:pt>
                <c:pt idx="5">
                  <c:v>174.2</c:v>
                </c:pt>
                <c:pt idx="6">
                  <c:v>171.6</c:v>
                </c:pt>
                <c:pt idx="7">
                  <c:v>173.8</c:v>
                </c:pt>
                <c:pt idx="8">
                  <c:v>161.1</c:v>
                </c:pt>
                <c:pt idx="9">
                  <c:v>0</c:v>
                </c:pt>
                <c:pt idx="10">
                  <c:v>0</c:v>
                </c:pt>
                <c:pt idx="11">
                  <c:v>139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202</c:v>
                </c:pt>
                <c:pt idx="1">
                  <c:v>212</c:v>
                </c:pt>
                <c:pt idx="2">
                  <c:v>204</c:v>
                </c:pt>
                <c:pt idx="3">
                  <c:v>200</c:v>
                </c:pt>
                <c:pt idx="4">
                  <c:v>200</c:v>
                </c:pt>
                <c:pt idx="5">
                  <c:v>219.3</c:v>
                </c:pt>
                <c:pt idx="6">
                  <c:v>270.75</c:v>
                </c:pt>
                <c:pt idx="7">
                  <c:v>324.39999999999998</c:v>
                </c:pt>
                <c:pt idx="8">
                  <c:v>257.95</c:v>
                </c:pt>
                <c:pt idx="9">
                  <c:v>0</c:v>
                </c:pt>
                <c:pt idx="10">
                  <c:v>0</c:v>
                </c:pt>
                <c:pt idx="11">
                  <c:v>258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158</c:v>
                </c:pt>
                <c:pt idx="1">
                  <c:v>158</c:v>
                </c:pt>
                <c:pt idx="2">
                  <c:v>160</c:v>
                </c:pt>
                <c:pt idx="3">
                  <c:v>168</c:v>
                </c:pt>
                <c:pt idx="4">
                  <c:v>166</c:v>
                </c:pt>
                <c:pt idx="5">
                  <c:v>174.2</c:v>
                </c:pt>
                <c:pt idx="6">
                  <c:v>171.6</c:v>
                </c:pt>
                <c:pt idx="7">
                  <c:v>173.8</c:v>
                </c:pt>
                <c:pt idx="8">
                  <c:v>161.1</c:v>
                </c:pt>
                <c:pt idx="9">
                  <c:v>0</c:v>
                </c:pt>
                <c:pt idx="10">
                  <c:v>0</c:v>
                </c:pt>
                <c:pt idx="11">
                  <c:v>139</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176</c:v>
                </c:pt>
                <c:pt idx="1">
                  <c:v>193</c:v>
                </c:pt>
                <c:pt idx="2">
                  <c:v>172</c:v>
                </c:pt>
                <c:pt idx="3">
                  <c:v>180</c:v>
                </c:pt>
                <c:pt idx="4">
                  <c:v>176</c:v>
                </c:pt>
                <c:pt idx="5">
                  <c:v>183.3</c:v>
                </c:pt>
                <c:pt idx="6">
                  <c:v>193</c:v>
                </c:pt>
                <c:pt idx="7">
                  <c:v>190.3</c:v>
                </c:pt>
                <c:pt idx="8">
                  <c:v>170.6</c:v>
                </c:pt>
                <c:pt idx="9">
                  <c:v>0</c:v>
                </c:pt>
                <c:pt idx="10">
                  <c:v>0</c:v>
                </c:pt>
                <c:pt idx="11">
                  <c:v>166</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4610896"/>
        <c:axId val="304611288"/>
      </c:lineChart>
      <c:catAx>
        <c:axId val="304610896"/>
        <c:scaling>
          <c:orientation val="minMax"/>
        </c:scaling>
        <c:delete val="0"/>
        <c:axPos val="b"/>
        <c:numFmt formatCode="General" sourceLinked="1"/>
        <c:majorTickMark val="out"/>
        <c:minorTickMark val="none"/>
        <c:tickLblPos val="nextTo"/>
        <c:crossAx val="304611288"/>
        <c:crosses val="autoZero"/>
        <c:auto val="1"/>
        <c:lblAlgn val="ctr"/>
        <c:lblOffset val="100"/>
        <c:noMultiLvlLbl val="0"/>
      </c:catAx>
      <c:valAx>
        <c:axId val="304611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108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2.2999999999999998</c:v>
                </c:pt>
                <c:pt idx="1">
                  <c:v>2</c:v>
                </c:pt>
                <c:pt idx="2">
                  <c:v>2.25</c:v>
                </c:pt>
                <c:pt idx="3">
                  <c:v>2.2999999999999998</c:v>
                </c:pt>
                <c:pt idx="4">
                  <c:v>2.4</c:v>
                </c:pt>
                <c:pt idx="5">
                  <c:v>2.35</c:v>
                </c:pt>
                <c:pt idx="6">
                  <c:v>2.5499999999999998</c:v>
                </c:pt>
                <c:pt idx="7">
                  <c:v>2.71</c:v>
                </c:pt>
                <c:pt idx="8">
                  <c:v>2.68</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3.85</c:v>
                </c:pt>
                <c:pt idx="1">
                  <c:v>3.15</c:v>
                </c:pt>
                <c:pt idx="2">
                  <c:v>3.3</c:v>
                </c:pt>
                <c:pt idx="3">
                  <c:v>2.92</c:v>
                </c:pt>
                <c:pt idx="4">
                  <c:v>2.95</c:v>
                </c:pt>
                <c:pt idx="5">
                  <c:v>2.77</c:v>
                </c:pt>
                <c:pt idx="6">
                  <c:v>3.46</c:v>
                </c:pt>
                <c:pt idx="7">
                  <c:v>4.21</c:v>
                </c:pt>
                <c:pt idx="8">
                  <c:v>3.2</c:v>
                </c:pt>
                <c:pt idx="9">
                  <c:v>0</c:v>
                </c:pt>
                <c:pt idx="10">
                  <c:v>0</c:v>
                </c:pt>
                <c:pt idx="11">
                  <c:v>10</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2.2999999999999998</c:v>
                </c:pt>
                <c:pt idx="1">
                  <c:v>2</c:v>
                </c:pt>
                <c:pt idx="2">
                  <c:v>2.25</c:v>
                </c:pt>
                <c:pt idx="3">
                  <c:v>2.2999999999999998</c:v>
                </c:pt>
                <c:pt idx="4">
                  <c:v>2.4</c:v>
                </c:pt>
                <c:pt idx="5">
                  <c:v>2.35</c:v>
                </c:pt>
                <c:pt idx="6">
                  <c:v>2.5499999999999998</c:v>
                </c:pt>
                <c:pt idx="7">
                  <c:v>2.71</c:v>
                </c:pt>
                <c:pt idx="8">
                  <c:v>2.68</c:v>
                </c:pt>
                <c:pt idx="9">
                  <c:v>0</c:v>
                </c:pt>
                <c:pt idx="10">
                  <c:v>0</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3</c:v>
                </c:pt>
                <c:pt idx="1">
                  <c:v>2.4</c:v>
                </c:pt>
                <c:pt idx="2">
                  <c:v>2.48</c:v>
                </c:pt>
                <c:pt idx="3">
                  <c:v>2.48</c:v>
                </c:pt>
                <c:pt idx="4">
                  <c:v>2.5</c:v>
                </c:pt>
                <c:pt idx="5">
                  <c:v>2.5</c:v>
                </c:pt>
                <c:pt idx="6">
                  <c:v>2.8</c:v>
                </c:pt>
                <c:pt idx="7">
                  <c:v>3.21</c:v>
                </c:pt>
                <c:pt idx="8">
                  <c:v>2.8</c:v>
                </c:pt>
                <c:pt idx="9">
                  <c:v>0</c:v>
                </c:pt>
                <c:pt idx="10">
                  <c:v>0</c:v>
                </c:pt>
                <c:pt idx="11">
                  <c:v>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05815480"/>
        <c:axId val="305815872"/>
      </c:lineChart>
      <c:catAx>
        <c:axId val="305815480"/>
        <c:scaling>
          <c:orientation val="minMax"/>
        </c:scaling>
        <c:delete val="0"/>
        <c:axPos val="b"/>
        <c:numFmt formatCode="General" sourceLinked="1"/>
        <c:majorTickMark val="out"/>
        <c:minorTickMark val="none"/>
        <c:tickLblPos val="nextTo"/>
        <c:crossAx val="305815872"/>
        <c:crosses val="autoZero"/>
        <c:auto val="1"/>
        <c:lblAlgn val="ctr"/>
        <c:lblOffset val="100"/>
        <c:noMultiLvlLbl val="0"/>
      </c:catAx>
      <c:valAx>
        <c:axId val="3058158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4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1.7</c:v>
                </c:pt>
                <c:pt idx="1">
                  <c:v>3.2</c:v>
                </c:pt>
                <c:pt idx="2">
                  <c:v>4.7</c:v>
                </c:pt>
                <c:pt idx="3">
                  <c:v>4.71</c:v>
                </c:pt>
                <c:pt idx="4">
                  <c:v>4.4000000000000004</c:v>
                </c:pt>
                <c:pt idx="5">
                  <c:v>5.0199999999999996</c:v>
                </c:pt>
                <c:pt idx="6">
                  <c:v>4.46</c:v>
                </c:pt>
                <c:pt idx="7">
                  <c:v>2.95</c:v>
                </c:pt>
                <c:pt idx="8">
                  <c:v>3.89</c:v>
                </c:pt>
                <c:pt idx="9">
                  <c:v>0</c:v>
                </c:pt>
                <c:pt idx="10">
                  <c:v>0</c:v>
                </c:pt>
                <c:pt idx="11">
                  <c:v>0</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9.5</c:v>
                </c:pt>
                <c:pt idx="1">
                  <c:v>10.5</c:v>
                </c:pt>
                <c:pt idx="2">
                  <c:v>15</c:v>
                </c:pt>
                <c:pt idx="3">
                  <c:v>15</c:v>
                </c:pt>
                <c:pt idx="4">
                  <c:v>13</c:v>
                </c:pt>
                <c:pt idx="5">
                  <c:v>16.02</c:v>
                </c:pt>
                <c:pt idx="6">
                  <c:v>13.38</c:v>
                </c:pt>
                <c:pt idx="7">
                  <c:v>5.27</c:v>
                </c:pt>
                <c:pt idx="8">
                  <c:v>5.96</c:v>
                </c:pt>
                <c:pt idx="9">
                  <c:v>0</c:v>
                </c:pt>
                <c:pt idx="10">
                  <c:v>0</c:v>
                </c:pt>
                <c:pt idx="11">
                  <c:v>57</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1.7</c:v>
                </c:pt>
                <c:pt idx="1">
                  <c:v>3.2</c:v>
                </c:pt>
                <c:pt idx="2">
                  <c:v>4.7</c:v>
                </c:pt>
                <c:pt idx="3">
                  <c:v>4.71</c:v>
                </c:pt>
                <c:pt idx="4">
                  <c:v>4.4000000000000004</c:v>
                </c:pt>
                <c:pt idx="5">
                  <c:v>5.0199999999999996</c:v>
                </c:pt>
                <c:pt idx="6">
                  <c:v>4.46</c:v>
                </c:pt>
                <c:pt idx="7">
                  <c:v>2.95</c:v>
                </c:pt>
                <c:pt idx="8">
                  <c:v>3.89</c:v>
                </c:pt>
                <c:pt idx="9">
                  <c:v>0</c:v>
                </c:pt>
                <c:pt idx="10">
                  <c:v>0</c:v>
                </c:pt>
                <c:pt idx="11">
                  <c:v>0</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4.2</c:v>
                </c:pt>
                <c:pt idx="1">
                  <c:v>4.5999999999999996</c:v>
                </c:pt>
                <c:pt idx="2">
                  <c:v>7</c:v>
                </c:pt>
                <c:pt idx="3">
                  <c:v>6.91</c:v>
                </c:pt>
                <c:pt idx="4">
                  <c:v>6.6</c:v>
                </c:pt>
                <c:pt idx="5">
                  <c:v>6.74</c:v>
                </c:pt>
                <c:pt idx="6">
                  <c:v>6.88</c:v>
                </c:pt>
                <c:pt idx="7">
                  <c:v>3.82</c:v>
                </c:pt>
                <c:pt idx="8">
                  <c:v>4.01</c:v>
                </c:pt>
                <c:pt idx="9">
                  <c:v>0</c:v>
                </c:pt>
                <c:pt idx="10">
                  <c:v>0</c:v>
                </c:pt>
                <c:pt idx="11">
                  <c:v>6</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05815088"/>
        <c:axId val="305817048"/>
      </c:lineChart>
      <c:catAx>
        <c:axId val="305815088"/>
        <c:scaling>
          <c:orientation val="minMax"/>
        </c:scaling>
        <c:delete val="0"/>
        <c:axPos val="b"/>
        <c:numFmt formatCode="General" sourceLinked="1"/>
        <c:majorTickMark val="out"/>
        <c:minorTickMark val="none"/>
        <c:tickLblPos val="nextTo"/>
        <c:crossAx val="305817048"/>
        <c:crosses val="autoZero"/>
        <c:auto val="1"/>
        <c:lblAlgn val="ctr"/>
        <c:lblOffset val="100"/>
        <c:noMultiLvlLbl val="0"/>
      </c:catAx>
      <c:valAx>
        <c:axId val="30581704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0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7.5</c:v>
                </c:pt>
                <c:pt idx="1">
                  <c:v>1.9</c:v>
                </c:pt>
                <c:pt idx="2">
                  <c:v>13.6</c:v>
                </c:pt>
                <c:pt idx="3">
                  <c:v>1.2</c:v>
                </c:pt>
                <c:pt idx="4">
                  <c:v>2.7</c:v>
                </c:pt>
                <c:pt idx="5">
                  <c:v>3.3</c:v>
                </c:pt>
                <c:pt idx="6">
                  <c:v>12</c:v>
                </c:pt>
                <c:pt idx="7">
                  <c:v>3.5</c:v>
                </c:pt>
                <c:pt idx="8">
                  <c:v>8.8000000000000007</c:v>
                </c:pt>
                <c:pt idx="9">
                  <c:v>0</c:v>
                </c:pt>
                <c:pt idx="10">
                  <c:v>0</c:v>
                </c:pt>
                <c:pt idx="11">
                  <c:v>331</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26</c:v>
                </c:pt>
                <c:pt idx="1">
                  <c:v>109</c:v>
                </c:pt>
                <c:pt idx="2">
                  <c:v>87</c:v>
                </c:pt>
                <c:pt idx="3">
                  <c:v>22</c:v>
                </c:pt>
                <c:pt idx="4">
                  <c:v>11</c:v>
                </c:pt>
                <c:pt idx="5">
                  <c:v>23.7</c:v>
                </c:pt>
                <c:pt idx="6">
                  <c:v>153.80000000000001</c:v>
                </c:pt>
                <c:pt idx="7">
                  <c:v>405.2</c:v>
                </c:pt>
                <c:pt idx="8">
                  <c:v>69.599999999999994</c:v>
                </c:pt>
                <c:pt idx="9">
                  <c:v>0</c:v>
                </c:pt>
                <c:pt idx="10">
                  <c:v>0</c:v>
                </c:pt>
                <c:pt idx="11">
                  <c:v>5028</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0.9</c:v>
                </c:pt>
                <c:pt idx="1">
                  <c:v>1</c:v>
                </c:pt>
                <c:pt idx="2">
                  <c:v>1</c:v>
                </c:pt>
                <c:pt idx="3">
                  <c:v>0.6</c:v>
                </c:pt>
                <c:pt idx="4">
                  <c:v>1.7</c:v>
                </c:pt>
                <c:pt idx="5">
                  <c:v>1.6</c:v>
                </c:pt>
                <c:pt idx="6">
                  <c:v>1.4</c:v>
                </c:pt>
                <c:pt idx="7">
                  <c:v>1.9</c:v>
                </c:pt>
                <c:pt idx="8">
                  <c:v>1.4</c:v>
                </c:pt>
                <c:pt idx="9">
                  <c:v>0</c:v>
                </c:pt>
                <c:pt idx="10">
                  <c:v>0</c:v>
                </c:pt>
                <c:pt idx="11">
                  <c:v>20</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1.4</c:v>
                </c:pt>
                <c:pt idx="1">
                  <c:v>1.4</c:v>
                </c:pt>
                <c:pt idx="2">
                  <c:v>0.8</c:v>
                </c:pt>
                <c:pt idx="3">
                  <c:v>0.5</c:v>
                </c:pt>
                <c:pt idx="4">
                  <c:v>1.1000000000000001</c:v>
                </c:pt>
                <c:pt idx="5">
                  <c:v>1.7</c:v>
                </c:pt>
                <c:pt idx="6">
                  <c:v>0.7</c:v>
                </c:pt>
                <c:pt idx="7">
                  <c:v>1.5</c:v>
                </c:pt>
                <c:pt idx="8">
                  <c:v>0.7</c:v>
                </c:pt>
                <c:pt idx="9">
                  <c:v>0</c:v>
                </c:pt>
                <c:pt idx="10">
                  <c:v>0</c:v>
                </c:pt>
                <c:pt idx="11">
                  <c:v>135</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05819792"/>
        <c:axId val="305820184"/>
      </c:lineChart>
      <c:catAx>
        <c:axId val="305819792"/>
        <c:scaling>
          <c:orientation val="minMax"/>
        </c:scaling>
        <c:delete val="0"/>
        <c:axPos val="b"/>
        <c:numFmt formatCode="General" sourceLinked="1"/>
        <c:majorTickMark val="out"/>
        <c:minorTickMark val="none"/>
        <c:tickLblPos val="nextTo"/>
        <c:crossAx val="305820184"/>
        <c:crosses val="autoZero"/>
        <c:auto val="1"/>
        <c:lblAlgn val="ctr"/>
        <c:lblOffset val="100"/>
        <c:noMultiLvlLbl val="0"/>
      </c:catAx>
      <c:valAx>
        <c:axId val="3058201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979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c:formatCode>
                <c:ptCount val="12"/>
                <c:pt idx="0">
                  <c:v>0.3</c:v>
                </c:pt>
                <c:pt idx="1">
                  <c:v>0.3</c:v>
                </c:pt>
                <c:pt idx="2">
                  <c:v>0.3</c:v>
                </c:pt>
                <c:pt idx="3">
                  <c:v>0.32</c:v>
                </c:pt>
                <c:pt idx="4">
                  <c:v>0.35</c:v>
                </c:pt>
                <c:pt idx="5">
                  <c:v>0.32</c:v>
                </c:pt>
                <c:pt idx="6">
                  <c:v>0.35</c:v>
                </c:pt>
                <c:pt idx="7">
                  <c:v>0.56000000000000005</c:v>
                </c:pt>
                <c:pt idx="8">
                  <c:v>0.75</c:v>
                </c:pt>
                <c:pt idx="9">
                  <c:v>0</c:v>
                </c:pt>
                <c:pt idx="10">
                  <c:v>0</c:v>
                </c:pt>
                <c:pt idx="11">
                  <c:v>0</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0.0</c:formatCode>
                <c:ptCount val="12"/>
                <c:pt idx="0">
                  <c:v>0.5</c:v>
                </c:pt>
                <c:pt idx="1">
                  <c:v>3.34</c:v>
                </c:pt>
                <c:pt idx="2">
                  <c:v>16</c:v>
                </c:pt>
                <c:pt idx="3">
                  <c:v>2.5499999999999998</c:v>
                </c:pt>
                <c:pt idx="4">
                  <c:v>8.1999999999999993</c:v>
                </c:pt>
                <c:pt idx="5">
                  <c:v>2.13</c:v>
                </c:pt>
                <c:pt idx="6">
                  <c:v>2.09</c:v>
                </c:pt>
                <c:pt idx="7">
                  <c:v>2.63</c:v>
                </c:pt>
                <c:pt idx="8">
                  <c:v>3.87</c:v>
                </c:pt>
                <c:pt idx="9">
                  <c:v>0</c:v>
                </c:pt>
                <c:pt idx="10">
                  <c:v>0</c:v>
                </c:pt>
                <c:pt idx="11">
                  <c:v>6</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c:formatCode>
                <c:ptCount val="12"/>
                <c:pt idx="0">
                  <c:v>0.3</c:v>
                </c:pt>
                <c:pt idx="1">
                  <c:v>0.3</c:v>
                </c:pt>
                <c:pt idx="2">
                  <c:v>0.3</c:v>
                </c:pt>
                <c:pt idx="3">
                  <c:v>0.32</c:v>
                </c:pt>
                <c:pt idx="4">
                  <c:v>0.35</c:v>
                </c:pt>
                <c:pt idx="5">
                  <c:v>0.32</c:v>
                </c:pt>
                <c:pt idx="6">
                  <c:v>0.35</c:v>
                </c:pt>
                <c:pt idx="7">
                  <c:v>0.56000000000000005</c:v>
                </c:pt>
                <c:pt idx="8">
                  <c:v>0.75</c:v>
                </c:pt>
                <c:pt idx="9">
                  <c:v>0</c:v>
                </c:pt>
                <c:pt idx="10">
                  <c:v>0</c:v>
                </c:pt>
                <c:pt idx="11">
                  <c:v>0</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0.0</c:formatCode>
                <c:ptCount val="12"/>
                <c:pt idx="0">
                  <c:v>0.3</c:v>
                </c:pt>
                <c:pt idx="1">
                  <c:v>0.56000000000000005</c:v>
                </c:pt>
                <c:pt idx="2">
                  <c:v>0.84</c:v>
                </c:pt>
                <c:pt idx="3">
                  <c:v>0.47</c:v>
                </c:pt>
                <c:pt idx="4">
                  <c:v>0.5</c:v>
                </c:pt>
                <c:pt idx="5">
                  <c:v>0.42</c:v>
                </c:pt>
                <c:pt idx="6">
                  <c:v>0.39</c:v>
                </c:pt>
                <c:pt idx="7">
                  <c:v>1.0900000000000001</c:v>
                </c:pt>
                <c:pt idx="8">
                  <c:v>1.03</c:v>
                </c:pt>
                <c:pt idx="9">
                  <c:v>0</c:v>
                </c:pt>
                <c:pt idx="10">
                  <c:v>0</c:v>
                </c:pt>
                <c:pt idx="11">
                  <c:v>1</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05821360"/>
        <c:axId val="305821752"/>
      </c:lineChart>
      <c:catAx>
        <c:axId val="305821360"/>
        <c:scaling>
          <c:orientation val="minMax"/>
        </c:scaling>
        <c:delete val="0"/>
        <c:axPos val="b"/>
        <c:numFmt formatCode="General" sourceLinked="1"/>
        <c:majorTickMark val="out"/>
        <c:minorTickMark val="none"/>
        <c:tickLblPos val="nextTo"/>
        <c:crossAx val="305821752"/>
        <c:crosses val="autoZero"/>
        <c:auto val="1"/>
        <c:lblAlgn val="ctr"/>
        <c:lblOffset val="100"/>
        <c:noMultiLvlLbl val="0"/>
      </c:catAx>
      <c:valAx>
        <c:axId val="305821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213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76200</xdr:colOff>
      <xdr:row>0</xdr:row>
      <xdr:rowOff>152400</xdr:rowOff>
    </xdr:from>
    <xdr:to>
      <xdr:col>6</xdr:col>
      <xdr:colOff>485775</xdr:colOff>
      <xdr:row>4</xdr:row>
      <xdr:rowOff>123824</xdr:rowOff>
    </xdr:to>
    <xdr:pic>
      <xdr:nvPicPr>
        <xdr:cNvPr id="6" name="Picture 5" descr="cid:image001.png@01D51643.51875060">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0" y="152400"/>
          <a:ext cx="2266950" cy="733424"/>
        </a:xfrm>
        <a:prstGeom prst="rect">
          <a:avLst/>
        </a:prstGeom>
        <a:noFill/>
        <a:ln>
          <a:noFill/>
        </a:ln>
      </xdr:spPr>
    </xdr:pic>
    <xdr:clientData/>
  </xdr:twoCellAnchor>
  <xdr:twoCellAnchor>
    <xdr:from>
      <xdr:col>1</xdr:col>
      <xdr:colOff>0</xdr:colOff>
      <xdr:row>7</xdr:row>
      <xdr:rowOff>1</xdr:rowOff>
    </xdr:from>
    <xdr:to>
      <xdr:col>9</xdr:col>
      <xdr:colOff>590550</xdr:colOff>
      <xdr:row>26</xdr:row>
      <xdr:rowOff>161926</xdr:rowOff>
    </xdr:to>
    <xdr:pic>
      <xdr:nvPicPr>
        <xdr:cNvPr id="7" name="Picture 6" descr="Annual performance report phot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9125" y="1333501"/>
          <a:ext cx="58959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7</xdr:col>
          <xdr:colOff>563880</xdr:colOff>
          <xdr:row>7</xdr:row>
          <xdr:rowOff>38100</xdr:rowOff>
        </xdr:to>
        <xdr:sp macro="" textlink="">
          <xdr:nvSpPr>
            <xdr:cNvPr id="17409" name="Object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sintonp\INetCache\Content.Outlook\A689E5QJ\EfW%20Annual%20Performance%20Report%20template%202022%20v2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Contents"/>
      <sheetName val="Facility Info"/>
      <sheetName val="Operational Data"/>
      <sheetName val="Operational Summary"/>
      <sheetName val="Perf. Form 1"/>
      <sheetName val="Energy Form 1"/>
      <sheetName val="Permit Compliance"/>
      <sheetName val="Improvements"/>
      <sheetName val="Public Liasion"/>
      <sheetName val="CO2 N2O"/>
      <sheetName val="Residue Quality "/>
      <sheetName val="Water"/>
      <sheetName val="Air (periodic)"/>
      <sheetName val="Air (CEMS)"/>
      <sheetName val="HCl"/>
      <sheetName val="SO2"/>
      <sheetName val="NOx"/>
      <sheetName val="TOC"/>
      <sheetName val="Particulates"/>
      <sheetName val="CO 0.5hourly"/>
      <sheetName val="CO 95% 10 min"/>
      <sheetName val="NH3"/>
    </sheetNames>
    <sheetDataSet>
      <sheetData sheetId="0">
        <row r="33">
          <cell r="B33" t="str">
            <v>Name of Facility as per Permit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ephen.taylor@suez.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19" zoomScale="90" zoomScaleNormal="90" workbookViewId="0">
      <selection activeCell="B33" sqref="B33:I3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119"/>
      <c r="C1" s="119"/>
      <c r="D1" s="228"/>
      <c r="E1" s="228"/>
      <c r="F1" s="228"/>
      <c r="G1" s="228"/>
      <c r="H1" s="119"/>
      <c r="I1" s="119"/>
      <c r="J1" s="119"/>
      <c r="K1" s="119"/>
      <c r="L1" s="119"/>
      <c r="M1" s="119"/>
      <c r="N1" s="119"/>
      <c r="O1" s="119"/>
      <c r="P1" s="119"/>
    </row>
    <row r="2" spans="2:16" x14ac:dyDescent="0.25">
      <c r="B2" s="119"/>
      <c r="C2" s="119"/>
      <c r="D2" s="228"/>
      <c r="E2" s="228"/>
      <c r="F2" s="228"/>
      <c r="G2" s="228"/>
      <c r="H2" s="119"/>
      <c r="I2" s="119"/>
      <c r="J2" s="119"/>
      <c r="K2" s="119"/>
      <c r="L2" s="119"/>
      <c r="M2" s="119"/>
      <c r="N2" s="119" t="s">
        <v>0</v>
      </c>
      <c r="O2" s="119"/>
      <c r="P2" s="214"/>
    </row>
    <row r="3" spans="2:16" x14ac:dyDescent="0.25">
      <c r="B3" s="119"/>
      <c r="C3" s="119"/>
      <c r="D3" s="228"/>
      <c r="E3" s="228"/>
      <c r="F3" s="228"/>
      <c r="G3" s="228"/>
      <c r="H3" s="119"/>
      <c r="I3" s="119"/>
      <c r="J3" s="119"/>
      <c r="K3" s="119"/>
      <c r="L3" s="119"/>
      <c r="M3" s="119"/>
      <c r="N3" s="214"/>
      <c r="O3" s="119"/>
      <c r="P3" s="119"/>
    </row>
    <row r="4" spans="2:16" x14ac:dyDescent="0.25">
      <c r="B4" s="119"/>
      <c r="C4" s="119"/>
      <c r="D4" s="228"/>
      <c r="E4" s="228"/>
      <c r="F4" s="228"/>
      <c r="G4" s="228"/>
      <c r="H4" s="119"/>
      <c r="I4" s="119"/>
      <c r="J4" s="119"/>
      <c r="K4" s="119"/>
      <c r="L4" s="119"/>
      <c r="M4" s="119"/>
      <c r="N4" s="119"/>
      <c r="O4" s="119"/>
      <c r="P4" s="119"/>
    </row>
    <row r="5" spans="2:16" x14ac:dyDescent="0.25">
      <c r="B5" s="119"/>
      <c r="C5" s="119"/>
      <c r="D5" s="228"/>
      <c r="E5" s="228"/>
      <c r="F5" s="228"/>
      <c r="G5" s="228"/>
      <c r="H5" s="119"/>
      <c r="I5" s="119"/>
      <c r="J5" s="119"/>
      <c r="K5" s="119"/>
      <c r="L5" s="119"/>
      <c r="M5" s="119"/>
      <c r="N5" s="119"/>
      <c r="O5" s="119"/>
      <c r="P5" s="119"/>
    </row>
    <row r="6" spans="2:16" x14ac:dyDescent="0.25">
      <c r="B6" s="119"/>
      <c r="C6" s="119"/>
      <c r="D6" s="228"/>
      <c r="E6" s="228"/>
      <c r="F6" s="228"/>
      <c r="G6" s="228"/>
      <c r="H6" s="119"/>
      <c r="I6" s="119"/>
      <c r="J6" s="119"/>
      <c r="K6" s="119"/>
      <c r="L6" s="119"/>
      <c r="M6" s="119"/>
      <c r="N6" s="119"/>
      <c r="O6" s="119"/>
      <c r="P6" s="119"/>
    </row>
    <row r="8" spans="2:16" ht="15.75" customHeight="1" x14ac:dyDescent="0.25">
      <c r="B8" s="229"/>
      <c r="C8" s="229"/>
      <c r="D8" s="229"/>
      <c r="E8" s="229"/>
      <c r="F8" s="229"/>
      <c r="G8" s="229"/>
      <c r="H8" s="229"/>
      <c r="I8" s="229"/>
      <c r="J8" s="119"/>
      <c r="K8" s="119"/>
      <c r="L8" s="119"/>
      <c r="M8" s="119"/>
      <c r="N8" s="100"/>
      <c r="O8" s="119"/>
      <c r="P8" s="119"/>
    </row>
    <row r="9" spans="2:16" x14ac:dyDescent="0.25">
      <c r="B9" s="229"/>
      <c r="C9" s="229"/>
      <c r="D9" s="229"/>
      <c r="E9" s="229"/>
      <c r="F9" s="229"/>
      <c r="G9" s="229"/>
      <c r="H9" s="229"/>
      <c r="I9" s="229"/>
      <c r="J9" s="119"/>
      <c r="K9" s="119"/>
      <c r="L9" s="119"/>
      <c r="M9" s="119"/>
      <c r="N9" s="119"/>
      <c r="O9" s="119"/>
      <c r="P9" s="119"/>
    </row>
    <row r="10" spans="2:16" x14ac:dyDescent="0.25">
      <c r="B10" s="229"/>
      <c r="C10" s="229"/>
      <c r="D10" s="229"/>
      <c r="E10" s="229"/>
      <c r="F10" s="229"/>
      <c r="G10" s="229"/>
      <c r="H10" s="229"/>
      <c r="I10" s="229"/>
      <c r="J10" s="119"/>
      <c r="K10" s="119"/>
      <c r="L10" s="119"/>
      <c r="M10" s="119"/>
      <c r="N10" s="119"/>
      <c r="O10" s="119"/>
      <c r="P10" s="119"/>
    </row>
    <row r="11" spans="2:16" x14ac:dyDescent="0.25">
      <c r="B11" s="229"/>
      <c r="C11" s="229"/>
      <c r="D11" s="229"/>
      <c r="E11" s="229"/>
      <c r="F11" s="229"/>
      <c r="G11" s="229"/>
      <c r="H11" s="229"/>
      <c r="I11" s="229"/>
      <c r="J11" s="119"/>
      <c r="K11" s="119"/>
      <c r="L11" s="119"/>
      <c r="M11" s="119"/>
      <c r="N11" s="119"/>
      <c r="O11" s="119"/>
      <c r="P11" s="119"/>
    </row>
    <row r="12" spans="2:16" x14ac:dyDescent="0.25">
      <c r="B12" s="229"/>
      <c r="C12" s="229"/>
      <c r="D12" s="229"/>
      <c r="E12" s="229"/>
      <c r="F12" s="229"/>
      <c r="G12" s="229"/>
      <c r="H12" s="229"/>
      <c r="I12" s="229"/>
      <c r="J12" s="119"/>
      <c r="K12" s="119"/>
      <c r="L12" s="119"/>
      <c r="M12" s="119"/>
      <c r="N12" s="119"/>
      <c r="O12" s="119"/>
      <c r="P12" s="119"/>
    </row>
    <row r="13" spans="2:16" ht="15.6" x14ac:dyDescent="0.3">
      <c r="B13" s="229"/>
      <c r="C13" s="229"/>
      <c r="D13" s="229"/>
      <c r="E13" s="229"/>
      <c r="F13" s="229"/>
      <c r="G13" s="229"/>
      <c r="H13" s="229"/>
      <c r="I13" s="229"/>
      <c r="J13" s="119"/>
      <c r="K13" s="119"/>
      <c r="L13" s="119"/>
      <c r="M13" s="119"/>
      <c r="N13" s="105" t="s">
        <v>1</v>
      </c>
      <c r="O13" s="103"/>
      <c r="P13" s="103"/>
    </row>
    <row r="14" spans="2:16" ht="15.6" customHeight="1" x14ac:dyDescent="0.25">
      <c r="B14" s="229"/>
      <c r="C14" s="229"/>
      <c r="D14" s="229"/>
      <c r="E14" s="229"/>
      <c r="F14" s="229"/>
      <c r="G14" s="229"/>
      <c r="H14" s="229"/>
      <c r="I14" s="229"/>
      <c r="J14" s="119"/>
      <c r="K14" s="119"/>
      <c r="L14" s="119"/>
      <c r="M14" s="119"/>
      <c r="N14" s="226" t="s">
        <v>2</v>
      </c>
      <c r="O14" s="226"/>
      <c r="P14" s="226"/>
    </row>
    <row r="15" spans="2:16" x14ac:dyDescent="0.25">
      <c r="B15" s="229"/>
      <c r="C15" s="229"/>
      <c r="D15" s="229"/>
      <c r="E15" s="229"/>
      <c r="F15" s="229"/>
      <c r="G15" s="229"/>
      <c r="H15" s="229"/>
      <c r="I15" s="229"/>
      <c r="J15" s="119"/>
      <c r="K15" s="119"/>
      <c r="L15" s="119"/>
      <c r="M15" s="119"/>
      <c r="N15" s="226"/>
      <c r="O15" s="226"/>
      <c r="P15" s="226"/>
    </row>
    <row r="16" spans="2:16" x14ac:dyDescent="0.25">
      <c r="B16" s="229"/>
      <c r="C16" s="229"/>
      <c r="D16" s="229"/>
      <c r="E16" s="229"/>
      <c r="F16" s="229"/>
      <c r="G16" s="229"/>
      <c r="H16" s="229"/>
      <c r="I16" s="229"/>
      <c r="J16" s="119"/>
      <c r="K16" s="119"/>
      <c r="L16" s="119"/>
      <c r="M16" s="119"/>
      <c r="N16" s="226"/>
      <c r="O16" s="226"/>
      <c r="P16" s="226"/>
    </row>
    <row r="17" spans="2:16" x14ac:dyDescent="0.25">
      <c r="B17" s="229"/>
      <c r="C17" s="229"/>
      <c r="D17" s="229"/>
      <c r="E17" s="229"/>
      <c r="F17" s="229"/>
      <c r="G17" s="229"/>
      <c r="H17" s="229"/>
      <c r="I17" s="229"/>
      <c r="J17" s="119"/>
      <c r="K17" s="119"/>
      <c r="L17" s="119"/>
      <c r="M17" s="119"/>
      <c r="N17" s="226"/>
      <c r="O17" s="226"/>
      <c r="P17" s="226"/>
    </row>
    <row r="18" spans="2:16" x14ac:dyDescent="0.25">
      <c r="B18" s="229"/>
      <c r="C18" s="229"/>
      <c r="D18" s="229"/>
      <c r="E18" s="229"/>
      <c r="F18" s="229"/>
      <c r="G18" s="229"/>
      <c r="H18" s="229"/>
      <c r="I18" s="229"/>
      <c r="J18" s="119"/>
      <c r="K18" s="119"/>
      <c r="L18" s="119"/>
      <c r="M18" s="119"/>
      <c r="N18" s="226"/>
      <c r="O18" s="226"/>
      <c r="P18" s="226"/>
    </row>
    <row r="19" spans="2:16" x14ac:dyDescent="0.25">
      <c r="B19" s="229"/>
      <c r="C19" s="229"/>
      <c r="D19" s="229"/>
      <c r="E19" s="229"/>
      <c r="F19" s="229"/>
      <c r="G19" s="229"/>
      <c r="H19" s="229"/>
      <c r="I19" s="229"/>
      <c r="J19" s="119"/>
      <c r="K19" s="119"/>
      <c r="L19" s="119"/>
      <c r="M19" s="119"/>
      <c r="N19" s="226"/>
      <c r="O19" s="226"/>
      <c r="P19" s="226"/>
    </row>
    <row r="20" spans="2:16" x14ac:dyDescent="0.25">
      <c r="B20" s="229"/>
      <c r="C20" s="229"/>
      <c r="D20" s="229"/>
      <c r="E20" s="229"/>
      <c r="F20" s="229"/>
      <c r="G20" s="229"/>
      <c r="H20" s="229"/>
      <c r="I20" s="229"/>
      <c r="J20" s="119"/>
      <c r="K20" s="119"/>
      <c r="L20" s="119"/>
      <c r="M20" s="119"/>
      <c r="N20" s="119"/>
      <c r="O20" s="119"/>
      <c r="P20" s="119"/>
    </row>
    <row r="21" spans="2:16" x14ac:dyDescent="0.25">
      <c r="B21" s="229"/>
      <c r="C21" s="229"/>
      <c r="D21" s="229"/>
      <c r="E21" s="229"/>
      <c r="F21" s="229"/>
      <c r="G21" s="229"/>
      <c r="H21" s="229"/>
      <c r="I21" s="229"/>
      <c r="J21" s="119"/>
      <c r="K21" s="119"/>
      <c r="L21" s="119"/>
      <c r="M21" s="119"/>
      <c r="N21" s="119"/>
      <c r="O21" s="119"/>
      <c r="P21" s="119"/>
    </row>
    <row r="22" spans="2:16" x14ac:dyDescent="0.25">
      <c r="B22" s="229"/>
      <c r="C22" s="229"/>
      <c r="D22" s="229"/>
      <c r="E22" s="229"/>
      <c r="F22" s="229"/>
      <c r="G22" s="229"/>
      <c r="H22" s="229"/>
      <c r="I22" s="229"/>
      <c r="J22" s="119"/>
      <c r="K22" s="119"/>
      <c r="L22" s="119"/>
      <c r="M22" s="119"/>
      <c r="N22" s="119"/>
      <c r="O22" s="119"/>
      <c r="P22" s="119"/>
    </row>
    <row r="23" spans="2:16" x14ac:dyDescent="0.25">
      <c r="B23" s="229"/>
      <c r="C23" s="229"/>
      <c r="D23" s="229"/>
      <c r="E23" s="229"/>
      <c r="F23" s="229"/>
      <c r="G23" s="229"/>
      <c r="H23" s="229"/>
      <c r="I23" s="229"/>
      <c r="J23" s="119"/>
      <c r="K23" s="119"/>
      <c r="L23" s="119"/>
      <c r="M23" s="119"/>
      <c r="N23" s="119"/>
      <c r="O23" s="119"/>
      <c r="P23" s="119"/>
    </row>
    <row r="24" spans="2:16" x14ac:dyDescent="0.25">
      <c r="B24" s="229"/>
      <c r="C24" s="229"/>
      <c r="D24" s="229"/>
      <c r="E24" s="229"/>
      <c r="F24" s="229"/>
      <c r="G24" s="229"/>
      <c r="H24" s="229"/>
      <c r="I24" s="229"/>
      <c r="J24" s="119"/>
      <c r="K24" s="119"/>
      <c r="L24" s="119"/>
      <c r="M24" s="119"/>
      <c r="N24" s="119"/>
      <c r="O24" s="119"/>
      <c r="P24" s="119"/>
    </row>
    <row r="29" spans="2:16" ht="17.399999999999999" x14ac:dyDescent="0.3">
      <c r="B29" s="227" t="s">
        <v>3</v>
      </c>
      <c r="C29" s="227"/>
      <c r="D29" s="227"/>
      <c r="E29" s="227"/>
      <c r="F29" s="227"/>
      <c r="G29" s="227"/>
      <c r="H29" s="227"/>
      <c r="I29" s="227"/>
      <c r="J29" s="119"/>
      <c r="K29" s="119"/>
      <c r="L29" s="119"/>
      <c r="M29" s="119"/>
      <c r="N29" s="119"/>
      <c r="O29" s="119"/>
      <c r="P29" s="119"/>
    </row>
    <row r="30" spans="2:16" ht="17.399999999999999" x14ac:dyDescent="0.3">
      <c r="B30" s="119"/>
      <c r="C30" s="7"/>
      <c r="D30" s="8"/>
      <c r="E30" s="8"/>
      <c r="F30" s="8"/>
      <c r="G30" s="8"/>
      <c r="H30" s="8"/>
      <c r="I30" s="8"/>
      <c r="J30" s="119"/>
      <c r="K30" s="119"/>
      <c r="L30" s="119"/>
      <c r="M30" s="119"/>
      <c r="N30" s="119"/>
      <c r="O30" s="119"/>
      <c r="P30" s="119"/>
    </row>
    <row r="31" spans="2:16" ht="17.399999999999999" x14ac:dyDescent="0.3">
      <c r="B31" s="227" t="s">
        <v>3</v>
      </c>
      <c r="C31" s="227"/>
      <c r="D31" s="227"/>
      <c r="E31" s="227"/>
      <c r="F31" s="227"/>
      <c r="G31" s="227"/>
      <c r="H31" s="227"/>
      <c r="I31" s="227"/>
      <c r="J31" s="119"/>
      <c r="K31" s="119"/>
      <c r="L31" s="119"/>
      <c r="M31" s="119"/>
      <c r="N31" s="119"/>
      <c r="O31" s="119"/>
      <c r="P31" s="119"/>
    </row>
    <row r="32" spans="2:16" ht="17.399999999999999" x14ac:dyDescent="0.3">
      <c r="B32" s="119"/>
      <c r="C32" s="7"/>
      <c r="D32" s="8"/>
      <c r="E32" s="8"/>
      <c r="F32" s="8"/>
      <c r="G32" s="8"/>
      <c r="H32" s="8"/>
      <c r="I32" s="8"/>
      <c r="J32" s="119"/>
      <c r="K32" s="119"/>
      <c r="L32" s="119"/>
      <c r="M32" s="119"/>
      <c r="N32" s="119"/>
      <c r="O32" s="119"/>
      <c r="P32" s="119"/>
    </row>
    <row r="33" spans="2:9" ht="17.399999999999999" x14ac:dyDescent="0.3">
      <c r="B33" s="227" t="s">
        <v>4</v>
      </c>
      <c r="C33" s="227"/>
      <c r="D33" s="227"/>
      <c r="E33" s="227"/>
      <c r="F33" s="227"/>
      <c r="G33" s="227"/>
      <c r="H33" s="227"/>
      <c r="I33" s="227"/>
    </row>
    <row r="34" spans="2:9" ht="17.399999999999999" x14ac:dyDescent="0.3">
      <c r="B34" s="119"/>
      <c r="C34" s="7"/>
      <c r="D34" s="8"/>
      <c r="E34" s="8"/>
      <c r="F34" s="8"/>
      <c r="G34" s="8"/>
      <c r="H34" s="8"/>
      <c r="I34" s="8"/>
    </row>
    <row r="35" spans="2:9" ht="17.399999999999999" x14ac:dyDescent="0.3">
      <c r="B35" s="227" t="s">
        <v>5</v>
      </c>
      <c r="C35" s="227"/>
      <c r="D35" s="227"/>
      <c r="E35" s="227"/>
      <c r="F35" s="227"/>
      <c r="G35" s="227"/>
      <c r="H35" s="227"/>
      <c r="I35" s="227"/>
    </row>
    <row r="37" spans="2:9" ht="17.399999999999999" x14ac:dyDescent="0.3">
      <c r="B37" s="227" t="s">
        <v>6</v>
      </c>
      <c r="C37" s="227"/>
      <c r="D37" s="227"/>
      <c r="E37" s="227"/>
      <c r="F37" s="227"/>
      <c r="G37" s="227"/>
      <c r="H37" s="227"/>
      <c r="I37" s="227"/>
    </row>
    <row r="39" spans="2:9" x14ac:dyDescent="0.25">
      <c r="B39" s="119" t="s">
        <v>7</v>
      </c>
      <c r="C39" s="215">
        <v>2022</v>
      </c>
      <c r="D39" s="119"/>
      <c r="E39" s="119"/>
      <c r="F39" s="119"/>
      <c r="G39" s="119"/>
      <c r="H39" s="119"/>
      <c r="I39" s="119"/>
    </row>
    <row r="40" spans="2:9" ht="14.25" customHeight="1" x14ac:dyDescent="0.25">
      <c r="B40" s="119"/>
      <c r="C40" s="119"/>
      <c r="D40" s="119"/>
      <c r="E40" s="119"/>
      <c r="F40" s="119"/>
      <c r="G40" s="119"/>
      <c r="H40" s="119"/>
      <c r="I40" s="119"/>
    </row>
    <row r="41" spans="2:9" x14ac:dyDescent="0.25">
      <c r="B41" s="216" t="s">
        <v>8</v>
      </c>
      <c r="C41" s="228" t="s">
        <v>9</v>
      </c>
      <c r="D41" s="228"/>
      <c r="E41" s="228"/>
      <c r="F41" s="228"/>
      <c r="G41" s="228"/>
      <c r="H41" s="228"/>
      <c r="I41" s="228"/>
    </row>
    <row r="42" spans="2:9" x14ac:dyDescent="0.25">
      <c r="B42" s="216"/>
      <c r="C42" s="119"/>
      <c r="D42" s="119"/>
      <c r="E42" s="119"/>
      <c r="F42" s="119"/>
      <c r="G42" s="119"/>
      <c r="H42" s="119"/>
      <c r="I42" s="119"/>
    </row>
    <row r="43" spans="2:9" x14ac:dyDescent="0.25">
      <c r="B43" s="216" t="s">
        <v>10</v>
      </c>
      <c r="C43" s="228" t="s">
        <v>11</v>
      </c>
      <c r="D43" s="228"/>
      <c r="E43" s="228"/>
      <c r="F43" s="119"/>
      <c r="G43" s="119"/>
      <c r="H43" s="119"/>
      <c r="I43" s="119"/>
    </row>
    <row r="44" spans="2:9" x14ac:dyDescent="0.25">
      <c r="B44" s="216"/>
      <c r="C44" s="119"/>
      <c r="D44" s="119"/>
      <c r="E44" s="119"/>
      <c r="F44" s="119"/>
      <c r="G44" s="119"/>
      <c r="H44" s="119"/>
      <c r="I44" s="119"/>
    </row>
    <row r="45" spans="2:9" ht="15.6" x14ac:dyDescent="0.3">
      <c r="B45" s="216" t="s">
        <v>12</v>
      </c>
      <c r="C45" s="230" t="s">
        <v>13</v>
      </c>
      <c r="D45" s="228"/>
      <c r="E45" s="228"/>
      <c r="F45" s="119"/>
      <c r="G45" s="119"/>
      <c r="H45" s="119"/>
      <c r="I45" s="119"/>
    </row>
    <row r="46" spans="2:9" x14ac:dyDescent="0.25">
      <c r="B46" s="216"/>
      <c r="C46" s="119"/>
      <c r="D46" s="119"/>
      <c r="E46" s="119"/>
      <c r="F46" s="119"/>
      <c r="G46" s="119"/>
      <c r="H46" s="119"/>
      <c r="I46" s="119"/>
    </row>
    <row r="47" spans="2:9" x14ac:dyDescent="0.25">
      <c r="B47" s="216" t="s">
        <v>14</v>
      </c>
      <c r="C47" s="228" t="s">
        <v>15</v>
      </c>
      <c r="D47" s="228"/>
      <c r="E47" s="119"/>
      <c r="F47" s="119" t="s">
        <v>16</v>
      </c>
      <c r="G47" s="228" t="s">
        <v>17</v>
      </c>
      <c r="H47" s="228"/>
      <c r="I47" s="228"/>
    </row>
    <row r="48" spans="2:9" x14ac:dyDescent="0.25">
      <c r="B48" s="216"/>
      <c r="C48" s="119"/>
      <c r="D48" s="119"/>
      <c r="E48" s="119"/>
      <c r="F48" s="119"/>
      <c r="G48" s="119"/>
      <c r="H48" s="119"/>
      <c r="I48" s="119"/>
    </row>
    <row r="49" spans="2:9" x14ac:dyDescent="0.25">
      <c r="B49" s="216" t="s">
        <v>18</v>
      </c>
      <c r="C49" s="228" t="s">
        <v>19</v>
      </c>
      <c r="D49" s="228"/>
      <c r="E49" s="119"/>
      <c r="F49" s="119" t="s">
        <v>16</v>
      </c>
      <c r="G49" s="228" t="s">
        <v>20</v>
      </c>
      <c r="H49" s="228"/>
      <c r="I49" s="228"/>
    </row>
    <row r="50" spans="2:9" x14ac:dyDescent="0.25">
      <c r="B50" s="216"/>
      <c r="C50" s="119"/>
      <c r="D50" s="119"/>
      <c r="E50" s="119"/>
      <c r="F50" s="119"/>
      <c r="G50" s="119"/>
      <c r="H50" s="119"/>
      <c r="I50" s="119"/>
    </row>
    <row r="51" spans="2:9" x14ac:dyDescent="0.25">
      <c r="B51" s="216" t="s">
        <v>21</v>
      </c>
      <c r="C51" s="215">
        <v>1</v>
      </c>
      <c r="D51" s="119"/>
      <c r="E51" s="119"/>
      <c r="F51" s="119"/>
      <c r="G51" s="119"/>
      <c r="H51" s="119"/>
      <c r="I51" s="119"/>
    </row>
    <row r="52" spans="2:9" x14ac:dyDescent="0.25">
      <c r="B52" s="216"/>
      <c r="C52" s="119"/>
      <c r="D52" s="119"/>
      <c r="E52" s="119"/>
      <c r="F52" s="119"/>
      <c r="G52" s="119"/>
      <c r="H52" s="119"/>
      <c r="I52" s="119"/>
    </row>
    <row r="53" spans="2:9" x14ac:dyDescent="0.25">
      <c r="B53" s="216" t="s">
        <v>22</v>
      </c>
      <c r="C53" s="228" t="s">
        <v>23</v>
      </c>
      <c r="D53" s="228"/>
      <c r="E53" s="119"/>
      <c r="F53" s="119"/>
      <c r="G53" s="119"/>
      <c r="H53" s="119"/>
      <c r="I53" s="119"/>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78F8B530-565E-43F2-B8DC-E6F26643D98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showGridLines="0" topLeftCell="A7" zoomScaleNormal="100" workbookViewId="0">
      <selection activeCell="B13" sqref="B13:G1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119" t="str">
        <f>+'Cover Page'!$B$29</f>
        <v>Annual Performance Report 2022</v>
      </c>
      <c r="B1" s="119"/>
      <c r="C1" s="119"/>
      <c r="D1" s="119"/>
      <c r="E1" s="119" t="str">
        <f>+'Cover Page'!$B$33</f>
        <v>Permit EPR/RP3036QU</v>
      </c>
      <c r="F1" s="119"/>
      <c r="G1" s="119"/>
      <c r="H1" s="119"/>
      <c r="I1" s="119"/>
      <c r="J1" s="119"/>
      <c r="K1" s="119"/>
      <c r="L1" s="119"/>
      <c r="M1" s="119"/>
      <c r="N1" s="119"/>
      <c r="O1" s="119"/>
    </row>
    <row r="3" spans="1:15" ht="15.6" x14ac:dyDescent="0.3">
      <c r="A3" s="80" t="s">
        <v>24</v>
      </c>
      <c r="B3" s="217"/>
      <c r="C3" s="217"/>
      <c r="D3" s="217"/>
      <c r="E3" s="217"/>
      <c r="F3" s="217"/>
      <c r="G3" s="217"/>
      <c r="H3" s="218"/>
      <c r="I3" s="119"/>
      <c r="J3" s="119"/>
      <c r="K3" s="105" t="s">
        <v>1</v>
      </c>
      <c r="L3" s="119"/>
      <c r="M3" s="119"/>
      <c r="N3" s="119"/>
      <c r="O3" s="119"/>
    </row>
    <row r="4" spans="1:15" ht="15.6" x14ac:dyDescent="0.3">
      <c r="A4" s="5" t="s">
        <v>25</v>
      </c>
      <c r="B4" s="232" t="s">
        <v>26</v>
      </c>
      <c r="C4" s="232"/>
      <c r="D4" s="232"/>
      <c r="E4" s="232"/>
      <c r="F4" s="232"/>
      <c r="G4" s="232"/>
      <c r="H4" s="6" t="s">
        <v>27</v>
      </c>
      <c r="I4" s="119"/>
      <c r="J4" s="119"/>
      <c r="K4" s="103" t="s">
        <v>28</v>
      </c>
      <c r="L4" s="119"/>
      <c r="M4" s="119"/>
      <c r="N4" s="119"/>
      <c r="O4" s="119"/>
    </row>
    <row r="5" spans="1:15" ht="15.6" customHeight="1" x14ac:dyDescent="0.25">
      <c r="A5" s="4"/>
      <c r="B5" s="231" t="s">
        <v>29</v>
      </c>
      <c r="C5" s="231"/>
      <c r="D5" s="231"/>
      <c r="E5" s="231"/>
      <c r="F5" s="231"/>
      <c r="G5" s="231"/>
      <c r="H5" s="4"/>
      <c r="I5" s="119"/>
      <c r="J5" s="119"/>
      <c r="K5" s="226" t="s">
        <v>30</v>
      </c>
      <c r="L5" s="226"/>
      <c r="M5" s="226"/>
      <c r="N5" s="226"/>
      <c r="O5" s="226"/>
    </row>
    <row r="6" spans="1:15" x14ac:dyDescent="0.25">
      <c r="A6" s="4"/>
      <c r="B6" s="231" t="s">
        <v>31</v>
      </c>
      <c r="C6" s="231"/>
      <c r="D6" s="231"/>
      <c r="E6" s="231"/>
      <c r="F6" s="231"/>
      <c r="G6" s="231"/>
      <c r="H6" s="4"/>
      <c r="I6" s="119"/>
      <c r="J6" s="119"/>
      <c r="K6" s="226"/>
      <c r="L6" s="226"/>
      <c r="M6" s="226"/>
      <c r="N6" s="226"/>
      <c r="O6" s="226"/>
    </row>
    <row r="7" spans="1:15" ht="15.75" customHeight="1" x14ac:dyDescent="0.25">
      <c r="A7" s="4"/>
      <c r="B7" s="231" t="s">
        <v>32</v>
      </c>
      <c r="C7" s="231"/>
      <c r="D7" s="231"/>
      <c r="E7" s="231"/>
      <c r="F7" s="231"/>
      <c r="G7" s="231"/>
      <c r="H7" s="4"/>
      <c r="I7" s="119"/>
      <c r="J7" s="119"/>
      <c r="K7" s="226"/>
      <c r="L7" s="226"/>
      <c r="M7" s="226"/>
      <c r="N7" s="226"/>
      <c r="O7" s="226"/>
    </row>
    <row r="8" spans="1:15" x14ac:dyDescent="0.25">
      <c r="A8" s="4"/>
      <c r="B8" s="231" t="s">
        <v>33</v>
      </c>
      <c r="C8" s="231"/>
      <c r="D8" s="231"/>
      <c r="E8" s="231"/>
      <c r="F8" s="231"/>
      <c r="G8" s="231"/>
      <c r="H8" s="4"/>
      <c r="I8" s="119"/>
      <c r="J8" s="119"/>
      <c r="K8" s="226"/>
      <c r="L8" s="226"/>
      <c r="M8" s="226"/>
      <c r="N8" s="226"/>
      <c r="O8" s="226"/>
    </row>
    <row r="9" spans="1:15" x14ac:dyDescent="0.25">
      <c r="A9" s="4"/>
      <c r="B9" s="231" t="s">
        <v>34</v>
      </c>
      <c r="C9" s="231"/>
      <c r="D9" s="231"/>
      <c r="E9" s="231"/>
      <c r="F9" s="231"/>
      <c r="G9" s="231"/>
      <c r="H9" s="4"/>
      <c r="I9" s="119"/>
      <c r="J9" s="119"/>
      <c r="K9" s="119"/>
      <c r="L9" s="119"/>
      <c r="M9" s="119"/>
      <c r="N9" s="119"/>
      <c r="O9" s="119"/>
    </row>
    <row r="10" spans="1:15" x14ac:dyDescent="0.25">
      <c r="A10" s="4"/>
      <c r="B10" s="231" t="s">
        <v>35</v>
      </c>
      <c r="C10" s="231"/>
      <c r="D10" s="231"/>
      <c r="E10" s="231"/>
      <c r="F10" s="231"/>
      <c r="G10" s="231"/>
      <c r="H10" s="4"/>
      <c r="I10" s="119"/>
      <c r="J10" s="119"/>
      <c r="K10" s="119"/>
      <c r="L10" s="119"/>
      <c r="M10" s="119"/>
      <c r="N10" s="119"/>
      <c r="O10" s="119"/>
    </row>
    <row r="11" spans="1:15" x14ac:dyDescent="0.25">
      <c r="A11" s="4"/>
      <c r="B11" s="231" t="s">
        <v>36</v>
      </c>
      <c r="C11" s="231"/>
      <c r="D11" s="231"/>
      <c r="E11" s="231"/>
      <c r="F11" s="231"/>
      <c r="G11" s="231"/>
      <c r="H11" s="4"/>
      <c r="I11" s="119"/>
      <c r="J11" s="119"/>
      <c r="K11" s="119"/>
      <c r="L11" s="119"/>
      <c r="M11" s="119"/>
      <c r="N11" s="119"/>
      <c r="O11" s="119"/>
    </row>
    <row r="12" spans="1:15" x14ac:dyDescent="0.25">
      <c r="A12" s="4"/>
      <c r="B12" s="231" t="s">
        <v>37</v>
      </c>
      <c r="C12" s="231"/>
      <c r="D12" s="231"/>
      <c r="E12" s="231"/>
      <c r="F12" s="231"/>
      <c r="G12" s="231"/>
      <c r="H12" s="4"/>
      <c r="I12" s="119"/>
      <c r="J12" s="119"/>
      <c r="K12" s="119"/>
      <c r="L12" s="119"/>
      <c r="M12" s="119"/>
      <c r="N12" s="119"/>
      <c r="O12" s="119"/>
    </row>
    <row r="13" spans="1:15" x14ac:dyDescent="0.25">
      <c r="A13" s="4"/>
      <c r="B13" s="233" t="s">
        <v>38</v>
      </c>
      <c r="C13" s="234"/>
      <c r="D13" s="234"/>
      <c r="E13" s="234"/>
      <c r="F13" s="234"/>
      <c r="G13" s="235"/>
      <c r="H13" s="4"/>
      <c r="I13" s="119"/>
      <c r="J13" s="119"/>
      <c r="K13" s="119"/>
      <c r="L13" s="119"/>
      <c r="M13" s="119"/>
      <c r="N13" s="119"/>
      <c r="O13" s="119"/>
    </row>
    <row r="14" spans="1:15" x14ac:dyDescent="0.25">
      <c r="A14" s="4"/>
      <c r="B14" s="231" t="s">
        <v>39</v>
      </c>
      <c r="C14" s="231"/>
      <c r="D14" s="231"/>
      <c r="E14" s="231"/>
      <c r="F14" s="231"/>
      <c r="G14" s="231"/>
      <c r="H14" s="4"/>
      <c r="I14" s="119"/>
      <c r="J14" s="119"/>
      <c r="K14" s="119"/>
      <c r="L14" s="119"/>
      <c r="M14" s="119"/>
      <c r="N14" s="119"/>
      <c r="O14" s="119"/>
    </row>
    <row r="15" spans="1:15" x14ac:dyDescent="0.25">
      <c r="A15" s="4"/>
      <c r="B15" s="231" t="s">
        <v>40</v>
      </c>
      <c r="C15" s="231"/>
      <c r="D15" s="231"/>
      <c r="E15" s="231"/>
      <c r="F15" s="231"/>
      <c r="G15" s="231"/>
      <c r="H15" s="4"/>
      <c r="I15" s="119"/>
      <c r="J15" s="119"/>
      <c r="K15" s="119"/>
      <c r="L15" s="119"/>
      <c r="M15" s="119"/>
      <c r="N15" s="119"/>
      <c r="O15" s="119"/>
    </row>
    <row r="16" spans="1:15" x14ac:dyDescent="0.25">
      <c r="A16" s="4"/>
      <c r="B16" s="231" t="s">
        <v>41</v>
      </c>
      <c r="C16" s="231"/>
      <c r="D16" s="231"/>
      <c r="E16" s="231"/>
      <c r="F16" s="231"/>
      <c r="G16" s="231"/>
      <c r="H16" s="4"/>
      <c r="I16" s="119"/>
      <c r="J16" s="119"/>
      <c r="K16" s="119"/>
      <c r="L16" s="119"/>
      <c r="M16" s="119"/>
      <c r="N16" s="119"/>
      <c r="O16" s="119"/>
    </row>
    <row r="17" spans="1:8" x14ac:dyDescent="0.25">
      <c r="A17" s="4"/>
      <c r="B17" s="231" t="s">
        <v>42</v>
      </c>
      <c r="C17" s="231"/>
      <c r="D17" s="231"/>
      <c r="E17" s="231"/>
      <c r="F17" s="231"/>
      <c r="G17" s="231"/>
      <c r="H17" s="4"/>
    </row>
    <row r="18" spans="1:8" x14ac:dyDescent="0.25">
      <c r="A18" s="4"/>
      <c r="B18" s="231" t="s">
        <v>43</v>
      </c>
      <c r="C18" s="231"/>
      <c r="D18" s="231"/>
      <c r="E18" s="231"/>
      <c r="F18" s="231"/>
      <c r="G18" s="231"/>
      <c r="H18" s="4"/>
    </row>
    <row r="19" spans="1:8" x14ac:dyDescent="0.25">
      <c r="A19" s="4"/>
      <c r="B19" s="231" t="s">
        <v>44</v>
      </c>
      <c r="C19" s="231"/>
      <c r="D19" s="231"/>
      <c r="E19" s="231"/>
      <c r="F19" s="231"/>
      <c r="G19" s="231"/>
      <c r="H19" s="4"/>
    </row>
    <row r="20" spans="1:8" x14ac:dyDescent="0.25">
      <c r="A20" s="4"/>
      <c r="B20" s="231" t="s">
        <v>45</v>
      </c>
      <c r="C20" s="231"/>
      <c r="D20" s="231"/>
      <c r="E20" s="231"/>
      <c r="F20" s="231"/>
      <c r="G20" s="231"/>
      <c r="H20" s="4"/>
    </row>
    <row r="21" spans="1:8" x14ac:dyDescent="0.25">
      <c r="A21" s="4"/>
      <c r="B21" s="231" t="s">
        <v>46</v>
      </c>
      <c r="C21" s="231"/>
      <c r="D21" s="231"/>
      <c r="E21" s="231"/>
      <c r="F21" s="231"/>
      <c r="G21" s="231"/>
      <c r="H21" s="4"/>
    </row>
    <row r="22" spans="1:8" x14ac:dyDescent="0.25">
      <c r="A22" s="4"/>
      <c r="B22" s="231" t="s">
        <v>47</v>
      </c>
      <c r="C22" s="231"/>
      <c r="D22" s="231"/>
      <c r="E22" s="231"/>
      <c r="F22" s="231"/>
      <c r="G22" s="231"/>
      <c r="H22" s="4"/>
    </row>
    <row r="23" spans="1:8" x14ac:dyDescent="0.25">
      <c r="A23" s="4"/>
      <c r="B23" s="233" t="s">
        <v>48</v>
      </c>
      <c r="C23" s="234"/>
      <c r="D23" s="234"/>
      <c r="E23" s="234"/>
      <c r="F23" s="234"/>
      <c r="G23" s="235"/>
      <c r="H23" s="4"/>
    </row>
    <row r="24" spans="1:8" x14ac:dyDescent="0.25">
      <c r="A24" s="4"/>
      <c r="B24" s="233" t="s">
        <v>49</v>
      </c>
      <c r="C24" s="234"/>
      <c r="D24" s="234"/>
      <c r="E24" s="234"/>
      <c r="F24" s="234"/>
      <c r="G24" s="235"/>
      <c r="H24" s="4"/>
    </row>
    <row r="25" spans="1:8" x14ac:dyDescent="0.25">
      <c r="A25" s="4"/>
      <c r="B25" s="237"/>
      <c r="C25" s="237"/>
      <c r="D25" s="237"/>
      <c r="E25" s="237"/>
      <c r="F25" s="237"/>
      <c r="G25" s="237"/>
      <c r="H25" s="4"/>
    </row>
    <row r="27" spans="1:8" x14ac:dyDescent="0.25">
      <c r="A27" s="79" t="s">
        <v>50</v>
      </c>
      <c r="B27" s="217"/>
      <c r="C27" s="217"/>
      <c r="D27" s="217"/>
      <c r="E27" s="217"/>
      <c r="F27" s="217"/>
      <c r="G27" s="217"/>
      <c r="H27" s="218"/>
    </row>
    <row r="28" spans="1:8" x14ac:dyDescent="0.25">
      <c r="A28" s="10" t="s">
        <v>25</v>
      </c>
      <c r="B28" s="238" t="s">
        <v>51</v>
      </c>
      <c r="C28" s="238"/>
      <c r="D28" s="238"/>
      <c r="E28" s="238"/>
      <c r="F28" s="238"/>
      <c r="G28" s="238"/>
      <c r="H28" s="11" t="s">
        <v>52</v>
      </c>
    </row>
    <row r="29" spans="1:8" x14ac:dyDescent="0.25">
      <c r="A29" s="12"/>
      <c r="B29" s="239"/>
      <c r="C29" s="239"/>
      <c r="D29" s="239"/>
      <c r="E29" s="239"/>
      <c r="F29" s="239"/>
      <c r="G29" s="239"/>
      <c r="H29" s="12"/>
    </row>
    <row r="30" spans="1:8" x14ac:dyDescent="0.25">
      <c r="A30" s="12"/>
      <c r="B30" s="239" t="s">
        <v>53</v>
      </c>
      <c r="C30" s="239"/>
      <c r="D30" s="239"/>
      <c r="E30" s="239"/>
      <c r="F30" s="239"/>
      <c r="G30" s="239"/>
      <c r="H30" s="12"/>
    </row>
    <row r="31" spans="1:8" x14ac:dyDescent="0.25">
      <c r="A31" s="12"/>
      <c r="B31" s="239"/>
      <c r="C31" s="239"/>
      <c r="D31" s="239"/>
      <c r="E31" s="239"/>
      <c r="F31" s="239"/>
      <c r="G31" s="239"/>
      <c r="H31" s="12"/>
    </row>
    <row r="32" spans="1:8" x14ac:dyDescent="0.25">
      <c r="A32" s="12"/>
      <c r="B32" s="239" t="s">
        <v>53</v>
      </c>
      <c r="C32" s="239"/>
      <c r="D32" s="239"/>
      <c r="E32" s="239"/>
      <c r="F32" s="239"/>
      <c r="G32" s="239"/>
      <c r="H32" s="12"/>
    </row>
    <row r="33" spans="1:10" x14ac:dyDescent="0.25">
      <c r="A33" s="12"/>
      <c r="B33" s="239"/>
      <c r="C33" s="239"/>
      <c r="D33" s="239"/>
      <c r="E33" s="239"/>
      <c r="F33" s="239"/>
      <c r="G33" s="239"/>
      <c r="H33" s="12"/>
      <c r="I33" s="119"/>
      <c r="J33" s="119"/>
    </row>
    <row r="35" spans="1:10" ht="14.25" customHeight="1" x14ac:dyDescent="0.25">
      <c r="A35" s="79" t="s">
        <v>54</v>
      </c>
      <c r="B35" s="217"/>
      <c r="C35" s="217"/>
      <c r="D35" s="217"/>
      <c r="E35" s="217"/>
      <c r="F35" s="217"/>
      <c r="G35" s="217"/>
      <c r="H35" s="218"/>
      <c r="I35" s="119"/>
      <c r="J35" s="119"/>
    </row>
    <row r="36" spans="1:10" x14ac:dyDescent="0.25">
      <c r="A36" s="14" t="s">
        <v>55</v>
      </c>
      <c r="B36" s="240" t="s">
        <v>56</v>
      </c>
      <c r="C36" s="240"/>
      <c r="D36" s="240"/>
      <c r="E36" s="240"/>
      <c r="F36" s="240"/>
      <c r="G36" s="240"/>
      <c r="H36" s="15" t="s">
        <v>57</v>
      </c>
      <c r="I36" s="119"/>
      <c r="J36" s="119"/>
    </row>
    <row r="37" spans="1:10" x14ac:dyDescent="0.25">
      <c r="A37" s="16"/>
      <c r="B37" s="236"/>
      <c r="C37" s="236"/>
      <c r="D37" s="236"/>
      <c r="E37" s="236"/>
      <c r="F37" s="236"/>
      <c r="G37" s="236"/>
      <c r="H37" s="16"/>
      <c r="I37" s="119"/>
      <c r="J37" s="119"/>
    </row>
    <row r="38" spans="1:10" x14ac:dyDescent="0.25">
      <c r="A38" s="16"/>
      <c r="B38" s="236"/>
      <c r="C38" s="236"/>
      <c r="D38" s="236"/>
      <c r="E38" s="236"/>
      <c r="F38" s="236"/>
      <c r="G38" s="236"/>
      <c r="H38" s="16"/>
      <c r="I38" s="119"/>
      <c r="J38" s="119"/>
    </row>
    <row r="39" spans="1:10" x14ac:dyDescent="0.25">
      <c r="A39" s="16"/>
      <c r="B39" s="236"/>
      <c r="C39" s="236"/>
      <c r="D39" s="236"/>
      <c r="E39" s="236"/>
      <c r="F39" s="236"/>
      <c r="G39" s="236"/>
      <c r="H39" s="16"/>
      <c r="I39" s="119"/>
      <c r="J39" s="119"/>
    </row>
    <row r="40" spans="1:10" x14ac:dyDescent="0.25">
      <c r="A40" s="16"/>
      <c r="B40" s="236"/>
      <c r="C40" s="236"/>
      <c r="D40" s="236"/>
      <c r="E40" s="236"/>
      <c r="F40" s="236"/>
      <c r="G40" s="236"/>
      <c r="H40" s="16"/>
      <c r="I40" s="119"/>
      <c r="J40" s="119"/>
    </row>
    <row r="41" spans="1:10" x14ac:dyDescent="0.25">
      <c r="A41" s="16"/>
      <c r="B41" s="236"/>
      <c r="C41" s="236"/>
      <c r="D41" s="236"/>
      <c r="E41" s="236"/>
      <c r="F41" s="236"/>
      <c r="G41" s="236"/>
      <c r="H41" s="16"/>
      <c r="I41" s="119"/>
      <c r="J41" s="119"/>
    </row>
    <row r="42" spans="1:10" x14ac:dyDescent="0.25">
      <c r="A42" s="16"/>
      <c r="B42" s="236"/>
      <c r="C42" s="236"/>
      <c r="D42" s="236"/>
      <c r="E42" s="236"/>
      <c r="F42" s="236"/>
      <c r="G42" s="236"/>
      <c r="H42" s="16"/>
      <c r="I42" s="119"/>
      <c r="J42" s="119"/>
    </row>
    <row r="43" spans="1:10" x14ac:dyDescent="0.25">
      <c r="A43" s="16"/>
      <c r="B43" s="236"/>
      <c r="C43" s="236"/>
      <c r="D43" s="236"/>
      <c r="E43" s="236"/>
      <c r="F43" s="236"/>
      <c r="G43" s="236"/>
      <c r="H43" s="16"/>
      <c r="I43" s="119"/>
      <c r="J43" s="119"/>
    </row>
    <row r="45" spans="1:10" x14ac:dyDescent="0.25">
      <c r="A45" s="241" t="s">
        <v>58</v>
      </c>
      <c r="B45" s="242"/>
      <c r="C45" s="242"/>
      <c r="D45" s="242"/>
      <c r="E45" s="242"/>
      <c r="F45" s="242"/>
      <c r="G45" s="242"/>
      <c r="H45" s="242"/>
      <c r="I45" s="242"/>
      <c r="J45" s="243"/>
    </row>
    <row r="46" spans="1:10" x14ac:dyDescent="0.25">
      <c r="A46" s="244"/>
      <c r="B46" s="245"/>
      <c r="C46" s="245"/>
      <c r="D46" s="245"/>
      <c r="E46" s="245"/>
      <c r="F46" s="245"/>
      <c r="G46" s="245"/>
      <c r="H46" s="245"/>
      <c r="I46" s="245"/>
      <c r="J46" s="246"/>
    </row>
    <row r="47" spans="1:10" x14ac:dyDescent="0.25">
      <c r="A47" s="244"/>
      <c r="B47" s="245"/>
      <c r="C47" s="245"/>
      <c r="D47" s="245"/>
      <c r="E47" s="245"/>
      <c r="F47" s="245"/>
      <c r="G47" s="245"/>
      <c r="H47" s="245"/>
      <c r="I47" s="245"/>
      <c r="J47" s="246"/>
    </row>
    <row r="48" spans="1:10" x14ac:dyDescent="0.25">
      <c r="A48" s="247"/>
      <c r="B48" s="248"/>
      <c r="C48" s="248"/>
      <c r="D48" s="248"/>
      <c r="E48" s="248"/>
      <c r="F48" s="248"/>
      <c r="G48" s="248"/>
      <c r="H48" s="248"/>
      <c r="I48" s="248"/>
      <c r="J48" s="249"/>
    </row>
    <row r="66" spans="6:6" x14ac:dyDescent="0.25">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P83"/>
  <sheetViews>
    <sheetView showGridLines="0" topLeftCell="A10" zoomScaleNormal="100" workbookViewId="0">
      <selection activeCell="A22" sqref="A22:I8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6" x14ac:dyDescent="0.25">
      <c r="A1" s="119" t="str">
        <f>+'Cover Page'!$B$29</f>
        <v>Annual Performance Report 2022</v>
      </c>
      <c r="B1" s="119"/>
      <c r="C1" s="119"/>
      <c r="D1" s="119"/>
      <c r="E1" s="119" t="str">
        <f>+'Cover Page'!$B$33</f>
        <v>Permit EPR/RP3036QU</v>
      </c>
      <c r="F1" s="119"/>
      <c r="G1" s="119"/>
      <c r="H1" s="119"/>
      <c r="I1" s="119"/>
      <c r="J1" s="119"/>
      <c r="K1" s="119"/>
      <c r="L1" s="119"/>
      <c r="M1" s="119"/>
      <c r="N1" s="119"/>
      <c r="O1" s="119"/>
      <c r="P1" s="119"/>
    </row>
    <row r="3" spans="1:16" ht="15.6" x14ac:dyDescent="0.3">
      <c r="A3" s="78" t="s">
        <v>59</v>
      </c>
      <c r="B3" s="169"/>
      <c r="C3" s="169"/>
      <c r="D3" s="169"/>
      <c r="E3" s="169"/>
      <c r="F3" s="169"/>
      <c r="G3" s="169"/>
      <c r="H3" s="169"/>
      <c r="I3" s="219"/>
      <c r="J3" s="119"/>
      <c r="K3" s="112" t="s">
        <v>1</v>
      </c>
      <c r="L3" s="119"/>
      <c r="M3" s="119"/>
      <c r="N3" s="119"/>
      <c r="O3" s="119"/>
      <c r="P3" s="119"/>
    </row>
    <row r="4" spans="1:16" x14ac:dyDescent="0.25">
      <c r="A4" s="220"/>
      <c r="B4" s="221"/>
      <c r="C4" s="221"/>
      <c r="D4" s="221"/>
      <c r="E4" s="221"/>
      <c r="F4" s="221"/>
      <c r="G4" s="221"/>
      <c r="H4" s="221"/>
      <c r="I4" s="222"/>
      <c r="J4" s="119"/>
      <c r="K4" s="119"/>
      <c r="L4" s="119"/>
      <c r="M4" s="119"/>
      <c r="N4" s="119"/>
      <c r="O4" s="119"/>
      <c r="P4" s="119"/>
    </row>
    <row r="5" spans="1:16" ht="15.75" customHeight="1" x14ac:dyDescent="0.25">
      <c r="A5" s="250" t="s">
        <v>60</v>
      </c>
      <c r="B5" s="251"/>
      <c r="C5" s="251"/>
      <c r="D5" s="251"/>
      <c r="E5" s="251"/>
      <c r="F5" s="251"/>
      <c r="G5" s="251"/>
      <c r="H5" s="251"/>
      <c r="I5" s="252"/>
      <c r="J5" s="119"/>
      <c r="K5" s="259" t="s">
        <v>61</v>
      </c>
      <c r="L5" s="259"/>
      <c r="M5" s="259"/>
      <c r="N5" s="259"/>
      <c r="O5" s="119"/>
      <c r="P5" s="119"/>
    </row>
    <row r="6" spans="1:16" x14ac:dyDescent="0.25">
      <c r="A6" s="253"/>
      <c r="B6" s="254"/>
      <c r="C6" s="254"/>
      <c r="D6" s="254"/>
      <c r="E6" s="254"/>
      <c r="F6" s="254"/>
      <c r="G6" s="254"/>
      <c r="H6" s="254"/>
      <c r="I6" s="255"/>
      <c r="J6" s="119"/>
      <c r="K6" s="259"/>
      <c r="L6" s="259"/>
      <c r="M6" s="259"/>
      <c r="N6" s="259"/>
      <c r="O6" s="119"/>
      <c r="P6" s="119"/>
    </row>
    <row r="7" spans="1:16" x14ac:dyDescent="0.25">
      <c r="A7" s="253"/>
      <c r="B7" s="254"/>
      <c r="C7" s="254"/>
      <c r="D7" s="254"/>
      <c r="E7" s="254"/>
      <c r="F7" s="254"/>
      <c r="G7" s="254"/>
      <c r="H7" s="254"/>
      <c r="I7" s="255"/>
      <c r="J7" s="119"/>
      <c r="K7" s="259"/>
      <c r="L7" s="259"/>
      <c r="M7" s="259"/>
      <c r="N7" s="259"/>
      <c r="O7" s="119"/>
      <c r="P7" s="119"/>
    </row>
    <row r="8" spans="1:16" ht="15.75" customHeight="1" x14ac:dyDescent="0.25">
      <c r="A8" s="253"/>
      <c r="B8" s="254"/>
      <c r="C8" s="254"/>
      <c r="D8" s="254"/>
      <c r="E8" s="254"/>
      <c r="F8" s="254"/>
      <c r="G8" s="254"/>
      <c r="H8" s="254"/>
      <c r="I8" s="255"/>
      <c r="J8" s="119"/>
      <c r="K8" s="259"/>
      <c r="L8" s="259"/>
      <c r="M8" s="259"/>
      <c r="N8" s="259"/>
      <c r="O8" s="119"/>
      <c r="P8" s="119"/>
    </row>
    <row r="9" spans="1:16" x14ac:dyDescent="0.25">
      <c r="A9" s="253"/>
      <c r="B9" s="254"/>
      <c r="C9" s="254"/>
      <c r="D9" s="254"/>
      <c r="E9" s="254"/>
      <c r="F9" s="254"/>
      <c r="G9" s="254"/>
      <c r="H9" s="254"/>
      <c r="I9" s="255"/>
      <c r="J9" s="119"/>
      <c r="K9" s="259"/>
      <c r="L9" s="259"/>
      <c r="M9" s="259"/>
      <c r="N9" s="259"/>
      <c r="O9" s="119"/>
      <c r="P9" s="119"/>
    </row>
    <row r="10" spans="1:16" x14ac:dyDescent="0.25">
      <c r="A10" s="253"/>
      <c r="B10" s="254"/>
      <c r="C10" s="254"/>
      <c r="D10" s="254"/>
      <c r="E10" s="254"/>
      <c r="F10" s="254"/>
      <c r="G10" s="254"/>
      <c r="H10" s="254"/>
      <c r="I10" s="255"/>
      <c r="J10" s="119"/>
      <c r="K10" s="259"/>
      <c r="L10" s="259"/>
      <c r="M10" s="259"/>
      <c r="N10" s="259"/>
      <c r="O10" s="119"/>
      <c r="P10" s="119"/>
    </row>
    <row r="11" spans="1:16" x14ac:dyDescent="0.25">
      <c r="A11" s="253"/>
      <c r="B11" s="254"/>
      <c r="C11" s="254"/>
      <c r="D11" s="254"/>
      <c r="E11" s="254"/>
      <c r="F11" s="254"/>
      <c r="G11" s="254"/>
      <c r="H11" s="254"/>
      <c r="I11" s="255"/>
      <c r="J11" s="119"/>
      <c r="K11" s="259"/>
      <c r="L11" s="259"/>
      <c r="M11" s="259"/>
      <c r="N11" s="259"/>
      <c r="O11" s="119"/>
      <c r="P11" s="119"/>
    </row>
    <row r="12" spans="1:16" x14ac:dyDescent="0.25">
      <c r="A12" s="253"/>
      <c r="B12" s="254"/>
      <c r="C12" s="254"/>
      <c r="D12" s="254"/>
      <c r="E12" s="254"/>
      <c r="F12" s="254"/>
      <c r="G12" s="254"/>
      <c r="H12" s="254"/>
      <c r="I12" s="255"/>
      <c r="J12" s="119"/>
      <c r="K12" s="259"/>
      <c r="L12" s="259"/>
      <c r="M12" s="259"/>
      <c r="N12" s="259"/>
      <c r="O12" s="119"/>
      <c r="P12" s="119"/>
    </row>
    <row r="13" spans="1:16" x14ac:dyDescent="0.25">
      <c r="A13" s="253"/>
      <c r="B13" s="254"/>
      <c r="C13" s="254"/>
      <c r="D13" s="254"/>
      <c r="E13" s="254"/>
      <c r="F13" s="254"/>
      <c r="G13" s="254"/>
      <c r="H13" s="254"/>
      <c r="I13" s="255"/>
      <c r="J13" s="119"/>
      <c r="K13" s="259"/>
      <c r="L13" s="259"/>
      <c r="M13" s="259"/>
      <c r="N13" s="259"/>
      <c r="O13" s="119"/>
      <c r="P13" s="119"/>
    </row>
    <row r="14" spans="1:16" x14ac:dyDescent="0.25">
      <c r="A14" s="253"/>
      <c r="B14" s="254"/>
      <c r="C14" s="254"/>
      <c r="D14" s="254"/>
      <c r="E14" s="254"/>
      <c r="F14" s="254"/>
      <c r="G14" s="254"/>
      <c r="H14" s="254"/>
      <c r="I14" s="255"/>
      <c r="J14" s="119"/>
      <c r="K14" s="259"/>
      <c r="L14" s="259"/>
      <c r="M14" s="259"/>
      <c r="N14" s="259"/>
      <c r="O14" s="119"/>
      <c r="P14" s="120"/>
    </row>
    <row r="15" spans="1:16" x14ac:dyDescent="0.25">
      <c r="A15" s="253"/>
      <c r="B15" s="254"/>
      <c r="C15" s="254"/>
      <c r="D15" s="254"/>
      <c r="E15" s="254"/>
      <c r="F15" s="254"/>
      <c r="G15" s="254"/>
      <c r="H15" s="254"/>
      <c r="I15" s="255"/>
      <c r="J15" s="119"/>
      <c r="K15" s="119"/>
      <c r="L15" s="119"/>
      <c r="M15" s="119"/>
      <c r="N15" s="119"/>
      <c r="O15" s="119"/>
      <c r="P15" s="120"/>
    </row>
    <row r="16" spans="1:16" x14ac:dyDescent="0.25">
      <c r="A16" s="253"/>
      <c r="B16" s="254"/>
      <c r="C16" s="254"/>
      <c r="D16" s="254"/>
      <c r="E16" s="254"/>
      <c r="F16" s="254"/>
      <c r="G16" s="254"/>
      <c r="H16" s="254"/>
      <c r="I16" s="255"/>
      <c r="J16" s="119"/>
      <c r="K16" s="119"/>
      <c r="L16" s="119"/>
      <c r="M16" s="119"/>
      <c r="N16" s="119"/>
      <c r="O16" s="119"/>
      <c r="P16" s="121"/>
    </row>
    <row r="17" spans="1:16" x14ac:dyDescent="0.25">
      <c r="A17" s="253"/>
      <c r="B17" s="254"/>
      <c r="C17" s="254"/>
      <c r="D17" s="254"/>
      <c r="E17" s="254"/>
      <c r="F17" s="254"/>
      <c r="G17" s="254"/>
      <c r="H17" s="254"/>
      <c r="I17" s="255"/>
      <c r="J17" s="119"/>
      <c r="K17" s="119"/>
      <c r="L17" s="119"/>
      <c r="M17" s="119"/>
      <c r="N17" s="119"/>
      <c r="O17" s="119"/>
      <c r="P17" s="121"/>
    </row>
    <row r="18" spans="1:16" x14ac:dyDescent="0.25">
      <c r="A18" s="256"/>
      <c r="B18" s="257"/>
      <c r="C18" s="257"/>
      <c r="D18" s="257"/>
      <c r="E18" s="257"/>
      <c r="F18" s="257"/>
      <c r="G18" s="257"/>
      <c r="H18" s="257"/>
      <c r="I18" s="258"/>
      <c r="J18" s="119"/>
      <c r="K18" s="119"/>
      <c r="L18" s="119"/>
      <c r="M18" s="119"/>
      <c r="N18" s="119"/>
      <c r="O18" s="119"/>
      <c r="P18" s="120"/>
    </row>
    <row r="19" spans="1:16" x14ac:dyDescent="0.25">
      <c r="A19" s="119"/>
      <c r="B19" s="119"/>
      <c r="C19" s="119"/>
      <c r="D19" s="119"/>
      <c r="E19" s="119"/>
      <c r="F19" s="119"/>
      <c r="G19" s="119"/>
      <c r="H19" s="119"/>
      <c r="I19" s="119"/>
      <c r="J19" s="119"/>
      <c r="K19" s="119"/>
      <c r="L19" s="119"/>
      <c r="M19" s="119"/>
      <c r="N19" s="119"/>
      <c r="O19" s="119"/>
      <c r="P19" s="120"/>
    </row>
    <row r="20" spans="1:16" x14ac:dyDescent="0.25">
      <c r="A20" s="78" t="s">
        <v>62</v>
      </c>
      <c r="B20" s="169"/>
      <c r="C20" s="169"/>
      <c r="D20" s="169"/>
      <c r="E20" s="169"/>
      <c r="F20" s="169"/>
      <c r="G20" s="169"/>
      <c r="H20" s="169"/>
      <c r="I20" s="219"/>
      <c r="J20" s="119"/>
      <c r="K20" s="119"/>
      <c r="L20" s="119"/>
      <c r="M20" s="119"/>
      <c r="N20" s="119"/>
      <c r="O20" s="119"/>
      <c r="P20" s="121"/>
    </row>
    <row r="21" spans="1:16" x14ac:dyDescent="0.25">
      <c r="A21" s="220"/>
      <c r="B21" s="221"/>
      <c r="C21" s="221"/>
      <c r="D21" s="221"/>
      <c r="E21" s="221"/>
      <c r="F21" s="221"/>
      <c r="G21" s="221"/>
      <c r="H21" s="221"/>
      <c r="I21" s="222"/>
      <c r="J21" s="119"/>
      <c r="K21" s="119"/>
      <c r="L21" s="119"/>
      <c r="M21" s="119"/>
      <c r="N21" s="119"/>
      <c r="O21" s="119"/>
      <c r="P21" s="120"/>
    </row>
    <row r="22" spans="1:16" ht="15" customHeight="1" x14ac:dyDescent="0.25">
      <c r="A22" s="260" t="s">
        <v>63</v>
      </c>
      <c r="B22" s="261"/>
      <c r="C22" s="261"/>
      <c r="D22" s="261"/>
      <c r="E22" s="261"/>
      <c r="F22" s="261"/>
      <c r="G22" s="261"/>
      <c r="H22" s="261"/>
      <c r="I22" s="261"/>
      <c r="J22" s="119"/>
      <c r="K22" s="259" t="s">
        <v>64</v>
      </c>
      <c r="L22" s="259"/>
      <c r="M22" s="259"/>
      <c r="N22" s="259"/>
      <c r="O22" s="119"/>
      <c r="P22" s="120"/>
    </row>
    <row r="23" spans="1:16" x14ac:dyDescent="0.25">
      <c r="A23" s="262"/>
      <c r="B23" s="262"/>
      <c r="C23" s="262"/>
      <c r="D23" s="262"/>
      <c r="E23" s="262"/>
      <c r="F23" s="262"/>
      <c r="G23" s="262"/>
      <c r="H23" s="262"/>
      <c r="I23" s="262"/>
      <c r="J23" s="119"/>
      <c r="K23" s="259"/>
      <c r="L23" s="259"/>
      <c r="M23" s="259"/>
      <c r="N23" s="259"/>
      <c r="O23" s="119"/>
      <c r="P23" s="119"/>
    </row>
    <row r="24" spans="1:16" x14ac:dyDescent="0.25">
      <c r="A24" s="262"/>
      <c r="B24" s="262"/>
      <c r="C24" s="262"/>
      <c r="D24" s="262"/>
      <c r="E24" s="262"/>
      <c r="F24" s="262"/>
      <c r="G24" s="262"/>
      <c r="H24" s="262"/>
      <c r="I24" s="262"/>
      <c r="J24" s="119"/>
      <c r="K24" s="259"/>
      <c r="L24" s="259"/>
      <c r="M24" s="259"/>
      <c r="N24" s="259"/>
      <c r="O24" s="119"/>
      <c r="P24" s="119"/>
    </row>
    <row r="25" spans="1:16" x14ac:dyDescent="0.25">
      <c r="A25" s="262"/>
      <c r="B25" s="262"/>
      <c r="C25" s="262"/>
      <c r="D25" s="262"/>
      <c r="E25" s="262"/>
      <c r="F25" s="262"/>
      <c r="G25" s="262"/>
      <c r="H25" s="262"/>
      <c r="I25" s="262"/>
      <c r="J25" s="119"/>
      <c r="K25" s="259"/>
      <c r="L25" s="259"/>
      <c r="M25" s="259"/>
      <c r="N25" s="259"/>
      <c r="O25" s="119"/>
      <c r="P25" s="119"/>
    </row>
    <row r="26" spans="1:16" x14ac:dyDescent="0.25">
      <c r="A26" s="262"/>
      <c r="B26" s="262"/>
      <c r="C26" s="262"/>
      <c r="D26" s="262"/>
      <c r="E26" s="262"/>
      <c r="F26" s="262"/>
      <c r="G26" s="262"/>
      <c r="H26" s="262"/>
      <c r="I26" s="262"/>
      <c r="J26" s="119"/>
      <c r="K26" s="259"/>
      <c r="L26" s="259"/>
      <c r="M26" s="259"/>
      <c r="N26" s="259"/>
      <c r="O26" s="119"/>
      <c r="P26" s="119"/>
    </row>
    <row r="27" spans="1:16" x14ac:dyDescent="0.25">
      <c r="A27" s="262"/>
      <c r="B27" s="262"/>
      <c r="C27" s="262"/>
      <c r="D27" s="262"/>
      <c r="E27" s="262"/>
      <c r="F27" s="262"/>
      <c r="G27" s="262"/>
      <c r="H27" s="262"/>
      <c r="I27" s="262"/>
      <c r="J27" s="119"/>
      <c r="K27" s="259"/>
      <c r="L27" s="259"/>
      <c r="M27" s="259"/>
      <c r="N27" s="259"/>
      <c r="O27" s="119"/>
      <c r="P27" s="119"/>
    </row>
    <row r="28" spans="1:16" x14ac:dyDescent="0.25">
      <c r="A28" s="262"/>
      <c r="B28" s="262"/>
      <c r="C28" s="262"/>
      <c r="D28" s="262"/>
      <c r="E28" s="262"/>
      <c r="F28" s="262"/>
      <c r="G28" s="262"/>
      <c r="H28" s="262"/>
      <c r="I28" s="262"/>
      <c r="J28" s="119"/>
      <c r="K28" s="259"/>
      <c r="L28" s="259"/>
      <c r="M28" s="259"/>
      <c r="N28" s="259"/>
      <c r="O28" s="119"/>
      <c r="P28" s="119"/>
    </row>
    <row r="29" spans="1:16" x14ac:dyDescent="0.25">
      <c r="A29" s="262"/>
      <c r="B29" s="262"/>
      <c r="C29" s="262"/>
      <c r="D29" s="262"/>
      <c r="E29" s="262"/>
      <c r="F29" s="262"/>
      <c r="G29" s="262"/>
      <c r="H29" s="262"/>
      <c r="I29" s="262"/>
      <c r="J29" s="119"/>
      <c r="K29" s="259"/>
      <c r="L29" s="259"/>
      <c r="M29" s="259"/>
      <c r="N29" s="259"/>
      <c r="O29" s="119"/>
      <c r="P29" s="119"/>
    </row>
    <row r="30" spans="1:16" x14ac:dyDescent="0.25">
      <c r="A30" s="262"/>
      <c r="B30" s="262"/>
      <c r="C30" s="262"/>
      <c r="D30" s="262"/>
      <c r="E30" s="262"/>
      <c r="F30" s="262"/>
      <c r="G30" s="262"/>
      <c r="H30" s="262"/>
      <c r="I30" s="262"/>
      <c r="J30" s="119"/>
      <c r="K30" s="259"/>
      <c r="L30" s="259"/>
      <c r="M30" s="259"/>
      <c r="N30" s="259"/>
      <c r="O30" s="119"/>
      <c r="P30" s="119"/>
    </row>
    <row r="31" spans="1:16" x14ac:dyDescent="0.25">
      <c r="A31" s="262"/>
      <c r="B31" s="262"/>
      <c r="C31" s="262"/>
      <c r="D31" s="262"/>
      <c r="E31" s="262"/>
      <c r="F31" s="262"/>
      <c r="G31" s="262"/>
      <c r="H31" s="262"/>
      <c r="I31" s="262"/>
      <c r="J31" s="119"/>
      <c r="K31" s="259"/>
      <c r="L31" s="259"/>
      <c r="M31" s="259"/>
      <c r="N31" s="259"/>
      <c r="O31" s="119"/>
      <c r="P31" s="119"/>
    </row>
    <row r="32" spans="1:16" x14ac:dyDescent="0.25">
      <c r="A32" s="262"/>
      <c r="B32" s="262"/>
      <c r="C32" s="262"/>
      <c r="D32" s="262"/>
      <c r="E32" s="262"/>
      <c r="F32" s="262"/>
      <c r="G32" s="262"/>
      <c r="H32" s="262"/>
      <c r="I32" s="262"/>
      <c r="J32" s="119"/>
      <c r="K32" s="119"/>
      <c r="L32" s="119"/>
      <c r="M32" s="119"/>
      <c r="N32" s="119"/>
      <c r="O32" s="119"/>
      <c r="P32" s="119"/>
    </row>
    <row r="33" spans="1:9" x14ac:dyDescent="0.25">
      <c r="A33" s="262"/>
      <c r="B33" s="262"/>
      <c r="C33" s="262"/>
      <c r="D33" s="262"/>
      <c r="E33" s="262"/>
      <c r="F33" s="262"/>
      <c r="G33" s="262"/>
      <c r="H33" s="262"/>
      <c r="I33" s="262"/>
    </row>
    <row r="34" spans="1:9" x14ac:dyDescent="0.25">
      <c r="A34" s="262"/>
      <c r="B34" s="262"/>
      <c r="C34" s="262"/>
      <c r="D34" s="262"/>
      <c r="E34" s="262"/>
      <c r="F34" s="262"/>
      <c r="G34" s="262"/>
      <c r="H34" s="262"/>
      <c r="I34" s="262"/>
    </row>
    <row r="35" spans="1:9" x14ac:dyDescent="0.25">
      <c r="A35" s="262"/>
      <c r="B35" s="262"/>
      <c r="C35" s="262"/>
      <c r="D35" s="262"/>
      <c r="E35" s="262"/>
      <c r="F35" s="262"/>
      <c r="G35" s="262"/>
      <c r="H35" s="262"/>
      <c r="I35" s="262"/>
    </row>
    <row r="36" spans="1:9" x14ac:dyDescent="0.25">
      <c r="A36" s="262"/>
      <c r="B36" s="262"/>
      <c r="C36" s="262"/>
      <c r="D36" s="262"/>
      <c r="E36" s="262"/>
      <c r="F36" s="262"/>
      <c r="G36" s="262"/>
      <c r="H36" s="262"/>
      <c r="I36" s="262"/>
    </row>
    <row r="37" spans="1:9" x14ac:dyDescent="0.25">
      <c r="A37" s="262"/>
      <c r="B37" s="262"/>
      <c r="C37" s="262"/>
      <c r="D37" s="262"/>
      <c r="E37" s="262"/>
      <c r="F37" s="262"/>
      <c r="G37" s="262"/>
      <c r="H37" s="262"/>
      <c r="I37" s="262"/>
    </row>
    <row r="38" spans="1:9" x14ac:dyDescent="0.25">
      <c r="A38" s="262"/>
      <c r="B38" s="262"/>
      <c r="C38" s="262"/>
      <c r="D38" s="262"/>
      <c r="E38" s="262"/>
      <c r="F38" s="262"/>
      <c r="G38" s="262"/>
      <c r="H38" s="262"/>
      <c r="I38" s="262"/>
    </row>
    <row r="39" spans="1:9" x14ac:dyDescent="0.25">
      <c r="A39" s="262"/>
      <c r="B39" s="262"/>
      <c r="C39" s="262"/>
      <c r="D39" s="262"/>
      <c r="E39" s="262"/>
      <c r="F39" s="262"/>
      <c r="G39" s="262"/>
      <c r="H39" s="262"/>
      <c r="I39" s="262"/>
    </row>
    <row r="40" spans="1:9" ht="14.25" customHeight="1" x14ac:dyDescent="0.25">
      <c r="A40" s="262"/>
      <c r="B40" s="262"/>
      <c r="C40" s="262"/>
      <c r="D40" s="262"/>
      <c r="E40" s="262"/>
      <c r="F40" s="262"/>
      <c r="G40" s="262"/>
      <c r="H40" s="262"/>
      <c r="I40" s="262"/>
    </row>
    <row r="41" spans="1:9" x14ac:dyDescent="0.25">
      <c r="A41" s="262"/>
      <c r="B41" s="262"/>
      <c r="C41" s="262"/>
      <c r="D41" s="262"/>
      <c r="E41" s="262"/>
      <c r="F41" s="262"/>
      <c r="G41" s="262"/>
      <c r="H41" s="262"/>
      <c r="I41" s="262"/>
    </row>
    <row r="42" spans="1:9" x14ac:dyDescent="0.25">
      <c r="A42" s="262"/>
      <c r="B42" s="262"/>
      <c r="C42" s="262"/>
      <c r="D42" s="262"/>
      <c r="E42" s="262"/>
      <c r="F42" s="262"/>
      <c r="G42" s="262"/>
      <c r="H42" s="262"/>
      <c r="I42" s="262"/>
    </row>
    <row r="43" spans="1:9" x14ac:dyDescent="0.25">
      <c r="A43" s="262"/>
      <c r="B43" s="262"/>
      <c r="C43" s="262"/>
      <c r="D43" s="262"/>
      <c r="E43" s="262"/>
      <c r="F43" s="262"/>
      <c r="G43" s="262"/>
      <c r="H43" s="262"/>
      <c r="I43" s="262"/>
    </row>
    <row r="44" spans="1:9" x14ac:dyDescent="0.25">
      <c r="A44" s="262"/>
      <c r="B44" s="262"/>
      <c r="C44" s="262"/>
      <c r="D44" s="262"/>
      <c r="E44" s="262"/>
      <c r="F44" s="262"/>
      <c r="G44" s="262"/>
      <c r="H44" s="262"/>
      <c r="I44" s="262"/>
    </row>
    <row r="45" spans="1:9" x14ac:dyDescent="0.25">
      <c r="A45" s="262"/>
      <c r="B45" s="262"/>
      <c r="C45" s="262"/>
      <c r="D45" s="262"/>
      <c r="E45" s="262"/>
      <c r="F45" s="262"/>
      <c r="G45" s="262"/>
      <c r="H45" s="262"/>
      <c r="I45" s="262"/>
    </row>
    <row r="46" spans="1:9" x14ac:dyDescent="0.25">
      <c r="A46" s="262"/>
      <c r="B46" s="262"/>
      <c r="C46" s="262"/>
      <c r="D46" s="262"/>
      <c r="E46" s="262"/>
      <c r="F46" s="262"/>
      <c r="G46" s="262"/>
      <c r="H46" s="262"/>
      <c r="I46" s="262"/>
    </row>
    <row r="47" spans="1:9" x14ac:dyDescent="0.25">
      <c r="A47" s="262"/>
      <c r="B47" s="262"/>
      <c r="C47" s="262"/>
      <c r="D47" s="262"/>
      <c r="E47" s="262"/>
      <c r="F47" s="262"/>
      <c r="G47" s="262"/>
      <c r="H47" s="262"/>
      <c r="I47" s="262"/>
    </row>
    <row r="48" spans="1:9" x14ac:dyDescent="0.25">
      <c r="A48" s="262"/>
      <c r="B48" s="262"/>
      <c r="C48" s="262"/>
      <c r="D48" s="262"/>
      <c r="E48" s="262"/>
      <c r="F48" s="262"/>
      <c r="G48" s="262"/>
      <c r="H48" s="262"/>
      <c r="I48" s="262"/>
    </row>
    <row r="49" spans="1:9" x14ac:dyDescent="0.25">
      <c r="A49" s="262"/>
      <c r="B49" s="262"/>
      <c r="C49" s="262"/>
      <c r="D49" s="262"/>
      <c r="E49" s="262"/>
      <c r="F49" s="262"/>
      <c r="G49" s="262"/>
      <c r="H49" s="262"/>
      <c r="I49" s="262"/>
    </row>
    <row r="50" spans="1:9" x14ac:dyDescent="0.25">
      <c r="A50" s="262"/>
      <c r="B50" s="262"/>
      <c r="C50" s="262"/>
      <c r="D50" s="262"/>
      <c r="E50" s="262"/>
      <c r="F50" s="262"/>
      <c r="G50" s="262"/>
      <c r="H50" s="262"/>
      <c r="I50" s="262"/>
    </row>
    <row r="51" spans="1:9" x14ac:dyDescent="0.25">
      <c r="A51" s="262"/>
      <c r="B51" s="262"/>
      <c r="C51" s="262"/>
      <c r="D51" s="262"/>
      <c r="E51" s="262"/>
      <c r="F51" s="262"/>
      <c r="G51" s="262"/>
      <c r="H51" s="262"/>
      <c r="I51" s="262"/>
    </row>
    <row r="52" spans="1:9" x14ac:dyDescent="0.25">
      <c r="A52" s="262"/>
      <c r="B52" s="262"/>
      <c r="C52" s="262"/>
      <c r="D52" s="262"/>
      <c r="E52" s="262"/>
      <c r="F52" s="262"/>
      <c r="G52" s="262"/>
      <c r="H52" s="262"/>
      <c r="I52" s="262"/>
    </row>
    <row r="53" spans="1:9" x14ac:dyDescent="0.25">
      <c r="A53" s="262"/>
      <c r="B53" s="262"/>
      <c r="C53" s="262"/>
      <c r="D53" s="262"/>
      <c r="E53" s="262"/>
      <c r="F53" s="262"/>
      <c r="G53" s="262"/>
      <c r="H53" s="262"/>
      <c r="I53" s="262"/>
    </row>
    <row r="54" spans="1:9" x14ac:dyDescent="0.25">
      <c r="A54" s="262"/>
      <c r="B54" s="262"/>
      <c r="C54" s="262"/>
      <c r="D54" s="262"/>
      <c r="E54" s="262"/>
      <c r="F54" s="262"/>
      <c r="G54" s="262"/>
      <c r="H54" s="262"/>
      <c r="I54" s="262"/>
    </row>
    <row r="55" spans="1:9" ht="15" customHeight="1" x14ac:dyDescent="0.25">
      <c r="A55" s="263"/>
      <c r="B55" s="263"/>
      <c r="C55" s="263"/>
      <c r="D55" s="263"/>
      <c r="E55" s="263"/>
      <c r="F55" s="263"/>
      <c r="G55" s="263"/>
      <c r="H55" s="263"/>
      <c r="I55" s="263"/>
    </row>
    <row r="56" spans="1:9" ht="15" customHeight="1" x14ac:dyDescent="0.25">
      <c r="A56" s="263"/>
      <c r="B56" s="263"/>
      <c r="C56" s="263"/>
      <c r="D56" s="263"/>
      <c r="E56" s="263"/>
      <c r="F56" s="263"/>
      <c r="G56" s="263"/>
      <c r="H56" s="263"/>
      <c r="I56" s="263"/>
    </row>
    <row r="57" spans="1:9" ht="15" customHeight="1" x14ac:dyDescent="0.25">
      <c r="A57" s="263"/>
      <c r="B57" s="263"/>
      <c r="C57" s="263"/>
      <c r="D57" s="263"/>
      <c r="E57" s="263"/>
      <c r="F57" s="263"/>
      <c r="G57" s="263"/>
      <c r="H57" s="263"/>
      <c r="I57" s="263"/>
    </row>
    <row r="58" spans="1:9" ht="15" customHeight="1" x14ac:dyDescent="0.25">
      <c r="A58" s="263"/>
      <c r="B58" s="263"/>
      <c r="C58" s="263"/>
      <c r="D58" s="263"/>
      <c r="E58" s="263"/>
      <c r="F58" s="263"/>
      <c r="G58" s="263"/>
      <c r="H58" s="263"/>
      <c r="I58" s="263"/>
    </row>
    <row r="59" spans="1:9" ht="15" customHeight="1" x14ac:dyDescent="0.25">
      <c r="A59" s="263"/>
      <c r="B59" s="263"/>
      <c r="C59" s="263"/>
      <c r="D59" s="263"/>
      <c r="E59" s="263"/>
      <c r="F59" s="263"/>
      <c r="G59" s="263"/>
      <c r="H59" s="263"/>
      <c r="I59" s="263"/>
    </row>
    <row r="60" spans="1:9" ht="15" customHeight="1" x14ac:dyDescent="0.25">
      <c r="A60" s="263"/>
      <c r="B60" s="263"/>
      <c r="C60" s="263"/>
      <c r="D60" s="263"/>
      <c r="E60" s="263"/>
      <c r="F60" s="263"/>
      <c r="G60" s="263"/>
      <c r="H60" s="263"/>
      <c r="I60" s="263"/>
    </row>
    <row r="61" spans="1:9" ht="15" customHeight="1" x14ac:dyDescent="0.25">
      <c r="A61" s="263"/>
      <c r="B61" s="263"/>
      <c r="C61" s="263"/>
      <c r="D61" s="263"/>
      <c r="E61" s="263"/>
      <c r="F61" s="263"/>
      <c r="G61" s="263"/>
      <c r="H61" s="263"/>
      <c r="I61" s="263"/>
    </row>
    <row r="62" spans="1:9" ht="15" customHeight="1" x14ac:dyDescent="0.25">
      <c r="A62" s="263"/>
      <c r="B62" s="263"/>
      <c r="C62" s="263"/>
      <c r="D62" s="263"/>
      <c r="E62" s="263"/>
      <c r="F62" s="263"/>
      <c r="G62" s="263"/>
      <c r="H62" s="263"/>
      <c r="I62" s="263"/>
    </row>
    <row r="63" spans="1:9" ht="15" customHeight="1" x14ac:dyDescent="0.25">
      <c r="A63" s="263"/>
      <c r="B63" s="263"/>
      <c r="C63" s="263"/>
      <c r="D63" s="263"/>
      <c r="E63" s="263"/>
      <c r="F63" s="263"/>
      <c r="G63" s="263"/>
      <c r="H63" s="263"/>
      <c r="I63" s="263"/>
    </row>
    <row r="64" spans="1:9" ht="15" customHeight="1" x14ac:dyDescent="0.25">
      <c r="A64" s="263"/>
      <c r="B64" s="263"/>
      <c r="C64" s="263"/>
      <c r="D64" s="263"/>
      <c r="E64" s="263"/>
      <c r="F64" s="263"/>
      <c r="G64" s="263"/>
      <c r="H64" s="263"/>
      <c r="I64" s="263"/>
    </row>
    <row r="65" spans="1:9" ht="15" customHeight="1" x14ac:dyDescent="0.25">
      <c r="A65" s="263"/>
      <c r="B65" s="263"/>
      <c r="C65" s="263"/>
      <c r="D65" s="263"/>
      <c r="E65" s="263"/>
      <c r="F65" s="263"/>
      <c r="G65" s="263"/>
      <c r="H65" s="263"/>
      <c r="I65" s="263"/>
    </row>
    <row r="66" spans="1:9" ht="15" customHeight="1" x14ac:dyDescent="0.25">
      <c r="A66" s="263"/>
      <c r="B66" s="263"/>
      <c r="C66" s="263"/>
      <c r="D66" s="263"/>
      <c r="E66" s="263"/>
      <c r="F66" s="263"/>
      <c r="G66" s="263"/>
      <c r="H66" s="263"/>
      <c r="I66" s="263"/>
    </row>
    <row r="67" spans="1:9" ht="15" customHeight="1" x14ac:dyDescent="0.25">
      <c r="A67" s="263"/>
      <c r="B67" s="263"/>
      <c r="C67" s="263"/>
      <c r="D67" s="263"/>
      <c r="E67" s="263"/>
      <c r="F67" s="263"/>
      <c r="G67" s="263"/>
      <c r="H67" s="263"/>
      <c r="I67" s="263"/>
    </row>
    <row r="68" spans="1:9" ht="15" customHeight="1" x14ac:dyDescent="0.25">
      <c r="A68" s="263"/>
      <c r="B68" s="263"/>
      <c r="C68" s="263"/>
      <c r="D68" s="263"/>
      <c r="E68" s="263"/>
      <c r="F68" s="263"/>
      <c r="G68" s="263"/>
      <c r="H68" s="263"/>
      <c r="I68" s="263"/>
    </row>
    <row r="69" spans="1:9" ht="15" customHeight="1" x14ac:dyDescent="0.25">
      <c r="A69" s="263"/>
      <c r="B69" s="263"/>
      <c r="C69" s="263"/>
      <c r="D69" s="263"/>
      <c r="E69" s="263"/>
      <c r="F69" s="263"/>
      <c r="G69" s="263"/>
      <c r="H69" s="263"/>
      <c r="I69" s="263"/>
    </row>
    <row r="70" spans="1:9" ht="15" customHeight="1" x14ac:dyDescent="0.25">
      <c r="A70" s="263"/>
      <c r="B70" s="263"/>
      <c r="C70" s="263"/>
      <c r="D70" s="263"/>
      <c r="E70" s="263"/>
      <c r="F70" s="263"/>
      <c r="G70" s="263"/>
      <c r="H70" s="263"/>
      <c r="I70" s="263"/>
    </row>
    <row r="71" spans="1:9" ht="15" customHeight="1" x14ac:dyDescent="0.25">
      <c r="A71" s="263"/>
      <c r="B71" s="263"/>
      <c r="C71" s="263"/>
      <c r="D71" s="263"/>
      <c r="E71" s="263"/>
      <c r="F71" s="263"/>
      <c r="G71" s="263"/>
      <c r="H71" s="263"/>
      <c r="I71" s="263"/>
    </row>
    <row r="72" spans="1:9" ht="15" customHeight="1" x14ac:dyDescent="0.25">
      <c r="A72" s="263"/>
      <c r="B72" s="263"/>
      <c r="C72" s="263"/>
      <c r="D72" s="263"/>
      <c r="E72" s="263"/>
      <c r="F72" s="263"/>
      <c r="G72" s="263"/>
      <c r="H72" s="263"/>
      <c r="I72" s="263"/>
    </row>
    <row r="73" spans="1:9" ht="15" customHeight="1" x14ac:dyDescent="0.25">
      <c r="A73" s="263"/>
      <c r="B73" s="263"/>
      <c r="C73" s="263"/>
      <c r="D73" s="263"/>
      <c r="E73" s="263"/>
      <c r="F73" s="263"/>
      <c r="G73" s="263"/>
      <c r="H73" s="263"/>
      <c r="I73" s="263"/>
    </row>
    <row r="74" spans="1:9" ht="15" customHeight="1" x14ac:dyDescent="0.25">
      <c r="A74" s="263"/>
      <c r="B74" s="263"/>
      <c r="C74" s="263"/>
      <c r="D74" s="263"/>
      <c r="E74" s="263"/>
      <c r="F74" s="263"/>
      <c r="G74" s="263"/>
      <c r="H74" s="263"/>
      <c r="I74" s="263"/>
    </row>
    <row r="75" spans="1:9" ht="15" customHeight="1" x14ac:dyDescent="0.25">
      <c r="A75" s="263"/>
      <c r="B75" s="263"/>
      <c r="C75" s="263"/>
      <c r="D75" s="263"/>
      <c r="E75" s="263"/>
      <c r="F75" s="263"/>
      <c r="G75" s="263"/>
      <c r="H75" s="263"/>
      <c r="I75" s="263"/>
    </row>
    <row r="76" spans="1:9" ht="15" customHeight="1" x14ac:dyDescent="0.25">
      <c r="A76" s="263"/>
      <c r="B76" s="263"/>
      <c r="C76" s="263"/>
      <c r="D76" s="263"/>
      <c r="E76" s="263"/>
      <c r="F76" s="263"/>
      <c r="G76" s="263"/>
      <c r="H76" s="263"/>
      <c r="I76" s="263"/>
    </row>
    <row r="77" spans="1:9" ht="15" customHeight="1" x14ac:dyDescent="0.25">
      <c r="A77" s="263"/>
      <c r="B77" s="263"/>
      <c r="C77" s="263"/>
      <c r="D77" s="263"/>
      <c r="E77" s="263"/>
      <c r="F77" s="263"/>
      <c r="G77" s="263"/>
      <c r="H77" s="263"/>
      <c r="I77" s="263"/>
    </row>
    <row r="78" spans="1:9" ht="15" customHeight="1" x14ac:dyDescent="0.25">
      <c r="A78" s="263"/>
      <c r="B78" s="263"/>
      <c r="C78" s="263"/>
      <c r="D78" s="263"/>
      <c r="E78" s="263"/>
      <c r="F78" s="263"/>
      <c r="G78" s="263"/>
      <c r="H78" s="263"/>
      <c r="I78" s="263"/>
    </row>
    <row r="79" spans="1:9" ht="15" customHeight="1" x14ac:dyDescent="0.25">
      <c r="A79" s="263"/>
      <c r="B79" s="263"/>
      <c r="C79" s="263"/>
      <c r="D79" s="263"/>
      <c r="E79" s="263"/>
      <c r="F79" s="263"/>
      <c r="G79" s="263"/>
      <c r="H79" s="263"/>
      <c r="I79" s="263"/>
    </row>
    <row r="80" spans="1:9" ht="15" customHeight="1" x14ac:dyDescent="0.25">
      <c r="A80" s="263"/>
      <c r="B80" s="263"/>
      <c r="C80" s="263"/>
      <c r="D80" s="263"/>
      <c r="E80" s="263"/>
      <c r="F80" s="263"/>
      <c r="G80" s="263"/>
      <c r="H80" s="263"/>
      <c r="I80" s="263"/>
    </row>
    <row r="81" spans="1:9" ht="15" customHeight="1" x14ac:dyDescent="0.25">
      <c r="A81" s="263"/>
      <c r="B81" s="263"/>
      <c r="C81" s="263"/>
      <c r="D81" s="263"/>
      <c r="E81" s="263"/>
      <c r="F81" s="263"/>
      <c r="G81" s="263"/>
      <c r="H81" s="263"/>
      <c r="I81" s="263"/>
    </row>
    <row r="82" spans="1:9" ht="15" customHeight="1" x14ac:dyDescent="0.25">
      <c r="A82" s="263"/>
      <c r="B82" s="263"/>
      <c r="C82" s="263"/>
      <c r="D82" s="263"/>
      <c r="E82" s="263"/>
      <c r="F82" s="263"/>
      <c r="G82" s="263"/>
      <c r="H82" s="263"/>
      <c r="I82" s="263"/>
    </row>
    <row r="83" spans="1:9" ht="15" customHeight="1" x14ac:dyDescent="0.25">
      <c r="A83" s="263"/>
      <c r="B83" s="263"/>
      <c r="C83" s="263"/>
      <c r="D83" s="263"/>
      <c r="E83" s="263"/>
      <c r="F83" s="263"/>
      <c r="G83" s="263"/>
      <c r="H83" s="263"/>
      <c r="I83" s="263"/>
    </row>
  </sheetData>
  <mergeCells count="4">
    <mergeCell ref="A5:I18"/>
    <mergeCell ref="K5:N14"/>
    <mergeCell ref="K22:N31"/>
    <mergeCell ref="A22:I83"/>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fitToPage="1"/>
  </sheetPr>
  <dimension ref="A1:V76"/>
  <sheetViews>
    <sheetView showGridLines="0" topLeftCell="A34" zoomScaleNormal="100" workbookViewId="0">
      <selection activeCell="G52" sqref="G52"/>
    </sheetView>
  </sheetViews>
  <sheetFormatPr defaultColWidth="9.33203125" defaultRowHeight="15" x14ac:dyDescent="0.25"/>
  <cols>
    <col min="1" max="1" width="28" style="2" customWidth="1"/>
    <col min="2" max="2" width="8" style="13" customWidth="1"/>
    <col min="3" max="3" width="9.33203125" style="13" customWidth="1"/>
    <col min="4" max="5" width="9" style="13" customWidth="1"/>
    <col min="6" max="6" width="9.33203125" style="13" customWidth="1"/>
    <col min="7" max="7" width="9.88671875" style="189" customWidth="1"/>
    <col min="8" max="8" width="8.33203125" style="17" customWidth="1"/>
    <col min="9" max="9" width="11.5546875" style="17" customWidth="1"/>
    <col min="10" max="11" width="16.5546875" style="17" customWidth="1"/>
    <col min="12" max="16384" width="9.33203125" style="2"/>
  </cols>
  <sheetData>
    <row r="1" spans="1:14" x14ac:dyDescent="0.25">
      <c r="A1" s="119" t="str">
        <f>+'Cover Page'!$B$29</f>
        <v>Annual Performance Report 2022</v>
      </c>
      <c r="B1" s="119"/>
      <c r="C1" s="119"/>
      <c r="D1" s="119"/>
      <c r="E1" s="119" t="str">
        <f>+'Cover Page'!$B$33</f>
        <v>Permit EPR/RP3036QU</v>
      </c>
      <c r="F1" s="119"/>
      <c r="G1" s="223"/>
      <c r="H1" s="119"/>
      <c r="I1" s="119"/>
      <c r="J1" s="119"/>
      <c r="K1" s="119"/>
      <c r="L1" s="119"/>
      <c r="M1" s="119"/>
      <c r="N1" s="119"/>
    </row>
    <row r="3" spans="1:14" ht="15.6" x14ac:dyDescent="0.3">
      <c r="A3" s="1" t="s">
        <v>32</v>
      </c>
      <c r="L3" s="119"/>
      <c r="M3" s="119"/>
      <c r="N3" s="18"/>
    </row>
    <row r="4" spans="1:14" x14ac:dyDescent="0.25">
      <c r="A4" s="19" t="s">
        <v>65</v>
      </c>
      <c r="B4" s="282">
        <v>107000</v>
      </c>
      <c r="C4" s="282"/>
      <c r="D4" s="20" t="s">
        <v>66</v>
      </c>
      <c r="E4" s="122">
        <v>40</v>
      </c>
      <c r="F4" s="20" t="s">
        <v>67</v>
      </c>
      <c r="G4" s="190">
        <v>11.43</v>
      </c>
      <c r="H4" s="99" t="s">
        <v>68</v>
      </c>
      <c r="I4" s="128"/>
      <c r="J4" s="128"/>
      <c r="K4" s="128"/>
      <c r="L4" s="119"/>
      <c r="M4" s="119"/>
      <c r="N4" s="18"/>
    </row>
    <row r="5" spans="1:14" x14ac:dyDescent="0.25">
      <c r="A5" s="21" t="s">
        <v>69</v>
      </c>
      <c r="B5" s="22">
        <v>1</v>
      </c>
      <c r="C5" s="23"/>
      <c r="D5" s="23" t="s">
        <v>70</v>
      </c>
      <c r="E5" s="23"/>
      <c r="F5" s="24">
        <v>1</v>
      </c>
      <c r="G5" s="191"/>
      <c r="H5" s="25"/>
      <c r="I5" s="57"/>
      <c r="J5" s="57"/>
      <c r="K5" s="57"/>
      <c r="L5" s="119"/>
      <c r="M5" s="119"/>
      <c r="N5" s="18"/>
    </row>
    <row r="6" spans="1:14" x14ac:dyDescent="0.25">
      <c r="A6" s="3"/>
      <c r="L6" s="119"/>
      <c r="M6" s="119"/>
      <c r="N6" s="119"/>
    </row>
    <row r="7" spans="1:14" x14ac:dyDescent="0.25">
      <c r="A7" s="9" t="s">
        <v>71</v>
      </c>
      <c r="B7" s="26" t="s">
        <v>72</v>
      </c>
      <c r="C7" s="27" t="s">
        <v>73</v>
      </c>
      <c r="D7" s="27" t="s">
        <v>74</v>
      </c>
      <c r="E7" s="27" t="s">
        <v>75</v>
      </c>
      <c r="F7" s="27" t="s">
        <v>76</v>
      </c>
      <c r="G7" s="28" t="s">
        <v>77</v>
      </c>
      <c r="H7" s="29" t="s">
        <v>78</v>
      </c>
      <c r="L7" s="119"/>
      <c r="M7" s="119"/>
      <c r="N7" s="119"/>
    </row>
    <row r="8" spans="1:14" ht="15.75" customHeight="1" x14ac:dyDescent="0.25">
      <c r="A8" s="139" t="s">
        <v>79</v>
      </c>
      <c r="B8" s="279" t="s">
        <v>80</v>
      </c>
      <c r="C8" s="182">
        <v>23600</v>
      </c>
      <c r="D8" s="182">
        <v>23555</v>
      </c>
      <c r="E8" s="188">
        <v>13720</v>
      </c>
      <c r="F8" s="182">
        <v>11242</v>
      </c>
      <c r="G8" s="192">
        <f>SUM(C8:F8)</f>
        <v>72117</v>
      </c>
      <c r="H8" s="141">
        <f t="shared" ref="H8:H15" si="0">IF(G8&gt;0,G8/$G$18,"-")</f>
        <v>1</v>
      </c>
      <c r="I8" s="129"/>
      <c r="J8" s="129"/>
      <c r="K8" s="129"/>
      <c r="L8" s="119"/>
      <c r="M8" s="119"/>
      <c r="N8" s="119"/>
    </row>
    <row r="9" spans="1:14" x14ac:dyDescent="0.25">
      <c r="A9" s="140" t="s">
        <v>81</v>
      </c>
      <c r="B9" s="280"/>
      <c r="C9" s="101"/>
      <c r="D9" s="101"/>
      <c r="E9" s="101"/>
      <c r="F9" s="101"/>
      <c r="G9" s="193">
        <f t="shared" ref="G9:G15" si="1">SUM(C9:F9)</f>
        <v>0</v>
      </c>
      <c r="H9" s="30" t="str">
        <f t="shared" si="0"/>
        <v>-</v>
      </c>
      <c r="I9" s="129"/>
      <c r="J9" s="129"/>
      <c r="K9" s="129"/>
      <c r="L9" s="119"/>
      <c r="M9" s="119"/>
      <c r="N9" s="119"/>
    </row>
    <row r="10" spans="1:14" x14ac:dyDescent="0.25">
      <c r="A10" s="140" t="s">
        <v>82</v>
      </c>
      <c r="B10" s="280"/>
      <c r="C10" s="101">
        <v>0</v>
      </c>
      <c r="D10" s="101">
        <v>0</v>
      </c>
      <c r="E10" s="101">
        <v>0</v>
      </c>
      <c r="F10" s="101">
        <v>0</v>
      </c>
      <c r="G10" s="193">
        <f t="shared" si="1"/>
        <v>0</v>
      </c>
      <c r="H10" s="30" t="str">
        <f t="shared" si="0"/>
        <v>-</v>
      </c>
      <c r="I10" s="129"/>
      <c r="J10" s="129"/>
      <c r="K10" s="129"/>
      <c r="L10" s="119"/>
      <c r="M10" s="119"/>
      <c r="N10" s="119"/>
    </row>
    <row r="11" spans="1:14" x14ac:dyDescent="0.25">
      <c r="A11" s="140" t="s">
        <v>83</v>
      </c>
      <c r="B11" s="280"/>
      <c r="C11" s="101">
        <v>0</v>
      </c>
      <c r="D11" s="101">
        <v>0</v>
      </c>
      <c r="E11" s="101">
        <v>0</v>
      </c>
      <c r="F11" s="101">
        <v>0</v>
      </c>
      <c r="G11" s="193">
        <f t="shared" si="1"/>
        <v>0</v>
      </c>
      <c r="H11" s="30" t="str">
        <f t="shared" si="0"/>
        <v>-</v>
      </c>
      <c r="I11" s="129"/>
      <c r="J11" s="129"/>
      <c r="K11" s="129"/>
      <c r="L11" s="119"/>
      <c r="M11" s="119"/>
      <c r="N11" s="119"/>
    </row>
    <row r="12" spans="1:14" x14ac:dyDescent="0.25">
      <c r="A12" s="140" t="s">
        <v>84</v>
      </c>
      <c r="B12" s="280"/>
      <c r="C12" s="101">
        <v>0</v>
      </c>
      <c r="D12" s="101">
        <v>0</v>
      </c>
      <c r="E12" s="101">
        <v>0</v>
      </c>
      <c r="F12" s="101">
        <v>0</v>
      </c>
      <c r="G12" s="193">
        <f t="shared" si="1"/>
        <v>0</v>
      </c>
      <c r="H12" s="30" t="str">
        <f t="shared" si="0"/>
        <v>-</v>
      </c>
      <c r="I12" s="129"/>
      <c r="J12" s="129"/>
      <c r="K12" s="129"/>
      <c r="L12" s="119"/>
      <c r="M12" s="119"/>
      <c r="N12" s="119"/>
    </row>
    <row r="13" spans="1:14" x14ac:dyDescent="0.25">
      <c r="A13" s="140" t="s">
        <v>85</v>
      </c>
      <c r="B13" s="280"/>
      <c r="C13" s="101">
        <v>0</v>
      </c>
      <c r="D13" s="101">
        <v>0</v>
      </c>
      <c r="E13" s="101">
        <v>0</v>
      </c>
      <c r="F13" s="101">
        <v>0</v>
      </c>
      <c r="G13" s="193">
        <f t="shared" si="1"/>
        <v>0</v>
      </c>
      <c r="H13" s="30" t="str">
        <f t="shared" si="0"/>
        <v>-</v>
      </c>
      <c r="I13" s="129"/>
      <c r="J13" s="129"/>
      <c r="K13" s="129"/>
      <c r="L13" s="119"/>
      <c r="M13" s="119"/>
      <c r="N13" s="119"/>
    </row>
    <row r="14" spans="1:14" x14ac:dyDescent="0.25">
      <c r="A14" s="140" t="s">
        <v>86</v>
      </c>
      <c r="B14" s="280"/>
      <c r="C14" s="101">
        <v>0</v>
      </c>
      <c r="D14" s="101">
        <v>0</v>
      </c>
      <c r="E14" s="101">
        <v>0</v>
      </c>
      <c r="F14" s="101">
        <v>0</v>
      </c>
      <c r="G14" s="193">
        <f t="shared" si="1"/>
        <v>0</v>
      </c>
      <c r="H14" s="30" t="str">
        <f t="shared" si="0"/>
        <v>-</v>
      </c>
      <c r="I14" s="129"/>
      <c r="J14" s="129"/>
      <c r="K14" s="129"/>
      <c r="L14" s="119"/>
      <c r="M14" s="119"/>
      <c r="N14" s="119"/>
    </row>
    <row r="15" spans="1:14" x14ac:dyDescent="0.25">
      <c r="A15" s="142" t="s">
        <v>87</v>
      </c>
      <c r="B15" s="280"/>
      <c r="C15" s="101">
        <v>0</v>
      </c>
      <c r="D15" s="101">
        <v>0</v>
      </c>
      <c r="E15" s="101">
        <v>0</v>
      </c>
      <c r="F15" s="101">
        <v>0</v>
      </c>
      <c r="G15" s="193">
        <f t="shared" si="1"/>
        <v>0</v>
      </c>
      <c r="H15" s="30" t="str">
        <f t="shared" si="0"/>
        <v>-</v>
      </c>
      <c r="I15" s="129"/>
      <c r="J15" s="129"/>
      <c r="K15" s="129"/>
      <c r="L15" s="119"/>
      <c r="M15" s="119"/>
      <c r="N15" s="119"/>
    </row>
    <row r="16" spans="1:14" x14ac:dyDescent="0.25">
      <c r="A16" s="142" t="s">
        <v>87</v>
      </c>
      <c r="B16" s="280"/>
      <c r="C16" s="101">
        <v>0</v>
      </c>
      <c r="D16" s="101">
        <v>0</v>
      </c>
      <c r="E16" s="101">
        <v>0</v>
      </c>
      <c r="F16" s="101">
        <v>0</v>
      </c>
      <c r="G16" s="193"/>
      <c r="H16" s="30"/>
      <c r="I16" s="129"/>
      <c r="J16" s="129"/>
      <c r="K16" s="129"/>
      <c r="L16" s="119"/>
      <c r="M16" s="119"/>
      <c r="N16" s="119"/>
    </row>
    <row r="17" spans="1:22" x14ac:dyDescent="0.25">
      <c r="A17" s="142" t="s">
        <v>87</v>
      </c>
      <c r="B17" s="280"/>
      <c r="C17" s="101">
        <v>0</v>
      </c>
      <c r="D17" s="101">
        <v>0</v>
      </c>
      <c r="E17" s="101">
        <v>0</v>
      </c>
      <c r="F17" s="101">
        <v>0</v>
      </c>
      <c r="G17" s="193"/>
      <c r="H17" s="30"/>
      <c r="I17" s="129"/>
      <c r="J17" s="129"/>
      <c r="K17" s="129"/>
      <c r="L17" s="119"/>
      <c r="M17" s="119"/>
      <c r="N17" s="119"/>
      <c r="O17" s="119"/>
      <c r="P17" s="119"/>
      <c r="Q17" s="119"/>
      <c r="R17" s="119"/>
      <c r="S17" s="119"/>
      <c r="T17" s="119"/>
      <c r="U17" s="119"/>
      <c r="V17" s="119"/>
    </row>
    <row r="18" spans="1:22" x14ac:dyDescent="0.25">
      <c r="A18" s="32" t="s">
        <v>88</v>
      </c>
      <c r="B18" s="280"/>
      <c r="C18" s="143">
        <f>SUM(C8:C17)</f>
        <v>23600</v>
      </c>
      <c r="D18" s="143">
        <f>SUM(D8:D17)</f>
        <v>23555</v>
      </c>
      <c r="E18" s="143">
        <f>SUM(E8:E17)</f>
        <v>13720</v>
      </c>
      <c r="F18" s="143">
        <f>SUM(F8:F17)</f>
        <v>11242</v>
      </c>
      <c r="G18" s="193">
        <f>SUM(G8:G17)</f>
        <v>72117</v>
      </c>
      <c r="H18" s="151">
        <v>1</v>
      </c>
      <c r="I18" s="129"/>
      <c r="J18" s="129"/>
      <c r="K18" s="129"/>
      <c r="L18" s="119"/>
      <c r="M18" s="119"/>
      <c r="N18" s="119"/>
      <c r="O18" s="119"/>
      <c r="P18" s="119"/>
      <c r="Q18" s="119"/>
      <c r="R18" s="119"/>
      <c r="S18" s="119"/>
      <c r="T18" s="119"/>
      <c r="U18" s="119"/>
      <c r="V18" s="119"/>
    </row>
    <row r="19" spans="1:22" x14ac:dyDescent="0.25">
      <c r="A19" s="140" t="s">
        <v>89</v>
      </c>
      <c r="B19" s="280"/>
      <c r="C19" s="101"/>
      <c r="D19" s="101"/>
      <c r="E19" s="101"/>
      <c r="F19" s="101"/>
      <c r="G19" s="193">
        <f t="shared" ref="G19" si="2">SUM(C19:F19)</f>
        <v>0</v>
      </c>
      <c r="H19" s="30" t="str">
        <f t="shared" ref="H19" si="3">IF(G19&gt;0,G19/$G$18,"-")</f>
        <v>-</v>
      </c>
      <c r="I19" s="129"/>
      <c r="J19" s="129"/>
      <c r="K19" s="129"/>
      <c r="L19" s="119"/>
      <c r="M19" s="119"/>
      <c r="N19" s="119"/>
      <c r="O19" s="119"/>
      <c r="P19" s="119"/>
      <c r="Q19" s="119"/>
      <c r="R19" s="119"/>
      <c r="S19" s="119"/>
      <c r="T19" s="119"/>
      <c r="U19" s="119"/>
      <c r="V19" s="119"/>
    </row>
    <row r="20" spans="1:22" x14ac:dyDescent="0.25">
      <c r="A20" s="33" t="s">
        <v>90</v>
      </c>
      <c r="B20" s="281"/>
      <c r="C20" s="137">
        <v>669</v>
      </c>
      <c r="D20" s="137">
        <v>1026</v>
      </c>
      <c r="E20" s="137">
        <v>2184</v>
      </c>
      <c r="F20" s="137">
        <v>3237</v>
      </c>
      <c r="G20" s="194">
        <f t="shared" ref="G20:G21" si="4">SUM(C20:F20)</f>
        <v>7116</v>
      </c>
      <c r="H20" s="149">
        <f>IF(G20&gt;0,G20/$G$18,"-")</f>
        <v>9.8672989725030164E-2</v>
      </c>
      <c r="I20" s="129"/>
      <c r="J20" s="129"/>
      <c r="K20" s="129"/>
      <c r="L20" s="119"/>
      <c r="M20" s="119"/>
      <c r="N20" s="119"/>
      <c r="O20" s="119"/>
      <c r="P20" s="119"/>
      <c r="Q20" s="119"/>
      <c r="R20" s="119"/>
      <c r="S20" s="119"/>
      <c r="T20" s="119"/>
      <c r="U20" s="119"/>
      <c r="V20" s="119"/>
    </row>
    <row r="21" spans="1:22" ht="15.6" thickBot="1" x14ac:dyDescent="0.3">
      <c r="A21" s="146" t="s">
        <v>91</v>
      </c>
      <c r="B21" s="147"/>
      <c r="C21" s="148">
        <f>C18-SUM(C19:C20)</f>
        <v>22931</v>
      </c>
      <c r="D21" s="148">
        <f t="shared" ref="D21:F21" si="5">D18-SUM(D19:D20)</f>
        <v>22529</v>
      </c>
      <c r="E21" s="148">
        <f t="shared" si="5"/>
        <v>11536</v>
      </c>
      <c r="F21" s="148">
        <f t="shared" si="5"/>
        <v>8005</v>
      </c>
      <c r="G21" s="195">
        <f t="shared" si="4"/>
        <v>65001</v>
      </c>
      <c r="H21" s="149">
        <f>IF(G21&gt;0,G21/$G$18,"-")</f>
        <v>0.90132701027496986</v>
      </c>
      <c r="L21" s="119"/>
      <c r="M21" s="119"/>
      <c r="N21" s="119"/>
      <c r="O21" s="119"/>
      <c r="P21" s="119"/>
      <c r="Q21" s="119"/>
      <c r="R21" s="119"/>
      <c r="S21" s="119"/>
      <c r="T21" s="119"/>
      <c r="U21" s="119"/>
      <c r="V21" s="119"/>
    </row>
    <row r="22" spans="1:22" x14ac:dyDescent="0.25">
      <c r="A22" s="9" t="s">
        <v>92</v>
      </c>
      <c r="B22" s="42" t="s">
        <v>72</v>
      </c>
      <c r="C22" s="17" t="s">
        <v>73</v>
      </c>
      <c r="D22" s="17" t="s">
        <v>74</v>
      </c>
      <c r="E22" s="17" t="s">
        <v>75</v>
      </c>
      <c r="F22" s="17" t="s">
        <v>76</v>
      </c>
      <c r="G22" s="144" t="s">
        <v>77</v>
      </c>
      <c r="H22" s="145" t="s">
        <v>93</v>
      </c>
      <c r="L22" s="119"/>
      <c r="M22" s="119"/>
      <c r="N22" s="119"/>
      <c r="O22" s="119"/>
      <c r="P22" s="119"/>
      <c r="Q22" s="119"/>
      <c r="R22" s="119"/>
      <c r="S22" s="119"/>
      <c r="T22" s="119"/>
      <c r="U22" s="119"/>
      <c r="V22" s="119"/>
    </row>
    <row r="23" spans="1:22" ht="15" customHeight="1" x14ac:dyDescent="0.25">
      <c r="A23" s="38" t="s">
        <v>94</v>
      </c>
      <c r="B23" s="279" t="s">
        <v>95</v>
      </c>
      <c r="C23" s="185">
        <v>14972</v>
      </c>
      <c r="D23" s="185">
        <v>14955</v>
      </c>
      <c r="E23" s="185">
        <v>8777</v>
      </c>
      <c r="F23" s="185">
        <v>3481</v>
      </c>
      <c r="G23" s="192">
        <f t="shared" ref="G23:G26" si="6">SUM(C23:F23)</f>
        <v>42185</v>
      </c>
      <c r="H23" s="150">
        <f>IF(G23&gt;0,G23*1000/$G$21,"-")</f>
        <v>648.99001553822245</v>
      </c>
      <c r="I23" s="130"/>
      <c r="J23" s="130"/>
      <c r="K23" s="130"/>
      <c r="L23" s="119"/>
      <c r="M23" s="119"/>
      <c r="N23" s="119"/>
      <c r="O23" s="119"/>
      <c r="P23" s="119"/>
      <c r="Q23" s="119"/>
      <c r="R23" s="119"/>
      <c r="S23" s="119"/>
      <c r="T23" s="119"/>
      <c r="U23" s="119"/>
      <c r="V23" s="119"/>
    </row>
    <row r="24" spans="1:22" x14ac:dyDescent="0.25">
      <c r="A24" s="39" t="s">
        <v>96</v>
      </c>
      <c r="B24" s="280"/>
      <c r="C24" s="186">
        <v>12845</v>
      </c>
      <c r="D24" s="186">
        <v>12805</v>
      </c>
      <c r="E24" s="186">
        <v>7541</v>
      </c>
      <c r="F24" s="186">
        <v>3024</v>
      </c>
      <c r="G24" s="196">
        <f>SUM(C24:F24)</f>
        <v>36215</v>
      </c>
      <c r="H24" s="40">
        <f>IF(G24&gt;0,G24*1000/$G$21,"-")</f>
        <v>557.14527468808171</v>
      </c>
      <c r="I24" s="130"/>
      <c r="L24" s="119"/>
      <c r="M24" s="119"/>
      <c r="N24" s="119"/>
      <c r="O24" s="119"/>
      <c r="P24" s="119"/>
      <c r="Q24" s="119"/>
      <c r="R24" s="119"/>
      <c r="S24" s="119"/>
      <c r="T24" s="119"/>
      <c r="U24" s="119"/>
      <c r="V24" s="119"/>
    </row>
    <row r="25" spans="1:22" x14ac:dyDescent="0.25">
      <c r="A25" s="39" t="s">
        <v>97</v>
      </c>
      <c r="B25" s="280"/>
      <c r="C25" s="180">
        <v>2128</v>
      </c>
      <c r="D25" s="180">
        <v>2150</v>
      </c>
      <c r="E25" s="180">
        <v>1236</v>
      </c>
      <c r="F25" s="180">
        <v>693</v>
      </c>
      <c r="G25" s="196">
        <f>SUM(C25:F25)</f>
        <v>6207</v>
      </c>
      <c r="H25" s="40">
        <f>IF(G25&gt;0,G25*1000/$G$21,"-")</f>
        <v>95.490838602483038</v>
      </c>
      <c r="I25" s="130"/>
      <c r="J25" s="130"/>
      <c r="K25" s="130"/>
      <c r="L25" s="119"/>
      <c r="M25" s="119"/>
      <c r="N25" s="119"/>
      <c r="O25" s="119"/>
      <c r="P25" s="119"/>
      <c r="Q25" s="119"/>
      <c r="R25" s="119"/>
      <c r="S25" s="119"/>
      <c r="T25" s="119"/>
      <c r="U25" s="119"/>
      <c r="V25" s="119"/>
    </row>
    <row r="26" spans="1:22" x14ac:dyDescent="0.25">
      <c r="A26" s="39" t="s">
        <v>98</v>
      </c>
      <c r="B26" s="280"/>
      <c r="C26" s="180">
        <v>207</v>
      </c>
      <c r="D26" s="180">
        <v>168</v>
      </c>
      <c r="E26" s="180">
        <v>600</v>
      </c>
      <c r="F26" s="180">
        <v>701</v>
      </c>
      <c r="G26" s="196">
        <f t="shared" si="6"/>
        <v>1676</v>
      </c>
      <c r="H26" s="40">
        <f>IF(G26&gt;0,G26*1000/$G$21,"-")</f>
        <v>25.784218704327625</v>
      </c>
      <c r="I26" s="130"/>
      <c r="J26" s="130"/>
      <c r="K26" s="130"/>
      <c r="L26" s="119"/>
      <c r="M26" s="119"/>
      <c r="N26" s="119"/>
      <c r="O26" s="119"/>
      <c r="P26" s="119"/>
      <c r="Q26" s="119"/>
      <c r="R26" s="119"/>
      <c r="S26" s="119"/>
      <c r="T26" s="119"/>
      <c r="U26" s="119"/>
      <c r="V26" s="119"/>
    </row>
    <row r="27" spans="1:22" x14ac:dyDescent="0.25">
      <c r="A27" s="39" t="s">
        <v>99</v>
      </c>
      <c r="B27" s="41" t="s">
        <v>78</v>
      </c>
      <c r="C27" s="187">
        <f>IF(C23&gt;0,1-C24/(C23+C26),"-")</f>
        <v>0.15376507016272478</v>
      </c>
      <c r="D27" s="187">
        <f t="shared" ref="D27:G27" si="7">IF(D23&gt;0,1-D24/(D23+D26),"-")</f>
        <v>0.15327646630959468</v>
      </c>
      <c r="E27" s="187">
        <f t="shared" si="7"/>
        <v>0.19579822971099503</v>
      </c>
      <c r="F27" s="187">
        <f t="shared" si="7"/>
        <v>0.27690100430416065</v>
      </c>
      <c r="G27" s="187">
        <f t="shared" si="7"/>
        <v>0.17432343083833013</v>
      </c>
      <c r="H27" s="40"/>
      <c r="I27" s="130"/>
      <c r="J27" s="130"/>
      <c r="K27" s="130"/>
      <c r="L27" s="119"/>
      <c r="M27" s="119"/>
      <c r="N27" s="119"/>
      <c r="O27" s="119"/>
      <c r="P27" s="119"/>
      <c r="Q27" s="119"/>
      <c r="R27" s="119"/>
      <c r="S27" s="119"/>
      <c r="T27" s="119"/>
      <c r="U27" s="119"/>
      <c r="V27" s="119"/>
    </row>
    <row r="28" spans="1:22" x14ac:dyDescent="0.25">
      <c r="A28" s="39" t="s">
        <v>100</v>
      </c>
      <c r="B28" s="283" t="s">
        <v>101</v>
      </c>
      <c r="C28" s="31">
        <v>0</v>
      </c>
      <c r="D28" s="31">
        <v>0</v>
      </c>
      <c r="E28" s="31">
        <v>0</v>
      </c>
      <c r="F28" s="31">
        <v>0</v>
      </c>
      <c r="G28" s="196">
        <f t="shared" ref="G28:G29" si="8">SUM(C28:F28)</f>
        <v>0</v>
      </c>
      <c r="H28" s="40" t="str">
        <f>IF(G28&gt;0,G28*1000/$G$21,"-")</f>
        <v>-</v>
      </c>
      <c r="I28" s="130"/>
      <c r="J28" s="130"/>
      <c r="K28" s="130"/>
      <c r="L28" s="119"/>
      <c r="M28" s="119"/>
      <c r="N28" s="119"/>
      <c r="O28" s="119"/>
      <c r="P28" s="119"/>
      <c r="Q28" s="119"/>
      <c r="R28" s="119"/>
      <c r="S28" s="119"/>
      <c r="T28" s="119"/>
      <c r="U28" s="119"/>
      <c r="V28" s="119"/>
    </row>
    <row r="29" spans="1:22" x14ac:dyDescent="0.25">
      <c r="A29" s="39" t="s">
        <v>102</v>
      </c>
      <c r="B29" s="283"/>
      <c r="C29" s="31">
        <v>0</v>
      </c>
      <c r="D29" s="31">
        <v>0</v>
      </c>
      <c r="E29" s="31">
        <v>0</v>
      </c>
      <c r="F29" s="31">
        <v>0</v>
      </c>
      <c r="G29" s="196">
        <f t="shared" si="8"/>
        <v>0</v>
      </c>
      <c r="H29" s="40" t="str">
        <f>IF(G29&gt;0,G29*1000/$G$21,"-")</f>
        <v>-</v>
      </c>
      <c r="I29" s="130"/>
      <c r="J29" s="130"/>
      <c r="K29" s="130"/>
      <c r="L29" s="119"/>
      <c r="M29" s="119"/>
      <c r="N29" s="18"/>
      <c r="O29" s="18"/>
      <c r="P29" s="119"/>
      <c r="Q29" s="119"/>
      <c r="R29" s="119"/>
      <c r="S29" s="119"/>
      <c r="T29" s="119"/>
      <c r="U29" s="119"/>
      <c r="V29" s="119"/>
    </row>
    <row r="30" spans="1:22" ht="24.75" customHeight="1" x14ac:dyDescent="0.25">
      <c r="A30" s="42" t="s">
        <v>103</v>
      </c>
      <c r="B30" s="43"/>
      <c r="C30" s="31" t="s">
        <v>104</v>
      </c>
      <c r="D30" s="31" t="s">
        <v>104</v>
      </c>
      <c r="E30" s="31" t="s">
        <v>104</v>
      </c>
      <c r="F30" s="31" t="s">
        <v>104</v>
      </c>
      <c r="G30" s="264" t="s">
        <v>105</v>
      </c>
      <c r="H30" s="265"/>
      <c r="I30" s="130"/>
      <c r="J30" s="274"/>
      <c r="K30" s="274"/>
      <c r="L30" s="274"/>
      <c r="M30" s="136"/>
      <c r="N30" s="267"/>
      <c r="O30" s="267"/>
      <c r="P30" s="267"/>
      <c r="Q30" s="267"/>
      <c r="R30" s="267"/>
      <c r="S30" s="268"/>
      <c r="T30" s="268"/>
      <c r="U30" s="268"/>
      <c r="V30" s="269"/>
    </row>
    <row r="31" spans="1:22" x14ac:dyDescent="0.25">
      <c r="A31" s="3"/>
      <c r="B31" s="13" t="s">
        <v>53</v>
      </c>
      <c r="C31" s="17"/>
      <c r="D31" s="17"/>
      <c r="E31" s="17"/>
      <c r="F31" s="17"/>
      <c r="J31" s="274"/>
      <c r="K31" s="274"/>
      <c r="L31" s="274"/>
      <c r="M31" s="136"/>
      <c r="N31" s="267"/>
      <c r="O31" s="267"/>
      <c r="P31" s="267"/>
      <c r="Q31" s="267"/>
      <c r="R31" s="267"/>
      <c r="S31" s="270"/>
      <c r="T31" s="270"/>
      <c r="U31" s="270"/>
      <c r="V31" s="271"/>
    </row>
    <row r="32" spans="1:22" x14ac:dyDescent="0.25">
      <c r="A32" s="9" t="s">
        <v>106</v>
      </c>
      <c r="B32" s="44" t="s">
        <v>72</v>
      </c>
      <c r="C32" s="35" t="s">
        <v>73</v>
      </c>
      <c r="D32" s="35" t="s">
        <v>74</v>
      </c>
      <c r="E32" s="35" t="s">
        <v>75</v>
      </c>
      <c r="F32" s="35" t="s">
        <v>76</v>
      </c>
      <c r="G32" s="36" t="s">
        <v>77</v>
      </c>
      <c r="H32" s="45" t="s">
        <v>107</v>
      </c>
      <c r="I32" s="131"/>
      <c r="J32" s="274"/>
      <c r="K32" s="274"/>
      <c r="L32" s="274"/>
      <c r="M32" s="136"/>
      <c r="N32" s="266"/>
      <c r="O32" s="266"/>
      <c r="P32" s="266"/>
      <c r="Q32" s="266"/>
      <c r="R32" s="266"/>
      <c r="S32" s="270"/>
      <c r="T32" s="270"/>
      <c r="U32" s="270"/>
      <c r="V32" s="271"/>
    </row>
    <row r="33" spans="1:22" ht="15" customHeight="1" x14ac:dyDescent="0.25">
      <c r="A33" s="38" t="s">
        <v>108</v>
      </c>
      <c r="B33" s="279" t="s">
        <v>80</v>
      </c>
      <c r="C33" s="183">
        <v>687</v>
      </c>
      <c r="D33" s="183">
        <v>767</v>
      </c>
      <c r="E33" s="183">
        <v>513</v>
      </c>
      <c r="F33" s="183">
        <v>164</v>
      </c>
      <c r="G33" s="192">
        <f t="shared" ref="G33:G34" si="9">SUM(C33:F33)</f>
        <v>2131</v>
      </c>
      <c r="H33" s="141">
        <f>IF(G33&gt;0,G33/$G$21,"-")</f>
        <v>3.278411101367671E-2</v>
      </c>
      <c r="I33" s="129"/>
      <c r="J33" s="274"/>
      <c r="K33" s="274"/>
      <c r="L33" s="274"/>
      <c r="M33" s="136"/>
      <c r="N33" s="266"/>
      <c r="O33" s="266"/>
      <c r="P33" s="266"/>
      <c r="Q33" s="266"/>
      <c r="R33" s="266"/>
      <c r="S33" s="272"/>
      <c r="T33" s="272"/>
      <c r="U33" s="272"/>
      <c r="V33" s="273"/>
    </row>
    <row r="34" spans="1:22" ht="15" customHeight="1" x14ac:dyDescent="0.25">
      <c r="A34" s="39" t="s">
        <v>109</v>
      </c>
      <c r="B34" s="280"/>
      <c r="C34" s="180">
        <v>4646</v>
      </c>
      <c r="D34" s="180">
        <v>4661</v>
      </c>
      <c r="E34" s="180">
        <v>2638</v>
      </c>
      <c r="F34" s="180">
        <v>1349</v>
      </c>
      <c r="G34" s="196">
        <f t="shared" si="9"/>
        <v>13294</v>
      </c>
      <c r="H34" s="30">
        <f t="shared" ref="H34:H38" si="10">IF(G34&gt;0,G34/$G$21,"-")</f>
        <v>0.20451993046260827</v>
      </c>
      <c r="I34" s="129"/>
      <c r="J34" s="129"/>
      <c r="K34" s="129"/>
      <c r="L34" s="119"/>
      <c r="M34" s="119"/>
      <c r="N34" s="18"/>
      <c r="O34" s="18"/>
      <c r="P34" s="119"/>
      <c r="Q34" s="119"/>
      <c r="R34" s="119"/>
      <c r="S34" s="119"/>
      <c r="T34" s="119"/>
      <c r="U34" s="119"/>
      <c r="V34" s="119"/>
    </row>
    <row r="35" spans="1:22" ht="15" customHeight="1" x14ac:dyDescent="0.25">
      <c r="A35" s="39" t="s">
        <v>110</v>
      </c>
      <c r="B35" s="280"/>
      <c r="C35" s="184">
        <v>0</v>
      </c>
      <c r="D35" s="184">
        <v>0</v>
      </c>
      <c r="E35" s="184">
        <v>0</v>
      </c>
      <c r="F35" s="184">
        <v>0</v>
      </c>
      <c r="G35" s="196">
        <f t="shared" ref="G35:G38" si="11">SUM(C35:F35)</f>
        <v>0</v>
      </c>
      <c r="H35" s="30" t="str">
        <f t="shared" si="10"/>
        <v>-</v>
      </c>
      <c r="I35" s="18"/>
      <c r="J35" s="129"/>
      <c r="K35" s="129"/>
      <c r="L35" s="119"/>
      <c r="M35" s="119"/>
      <c r="N35" s="119"/>
      <c r="O35" s="119"/>
      <c r="P35" s="119"/>
      <c r="Q35" s="119"/>
      <c r="R35" s="119"/>
      <c r="S35" s="119"/>
      <c r="T35" s="119"/>
      <c r="U35" s="119"/>
      <c r="V35" s="119"/>
    </row>
    <row r="36" spans="1:22" x14ac:dyDescent="0.25">
      <c r="A36" s="46" t="s">
        <v>111</v>
      </c>
      <c r="B36" s="280"/>
      <c r="C36" s="31">
        <v>0</v>
      </c>
      <c r="D36" s="31">
        <v>0</v>
      </c>
      <c r="E36" s="31">
        <v>0</v>
      </c>
      <c r="F36" s="31">
        <v>0</v>
      </c>
      <c r="G36" s="196">
        <f t="shared" ref="G36" si="12">SUM(C36:F36)</f>
        <v>0</v>
      </c>
      <c r="H36" s="30" t="str">
        <f t="shared" si="10"/>
        <v>-</v>
      </c>
      <c r="I36" s="18"/>
      <c r="J36" s="129"/>
      <c r="K36" s="129"/>
      <c r="L36" s="119"/>
      <c r="M36" s="119"/>
      <c r="N36" s="119"/>
      <c r="O36" s="119"/>
      <c r="P36" s="119"/>
      <c r="Q36" s="119"/>
      <c r="R36" s="119"/>
      <c r="S36" s="119"/>
      <c r="T36" s="119"/>
      <c r="U36" s="119"/>
      <c r="V36" s="119"/>
    </row>
    <row r="37" spans="1:22" x14ac:dyDescent="0.25">
      <c r="A37" s="46" t="s">
        <v>112</v>
      </c>
      <c r="B37" s="280"/>
      <c r="C37" s="31">
        <v>0</v>
      </c>
      <c r="D37" s="31">
        <v>0</v>
      </c>
      <c r="E37" s="31">
        <v>0</v>
      </c>
      <c r="F37" s="31">
        <v>0</v>
      </c>
      <c r="G37" s="196">
        <f t="shared" si="11"/>
        <v>0</v>
      </c>
      <c r="H37" s="30" t="str">
        <f t="shared" si="10"/>
        <v>-</v>
      </c>
      <c r="I37" s="129"/>
      <c r="J37" s="129"/>
      <c r="K37" s="129"/>
      <c r="L37" s="119"/>
      <c r="M37" s="119"/>
      <c r="N37" s="119"/>
      <c r="O37" s="119"/>
      <c r="P37" s="119"/>
      <c r="Q37" s="119"/>
      <c r="R37" s="119"/>
      <c r="S37" s="119"/>
      <c r="T37" s="119"/>
      <c r="U37" s="119"/>
      <c r="V37" s="119"/>
    </row>
    <row r="38" spans="1:22" x14ac:dyDescent="0.25">
      <c r="A38" s="47" t="s">
        <v>112</v>
      </c>
      <c r="B38" s="281"/>
      <c r="C38" s="34">
        <v>0</v>
      </c>
      <c r="D38" s="34">
        <v>0</v>
      </c>
      <c r="E38" s="34">
        <v>0</v>
      </c>
      <c r="F38" s="34">
        <v>0</v>
      </c>
      <c r="G38" s="195">
        <f t="shared" si="11"/>
        <v>0</v>
      </c>
      <c r="H38" s="149" t="str">
        <f t="shared" si="10"/>
        <v>-</v>
      </c>
      <c r="I38" s="129"/>
      <c r="J38" s="129"/>
      <c r="K38" s="129"/>
      <c r="L38" s="119"/>
      <c r="M38" s="119"/>
      <c r="N38" s="119"/>
      <c r="O38" s="119"/>
      <c r="P38" s="119"/>
      <c r="Q38" s="119"/>
      <c r="R38" s="119"/>
      <c r="S38" s="119"/>
      <c r="T38" s="119"/>
      <c r="U38" s="119"/>
      <c r="V38" s="119"/>
    </row>
    <row r="39" spans="1:22" x14ac:dyDescent="0.25">
      <c r="A39" s="13"/>
      <c r="C39" s="17">
        <v>2021</v>
      </c>
      <c r="D39" s="17"/>
      <c r="E39" s="17"/>
      <c r="F39" s="17"/>
      <c r="L39" s="119"/>
      <c r="M39" s="119"/>
      <c r="N39" s="119"/>
      <c r="O39" s="119"/>
      <c r="P39" s="119"/>
      <c r="Q39" s="119"/>
      <c r="R39" s="119"/>
      <c r="S39" s="119"/>
      <c r="T39" s="119"/>
      <c r="U39" s="119"/>
      <c r="V39" s="119"/>
    </row>
    <row r="40" spans="1:22" x14ac:dyDescent="0.25">
      <c r="A40" s="9" t="s">
        <v>113</v>
      </c>
      <c r="B40" s="48" t="s">
        <v>72</v>
      </c>
      <c r="C40" s="27" t="s">
        <v>73</v>
      </c>
      <c r="D40" s="27" t="s">
        <v>74</v>
      </c>
      <c r="E40" s="27" t="s">
        <v>75</v>
      </c>
      <c r="F40" s="27" t="s">
        <v>76</v>
      </c>
      <c r="G40" s="28" t="s">
        <v>77</v>
      </c>
      <c r="H40" s="29" t="s">
        <v>114</v>
      </c>
      <c r="L40" s="119"/>
      <c r="M40" s="119"/>
      <c r="N40" s="119"/>
      <c r="O40" s="119"/>
      <c r="P40" s="119"/>
      <c r="Q40" s="119"/>
      <c r="R40" s="119"/>
      <c r="S40" s="119"/>
      <c r="T40" s="119"/>
      <c r="U40" s="119"/>
      <c r="V40" s="119"/>
    </row>
    <row r="41" spans="1:22" ht="15.6" customHeight="1" x14ac:dyDescent="0.3">
      <c r="A41" s="38" t="s">
        <v>115</v>
      </c>
      <c r="B41" s="106" t="s">
        <v>116</v>
      </c>
      <c r="C41" s="182">
        <v>10759</v>
      </c>
      <c r="D41" s="182">
        <v>10063</v>
      </c>
      <c r="E41" s="182">
        <v>12755</v>
      </c>
      <c r="F41" s="182">
        <v>20405</v>
      </c>
      <c r="G41" s="192">
        <f t="shared" ref="G41:G48" si="13">SUM(C41:F41)</f>
        <v>53982</v>
      </c>
      <c r="H41" s="49">
        <f>IF(G41&gt;0,G41/$G$21,"-")</f>
        <v>0.83047953108413719</v>
      </c>
      <c r="I41" s="135"/>
      <c r="J41" s="134"/>
      <c r="K41" s="134"/>
      <c r="L41" s="134"/>
      <c r="M41" s="134"/>
      <c r="N41" s="119"/>
      <c r="O41" s="119"/>
      <c r="P41" s="119"/>
      <c r="Q41" s="119"/>
      <c r="R41" s="119"/>
      <c r="S41" s="119"/>
      <c r="T41" s="119"/>
      <c r="U41" s="119"/>
      <c r="V41" s="119"/>
    </row>
    <row r="42" spans="1:22" ht="15.6" x14ac:dyDescent="0.3">
      <c r="A42" s="39" t="s">
        <v>117</v>
      </c>
      <c r="B42" s="41" t="s">
        <v>116</v>
      </c>
      <c r="C42" s="180">
        <v>47699</v>
      </c>
      <c r="D42" s="180">
        <v>52214</v>
      </c>
      <c r="E42" s="180">
        <v>32339</v>
      </c>
      <c r="F42" s="180">
        <v>10753</v>
      </c>
      <c r="G42" s="196">
        <f t="shared" si="13"/>
        <v>143005</v>
      </c>
      <c r="H42" s="49">
        <f t="shared" ref="H42:H48" si="14">IF(G42&gt;0,G42/$G$21,"-")</f>
        <v>2.2000430762603651</v>
      </c>
      <c r="I42" s="134"/>
      <c r="J42" s="134"/>
      <c r="K42" s="134"/>
      <c r="L42" s="134"/>
      <c r="M42" s="275"/>
      <c r="N42" s="276"/>
      <c r="O42" s="276"/>
      <c r="P42" s="119"/>
      <c r="Q42" s="119"/>
      <c r="R42" s="119"/>
      <c r="S42" s="119"/>
      <c r="T42" s="119"/>
      <c r="U42" s="119"/>
      <c r="V42" s="119"/>
    </row>
    <row r="43" spans="1:22" ht="15.6" customHeight="1" x14ac:dyDescent="0.3">
      <c r="A43" s="39" t="s">
        <v>118</v>
      </c>
      <c r="B43" s="41" t="s">
        <v>119</v>
      </c>
      <c r="C43" s="180">
        <v>7150</v>
      </c>
      <c r="D43" s="180">
        <v>5850</v>
      </c>
      <c r="E43" s="180">
        <v>14300</v>
      </c>
      <c r="F43" s="180">
        <v>1300</v>
      </c>
      <c r="G43" s="196">
        <f t="shared" si="13"/>
        <v>28600</v>
      </c>
      <c r="H43" s="49">
        <f t="shared" si="14"/>
        <v>0.43999323087337117</v>
      </c>
      <c r="I43" s="275"/>
      <c r="J43" s="275"/>
      <c r="K43" s="275"/>
      <c r="L43" s="275"/>
      <c r="M43" s="277"/>
      <c r="N43" s="278"/>
      <c r="O43" s="278"/>
      <c r="P43" s="119"/>
      <c r="Q43" s="119"/>
      <c r="R43" s="119"/>
      <c r="S43" s="119"/>
      <c r="T43" s="119"/>
      <c r="U43" s="119"/>
      <c r="V43" s="119"/>
    </row>
    <row r="44" spans="1:22" ht="15.6" x14ac:dyDescent="0.3">
      <c r="A44" s="39" t="s">
        <v>120</v>
      </c>
      <c r="B44" s="41" t="s">
        <v>119</v>
      </c>
      <c r="C44" s="180">
        <v>7040</v>
      </c>
      <c r="D44" s="180">
        <v>7360</v>
      </c>
      <c r="E44" s="180">
        <v>4160</v>
      </c>
      <c r="F44" s="180">
        <v>2360</v>
      </c>
      <c r="G44" s="196">
        <f t="shared" si="13"/>
        <v>20920</v>
      </c>
      <c r="H44" s="49">
        <f t="shared" si="14"/>
        <v>0.32184120244303932</v>
      </c>
      <c r="I44" s="275"/>
      <c r="J44" s="275"/>
      <c r="K44" s="275"/>
      <c r="L44" s="275"/>
      <c r="M44" s="277"/>
      <c r="N44" s="278"/>
      <c r="O44" s="278"/>
      <c r="P44" s="119"/>
      <c r="Q44" s="119"/>
      <c r="R44" s="119"/>
      <c r="S44" s="119"/>
      <c r="T44" s="119"/>
      <c r="U44" s="119"/>
      <c r="V44" s="119"/>
    </row>
    <row r="45" spans="1:22" ht="15.6" x14ac:dyDescent="0.3">
      <c r="A45" s="39" t="s">
        <v>121</v>
      </c>
      <c r="B45" s="41" t="s">
        <v>119</v>
      </c>
      <c r="C45" s="180">
        <v>211260</v>
      </c>
      <c r="D45" s="180">
        <v>338350</v>
      </c>
      <c r="E45" s="180">
        <v>179030</v>
      </c>
      <c r="F45" s="180">
        <v>78890</v>
      </c>
      <c r="G45" s="196">
        <f t="shared" si="13"/>
        <v>807530</v>
      </c>
      <c r="H45" s="49">
        <f t="shared" si="14"/>
        <v>12.423347333117952</v>
      </c>
      <c r="I45" s="275"/>
      <c r="J45" s="275"/>
      <c r="K45" s="275"/>
      <c r="L45" s="275"/>
      <c r="M45" s="277"/>
      <c r="N45" s="278"/>
      <c r="O45" s="278"/>
      <c r="P45" s="119"/>
      <c r="Q45" s="119"/>
      <c r="R45" s="119"/>
      <c r="S45" s="119"/>
      <c r="T45" s="119"/>
      <c r="U45" s="119"/>
      <c r="V45" s="119"/>
    </row>
    <row r="46" spans="1:22" ht="15.6" x14ac:dyDescent="0.3">
      <c r="A46" s="39" t="s">
        <v>122</v>
      </c>
      <c r="B46" s="41" t="s">
        <v>123</v>
      </c>
      <c r="C46" s="180">
        <v>199317</v>
      </c>
      <c r="D46" s="180">
        <v>73500</v>
      </c>
      <c r="E46" s="180">
        <v>120500</v>
      </c>
      <c r="F46" s="180">
        <v>168220</v>
      </c>
      <c r="G46" s="196">
        <f t="shared" si="13"/>
        <v>561537</v>
      </c>
      <c r="H46" s="49">
        <f t="shared" si="14"/>
        <v>8.6388978631097988</v>
      </c>
      <c r="I46" s="275"/>
      <c r="J46" s="275"/>
      <c r="K46" s="275"/>
      <c r="L46" s="275"/>
      <c r="M46" s="277"/>
      <c r="N46" s="278"/>
      <c r="O46" s="278"/>
      <c r="P46" s="119"/>
      <c r="Q46" s="119"/>
      <c r="R46" s="119"/>
      <c r="S46" s="119"/>
      <c r="T46" s="119"/>
      <c r="U46" s="119"/>
      <c r="V46" s="119"/>
    </row>
    <row r="47" spans="1:22" x14ac:dyDescent="0.25">
      <c r="A47" s="39" t="s">
        <v>124</v>
      </c>
      <c r="B47" s="41" t="s">
        <v>125</v>
      </c>
      <c r="C47" s="31">
        <v>0</v>
      </c>
      <c r="D47" s="31">
        <v>0</v>
      </c>
      <c r="E47" s="31">
        <v>0</v>
      </c>
      <c r="F47" s="31">
        <v>0</v>
      </c>
      <c r="G47" s="196">
        <f t="shared" si="13"/>
        <v>0</v>
      </c>
      <c r="H47" s="49" t="str">
        <f t="shared" si="14"/>
        <v>-</v>
      </c>
      <c r="I47" s="132"/>
      <c r="J47" s="132"/>
      <c r="K47" s="132"/>
      <c r="L47" s="119"/>
      <c r="M47" s="119"/>
      <c r="N47" s="119"/>
      <c r="O47" s="119"/>
      <c r="P47" s="119"/>
      <c r="Q47" s="119"/>
      <c r="R47" s="119"/>
      <c r="S47" s="119"/>
      <c r="T47" s="119"/>
      <c r="U47" s="119"/>
      <c r="V47" s="119"/>
    </row>
    <row r="48" spans="1:22" x14ac:dyDescent="0.25">
      <c r="A48" s="42" t="s">
        <v>112</v>
      </c>
      <c r="B48" s="50"/>
      <c r="C48" s="34">
        <v>0</v>
      </c>
      <c r="D48" s="34">
        <v>0</v>
      </c>
      <c r="E48" s="34">
        <v>0</v>
      </c>
      <c r="F48" s="34">
        <v>0</v>
      </c>
      <c r="G48" s="195">
        <f t="shared" si="13"/>
        <v>0</v>
      </c>
      <c r="H48" s="49" t="str">
        <f t="shared" si="14"/>
        <v>-</v>
      </c>
      <c r="I48" s="132"/>
      <c r="J48" s="132"/>
      <c r="K48" s="132"/>
      <c r="L48" s="119"/>
      <c r="M48" s="119"/>
      <c r="N48" s="119"/>
      <c r="O48" s="119"/>
      <c r="P48" s="119"/>
      <c r="Q48" s="119"/>
      <c r="R48" s="119"/>
      <c r="S48" s="119"/>
      <c r="T48" s="119"/>
      <c r="U48" s="119"/>
      <c r="V48" s="119"/>
    </row>
    <row r="49" spans="1:14" x14ac:dyDescent="0.25">
      <c r="A49" s="13"/>
      <c r="C49" s="17"/>
      <c r="D49" s="17"/>
      <c r="E49" s="17"/>
      <c r="F49" s="17"/>
      <c r="H49" s="152"/>
      <c r="L49" s="119"/>
      <c r="M49" s="119"/>
      <c r="N49" s="119"/>
    </row>
    <row r="50" spans="1:14" ht="15.6" x14ac:dyDescent="0.3">
      <c r="A50" s="9" t="s">
        <v>126</v>
      </c>
      <c r="B50" s="51" t="s">
        <v>127</v>
      </c>
      <c r="C50" s="35" t="s">
        <v>73</v>
      </c>
      <c r="D50" s="35" t="s">
        <v>74</v>
      </c>
      <c r="E50" s="35" t="s">
        <v>75</v>
      </c>
      <c r="F50" s="35" t="s">
        <v>76</v>
      </c>
      <c r="G50" s="36" t="s">
        <v>77</v>
      </c>
      <c r="H50" s="37"/>
      <c r="J50" s="132"/>
      <c r="K50" s="132"/>
      <c r="L50"/>
      <c r="M50"/>
      <c r="N50"/>
    </row>
    <row r="51" spans="1:14" ht="14.25" customHeight="1" x14ac:dyDescent="0.3">
      <c r="A51" s="38" t="s">
        <v>128</v>
      </c>
      <c r="B51" s="35">
        <f>+B5</f>
        <v>1</v>
      </c>
      <c r="C51" s="182">
        <v>1797</v>
      </c>
      <c r="D51" s="182">
        <v>1820</v>
      </c>
      <c r="E51" s="182">
        <v>1050</v>
      </c>
      <c r="F51" s="182">
        <v>523</v>
      </c>
      <c r="G51" s="197">
        <v>5225.5</v>
      </c>
      <c r="H51" s="52">
        <f>+(G51)/8760</f>
        <v>0.59651826484018267</v>
      </c>
      <c r="I51" s="129"/>
      <c r="J51"/>
      <c r="K51"/>
      <c r="L51"/>
      <c r="M51"/>
      <c r="N51"/>
    </row>
    <row r="52" spans="1:14" ht="14.25" customHeight="1" x14ac:dyDescent="0.3">
      <c r="A52" s="39" t="s">
        <v>128</v>
      </c>
      <c r="B52" s="17">
        <v>2</v>
      </c>
      <c r="C52" s="101">
        <v>0</v>
      </c>
      <c r="D52" s="101">
        <v>0</v>
      </c>
      <c r="E52" s="101">
        <v>0</v>
      </c>
      <c r="F52" s="101">
        <v>0</v>
      </c>
      <c r="G52" s="196">
        <f t="shared" ref="G52:G63" si="15">SUM(C52:F52)</f>
        <v>0</v>
      </c>
      <c r="H52" s="30" t="str">
        <f>IF(G52&gt;0,G51/8760,"n/a")</f>
        <v>n/a</v>
      </c>
      <c r="I52" s="129"/>
      <c r="J52"/>
      <c r="K52"/>
      <c r="L52"/>
      <c r="M52"/>
      <c r="N52"/>
    </row>
    <row r="53" spans="1:14" ht="14.25" customHeight="1" x14ac:dyDescent="0.3">
      <c r="A53" s="39" t="s">
        <v>128</v>
      </c>
      <c r="B53" s="17">
        <v>3</v>
      </c>
      <c r="C53" s="101">
        <v>0</v>
      </c>
      <c r="D53" s="101">
        <v>0</v>
      </c>
      <c r="E53" s="101">
        <v>0</v>
      </c>
      <c r="F53" s="101">
        <v>0</v>
      </c>
      <c r="G53" s="196">
        <f t="shared" si="15"/>
        <v>0</v>
      </c>
      <c r="H53" s="30" t="str">
        <f t="shared" ref="H53:H58" si="16">IF(G53&gt;0,G52/8760,"n/a")</f>
        <v>n/a</v>
      </c>
      <c r="I53" s="129"/>
      <c r="J53"/>
      <c r="K53"/>
      <c r="L53"/>
      <c r="M53"/>
      <c r="N53"/>
    </row>
    <row r="54" spans="1:14" ht="14.25" customHeight="1" x14ac:dyDescent="0.3">
      <c r="A54" s="39" t="s">
        <v>128</v>
      </c>
      <c r="B54" s="17">
        <v>4</v>
      </c>
      <c r="C54" s="101">
        <v>0</v>
      </c>
      <c r="D54" s="101">
        <v>0</v>
      </c>
      <c r="E54" s="101">
        <v>0</v>
      </c>
      <c r="F54" s="101">
        <v>0</v>
      </c>
      <c r="G54" s="196">
        <f t="shared" si="15"/>
        <v>0</v>
      </c>
      <c r="H54" s="30" t="str">
        <f t="shared" si="16"/>
        <v>n/a</v>
      </c>
      <c r="I54" s="129"/>
      <c r="J54"/>
      <c r="K54"/>
      <c r="L54"/>
      <c r="M54"/>
      <c r="N54"/>
    </row>
    <row r="55" spans="1:14" ht="14.25" customHeight="1" x14ac:dyDescent="0.3">
      <c r="A55" s="39" t="s">
        <v>128</v>
      </c>
      <c r="B55" s="17">
        <v>5</v>
      </c>
      <c r="C55" s="101">
        <v>0</v>
      </c>
      <c r="D55" s="101">
        <v>0</v>
      </c>
      <c r="E55" s="101">
        <v>0</v>
      </c>
      <c r="F55" s="101">
        <v>0</v>
      </c>
      <c r="G55" s="196">
        <f t="shared" ref="G55" si="17">SUM(C55:F55)</f>
        <v>0</v>
      </c>
      <c r="H55" s="30" t="str">
        <f>IF(G55&gt;0,G54/8760,"n/a")</f>
        <v>n/a</v>
      </c>
      <c r="I55" s="129"/>
      <c r="J55"/>
      <c r="K55"/>
      <c r="L55"/>
      <c r="M55"/>
      <c r="N55"/>
    </row>
    <row r="56" spans="1:14" ht="14.25" customHeight="1" x14ac:dyDescent="0.3">
      <c r="A56" s="39" t="s">
        <v>129</v>
      </c>
      <c r="B56" s="17"/>
      <c r="C56" s="180">
        <v>1797</v>
      </c>
      <c r="D56" s="180">
        <v>1820</v>
      </c>
      <c r="E56" s="180">
        <v>1050</v>
      </c>
      <c r="F56" s="180">
        <v>523</v>
      </c>
      <c r="G56" s="196"/>
      <c r="H56" s="30"/>
      <c r="I56" s="129"/>
      <c r="J56"/>
      <c r="K56"/>
      <c r="L56"/>
      <c r="M56"/>
      <c r="N56"/>
    </row>
    <row r="57" spans="1:14" ht="14.25" customHeight="1" x14ac:dyDescent="0.25">
      <c r="A57" s="39" t="s">
        <v>130</v>
      </c>
      <c r="B57" s="17">
        <v>1</v>
      </c>
      <c r="C57" s="181">
        <v>1773</v>
      </c>
      <c r="D57" s="181">
        <v>1791</v>
      </c>
      <c r="E57" s="181">
        <v>1030</v>
      </c>
      <c r="F57" s="181">
        <v>381</v>
      </c>
      <c r="G57" s="196">
        <f t="shared" si="15"/>
        <v>4975</v>
      </c>
      <c r="H57" s="30">
        <f>IF(G57&gt;0,G55/8760,"n/a")</f>
        <v>0</v>
      </c>
      <c r="I57" s="129"/>
      <c r="J57" s="129"/>
      <c r="K57" s="129"/>
      <c r="L57" s="119"/>
      <c r="M57" s="119"/>
      <c r="N57" s="119"/>
    </row>
    <row r="58" spans="1:14" x14ac:dyDescent="0.25">
      <c r="A58" s="39" t="s">
        <v>130</v>
      </c>
      <c r="B58" s="17">
        <v>2</v>
      </c>
      <c r="C58" s="31">
        <v>0</v>
      </c>
      <c r="D58" s="31">
        <v>0</v>
      </c>
      <c r="E58" s="31">
        <v>0</v>
      </c>
      <c r="F58" s="31">
        <v>0</v>
      </c>
      <c r="G58" s="196">
        <f t="shared" si="15"/>
        <v>0</v>
      </c>
      <c r="H58" s="30" t="str">
        <f t="shared" si="16"/>
        <v>n/a</v>
      </c>
      <c r="I58" s="129"/>
      <c r="J58" s="129"/>
      <c r="K58" s="129"/>
      <c r="L58" s="119"/>
      <c r="M58" s="119"/>
      <c r="N58" s="119"/>
    </row>
    <row r="59" spans="1:14" x14ac:dyDescent="0.25">
      <c r="A59" s="39" t="s">
        <v>131</v>
      </c>
      <c r="B59" s="17"/>
      <c r="C59" s="31">
        <v>0</v>
      </c>
      <c r="D59" s="31">
        <v>0</v>
      </c>
      <c r="E59" s="31">
        <v>0</v>
      </c>
      <c r="F59" s="31">
        <v>0</v>
      </c>
      <c r="G59" s="196">
        <f t="shared" si="15"/>
        <v>0</v>
      </c>
      <c r="H59" s="30" t="str">
        <f>IF(B59&gt;0,G58/8760,"n/a")</f>
        <v>n/a</v>
      </c>
      <c r="I59" s="129"/>
      <c r="J59" s="129"/>
      <c r="K59" s="129"/>
      <c r="L59" s="119"/>
      <c r="M59" s="119"/>
      <c r="N59" s="119"/>
    </row>
    <row r="60" spans="1:14" x14ac:dyDescent="0.25">
      <c r="A60" s="39" t="s">
        <v>132</v>
      </c>
      <c r="B60" s="17" t="s">
        <v>133</v>
      </c>
      <c r="C60" s="138">
        <v>9.67</v>
      </c>
      <c r="D60" s="138">
        <v>9.67</v>
      </c>
      <c r="E60" s="138">
        <v>9.67</v>
      </c>
      <c r="F60" s="138">
        <v>9.3000000000000007</v>
      </c>
      <c r="G60" s="196"/>
      <c r="H60" s="30"/>
      <c r="I60" s="129"/>
      <c r="J60" s="129"/>
      <c r="K60" s="129"/>
      <c r="L60" s="119"/>
      <c r="M60" s="119"/>
      <c r="N60" s="119"/>
    </row>
    <row r="61" spans="1:14" x14ac:dyDescent="0.25">
      <c r="A61" s="39" t="s">
        <v>134</v>
      </c>
      <c r="B61" s="17" t="s">
        <v>135</v>
      </c>
      <c r="C61" s="202">
        <v>0</v>
      </c>
      <c r="D61" s="202">
        <v>0</v>
      </c>
      <c r="E61" s="202">
        <v>1</v>
      </c>
      <c r="F61" s="202">
        <v>1</v>
      </c>
      <c r="G61" s="196">
        <f t="shared" si="15"/>
        <v>2</v>
      </c>
      <c r="H61" s="40" t="str">
        <f>IF(G61&gt;0,"yes","no")</f>
        <v>yes</v>
      </c>
      <c r="I61" s="130"/>
      <c r="J61" s="130"/>
      <c r="K61" s="130"/>
      <c r="L61" s="119"/>
      <c r="M61" s="119"/>
      <c r="N61" s="119"/>
    </row>
    <row r="62" spans="1:14" x14ac:dyDescent="0.25">
      <c r="A62" s="39" t="s">
        <v>136</v>
      </c>
      <c r="B62" s="17" t="s">
        <v>137</v>
      </c>
      <c r="C62" s="202">
        <v>0</v>
      </c>
      <c r="D62" s="202">
        <v>0</v>
      </c>
      <c r="E62" s="205">
        <v>1.5</v>
      </c>
      <c r="F62" s="206">
        <v>2</v>
      </c>
      <c r="G62" s="204">
        <f t="shared" si="15"/>
        <v>3.5</v>
      </c>
      <c r="H62" s="52">
        <f>+(G62)/8760</f>
        <v>3.9954337899543381E-4</v>
      </c>
      <c r="I62" s="201"/>
      <c r="J62" s="133"/>
      <c r="K62" s="133"/>
      <c r="L62" s="119"/>
      <c r="M62" s="119"/>
      <c r="N62" s="119"/>
    </row>
    <row r="63" spans="1:14" x14ac:dyDescent="0.25">
      <c r="A63" s="42" t="s">
        <v>138</v>
      </c>
      <c r="B63" s="53" t="s">
        <v>135</v>
      </c>
      <c r="C63" s="203">
        <v>3</v>
      </c>
      <c r="D63" s="203">
        <v>0</v>
      </c>
      <c r="E63" s="203">
        <v>1</v>
      </c>
      <c r="F63" s="203">
        <v>2</v>
      </c>
      <c r="G63" s="195">
        <f t="shared" si="15"/>
        <v>6</v>
      </c>
      <c r="H63" s="54" t="str">
        <f>IF(G63&gt;0,"yes","no")</f>
        <v>yes</v>
      </c>
      <c r="I63" s="130"/>
      <c r="J63" s="130"/>
      <c r="K63" s="130"/>
      <c r="L63" s="119"/>
      <c r="M63" s="119"/>
      <c r="N63" s="119"/>
    </row>
    <row r="76" spans="6:6" x14ac:dyDescent="0.25">
      <c r="F76" s="3"/>
    </row>
  </sheetData>
  <mergeCells count="19">
    <mergeCell ref="B33:B38"/>
    <mergeCell ref="B4:C4"/>
    <mergeCell ref="B8:B20"/>
    <mergeCell ref="B23:B26"/>
    <mergeCell ref="B28:B29"/>
    <mergeCell ref="I43:L46"/>
    <mergeCell ref="M42:O42"/>
    <mergeCell ref="M43:O43"/>
    <mergeCell ref="M44:O44"/>
    <mergeCell ref="M45:O45"/>
    <mergeCell ref="M46:O46"/>
    <mergeCell ref="G30:H30"/>
    <mergeCell ref="N32:R33"/>
    <mergeCell ref="N30:R31"/>
    <mergeCell ref="S30:V33"/>
    <mergeCell ref="J32:L32"/>
    <mergeCell ref="J31:L31"/>
    <mergeCell ref="J30:L30"/>
    <mergeCell ref="J33:L33"/>
  </mergeCells>
  <phoneticPr fontId="24" type="noConversion"/>
  <pageMargins left="0.70866141732283472" right="0.70866141732283472" top="0.74803149606299213" bottom="0.74803149606299213" header="0.31496062992125984" footer="0.31496062992125984"/>
  <pageSetup paperSize="8" scale="91" orientation="portrait" r:id="rId1"/>
  <headerFooter scaleWithDoc="0">
    <oddFooter>&amp;C&amp;"Arial,Regular"Page &amp;P</oddFooter>
  </headerFooter>
  <ignoredErrors>
    <ignoredError sqref="G57:G58 G52: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opLeftCell="A10" zoomScaleNormal="100" workbookViewId="0">
      <selection activeCell="A54" sqref="A54"/>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119" t="str">
        <f>+'Cover Page'!$B$29</f>
        <v>Annual Performance Report 2022</v>
      </c>
      <c r="B1" s="119"/>
      <c r="C1" s="119"/>
      <c r="D1" s="119"/>
      <c r="E1" s="119" t="str">
        <f>+'Cover Page'!$B$33</f>
        <v>Permit EPR/RP3036QU</v>
      </c>
      <c r="F1" s="119"/>
      <c r="G1" s="119"/>
      <c r="H1" s="119"/>
      <c r="I1" s="119"/>
      <c r="J1" s="119"/>
      <c r="K1" s="119"/>
      <c r="L1" s="119"/>
      <c r="M1" s="119"/>
      <c r="N1" s="119"/>
    </row>
    <row r="3" spans="1:14" ht="15.6" x14ac:dyDescent="0.3">
      <c r="A3" s="78" t="s">
        <v>139</v>
      </c>
      <c r="B3" s="169"/>
      <c r="C3" s="169"/>
      <c r="D3" s="169"/>
      <c r="E3" s="169"/>
      <c r="F3" s="169"/>
      <c r="G3" s="169"/>
      <c r="H3" s="169"/>
      <c r="I3" s="219"/>
      <c r="J3" s="119"/>
      <c r="K3" s="112" t="s">
        <v>1</v>
      </c>
      <c r="L3" s="119"/>
      <c r="M3" s="119"/>
      <c r="N3" s="119"/>
    </row>
    <row r="4" spans="1:14" x14ac:dyDescent="0.25">
      <c r="A4" s="220"/>
      <c r="B4" s="221"/>
      <c r="C4" s="221"/>
      <c r="D4" s="221"/>
      <c r="E4" s="221"/>
      <c r="F4" s="221"/>
      <c r="G4" s="221"/>
      <c r="H4" s="221"/>
      <c r="I4" s="222"/>
      <c r="J4" s="119"/>
      <c r="K4" s="119"/>
      <c r="L4" s="119"/>
      <c r="M4" s="119"/>
      <c r="N4" s="119"/>
    </row>
    <row r="5" spans="1:14" ht="15.75" customHeight="1" x14ac:dyDescent="0.25">
      <c r="A5" s="284" t="s">
        <v>140</v>
      </c>
      <c r="B5" s="260"/>
      <c r="C5" s="260"/>
      <c r="D5" s="260"/>
      <c r="E5" s="260"/>
      <c r="F5" s="260"/>
      <c r="G5" s="260"/>
      <c r="H5" s="260"/>
      <c r="I5" s="285"/>
      <c r="J5" s="119"/>
      <c r="K5" s="259" t="s">
        <v>141</v>
      </c>
      <c r="L5" s="259"/>
      <c r="M5" s="259"/>
      <c r="N5" s="259"/>
    </row>
    <row r="6" spans="1:14" x14ac:dyDescent="0.25">
      <c r="A6" s="286"/>
      <c r="B6" s="287"/>
      <c r="C6" s="287"/>
      <c r="D6" s="287"/>
      <c r="E6" s="287"/>
      <c r="F6" s="287"/>
      <c r="G6" s="287"/>
      <c r="H6" s="287"/>
      <c r="I6" s="288"/>
      <c r="J6" s="119"/>
      <c r="K6" s="259"/>
      <c r="L6" s="259"/>
      <c r="M6" s="259"/>
      <c r="N6" s="259"/>
    </row>
    <row r="7" spans="1:14" x14ac:dyDescent="0.25">
      <c r="A7" s="286"/>
      <c r="B7" s="287"/>
      <c r="C7" s="287"/>
      <c r="D7" s="287"/>
      <c r="E7" s="287"/>
      <c r="F7" s="287"/>
      <c r="G7" s="287"/>
      <c r="H7" s="287"/>
      <c r="I7" s="288"/>
      <c r="J7" s="119"/>
      <c r="K7" s="259"/>
      <c r="L7" s="259"/>
      <c r="M7" s="259"/>
      <c r="N7" s="259"/>
    </row>
    <row r="8" spans="1:14" ht="15.75" customHeight="1" x14ac:dyDescent="0.25">
      <c r="A8" s="286"/>
      <c r="B8" s="287"/>
      <c r="C8" s="287"/>
      <c r="D8" s="287"/>
      <c r="E8" s="287"/>
      <c r="F8" s="287"/>
      <c r="G8" s="287"/>
      <c r="H8" s="287"/>
      <c r="I8" s="288"/>
      <c r="J8" s="119"/>
      <c r="K8" s="259"/>
      <c r="L8" s="259"/>
      <c r="M8" s="259"/>
      <c r="N8" s="259"/>
    </row>
    <row r="9" spans="1:14" ht="15.75" customHeight="1" x14ac:dyDescent="0.25">
      <c r="A9" s="286"/>
      <c r="B9" s="287"/>
      <c r="C9" s="287"/>
      <c r="D9" s="287"/>
      <c r="E9" s="287"/>
      <c r="F9" s="287"/>
      <c r="G9" s="287"/>
      <c r="H9" s="287"/>
      <c r="I9" s="288"/>
      <c r="J9" s="119"/>
      <c r="K9" s="259"/>
      <c r="L9" s="259"/>
      <c r="M9" s="259"/>
      <c r="N9" s="259"/>
    </row>
    <row r="10" spans="1:14" ht="15.75" customHeight="1" x14ac:dyDescent="0.25">
      <c r="A10" s="286"/>
      <c r="B10" s="287"/>
      <c r="C10" s="287"/>
      <c r="D10" s="287"/>
      <c r="E10" s="287"/>
      <c r="F10" s="287"/>
      <c r="G10" s="287"/>
      <c r="H10" s="287"/>
      <c r="I10" s="288"/>
      <c r="J10" s="119"/>
      <c r="K10" s="259"/>
      <c r="L10" s="259"/>
      <c r="M10" s="259"/>
      <c r="N10" s="259"/>
    </row>
    <row r="11" spans="1:14" ht="15.75" customHeight="1" x14ac:dyDescent="0.25">
      <c r="A11" s="286"/>
      <c r="B11" s="287"/>
      <c r="C11" s="287"/>
      <c r="D11" s="287"/>
      <c r="E11" s="287"/>
      <c r="F11" s="287"/>
      <c r="G11" s="287"/>
      <c r="H11" s="287"/>
      <c r="I11" s="288"/>
      <c r="J11" s="119"/>
      <c r="K11" s="259"/>
      <c r="L11" s="259"/>
      <c r="M11" s="259"/>
      <c r="N11" s="259"/>
    </row>
    <row r="12" spans="1:14" ht="15.75" customHeight="1" x14ac:dyDescent="0.25">
      <c r="A12" s="286"/>
      <c r="B12" s="287"/>
      <c r="C12" s="287"/>
      <c r="D12" s="287"/>
      <c r="E12" s="287"/>
      <c r="F12" s="287"/>
      <c r="G12" s="287"/>
      <c r="H12" s="287"/>
      <c r="I12" s="288"/>
      <c r="J12" s="119"/>
      <c r="K12" s="259"/>
      <c r="L12" s="259"/>
      <c r="M12" s="259"/>
      <c r="N12" s="259"/>
    </row>
    <row r="13" spans="1:14" ht="15.75" customHeight="1" x14ac:dyDescent="0.25">
      <c r="A13" s="286"/>
      <c r="B13" s="287"/>
      <c r="C13" s="287"/>
      <c r="D13" s="287"/>
      <c r="E13" s="287"/>
      <c r="F13" s="287"/>
      <c r="G13" s="287"/>
      <c r="H13" s="287"/>
      <c r="I13" s="288"/>
      <c r="J13" s="119"/>
      <c r="K13" s="259"/>
      <c r="L13" s="259"/>
      <c r="M13" s="259"/>
      <c r="N13" s="259"/>
    </row>
    <row r="14" spans="1:14" ht="15.75" customHeight="1" x14ac:dyDescent="0.25">
      <c r="A14" s="286"/>
      <c r="B14" s="287"/>
      <c r="C14" s="287"/>
      <c r="D14" s="287"/>
      <c r="E14" s="287"/>
      <c r="F14" s="287"/>
      <c r="G14" s="287"/>
      <c r="H14" s="287"/>
      <c r="I14" s="288"/>
      <c r="J14" s="119"/>
      <c r="K14" s="259"/>
      <c r="L14" s="259"/>
      <c r="M14" s="259"/>
      <c r="N14" s="259"/>
    </row>
    <row r="15" spans="1:14" ht="15.75" customHeight="1" x14ac:dyDescent="0.25">
      <c r="A15" s="286"/>
      <c r="B15" s="287"/>
      <c r="C15" s="287"/>
      <c r="D15" s="287"/>
      <c r="E15" s="287"/>
      <c r="F15" s="287"/>
      <c r="G15" s="287"/>
      <c r="H15" s="287"/>
      <c r="I15" s="288"/>
      <c r="J15" s="119"/>
      <c r="K15" s="119"/>
      <c r="L15" s="119"/>
      <c r="M15" s="119"/>
      <c r="N15" s="119"/>
    </row>
    <row r="16" spans="1:14" ht="15.75" customHeight="1" x14ac:dyDescent="0.25">
      <c r="A16" s="286"/>
      <c r="B16" s="287"/>
      <c r="C16" s="287"/>
      <c r="D16" s="287"/>
      <c r="E16" s="287"/>
      <c r="F16" s="287"/>
      <c r="G16" s="287"/>
      <c r="H16" s="287"/>
      <c r="I16" s="288"/>
      <c r="J16" s="119"/>
      <c r="K16" s="119"/>
      <c r="L16" s="119"/>
      <c r="M16" s="119"/>
      <c r="N16" s="119"/>
    </row>
    <row r="17" spans="1:14" ht="15.75" customHeight="1" x14ac:dyDescent="0.25">
      <c r="A17" s="286"/>
      <c r="B17" s="287"/>
      <c r="C17" s="287"/>
      <c r="D17" s="287"/>
      <c r="E17" s="287"/>
      <c r="F17" s="287"/>
      <c r="G17" s="287"/>
      <c r="H17" s="287"/>
      <c r="I17" s="288"/>
      <c r="J17" s="119"/>
      <c r="K17" s="119"/>
      <c r="L17" s="119"/>
      <c r="M17" s="119"/>
      <c r="N17" s="119"/>
    </row>
    <row r="18" spans="1:14" x14ac:dyDescent="0.25">
      <c r="A18" s="286"/>
      <c r="B18" s="287"/>
      <c r="C18" s="287"/>
      <c r="D18" s="287"/>
      <c r="E18" s="287"/>
      <c r="F18" s="287"/>
      <c r="G18" s="287"/>
      <c r="H18" s="287"/>
      <c r="I18" s="288"/>
      <c r="J18" s="119"/>
      <c r="K18" s="119"/>
      <c r="L18" s="119"/>
      <c r="M18" s="119"/>
      <c r="N18" s="119"/>
    </row>
    <row r="19" spans="1:14" x14ac:dyDescent="0.25">
      <c r="A19" s="286"/>
      <c r="B19" s="287"/>
      <c r="C19" s="287"/>
      <c r="D19" s="287"/>
      <c r="E19" s="287"/>
      <c r="F19" s="287"/>
      <c r="G19" s="287"/>
      <c r="H19" s="287"/>
      <c r="I19" s="288"/>
      <c r="J19" s="119"/>
      <c r="K19" s="119"/>
      <c r="L19" s="119"/>
      <c r="M19" s="119"/>
      <c r="N19" s="119"/>
    </row>
    <row r="20" spans="1:14" x14ac:dyDescent="0.25">
      <c r="A20" s="286"/>
      <c r="B20" s="287"/>
      <c r="C20" s="287"/>
      <c r="D20" s="287"/>
      <c r="E20" s="287"/>
      <c r="F20" s="287"/>
      <c r="G20" s="287"/>
      <c r="H20" s="287"/>
      <c r="I20" s="288"/>
      <c r="J20" s="119"/>
      <c r="K20" s="119"/>
      <c r="L20" s="119"/>
      <c r="M20" s="119"/>
      <c r="N20" s="119"/>
    </row>
    <row r="21" spans="1:14" x14ac:dyDescent="0.25">
      <c r="A21" s="286"/>
      <c r="B21" s="287"/>
      <c r="C21" s="287"/>
      <c r="D21" s="287"/>
      <c r="E21" s="287"/>
      <c r="F21" s="287"/>
      <c r="G21" s="287"/>
      <c r="H21" s="287"/>
      <c r="I21" s="288"/>
      <c r="J21" s="119"/>
      <c r="K21" s="119"/>
      <c r="L21" s="119"/>
      <c r="M21" s="119"/>
      <c r="N21" s="119"/>
    </row>
    <row r="22" spans="1:14" ht="15.45" customHeight="1" x14ac:dyDescent="0.25">
      <c r="A22" s="286"/>
      <c r="B22" s="287"/>
      <c r="C22" s="287"/>
      <c r="D22" s="287"/>
      <c r="E22" s="287"/>
      <c r="F22" s="287"/>
      <c r="G22" s="287"/>
      <c r="H22" s="287"/>
      <c r="I22" s="288"/>
      <c r="J22" s="119"/>
      <c r="K22" s="167"/>
      <c r="L22" s="167"/>
      <c r="M22" s="167"/>
      <c r="N22" s="167"/>
    </row>
    <row r="23" spans="1:14" ht="12.75" customHeight="1" x14ac:dyDescent="0.25">
      <c r="A23" s="286"/>
      <c r="B23" s="287"/>
      <c r="C23" s="287"/>
      <c r="D23" s="287"/>
      <c r="E23" s="287"/>
      <c r="F23" s="287"/>
      <c r="G23" s="287"/>
      <c r="H23" s="287"/>
      <c r="I23" s="288"/>
      <c r="J23" s="119"/>
      <c r="K23" s="167"/>
      <c r="L23" s="167"/>
      <c r="M23" s="167"/>
      <c r="N23" s="167"/>
    </row>
    <row r="24" spans="1:14" hidden="1" x14ac:dyDescent="0.25">
      <c r="A24" s="286"/>
      <c r="B24" s="287"/>
      <c r="C24" s="287"/>
      <c r="D24" s="287"/>
      <c r="E24" s="287"/>
      <c r="F24" s="287"/>
      <c r="G24" s="287"/>
      <c r="H24" s="287"/>
      <c r="I24" s="288"/>
      <c r="J24" s="119"/>
      <c r="K24" s="167"/>
      <c r="L24" s="167"/>
      <c r="M24" s="167"/>
      <c r="N24" s="167"/>
    </row>
    <row r="25" spans="1:14" hidden="1" x14ac:dyDescent="0.25">
      <c r="A25" s="286"/>
      <c r="B25" s="287"/>
      <c r="C25" s="287"/>
      <c r="D25" s="287"/>
      <c r="E25" s="287"/>
      <c r="F25" s="287"/>
      <c r="G25" s="287"/>
      <c r="H25" s="287"/>
      <c r="I25" s="288"/>
      <c r="J25" s="119"/>
      <c r="K25" s="167"/>
      <c r="L25" s="167"/>
      <c r="M25" s="167"/>
      <c r="N25" s="167"/>
    </row>
    <row r="26" spans="1:14" hidden="1" x14ac:dyDescent="0.25">
      <c r="A26" s="286"/>
      <c r="B26" s="287"/>
      <c r="C26" s="287"/>
      <c r="D26" s="287"/>
      <c r="E26" s="287"/>
      <c r="F26" s="287"/>
      <c r="G26" s="287"/>
      <c r="H26" s="287"/>
      <c r="I26" s="288"/>
      <c r="J26" s="119"/>
      <c r="K26" s="167"/>
      <c r="L26" s="167"/>
      <c r="M26" s="167"/>
      <c r="N26" s="167"/>
    </row>
    <row r="27" spans="1:14" ht="6.75" customHeight="1" x14ac:dyDescent="0.25">
      <c r="A27" s="289"/>
      <c r="B27" s="290"/>
      <c r="C27" s="290"/>
      <c r="D27" s="290"/>
      <c r="E27" s="290"/>
      <c r="F27" s="290"/>
      <c r="G27" s="290"/>
      <c r="H27" s="290"/>
      <c r="I27" s="291"/>
      <c r="J27" s="119"/>
      <c r="K27" s="167"/>
      <c r="L27" s="167"/>
      <c r="M27" s="167"/>
      <c r="N27" s="167"/>
    </row>
    <row r="28" spans="1:14" x14ac:dyDescent="0.25">
      <c r="A28" s="119"/>
      <c r="B28" s="119"/>
      <c r="C28" s="119"/>
      <c r="D28" s="119"/>
      <c r="E28" s="119"/>
      <c r="F28" s="119"/>
      <c r="G28" s="119"/>
      <c r="H28" s="119"/>
      <c r="I28" s="119"/>
      <c r="J28" s="119"/>
      <c r="K28" s="167"/>
      <c r="L28" s="167"/>
      <c r="M28" s="167"/>
      <c r="N28" s="167"/>
    </row>
    <row r="29" spans="1:14" x14ac:dyDescent="0.25">
      <c r="A29" s="78" t="s">
        <v>142</v>
      </c>
      <c r="B29" s="169" t="s">
        <v>3</v>
      </c>
      <c r="C29" s="169"/>
      <c r="D29" s="169"/>
      <c r="E29" s="169"/>
      <c r="F29" s="169"/>
      <c r="G29" s="169"/>
      <c r="H29" s="169"/>
      <c r="I29" s="219"/>
      <c r="J29" s="119"/>
      <c r="K29" s="167"/>
      <c r="L29" s="167"/>
      <c r="M29" s="167"/>
      <c r="N29" s="167"/>
    </row>
    <row r="30" spans="1:14" x14ac:dyDescent="0.25">
      <c r="A30" s="220"/>
      <c r="B30" s="221"/>
      <c r="C30" s="221"/>
      <c r="D30" s="221"/>
      <c r="E30" s="221"/>
      <c r="F30" s="221"/>
      <c r="G30" s="221"/>
      <c r="H30" s="221"/>
      <c r="I30" s="222"/>
      <c r="J30" s="119"/>
      <c r="K30" s="167"/>
      <c r="L30" s="167"/>
      <c r="M30" s="167"/>
      <c r="N30" s="167"/>
    </row>
    <row r="31" spans="1:14" x14ac:dyDescent="0.25">
      <c r="A31" s="284" t="s">
        <v>143</v>
      </c>
      <c r="B31" s="261"/>
      <c r="C31" s="261"/>
      <c r="D31" s="261"/>
      <c r="E31" s="261"/>
      <c r="F31" s="261"/>
      <c r="G31" s="261"/>
      <c r="H31" s="261"/>
      <c r="I31" s="292"/>
      <c r="J31" s="119"/>
      <c r="K31" s="259" t="s">
        <v>144</v>
      </c>
      <c r="L31" s="259"/>
      <c r="M31" s="259"/>
      <c r="N31" s="259"/>
    </row>
    <row r="32" spans="1:14" x14ac:dyDescent="0.25">
      <c r="A32" s="293"/>
      <c r="B32" s="262"/>
      <c r="C32" s="262"/>
      <c r="D32" s="262"/>
      <c r="E32" s="262"/>
      <c r="F32" s="262"/>
      <c r="G32" s="262"/>
      <c r="H32" s="262"/>
      <c r="I32" s="294"/>
      <c r="J32" s="119"/>
      <c r="K32" s="259"/>
      <c r="L32" s="259"/>
      <c r="M32" s="259"/>
      <c r="N32" s="259"/>
    </row>
    <row r="33" spans="1:14" x14ac:dyDescent="0.25">
      <c r="A33" s="293"/>
      <c r="B33" s="262"/>
      <c r="C33" s="262"/>
      <c r="D33" s="262"/>
      <c r="E33" s="262"/>
      <c r="F33" s="262"/>
      <c r="G33" s="262"/>
      <c r="H33" s="262"/>
      <c r="I33" s="294"/>
      <c r="J33" s="119"/>
      <c r="K33" s="259"/>
      <c r="L33" s="259"/>
      <c r="M33" s="259"/>
      <c r="N33" s="259"/>
    </row>
    <row r="34" spans="1:14" x14ac:dyDescent="0.25">
      <c r="A34" s="293"/>
      <c r="B34" s="262"/>
      <c r="C34" s="262"/>
      <c r="D34" s="262"/>
      <c r="E34" s="262"/>
      <c r="F34" s="262"/>
      <c r="G34" s="262"/>
      <c r="H34" s="262"/>
      <c r="I34" s="294"/>
      <c r="J34" s="119"/>
      <c r="K34" s="259"/>
      <c r="L34" s="259"/>
      <c r="M34" s="259"/>
      <c r="N34" s="259"/>
    </row>
    <row r="35" spans="1:14" x14ac:dyDescent="0.25">
      <c r="A35" s="293"/>
      <c r="B35" s="262"/>
      <c r="C35" s="262"/>
      <c r="D35" s="262"/>
      <c r="E35" s="262"/>
      <c r="F35" s="262"/>
      <c r="G35" s="262"/>
      <c r="H35" s="262"/>
      <c r="I35" s="294"/>
      <c r="J35" s="119"/>
      <c r="K35" s="259"/>
      <c r="L35" s="259"/>
      <c r="M35" s="259"/>
      <c r="N35" s="259"/>
    </row>
    <row r="36" spans="1:14" x14ac:dyDescent="0.25">
      <c r="A36" s="293"/>
      <c r="B36" s="262"/>
      <c r="C36" s="262"/>
      <c r="D36" s="262"/>
      <c r="E36" s="262"/>
      <c r="F36" s="262"/>
      <c r="G36" s="262"/>
      <c r="H36" s="262"/>
      <c r="I36" s="294"/>
      <c r="J36" s="119"/>
      <c r="K36" s="259"/>
      <c r="L36" s="259"/>
      <c r="M36" s="259"/>
      <c r="N36" s="259"/>
    </row>
    <row r="37" spans="1:14" x14ac:dyDescent="0.25">
      <c r="A37" s="293"/>
      <c r="B37" s="262"/>
      <c r="C37" s="262"/>
      <c r="D37" s="262"/>
      <c r="E37" s="262"/>
      <c r="F37" s="262"/>
      <c r="G37" s="262"/>
      <c r="H37" s="262"/>
      <c r="I37" s="294"/>
      <c r="J37" s="119"/>
      <c r="K37" s="259"/>
      <c r="L37" s="259"/>
      <c r="M37" s="259"/>
      <c r="N37" s="259"/>
    </row>
    <row r="38" spans="1:14" ht="14.25" customHeight="1" x14ac:dyDescent="0.25">
      <c r="A38" s="293"/>
      <c r="B38" s="262"/>
      <c r="C38" s="262"/>
      <c r="D38" s="262"/>
      <c r="E38" s="262"/>
      <c r="F38" s="262"/>
      <c r="G38" s="262"/>
      <c r="H38" s="262"/>
      <c r="I38" s="294"/>
      <c r="J38" s="119"/>
      <c r="K38" s="259"/>
      <c r="L38" s="259"/>
      <c r="M38" s="259"/>
      <c r="N38" s="259"/>
    </row>
    <row r="39" spans="1:14" x14ac:dyDescent="0.25">
      <c r="A39" s="293"/>
      <c r="B39" s="262"/>
      <c r="C39" s="262"/>
      <c r="D39" s="262"/>
      <c r="E39" s="262"/>
      <c r="F39" s="262"/>
      <c r="G39" s="262"/>
      <c r="H39" s="262"/>
      <c r="I39" s="294"/>
      <c r="J39" s="119"/>
      <c r="K39" s="259"/>
      <c r="L39" s="259"/>
      <c r="M39" s="259"/>
      <c r="N39" s="259"/>
    </row>
    <row r="40" spans="1:14" x14ac:dyDescent="0.25">
      <c r="A40" s="293"/>
      <c r="B40" s="262"/>
      <c r="C40" s="262"/>
      <c r="D40" s="262"/>
      <c r="E40" s="262"/>
      <c r="F40" s="262"/>
      <c r="G40" s="262"/>
      <c r="H40" s="262"/>
      <c r="I40" s="294"/>
      <c r="J40" s="119"/>
      <c r="K40" s="259"/>
      <c r="L40" s="259"/>
      <c r="M40" s="259"/>
      <c r="N40" s="259"/>
    </row>
    <row r="41" spans="1:14" x14ac:dyDescent="0.25">
      <c r="A41" s="293"/>
      <c r="B41" s="262"/>
      <c r="C41" s="262"/>
      <c r="D41" s="262"/>
      <c r="E41" s="262"/>
      <c r="F41" s="262"/>
      <c r="G41" s="262"/>
      <c r="H41" s="262"/>
      <c r="I41" s="294"/>
      <c r="J41" s="119"/>
      <c r="K41" s="119"/>
      <c r="L41" s="119"/>
      <c r="M41" s="119"/>
      <c r="N41" s="119"/>
    </row>
    <row r="42" spans="1:14" x14ac:dyDescent="0.25">
      <c r="A42" s="293"/>
      <c r="B42" s="262"/>
      <c r="C42" s="262"/>
      <c r="D42" s="262"/>
      <c r="E42" s="262"/>
      <c r="F42" s="262"/>
      <c r="G42" s="262"/>
      <c r="H42" s="262"/>
      <c r="I42" s="294"/>
      <c r="J42" s="119"/>
      <c r="K42" s="119"/>
      <c r="L42" s="119"/>
      <c r="M42" s="119"/>
      <c r="N42" s="119"/>
    </row>
    <row r="43" spans="1:14" x14ac:dyDescent="0.25">
      <c r="A43" s="293"/>
      <c r="B43" s="262"/>
      <c r="C43" s="262"/>
      <c r="D43" s="262"/>
      <c r="E43" s="262"/>
      <c r="F43" s="262"/>
      <c r="G43" s="262"/>
      <c r="H43" s="262"/>
      <c r="I43" s="294"/>
      <c r="J43" s="119"/>
      <c r="K43" s="119"/>
      <c r="L43" s="119"/>
      <c r="M43" s="119"/>
      <c r="N43" s="119"/>
    </row>
    <row r="44" spans="1:14" x14ac:dyDescent="0.25">
      <c r="A44" s="293"/>
      <c r="B44" s="262"/>
      <c r="C44" s="262"/>
      <c r="D44" s="262"/>
      <c r="E44" s="262"/>
      <c r="F44" s="262"/>
      <c r="G44" s="262"/>
      <c r="H44" s="262"/>
      <c r="I44" s="294"/>
      <c r="J44" s="119"/>
      <c r="K44" s="119"/>
      <c r="L44" s="119"/>
      <c r="M44" s="119"/>
      <c r="N44" s="119"/>
    </row>
    <row r="45" spans="1:14" x14ac:dyDescent="0.25">
      <c r="A45" s="293"/>
      <c r="B45" s="262"/>
      <c r="C45" s="262"/>
      <c r="D45" s="262"/>
      <c r="E45" s="262"/>
      <c r="F45" s="262"/>
      <c r="G45" s="262"/>
      <c r="H45" s="262"/>
      <c r="I45" s="294"/>
      <c r="J45" s="119"/>
      <c r="K45" s="119"/>
      <c r="L45" s="119"/>
      <c r="M45" s="119"/>
      <c r="N45" s="119"/>
    </row>
    <row r="46" spans="1:14" x14ac:dyDescent="0.25">
      <c r="A46" s="293"/>
      <c r="B46" s="262"/>
      <c r="C46" s="262"/>
      <c r="D46" s="262"/>
      <c r="E46" s="262"/>
      <c r="F46" s="262"/>
      <c r="G46" s="262"/>
      <c r="H46" s="262"/>
      <c r="I46" s="294"/>
      <c r="J46" s="119"/>
      <c r="K46" s="119"/>
      <c r="L46" s="119"/>
      <c r="M46" s="119"/>
      <c r="N46" s="119"/>
    </row>
    <row r="47" spans="1:14" x14ac:dyDescent="0.25">
      <c r="A47" s="293"/>
      <c r="B47" s="262"/>
      <c r="C47" s="262"/>
      <c r="D47" s="262"/>
      <c r="E47" s="262"/>
      <c r="F47" s="262"/>
      <c r="G47" s="262"/>
      <c r="H47" s="262"/>
      <c r="I47" s="294"/>
      <c r="J47" s="119"/>
      <c r="K47" s="119"/>
      <c r="L47" s="119"/>
      <c r="M47" s="119"/>
      <c r="N47" s="119"/>
    </row>
    <row r="48" spans="1:14" x14ac:dyDescent="0.25">
      <c r="A48" s="293"/>
      <c r="B48" s="262"/>
      <c r="C48" s="262"/>
      <c r="D48" s="262"/>
      <c r="E48" s="262"/>
      <c r="F48" s="262"/>
      <c r="G48" s="262"/>
      <c r="H48" s="262"/>
      <c r="I48" s="294"/>
      <c r="J48" s="119"/>
      <c r="K48" s="119"/>
      <c r="L48" s="119"/>
      <c r="M48" s="119"/>
      <c r="N48" s="119"/>
    </row>
    <row r="49" spans="1:9" x14ac:dyDescent="0.25">
      <c r="A49" s="293"/>
      <c r="B49" s="262"/>
      <c r="C49" s="262"/>
      <c r="D49" s="262"/>
      <c r="E49" s="262"/>
      <c r="F49" s="262"/>
      <c r="G49" s="262"/>
      <c r="H49" s="262"/>
      <c r="I49" s="294"/>
    </row>
    <row r="50" spans="1:9" ht="3.75" customHeight="1" x14ac:dyDescent="0.25">
      <c r="A50" s="293"/>
      <c r="B50" s="262"/>
      <c r="C50" s="262"/>
      <c r="D50" s="262"/>
      <c r="E50" s="262"/>
      <c r="F50" s="262"/>
      <c r="G50" s="262"/>
      <c r="H50" s="262"/>
      <c r="I50" s="294"/>
    </row>
    <row r="51" spans="1:9" hidden="1" x14ac:dyDescent="0.25">
      <c r="A51" s="293"/>
      <c r="B51" s="262"/>
      <c r="C51" s="262"/>
      <c r="D51" s="262"/>
      <c r="E51" s="262"/>
      <c r="F51" s="262"/>
      <c r="G51" s="262"/>
      <c r="H51" s="262"/>
      <c r="I51" s="294"/>
    </row>
    <row r="52" spans="1:9" ht="0.75" customHeight="1" x14ac:dyDescent="0.25">
      <c r="A52" s="295"/>
      <c r="B52" s="296"/>
      <c r="C52" s="296"/>
      <c r="D52" s="296"/>
      <c r="E52" s="296"/>
      <c r="F52" s="296"/>
      <c r="G52" s="296"/>
      <c r="H52" s="296"/>
      <c r="I52" s="297"/>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opLeftCell="A40" zoomScaleNormal="100" workbookViewId="0">
      <selection activeCell="C46" sqref="C46"/>
    </sheetView>
  </sheetViews>
  <sheetFormatPr defaultColWidth="9.33203125" defaultRowHeight="15" x14ac:dyDescent="0.25"/>
  <cols>
    <col min="1" max="16384" width="9.33203125" style="2"/>
  </cols>
  <sheetData>
    <row r="1" spans="1:10" ht="15.6" x14ac:dyDescent="0.3">
      <c r="A1" s="55">
        <f>+'Cover Page'!C39</f>
        <v>2022</v>
      </c>
      <c r="B1" s="56" t="s">
        <v>145</v>
      </c>
      <c r="C1" s="56"/>
      <c r="D1" s="56"/>
      <c r="E1" s="56"/>
      <c r="F1" s="56"/>
      <c r="G1" s="56"/>
      <c r="H1" s="56"/>
      <c r="I1" s="56"/>
      <c r="J1" s="56"/>
    </row>
    <row r="2" spans="1:10" ht="8.25" customHeight="1" x14ac:dyDescent="0.25">
      <c r="A2" s="119"/>
      <c r="B2" s="119"/>
      <c r="C2" s="119"/>
      <c r="D2" s="119"/>
      <c r="E2" s="119"/>
      <c r="F2" s="119"/>
      <c r="G2" s="119"/>
      <c r="H2" s="119"/>
      <c r="I2" s="119"/>
      <c r="J2" s="119"/>
    </row>
    <row r="3" spans="1:10" s="3" customFormat="1" ht="13.8" x14ac:dyDescent="0.25">
      <c r="A3" s="302" t="str">
        <f>+'Cover Page'!B31</f>
        <v>Annual Performance Report 2022</v>
      </c>
      <c r="B3" s="302"/>
      <c r="C3" s="302"/>
      <c r="D3" s="302"/>
      <c r="E3" s="302"/>
      <c r="F3" s="3" t="s">
        <v>146</v>
      </c>
      <c r="G3" s="303">
        <f>+'Cover Page'!B37:I37</f>
        <v>0</v>
      </c>
      <c r="H3" s="303"/>
      <c r="I3" s="303"/>
    </row>
    <row r="4" spans="1:10" s="3" customFormat="1" ht="13.8" x14ac:dyDescent="0.25">
      <c r="A4" s="3" t="s">
        <v>147</v>
      </c>
      <c r="B4" s="302" t="str">
        <f>+'Cover Page'!B33:I33</f>
        <v>Permit EPR/RP3036QU</v>
      </c>
      <c r="C4" s="302"/>
      <c r="D4" s="302"/>
      <c r="E4" s="302"/>
      <c r="F4" s="3" t="s">
        <v>148</v>
      </c>
      <c r="G4" s="3" t="s">
        <v>149</v>
      </c>
    </row>
    <row r="5" spans="1:10" s="3" customFormat="1" ht="6.75" customHeight="1" x14ac:dyDescent="0.25"/>
    <row r="6" spans="1:10" s="3" customFormat="1" ht="15.75" customHeight="1" x14ac:dyDescent="0.25">
      <c r="A6" s="3" t="s">
        <v>150</v>
      </c>
      <c r="D6" s="304" t="s">
        <v>151</v>
      </c>
      <c r="E6" s="304"/>
      <c r="F6" s="57" t="s">
        <v>152</v>
      </c>
      <c r="G6" s="304" t="s">
        <v>153</v>
      </c>
      <c r="H6" s="304"/>
    </row>
    <row r="7" spans="1:10" s="3" customFormat="1" ht="7.5" customHeight="1" x14ac:dyDescent="0.25"/>
    <row r="8" spans="1:10" s="3" customFormat="1" ht="15.6" x14ac:dyDescent="0.3">
      <c r="A8" s="9">
        <f>+A1</f>
        <v>2022</v>
      </c>
      <c r="B8" s="56" t="s">
        <v>154</v>
      </c>
      <c r="C8"/>
      <c r="D8"/>
      <c r="E8"/>
      <c r="F8"/>
      <c r="G8"/>
    </row>
    <row r="9" spans="1:10" s="3" customFormat="1" ht="28.5" customHeight="1" x14ac:dyDescent="0.25">
      <c r="A9" s="305" t="s">
        <v>155</v>
      </c>
      <c r="B9" s="305"/>
      <c r="C9" s="305" t="s">
        <v>156</v>
      </c>
      <c r="D9" s="305"/>
      <c r="E9" s="305" t="s">
        <v>157</v>
      </c>
      <c r="F9" s="305"/>
      <c r="G9" s="305" t="s">
        <v>158</v>
      </c>
      <c r="H9" s="305"/>
      <c r="I9" s="305" t="s">
        <v>159</v>
      </c>
      <c r="J9" s="305"/>
    </row>
    <row r="10" spans="1:10" s="3" customFormat="1" ht="14.25" customHeight="1" x14ac:dyDescent="0.25">
      <c r="A10" s="298" t="s">
        <v>160</v>
      </c>
      <c r="B10" s="298"/>
      <c r="C10" s="298"/>
      <c r="D10" s="298"/>
      <c r="E10" s="298"/>
      <c r="F10" s="298"/>
      <c r="G10" s="298"/>
      <c r="H10" s="298"/>
      <c r="I10" s="298"/>
      <c r="J10" s="298"/>
    </row>
    <row r="11" spans="1:10" s="3" customFormat="1" ht="14.25" customHeight="1" x14ac:dyDescent="0.25">
      <c r="A11" s="298" t="s">
        <v>161</v>
      </c>
      <c r="B11" s="298"/>
      <c r="C11" s="299"/>
      <c r="D11" s="299"/>
      <c r="E11" s="300">
        <f>'Operational Data'!G33</f>
        <v>2131</v>
      </c>
      <c r="F11" s="300"/>
      <c r="G11" s="300">
        <v>0</v>
      </c>
      <c r="H11" s="300"/>
      <c r="I11" s="301">
        <f>IF((E11+G11)&gt;0,(E11+G11)/'Operational Data'!$G$21, "-")</f>
        <v>3.278411101367671E-2</v>
      </c>
      <c r="J11" s="301"/>
    </row>
    <row r="12" spans="1:10" s="3" customFormat="1" ht="14.25" customHeight="1" x14ac:dyDescent="0.25">
      <c r="A12" s="298" t="s">
        <v>162</v>
      </c>
      <c r="B12" s="298"/>
      <c r="C12" s="299"/>
      <c r="D12" s="299"/>
      <c r="E12" s="300">
        <v>0</v>
      </c>
      <c r="F12" s="300"/>
      <c r="G12" s="300">
        <v>0</v>
      </c>
      <c r="H12" s="300"/>
      <c r="I12" s="301" t="str">
        <f>IF((E12+G12)&gt;0,(E12+G12)/'Operational Data'!$G$21, "-")</f>
        <v>-</v>
      </c>
      <c r="J12" s="301"/>
    </row>
    <row r="13" spans="1:10" s="3" customFormat="1" ht="14.25" customHeight="1" x14ac:dyDescent="0.25">
      <c r="A13" s="306"/>
      <c r="B13" s="306"/>
      <c r="C13" s="299"/>
      <c r="D13" s="299"/>
      <c r="E13" s="300"/>
      <c r="F13" s="300"/>
      <c r="G13" s="300"/>
      <c r="H13" s="300"/>
      <c r="I13" s="301" t="str">
        <f>IF((E13+G13)&gt;0,(E13+G13)/'Operational Data'!$G$21, "-")</f>
        <v>-</v>
      </c>
      <c r="J13" s="301"/>
    </row>
    <row r="14" spans="1:10" s="3" customFormat="1" ht="14.25" customHeight="1" x14ac:dyDescent="0.25">
      <c r="A14" s="306"/>
      <c r="B14" s="306"/>
      <c r="C14" s="299"/>
      <c r="D14" s="299"/>
      <c r="E14" s="300"/>
      <c r="F14" s="300"/>
      <c r="G14" s="300"/>
      <c r="H14" s="300"/>
      <c r="I14" s="301" t="str">
        <f>IF((E14+G14)&gt;0,(E14+G14)/'Operational Data'!$G$21, "-")</f>
        <v>-</v>
      </c>
      <c r="J14" s="301"/>
    </row>
    <row r="15" spans="1:10" s="3" customFormat="1" ht="14.25" customHeight="1" x14ac:dyDescent="0.25">
      <c r="A15" s="313" t="s">
        <v>163</v>
      </c>
      <c r="B15" s="313"/>
      <c r="C15" s="313"/>
      <c r="D15" s="313"/>
      <c r="E15" s="314">
        <f>SUM(E11:F14)</f>
        <v>2131</v>
      </c>
      <c r="F15" s="314"/>
      <c r="G15" s="314">
        <f>SUM(G11:H14)</f>
        <v>0</v>
      </c>
      <c r="H15" s="314"/>
      <c r="I15" s="301">
        <f>IF((E15+G15)&gt;0,(E15+G15)/'Operational Data'!$G$21, "-")</f>
        <v>3.278411101367671E-2</v>
      </c>
      <c r="J15" s="301"/>
    </row>
    <row r="16" spans="1:10" s="3" customFormat="1" ht="14.25" customHeight="1" x14ac:dyDescent="0.25">
      <c r="A16" s="307"/>
      <c r="B16" s="308"/>
      <c r="C16" s="308"/>
      <c r="D16" s="308"/>
      <c r="E16" s="309"/>
      <c r="F16" s="309"/>
      <c r="G16" s="309"/>
      <c r="H16" s="309"/>
      <c r="I16" s="310"/>
      <c r="J16" s="311"/>
    </row>
    <row r="17" spans="1:10" s="3" customFormat="1" ht="14.25" customHeight="1" x14ac:dyDescent="0.25">
      <c r="A17" s="312" t="s">
        <v>164</v>
      </c>
      <c r="B17" s="312"/>
      <c r="C17" s="312"/>
      <c r="D17" s="312"/>
      <c r="E17" s="312"/>
      <c r="F17" s="312"/>
      <c r="G17" s="312"/>
      <c r="H17" s="312"/>
      <c r="I17" s="312"/>
      <c r="J17" s="312"/>
    </row>
    <row r="18" spans="1:10" ht="14.25" customHeight="1" x14ac:dyDescent="0.25">
      <c r="A18" s="298" t="s">
        <v>162</v>
      </c>
      <c r="B18" s="298"/>
      <c r="C18" s="299"/>
      <c r="D18" s="299"/>
      <c r="E18" s="300">
        <f>'Operational Data'!G34</f>
        <v>13294</v>
      </c>
      <c r="F18" s="300"/>
      <c r="G18" s="300">
        <v>0</v>
      </c>
      <c r="H18" s="300"/>
      <c r="I18" s="301">
        <f>IF((E18+G18)&gt;0,(E18+G18)/'Operational Data'!$G$21, "-")</f>
        <v>0.20451993046260827</v>
      </c>
      <c r="J18" s="301"/>
    </row>
    <row r="19" spans="1:10" s="3" customFormat="1" ht="14.25" customHeight="1" x14ac:dyDescent="0.25">
      <c r="A19" s="298" t="s">
        <v>165</v>
      </c>
      <c r="B19" s="298"/>
      <c r="C19" s="299"/>
      <c r="D19" s="299"/>
      <c r="E19" s="300">
        <f>'Operational Data'!G35</f>
        <v>0</v>
      </c>
      <c r="F19" s="300"/>
      <c r="G19" s="300">
        <v>0</v>
      </c>
      <c r="H19" s="300"/>
      <c r="I19" s="301" t="str">
        <f>IF((E19+G19)&gt;0,(E19+G19)/'Operational Data'!$G$21, "-")</f>
        <v>-</v>
      </c>
      <c r="J19" s="301"/>
    </row>
    <row r="20" spans="1:10" s="3" customFormat="1" ht="14.25" customHeight="1" x14ac:dyDescent="0.25">
      <c r="A20" s="315" t="s">
        <v>166</v>
      </c>
      <c r="B20" s="315"/>
      <c r="C20" s="299"/>
      <c r="D20" s="299"/>
      <c r="E20" s="316">
        <v>0</v>
      </c>
      <c r="F20" s="316"/>
      <c r="G20" s="316">
        <v>0</v>
      </c>
      <c r="H20" s="316"/>
      <c r="I20" s="301" t="str">
        <f>IF((E20+G20)&gt;0,(E20+G20)/'Operational Data'!$G$21, "-")</f>
        <v>-</v>
      </c>
      <c r="J20" s="301"/>
    </row>
    <row r="21" spans="1:10" s="3" customFormat="1" ht="14.25" customHeight="1" x14ac:dyDescent="0.25">
      <c r="A21" s="317"/>
      <c r="B21" s="317"/>
      <c r="C21" s="299"/>
      <c r="D21" s="299"/>
      <c r="E21" s="300"/>
      <c r="F21" s="300"/>
      <c r="G21" s="300"/>
      <c r="H21" s="300"/>
      <c r="I21" s="301" t="str">
        <f>IF((E21+G21)&gt;0,(E21+G21)/'Operational Data'!$G$21, "-")</f>
        <v>-</v>
      </c>
      <c r="J21" s="301"/>
    </row>
    <row r="22" spans="1:10" s="3" customFormat="1" ht="14.25" customHeight="1" x14ac:dyDescent="0.25">
      <c r="A22" s="317"/>
      <c r="B22" s="317"/>
      <c r="C22" s="299"/>
      <c r="D22" s="299"/>
      <c r="E22" s="300"/>
      <c r="F22" s="300"/>
      <c r="G22" s="300"/>
      <c r="H22" s="300"/>
      <c r="I22" s="301" t="str">
        <f>IF((E22+G22)&gt;0,(E22+G22)/'Operational Data'!$G$21, "-")</f>
        <v>-</v>
      </c>
      <c r="J22" s="301"/>
    </row>
    <row r="23" spans="1:10" s="3" customFormat="1" ht="14.25" customHeight="1" x14ac:dyDescent="0.25">
      <c r="A23" s="318" t="s">
        <v>167</v>
      </c>
      <c r="B23" s="318"/>
      <c r="C23" s="318"/>
      <c r="D23" s="318"/>
      <c r="E23" s="314">
        <f>SUM(E18:F22)</f>
        <v>13294</v>
      </c>
      <c r="F23" s="314"/>
      <c r="G23" s="314">
        <f>SUM(G18:H22)</f>
        <v>0</v>
      </c>
      <c r="H23" s="314"/>
      <c r="I23" s="301">
        <f>IF((E23+G23)&gt;0,(E23+G23)/'Operational Data'!$G$21, "-")</f>
        <v>0.20451993046260827</v>
      </c>
      <c r="J23" s="301"/>
    </row>
    <row r="24" spans="1:10" s="3" customFormat="1" ht="14.25" customHeight="1" x14ac:dyDescent="0.25">
      <c r="A24" s="329" t="s">
        <v>168</v>
      </c>
      <c r="B24" s="329"/>
      <c r="C24" s="329"/>
      <c r="D24" s="329"/>
      <c r="E24" s="330">
        <f>+E23+E15</f>
        <v>15425</v>
      </c>
      <c r="F24" s="330"/>
      <c r="G24" s="330">
        <f>+G23+G15</f>
        <v>0</v>
      </c>
      <c r="H24" s="330"/>
      <c r="I24" s="331">
        <f>IF((E24+G24)&gt;0,(E24+G24)/'Operational Data'!$G$21, "-")</f>
        <v>0.23730404147628498</v>
      </c>
      <c r="J24" s="332"/>
    </row>
    <row r="25" spans="1:10" s="3" customFormat="1" ht="8.25" customHeight="1" x14ac:dyDescent="0.3">
      <c r="A25" s="62"/>
      <c r="B25"/>
      <c r="C25"/>
      <c r="D25"/>
      <c r="E25"/>
      <c r="F25"/>
      <c r="G25"/>
    </row>
    <row r="26" spans="1:10" s="3" customFormat="1" ht="14.25" customHeight="1" x14ac:dyDescent="0.25">
      <c r="A26" s="333" t="s">
        <v>169</v>
      </c>
      <c r="B26" s="333"/>
      <c r="C26" s="333"/>
      <c r="D26" s="333"/>
      <c r="E26" s="333"/>
      <c r="F26" s="333"/>
      <c r="G26" s="333"/>
      <c r="H26" s="333"/>
      <c r="I26" s="333"/>
      <c r="J26" s="333"/>
    </row>
    <row r="27" spans="1:10" s="3" customFormat="1" ht="14.25" customHeight="1" x14ac:dyDescent="0.25">
      <c r="A27" s="334"/>
      <c r="B27" s="334"/>
      <c r="C27" s="334"/>
      <c r="D27" s="334"/>
      <c r="E27" s="334"/>
      <c r="F27" s="334"/>
      <c r="G27" s="334"/>
      <c r="H27" s="334"/>
      <c r="I27" s="334"/>
      <c r="J27" s="334"/>
    </row>
    <row r="28" spans="1:10" s="3" customFormat="1" ht="14.25" customHeight="1" x14ac:dyDescent="0.25">
      <c r="A28" s="334"/>
      <c r="B28" s="334"/>
      <c r="C28" s="334"/>
      <c r="D28" s="334"/>
      <c r="E28" s="334"/>
      <c r="F28" s="334"/>
      <c r="G28" s="334"/>
      <c r="H28" s="334"/>
      <c r="I28" s="334"/>
      <c r="J28" s="334"/>
    </row>
    <row r="29" spans="1:10" s="3" customFormat="1" ht="14.25" customHeight="1" x14ac:dyDescent="0.25">
      <c r="A29" s="334"/>
      <c r="B29" s="334"/>
      <c r="C29" s="334"/>
      <c r="D29" s="334"/>
      <c r="E29" s="334"/>
      <c r="F29" s="334"/>
      <c r="G29" s="334"/>
      <c r="H29" s="334"/>
      <c r="I29" s="334"/>
      <c r="J29" s="334"/>
    </row>
    <row r="30" spans="1:10" s="3" customFormat="1" ht="14.25" customHeight="1" x14ac:dyDescent="0.3">
      <c r="A30" s="62"/>
      <c r="B30"/>
      <c r="C30"/>
      <c r="D30"/>
      <c r="E30"/>
      <c r="F30"/>
      <c r="G30"/>
    </row>
    <row r="31" spans="1:10" s="3" customFormat="1" ht="14.25" customHeight="1" x14ac:dyDescent="0.3">
      <c r="A31" s="1">
        <f>+A1</f>
        <v>2022</v>
      </c>
      <c r="B31" s="56" t="s">
        <v>53</v>
      </c>
      <c r="C31" s="56"/>
      <c r="D31" s="56"/>
      <c r="E31" s="56"/>
      <c r="F31" s="56"/>
    </row>
    <row r="32" spans="1:10" s="3" customFormat="1" ht="24.75" customHeight="1" x14ac:dyDescent="0.25">
      <c r="A32" s="319" t="s">
        <v>170</v>
      </c>
      <c r="B32" s="320"/>
      <c r="C32" s="320"/>
      <c r="D32" s="321"/>
      <c r="E32" s="63" t="s">
        <v>171</v>
      </c>
      <c r="F32" s="64"/>
      <c r="G32" s="65" t="s">
        <v>72</v>
      </c>
      <c r="H32" s="322" t="s">
        <v>172</v>
      </c>
      <c r="I32" s="323"/>
      <c r="J32" s="66" t="s">
        <v>72</v>
      </c>
    </row>
    <row r="33" spans="1:10" s="3" customFormat="1" ht="14.25" customHeight="1" x14ac:dyDescent="0.25">
      <c r="A33" s="307" t="s">
        <v>115</v>
      </c>
      <c r="B33" s="308"/>
      <c r="C33" s="308"/>
      <c r="D33" s="324"/>
      <c r="E33" s="325">
        <f>+'Operational Data'!G41</f>
        <v>53982</v>
      </c>
      <c r="F33" s="326"/>
      <c r="G33" s="67" t="s">
        <v>116</v>
      </c>
      <c r="H33" s="327">
        <f>IF(E33&gt;0,E33/'Operational Data'!$G$21,"-")</f>
        <v>0.83047953108413719</v>
      </c>
      <c r="I33" s="328"/>
      <c r="J33" s="67" t="s">
        <v>173</v>
      </c>
    </row>
    <row r="34" spans="1:10" s="3" customFormat="1" ht="14.25" customHeight="1" x14ac:dyDescent="0.25">
      <c r="A34" s="307" t="s">
        <v>174</v>
      </c>
      <c r="B34" s="308"/>
      <c r="C34" s="308"/>
      <c r="D34" s="324"/>
      <c r="E34" s="325">
        <f>+'Operational Data'!G42+'Operational Data'!G41</f>
        <v>196987</v>
      </c>
      <c r="F34" s="326"/>
      <c r="G34" s="67" t="s">
        <v>116</v>
      </c>
      <c r="H34" s="327">
        <f>IF(E34&gt;0,E34/'Operational Data'!$G$21,"-")</f>
        <v>3.0305226073445022</v>
      </c>
      <c r="I34" s="328"/>
      <c r="J34" s="67" t="s">
        <v>173</v>
      </c>
    </row>
    <row r="35" spans="1:10" s="3" customFormat="1" ht="14.25" customHeight="1" x14ac:dyDescent="0.25">
      <c r="A35" s="307" t="s">
        <v>175</v>
      </c>
      <c r="B35" s="308"/>
      <c r="C35" s="308"/>
      <c r="D35" s="324"/>
      <c r="E35" s="325">
        <f>+'Operational Data'!G43</f>
        <v>28600</v>
      </c>
      <c r="F35" s="326"/>
      <c r="G35" s="67" t="s">
        <v>176</v>
      </c>
      <c r="H35" s="327">
        <f>IF(E35&gt;0,E35/'Operational Data'!$G$21,"-")</f>
        <v>0.43999323087337117</v>
      </c>
      <c r="I35" s="328"/>
      <c r="J35" s="67" t="s">
        <v>177</v>
      </c>
    </row>
    <row r="36" spans="1:10" s="3" customFormat="1" ht="14.25" customHeight="1" x14ac:dyDescent="0.25">
      <c r="A36" s="307" t="s">
        <v>120</v>
      </c>
      <c r="B36" s="308"/>
      <c r="C36" s="308"/>
      <c r="D36" s="324"/>
      <c r="E36" s="325">
        <f>+'Operational Data'!G44</f>
        <v>20920</v>
      </c>
      <c r="F36" s="326"/>
      <c r="G36" s="67" t="s">
        <v>176</v>
      </c>
      <c r="H36" s="327">
        <f>IF(E36&gt;0,E36/'Operational Data'!$G$21,"-")</f>
        <v>0.32184120244303932</v>
      </c>
      <c r="I36" s="328"/>
      <c r="J36" s="67" t="s">
        <v>177</v>
      </c>
    </row>
    <row r="37" spans="1:10" s="3" customFormat="1" ht="14.25" customHeight="1" x14ac:dyDescent="0.25">
      <c r="A37" s="307" t="s">
        <v>178</v>
      </c>
      <c r="B37" s="308"/>
      <c r="C37" s="308"/>
      <c r="D37" s="324"/>
      <c r="E37" s="325">
        <f>+'Operational Data'!G45</f>
        <v>807530</v>
      </c>
      <c r="F37" s="326"/>
      <c r="G37" s="67" t="s">
        <v>176</v>
      </c>
      <c r="H37" s="335">
        <f>IF(E37&gt;0,E37/'Operational Data'!$G$21,"-")</f>
        <v>12.423347333117952</v>
      </c>
      <c r="I37" s="336"/>
      <c r="J37" s="67" t="s">
        <v>177</v>
      </c>
    </row>
    <row r="38" spans="1:10" s="3" customFormat="1" ht="14.25" customHeight="1" x14ac:dyDescent="0.25">
      <c r="A38" s="337"/>
      <c r="B38" s="338"/>
      <c r="C38" s="338"/>
      <c r="D38" s="339"/>
      <c r="E38" s="340"/>
      <c r="F38" s="341"/>
      <c r="G38" s="68"/>
      <c r="H38" s="342"/>
      <c r="I38" s="343"/>
      <c r="J38" s="68"/>
    </row>
    <row r="39" spans="1:10" s="3" customFormat="1" ht="14.25" customHeight="1" x14ac:dyDescent="0.25">
      <c r="A39" s="333" t="s">
        <v>169</v>
      </c>
      <c r="B39" s="333"/>
      <c r="C39" s="333"/>
      <c r="D39" s="333"/>
      <c r="E39" s="333"/>
      <c r="F39" s="333"/>
      <c r="G39" s="333"/>
      <c r="H39" s="333"/>
      <c r="I39" s="333"/>
      <c r="J39" s="333"/>
    </row>
    <row r="40" spans="1:10" s="3" customFormat="1" ht="14.25" customHeight="1" x14ac:dyDescent="0.25">
      <c r="A40" s="334"/>
      <c r="B40" s="334"/>
      <c r="C40" s="334"/>
      <c r="D40" s="334"/>
      <c r="E40" s="334"/>
      <c r="F40" s="334"/>
      <c r="G40" s="334"/>
      <c r="H40" s="334"/>
      <c r="I40" s="334"/>
      <c r="J40" s="334"/>
    </row>
    <row r="41" spans="1:10" s="3" customFormat="1" ht="14.25" customHeight="1" x14ac:dyDescent="0.25">
      <c r="A41" s="334"/>
      <c r="B41" s="334"/>
      <c r="C41" s="334"/>
      <c r="D41" s="334"/>
      <c r="E41" s="334"/>
      <c r="F41" s="334"/>
      <c r="G41" s="334"/>
      <c r="H41" s="334"/>
      <c r="I41" s="334"/>
      <c r="J41" s="334"/>
    </row>
    <row r="42" spans="1:10" s="3" customFormat="1" ht="14.25" customHeight="1" x14ac:dyDescent="0.25">
      <c r="A42" s="69"/>
      <c r="B42" s="69"/>
      <c r="C42" s="69"/>
      <c r="D42" s="69"/>
      <c r="E42" s="69"/>
      <c r="F42" s="69"/>
      <c r="G42" s="69"/>
      <c r="H42" s="69"/>
      <c r="I42" s="69"/>
      <c r="J42" s="69"/>
    </row>
    <row r="43" spans="1:10" s="3" customFormat="1" ht="14.25" customHeight="1" x14ac:dyDescent="0.25">
      <c r="A43" s="56">
        <f>+A31</f>
        <v>2022</v>
      </c>
      <c r="B43" s="56" t="s">
        <v>179</v>
      </c>
      <c r="C43" s="56"/>
      <c r="D43" s="56"/>
      <c r="E43" s="56"/>
      <c r="F43" s="56"/>
      <c r="G43" s="119"/>
    </row>
    <row r="44" spans="1:10" ht="14.25" customHeight="1" x14ac:dyDescent="0.25">
      <c r="A44" s="344" t="s">
        <v>180</v>
      </c>
      <c r="B44" s="344"/>
      <c r="C44" s="344" t="s">
        <v>181</v>
      </c>
      <c r="D44" s="344"/>
      <c r="E44" s="344"/>
      <c r="F44" s="344"/>
      <c r="G44" s="344"/>
      <c r="H44" s="344"/>
      <c r="I44" s="344"/>
      <c r="J44" s="344"/>
    </row>
    <row r="45" spans="1:10" ht="14.25" customHeight="1" x14ac:dyDescent="0.25">
      <c r="A45" s="70"/>
      <c r="B45" s="70"/>
      <c r="C45" s="58" t="s">
        <v>182</v>
      </c>
      <c r="D45" s="58" t="s">
        <v>183</v>
      </c>
      <c r="E45" s="58" t="s">
        <v>184</v>
      </c>
      <c r="F45" s="58" t="s">
        <v>185</v>
      </c>
      <c r="G45" s="58" t="s">
        <v>186</v>
      </c>
      <c r="H45" s="58"/>
      <c r="I45" s="58" t="s">
        <v>187</v>
      </c>
      <c r="J45" s="58" t="s">
        <v>188</v>
      </c>
    </row>
    <row r="46" spans="1:10" ht="31.5" customHeight="1" x14ac:dyDescent="0.25">
      <c r="A46" s="298" t="s">
        <v>189</v>
      </c>
      <c r="B46" s="298"/>
      <c r="C46" s="163">
        <f>'Operational Data'!G51</f>
        <v>5225.5</v>
      </c>
      <c r="D46" s="60" t="s">
        <v>104</v>
      </c>
      <c r="E46" s="60" t="s">
        <v>104</v>
      </c>
      <c r="F46" s="60" t="s">
        <v>104</v>
      </c>
      <c r="G46" s="60" t="s">
        <v>104</v>
      </c>
      <c r="H46" s="60" t="s">
        <v>104</v>
      </c>
      <c r="I46" s="60" t="s">
        <v>104</v>
      </c>
      <c r="J46" s="60" t="s">
        <v>104</v>
      </c>
    </row>
    <row r="47" spans="1:10" ht="43.5" customHeight="1" x14ac:dyDescent="0.25">
      <c r="A47" s="298" t="s">
        <v>190</v>
      </c>
      <c r="B47" s="298"/>
      <c r="C47" s="163">
        <f>'Operational Data'!G61</f>
        <v>2</v>
      </c>
      <c r="D47" s="60" t="s">
        <v>104</v>
      </c>
      <c r="E47" s="60" t="s">
        <v>104</v>
      </c>
      <c r="F47" s="60" t="s">
        <v>104</v>
      </c>
      <c r="G47" s="60" t="s">
        <v>104</v>
      </c>
      <c r="H47" s="60" t="s">
        <v>104</v>
      </c>
      <c r="I47" s="60" t="s">
        <v>104</v>
      </c>
      <c r="J47" s="60" t="s">
        <v>104</v>
      </c>
    </row>
    <row r="48" spans="1:10" ht="42.75" customHeight="1" x14ac:dyDescent="0.25">
      <c r="A48" s="298" t="s">
        <v>191</v>
      </c>
      <c r="B48" s="298"/>
      <c r="C48" s="163">
        <f>'Operational Data'!G62</f>
        <v>3.5</v>
      </c>
      <c r="D48" s="60" t="s">
        <v>104</v>
      </c>
      <c r="E48" s="60" t="s">
        <v>104</v>
      </c>
      <c r="F48" s="60" t="s">
        <v>104</v>
      </c>
      <c r="G48" s="60" t="s">
        <v>104</v>
      </c>
      <c r="H48" s="60" t="s">
        <v>104</v>
      </c>
      <c r="I48" s="60" t="s">
        <v>104</v>
      </c>
      <c r="J48" s="60" t="s">
        <v>104</v>
      </c>
    </row>
    <row r="49" spans="1:10" ht="8.25" customHeight="1" x14ac:dyDescent="0.25">
      <c r="A49" s="119"/>
      <c r="B49" s="119"/>
      <c r="C49" s="119"/>
      <c r="D49" s="119"/>
      <c r="E49" s="119"/>
      <c r="F49" s="119"/>
      <c r="G49" s="119"/>
      <c r="H49" s="119"/>
      <c r="I49" s="119"/>
      <c r="J49" s="119"/>
    </row>
    <row r="50" spans="1:10" x14ac:dyDescent="0.25">
      <c r="A50" s="333" t="s">
        <v>169</v>
      </c>
      <c r="B50" s="333"/>
      <c r="C50" s="333"/>
      <c r="D50" s="333"/>
      <c r="E50" s="333"/>
      <c r="F50" s="333"/>
      <c r="G50" s="333"/>
      <c r="H50" s="333"/>
      <c r="I50" s="333"/>
      <c r="J50" s="333"/>
    </row>
    <row r="51" spans="1:10" x14ac:dyDescent="0.25">
      <c r="A51" s="334"/>
      <c r="B51" s="334"/>
      <c r="C51" s="334"/>
      <c r="D51" s="334"/>
      <c r="E51" s="334"/>
      <c r="F51" s="334"/>
      <c r="G51" s="334"/>
      <c r="H51" s="334"/>
      <c r="I51" s="334"/>
      <c r="J51" s="334"/>
    </row>
    <row r="52" spans="1:10" x14ac:dyDescent="0.25">
      <c r="A52" s="334"/>
      <c r="B52" s="334"/>
      <c r="C52" s="334"/>
      <c r="D52" s="334"/>
      <c r="E52" s="334"/>
      <c r="F52" s="334"/>
      <c r="G52" s="334"/>
      <c r="H52" s="334"/>
      <c r="I52" s="334"/>
      <c r="J52" s="334"/>
    </row>
    <row r="54" spans="1:10" x14ac:dyDescent="0.25">
      <c r="A54" s="3" t="s">
        <v>192</v>
      </c>
      <c r="B54" s="71"/>
      <c r="C54" s="71"/>
      <c r="D54" s="71"/>
      <c r="E54" s="71"/>
      <c r="F54" s="3"/>
      <c r="G54" s="3" t="s">
        <v>193</v>
      </c>
      <c r="H54" s="71"/>
      <c r="I54" s="71"/>
      <c r="J54" s="119"/>
    </row>
    <row r="62" spans="1:10" x14ac:dyDescent="0.25">
      <c r="A62" s="119"/>
      <c r="B62" s="119"/>
      <c r="C62" s="119"/>
      <c r="D62" s="119"/>
      <c r="E62" s="119"/>
      <c r="F62" s="3"/>
      <c r="G62" s="119"/>
      <c r="H62" s="119"/>
      <c r="I62" s="119"/>
      <c r="J62" s="119"/>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zoomScaleNormal="100" workbookViewId="0">
      <selection activeCell="C39" sqref="C39"/>
    </sheetView>
  </sheetViews>
  <sheetFormatPr defaultColWidth="9.33203125" defaultRowHeight="15" x14ac:dyDescent="0.25"/>
  <cols>
    <col min="1" max="1" width="9.44140625" style="2" bestFit="1" customWidth="1"/>
    <col min="2" max="16384" width="9.33203125" style="2"/>
  </cols>
  <sheetData>
    <row r="1" spans="1:10" ht="15.6" x14ac:dyDescent="0.3">
      <c r="A1" s="55">
        <f>+'Cover Page'!C39</f>
        <v>2022</v>
      </c>
      <c r="B1" s="56" t="s">
        <v>194</v>
      </c>
      <c r="C1" s="56"/>
      <c r="D1" s="56"/>
      <c r="E1" s="56"/>
      <c r="F1" s="56"/>
      <c r="G1" s="56"/>
      <c r="H1" s="56"/>
      <c r="I1" s="56"/>
      <c r="J1" s="56"/>
    </row>
    <row r="3" spans="1:10" s="3" customFormat="1" ht="15" customHeight="1" x14ac:dyDescent="0.25">
      <c r="A3" s="3" t="str">
        <f>+'Cover Page'!B31</f>
        <v>Annual Performance Report 2022</v>
      </c>
      <c r="F3" s="3" t="s">
        <v>146</v>
      </c>
      <c r="G3" s="345">
        <f>+'Cover Page'!B37:I37</f>
        <v>0</v>
      </c>
      <c r="H3" s="345"/>
      <c r="I3" s="345"/>
    </row>
    <row r="4" spans="1:10" s="3" customFormat="1" ht="13.8" x14ac:dyDescent="0.25"/>
    <row r="5" spans="1:10" s="3" customFormat="1" ht="13.8" x14ac:dyDescent="0.25">
      <c r="A5" s="3" t="s">
        <v>147</v>
      </c>
      <c r="B5" s="302" t="str">
        <f>+'Cover Page'!B33:I33</f>
        <v>Permit EPR/RP3036QU</v>
      </c>
      <c r="C5" s="302"/>
      <c r="D5" s="302"/>
      <c r="E5" s="302"/>
      <c r="F5" s="3" t="s">
        <v>148</v>
      </c>
      <c r="G5" s="3" t="s">
        <v>195</v>
      </c>
    </row>
    <row r="6" spans="1:10" s="3" customFormat="1" ht="13.8" x14ac:dyDescent="0.25"/>
    <row r="7" spans="1:10" s="3" customFormat="1" ht="15.75" customHeight="1" x14ac:dyDescent="0.25">
      <c r="A7" s="3" t="s">
        <v>150</v>
      </c>
      <c r="D7" s="346" t="str">
        <f>+'Perf. Form 1'!D6:E6</f>
        <v>January</v>
      </c>
      <c r="E7" s="346"/>
      <c r="F7" s="57" t="s">
        <v>152</v>
      </c>
      <c r="G7" s="346" t="str">
        <f>+'Perf. Form 1'!G6:H6</f>
        <v>December</v>
      </c>
      <c r="H7" s="346"/>
    </row>
    <row r="8" spans="1:10" s="3" customFormat="1" ht="14.4" x14ac:dyDescent="0.3">
      <c r="B8"/>
      <c r="C8"/>
      <c r="D8"/>
    </row>
    <row r="9" spans="1:10" s="3" customFormat="1" ht="37.5" customHeight="1" x14ac:dyDescent="0.25">
      <c r="A9" s="344" t="s">
        <v>196</v>
      </c>
      <c r="B9" s="344"/>
      <c r="C9" s="344"/>
      <c r="D9" s="305" t="s">
        <v>197</v>
      </c>
      <c r="E9" s="305"/>
      <c r="F9" s="58" t="s">
        <v>72</v>
      </c>
      <c r="G9" s="344" t="s">
        <v>198</v>
      </c>
      <c r="H9" s="344"/>
      <c r="I9" s="344"/>
    </row>
    <row r="10" spans="1:10" s="3" customFormat="1" ht="24.75" customHeight="1" x14ac:dyDescent="0.25">
      <c r="A10" s="298" t="s">
        <v>199</v>
      </c>
      <c r="B10" s="298"/>
      <c r="C10" s="298"/>
      <c r="D10" s="347">
        <f>+'Operational Data'!G23</f>
        <v>42185</v>
      </c>
      <c r="E10" s="347"/>
      <c r="F10" s="83" t="s">
        <v>95</v>
      </c>
      <c r="G10" s="348">
        <f>+'Operational Data'!H23</f>
        <v>648.99001553822245</v>
      </c>
      <c r="H10" s="348"/>
      <c r="I10" s="348"/>
    </row>
    <row r="11" spans="1:10" s="3" customFormat="1" ht="24.75" customHeight="1" x14ac:dyDescent="0.25">
      <c r="A11" s="298" t="s">
        <v>200</v>
      </c>
      <c r="B11" s="298"/>
      <c r="C11" s="298"/>
      <c r="D11" s="349">
        <f>+'Operational Data'!G26</f>
        <v>1676</v>
      </c>
      <c r="E11" s="349"/>
      <c r="F11" s="83" t="s">
        <v>95</v>
      </c>
      <c r="G11" s="348">
        <f>+'Operational Data'!H26</f>
        <v>25.784218704327625</v>
      </c>
      <c r="H11" s="348"/>
      <c r="I11" s="348"/>
    </row>
    <row r="12" spans="1:10" s="3" customFormat="1" ht="24.75" customHeight="1" x14ac:dyDescent="0.25">
      <c r="A12" s="298" t="s">
        <v>201</v>
      </c>
      <c r="B12" s="298"/>
      <c r="C12" s="298"/>
      <c r="D12" s="347">
        <f>+'Operational Data'!G24</f>
        <v>36215</v>
      </c>
      <c r="E12" s="347"/>
      <c r="F12" s="83" t="s">
        <v>95</v>
      </c>
      <c r="G12" s="348">
        <f>+'Operational Data'!H24</f>
        <v>557.14527468808171</v>
      </c>
      <c r="H12" s="348"/>
      <c r="I12" s="348"/>
    </row>
    <row r="13" spans="1:10" s="3" customFormat="1" ht="24.75" customHeight="1" x14ac:dyDescent="0.25">
      <c r="A13" s="298" t="s">
        <v>202</v>
      </c>
      <c r="B13" s="298"/>
      <c r="C13" s="298"/>
      <c r="D13" s="350">
        <f>'Operational Data'!G46</f>
        <v>561537</v>
      </c>
      <c r="E13" s="350"/>
      <c r="F13" s="83" t="s">
        <v>80</v>
      </c>
      <c r="G13" s="351" t="s">
        <v>203</v>
      </c>
      <c r="H13" s="352"/>
      <c r="I13" s="352"/>
    </row>
    <row r="14" spans="1:10" s="3" customFormat="1" ht="24.75" customHeight="1" x14ac:dyDescent="0.25">
      <c r="A14" s="298" t="s">
        <v>204</v>
      </c>
      <c r="B14" s="298"/>
      <c r="C14" s="298"/>
      <c r="D14" s="347">
        <f>+'Operational Data'!G29</f>
        <v>0</v>
      </c>
      <c r="E14" s="347"/>
      <c r="F14" s="83" t="s">
        <v>101</v>
      </c>
      <c r="G14" s="348" t="str">
        <f>+'Operational Data'!H29</f>
        <v>-</v>
      </c>
      <c r="H14" s="348"/>
      <c r="I14" s="348"/>
    </row>
    <row r="15" spans="1:10" s="3" customFormat="1" ht="24.75" customHeight="1" x14ac:dyDescent="0.25">
      <c r="A15" s="306"/>
      <c r="B15" s="306"/>
      <c r="C15" s="306"/>
      <c r="D15" s="306"/>
      <c r="E15" s="306"/>
      <c r="F15" s="60"/>
      <c r="G15" s="239"/>
      <c r="H15" s="239"/>
      <c r="I15" s="239"/>
    </row>
    <row r="16" spans="1:10" s="3" customFormat="1" ht="24.75" customHeight="1" x14ac:dyDescent="0.25">
      <c r="A16" s="306"/>
      <c r="B16" s="306"/>
      <c r="C16" s="306"/>
      <c r="D16" s="306"/>
      <c r="E16" s="306"/>
      <c r="F16" s="60"/>
      <c r="G16" s="239"/>
      <c r="H16" s="239"/>
      <c r="I16" s="239"/>
    </row>
    <row r="17" spans="1:9" s="3" customFormat="1" ht="14.4" x14ac:dyDescent="0.3">
      <c r="A17" s="72"/>
      <c r="B17"/>
      <c r="C17"/>
      <c r="D17"/>
    </row>
    <row r="18" spans="1:9" s="3" customFormat="1" ht="24" customHeight="1" x14ac:dyDescent="0.25">
      <c r="A18" s="333" t="s">
        <v>169</v>
      </c>
      <c r="B18" s="333"/>
      <c r="C18" s="333"/>
      <c r="D18" s="333"/>
      <c r="E18" s="333"/>
      <c r="F18" s="333"/>
      <c r="G18" s="333"/>
      <c r="H18" s="333"/>
      <c r="I18" s="333"/>
    </row>
    <row r="19" spans="1:9" s="3" customFormat="1" ht="13.8" x14ac:dyDescent="0.25">
      <c r="A19" s="353"/>
      <c r="B19" s="353"/>
      <c r="C19" s="353"/>
      <c r="D19" s="353"/>
      <c r="E19" s="353"/>
      <c r="F19" s="353"/>
      <c r="G19" s="353"/>
      <c r="H19" s="353"/>
      <c r="I19" s="353"/>
    </row>
    <row r="20" spans="1:9" s="3" customFormat="1" ht="13.8" x14ac:dyDescent="0.25">
      <c r="A20" s="353"/>
      <c r="B20" s="353"/>
      <c r="C20" s="353"/>
      <c r="D20" s="353"/>
      <c r="E20" s="353"/>
      <c r="F20" s="353"/>
      <c r="G20" s="353"/>
      <c r="H20" s="353"/>
      <c r="I20" s="353"/>
    </row>
    <row r="21" spans="1:9" s="3" customFormat="1" ht="13.8" x14ac:dyDescent="0.25">
      <c r="A21" s="353"/>
      <c r="B21" s="353"/>
      <c r="C21" s="353"/>
      <c r="D21" s="353"/>
      <c r="E21" s="353"/>
      <c r="F21" s="353"/>
      <c r="G21" s="353"/>
      <c r="H21" s="353"/>
      <c r="I21" s="353"/>
    </row>
    <row r="22" spans="1:9" s="3" customFormat="1" ht="13.8" x14ac:dyDescent="0.25">
      <c r="A22" s="353"/>
      <c r="B22" s="353"/>
      <c r="C22" s="353"/>
      <c r="D22" s="353"/>
      <c r="E22" s="353"/>
      <c r="F22" s="353"/>
      <c r="G22" s="353"/>
      <c r="H22" s="353"/>
      <c r="I22" s="353"/>
    </row>
    <row r="23" spans="1:9" s="3" customFormat="1" ht="13.8" x14ac:dyDescent="0.25">
      <c r="A23" s="353"/>
      <c r="B23" s="353"/>
      <c r="C23" s="353"/>
      <c r="D23" s="353"/>
      <c r="E23" s="353"/>
      <c r="F23" s="353"/>
      <c r="G23" s="353"/>
      <c r="H23" s="353"/>
      <c r="I23" s="353"/>
    </row>
    <row r="24" spans="1:9" s="3" customFormat="1" ht="13.8" x14ac:dyDescent="0.25">
      <c r="A24" s="353"/>
      <c r="B24" s="353"/>
      <c r="C24" s="353"/>
      <c r="D24" s="353"/>
      <c r="E24" s="353"/>
      <c r="F24" s="353"/>
      <c r="G24" s="353"/>
      <c r="H24" s="353"/>
      <c r="I24" s="353"/>
    </row>
    <row r="25" spans="1:9" s="3" customFormat="1" ht="13.8" x14ac:dyDescent="0.25">
      <c r="A25" s="353"/>
      <c r="B25" s="353"/>
      <c r="C25" s="353"/>
      <c r="D25" s="353"/>
      <c r="E25" s="353"/>
      <c r="F25" s="353"/>
      <c r="G25" s="353"/>
      <c r="H25" s="353"/>
      <c r="I25" s="353"/>
    </row>
    <row r="26" spans="1:9" s="3" customFormat="1" ht="13.8" x14ac:dyDescent="0.25">
      <c r="A26" s="69"/>
      <c r="B26" s="69"/>
      <c r="C26" s="69"/>
      <c r="D26" s="69"/>
      <c r="E26" s="69"/>
      <c r="F26" s="69"/>
      <c r="G26" s="69"/>
      <c r="H26" s="69"/>
      <c r="I26" s="69"/>
    </row>
    <row r="27" spans="1:9" s="3" customFormat="1" ht="13.8" x14ac:dyDescent="0.25"/>
    <row r="28" spans="1:9" s="3" customFormat="1" ht="13.8" x14ac:dyDescent="0.25"/>
    <row r="29" spans="1:9" s="3" customFormat="1" ht="13.8" x14ac:dyDescent="0.25">
      <c r="A29" s="3" t="s">
        <v>192</v>
      </c>
      <c r="B29" s="71"/>
      <c r="C29" s="71"/>
      <c r="D29" s="71"/>
      <c r="E29" s="71"/>
      <c r="G29" s="3" t="s">
        <v>193</v>
      </c>
      <c r="H29" s="71"/>
      <c r="I29" s="71"/>
    </row>
    <row r="30" spans="1:9" s="3" customFormat="1" ht="13.8" x14ac:dyDescent="0.25"/>
    <row r="31" spans="1:9" ht="14.25" customHeight="1" x14ac:dyDescent="0.25">
      <c r="A31" s="3"/>
      <c r="B31" s="3" t="s">
        <v>3</v>
      </c>
      <c r="C31" s="3"/>
      <c r="D31" s="3"/>
      <c r="E31" s="3"/>
      <c r="F31" s="3"/>
      <c r="G31" s="3"/>
      <c r="H31" s="3"/>
      <c r="I31" s="3"/>
    </row>
    <row r="32" spans="1:9" s="3" customFormat="1" ht="13.8" x14ac:dyDescent="0.25"/>
    <row r="33" spans="1:9" s="3" customFormat="1" ht="13.8" x14ac:dyDescent="0.25"/>
    <row r="34" spans="1:9" s="3" customFormat="1" x14ac:dyDescent="0.25">
      <c r="A34" s="119"/>
      <c r="B34" s="119"/>
      <c r="C34" s="119"/>
      <c r="D34" s="119"/>
      <c r="E34" s="119"/>
      <c r="F34" s="119"/>
      <c r="G34" s="119"/>
      <c r="H34" s="119"/>
      <c r="I34" s="119"/>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K70"/>
  <sheetViews>
    <sheetView showGridLines="0" topLeftCell="A28" zoomScale="120" zoomScaleNormal="120" workbookViewId="0">
      <selection activeCell="F13" sqref="F13:I13"/>
    </sheetView>
  </sheetViews>
  <sheetFormatPr defaultColWidth="9.33203125" defaultRowHeight="15" x14ac:dyDescent="0.25"/>
  <cols>
    <col min="1" max="1" width="12.33203125" style="170" customWidth="1"/>
    <col min="2" max="2" width="11.6640625" style="2" customWidth="1"/>
    <col min="3" max="3" width="18.33203125" style="2" bestFit="1" customWidth="1"/>
    <col min="4" max="4" width="5.6640625" style="2" customWidth="1"/>
    <col min="5" max="5" width="3.33203125" style="2" customWidth="1"/>
    <col min="6" max="6" width="9.33203125" style="2"/>
    <col min="7" max="7" width="22.33203125" style="2" customWidth="1"/>
    <col min="8" max="8" width="1.5546875" style="2" customWidth="1"/>
    <col min="9" max="9" width="10" style="2" customWidth="1"/>
    <col min="10" max="10" width="18" style="2" customWidth="1"/>
    <col min="11" max="11" width="10.6640625" style="2" bestFit="1" customWidth="1"/>
    <col min="12" max="16384" width="9.33203125" style="2"/>
  </cols>
  <sheetData>
    <row r="1" spans="1:9" x14ac:dyDescent="0.25">
      <c r="A1" s="224" t="str">
        <f>+'Cover Page'!$B$29</f>
        <v>Annual Performance Report 2022</v>
      </c>
      <c r="B1" s="119"/>
      <c r="C1" s="119"/>
      <c r="D1" s="119"/>
      <c r="E1" s="119" t="str">
        <f>+'Cover Page'!$B$33</f>
        <v>Permit EPR/RP3036QU</v>
      </c>
      <c r="F1" s="119"/>
      <c r="G1" s="119"/>
      <c r="H1" s="119"/>
      <c r="I1" s="119"/>
    </row>
    <row r="3" spans="1:9" ht="15.6" x14ac:dyDescent="0.3">
      <c r="A3" s="171" t="s">
        <v>205</v>
      </c>
      <c r="B3" s="119"/>
      <c r="C3" s="119"/>
      <c r="D3" s="119"/>
      <c r="E3" s="119"/>
      <c r="F3" s="119"/>
      <c r="G3" s="119"/>
      <c r="H3" s="119"/>
      <c r="I3" s="119"/>
    </row>
    <row r="4" spans="1:9" ht="15.6" x14ac:dyDescent="0.3">
      <c r="A4" s="171"/>
      <c r="B4" s="119"/>
      <c r="C4" s="119"/>
      <c r="D4" s="119"/>
      <c r="E4" s="119"/>
      <c r="F4" s="119"/>
      <c r="G4" s="119"/>
      <c r="H4" s="119"/>
      <c r="I4" s="119"/>
    </row>
    <row r="5" spans="1:9" x14ac:dyDescent="0.25">
      <c r="A5" s="172" t="s">
        <v>206</v>
      </c>
      <c r="B5" s="119"/>
      <c r="C5" s="119"/>
      <c r="D5" s="119"/>
      <c r="E5" s="119"/>
      <c r="F5" s="119"/>
      <c r="G5" s="119"/>
      <c r="H5" s="119"/>
      <c r="I5" s="119"/>
    </row>
    <row r="6" spans="1:9" x14ac:dyDescent="0.25">
      <c r="A6" s="172"/>
      <c r="B6" s="119"/>
      <c r="C6" s="119"/>
      <c r="D6" s="119"/>
      <c r="E6" s="119"/>
      <c r="F6" s="119"/>
      <c r="G6" s="119"/>
      <c r="H6" s="119"/>
      <c r="I6" s="119"/>
    </row>
    <row r="7" spans="1:9" x14ac:dyDescent="0.25">
      <c r="A7" s="173" t="s">
        <v>207</v>
      </c>
      <c r="B7" s="119"/>
      <c r="C7" s="119"/>
      <c r="D7" s="119"/>
      <c r="E7" s="119"/>
      <c r="F7" s="119"/>
      <c r="G7" s="119"/>
      <c r="H7" s="119"/>
      <c r="I7" s="119"/>
    </row>
    <row r="8" spans="1:9" s="3" customFormat="1" ht="25.5" customHeight="1" x14ac:dyDescent="0.25">
      <c r="A8" s="359" t="s">
        <v>208</v>
      </c>
      <c r="B8" s="360"/>
      <c r="C8" s="359" t="s">
        <v>209</v>
      </c>
      <c r="D8" s="361"/>
      <c r="E8" s="361"/>
      <c r="F8" s="361"/>
      <c r="G8" s="361"/>
      <c r="H8" s="361"/>
      <c r="I8" s="360"/>
    </row>
    <row r="9" spans="1:9" s="3" customFormat="1" ht="22.5" customHeight="1" x14ac:dyDescent="0.25">
      <c r="A9" s="362"/>
      <c r="B9" s="363"/>
      <c r="C9" s="364" t="s">
        <v>210</v>
      </c>
      <c r="D9" s="364"/>
      <c r="E9" s="364"/>
      <c r="F9" s="364" t="s">
        <v>211</v>
      </c>
      <c r="G9" s="364"/>
      <c r="H9" s="364"/>
      <c r="I9" s="364"/>
    </row>
    <row r="10" spans="1:9" s="3" customFormat="1" ht="22.5" customHeight="1" x14ac:dyDescent="0.25">
      <c r="A10" s="355" t="s">
        <v>212</v>
      </c>
      <c r="B10" s="355"/>
      <c r="C10" s="356">
        <v>0.99980000000000002</v>
      </c>
      <c r="D10" s="356"/>
      <c r="E10" s="356"/>
      <c r="F10" s="357">
        <v>1</v>
      </c>
      <c r="G10" s="358"/>
      <c r="H10" s="358"/>
      <c r="I10" s="358"/>
    </row>
    <row r="11" spans="1:9" s="3" customFormat="1" ht="22.5" customHeight="1" x14ac:dyDescent="0.25">
      <c r="A11" s="355" t="s">
        <v>213</v>
      </c>
      <c r="B11" s="355"/>
      <c r="C11" s="357">
        <v>1</v>
      </c>
      <c r="D11" s="358"/>
      <c r="E11" s="358"/>
      <c r="F11" s="357">
        <v>1</v>
      </c>
      <c r="G11" s="358"/>
      <c r="H11" s="358"/>
      <c r="I11" s="358"/>
    </row>
    <row r="12" spans="1:9" s="3" customFormat="1" ht="22.5" customHeight="1" x14ac:dyDescent="0.25">
      <c r="A12" s="355" t="s">
        <v>214</v>
      </c>
      <c r="B12" s="355"/>
      <c r="C12" s="357">
        <v>1</v>
      </c>
      <c r="D12" s="358"/>
      <c r="E12" s="358"/>
      <c r="F12" s="357">
        <v>1</v>
      </c>
      <c r="G12" s="358"/>
      <c r="H12" s="358"/>
      <c r="I12" s="358"/>
    </row>
    <row r="13" spans="1:9" s="3" customFormat="1" ht="28.5" customHeight="1" x14ac:dyDescent="0.25">
      <c r="A13" s="355" t="s">
        <v>215</v>
      </c>
      <c r="B13" s="355"/>
      <c r="C13" s="365" t="s">
        <v>216</v>
      </c>
      <c r="D13" s="358"/>
      <c r="E13" s="358"/>
      <c r="F13" s="357">
        <v>0.99760000000000004</v>
      </c>
      <c r="G13" s="358"/>
      <c r="H13" s="358"/>
      <c r="I13" s="358"/>
    </row>
    <row r="14" spans="1:9" s="3" customFormat="1" ht="22.5" customHeight="1" x14ac:dyDescent="0.25">
      <c r="A14" s="355" t="s">
        <v>217</v>
      </c>
      <c r="B14" s="355"/>
      <c r="C14" s="357">
        <v>1</v>
      </c>
      <c r="D14" s="358"/>
      <c r="E14" s="358"/>
      <c r="F14" s="357">
        <v>1</v>
      </c>
      <c r="G14" s="358"/>
      <c r="H14" s="358"/>
      <c r="I14" s="358"/>
    </row>
    <row r="15" spans="1:9" s="3" customFormat="1" ht="22.5" customHeight="1" x14ac:dyDescent="0.25">
      <c r="A15" s="355" t="s">
        <v>218</v>
      </c>
      <c r="B15" s="355"/>
      <c r="C15" s="357">
        <v>1</v>
      </c>
      <c r="D15" s="358"/>
      <c r="E15" s="358"/>
      <c r="F15" s="357">
        <v>1</v>
      </c>
      <c r="G15" s="358"/>
      <c r="H15" s="358"/>
      <c r="I15" s="358"/>
    </row>
    <row r="16" spans="1:9" s="3" customFormat="1" ht="22.5" customHeight="1" x14ac:dyDescent="0.25">
      <c r="A16" s="355" t="s">
        <v>175</v>
      </c>
      <c r="B16" s="355"/>
      <c r="C16" s="356">
        <v>0.99990000000000001</v>
      </c>
      <c r="D16" s="358"/>
      <c r="E16" s="358"/>
      <c r="F16" s="358" t="s">
        <v>104</v>
      </c>
      <c r="G16" s="358"/>
      <c r="H16" s="358"/>
      <c r="I16" s="358"/>
    </row>
    <row r="17" spans="1:11" s="3" customFormat="1" ht="22.5" customHeight="1" x14ac:dyDescent="0.25">
      <c r="A17" s="369"/>
      <c r="B17" s="370"/>
      <c r="C17" s="368"/>
      <c r="D17" s="368"/>
      <c r="E17" s="368"/>
      <c r="F17" s="368"/>
      <c r="G17" s="368"/>
      <c r="H17" s="368"/>
      <c r="I17" s="368"/>
    </row>
    <row r="18" spans="1:11" s="3" customFormat="1" ht="13.8" x14ac:dyDescent="0.25">
      <c r="A18" s="174"/>
    </row>
    <row r="19" spans="1:11" s="72" customFormat="1" ht="21.75" customHeight="1" x14ac:dyDescent="0.3">
      <c r="A19" s="377" t="s">
        <v>219</v>
      </c>
      <c r="B19" s="378"/>
      <c r="C19" s="378"/>
      <c r="D19" s="378"/>
      <c r="E19" s="378"/>
      <c r="F19" s="378"/>
      <c r="G19" s="378"/>
      <c r="H19" s="378"/>
      <c r="I19" s="378"/>
      <c r="J19" s="378"/>
      <c r="K19" s="379"/>
    </row>
    <row r="20" spans="1:11" s="3" customFormat="1" ht="38.25" customHeight="1" x14ac:dyDescent="0.25">
      <c r="A20" s="175" t="s">
        <v>52</v>
      </c>
      <c r="B20" s="366" t="s">
        <v>220</v>
      </c>
      <c r="C20" s="366"/>
      <c r="D20" s="366"/>
      <c r="E20" s="366" t="s">
        <v>221</v>
      </c>
      <c r="F20" s="366"/>
      <c r="G20" s="366"/>
      <c r="H20" s="366" t="s">
        <v>222</v>
      </c>
      <c r="I20" s="366"/>
      <c r="J20" s="367"/>
      <c r="K20" s="102"/>
    </row>
    <row r="21" spans="1:11" s="3" customFormat="1" ht="51.75" customHeight="1" x14ac:dyDescent="0.25">
      <c r="A21" s="198">
        <v>44620</v>
      </c>
      <c r="B21" s="380" t="s">
        <v>223</v>
      </c>
      <c r="C21" s="381"/>
      <c r="D21" s="382"/>
      <c r="E21" s="371" t="s">
        <v>224</v>
      </c>
      <c r="F21" s="371"/>
      <c r="G21" s="371"/>
      <c r="H21" s="372"/>
      <c r="I21" s="383"/>
      <c r="J21" s="384"/>
      <c r="K21" s="102"/>
    </row>
    <row r="22" spans="1:11" s="3" customFormat="1" ht="211.5" customHeight="1" x14ac:dyDescent="0.25">
      <c r="A22" s="199">
        <v>44625</v>
      </c>
      <c r="B22" s="371" t="s">
        <v>225</v>
      </c>
      <c r="C22" s="371"/>
      <c r="D22" s="371"/>
      <c r="E22" s="371" t="s">
        <v>226</v>
      </c>
      <c r="F22" s="371"/>
      <c r="G22" s="371"/>
      <c r="H22" s="371" t="s">
        <v>227</v>
      </c>
      <c r="I22" s="371"/>
      <c r="J22" s="372"/>
      <c r="K22" s="102"/>
    </row>
    <row r="23" spans="1:11" s="3" customFormat="1" ht="307.5" customHeight="1" x14ac:dyDescent="0.25">
      <c r="A23" s="200">
        <v>44599</v>
      </c>
      <c r="B23" s="371" t="s">
        <v>228</v>
      </c>
      <c r="C23" s="371"/>
      <c r="D23" s="371"/>
      <c r="E23" s="371" t="s">
        <v>229</v>
      </c>
      <c r="F23" s="371"/>
      <c r="G23" s="371"/>
      <c r="H23" s="371" t="s">
        <v>230</v>
      </c>
      <c r="I23" s="371"/>
      <c r="J23" s="372"/>
      <c r="K23" s="102"/>
    </row>
    <row r="24" spans="1:11" s="3" customFormat="1" ht="80.25" customHeight="1" x14ac:dyDescent="0.25">
      <c r="A24" s="200">
        <v>44769</v>
      </c>
      <c r="B24" s="372" t="s">
        <v>231</v>
      </c>
      <c r="C24" s="373"/>
      <c r="D24" s="374"/>
      <c r="E24" s="372" t="s">
        <v>232</v>
      </c>
      <c r="F24" s="373"/>
      <c r="G24" s="374"/>
      <c r="H24" s="372"/>
      <c r="I24" s="373"/>
      <c r="J24" s="374"/>
      <c r="K24" s="102"/>
    </row>
    <row r="25" spans="1:11" s="3" customFormat="1" ht="80.25" customHeight="1" x14ac:dyDescent="0.25">
      <c r="A25" s="200">
        <v>44769</v>
      </c>
      <c r="B25" s="372" t="s">
        <v>233</v>
      </c>
      <c r="C25" s="373"/>
      <c r="D25" s="374"/>
      <c r="E25" s="372" t="s">
        <v>232</v>
      </c>
      <c r="F25" s="373"/>
      <c r="G25" s="374"/>
      <c r="H25" s="372"/>
      <c r="I25" s="373"/>
      <c r="J25" s="374"/>
      <c r="K25" s="102"/>
    </row>
    <row r="26" spans="1:11" s="3" customFormat="1" ht="81.75" customHeight="1" x14ac:dyDescent="0.25">
      <c r="A26" s="200">
        <v>44771</v>
      </c>
      <c r="B26" s="372" t="s">
        <v>234</v>
      </c>
      <c r="C26" s="373"/>
      <c r="D26" s="374"/>
      <c r="E26" s="372" t="s">
        <v>232</v>
      </c>
      <c r="F26" s="373"/>
      <c r="G26" s="374"/>
      <c r="H26" s="372"/>
      <c r="I26" s="373"/>
      <c r="J26" s="374"/>
      <c r="K26" s="102"/>
    </row>
    <row r="27" spans="1:11" s="3" customFormat="1" ht="408" customHeight="1" x14ac:dyDescent="0.25">
      <c r="A27" s="200">
        <v>44809</v>
      </c>
      <c r="B27" s="372" t="s">
        <v>235</v>
      </c>
      <c r="C27" s="373"/>
      <c r="D27" s="374"/>
      <c r="E27" s="372" t="s">
        <v>236</v>
      </c>
      <c r="F27" s="373"/>
      <c r="G27" s="374"/>
      <c r="H27" s="372" t="s">
        <v>237</v>
      </c>
      <c r="I27" s="373"/>
      <c r="J27" s="374"/>
      <c r="K27" s="102"/>
    </row>
    <row r="28" spans="1:11" s="3" customFormat="1" ht="328.5" customHeight="1" x14ac:dyDescent="0.25">
      <c r="A28" s="199">
        <v>44899</v>
      </c>
      <c r="B28" s="371" t="s">
        <v>238</v>
      </c>
      <c r="C28" s="371"/>
      <c r="D28" s="371"/>
      <c r="E28" s="371" t="s">
        <v>239</v>
      </c>
      <c r="F28" s="371"/>
      <c r="G28" s="371"/>
      <c r="H28" s="371" t="s">
        <v>240</v>
      </c>
      <c r="I28" s="371"/>
      <c r="J28" s="372"/>
      <c r="K28" s="102"/>
    </row>
    <row r="29" spans="1:11" s="3" customFormat="1" ht="13.8" x14ac:dyDescent="0.25">
      <c r="A29" s="174"/>
    </row>
    <row r="30" spans="1:11" s="72" customFormat="1" ht="22.5" customHeight="1" x14ac:dyDescent="0.3">
      <c r="A30" s="377" t="s">
        <v>241</v>
      </c>
      <c r="B30" s="378"/>
      <c r="C30" s="378"/>
      <c r="D30" s="378"/>
      <c r="E30" s="378"/>
      <c r="F30" s="378"/>
      <c r="G30" s="378"/>
      <c r="H30" s="378"/>
      <c r="I30" s="378"/>
      <c r="J30" s="378"/>
      <c r="K30" s="379"/>
    </row>
    <row r="31" spans="1:11" s="3" customFormat="1" ht="39" customHeight="1" x14ac:dyDescent="0.25">
      <c r="A31" s="175" t="s">
        <v>52</v>
      </c>
      <c r="B31" s="366" t="s">
        <v>242</v>
      </c>
      <c r="C31" s="366"/>
      <c r="D31" s="366"/>
      <c r="E31" s="366" t="s">
        <v>243</v>
      </c>
      <c r="F31" s="366"/>
      <c r="G31" s="366"/>
      <c r="H31" s="366" t="s">
        <v>222</v>
      </c>
      <c r="I31" s="366"/>
      <c r="J31" s="367"/>
      <c r="K31" s="102"/>
    </row>
    <row r="32" spans="1:11" s="3" customFormat="1" ht="45.75" customHeight="1" x14ac:dyDescent="0.25">
      <c r="A32" s="176"/>
      <c r="B32" s="239"/>
      <c r="C32" s="239"/>
      <c r="D32" s="239"/>
      <c r="E32" s="376"/>
      <c r="F32" s="376"/>
      <c r="G32" s="376"/>
      <c r="H32" s="239"/>
      <c r="I32" s="239"/>
      <c r="J32" s="375"/>
      <c r="K32" s="102"/>
    </row>
    <row r="33" spans="1:11" s="3" customFormat="1" ht="13.8" x14ac:dyDescent="0.25">
      <c r="A33" s="176"/>
      <c r="B33" s="239"/>
      <c r="C33" s="239"/>
      <c r="D33" s="239"/>
      <c r="E33" s="239"/>
      <c r="F33" s="239"/>
      <c r="G33" s="239"/>
      <c r="H33" s="239"/>
      <c r="I33" s="239"/>
      <c r="J33" s="375"/>
      <c r="K33" s="102"/>
    </row>
    <row r="34" spans="1:11" ht="14.25" customHeight="1" x14ac:dyDescent="0.25">
      <c r="A34" s="176"/>
      <c r="B34" s="239"/>
      <c r="C34" s="239"/>
      <c r="D34" s="239"/>
      <c r="E34" s="239"/>
      <c r="F34" s="239"/>
      <c r="G34" s="239"/>
      <c r="H34" s="239"/>
      <c r="I34" s="239"/>
      <c r="J34" s="375"/>
      <c r="K34" s="102"/>
    </row>
    <row r="35" spans="1:11" s="3" customFormat="1" ht="13.8" x14ac:dyDescent="0.25">
      <c r="A35" s="176"/>
      <c r="B35" s="239"/>
      <c r="C35" s="239"/>
      <c r="D35" s="239"/>
      <c r="E35" s="239"/>
      <c r="F35" s="239"/>
      <c r="G35" s="239"/>
      <c r="H35" s="239"/>
      <c r="I35" s="239"/>
      <c r="J35" s="375"/>
      <c r="K35" s="102"/>
    </row>
    <row r="36" spans="1:11" s="3" customFormat="1" ht="13.8" x14ac:dyDescent="0.25">
      <c r="A36" s="176"/>
      <c r="B36" s="239"/>
      <c r="C36" s="239"/>
      <c r="D36" s="239"/>
      <c r="E36" s="239"/>
      <c r="F36" s="239"/>
      <c r="G36" s="239"/>
      <c r="H36" s="239"/>
      <c r="I36" s="239"/>
      <c r="J36" s="375"/>
      <c r="K36" s="102"/>
    </row>
    <row r="37" spans="1:11" s="3" customFormat="1" ht="29.25" customHeight="1" x14ac:dyDescent="0.25">
      <c r="A37" s="173"/>
      <c r="E37" s="354" t="s">
        <v>244</v>
      </c>
      <c r="F37" s="354"/>
      <c r="G37" s="354"/>
      <c r="H37" s="354"/>
      <c r="I37" s="354"/>
      <c r="J37" s="13"/>
    </row>
    <row r="70" spans="6:6" x14ac:dyDescent="0.25">
      <c r="F70" s="3"/>
    </row>
  </sheetData>
  <mergeCells count="77">
    <mergeCell ref="B27:D27"/>
    <mergeCell ref="E27:G27"/>
    <mergeCell ref="H27:J27"/>
    <mergeCell ref="A30:K30"/>
    <mergeCell ref="A19:K19"/>
    <mergeCell ref="B23:D23"/>
    <mergeCell ref="E23:G23"/>
    <mergeCell ref="H23:J23"/>
    <mergeCell ref="B28:D28"/>
    <mergeCell ref="E28:G28"/>
    <mergeCell ref="H28:J28"/>
    <mergeCell ref="B21:D21"/>
    <mergeCell ref="E21:G21"/>
    <mergeCell ref="H21:J21"/>
    <mergeCell ref="B22:D22"/>
    <mergeCell ref="E22:G22"/>
    <mergeCell ref="B31:D31"/>
    <mergeCell ref="E31:G31"/>
    <mergeCell ref="H31:J31"/>
    <mergeCell ref="B32:D32"/>
    <mergeCell ref="E32:G32"/>
    <mergeCell ref="H32:J32"/>
    <mergeCell ref="B36:D36"/>
    <mergeCell ref="E36:G36"/>
    <mergeCell ref="H36:J36"/>
    <mergeCell ref="B33:D33"/>
    <mergeCell ref="E33:G33"/>
    <mergeCell ref="H33:J33"/>
    <mergeCell ref="B34:D34"/>
    <mergeCell ref="E34:G34"/>
    <mergeCell ref="H34:J34"/>
    <mergeCell ref="B35:D35"/>
    <mergeCell ref="E35:G35"/>
    <mergeCell ref="H35:J35"/>
    <mergeCell ref="H22:J22"/>
    <mergeCell ref="B26:D26"/>
    <mergeCell ref="E26:G26"/>
    <mergeCell ref="H26:J26"/>
    <mergeCell ref="E24:G24"/>
    <mergeCell ref="B24:D24"/>
    <mergeCell ref="H24:J24"/>
    <mergeCell ref="B25:D25"/>
    <mergeCell ref="E25:G25"/>
    <mergeCell ref="H25:J25"/>
    <mergeCell ref="B20:D20"/>
    <mergeCell ref="E20:G20"/>
    <mergeCell ref="H20:J20"/>
    <mergeCell ref="A15:B15"/>
    <mergeCell ref="C15:E15"/>
    <mergeCell ref="F15:I15"/>
    <mergeCell ref="A16:B16"/>
    <mergeCell ref="C17:E17"/>
    <mergeCell ref="F17:I17"/>
    <mergeCell ref="C16:E16"/>
    <mergeCell ref="F16:I16"/>
    <mergeCell ref="A17:B17"/>
    <mergeCell ref="C13:E13"/>
    <mergeCell ref="F13:I13"/>
    <mergeCell ref="A14:B14"/>
    <mergeCell ref="C14:E14"/>
    <mergeCell ref="F14:I14"/>
    <mergeCell ref="E37:I37"/>
    <mergeCell ref="A10:B10"/>
    <mergeCell ref="C10:E10"/>
    <mergeCell ref="F10:I10"/>
    <mergeCell ref="A8:B8"/>
    <mergeCell ref="C8:I8"/>
    <mergeCell ref="A9:B9"/>
    <mergeCell ref="C9:E9"/>
    <mergeCell ref="F9:I9"/>
    <mergeCell ref="A11:B11"/>
    <mergeCell ref="C11:E11"/>
    <mergeCell ref="F11:I11"/>
    <mergeCell ref="A12:B12"/>
    <mergeCell ref="C12:E12"/>
    <mergeCell ref="F12:I12"/>
    <mergeCell ref="A13:B13"/>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47"/>
  <sheetViews>
    <sheetView showGridLines="0" zoomScaleNormal="100" workbookViewId="0">
      <selection activeCell="Q27" sqref="Q27"/>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19" t="str">
        <f>+'Cover Page'!$B$29</f>
        <v>Annual Performance Report 2022</v>
      </c>
      <c r="B1" s="119"/>
      <c r="C1" s="119"/>
      <c r="D1" s="119"/>
      <c r="E1" s="119" t="str">
        <f>+'Cover Page'!$B$33</f>
        <v>Permit EPR/RP3036QU</v>
      </c>
      <c r="F1" s="119"/>
      <c r="G1" s="119"/>
      <c r="H1" s="119"/>
      <c r="I1" s="119"/>
      <c r="J1" s="119"/>
    </row>
    <row r="3" spans="1:10" ht="15.6" x14ac:dyDescent="0.3">
      <c r="A3" s="1" t="s">
        <v>245</v>
      </c>
      <c r="B3" s="119"/>
      <c r="C3" s="119"/>
      <c r="D3" s="119"/>
      <c r="E3" s="119"/>
      <c r="F3" s="119"/>
      <c r="G3" s="119"/>
      <c r="H3" s="119"/>
      <c r="I3" s="119"/>
      <c r="J3" s="119"/>
    </row>
    <row r="4" spans="1:10" ht="15.6" x14ac:dyDescent="0.3">
      <c r="A4" s="1"/>
      <c r="B4" s="119"/>
      <c r="C4" s="119"/>
      <c r="D4" s="119"/>
      <c r="E4" s="119"/>
      <c r="F4" s="119"/>
      <c r="G4" s="119"/>
      <c r="H4" s="119"/>
      <c r="I4" s="119"/>
      <c r="J4" s="119"/>
    </row>
    <row r="5" spans="1:10" s="3" customFormat="1" ht="13.8" x14ac:dyDescent="0.25">
      <c r="A5" s="389" t="s">
        <v>246</v>
      </c>
      <c r="B5" s="390"/>
      <c r="C5" s="390"/>
      <c r="D5" s="390"/>
      <c r="E5" s="390"/>
      <c r="F5" s="390"/>
      <c r="G5" s="390"/>
      <c r="H5" s="390"/>
      <c r="I5" s="390"/>
      <c r="J5" s="391"/>
    </row>
    <row r="6" spans="1:10" s="3" customFormat="1" ht="15.75" customHeight="1" x14ac:dyDescent="0.25">
      <c r="A6" s="392" t="s">
        <v>247</v>
      </c>
      <c r="B6" s="392"/>
      <c r="C6" s="392"/>
      <c r="D6" s="392"/>
      <c r="E6" s="392"/>
      <c r="F6" s="392"/>
      <c r="G6" s="392"/>
      <c r="H6" s="392"/>
      <c r="I6" s="392"/>
      <c r="J6" s="393"/>
    </row>
    <row r="7" spans="1:10" s="3" customFormat="1" ht="15.75" customHeight="1" x14ac:dyDescent="0.25">
      <c r="A7" s="394"/>
      <c r="B7" s="394"/>
      <c r="C7" s="394"/>
      <c r="D7" s="394"/>
      <c r="E7" s="394"/>
      <c r="F7" s="394"/>
      <c r="G7" s="394"/>
      <c r="H7" s="394"/>
      <c r="I7" s="394"/>
      <c r="J7" s="395"/>
    </row>
    <row r="8" spans="1:10" s="3" customFormat="1" ht="15.75" customHeight="1" x14ac:dyDescent="0.25">
      <c r="A8" s="394"/>
      <c r="B8" s="394"/>
      <c r="C8" s="394"/>
      <c r="D8" s="394"/>
      <c r="E8" s="394"/>
      <c r="F8" s="394"/>
      <c r="G8" s="394"/>
      <c r="H8" s="394"/>
      <c r="I8" s="394"/>
      <c r="J8" s="395"/>
    </row>
    <row r="9" spans="1:10" s="3" customFormat="1" ht="15.75" customHeight="1" x14ac:dyDescent="0.25">
      <c r="A9" s="394"/>
      <c r="B9" s="394"/>
      <c r="C9" s="394"/>
      <c r="D9" s="394"/>
      <c r="E9" s="394"/>
      <c r="F9" s="394"/>
      <c r="G9" s="394"/>
      <c r="H9" s="394"/>
      <c r="I9" s="394"/>
      <c r="J9" s="395"/>
    </row>
    <row r="10" spans="1:10" s="3" customFormat="1" ht="15.75" customHeight="1" x14ac:dyDescent="0.25">
      <c r="A10" s="394"/>
      <c r="B10" s="394"/>
      <c r="C10" s="394"/>
      <c r="D10" s="394"/>
      <c r="E10" s="394"/>
      <c r="F10" s="394"/>
      <c r="G10" s="394"/>
      <c r="H10" s="394"/>
      <c r="I10" s="394"/>
      <c r="J10" s="395"/>
    </row>
    <row r="11" spans="1:10" s="3" customFormat="1" ht="4.5" customHeight="1" x14ac:dyDescent="0.25">
      <c r="A11" s="394"/>
      <c r="B11" s="394"/>
      <c r="C11" s="394"/>
      <c r="D11" s="394"/>
      <c r="E11" s="394"/>
      <c r="F11" s="394"/>
      <c r="G11" s="394"/>
      <c r="H11" s="394"/>
      <c r="I11" s="394"/>
      <c r="J11" s="395"/>
    </row>
    <row r="12" spans="1:10" s="3" customFormat="1" ht="15.75" hidden="1" customHeight="1" x14ac:dyDescent="0.25">
      <c r="A12" s="394"/>
      <c r="B12" s="394"/>
      <c r="C12" s="394"/>
      <c r="D12" s="394"/>
      <c r="E12" s="394"/>
      <c r="F12" s="394"/>
      <c r="G12" s="394"/>
      <c r="H12" s="394"/>
      <c r="I12" s="394"/>
      <c r="J12" s="395"/>
    </row>
    <row r="13" spans="1:10" s="3" customFormat="1" ht="15.75" hidden="1" customHeight="1" x14ac:dyDescent="0.25">
      <c r="A13" s="394"/>
      <c r="B13" s="394"/>
      <c r="C13" s="394"/>
      <c r="D13" s="394"/>
      <c r="E13" s="394"/>
      <c r="F13" s="394"/>
      <c r="G13" s="394"/>
      <c r="H13" s="394"/>
      <c r="I13" s="394"/>
      <c r="J13" s="395"/>
    </row>
    <row r="14" spans="1:10" s="3" customFormat="1" ht="2.25" customHeight="1" x14ac:dyDescent="0.25">
      <c r="A14" s="396"/>
      <c r="B14" s="396"/>
      <c r="C14" s="396"/>
      <c r="D14" s="396"/>
      <c r="E14" s="396"/>
      <c r="F14" s="396"/>
      <c r="G14" s="396"/>
      <c r="H14" s="396"/>
      <c r="I14" s="396"/>
      <c r="J14" s="397"/>
    </row>
    <row r="15" spans="1:10" s="3" customFormat="1" ht="13.8" x14ac:dyDescent="0.25"/>
    <row r="16" spans="1:10" s="74" customFormat="1" ht="33.75" customHeight="1" x14ac:dyDescent="0.3">
      <c r="A16" s="386" t="s">
        <v>248</v>
      </c>
      <c r="B16" s="387"/>
      <c r="C16" s="387"/>
      <c r="D16" s="387"/>
      <c r="E16" s="387"/>
      <c r="F16" s="387"/>
      <c r="G16" s="387"/>
      <c r="H16" s="387"/>
      <c r="I16" s="387"/>
      <c r="J16" s="388"/>
    </row>
    <row r="17" spans="1:10" ht="15.75" customHeight="1" x14ac:dyDescent="0.25">
      <c r="A17" s="385" t="s">
        <v>249</v>
      </c>
      <c r="B17" s="261"/>
      <c r="C17" s="261"/>
      <c r="D17" s="261"/>
      <c r="E17" s="261"/>
      <c r="F17" s="261"/>
      <c r="G17" s="261"/>
      <c r="H17" s="261"/>
      <c r="I17" s="261"/>
      <c r="J17" s="292"/>
    </row>
    <row r="18" spans="1:10" ht="15.75" customHeight="1" x14ac:dyDescent="0.25">
      <c r="A18" s="293"/>
      <c r="B18" s="262"/>
      <c r="C18" s="262"/>
      <c r="D18" s="262"/>
      <c r="E18" s="262"/>
      <c r="F18" s="262"/>
      <c r="G18" s="262"/>
      <c r="H18" s="262"/>
      <c r="I18" s="262"/>
      <c r="J18" s="294"/>
    </row>
    <row r="19" spans="1:10" ht="15.75" customHeight="1" x14ac:dyDescent="0.25">
      <c r="A19" s="293"/>
      <c r="B19" s="262"/>
      <c r="C19" s="262"/>
      <c r="D19" s="262"/>
      <c r="E19" s="262"/>
      <c r="F19" s="262"/>
      <c r="G19" s="262"/>
      <c r="H19" s="262"/>
      <c r="I19" s="262"/>
      <c r="J19" s="294"/>
    </row>
    <row r="20" spans="1:10" ht="15.75" customHeight="1" x14ac:dyDescent="0.25">
      <c r="A20" s="293"/>
      <c r="B20" s="262"/>
      <c r="C20" s="262"/>
      <c r="D20" s="262"/>
      <c r="E20" s="262"/>
      <c r="F20" s="262"/>
      <c r="G20" s="262"/>
      <c r="H20" s="262"/>
      <c r="I20" s="262"/>
      <c r="J20" s="294"/>
    </row>
    <row r="21" spans="1:10" ht="15.75" customHeight="1" x14ac:dyDescent="0.25">
      <c r="A21" s="293"/>
      <c r="B21" s="262"/>
      <c r="C21" s="262"/>
      <c r="D21" s="262"/>
      <c r="E21" s="262"/>
      <c r="F21" s="262"/>
      <c r="G21" s="262"/>
      <c r="H21" s="262"/>
      <c r="I21" s="262"/>
      <c r="J21" s="294"/>
    </row>
    <row r="22" spans="1:10" ht="15.75" customHeight="1" x14ac:dyDescent="0.25">
      <c r="A22" s="293"/>
      <c r="B22" s="262"/>
      <c r="C22" s="262"/>
      <c r="D22" s="262"/>
      <c r="E22" s="262"/>
      <c r="F22" s="262"/>
      <c r="G22" s="262"/>
      <c r="H22" s="262"/>
      <c r="I22" s="262"/>
      <c r="J22" s="294"/>
    </row>
    <row r="23" spans="1:10" ht="15.75" customHeight="1" x14ac:dyDescent="0.25">
      <c r="A23" s="293"/>
      <c r="B23" s="262"/>
      <c r="C23" s="262"/>
      <c r="D23" s="262"/>
      <c r="E23" s="262"/>
      <c r="F23" s="262"/>
      <c r="G23" s="262"/>
      <c r="H23" s="262"/>
      <c r="I23" s="262"/>
      <c r="J23" s="294"/>
    </row>
    <row r="24" spans="1:10" ht="15.75" customHeight="1" x14ac:dyDescent="0.25">
      <c r="A24" s="293"/>
      <c r="B24" s="262"/>
      <c r="C24" s="262"/>
      <c r="D24" s="262"/>
      <c r="E24" s="262"/>
      <c r="F24" s="262"/>
      <c r="G24" s="262"/>
      <c r="H24" s="262"/>
      <c r="I24" s="262"/>
      <c r="J24" s="294"/>
    </row>
    <row r="25" spans="1:10" ht="15.75" customHeight="1" x14ac:dyDescent="0.25">
      <c r="A25" s="295"/>
      <c r="B25" s="296"/>
      <c r="C25" s="296"/>
      <c r="D25" s="296"/>
      <c r="E25" s="296"/>
      <c r="F25" s="296"/>
      <c r="G25" s="296"/>
      <c r="H25" s="296"/>
      <c r="I25" s="296"/>
      <c r="J25" s="297"/>
    </row>
    <row r="26" spans="1:10" ht="15.6" x14ac:dyDescent="0.3">
      <c r="A26" s="1"/>
      <c r="B26" s="119"/>
      <c r="C26" s="119"/>
      <c r="D26" s="119"/>
      <c r="E26" s="119"/>
      <c r="F26" s="119"/>
      <c r="G26" s="119"/>
      <c r="H26" s="119"/>
      <c r="I26" s="119"/>
      <c r="J26" s="119"/>
    </row>
    <row r="27" spans="1:10" ht="36.75" customHeight="1" x14ac:dyDescent="0.25">
      <c r="A27" s="386" t="s">
        <v>250</v>
      </c>
      <c r="B27" s="387"/>
      <c r="C27" s="387"/>
      <c r="D27" s="387"/>
      <c r="E27" s="387"/>
      <c r="F27" s="387"/>
      <c r="G27" s="387"/>
      <c r="H27" s="387"/>
      <c r="I27" s="387"/>
      <c r="J27" s="388"/>
    </row>
    <row r="28" spans="1:10" ht="15.75" customHeight="1" x14ac:dyDescent="0.25">
      <c r="A28" s="385" t="s">
        <v>249</v>
      </c>
      <c r="B28" s="261"/>
      <c r="C28" s="261"/>
      <c r="D28" s="261"/>
      <c r="E28" s="261"/>
      <c r="F28" s="261"/>
      <c r="G28" s="261"/>
      <c r="H28" s="261"/>
      <c r="I28" s="261"/>
      <c r="J28" s="292"/>
    </row>
    <row r="29" spans="1:10" ht="15.75" customHeight="1" x14ac:dyDescent="0.25">
      <c r="A29" s="293"/>
      <c r="B29" s="262"/>
      <c r="C29" s="262"/>
      <c r="D29" s="262"/>
      <c r="E29" s="262"/>
      <c r="F29" s="262"/>
      <c r="G29" s="262"/>
      <c r="H29" s="262"/>
      <c r="I29" s="262"/>
      <c r="J29" s="294"/>
    </row>
    <row r="30" spans="1:10" ht="15.75" customHeight="1" x14ac:dyDescent="0.25">
      <c r="A30" s="293"/>
      <c r="B30" s="262"/>
      <c r="C30" s="262"/>
      <c r="D30" s="262"/>
      <c r="E30" s="262"/>
      <c r="F30" s="262"/>
      <c r="G30" s="262"/>
      <c r="H30" s="262"/>
      <c r="I30" s="262"/>
      <c r="J30" s="294"/>
    </row>
    <row r="31" spans="1:10" ht="15.75" customHeight="1" x14ac:dyDescent="0.25">
      <c r="A31" s="293"/>
      <c r="B31" s="262"/>
      <c r="C31" s="262"/>
      <c r="D31" s="262"/>
      <c r="E31" s="262"/>
      <c r="F31" s="262"/>
      <c r="G31" s="262"/>
      <c r="H31" s="262"/>
      <c r="I31" s="262"/>
      <c r="J31" s="294"/>
    </row>
    <row r="32" spans="1:10" ht="15.75" customHeight="1" x14ac:dyDescent="0.25">
      <c r="A32" s="293"/>
      <c r="B32" s="262"/>
      <c r="C32" s="262"/>
      <c r="D32" s="262"/>
      <c r="E32" s="262"/>
      <c r="F32" s="262"/>
      <c r="G32" s="262"/>
      <c r="H32" s="262"/>
      <c r="I32" s="262"/>
      <c r="J32" s="294"/>
    </row>
    <row r="33" spans="1:10" ht="15.75" customHeight="1" x14ac:dyDescent="0.25">
      <c r="A33" s="293"/>
      <c r="B33" s="262"/>
      <c r="C33" s="262"/>
      <c r="D33" s="262"/>
      <c r="E33" s="262"/>
      <c r="F33" s="262"/>
      <c r="G33" s="262"/>
      <c r="H33" s="262"/>
      <c r="I33" s="262"/>
      <c r="J33" s="294"/>
    </row>
    <row r="34" spans="1:10" ht="12" customHeight="1" x14ac:dyDescent="0.25">
      <c r="A34" s="293"/>
      <c r="B34" s="262"/>
      <c r="C34" s="262"/>
      <c r="D34" s="262"/>
      <c r="E34" s="262"/>
      <c r="F34" s="262"/>
      <c r="G34" s="262"/>
      <c r="H34" s="262"/>
      <c r="I34" s="262"/>
      <c r="J34" s="294"/>
    </row>
    <row r="35" spans="1:10" ht="15.75" hidden="1" customHeight="1" x14ac:dyDescent="0.25">
      <c r="A35" s="293"/>
      <c r="B35" s="262"/>
      <c r="C35" s="262"/>
      <c r="D35" s="262"/>
      <c r="E35" s="262"/>
      <c r="F35" s="262"/>
      <c r="G35" s="262"/>
      <c r="H35" s="262"/>
      <c r="I35" s="262"/>
      <c r="J35" s="294"/>
    </row>
    <row r="36" spans="1:10" ht="3.75" customHeight="1" x14ac:dyDescent="0.25">
      <c r="A36" s="295"/>
      <c r="B36" s="296"/>
      <c r="C36" s="296"/>
      <c r="D36" s="296"/>
      <c r="E36" s="296"/>
      <c r="F36" s="296"/>
      <c r="G36" s="296"/>
      <c r="H36" s="296"/>
      <c r="I36" s="296"/>
      <c r="J36" s="297"/>
    </row>
    <row r="38" spans="1:10" ht="33" customHeight="1" x14ac:dyDescent="0.25">
      <c r="A38" s="386" t="s">
        <v>251</v>
      </c>
      <c r="B38" s="387"/>
      <c r="C38" s="387"/>
      <c r="D38" s="387"/>
      <c r="E38" s="387"/>
      <c r="F38" s="387"/>
      <c r="G38" s="387"/>
      <c r="H38" s="387"/>
      <c r="I38" s="387"/>
      <c r="J38" s="388"/>
    </row>
    <row r="39" spans="1:10" x14ac:dyDescent="0.25">
      <c r="A39" s="385" t="s">
        <v>249</v>
      </c>
      <c r="B39" s="261"/>
      <c r="C39" s="261"/>
      <c r="D39" s="261"/>
      <c r="E39" s="261"/>
      <c r="F39" s="261"/>
      <c r="G39" s="261"/>
      <c r="H39" s="261"/>
      <c r="I39" s="261"/>
      <c r="J39" s="292"/>
    </row>
    <row r="40" spans="1:10" x14ac:dyDescent="0.25">
      <c r="A40" s="293"/>
      <c r="B40" s="262"/>
      <c r="C40" s="262"/>
      <c r="D40" s="262"/>
      <c r="E40" s="262"/>
      <c r="F40" s="262"/>
      <c r="G40" s="262"/>
      <c r="H40" s="262"/>
      <c r="I40" s="262"/>
      <c r="J40" s="294"/>
    </row>
    <row r="41" spans="1:10" x14ac:dyDescent="0.25">
      <c r="A41" s="293"/>
      <c r="B41" s="262"/>
      <c r="C41" s="262"/>
      <c r="D41" s="262"/>
      <c r="E41" s="262"/>
      <c r="F41" s="262"/>
      <c r="G41" s="262"/>
      <c r="H41" s="262"/>
      <c r="I41" s="262"/>
      <c r="J41" s="294"/>
    </row>
    <row r="42" spans="1:10" x14ac:dyDescent="0.25">
      <c r="A42" s="293"/>
      <c r="B42" s="262"/>
      <c r="C42" s="262"/>
      <c r="D42" s="262"/>
      <c r="E42" s="262"/>
      <c r="F42" s="262"/>
      <c r="G42" s="262"/>
      <c r="H42" s="262"/>
      <c r="I42" s="262"/>
      <c r="J42" s="294"/>
    </row>
    <row r="43" spans="1:10" x14ac:dyDescent="0.25">
      <c r="A43" s="293"/>
      <c r="B43" s="262"/>
      <c r="C43" s="262"/>
      <c r="D43" s="262"/>
      <c r="E43" s="262"/>
      <c r="F43" s="262"/>
      <c r="G43" s="262"/>
      <c r="H43" s="262"/>
      <c r="I43" s="262"/>
      <c r="J43" s="294"/>
    </row>
    <row r="44" spans="1:10" x14ac:dyDescent="0.25">
      <c r="A44" s="293"/>
      <c r="B44" s="262"/>
      <c r="C44" s="262"/>
      <c r="D44" s="262"/>
      <c r="E44" s="262"/>
      <c r="F44" s="262"/>
      <c r="G44" s="262"/>
      <c r="H44" s="262"/>
      <c r="I44" s="262"/>
      <c r="J44" s="294"/>
    </row>
    <row r="45" spans="1:10" x14ac:dyDescent="0.25">
      <c r="A45" s="293"/>
      <c r="B45" s="262"/>
      <c r="C45" s="262"/>
      <c r="D45" s="262"/>
      <c r="E45" s="262"/>
      <c r="F45" s="262"/>
      <c r="G45" s="262"/>
      <c r="H45" s="262"/>
      <c r="I45" s="262"/>
      <c r="J45" s="294"/>
    </row>
    <row r="46" spans="1:10" ht="5.25" customHeight="1" x14ac:dyDescent="0.25">
      <c r="A46" s="293"/>
      <c r="B46" s="262"/>
      <c r="C46" s="262"/>
      <c r="D46" s="262"/>
      <c r="E46" s="262"/>
      <c r="F46" s="262"/>
      <c r="G46" s="262"/>
      <c r="H46" s="262"/>
      <c r="I46" s="262"/>
      <c r="J46" s="294"/>
    </row>
    <row r="47" spans="1:10" ht="5.25" customHeight="1" x14ac:dyDescent="0.25">
      <c r="A47" s="295"/>
      <c r="B47" s="296"/>
      <c r="C47" s="296"/>
      <c r="D47" s="296"/>
      <c r="E47" s="296"/>
      <c r="F47" s="296"/>
      <c r="G47" s="296"/>
      <c r="H47" s="296"/>
      <c r="I47" s="296"/>
      <c r="J47" s="297"/>
    </row>
  </sheetData>
  <mergeCells count="8">
    <mergeCell ref="A39:J47"/>
    <mergeCell ref="A38:J3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zoomScaleNormal="100" workbookViewId="0">
      <selection activeCell="E33" sqref="E3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19" t="str">
        <f>+'Cover Page'!$B$29</f>
        <v>Annual Performance Report 2022</v>
      </c>
      <c r="B1" s="119"/>
      <c r="C1" s="119"/>
      <c r="D1" s="119"/>
      <c r="E1" s="119" t="str">
        <f>+'Cover Page'!$B$33</f>
        <v>Permit EPR/RP3036QU</v>
      </c>
      <c r="F1" s="119"/>
      <c r="G1" s="119"/>
      <c r="H1" s="119"/>
      <c r="I1" s="119"/>
      <c r="J1" s="119"/>
    </row>
    <row r="3" spans="1:10" ht="15.6" x14ac:dyDescent="0.3">
      <c r="A3" s="1" t="s">
        <v>252</v>
      </c>
      <c r="B3" s="119"/>
      <c r="C3" s="119"/>
      <c r="D3" s="119"/>
      <c r="E3" s="119"/>
      <c r="F3" s="119"/>
      <c r="G3" s="119"/>
      <c r="H3" s="119"/>
      <c r="I3" s="119"/>
      <c r="J3" s="119"/>
    </row>
    <row r="4" spans="1:10" ht="15.6" x14ac:dyDescent="0.3">
      <c r="A4" s="1"/>
      <c r="B4" s="119"/>
      <c r="C4" s="119"/>
      <c r="D4" s="119"/>
      <c r="E4" s="119"/>
      <c r="F4" s="119"/>
      <c r="G4" s="119"/>
      <c r="H4" s="119"/>
      <c r="I4" s="119"/>
      <c r="J4" s="119"/>
    </row>
    <row r="5" spans="1:10" s="3" customFormat="1" ht="28.5" customHeight="1" x14ac:dyDescent="0.25">
      <c r="A5" s="75" t="s">
        <v>253</v>
      </c>
      <c r="B5" s="76"/>
      <c r="C5" s="76"/>
      <c r="D5" s="76"/>
      <c r="E5" s="76"/>
      <c r="F5" s="76"/>
      <c r="G5" s="76"/>
      <c r="H5" s="76"/>
      <c r="I5" s="76"/>
      <c r="J5" s="77"/>
    </row>
    <row r="6" spans="1:10" s="3" customFormat="1" ht="15.75" customHeight="1" x14ac:dyDescent="0.25">
      <c r="A6" s="389" t="s">
        <v>52</v>
      </c>
      <c r="B6" s="391"/>
      <c r="C6" s="389" t="s">
        <v>254</v>
      </c>
      <c r="D6" s="390"/>
      <c r="E6" s="390"/>
      <c r="F6" s="390"/>
      <c r="G6" s="390"/>
      <c r="H6" s="390"/>
      <c r="I6" s="390"/>
      <c r="J6" s="391"/>
    </row>
    <row r="7" spans="1:10" s="3" customFormat="1" ht="15.75" customHeight="1" x14ac:dyDescent="0.25">
      <c r="A7" s="398"/>
      <c r="B7" s="399"/>
      <c r="C7" s="402" t="s">
        <v>255</v>
      </c>
      <c r="D7" s="403"/>
      <c r="E7" s="403"/>
      <c r="F7" s="403"/>
      <c r="G7" s="403"/>
      <c r="H7" s="403"/>
      <c r="I7" s="403"/>
      <c r="J7" s="404"/>
    </row>
    <row r="8" spans="1:10" s="3" customFormat="1" ht="15.75" customHeight="1" x14ac:dyDescent="0.25">
      <c r="A8" s="400"/>
      <c r="B8" s="401"/>
      <c r="C8" s="405"/>
      <c r="D8" s="406"/>
      <c r="E8" s="406"/>
      <c r="F8" s="406"/>
      <c r="G8" s="406"/>
      <c r="H8" s="406"/>
      <c r="I8" s="406"/>
      <c r="J8" s="407"/>
    </row>
    <row r="9" spans="1:10" s="3" customFormat="1" ht="15.75" customHeight="1" x14ac:dyDescent="0.25">
      <c r="A9" s="398"/>
      <c r="B9" s="399"/>
      <c r="C9" s="398"/>
      <c r="D9" s="408"/>
      <c r="E9" s="408"/>
      <c r="F9" s="408"/>
      <c r="G9" s="408"/>
      <c r="H9" s="408"/>
      <c r="I9" s="408"/>
      <c r="J9" s="399"/>
    </row>
    <row r="10" spans="1:10" s="3" customFormat="1" ht="15.75" customHeight="1" x14ac:dyDescent="0.25">
      <c r="A10" s="400"/>
      <c r="B10" s="401"/>
      <c r="C10" s="400"/>
      <c r="D10" s="409"/>
      <c r="E10" s="409"/>
      <c r="F10" s="409"/>
      <c r="G10" s="409"/>
      <c r="H10" s="409"/>
      <c r="I10" s="409"/>
      <c r="J10" s="401"/>
    </row>
    <row r="11" spans="1:10" s="3" customFormat="1" ht="15.75" customHeight="1" x14ac:dyDescent="0.25">
      <c r="A11" s="398"/>
      <c r="B11" s="399"/>
      <c r="C11" s="398"/>
      <c r="D11" s="408"/>
      <c r="E11" s="408"/>
      <c r="F11" s="408"/>
      <c r="G11" s="408"/>
      <c r="H11" s="408"/>
      <c r="I11" s="408"/>
      <c r="J11" s="399"/>
    </row>
    <row r="12" spans="1:10" s="3" customFormat="1" ht="15.75" customHeight="1" x14ac:dyDescent="0.25">
      <c r="A12" s="400"/>
      <c r="B12" s="401"/>
      <c r="C12" s="400"/>
      <c r="D12" s="409"/>
      <c r="E12" s="409"/>
      <c r="F12" s="409"/>
      <c r="G12" s="409"/>
      <c r="H12" s="409"/>
      <c r="I12" s="409"/>
      <c r="J12" s="401"/>
    </row>
    <row r="13" spans="1:10" s="3" customFormat="1" ht="15.75" customHeight="1" x14ac:dyDescent="0.25">
      <c r="A13" s="398"/>
      <c r="B13" s="399"/>
      <c r="C13" s="398"/>
      <c r="D13" s="408"/>
      <c r="E13" s="408"/>
      <c r="F13" s="408"/>
      <c r="G13" s="408"/>
      <c r="H13" s="408"/>
      <c r="I13" s="408"/>
      <c r="J13" s="399"/>
    </row>
    <row r="14" spans="1:10" s="3" customFormat="1" ht="15.75" customHeight="1" x14ac:dyDescent="0.25">
      <c r="A14" s="400"/>
      <c r="B14" s="401"/>
      <c r="C14" s="400"/>
      <c r="D14" s="409"/>
      <c r="E14" s="409"/>
      <c r="F14" s="409"/>
      <c r="G14" s="409"/>
      <c r="H14" s="409"/>
      <c r="I14" s="409"/>
      <c r="J14" s="401"/>
    </row>
    <row r="15" spans="1:10" s="3" customFormat="1" ht="13.8" x14ac:dyDescent="0.25"/>
    <row r="16" spans="1:10" s="74" customFormat="1" ht="33.75" customHeight="1" x14ac:dyDescent="0.3">
      <c r="A16" s="386" t="s">
        <v>256</v>
      </c>
      <c r="B16" s="387"/>
      <c r="C16" s="387"/>
      <c r="D16" s="387"/>
      <c r="E16" s="387"/>
      <c r="F16" s="387"/>
      <c r="G16" s="387"/>
      <c r="H16" s="387"/>
      <c r="I16" s="387"/>
      <c r="J16" s="388"/>
    </row>
    <row r="17" spans="1:10" ht="15.75" customHeight="1" x14ac:dyDescent="0.25">
      <c r="A17" s="389" t="s">
        <v>52</v>
      </c>
      <c r="B17" s="391"/>
      <c r="C17" s="389" t="s">
        <v>254</v>
      </c>
      <c r="D17" s="390"/>
      <c r="E17" s="390"/>
      <c r="F17" s="390"/>
      <c r="G17" s="390"/>
      <c r="H17" s="390"/>
      <c r="I17" s="390"/>
      <c r="J17" s="390"/>
    </row>
    <row r="18" spans="1:10" ht="15.75" customHeight="1" x14ac:dyDescent="0.25">
      <c r="A18" s="398"/>
      <c r="B18" s="399"/>
      <c r="C18" s="402" t="s">
        <v>257</v>
      </c>
      <c r="D18" s="403"/>
      <c r="E18" s="403"/>
      <c r="F18" s="403"/>
      <c r="G18" s="403"/>
      <c r="H18" s="403"/>
      <c r="I18" s="403"/>
      <c r="J18" s="404"/>
    </row>
    <row r="19" spans="1:10" ht="15.75" customHeight="1" x14ac:dyDescent="0.25">
      <c r="A19" s="400"/>
      <c r="B19" s="401"/>
      <c r="C19" s="405"/>
      <c r="D19" s="406"/>
      <c r="E19" s="406"/>
      <c r="F19" s="406"/>
      <c r="G19" s="406"/>
      <c r="H19" s="406"/>
      <c r="I19" s="406"/>
      <c r="J19" s="407"/>
    </row>
    <row r="20" spans="1:10" ht="15.75" customHeight="1" x14ac:dyDescent="0.25">
      <c r="A20" s="398"/>
      <c r="B20" s="399"/>
      <c r="C20" s="410"/>
      <c r="D20" s="411"/>
      <c r="E20" s="411"/>
      <c r="F20" s="411"/>
      <c r="G20" s="411"/>
      <c r="H20" s="411"/>
      <c r="I20" s="411"/>
      <c r="J20" s="412"/>
    </row>
    <row r="21" spans="1:10" ht="15.75" customHeight="1" x14ac:dyDescent="0.25">
      <c r="A21" s="400"/>
      <c r="B21" s="401"/>
      <c r="C21" s="413"/>
      <c r="D21" s="414"/>
      <c r="E21" s="414"/>
      <c r="F21" s="414"/>
      <c r="G21" s="414"/>
      <c r="H21" s="414"/>
      <c r="I21" s="414"/>
      <c r="J21" s="415"/>
    </row>
    <row r="22" spans="1:10" ht="15.75" customHeight="1" x14ac:dyDescent="0.25">
      <c r="A22" s="398"/>
      <c r="B22" s="399"/>
      <c r="C22" s="398"/>
      <c r="D22" s="408"/>
      <c r="E22" s="408"/>
      <c r="F22" s="408"/>
      <c r="G22" s="408"/>
      <c r="H22" s="408"/>
      <c r="I22" s="408"/>
      <c r="J22" s="399"/>
    </row>
    <row r="23" spans="1:10" ht="15.75" customHeight="1" x14ac:dyDescent="0.25">
      <c r="A23" s="400"/>
      <c r="B23" s="401"/>
      <c r="C23" s="400"/>
      <c r="D23" s="409"/>
      <c r="E23" s="409"/>
      <c r="F23" s="409"/>
      <c r="G23" s="409"/>
      <c r="H23" s="409"/>
      <c r="I23" s="409"/>
      <c r="J23" s="401"/>
    </row>
    <row r="24" spans="1:10" ht="15.75" customHeight="1" x14ac:dyDescent="0.25">
      <c r="A24" s="398"/>
      <c r="B24" s="399"/>
      <c r="C24" s="398"/>
      <c r="D24" s="408"/>
      <c r="E24" s="408"/>
      <c r="F24" s="408"/>
      <c r="G24" s="408"/>
      <c r="H24" s="408"/>
      <c r="I24" s="408"/>
      <c r="J24" s="399"/>
    </row>
    <row r="25" spans="1:10" ht="15.75" customHeight="1" x14ac:dyDescent="0.25">
      <c r="A25" s="400"/>
      <c r="B25" s="401"/>
      <c r="C25" s="400"/>
      <c r="D25" s="409"/>
      <c r="E25" s="409"/>
      <c r="F25" s="409"/>
      <c r="G25" s="409"/>
      <c r="H25" s="409"/>
      <c r="I25" s="409"/>
      <c r="J25" s="401"/>
    </row>
    <row r="26" spans="1:10" ht="15.75" customHeight="1" x14ac:dyDescent="0.25">
      <c r="A26" s="398"/>
      <c r="B26" s="399"/>
      <c r="C26" s="398"/>
      <c r="D26" s="408"/>
      <c r="E26" s="408"/>
      <c r="F26" s="408"/>
      <c r="G26" s="408"/>
      <c r="H26" s="408"/>
      <c r="I26" s="408"/>
      <c r="J26" s="399"/>
    </row>
    <row r="27" spans="1:10" ht="15.75" customHeight="1" x14ac:dyDescent="0.25">
      <c r="A27" s="400"/>
      <c r="B27" s="401"/>
      <c r="C27" s="400"/>
      <c r="D27" s="409"/>
      <c r="E27" s="409"/>
      <c r="F27" s="409"/>
      <c r="G27" s="409"/>
      <c r="H27" s="409"/>
      <c r="I27" s="409"/>
      <c r="J27" s="401"/>
    </row>
    <row r="28" spans="1:10" ht="15.6" x14ac:dyDescent="0.3">
      <c r="A28" s="1"/>
      <c r="B28" s="119"/>
      <c r="C28" s="119"/>
      <c r="D28" s="119"/>
      <c r="E28" s="119"/>
      <c r="F28" s="119"/>
      <c r="G28" s="119"/>
      <c r="H28" s="119"/>
      <c r="I28" s="119"/>
      <c r="J28" s="119"/>
    </row>
    <row r="29" spans="1:10" ht="36.75" customHeight="1" x14ac:dyDescent="0.25">
      <c r="A29" s="386" t="s">
        <v>258</v>
      </c>
      <c r="B29" s="387"/>
      <c r="C29" s="387"/>
      <c r="D29" s="387"/>
      <c r="E29" s="387"/>
      <c r="F29" s="387"/>
      <c r="G29" s="387"/>
      <c r="H29" s="387"/>
      <c r="I29" s="387"/>
      <c r="J29" s="388"/>
    </row>
    <row r="31" spans="1:10" x14ac:dyDescent="0.25">
      <c r="A31" s="119"/>
      <c r="B31" s="119"/>
      <c r="C31" s="119"/>
      <c r="D31" s="119"/>
      <c r="E31" s="119"/>
      <c r="F31" s="119"/>
      <c r="G31" s="119"/>
      <c r="H31" s="119"/>
      <c r="I31" s="119"/>
      <c r="J31" s="119"/>
    </row>
    <row r="66" spans="6:6" x14ac:dyDescent="0.25">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D464F-507D-40A5-9574-9880255A5546}">
  <sheetPr>
    <tabColor rgb="FF00B0F0"/>
  </sheetPr>
  <dimension ref="A1:O24"/>
  <sheetViews>
    <sheetView topLeftCell="A16" workbookViewId="0">
      <selection activeCell="B19" sqref="B19"/>
    </sheetView>
  </sheetViews>
  <sheetFormatPr defaultColWidth="8.88671875" defaultRowHeight="15" x14ac:dyDescent="0.25"/>
  <cols>
    <col min="1" max="1" width="36.6640625" style="119" customWidth="1"/>
    <col min="2" max="2" width="17.6640625" style="119" customWidth="1"/>
    <col min="3" max="3" width="37.33203125" style="119" customWidth="1"/>
    <col min="4" max="14" width="8.88671875" style="119"/>
    <col min="15" max="15" width="9" style="119" customWidth="1"/>
    <col min="16" max="16384" width="8.88671875" style="119"/>
  </cols>
  <sheetData>
    <row r="1" spans="1:15" x14ac:dyDescent="0.25">
      <c r="A1" s="119" t="str">
        <f>+'Cover Page'!$B$29</f>
        <v>Annual Performance Report 2022</v>
      </c>
      <c r="C1" s="119" t="str">
        <f>+'[1]Cover Page'!$B$33</f>
        <v>Name of Facility as per Permit</v>
      </c>
    </row>
    <row r="2" spans="1:15" ht="10.199999999999999" customHeight="1" x14ac:dyDescent="0.25"/>
    <row r="3" spans="1:15" ht="15.6" x14ac:dyDescent="0.3">
      <c r="A3" s="1" t="s">
        <v>259</v>
      </c>
      <c r="E3" s="112" t="s">
        <v>1</v>
      </c>
    </row>
    <row r="4" spans="1:15" ht="9.4499999999999993" customHeight="1" x14ac:dyDescent="0.25"/>
    <row r="5" spans="1:15" x14ac:dyDescent="0.25">
      <c r="A5" s="416" t="s">
        <v>260</v>
      </c>
      <c r="B5" s="417"/>
      <c r="C5" s="417"/>
    </row>
    <row r="6" spans="1:15" ht="30" x14ac:dyDescent="0.25">
      <c r="A6" s="164" t="s">
        <v>261</v>
      </c>
      <c r="B6" s="165" t="s">
        <v>262</v>
      </c>
      <c r="C6" s="166"/>
    </row>
    <row r="7" spans="1:15" ht="30" x14ac:dyDescent="0.25">
      <c r="A7" s="164" t="s">
        <v>263</v>
      </c>
      <c r="B7" s="165" t="s">
        <v>264</v>
      </c>
      <c r="C7" s="166"/>
    </row>
    <row r="8" spans="1:15" ht="45" x14ac:dyDescent="0.25">
      <c r="A8" s="164" t="s">
        <v>265</v>
      </c>
      <c r="B8" s="165" t="s">
        <v>266</v>
      </c>
      <c r="C8" s="166"/>
    </row>
    <row r="9" spans="1:15" ht="45" x14ac:dyDescent="0.3">
      <c r="A9" s="164" t="s">
        <v>267</v>
      </c>
      <c r="B9" s="418" t="s">
        <v>268</v>
      </c>
      <c r="C9" s="419"/>
      <c r="E9" s="420" t="s">
        <v>269</v>
      </c>
      <c r="F9" s="275"/>
      <c r="G9" s="275"/>
      <c r="H9" s="275"/>
      <c r="I9" s="275"/>
      <c r="J9" s="275"/>
      <c r="K9" s="275"/>
      <c r="L9" s="275"/>
      <c r="M9" s="275"/>
      <c r="N9" s="275"/>
      <c r="O9" s="275"/>
    </row>
    <row r="10" spans="1:15" ht="8.6999999999999993" customHeight="1" x14ac:dyDescent="0.25">
      <c r="A10" s="167"/>
      <c r="B10" s="168"/>
      <c r="C10" s="168"/>
    </row>
    <row r="11" spans="1:15" x14ac:dyDescent="0.25">
      <c r="A11" s="421" t="s">
        <v>270</v>
      </c>
      <c r="B11" s="417"/>
      <c r="C11" s="417"/>
    </row>
    <row r="12" spans="1:15" ht="30" x14ac:dyDescent="0.25">
      <c r="A12" s="164" t="s">
        <v>271</v>
      </c>
      <c r="B12" s="210" t="s">
        <v>272</v>
      </c>
      <c r="C12" s="166"/>
    </row>
    <row r="13" spans="1:15" ht="45" x14ac:dyDescent="0.3">
      <c r="A13" s="164" t="s">
        <v>273</v>
      </c>
      <c r="B13" s="422" t="s">
        <v>274</v>
      </c>
      <c r="C13" s="423"/>
      <c r="E13" s="259" t="s">
        <v>275</v>
      </c>
      <c r="F13" s="275"/>
      <c r="G13" s="275"/>
      <c r="H13" s="275"/>
      <c r="I13" s="275"/>
      <c r="J13" s="275"/>
      <c r="K13" s="275"/>
      <c r="L13" s="275"/>
      <c r="M13" s="275"/>
      <c r="N13" s="275"/>
      <c r="O13" s="275"/>
    </row>
    <row r="14" spans="1:15" ht="58.2" x14ac:dyDescent="0.25">
      <c r="A14" s="164" t="s">
        <v>276</v>
      </c>
      <c r="B14" s="209" t="s">
        <v>277</v>
      </c>
      <c r="C14" s="166"/>
    </row>
    <row r="15" spans="1:15" ht="6.45" customHeight="1" x14ac:dyDescent="0.25">
      <c r="A15" s="167"/>
      <c r="B15" s="168"/>
      <c r="C15" s="168"/>
    </row>
    <row r="16" spans="1:15" ht="39" customHeight="1" x14ac:dyDescent="0.25">
      <c r="A16" s="416" t="s">
        <v>278</v>
      </c>
      <c r="B16" s="417"/>
      <c r="C16" s="417"/>
    </row>
    <row r="17" spans="1:15" ht="45" x14ac:dyDescent="0.25">
      <c r="A17" s="164" t="s">
        <v>279</v>
      </c>
      <c r="B17" s="179">
        <v>0.52459999999999996</v>
      </c>
      <c r="C17" s="166"/>
    </row>
    <row r="18" spans="1:15" ht="45" x14ac:dyDescent="0.3">
      <c r="A18" s="164" t="s">
        <v>280</v>
      </c>
      <c r="B18" s="422" t="s">
        <v>281</v>
      </c>
      <c r="C18" s="423"/>
      <c r="E18" s="259" t="s">
        <v>282</v>
      </c>
      <c r="F18" s="275"/>
      <c r="G18" s="275"/>
      <c r="H18" s="275"/>
      <c r="I18" s="275"/>
      <c r="J18" s="275"/>
      <c r="K18" s="275"/>
      <c r="L18" s="275"/>
      <c r="M18" s="275"/>
      <c r="N18" s="275"/>
      <c r="O18" s="275"/>
    </row>
    <row r="19" spans="1:15" ht="45" x14ac:dyDescent="0.25">
      <c r="A19" s="164" t="s">
        <v>283</v>
      </c>
      <c r="B19" s="179">
        <v>0.52459999999999996</v>
      </c>
      <c r="C19" s="166"/>
    </row>
    <row r="20" spans="1:15" ht="45" x14ac:dyDescent="0.3">
      <c r="A20" s="164" t="s">
        <v>284</v>
      </c>
      <c r="B20" s="422" t="s">
        <v>281</v>
      </c>
      <c r="C20" s="423"/>
      <c r="E20" s="259" t="s">
        <v>285</v>
      </c>
      <c r="F20" s="275"/>
      <c r="G20" s="275"/>
      <c r="H20" s="275"/>
      <c r="I20" s="275"/>
      <c r="J20" s="275"/>
      <c r="K20" s="275"/>
      <c r="L20" s="275"/>
      <c r="M20" s="275"/>
      <c r="N20" s="275"/>
      <c r="O20" s="275"/>
    </row>
    <row r="21" spans="1:15" ht="10.199999999999999" customHeight="1" x14ac:dyDescent="0.25"/>
    <row r="22" spans="1:15" x14ac:dyDescent="0.25">
      <c r="A22" s="119" t="s">
        <v>286</v>
      </c>
    </row>
    <row r="23" spans="1:15" x14ac:dyDescent="0.25">
      <c r="A23" s="353"/>
      <c r="B23" s="353"/>
      <c r="C23" s="353"/>
    </row>
    <row r="24" spans="1:15" ht="64.95" customHeight="1" x14ac:dyDescent="0.25">
      <c r="A24" s="353"/>
      <c r="B24" s="353"/>
      <c r="C24" s="353"/>
    </row>
  </sheetData>
  <mergeCells count="12">
    <mergeCell ref="A23:C24"/>
    <mergeCell ref="A5:C5"/>
    <mergeCell ref="B9:C9"/>
    <mergeCell ref="E9:O9"/>
    <mergeCell ref="A11:C11"/>
    <mergeCell ref="B13:C13"/>
    <mergeCell ref="E13:O13"/>
    <mergeCell ref="A16:C16"/>
    <mergeCell ref="B18:C18"/>
    <mergeCell ref="E18:O18"/>
    <mergeCell ref="B20:C20"/>
    <mergeCell ref="E20:O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17409" r:id="rId4">
          <objectPr defaultSize="0" autoPict="0" r:id="rId5">
            <anchor moveWithCells="1">
              <from>
                <xdr:col>6</xdr:col>
                <xdr:colOff>60960</xdr:colOff>
                <xdr:row>1</xdr:row>
                <xdr:rowOff>38100</xdr:rowOff>
              </from>
              <to>
                <xdr:col>7</xdr:col>
                <xdr:colOff>563880</xdr:colOff>
                <xdr:row>7</xdr:row>
                <xdr:rowOff>38100</xdr:rowOff>
              </to>
            </anchor>
          </objectPr>
        </oleObject>
      </mc:Choice>
      <mc:Fallback>
        <oleObject progId="Acrobat Document" dvAspect="DVASPECT_ICON" shapeId="17409"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2"/>
  <sheetViews>
    <sheetView showGridLines="0" zoomScaleNormal="100" workbookViewId="0">
      <selection activeCell="D40" sqref="D40"/>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119" t="str">
        <f>+'Cover Page'!$B$29</f>
        <v>Annual Performance Report 2022</v>
      </c>
      <c r="B1" s="119"/>
      <c r="C1" s="119"/>
      <c r="D1" s="119"/>
      <c r="E1" s="119" t="str">
        <f>+'Cover Page'!$B$33</f>
        <v>Permit EPR/RP3036QU</v>
      </c>
      <c r="F1" s="119"/>
      <c r="G1" s="119"/>
    </row>
    <row r="3" spans="1:7" ht="15.6" x14ac:dyDescent="0.3">
      <c r="A3" s="1"/>
      <c r="B3" s="119"/>
      <c r="C3" s="119"/>
      <c r="D3" s="119"/>
      <c r="E3" s="119"/>
      <c r="F3" s="119"/>
      <c r="G3" s="119"/>
    </row>
    <row r="4" spans="1:7" ht="15.6" x14ac:dyDescent="0.3">
      <c r="A4" s="1"/>
      <c r="B4" s="119"/>
      <c r="C4" s="119"/>
      <c r="D4" s="119"/>
      <c r="E4" s="119"/>
      <c r="F4" s="119"/>
      <c r="G4" s="119"/>
    </row>
    <row r="5" spans="1:7" s="3" customFormat="1" ht="21.75" customHeight="1" x14ac:dyDescent="0.25">
      <c r="A5" s="75" t="s">
        <v>287</v>
      </c>
      <c r="B5" s="76"/>
      <c r="C5" s="76"/>
      <c r="D5" s="76"/>
      <c r="E5" s="76"/>
      <c r="F5" s="76"/>
      <c r="G5" s="77"/>
    </row>
    <row r="6" spans="1:7" s="3" customFormat="1" ht="15.75" customHeight="1" x14ac:dyDescent="0.25">
      <c r="A6" s="424" t="s">
        <v>288</v>
      </c>
      <c r="B6" s="425"/>
      <c r="C6" s="425"/>
      <c r="D6" s="425"/>
      <c r="E6" s="425"/>
      <c r="F6" s="425"/>
      <c r="G6" s="426"/>
    </row>
    <row r="7" spans="1:7" s="3" customFormat="1" ht="15.75" customHeight="1" x14ac:dyDescent="0.25">
      <c r="A7" s="427"/>
      <c r="B7" s="428"/>
      <c r="C7" s="428"/>
      <c r="D7" s="428"/>
      <c r="E7" s="428"/>
      <c r="F7" s="428"/>
      <c r="G7" s="429"/>
    </row>
    <row r="8" spans="1:7" s="3" customFormat="1" ht="15.75" customHeight="1" x14ac:dyDescent="0.25">
      <c r="A8" s="250" t="s">
        <v>289</v>
      </c>
      <c r="B8" s="251"/>
      <c r="C8" s="251"/>
      <c r="D8" s="251"/>
      <c r="E8" s="251"/>
      <c r="F8" s="251"/>
      <c r="G8" s="252"/>
    </row>
    <row r="9" spans="1:7" s="3" customFormat="1" ht="15.75" customHeight="1" x14ac:dyDescent="0.25">
      <c r="A9" s="256"/>
      <c r="B9" s="257"/>
      <c r="C9" s="257"/>
      <c r="D9" s="257"/>
      <c r="E9" s="257"/>
      <c r="F9" s="257"/>
      <c r="G9" s="258"/>
    </row>
    <row r="10" spans="1:7" s="3" customFormat="1" ht="15.75" customHeight="1" x14ac:dyDescent="0.25">
      <c r="A10" s="430"/>
      <c r="B10" s="431"/>
      <c r="C10" s="431"/>
      <c r="D10" s="431"/>
      <c r="E10" s="431"/>
      <c r="F10" s="431"/>
      <c r="G10" s="432"/>
    </row>
    <row r="11" spans="1:7" s="3" customFormat="1" ht="15.75" customHeight="1" x14ac:dyDescent="0.25">
      <c r="A11" s="433"/>
      <c r="B11" s="434"/>
      <c r="C11" s="434"/>
      <c r="D11" s="434"/>
      <c r="E11" s="434"/>
      <c r="F11" s="434"/>
      <c r="G11" s="435"/>
    </row>
    <row r="12" spans="1:7" s="3" customFormat="1" ht="13.8" x14ac:dyDescent="0.25"/>
    <row r="13" spans="1:7" s="74" customFormat="1" ht="33.75" customHeight="1" x14ac:dyDescent="0.3">
      <c r="A13" s="386" t="s">
        <v>290</v>
      </c>
      <c r="B13" s="387"/>
      <c r="C13" s="387"/>
      <c r="D13" s="387"/>
      <c r="E13" s="387"/>
      <c r="F13" s="387"/>
      <c r="G13" s="388"/>
    </row>
    <row r="14" spans="1:7" ht="15.75" customHeight="1" x14ac:dyDescent="0.25">
      <c r="A14" s="389" t="s">
        <v>291</v>
      </c>
      <c r="B14" s="391"/>
      <c r="C14" s="389" t="s">
        <v>254</v>
      </c>
      <c r="D14" s="390"/>
      <c r="E14" s="390"/>
      <c r="F14" s="390"/>
      <c r="G14" s="390"/>
    </row>
    <row r="15" spans="1:7" ht="15.75" customHeight="1" x14ac:dyDescent="0.25">
      <c r="A15" s="430" t="s">
        <v>249</v>
      </c>
      <c r="B15" s="432"/>
      <c r="C15" s="398" t="s">
        <v>249</v>
      </c>
      <c r="D15" s="408"/>
      <c r="E15" s="408"/>
      <c r="F15" s="408"/>
      <c r="G15" s="399"/>
    </row>
    <row r="16" spans="1:7" ht="15.75" customHeight="1" x14ac:dyDescent="0.25">
      <c r="A16" s="433"/>
      <c r="B16" s="435"/>
      <c r="C16" s="400"/>
      <c r="D16" s="409"/>
      <c r="E16" s="409"/>
      <c r="F16" s="409"/>
      <c r="G16" s="401"/>
    </row>
    <row r="17" spans="1:11" ht="15.75" customHeight="1" x14ac:dyDescent="0.25">
      <c r="A17" s="398"/>
      <c r="B17" s="399"/>
      <c r="C17" s="398"/>
      <c r="D17" s="408"/>
      <c r="E17" s="408"/>
      <c r="F17" s="408"/>
      <c r="G17" s="399"/>
      <c r="H17" s="119"/>
      <c r="I17" s="119"/>
      <c r="J17" s="119"/>
      <c r="K17" s="119"/>
    </row>
    <row r="18" spans="1:11" ht="15.75" customHeight="1" x14ac:dyDescent="0.25">
      <c r="A18" s="400"/>
      <c r="B18" s="401"/>
      <c r="C18" s="400"/>
      <c r="D18" s="409"/>
      <c r="E18" s="409"/>
      <c r="F18" s="409"/>
      <c r="G18" s="401"/>
      <c r="H18" s="119"/>
      <c r="I18" s="119"/>
      <c r="J18" s="119"/>
      <c r="K18" s="119"/>
    </row>
    <row r="19" spans="1:11" ht="15.75" customHeight="1" x14ac:dyDescent="0.25">
      <c r="A19" s="398"/>
      <c r="B19" s="399"/>
      <c r="C19" s="398"/>
      <c r="D19" s="408"/>
      <c r="E19" s="408"/>
      <c r="F19" s="408"/>
      <c r="G19" s="399"/>
      <c r="H19" s="119"/>
      <c r="I19" s="119"/>
      <c r="J19" s="119"/>
      <c r="K19" s="119"/>
    </row>
    <row r="20" spans="1:11" ht="15.75" customHeight="1" x14ac:dyDescent="0.25">
      <c r="A20" s="400"/>
      <c r="B20" s="401"/>
      <c r="C20" s="400"/>
      <c r="D20" s="409"/>
      <c r="E20" s="409"/>
      <c r="F20" s="409"/>
      <c r="G20" s="401"/>
      <c r="H20" s="119"/>
      <c r="I20" s="119"/>
      <c r="J20" s="119"/>
      <c r="K20" s="119"/>
    </row>
    <row r="22" spans="1:11" x14ac:dyDescent="0.25">
      <c r="A22" s="13"/>
      <c r="B22" s="13"/>
      <c r="C22" s="13"/>
      <c r="D22" s="13"/>
      <c r="E22" s="13"/>
      <c r="F22" s="13"/>
      <c r="G22" s="13"/>
      <c r="H22" s="119"/>
      <c r="I22" s="119"/>
      <c r="J22" s="119"/>
      <c r="K22" s="119"/>
    </row>
    <row r="23" spans="1:11" s="86" customFormat="1" ht="16.5" customHeight="1" x14ac:dyDescent="0.25">
      <c r="A23" s="436" t="s">
        <v>292</v>
      </c>
      <c r="B23" s="436"/>
      <c r="C23" s="436"/>
      <c r="D23" s="436"/>
      <c r="E23" s="436"/>
      <c r="F23" s="436"/>
      <c r="G23" s="436"/>
    </row>
    <row r="24" spans="1:11" s="13" customFormat="1" ht="17.25" customHeight="1" x14ac:dyDescent="0.25">
      <c r="A24" s="438" t="s">
        <v>293</v>
      </c>
      <c r="B24" s="438"/>
      <c r="C24" s="366" t="s">
        <v>294</v>
      </c>
      <c r="D24" s="366" t="s">
        <v>295</v>
      </c>
      <c r="E24" s="366"/>
      <c r="F24" s="366"/>
      <c r="G24" s="366"/>
    </row>
    <row r="25" spans="1:11" s="13" customFormat="1" ht="17.25" customHeight="1" x14ac:dyDescent="0.25">
      <c r="A25" s="438"/>
      <c r="B25" s="438"/>
      <c r="C25" s="366"/>
      <c r="D25" s="366" t="s">
        <v>296</v>
      </c>
      <c r="E25" s="366"/>
      <c r="F25" s="366" t="s">
        <v>161</v>
      </c>
      <c r="G25" s="366"/>
    </row>
    <row r="26" spans="1:11" s="62" customFormat="1" ht="38.1" customHeight="1" x14ac:dyDescent="0.25">
      <c r="A26" s="298" t="s">
        <v>297</v>
      </c>
      <c r="B26" s="298"/>
      <c r="C26" s="87" t="s">
        <v>298</v>
      </c>
      <c r="D26" s="439" t="s">
        <v>203</v>
      </c>
      <c r="E26" s="439"/>
      <c r="F26" s="441"/>
      <c r="G26" s="442"/>
      <c r="J26" s="13"/>
      <c r="K26" s="13"/>
    </row>
    <row r="27" spans="1:11" s="62" customFormat="1" ht="38.1" customHeight="1" x14ac:dyDescent="0.25">
      <c r="A27" s="298" t="s">
        <v>299</v>
      </c>
      <c r="B27" s="298"/>
      <c r="C27" s="83" t="s">
        <v>300</v>
      </c>
      <c r="D27" s="440">
        <v>3.5775000000000001E-2</v>
      </c>
      <c r="E27" s="365"/>
      <c r="F27" s="441"/>
      <c r="G27" s="442"/>
      <c r="J27" s="13"/>
      <c r="K27" s="13"/>
    </row>
    <row r="28" spans="1:11" s="62" customFormat="1" ht="38.1" customHeight="1" x14ac:dyDescent="0.25">
      <c r="A28" s="298" t="s">
        <v>301</v>
      </c>
      <c r="B28" s="298"/>
      <c r="C28" s="83" t="s">
        <v>302</v>
      </c>
      <c r="D28" s="350" t="s">
        <v>303</v>
      </c>
      <c r="E28" s="350"/>
      <c r="F28" s="350" t="s">
        <v>303</v>
      </c>
      <c r="G28" s="350"/>
      <c r="J28" s="13"/>
      <c r="K28" s="13"/>
    </row>
    <row r="29" spans="1:11" s="62" customFormat="1" ht="38.1" customHeight="1" x14ac:dyDescent="0.3">
      <c r="A29" s="298" t="s">
        <v>304</v>
      </c>
      <c r="B29" s="298"/>
      <c r="C29" s="83" t="s">
        <v>302</v>
      </c>
      <c r="D29" s="350" t="s">
        <v>305</v>
      </c>
      <c r="E29" s="350"/>
      <c r="F29" s="443"/>
      <c r="G29" s="444"/>
    </row>
    <row r="31" spans="1:11" x14ac:dyDescent="0.25">
      <c r="A31" s="333" t="s">
        <v>306</v>
      </c>
      <c r="B31" s="333"/>
      <c r="C31" s="333"/>
      <c r="D31" s="333"/>
      <c r="E31" s="333"/>
      <c r="F31" s="333"/>
      <c r="G31" s="333"/>
      <c r="H31" s="119"/>
      <c r="I31" s="119"/>
      <c r="J31" s="119"/>
      <c r="K31" s="119"/>
    </row>
    <row r="32" spans="1:11" x14ac:dyDescent="0.25">
      <c r="A32" s="437" t="s">
        <v>307</v>
      </c>
      <c r="B32" s="437"/>
      <c r="C32" s="437"/>
      <c r="D32" s="437"/>
      <c r="E32" s="437"/>
      <c r="F32" s="437"/>
      <c r="G32" s="437"/>
      <c r="H32" s="119"/>
      <c r="I32" s="119"/>
      <c r="J32" s="119"/>
      <c r="K32" s="119"/>
    </row>
    <row r="33" spans="1:7" x14ac:dyDescent="0.25">
      <c r="A33" s="437"/>
      <c r="B33" s="437"/>
      <c r="C33" s="437"/>
      <c r="D33" s="437"/>
      <c r="E33" s="437"/>
      <c r="F33" s="437"/>
      <c r="G33" s="437"/>
    </row>
    <row r="34" spans="1:7" x14ac:dyDescent="0.25">
      <c r="A34" s="437"/>
      <c r="B34" s="437"/>
      <c r="C34" s="437"/>
      <c r="D34" s="437"/>
      <c r="E34" s="437"/>
      <c r="F34" s="437"/>
      <c r="G34" s="437"/>
    </row>
    <row r="35" spans="1:7" x14ac:dyDescent="0.25">
      <c r="A35" s="437"/>
      <c r="B35" s="437"/>
      <c r="C35" s="437"/>
      <c r="D35" s="437"/>
      <c r="E35" s="437"/>
      <c r="F35" s="437"/>
      <c r="G35" s="437"/>
    </row>
    <row r="36" spans="1:7" ht="13.5" customHeight="1" x14ac:dyDescent="0.25">
      <c r="A36" s="437"/>
      <c r="B36" s="437"/>
      <c r="C36" s="437"/>
      <c r="D36" s="437"/>
      <c r="E36" s="437"/>
      <c r="F36" s="437"/>
      <c r="G36" s="437"/>
    </row>
    <row r="37" spans="1:7" hidden="1" x14ac:dyDescent="0.25">
      <c r="A37" s="437"/>
      <c r="B37" s="437"/>
      <c r="C37" s="437"/>
      <c r="D37" s="437"/>
      <c r="E37" s="437"/>
      <c r="F37" s="437"/>
      <c r="G37" s="437"/>
    </row>
    <row r="52" spans="6:6" x14ac:dyDescent="0.25">
      <c r="F52" s="3"/>
    </row>
  </sheetData>
  <mergeCells count="32">
    <mergeCell ref="A32:G37"/>
    <mergeCell ref="D29:E29"/>
    <mergeCell ref="A31:G31"/>
    <mergeCell ref="A24:B25"/>
    <mergeCell ref="A26:B26"/>
    <mergeCell ref="A27:B27"/>
    <mergeCell ref="A28:B28"/>
    <mergeCell ref="A29:B29"/>
    <mergeCell ref="D26:E26"/>
    <mergeCell ref="D27:E27"/>
    <mergeCell ref="F26:G26"/>
    <mergeCell ref="F27:G27"/>
    <mergeCell ref="F28:G28"/>
    <mergeCell ref="F29:G29"/>
    <mergeCell ref="D28:E28"/>
    <mergeCell ref="C24:C25"/>
    <mergeCell ref="D25:E25"/>
    <mergeCell ref="F25:G25"/>
    <mergeCell ref="D24:G24"/>
    <mergeCell ref="A15:B16"/>
    <mergeCell ref="C15:G16"/>
    <mergeCell ref="A17:B18"/>
    <mergeCell ref="C17:G18"/>
    <mergeCell ref="A19:B20"/>
    <mergeCell ref="C19:G20"/>
    <mergeCell ref="A23:G23"/>
    <mergeCell ref="A13:G13"/>
    <mergeCell ref="A14:B14"/>
    <mergeCell ref="C14:G14"/>
    <mergeCell ref="A6:G7"/>
    <mergeCell ref="A8:G9"/>
    <mergeCell ref="A10:G11"/>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T61"/>
  <sheetViews>
    <sheetView showGridLines="0" topLeftCell="A7" zoomScaleNormal="100" workbookViewId="0">
      <selection activeCell="L18" sqref="L18"/>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20" x14ac:dyDescent="0.25">
      <c r="A1" s="119" t="str">
        <f>+'Cover Page'!$B$29</f>
        <v>Annual Performance Report 2022</v>
      </c>
      <c r="B1" s="119"/>
      <c r="C1" s="119"/>
      <c r="D1" s="119"/>
      <c r="E1" s="119" t="str">
        <f>+'Cover Page'!$B$33</f>
        <v>Permit EPR/RP3036QU</v>
      </c>
      <c r="F1" s="119"/>
      <c r="G1" s="119"/>
      <c r="H1" s="119"/>
      <c r="I1" s="119"/>
      <c r="J1" s="119"/>
      <c r="K1" s="119"/>
      <c r="L1" s="119"/>
      <c r="M1" s="119"/>
      <c r="N1" s="119"/>
      <c r="O1" s="119"/>
      <c r="P1" s="119"/>
      <c r="Q1" s="119"/>
      <c r="R1" s="119"/>
      <c r="S1" s="119"/>
      <c r="T1" s="119"/>
    </row>
    <row r="3" spans="1:20" ht="15.6" x14ac:dyDescent="0.3">
      <c r="A3" s="1" t="s">
        <v>40</v>
      </c>
      <c r="B3" s="119"/>
      <c r="C3" s="119"/>
      <c r="D3" s="119"/>
      <c r="E3" s="119"/>
      <c r="F3" s="119"/>
      <c r="G3" s="119"/>
      <c r="H3" s="119"/>
      <c r="I3" s="119"/>
      <c r="J3" s="119"/>
      <c r="K3" s="119"/>
      <c r="L3" s="119"/>
      <c r="M3" s="119"/>
      <c r="N3" s="119"/>
      <c r="O3" s="119"/>
      <c r="P3" s="119"/>
      <c r="Q3" s="119"/>
      <c r="R3" s="119"/>
      <c r="S3" s="119"/>
      <c r="T3" s="119"/>
    </row>
    <row r="4" spans="1:20" ht="15.6" x14ac:dyDescent="0.3">
      <c r="A4" s="1"/>
      <c r="B4" s="119"/>
      <c r="C4" s="119"/>
      <c r="D4" s="119"/>
      <c r="E4" s="119"/>
      <c r="F4" s="119"/>
      <c r="G4" s="119"/>
      <c r="H4" s="119"/>
      <c r="I4" s="119"/>
      <c r="J4" s="119"/>
      <c r="K4" s="119"/>
      <c r="L4" s="119"/>
      <c r="M4" s="119"/>
      <c r="N4" s="119"/>
      <c r="O4" s="119"/>
      <c r="P4" s="119"/>
      <c r="Q4" s="119"/>
      <c r="R4" s="119"/>
      <c r="S4" s="119"/>
      <c r="T4" s="119"/>
    </row>
    <row r="5" spans="1:20" s="3" customFormat="1" ht="21.75" customHeight="1" x14ac:dyDescent="0.25">
      <c r="A5" s="75" t="s">
        <v>287</v>
      </c>
      <c r="B5" s="76"/>
      <c r="C5" s="76"/>
      <c r="D5" s="76"/>
      <c r="E5" s="76"/>
      <c r="F5" s="76"/>
      <c r="G5" s="76"/>
      <c r="H5" s="76"/>
      <c r="I5" s="76"/>
      <c r="J5" s="77"/>
    </row>
    <row r="6" spans="1:20" s="3" customFormat="1" ht="15.75" customHeight="1" x14ac:dyDescent="0.25">
      <c r="A6" s="398" t="s">
        <v>308</v>
      </c>
      <c r="B6" s="408"/>
      <c r="C6" s="408"/>
      <c r="D6" s="408"/>
      <c r="E6" s="408"/>
      <c r="F6" s="408"/>
      <c r="G6" s="408"/>
      <c r="H6" s="408"/>
      <c r="I6" s="408"/>
      <c r="J6" s="399"/>
    </row>
    <row r="7" spans="1:20" s="3" customFormat="1" ht="15.75" customHeight="1" x14ac:dyDescent="0.25">
      <c r="A7" s="400"/>
      <c r="B7" s="409"/>
      <c r="C7" s="409"/>
      <c r="D7" s="409"/>
      <c r="E7" s="409"/>
      <c r="F7" s="409"/>
      <c r="G7" s="409"/>
      <c r="H7" s="409"/>
      <c r="I7" s="409"/>
      <c r="J7" s="401"/>
    </row>
    <row r="8" spans="1:20" s="3" customFormat="1" ht="15.75" customHeight="1" x14ac:dyDescent="0.25">
      <c r="A8" s="430"/>
      <c r="B8" s="431"/>
      <c r="C8" s="431"/>
      <c r="D8" s="431"/>
      <c r="E8" s="431"/>
      <c r="F8" s="431"/>
      <c r="G8" s="431"/>
      <c r="H8" s="431"/>
      <c r="I8" s="431"/>
      <c r="J8" s="432"/>
    </row>
    <row r="9" spans="1:20" s="3" customFormat="1" ht="15.75" customHeight="1" x14ac:dyDescent="0.25">
      <c r="A9" s="433"/>
      <c r="B9" s="434"/>
      <c r="C9" s="434"/>
      <c r="D9" s="434"/>
      <c r="E9" s="434"/>
      <c r="F9" s="434"/>
      <c r="G9" s="434"/>
      <c r="H9" s="434"/>
      <c r="I9" s="434"/>
      <c r="J9" s="435"/>
    </row>
    <row r="10" spans="1:20" s="3" customFormat="1" ht="13.8" x14ac:dyDescent="0.25"/>
    <row r="11" spans="1:20" s="74" customFormat="1" ht="33.75" customHeight="1" x14ac:dyDescent="0.3">
      <c r="A11" s="386" t="s">
        <v>290</v>
      </c>
      <c r="B11" s="387"/>
      <c r="C11" s="387"/>
      <c r="D11" s="387"/>
      <c r="E11" s="387"/>
      <c r="F11" s="387"/>
      <c r="G11" s="387"/>
      <c r="H11" s="387"/>
      <c r="I11" s="387"/>
      <c r="J11" s="388"/>
      <c r="K11" s="225"/>
      <c r="L11" s="225"/>
      <c r="M11" s="225"/>
      <c r="N11" s="225"/>
      <c r="O11" s="225"/>
      <c r="P11" s="225"/>
      <c r="Q11" s="225"/>
      <c r="R11" s="225"/>
      <c r="S11" s="225"/>
      <c r="T11" s="225"/>
    </row>
    <row r="12" spans="1:20" ht="15.75" customHeight="1" x14ac:dyDescent="0.25">
      <c r="A12" s="389" t="s">
        <v>291</v>
      </c>
      <c r="B12" s="391"/>
      <c r="C12" s="389" t="s">
        <v>254</v>
      </c>
      <c r="D12" s="390"/>
      <c r="E12" s="390"/>
      <c r="F12" s="390"/>
      <c r="G12" s="390"/>
      <c r="H12" s="390"/>
      <c r="I12" s="390"/>
      <c r="J12" s="390"/>
      <c r="K12" s="119"/>
      <c r="L12" s="119"/>
      <c r="M12" s="119"/>
      <c r="N12" s="119"/>
      <c r="O12" s="119"/>
      <c r="P12" s="119"/>
      <c r="Q12" s="119"/>
      <c r="R12" s="119"/>
      <c r="S12" s="119"/>
      <c r="T12" s="119"/>
    </row>
    <row r="13" spans="1:20" ht="15.75" customHeight="1" x14ac:dyDescent="0.25">
      <c r="A13" s="430" t="s">
        <v>249</v>
      </c>
      <c r="B13" s="432"/>
      <c r="C13" s="398" t="s">
        <v>249</v>
      </c>
      <c r="D13" s="408"/>
      <c r="E13" s="408"/>
      <c r="F13" s="408"/>
      <c r="G13" s="408"/>
      <c r="H13" s="408"/>
      <c r="I13" s="408"/>
      <c r="J13" s="399"/>
      <c r="K13" s="119"/>
      <c r="L13" s="119"/>
      <c r="M13" s="119"/>
      <c r="N13" s="119"/>
      <c r="O13" s="119"/>
      <c r="P13" s="119"/>
      <c r="Q13" s="119"/>
      <c r="R13" s="119"/>
      <c r="S13" s="119"/>
      <c r="T13" s="119"/>
    </row>
    <row r="14" spans="1:20" ht="15.75" customHeight="1" x14ac:dyDescent="0.25">
      <c r="A14" s="433"/>
      <c r="B14" s="435"/>
      <c r="C14" s="400"/>
      <c r="D14" s="409"/>
      <c r="E14" s="409"/>
      <c r="F14" s="409"/>
      <c r="G14" s="409"/>
      <c r="H14" s="409"/>
      <c r="I14" s="409"/>
      <c r="J14" s="401"/>
      <c r="K14" s="119"/>
      <c r="L14" s="119"/>
      <c r="M14" s="119"/>
      <c r="N14" s="119"/>
      <c r="O14" s="119"/>
      <c r="P14" s="119"/>
      <c r="Q14" s="119"/>
      <c r="R14" s="119"/>
      <c r="S14" s="119"/>
      <c r="T14" s="119"/>
    </row>
    <row r="15" spans="1:20" ht="15.75" customHeight="1" x14ac:dyDescent="0.25">
      <c r="A15" s="398"/>
      <c r="B15" s="399"/>
      <c r="C15" s="398"/>
      <c r="D15" s="408"/>
      <c r="E15" s="408"/>
      <c r="F15" s="408"/>
      <c r="G15" s="408"/>
      <c r="H15" s="408"/>
      <c r="I15" s="408"/>
      <c r="J15" s="399"/>
      <c r="K15" s="119"/>
      <c r="L15" s="119"/>
      <c r="M15" s="119"/>
      <c r="N15" s="119"/>
      <c r="O15" s="119"/>
      <c r="P15" s="119"/>
      <c r="Q15" s="119"/>
      <c r="R15" s="119"/>
      <c r="S15" s="119"/>
      <c r="T15" s="119"/>
    </row>
    <row r="16" spans="1:20" ht="15.75" customHeight="1" x14ac:dyDescent="0.25">
      <c r="A16" s="400"/>
      <c r="B16" s="401"/>
      <c r="C16" s="400"/>
      <c r="D16" s="409"/>
      <c r="E16" s="409"/>
      <c r="F16" s="409"/>
      <c r="G16" s="409"/>
      <c r="H16" s="409"/>
      <c r="I16" s="409"/>
      <c r="J16" s="401"/>
      <c r="K16" s="119"/>
      <c r="L16" s="119"/>
      <c r="M16" s="119"/>
      <c r="N16" s="119"/>
      <c r="O16" s="119"/>
      <c r="P16" s="119"/>
      <c r="Q16" s="119"/>
      <c r="R16" s="119"/>
      <c r="S16" s="119"/>
      <c r="T16" s="119"/>
    </row>
    <row r="17" spans="1:20" x14ac:dyDescent="0.25">
      <c r="A17" s="119"/>
      <c r="B17" s="119"/>
      <c r="C17" s="119"/>
      <c r="D17" s="119"/>
      <c r="E17" s="119"/>
      <c r="F17" s="119"/>
      <c r="G17" s="119"/>
      <c r="H17" s="119"/>
      <c r="I17" s="119"/>
      <c r="J17" s="119"/>
      <c r="K17" s="119"/>
      <c r="L17" s="119"/>
      <c r="M17" s="119"/>
      <c r="N17" s="119"/>
      <c r="O17" s="119"/>
      <c r="P17" s="119"/>
      <c r="Q17" s="119"/>
      <c r="R17" s="119"/>
      <c r="S17" s="119"/>
      <c r="T17" s="119"/>
    </row>
    <row r="18" spans="1:20" ht="22.5" customHeight="1" x14ac:dyDescent="0.25">
      <c r="A18" s="445" t="s">
        <v>309</v>
      </c>
      <c r="B18" s="446"/>
      <c r="C18" s="446"/>
      <c r="D18" s="446"/>
      <c r="E18" s="446"/>
      <c r="F18" s="446"/>
      <c r="G18" s="446"/>
      <c r="H18" s="446"/>
      <c r="I18" s="446"/>
      <c r="J18" s="446"/>
      <c r="K18" s="119"/>
      <c r="L18" s="119"/>
      <c r="M18" s="119"/>
      <c r="N18" s="119"/>
      <c r="O18" s="119"/>
      <c r="P18" s="119"/>
      <c r="Q18" s="119"/>
      <c r="R18" s="119"/>
      <c r="S18" s="119"/>
      <c r="T18" s="119"/>
    </row>
    <row r="19" spans="1:20" ht="19.5" customHeight="1" x14ac:dyDescent="0.25">
      <c r="A19" s="447" t="s">
        <v>180</v>
      </c>
      <c r="B19" s="448"/>
      <c r="C19" s="449"/>
      <c r="D19" s="450" t="s">
        <v>310</v>
      </c>
      <c r="E19" s="451"/>
      <c r="F19" s="452"/>
      <c r="G19" s="82" t="s">
        <v>294</v>
      </c>
      <c r="H19" s="82" t="s">
        <v>311</v>
      </c>
      <c r="I19" s="82" t="s">
        <v>312</v>
      </c>
      <c r="J19" s="82" t="s">
        <v>313</v>
      </c>
      <c r="K19" s="119"/>
      <c r="L19" s="119"/>
      <c r="M19" s="119"/>
      <c r="N19" s="119"/>
      <c r="O19" s="119"/>
      <c r="P19" s="119"/>
      <c r="Q19" s="119"/>
      <c r="R19" s="119"/>
      <c r="S19" s="119"/>
      <c r="T19" s="119"/>
    </row>
    <row r="20" spans="1:20" x14ac:dyDescent="0.25">
      <c r="A20" s="307" t="s">
        <v>314</v>
      </c>
      <c r="B20" s="308"/>
      <c r="C20" s="324"/>
      <c r="D20" s="307" t="s">
        <v>315</v>
      </c>
      <c r="E20" s="308"/>
      <c r="F20" s="324"/>
      <c r="G20" s="83" t="s">
        <v>316</v>
      </c>
      <c r="H20" s="155" t="s">
        <v>317</v>
      </c>
      <c r="I20" s="163">
        <v>7</v>
      </c>
      <c r="J20" s="211">
        <v>5</v>
      </c>
      <c r="K20" s="119"/>
      <c r="L20" s="119"/>
      <c r="M20" s="119"/>
      <c r="N20" s="119"/>
      <c r="O20" s="119"/>
      <c r="P20" s="119"/>
      <c r="Q20" s="119"/>
      <c r="R20" s="119"/>
      <c r="S20" s="119"/>
      <c r="T20" s="119"/>
    </row>
    <row r="21" spans="1:20" x14ac:dyDescent="0.25">
      <c r="A21" s="307" t="s">
        <v>318</v>
      </c>
      <c r="B21" s="308"/>
      <c r="C21" s="324"/>
      <c r="D21" s="307" t="s">
        <v>319</v>
      </c>
      <c r="E21" s="308"/>
      <c r="F21" s="324"/>
      <c r="G21" s="115" t="s">
        <v>320</v>
      </c>
      <c r="H21" s="156">
        <v>7.5</v>
      </c>
      <c r="I21" s="207">
        <v>8.8000000000000007</v>
      </c>
      <c r="J21" s="208">
        <v>7.5</v>
      </c>
      <c r="K21" s="119"/>
      <c r="L21" s="119"/>
      <c r="M21" s="119"/>
      <c r="N21" s="119"/>
      <c r="O21" s="119"/>
      <c r="P21" s="119"/>
      <c r="Q21" s="119"/>
      <c r="R21" s="119"/>
      <c r="S21" s="119"/>
      <c r="T21" s="119"/>
    </row>
    <row r="22" spans="1:20" x14ac:dyDescent="0.25">
      <c r="A22" s="307" t="s">
        <v>321</v>
      </c>
      <c r="B22" s="308"/>
      <c r="C22" s="324"/>
      <c r="D22" s="307" t="s">
        <v>319</v>
      </c>
      <c r="E22" s="308"/>
      <c r="F22" s="324"/>
      <c r="G22" s="153" t="s">
        <v>322</v>
      </c>
      <c r="H22" s="154" t="s">
        <v>323</v>
      </c>
      <c r="I22" s="163">
        <v>21.5</v>
      </c>
      <c r="J22" s="211">
        <v>15.65</v>
      </c>
      <c r="K22" s="119"/>
      <c r="L22" s="119"/>
      <c r="M22" s="119"/>
      <c r="N22" s="119"/>
      <c r="O22" s="119"/>
      <c r="P22" s="119"/>
      <c r="Q22" s="119"/>
      <c r="R22" s="119"/>
      <c r="S22" s="119"/>
      <c r="T22" s="119"/>
    </row>
    <row r="23" spans="1:20" x14ac:dyDescent="0.25">
      <c r="A23" s="307" t="s">
        <v>324</v>
      </c>
      <c r="B23" s="308"/>
      <c r="C23" s="324"/>
      <c r="D23" s="307" t="s">
        <v>319</v>
      </c>
      <c r="E23" s="308"/>
      <c r="F23" s="324"/>
      <c r="G23" s="157" t="s">
        <v>325</v>
      </c>
      <c r="H23" s="158">
        <v>0</v>
      </c>
      <c r="I23" s="212">
        <v>1.87</v>
      </c>
      <c r="J23" s="213">
        <v>1.36</v>
      </c>
      <c r="K23" s="119"/>
      <c r="L23" s="119"/>
      <c r="M23" s="119"/>
      <c r="N23" s="119"/>
      <c r="O23" s="119"/>
      <c r="P23" s="119"/>
      <c r="Q23" s="119"/>
      <c r="R23" s="119"/>
      <c r="S23" s="119"/>
      <c r="T23" s="119"/>
    </row>
    <row r="24" spans="1:20" x14ac:dyDescent="0.25">
      <c r="A24" s="456"/>
      <c r="B24" s="457"/>
      <c r="C24" s="458"/>
      <c r="D24" s="453"/>
      <c r="E24" s="454"/>
      <c r="F24" s="455"/>
      <c r="G24" s="84"/>
      <c r="H24" s="84"/>
      <c r="I24" s="84"/>
      <c r="J24" s="84"/>
      <c r="K24" s="119"/>
      <c r="L24" s="119"/>
      <c r="M24" s="119"/>
      <c r="N24" s="119"/>
      <c r="O24" s="119"/>
      <c r="P24" s="119"/>
      <c r="Q24" s="119"/>
      <c r="R24" s="119"/>
      <c r="S24" s="119"/>
      <c r="T24" s="119"/>
    </row>
    <row r="25" spans="1:20" x14ac:dyDescent="0.25">
      <c r="A25" s="315"/>
      <c r="B25" s="315"/>
      <c r="C25" s="315"/>
      <c r="D25" s="453"/>
      <c r="E25" s="454"/>
      <c r="F25" s="455"/>
      <c r="G25" s="84"/>
      <c r="H25" s="84"/>
      <c r="I25" s="84"/>
      <c r="J25" s="84"/>
      <c r="K25" s="119"/>
      <c r="L25" s="119"/>
      <c r="M25" s="119"/>
      <c r="N25" s="119"/>
      <c r="O25" s="119"/>
      <c r="P25" s="119"/>
      <c r="Q25" s="119"/>
      <c r="R25" s="119"/>
      <c r="S25" s="119"/>
      <c r="T25" s="119"/>
    </row>
    <row r="26" spans="1:20" x14ac:dyDescent="0.25">
      <c r="A26" s="13"/>
      <c r="B26" s="13"/>
      <c r="C26" s="13"/>
      <c r="D26" s="13"/>
      <c r="E26" s="13"/>
      <c r="F26" s="13"/>
      <c r="G26" s="13"/>
      <c r="H26" s="13"/>
      <c r="I26" s="13"/>
      <c r="J26" s="13"/>
      <c r="K26" s="119"/>
      <c r="L26" s="119"/>
      <c r="M26" s="119"/>
      <c r="N26" s="119"/>
      <c r="O26" s="119"/>
      <c r="P26" s="119"/>
      <c r="Q26" s="119"/>
      <c r="R26" s="119"/>
      <c r="S26" s="119"/>
      <c r="T26" s="119"/>
    </row>
    <row r="27" spans="1:20" x14ac:dyDescent="0.25">
      <c r="A27" s="13"/>
      <c r="B27" s="13"/>
      <c r="C27" s="13"/>
      <c r="D27" s="13"/>
      <c r="E27" s="13"/>
      <c r="F27" s="13"/>
      <c r="G27" s="13"/>
      <c r="H27" s="13"/>
      <c r="I27" s="13"/>
      <c r="J27" s="13"/>
      <c r="K27" s="119"/>
      <c r="L27" s="119"/>
      <c r="M27" s="119"/>
      <c r="N27" s="119"/>
      <c r="O27" s="119"/>
      <c r="P27" s="119"/>
      <c r="Q27" s="119"/>
      <c r="R27" s="119"/>
      <c r="S27" s="119"/>
      <c r="T27" s="119"/>
    </row>
    <row r="28" spans="1:20" x14ac:dyDescent="0.25">
      <c r="A28" s="13"/>
      <c r="B28" s="13"/>
      <c r="C28" s="13"/>
      <c r="D28" s="13"/>
      <c r="E28" s="13"/>
      <c r="F28" s="13"/>
      <c r="G28" s="13"/>
      <c r="H28" s="13"/>
      <c r="I28" s="13"/>
      <c r="J28" s="13"/>
      <c r="K28" s="119"/>
      <c r="L28" s="119"/>
      <c r="M28" s="119"/>
      <c r="N28" s="119"/>
      <c r="O28" s="119"/>
      <c r="P28" s="119"/>
      <c r="Q28" s="119"/>
      <c r="R28" s="119"/>
      <c r="S28" s="119"/>
      <c r="T28" s="119"/>
    </row>
    <row r="61" spans="6:6" x14ac:dyDescent="0.25">
      <c r="F61" s="3"/>
    </row>
  </sheetData>
  <mergeCells count="24">
    <mergeCell ref="A25:C25"/>
    <mergeCell ref="D25:F25"/>
    <mergeCell ref="A23:C23"/>
    <mergeCell ref="D23:F23"/>
    <mergeCell ref="A24:C24"/>
    <mergeCell ref="D24:F24"/>
    <mergeCell ref="A20:C20"/>
    <mergeCell ref="D20:F20"/>
    <mergeCell ref="A21:C21"/>
    <mergeCell ref="D21:F21"/>
    <mergeCell ref="A22:C22"/>
    <mergeCell ref="D22:F22"/>
    <mergeCell ref="A18:J18"/>
    <mergeCell ref="A19:C19"/>
    <mergeCell ref="D19:F19"/>
    <mergeCell ref="A13:B14"/>
    <mergeCell ref="C13:J14"/>
    <mergeCell ref="A15:B16"/>
    <mergeCell ref="C15:J16"/>
    <mergeCell ref="A6:J7"/>
    <mergeCell ref="A8:J9"/>
    <mergeCell ref="A11:J11"/>
    <mergeCell ref="A12:B12"/>
    <mergeCell ref="C12:J12"/>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topLeftCell="A16" zoomScaleNormal="100" workbookViewId="0">
      <selection activeCell="H15" sqref="H15"/>
    </sheetView>
  </sheetViews>
  <sheetFormatPr defaultColWidth="9.33203125" defaultRowHeight="15" x14ac:dyDescent="0.25"/>
  <cols>
    <col min="1" max="1" width="9.33203125" style="2" customWidth="1"/>
    <col min="2" max="2" width="14.5546875" style="2" bestFit="1" customWidth="1"/>
    <col min="3" max="9" width="9.33203125" style="2"/>
    <col min="10" max="10" width="10.44140625" style="2" customWidth="1"/>
    <col min="11" max="16384" width="9.33203125" style="2"/>
  </cols>
  <sheetData>
    <row r="1" spans="1:16" x14ac:dyDescent="0.25">
      <c r="A1" s="119" t="str">
        <f>+'Cover Page'!$B$29</f>
        <v>Annual Performance Report 2022</v>
      </c>
      <c r="B1" s="119"/>
      <c r="C1" s="119"/>
      <c r="D1" s="119"/>
      <c r="E1" s="119" t="str">
        <f>+'Cover Page'!$B$33</f>
        <v>Permit EPR/RP3036QU</v>
      </c>
      <c r="F1" s="119"/>
      <c r="G1" s="119"/>
      <c r="H1" s="119"/>
      <c r="I1" s="119"/>
      <c r="J1" s="119"/>
      <c r="K1" s="119"/>
      <c r="L1" s="119"/>
      <c r="M1" s="119"/>
      <c r="N1" s="119"/>
      <c r="O1" s="119"/>
      <c r="P1" s="119"/>
    </row>
    <row r="2" spans="1:16" ht="7.5" customHeight="1" x14ac:dyDescent="0.25">
      <c r="A2" s="119"/>
      <c r="B2" s="119"/>
      <c r="C2" s="119"/>
      <c r="D2" s="119"/>
      <c r="E2" s="119"/>
      <c r="F2" s="119"/>
      <c r="G2" s="119"/>
      <c r="H2" s="119"/>
      <c r="I2" s="119"/>
      <c r="J2" s="119"/>
      <c r="K2" s="119"/>
      <c r="L2" s="119"/>
      <c r="M2" s="119"/>
      <c r="N2" s="119"/>
      <c r="O2" s="119"/>
      <c r="P2" s="119"/>
    </row>
    <row r="3" spans="1:16" ht="15.6" x14ac:dyDescent="0.3">
      <c r="A3" s="1" t="s">
        <v>41</v>
      </c>
      <c r="B3" s="119"/>
      <c r="C3" s="119"/>
      <c r="D3" s="119"/>
      <c r="E3" s="119"/>
      <c r="F3" s="119"/>
      <c r="G3" s="119"/>
      <c r="H3" s="119"/>
      <c r="I3" s="119"/>
      <c r="J3" s="119"/>
      <c r="K3" s="119"/>
      <c r="L3" s="119"/>
      <c r="M3" s="119"/>
      <c r="N3" s="119"/>
      <c r="O3" s="119"/>
      <c r="P3" s="119"/>
    </row>
    <row r="4" spans="1:16" ht="9.75" customHeight="1" x14ac:dyDescent="0.3">
      <c r="A4" s="1"/>
      <c r="B4" s="119"/>
      <c r="C4" s="119"/>
      <c r="D4" s="119"/>
      <c r="E4" s="119"/>
      <c r="F4" s="119"/>
      <c r="G4" s="119"/>
      <c r="H4" s="119"/>
      <c r="I4" s="119"/>
      <c r="J4" s="119"/>
      <c r="K4" s="119"/>
      <c r="L4" s="119"/>
      <c r="M4" s="119"/>
      <c r="N4" s="119"/>
      <c r="O4" s="119"/>
      <c r="P4" s="119"/>
    </row>
    <row r="5" spans="1:16" s="3" customFormat="1" ht="21.75" customHeight="1" x14ac:dyDescent="0.3">
      <c r="A5" s="75" t="s">
        <v>326</v>
      </c>
      <c r="B5" s="76"/>
      <c r="C5" s="76"/>
      <c r="D5" s="76"/>
      <c r="E5" s="76"/>
      <c r="F5" s="76"/>
      <c r="G5" s="76"/>
      <c r="H5" s="76"/>
      <c r="I5" s="76"/>
      <c r="J5" s="77"/>
      <c r="M5" s="113" t="s">
        <v>1</v>
      </c>
    </row>
    <row r="6" spans="1:16" s="3" customFormat="1" ht="15.75" customHeight="1" x14ac:dyDescent="0.25">
      <c r="A6" s="284" t="s">
        <v>327</v>
      </c>
      <c r="B6" s="260"/>
      <c r="C6" s="260"/>
      <c r="D6" s="260"/>
      <c r="E6" s="260"/>
      <c r="F6" s="260"/>
      <c r="G6" s="260"/>
      <c r="H6" s="260"/>
      <c r="I6" s="260"/>
      <c r="J6" s="285"/>
      <c r="M6" s="459" t="s">
        <v>328</v>
      </c>
      <c r="N6" s="459"/>
      <c r="O6" s="459"/>
      <c r="P6" s="459"/>
    </row>
    <row r="7" spans="1:16" s="3" customFormat="1" ht="15.75" customHeight="1" x14ac:dyDescent="0.25">
      <c r="A7" s="289"/>
      <c r="B7" s="290"/>
      <c r="C7" s="290"/>
      <c r="D7" s="290"/>
      <c r="E7" s="290"/>
      <c r="F7" s="290"/>
      <c r="G7" s="290"/>
      <c r="H7" s="290"/>
      <c r="I7" s="290"/>
      <c r="J7" s="291"/>
      <c r="M7" s="459"/>
      <c r="N7" s="459"/>
      <c r="O7" s="459"/>
      <c r="P7" s="459"/>
    </row>
    <row r="8" spans="1:16" s="3" customFormat="1" ht="13.8" x14ac:dyDescent="0.25">
      <c r="M8" s="459"/>
      <c r="N8" s="459"/>
      <c r="O8" s="459"/>
      <c r="P8" s="459"/>
    </row>
    <row r="9" spans="1:16" s="86" customFormat="1" ht="16.5" customHeight="1" x14ac:dyDescent="0.25">
      <c r="A9" s="436" t="s">
        <v>329</v>
      </c>
      <c r="B9" s="436"/>
      <c r="C9" s="436"/>
      <c r="D9" s="436"/>
      <c r="E9" s="436"/>
      <c r="F9" s="436"/>
      <c r="G9" s="436"/>
      <c r="H9" s="436"/>
      <c r="I9" s="436"/>
      <c r="J9" s="436"/>
      <c r="M9" s="459"/>
      <c r="N9" s="459"/>
      <c r="O9" s="459"/>
      <c r="P9" s="459"/>
    </row>
    <row r="10" spans="1:16" s="86" customFormat="1" ht="16.5" customHeight="1" x14ac:dyDescent="0.25">
      <c r="A10" s="460" t="s">
        <v>208</v>
      </c>
      <c r="B10" s="461"/>
      <c r="C10" s="471" t="s">
        <v>330</v>
      </c>
      <c r="D10" s="467" t="s">
        <v>331</v>
      </c>
      <c r="E10" s="468"/>
      <c r="F10" s="464" t="s">
        <v>313</v>
      </c>
      <c r="G10" s="465"/>
      <c r="H10" s="465"/>
      <c r="I10" s="465"/>
      <c r="J10" s="466"/>
      <c r="M10" s="459" t="s">
        <v>332</v>
      </c>
      <c r="N10" s="459"/>
      <c r="O10" s="459"/>
      <c r="P10" s="459"/>
    </row>
    <row r="11" spans="1:16" s="13" customFormat="1" ht="17.25" customHeight="1" x14ac:dyDescent="0.25">
      <c r="A11" s="462"/>
      <c r="B11" s="463"/>
      <c r="C11" s="472"/>
      <c r="D11" s="469"/>
      <c r="E11" s="470"/>
      <c r="F11" s="73" t="s">
        <v>182</v>
      </c>
      <c r="G11" s="73"/>
      <c r="H11" s="73"/>
      <c r="I11" s="73"/>
      <c r="J11" s="73"/>
      <c r="M11" s="459"/>
      <c r="N11" s="459"/>
      <c r="O11" s="459"/>
      <c r="P11" s="459"/>
    </row>
    <row r="12" spans="1:16" s="13" customFormat="1" ht="23.25" customHeight="1" x14ac:dyDescent="0.25">
      <c r="A12" s="298" t="s">
        <v>333</v>
      </c>
      <c r="B12" s="298"/>
      <c r="C12" s="81" t="s">
        <v>334</v>
      </c>
      <c r="D12" s="349" t="s">
        <v>335</v>
      </c>
      <c r="E12" s="349"/>
      <c r="F12" s="163">
        <v>3.5750000000000002</v>
      </c>
      <c r="G12" s="83"/>
      <c r="H12" s="83"/>
      <c r="I12" s="83"/>
      <c r="J12" s="83"/>
      <c r="M12" s="459"/>
      <c r="N12" s="459"/>
      <c r="O12" s="459"/>
      <c r="P12" s="459"/>
    </row>
    <row r="13" spans="1:16" s="13" customFormat="1" ht="23.25" customHeight="1" x14ac:dyDescent="0.25">
      <c r="A13" s="298" t="s">
        <v>336</v>
      </c>
      <c r="B13" s="298"/>
      <c r="C13" s="81" t="s">
        <v>337</v>
      </c>
      <c r="D13" s="349" t="s">
        <v>338</v>
      </c>
      <c r="E13" s="349"/>
      <c r="F13" s="163">
        <v>4.3E-3</v>
      </c>
      <c r="G13" s="83"/>
      <c r="H13" s="83"/>
      <c r="I13" s="83"/>
      <c r="J13" s="83"/>
      <c r="M13" s="127"/>
      <c r="N13" s="127"/>
      <c r="O13" s="127"/>
      <c r="P13" s="127"/>
    </row>
    <row r="14" spans="1:16" s="13" customFormat="1" ht="23.25" customHeight="1" x14ac:dyDescent="0.25">
      <c r="A14" s="298" t="s">
        <v>339</v>
      </c>
      <c r="B14" s="298"/>
      <c r="C14" s="81" t="s">
        <v>337</v>
      </c>
      <c r="D14" s="349" t="s">
        <v>338</v>
      </c>
      <c r="E14" s="349"/>
      <c r="F14" s="163">
        <v>0.1535</v>
      </c>
      <c r="G14" s="83"/>
      <c r="H14" s="83"/>
      <c r="I14" s="83"/>
      <c r="J14" s="83"/>
      <c r="M14" s="127"/>
      <c r="N14" s="127"/>
      <c r="O14" s="127"/>
      <c r="P14" s="127"/>
    </row>
    <row r="15" spans="1:16" s="13" customFormat="1" ht="23.25" customHeight="1" x14ac:dyDescent="0.25">
      <c r="A15" s="298" t="s">
        <v>340</v>
      </c>
      <c r="B15" s="298"/>
      <c r="C15" s="81" t="s">
        <v>337</v>
      </c>
      <c r="D15" s="349" t="s">
        <v>341</v>
      </c>
      <c r="E15" s="349"/>
      <c r="F15" s="163">
        <v>0.09</v>
      </c>
      <c r="G15" s="83"/>
      <c r="H15" s="83"/>
      <c r="I15" s="83"/>
      <c r="J15" s="83"/>
      <c r="M15" s="127"/>
      <c r="N15" s="127"/>
      <c r="O15" s="127"/>
      <c r="P15" s="127"/>
    </row>
    <row r="16" spans="1:16" s="13" customFormat="1" ht="23.25" customHeight="1" x14ac:dyDescent="0.25">
      <c r="A16" s="298" t="s">
        <v>342</v>
      </c>
      <c r="B16" s="298"/>
      <c r="C16" s="81" t="s">
        <v>337</v>
      </c>
      <c r="D16" s="349" t="s">
        <v>343</v>
      </c>
      <c r="E16" s="349"/>
      <c r="F16" s="163">
        <v>1.157</v>
      </c>
      <c r="G16" s="83"/>
      <c r="H16" s="83"/>
      <c r="I16" s="83"/>
      <c r="J16" s="83"/>
      <c r="M16" s="127"/>
      <c r="N16" s="127"/>
      <c r="O16" s="127"/>
      <c r="P16" s="127"/>
    </row>
    <row r="17" spans="1:16" s="13" customFormat="1" ht="23.25" customHeight="1" x14ac:dyDescent="0.25">
      <c r="A17" s="298" t="s">
        <v>344</v>
      </c>
      <c r="B17" s="298"/>
      <c r="C17" s="81" t="s">
        <v>337</v>
      </c>
      <c r="D17" s="349" t="s">
        <v>345</v>
      </c>
      <c r="E17" s="349"/>
      <c r="F17" s="163">
        <v>0.24055000000000001</v>
      </c>
      <c r="G17" s="83"/>
      <c r="H17" s="83"/>
      <c r="I17" s="83"/>
      <c r="J17" s="83"/>
      <c r="M17" s="127"/>
      <c r="N17" s="127"/>
      <c r="O17" s="127"/>
      <c r="P17" s="127"/>
    </row>
    <row r="18" spans="1:16" s="13" customFormat="1" ht="23.25" customHeight="1" x14ac:dyDescent="0.25">
      <c r="A18" s="298" t="s">
        <v>346</v>
      </c>
      <c r="B18" s="298"/>
      <c r="C18" s="81" t="s">
        <v>337</v>
      </c>
      <c r="D18" s="349" t="s">
        <v>345</v>
      </c>
      <c r="E18" s="349"/>
      <c r="F18" s="163">
        <v>1.125E-2</v>
      </c>
      <c r="G18" s="83"/>
      <c r="H18" s="83"/>
      <c r="I18" s="83"/>
      <c r="J18" s="83"/>
      <c r="M18" s="127"/>
      <c r="N18" s="127"/>
      <c r="O18" s="127"/>
      <c r="P18" s="127"/>
    </row>
    <row r="19" spans="1:16" s="13" customFormat="1" ht="23.25" customHeight="1" x14ac:dyDescent="0.25">
      <c r="A19" s="298" t="s">
        <v>347</v>
      </c>
      <c r="B19" s="298"/>
      <c r="C19" s="81" t="s">
        <v>337</v>
      </c>
      <c r="D19" s="349" t="s">
        <v>345</v>
      </c>
      <c r="E19" s="349"/>
      <c r="F19" s="163">
        <v>0.311</v>
      </c>
      <c r="G19" s="83"/>
      <c r="H19" s="83"/>
      <c r="I19" s="83"/>
      <c r="J19" s="83"/>
      <c r="M19" s="127"/>
      <c r="N19" s="127"/>
      <c r="O19" s="127"/>
      <c r="P19" s="127"/>
    </row>
    <row r="20" spans="1:16" s="13" customFormat="1" ht="23.25" customHeight="1" x14ac:dyDescent="0.25">
      <c r="A20" s="298" t="s">
        <v>348</v>
      </c>
      <c r="B20" s="298"/>
      <c r="C20" s="81" t="s">
        <v>337</v>
      </c>
      <c r="D20" s="349" t="s">
        <v>345</v>
      </c>
      <c r="E20" s="349"/>
      <c r="F20" s="163">
        <v>1.2075</v>
      </c>
      <c r="G20" s="83"/>
      <c r="H20" s="83"/>
      <c r="I20" s="83"/>
      <c r="J20" s="83"/>
    </row>
    <row r="21" spans="1:16" s="13" customFormat="1" ht="23.25" customHeight="1" x14ac:dyDescent="0.25">
      <c r="A21" s="298" t="s">
        <v>349</v>
      </c>
      <c r="B21" s="298"/>
      <c r="C21" s="81" t="s">
        <v>337</v>
      </c>
      <c r="D21" s="349" t="s">
        <v>345</v>
      </c>
      <c r="E21" s="349"/>
      <c r="F21" s="163">
        <v>1.357</v>
      </c>
      <c r="G21" s="83"/>
      <c r="H21" s="83"/>
      <c r="I21" s="83"/>
      <c r="J21" s="83"/>
    </row>
    <row r="22" spans="1:16" s="13" customFormat="1" ht="23.25" customHeight="1" x14ac:dyDescent="0.25">
      <c r="A22" s="298" t="s">
        <v>350</v>
      </c>
      <c r="B22" s="298"/>
      <c r="C22" s="81" t="s">
        <v>337</v>
      </c>
      <c r="D22" s="349" t="s">
        <v>345</v>
      </c>
      <c r="E22" s="349"/>
      <c r="F22" s="163">
        <v>2.0095000000000001</v>
      </c>
      <c r="G22" s="83"/>
      <c r="H22" s="83"/>
      <c r="I22" s="83"/>
      <c r="J22" s="83"/>
    </row>
    <row r="23" spans="1:16" s="13" customFormat="1" ht="23.25" customHeight="1" x14ac:dyDescent="0.25">
      <c r="A23" s="298" t="s">
        <v>351</v>
      </c>
      <c r="B23" s="298"/>
      <c r="C23" s="81" t="s">
        <v>337</v>
      </c>
      <c r="D23" s="349" t="s">
        <v>352</v>
      </c>
      <c r="E23" s="349"/>
      <c r="F23" s="163">
        <v>1.9499999999999999E-3</v>
      </c>
      <c r="G23" s="83"/>
      <c r="H23" s="83"/>
      <c r="I23" s="83"/>
      <c r="J23" s="83"/>
    </row>
    <row r="24" spans="1:16" s="13" customFormat="1" ht="23.25" customHeight="1" x14ac:dyDescent="0.25">
      <c r="A24" s="298" t="s">
        <v>353</v>
      </c>
      <c r="B24" s="298"/>
      <c r="C24" s="81" t="s">
        <v>337</v>
      </c>
      <c r="D24" s="349" t="s">
        <v>352</v>
      </c>
      <c r="E24" s="349"/>
      <c r="F24" s="163">
        <v>4.1999999999999997E-3</v>
      </c>
      <c r="G24" s="83"/>
      <c r="H24" s="83"/>
      <c r="I24" s="83"/>
      <c r="J24" s="83"/>
    </row>
    <row r="25" spans="1:16" s="13" customFormat="1" ht="23.25" customHeight="1" x14ac:dyDescent="0.25">
      <c r="A25" s="298" t="s">
        <v>354</v>
      </c>
      <c r="B25" s="298"/>
      <c r="C25" s="81" t="s">
        <v>337</v>
      </c>
      <c r="D25" s="349" t="s">
        <v>352</v>
      </c>
      <c r="E25" s="349"/>
      <c r="F25" s="163">
        <v>1.9499999999999999E-3</v>
      </c>
      <c r="G25" s="83"/>
      <c r="H25" s="83"/>
      <c r="I25" s="83"/>
      <c r="J25" s="83"/>
    </row>
    <row r="26" spans="1:16" s="13" customFormat="1" ht="23.25" customHeight="1" x14ac:dyDescent="0.25">
      <c r="A26" s="298" t="s">
        <v>355</v>
      </c>
      <c r="B26" s="298"/>
      <c r="C26" s="81" t="s">
        <v>337</v>
      </c>
      <c r="D26" s="349" t="s">
        <v>352</v>
      </c>
      <c r="E26" s="349"/>
      <c r="F26" s="163">
        <v>4.15E-3</v>
      </c>
      <c r="G26" s="83"/>
      <c r="H26" s="83"/>
      <c r="I26" s="83"/>
      <c r="J26" s="83"/>
    </row>
    <row r="27" spans="1:16" s="13" customFormat="1" ht="23.25" customHeight="1" x14ac:dyDescent="0.25">
      <c r="A27" s="298" t="s">
        <v>356</v>
      </c>
      <c r="B27" s="298"/>
      <c r="C27" s="81" t="s">
        <v>337</v>
      </c>
      <c r="D27" s="349" t="s">
        <v>352</v>
      </c>
      <c r="E27" s="349"/>
      <c r="F27" s="163">
        <v>1.5800000000000002E-2</v>
      </c>
      <c r="G27" s="83"/>
      <c r="H27" s="83"/>
      <c r="I27" s="83"/>
      <c r="J27" s="83"/>
    </row>
    <row r="28" spans="1:16" s="13" customFormat="1" ht="23.25" customHeight="1" x14ac:dyDescent="0.25">
      <c r="A28" s="298" t="s">
        <v>357</v>
      </c>
      <c r="B28" s="298"/>
      <c r="C28" s="81" t="s">
        <v>337</v>
      </c>
      <c r="D28" s="349" t="s">
        <v>352</v>
      </c>
      <c r="E28" s="349"/>
      <c r="F28" s="163">
        <v>2.8999999999999998E-3</v>
      </c>
      <c r="G28" s="83"/>
      <c r="H28" s="83"/>
      <c r="I28" s="83"/>
      <c r="J28" s="83"/>
    </row>
    <row r="29" spans="1:16" s="13" customFormat="1" ht="23.25" customHeight="1" x14ac:dyDescent="0.25">
      <c r="A29" s="298" t="s">
        <v>358</v>
      </c>
      <c r="B29" s="298"/>
      <c r="C29" s="81" t="s">
        <v>337</v>
      </c>
      <c r="D29" s="349" t="s">
        <v>352</v>
      </c>
      <c r="E29" s="349"/>
      <c r="F29" s="163">
        <v>1.9499999999999999E-3</v>
      </c>
      <c r="G29" s="83"/>
      <c r="H29" s="83"/>
      <c r="I29" s="83"/>
      <c r="J29" s="83"/>
    </row>
    <row r="30" spans="1:16" s="13" customFormat="1" ht="23.25" customHeight="1" x14ac:dyDescent="0.25">
      <c r="A30" s="298" t="s">
        <v>359</v>
      </c>
      <c r="B30" s="298"/>
      <c r="C30" s="81" t="s">
        <v>337</v>
      </c>
      <c r="D30" s="349" t="s">
        <v>352</v>
      </c>
      <c r="E30" s="349"/>
      <c r="F30" s="163">
        <v>1.95E-2</v>
      </c>
      <c r="G30" s="83"/>
      <c r="H30" s="83"/>
      <c r="I30" s="83"/>
      <c r="J30" s="83"/>
    </row>
    <row r="31" spans="1:16" s="13" customFormat="1" ht="23.25" customHeight="1" x14ac:dyDescent="0.25">
      <c r="A31" s="298" t="s">
        <v>360</v>
      </c>
      <c r="B31" s="298"/>
      <c r="C31" s="81" t="s">
        <v>337</v>
      </c>
      <c r="D31" s="349" t="s">
        <v>352</v>
      </c>
      <c r="E31" s="349"/>
      <c r="F31" s="163">
        <v>1.95E-2</v>
      </c>
      <c r="G31" s="83"/>
      <c r="H31" s="83"/>
      <c r="I31" s="83"/>
      <c r="J31" s="83"/>
    </row>
    <row r="32" spans="1:16" s="13" customFormat="1" ht="23.25" customHeight="1" x14ac:dyDescent="0.25">
      <c r="A32" s="298" t="s">
        <v>361</v>
      </c>
      <c r="B32" s="298"/>
      <c r="C32" s="81" t="s">
        <v>337</v>
      </c>
      <c r="D32" s="349" t="s">
        <v>352</v>
      </c>
      <c r="E32" s="349"/>
      <c r="F32" s="163">
        <v>8.8500000000000002E-3</v>
      </c>
      <c r="G32" s="83"/>
      <c r="H32" s="83"/>
      <c r="I32" s="83"/>
      <c r="J32" s="83"/>
    </row>
    <row r="33" spans="1:10" s="13" customFormat="1" ht="23.25" customHeight="1" x14ac:dyDescent="0.25">
      <c r="A33" s="298" t="s">
        <v>362</v>
      </c>
      <c r="B33" s="298"/>
      <c r="C33" s="81" t="s">
        <v>337</v>
      </c>
      <c r="D33" s="349" t="s">
        <v>352</v>
      </c>
      <c r="E33" s="349"/>
      <c r="F33" s="163">
        <v>1.9499999999999999E-3</v>
      </c>
      <c r="G33" s="83"/>
      <c r="H33" s="83"/>
      <c r="I33" s="83"/>
      <c r="J33" s="83"/>
    </row>
    <row r="34" spans="1:10" s="13" customFormat="1" ht="23.25" customHeight="1" x14ac:dyDescent="0.25">
      <c r="A34" s="298" t="s">
        <v>363</v>
      </c>
      <c r="B34" s="298"/>
      <c r="C34" s="81" t="s">
        <v>337</v>
      </c>
      <c r="D34" s="349" t="s">
        <v>352</v>
      </c>
      <c r="E34" s="349"/>
      <c r="F34" s="163">
        <v>1.9499999999999999E-3</v>
      </c>
      <c r="G34" s="83"/>
      <c r="H34" s="83"/>
      <c r="I34" s="83"/>
      <c r="J34" s="83"/>
    </row>
    <row r="35" spans="1:10" s="13" customFormat="1" ht="23.25" customHeight="1" x14ac:dyDescent="0.25">
      <c r="A35" s="298" t="s">
        <v>364</v>
      </c>
      <c r="B35" s="298"/>
      <c r="C35" s="81" t="s">
        <v>337</v>
      </c>
      <c r="D35" s="349" t="s">
        <v>352</v>
      </c>
      <c r="E35" s="349"/>
      <c r="F35" s="163">
        <v>1.9499999999999999E-3</v>
      </c>
      <c r="G35" s="83"/>
      <c r="H35" s="83"/>
      <c r="I35" s="83"/>
      <c r="J35" s="83"/>
    </row>
    <row r="36" spans="1:10" s="13" customFormat="1" ht="23.25" customHeight="1" x14ac:dyDescent="0.25">
      <c r="A36" s="298" t="s">
        <v>365</v>
      </c>
      <c r="B36" s="298"/>
      <c r="C36" s="81" t="s">
        <v>337</v>
      </c>
      <c r="D36" s="349" t="s">
        <v>352</v>
      </c>
      <c r="E36" s="349"/>
      <c r="F36" s="163">
        <v>7.7499999999999999E-2</v>
      </c>
      <c r="G36" s="83"/>
      <c r="H36" s="83"/>
      <c r="I36" s="83"/>
      <c r="J36" s="83"/>
    </row>
    <row r="37" spans="1:10" s="13" customFormat="1" ht="23.25" customHeight="1" x14ac:dyDescent="0.25">
      <c r="A37" s="298" t="s">
        <v>366</v>
      </c>
      <c r="B37" s="298"/>
      <c r="C37" s="81" t="s">
        <v>337</v>
      </c>
      <c r="D37" s="349" t="s">
        <v>352</v>
      </c>
      <c r="E37" s="349"/>
      <c r="F37" s="163">
        <v>1.9499999999999999E-3</v>
      </c>
      <c r="G37" s="83"/>
      <c r="H37" s="83"/>
      <c r="I37" s="83"/>
      <c r="J37" s="83"/>
    </row>
    <row r="38" spans="1:10" s="13" customFormat="1" ht="23.25" customHeight="1" x14ac:dyDescent="0.25">
      <c r="A38" s="298" t="s">
        <v>367</v>
      </c>
      <c r="B38" s="298"/>
      <c r="C38" s="81" t="s">
        <v>337</v>
      </c>
      <c r="D38" s="349" t="s">
        <v>352</v>
      </c>
      <c r="E38" s="349"/>
      <c r="F38" s="163">
        <v>0.4</v>
      </c>
      <c r="G38" s="83"/>
      <c r="H38" s="83"/>
      <c r="I38" s="83"/>
      <c r="J38" s="83"/>
    </row>
    <row r="39" spans="1:10" x14ac:dyDescent="0.25">
      <c r="A39" s="333" t="s">
        <v>306</v>
      </c>
      <c r="B39" s="333"/>
      <c r="C39" s="333"/>
      <c r="D39" s="333"/>
      <c r="E39" s="333"/>
      <c r="F39" s="333"/>
      <c r="G39" s="333"/>
      <c r="H39" s="333"/>
      <c r="I39" s="333"/>
      <c r="J39" s="333"/>
    </row>
    <row r="40" spans="1:10" x14ac:dyDescent="0.25">
      <c r="A40" s="473" t="s">
        <v>368</v>
      </c>
      <c r="B40" s="473"/>
      <c r="C40" s="473"/>
      <c r="D40" s="473"/>
      <c r="E40" s="473"/>
      <c r="F40" s="473"/>
      <c r="G40" s="473"/>
      <c r="H40" s="473"/>
      <c r="I40" s="473"/>
      <c r="J40" s="473"/>
    </row>
    <row r="41" spans="1:10" x14ac:dyDescent="0.25">
      <c r="A41" s="473"/>
      <c r="B41" s="473"/>
      <c r="C41" s="473"/>
      <c r="D41" s="473"/>
      <c r="E41" s="473"/>
      <c r="F41" s="473"/>
      <c r="G41" s="473"/>
      <c r="H41" s="473"/>
      <c r="I41" s="473"/>
      <c r="J41" s="473"/>
    </row>
    <row r="64" spans="6:6" x14ac:dyDescent="0.25">
      <c r="F64" s="3"/>
    </row>
  </sheetData>
  <mergeCells count="64">
    <mergeCell ref="D31:E31"/>
    <mergeCell ref="D21:E21"/>
    <mergeCell ref="D22:E22"/>
    <mergeCell ref="D23:E23"/>
    <mergeCell ref="D25:E25"/>
    <mergeCell ref="D26:E26"/>
    <mergeCell ref="D24:E24"/>
    <mergeCell ref="D27:E27"/>
    <mergeCell ref="D28:E28"/>
    <mergeCell ref="D29:E29"/>
    <mergeCell ref="D30:E30"/>
    <mergeCell ref="A28:B28"/>
    <mergeCell ref="A29:B29"/>
    <mergeCell ref="A30:B30"/>
    <mergeCell ref="A34:B34"/>
    <mergeCell ref="A31:B31"/>
    <mergeCell ref="A40:J41"/>
    <mergeCell ref="A35:B35"/>
    <mergeCell ref="A36:B36"/>
    <mergeCell ref="A32:B32"/>
    <mergeCell ref="A33:B33"/>
    <mergeCell ref="A37:B37"/>
    <mergeCell ref="A38:B38"/>
    <mergeCell ref="A39:J39"/>
    <mergeCell ref="D37:E37"/>
    <mergeCell ref="D32:E32"/>
    <mergeCell ref="D33:E33"/>
    <mergeCell ref="D34:E34"/>
    <mergeCell ref="D35:E35"/>
    <mergeCell ref="D36:E36"/>
    <mergeCell ref="D38:E38"/>
    <mergeCell ref="A25:B25"/>
    <mergeCell ref="A26:B26"/>
    <mergeCell ref="A27:B27"/>
    <mergeCell ref="A21:B21"/>
    <mergeCell ref="A22:B22"/>
    <mergeCell ref="A23:B23"/>
    <mergeCell ref="A24:B24"/>
    <mergeCell ref="A20:B20"/>
    <mergeCell ref="D12:E12"/>
    <mergeCell ref="D20:E20"/>
    <mergeCell ref="A10:B11"/>
    <mergeCell ref="F10:J10"/>
    <mergeCell ref="D10:E11"/>
    <mergeCell ref="C10:C11"/>
    <mergeCell ref="A15:B15"/>
    <mergeCell ref="D15:E15"/>
    <mergeCell ref="A13:B13"/>
    <mergeCell ref="D13:E13"/>
    <mergeCell ref="A14:B14"/>
    <mergeCell ref="D14:E14"/>
    <mergeCell ref="A16:B16"/>
    <mergeCell ref="A17:B17"/>
    <mergeCell ref="D17:E17"/>
    <mergeCell ref="M6:P9"/>
    <mergeCell ref="M10:P12"/>
    <mergeCell ref="A9:J9"/>
    <mergeCell ref="A6:J7"/>
    <mergeCell ref="A12:B12"/>
    <mergeCell ref="D16:E16"/>
    <mergeCell ref="A18:B18"/>
    <mergeCell ref="D18:E18"/>
    <mergeCell ref="A19:B19"/>
    <mergeCell ref="D19:E1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zoomScaleNormal="100" workbookViewId="0">
      <selection activeCell="A8" sqref="A8:M9"/>
    </sheetView>
  </sheetViews>
  <sheetFormatPr defaultColWidth="9.33203125" defaultRowHeight="15" x14ac:dyDescent="0.25"/>
  <cols>
    <col min="1" max="1" width="21.33203125" style="2" customWidth="1"/>
    <col min="2" max="2" width="13.6640625" style="2" customWidth="1"/>
    <col min="3" max="3" width="16.33203125" style="2" customWidth="1"/>
    <col min="4" max="12" width="9.33203125" style="2"/>
    <col min="13" max="13" width="10.44140625" style="2" customWidth="1"/>
    <col min="14" max="16384" width="9.33203125" style="2"/>
  </cols>
  <sheetData>
    <row r="1" spans="1:16" x14ac:dyDescent="0.25">
      <c r="A1" s="119" t="str">
        <f>+'Cover Page'!$B$29</f>
        <v>Annual Performance Report 2022</v>
      </c>
      <c r="B1" s="119"/>
      <c r="C1" s="119"/>
      <c r="D1" s="119"/>
      <c r="E1" s="119"/>
      <c r="F1" s="119"/>
      <c r="G1" s="119"/>
      <c r="H1" s="119"/>
      <c r="I1" s="119" t="str">
        <f>+'Cover Page'!$B$33</f>
        <v>Permit EPR/RP3036QU</v>
      </c>
      <c r="J1" s="119"/>
      <c r="K1" s="119"/>
      <c r="L1" s="119"/>
      <c r="M1" s="119"/>
      <c r="N1" s="119"/>
      <c r="O1" s="119"/>
      <c r="P1" s="119"/>
    </row>
    <row r="3" spans="1:16" ht="15.6" x14ac:dyDescent="0.3">
      <c r="A3" s="1" t="s">
        <v>369</v>
      </c>
      <c r="B3" s="119"/>
      <c r="C3" s="119"/>
      <c r="D3" s="119"/>
      <c r="E3" s="119"/>
      <c r="F3" s="119"/>
      <c r="G3" s="119"/>
      <c r="H3" s="119"/>
      <c r="I3" s="119"/>
      <c r="J3" s="119"/>
      <c r="K3" s="119"/>
      <c r="L3" s="119"/>
      <c r="M3" s="119"/>
      <c r="N3" s="119"/>
      <c r="O3" s="119"/>
      <c r="P3" s="119"/>
    </row>
    <row r="4" spans="1:16" ht="15.6" x14ac:dyDescent="0.3">
      <c r="A4" s="1"/>
      <c r="B4" s="119"/>
      <c r="C4" s="119"/>
      <c r="D4" s="119"/>
      <c r="E4" s="119"/>
      <c r="F4" s="119"/>
      <c r="G4" s="119"/>
      <c r="H4" s="119"/>
      <c r="I4" s="119"/>
      <c r="J4" s="119"/>
      <c r="K4" s="119"/>
      <c r="L4" s="119"/>
      <c r="M4" s="119"/>
      <c r="N4" s="119"/>
      <c r="O4" s="119"/>
      <c r="P4" s="103" t="s">
        <v>1</v>
      </c>
    </row>
    <row r="5" spans="1:16" s="3" customFormat="1" ht="21.75" customHeight="1" x14ac:dyDescent="0.3">
      <c r="A5" s="75" t="s">
        <v>326</v>
      </c>
      <c r="B5" s="76"/>
      <c r="C5" s="76"/>
      <c r="D5" s="76"/>
      <c r="E5" s="76"/>
      <c r="F5" s="76"/>
      <c r="G5" s="76"/>
      <c r="H5" s="76"/>
      <c r="I5" s="76"/>
      <c r="J5" s="76"/>
      <c r="K5" s="76"/>
      <c r="L5" s="76"/>
      <c r="M5" s="77"/>
      <c r="P5" s="104" t="s">
        <v>370</v>
      </c>
    </row>
    <row r="6" spans="1:16" s="3" customFormat="1" ht="15.75" customHeight="1" x14ac:dyDescent="0.25">
      <c r="A6" s="250" t="s">
        <v>371</v>
      </c>
      <c r="B6" s="425"/>
      <c r="C6" s="425"/>
      <c r="D6" s="425"/>
      <c r="E6" s="425"/>
      <c r="F6" s="425"/>
      <c r="G6" s="425"/>
      <c r="H6" s="425"/>
      <c r="I6" s="425"/>
      <c r="J6" s="425"/>
      <c r="K6" s="425"/>
      <c r="L6" s="425"/>
      <c r="M6" s="426"/>
    </row>
    <row r="7" spans="1:16" s="3" customFormat="1" ht="15.75" customHeight="1" x14ac:dyDescent="0.25">
      <c r="A7" s="427"/>
      <c r="B7" s="428"/>
      <c r="C7" s="428"/>
      <c r="D7" s="428"/>
      <c r="E7" s="428"/>
      <c r="F7" s="428"/>
      <c r="G7" s="428"/>
      <c r="H7" s="428"/>
      <c r="I7" s="428"/>
      <c r="J7" s="428"/>
      <c r="K7" s="428"/>
      <c r="L7" s="428"/>
      <c r="M7" s="429"/>
    </row>
    <row r="8" spans="1:16" s="3" customFormat="1" ht="15.75" customHeight="1" x14ac:dyDescent="0.25">
      <c r="A8" s="430"/>
      <c r="B8" s="431"/>
      <c r="C8" s="431"/>
      <c r="D8" s="431"/>
      <c r="E8" s="431"/>
      <c r="F8" s="431"/>
      <c r="G8" s="431"/>
      <c r="H8" s="431"/>
      <c r="I8" s="431"/>
      <c r="J8" s="431"/>
      <c r="K8" s="431"/>
      <c r="L8" s="431"/>
      <c r="M8" s="432"/>
    </row>
    <row r="9" spans="1:16" s="3" customFormat="1" ht="15.75" customHeight="1" x14ac:dyDescent="0.25">
      <c r="A9" s="433"/>
      <c r="B9" s="434"/>
      <c r="C9" s="434"/>
      <c r="D9" s="434"/>
      <c r="E9" s="434"/>
      <c r="F9" s="434"/>
      <c r="G9" s="434"/>
      <c r="H9" s="434"/>
      <c r="I9" s="434"/>
      <c r="J9" s="434"/>
      <c r="K9" s="434"/>
      <c r="L9" s="434"/>
      <c r="M9" s="435"/>
    </row>
    <row r="10" spans="1:16" s="3" customFormat="1" ht="13.8" x14ac:dyDescent="0.25"/>
    <row r="11" spans="1:16" s="86" customFormat="1" ht="16.5" customHeight="1" x14ac:dyDescent="0.25">
      <c r="A11" s="436" t="s">
        <v>372</v>
      </c>
      <c r="B11" s="436"/>
      <c r="C11" s="436"/>
      <c r="D11" s="436"/>
      <c r="E11" s="436"/>
      <c r="F11" s="436"/>
      <c r="G11" s="436"/>
      <c r="H11" s="436"/>
      <c r="I11" s="436"/>
      <c r="J11" s="436"/>
      <c r="K11" s="436"/>
      <c r="L11" s="436"/>
      <c r="M11" s="436"/>
    </row>
    <row r="12" spans="1:16" s="86" customFormat="1" ht="16.5" customHeight="1" x14ac:dyDescent="0.25">
      <c r="A12" s="478" t="s">
        <v>208</v>
      </c>
      <c r="B12" s="471" t="s">
        <v>373</v>
      </c>
      <c r="C12" s="366" t="s">
        <v>331</v>
      </c>
      <c r="D12" s="367" t="s">
        <v>182</v>
      </c>
      <c r="E12" s="480"/>
      <c r="F12" s="367" t="s">
        <v>183</v>
      </c>
      <c r="G12" s="480"/>
      <c r="H12" s="367" t="s">
        <v>184</v>
      </c>
      <c r="I12" s="480"/>
      <c r="J12" s="367" t="s">
        <v>185</v>
      </c>
      <c r="K12" s="480"/>
      <c r="L12" s="367" t="s">
        <v>186</v>
      </c>
      <c r="M12" s="480"/>
    </row>
    <row r="13" spans="1:16" s="13" customFormat="1" ht="17.25" customHeight="1" x14ac:dyDescent="0.25">
      <c r="A13" s="478"/>
      <c r="B13" s="479"/>
      <c r="C13" s="366"/>
      <c r="D13" s="73" t="s">
        <v>312</v>
      </c>
      <c r="E13" s="88" t="s">
        <v>374</v>
      </c>
      <c r="F13" s="73" t="s">
        <v>312</v>
      </c>
      <c r="G13" s="88" t="s">
        <v>374</v>
      </c>
      <c r="H13" s="73" t="s">
        <v>312</v>
      </c>
      <c r="I13" s="88" t="s">
        <v>374</v>
      </c>
      <c r="J13" s="73" t="s">
        <v>312</v>
      </c>
      <c r="K13" s="88" t="s">
        <v>374</v>
      </c>
      <c r="L13" s="73" t="s">
        <v>312</v>
      </c>
      <c r="M13" s="88" t="s">
        <v>374</v>
      </c>
    </row>
    <row r="14" spans="1:16" s="13" customFormat="1" ht="23.25" customHeight="1" x14ac:dyDescent="0.25">
      <c r="A14" s="298" t="s">
        <v>213</v>
      </c>
      <c r="B14" s="83" t="s">
        <v>375</v>
      </c>
      <c r="C14" s="83" t="s">
        <v>376</v>
      </c>
      <c r="D14" s="123">
        <f>NOx!$O$19</f>
        <v>193</v>
      </c>
      <c r="E14" s="123">
        <f>NOx!$N$19</f>
        <v>162.96999999999997</v>
      </c>
      <c r="F14" s="84" t="s">
        <v>104</v>
      </c>
      <c r="G14" s="84" t="s">
        <v>104</v>
      </c>
      <c r="H14" s="84" t="s">
        <v>104</v>
      </c>
      <c r="I14" s="84" t="s">
        <v>104</v>
      </c>
      <c r="J14" s="84" t="s">
        <v>104</v>
      </c>
      <c r="K14" s="84" t="s">
        <v>104</v>
      </c>
      <c r="L14" s="84" t="s">
        <v>104</v>
      </c>
      <c r="M14" s="84" t="s">
        <v>104</v>
      </c>
    </row>
    <row r="15" spans="1:16" s="13" customFormat="1" ht="23.25" customHeight="1" x14ac:dyDescent="0.25">
      <c r="A15" s="298"/>
      <c r="B15" s="83" t="s">
        <v>377</v>
      </c>
      <c r="C15" s="83" t="s">
        <v>378</v>
      </c>
      <c r="D15" s="123">
        <f>NOx!$M$19</f>
        <v>324.39999999999998</v>
      </c>
      <c r="E15" s="123">
        <f>NOx!$L$19</f>
        <v>162.96999999999997</v>
      </c>
      <c r="F15" s="84" t="s">
        <v>104</v>
      </c>
      <c r="G15" s="84" t="s">
        <v>104</v>
      </c>
      <c r="H15" s="84" t="s">
        <v>104</v>
      </c>
      <c r="I15" s="84" t="s">
        <v>104</v>
      </c>
      <c r="J15" s="84" t="s">
        <v>104</v>
      </c>
      <c r="K15" s="84" t="s">
        <v>104</v>
      </c>
      <c r="L15" s="84" t="s">
        <v>104</v>
      </c>
      <c r="M15" s="84" t="s">
        <v>104</v>
      </c>
    </row>
    <row r="16" spans="1:16" s="13" customFormat="1" ht="23.25" customHeight="1" x14ac:dyDescent="0.25">
      <c r="A16" s="59" t="s">
        <v>212</v>
      </c>
      <c r="B16" s="61" t="s">
        <v>375</v>
      </c>
      <c r="C16" s="83" t="s">
        <v>379</v>
      </c>
      <c r="D16" s="123">
        <f>Particulates!$O$19</f>
        <v>7</v>
      </c>
      <c r="E16" s="123">
        <f>Particulates!$N$19</f>
        <v>3.5030000000000001</v>
      </c>
      <c r="F16" s="84" t="s">
        <v>104</v>
      </c>
      <c r="G16" s="84" t="s">
        <v>104</v>
      </c>
      <c r="H16" s="84" t="s">
        <v>104</v>
      </c>
      <c r="I16" s="84" t="s">
        <v>104</v>
      </c>
      <c r="J16" s="84" t="s">
        <v>104</v>
      </c>
      <c r="K16" s="84" t="s">
        <v>104</v>
      </c>
      <c r="L16" s="84" t="s">
        <v>104</v>
      </c>
      <c r="M16" s="84" t="s">
        <v>104</v>
      </c>
    </row>
    <row r="17" spans="1:13" s="13" customFormat="1" ht="23.25" customHeight="1" x14ac:dyDescent="0.25">
      <c r="A17" s="59"/>
      <c r="B17" s="83" t="s">
        <v>377</v>
      </c>
      <c r="C17" s="83" t="s">
        <v>380</v>
      </c>
      <c r="D17" s="123">
        <f>Particulates!$M$19</f>
        <v>57</v>
      </c>
      <c r="E17" s="123">
        <f>Particulates!$L$19</f>
        <v>3.5030000000000001</v>
      </c>
      <c r="F17" s="84" t="s">
        <v>104</v>
      </c>
      <c r="G17" s="84" t="s">
        <v>104</v>
      </c>
      <c r="H17" s="84" t="s">
        <v>104</v>
      </c>
      <c r="I17" s="84" t="s">
        <v>104</v>
      </c>
      <c r="J17" s="84" t="s">
        <v>104</v>
      </c>
      <c r="K17" s="84" t="s">
        <v>104</v>
      </c>
      <c r="L17" s="84" t="s">
        <v>104</v>
      </c>
      <c r="M17" s="84" t="s">
        <v>104</v>
      </c>
    </row>
    <row r="18" spans="1:13" s="13" customFormat="1" ht="23.25" customHeight="1" x14ac:dyDescent="0.25">
      <c r="A18" s="59" t="s">
        <v>381</v>
      </c>
      <c r="B18" s="83" t="s">
        <v>375</v>
      </c>
      <c r="C18" s="83" t="s">
        <v>382</v>
      </c>
      <c r="D18" s="123">
        <f>TOC!$O$19</f>
        <v>3.21</v>
      </c>
      <c r="E18" s="123">
        <f>TOC!$N$19</f>
        <v>2.1539999999999999</v>
      </c>
      <c r="F18" s="84" t="s">
        <v>104</v>
      </c>
      <c r="G18" s="84" t="s">
        <v>104</v>
      </c>
      <c r="H18" s="84" t="s">
        <v>104</v>
      </c>
      <c r="I18" s="84" t="s">
        <v>104</v>
      </c>
      <c r="J18" s="84" t="s">
        <v>104</v>
      </c>
      <c r="K18" s="84" t="s">
        <v>104</v>
      </c>
      <c r="L18" s="84" t="s">
        <v>104</v>
      </c>
      <c r="M18" s="84" t="s">
        <v>104</v>
      </c>
    </row>
    <row r="19" spans="1:13" s="13" customFormat="1" ht="23.25" customHeight="1" x14ac:dyDescent="0.25">
      <c r="A19" s="59"/>
      <c r="B19" s="83" t="s">
        <v>377</v>
      </c>
      <c r="C19" s="83" t="s">
        <v>383</v>
      </c>
      <c r="D19" s="123">
        <f>TOC!$M$19</f>
        <v>10</v>
      </c>
      <c r="E19" s="123">
        <f>TOC!$L$19</f>
        <v>2.1539999999999999</v>
      </c>
      <c r="F19" s="84" t="s">
        <v>104</v>
      </c>
      <c r="G19" s="84" t="s">
        <v>104</v>
      </c>
      <c r="H19" s="84" t="s">
        <v>104</v>
      </c>
      <c r="I19" s="84" t="s">
        <v>104</v>
      </c>
      <c r="J19" s="84" t="s">
        <v>104</v>
      </c>
      <c r="K19" s="84" t="s">
        <v>104</v>
      </c>
      <c r="L19" s="84" t="s">
        <v>104</v>
      </c>
      <c r="M19" s="84" t="s">
        <v>104</v>
      </c>
    </row>
    <row r="20" spans="1:13" s="13" customFormat="1" ht="23.25" customHeight="1" x14ac:dyDescent="0.25">
      <c r="A20" s="59" t="s">
        <v>384</v>
      </c>
      <c r="B20" s="83" t="s">
        <v>375</v>
      </c>
      <c r="C20" s="83" t="s">
        <v>382</v>
      </c>
      <c r="D20" s="123">
        <f>HCl!$O$19</f>
        <v>51</v>
      </c>
      <c r="E20" s="123">
        <f>HCl!$N$19</f>
        <v>7.7030000000000003</v>
      </c>
      <c r="F20" s="84" t="s">
        <v>104</v>
      </c>
      <c r="G20" s="84" t="s">
        <v>104</v>
      </c>
      <c r="H20" s="84" t="s">
        <v>104</v>
      </c>
      <c r="I20" s="84" t="s">
        <v>104</v>
      </c>
      <c r="J20" s="84" t="s">
        <v>104</v>
      </c>
      <c r="K20" s="84" t="s">
        <v>104</v>
      </c>
      <c r="L20" s="84" t="s">
        <v>104</v>
      </c>
      <c r="M20" s="84" t="s">
        <v>104</v>
      </c>
    </row>
    <row r="21" spans="1:13" s="13" customFormat="1" ht="23.25" customHeight="1" x14ac:dyDescent="0.25">
      <c r="A21" s="59"/>
      <c r="B21" s="83" t="s">
        <v>377</v>
      </c>
      <c r="C21" s="83" t="s">
        <v>385</v>
      </c>
      <c r="D21" s="123">
        <f>HCl!$M$19</f>
        <v>216</v>
      </c>
      <c r="E21" s="123">
        <f>HCl!$L$19</f>
        <v>7.7030000000000003</v>
      </c>
      <c r="F21" s="84" t="s">
        <v>104</v>
      </c>
      <c r="G21" s="84" t="s">
        <v>104</v>
      </c>
      <c r="H21" s="84" t="s">
        <v>104</v>
      </c>
      <c r="I21" s="84" t="s">
        <v>104</v>
      </c>
      <c r="J21" s="84" t="s">
        <v>104</v>
      </c>
      <c r="K21" s="84" t="s">
        <v>104</v>
      </c>
      <c r="L21" s="84" t="s">
        <v>104</v>
      </c>
      <c r="M21" s="84" t="s">
        <v>104</v>
      </c>
    </row>
    <row r="22" spans="1:13" s="13" customFormat="1" ht="23.25" customHeight="1" x14ac:dyDescent="0.25">
      <c r="A22" s="59" t="s">
        <v>214</v>
      </c>
      <c r="B22" s="83" t="s">
        <v>375</v>
      </c>
      <c r="C22" s="83" t="s">
        <v>386</v>
      </c>
      <c r="D22" s="123">
        <f>'SO2'!$O$19</f>
        <v>13</v>
      </c>
      <c r="E22" s="123">
        <f>'SO2'!$N$19</f>
        <v>4.2200000000000006</v>
      </c>
      <c r="F22" s="84" t="s">
        <v>104</v>
      </c>
      <c r="G22" s="84" t="s">
        <v>104</v>
      </c>
      <c r="H22" s="84" t="s">
        <v>104</v>
      </c>
      <c r="I22" s="84" t="s">
        <v>104</v>
      </c>
      <c r="J22" s="84" t="s">
        <v>104</v>
      </c>
      <c r="K22" s="84" t="s">
        <v>104</v>
      </c>
      <c r="L22" s="84" t="s">
        <v>104</v>
      </c>
      <c r="M22" s="84" t="s">
        <v>104</v>
      </c>
    </row>
    <row r="23" spans="1:13" s="13" customFormat="1" ht="23.25" customHeight="1" x14ac:dyDescent="0.25">
      <c r="A23" s="59"/>
      <c r="B23" s="83" t="s">
        <v>377</v>
      </c>
      <c r="C23" s="83" t="s">
        <v>376</v>
      </c>
      <c r="D23" s="123">
        <f>'SO2'!$M$19</f>
        <v>48</v>
      </c>
      <c r="E23" s="123">
        <f>'SO2'!$L$19</f>
        <v>4.2200000000000006</v>
      </c>
      <c r="F23" s="84" t="s">
        <v>104</v>
      </c>
      <c r="G23" s="84" t="s">
        <v>104</v>
      </c>
      <c r="H23" s="84" t="s">
        <v>104</v>
      </c>
      <c r="I23" s="84" t="s">
        <v>104</v>
      </c>
      <c r="J23" s="84" t="s">
        <v>104</v>
      </c>
      <c r="K23" s="84" t="s">
        <v>104</v>
      </c>
      <c r="L23" s="84" t="s">
        <v>104</v>
      </c>
      <c r="M23" s="84" t="s">
        <v>104</v>
      </c>
    </row>
    <row r="24" spans="1:13" s="13" customFormat="1" ht="23.25" customHeight="1" x14ac:dyDescent="0.25">
      <c r="A24" s="59" t="s">
        <v>387</v>
      </c>
      <c r="B24" s="83" t="s">
        <v>375</v>
      </c>
      <c r="C24" s="83" t="s">
        <v>386</v>
      </c>
      <c r="D24" s="123">
        <f>'CO 95% 10 min'!$Q$19</f>
        <v>135</v>
      </c>
      <c r="E24" s="123">
        <f>'CO 95% 10 min'!$P$19</f>
        <v>3.15</v>
      </c>
      <c r="F24" s="84" t="s">
        <v>104</v>
      </c>
      <c r="G24" s="84" t="s">
        <v>104</v>
      </c>
      <c r="H24" s="84" t="s">
        <v>104</v>
      </c>
      <c r="I24" s="84" t="s">
        <v>104</v>
      </c>
      <c r="J24" s="84" t="s">
        <v>104</v>
      </c>
      <c r="K24" s="84" t="s">
        <v>104</v>
      </c>
      <c r="L24" s="84" t="s">
        <v>104</v>
      </c>
      <c r="M24" s="84" t="s">
        <v>104</v>
      </c>
    </row>
    <row r="25" spans="1:13" s="13" customFormat="1" ht="23.25" customHeight="1" x14ac:dyDescent="0.25">
      <c r="A25" s="59"/>
      <c r="B25" s="84" t="s">
        <v>388</v>
      </c>
      <c r="C25" s="84" t="s">
        <v>389</v>
      </c>
      <c r="D25" s="123">
        <f>'CO 95% 10 min'!$M$19</f>
        <v>38.549999999999997</v>
      </c>
      <c r="E25" s="123" t="s">
        <v>104</v>
      </c>
      <c r="F25" s="84" t="s">
        <v>104</v>
      </c>
      <c r="G25" s="84" t="s">
        <v>104</v>
      </c>
      <c r="H25" s="84" t="s">
        <v>104</v>
      </c>
      <c r="I25" s="84" t="s">
        <v>104</v>
      </c>
      <c r="J25" s="84" t="s">
        <v>104</v>
      </c>
      <c r="K25" s="84" t="s">
        <v>104</v>
      </c>
      <c r="L25" s="84" t="s">
        <v>104</v>
      </c>
      <c r="M25" s="84" t="s">
        <v>104</v>
      </c>
    </row>
    <row r="26" spans="1:13" s="13" customFormat="1" ht="23.25" customHeight="1" x14ac:dyDescent="0.25">
      <c r="A26" s="114" t="s">
        <v>390</v>
      </c>
      <c r="B26" s="115" t="s">
        <v>375</v>
      </c>
      <c r="C26" s="115" t="s">
        <v>391</v>
      </c>
      <c r="D26" s="124">
        <f>'NH3'!$O$19</f>
        <v>1.0900000000000001</v>
      </c>
      <c r="E26" s="124">
        <f>'NH3'!$N$19</f>
        <v>0.35499999999999998</v>
      </c>
      <c r="F26" s="84" t="s">
        <v>104</v>
      </c>
      <c r="G26" s="84" t="s">
        <v>104</v>
      </c>
      <c r="H26" s="84" t="s">
        <v>104</v>
      </c>
      <c r="I26" s="84" t="s">
        <v>104</v>
      </c>
      <c r="J26" s="84" t="s">
        <v>104</v>
      </c>
      <c r="K26" s="84" t="s">
        <v>104</v>
      </c>
      <c r="L26" s="84" t="s">
        <v>104</v>
      </c>
      <c r="M26" s="84" t="s">
        <v>104</v>
      </c>
    </row>
    <row r="27" spans="1:13" s="13" customFormat="1" ht="23.25" customHeight="1" x14ac:dyDescent="0.25">
      <c r="A27" s="59"/>
      <c r="B27" s="83" t="s">
        <v>377</v>
      </c>
      <c r="C27" s="83" t="s">
        <v>382</v>
      </c>
      <c r="D27" s="123">
        <f>'NH3'!$M$19</f>
        <v>16</v>
      </c>
      <c r="E27" s="123">
        <f>'NH3'!$L$19</f>
        <v>0.35499999999999998</v>
      </c>
      <c r="F27" s="84" t="s">
        <v>104</v>
      </c>
      <c r="G27" s="84" t="s">
        <v>104</v>
      </c>
      <c r="H27" s="84" t="s">
        <v>104</v>
      </c>
      <c r="I27" s="84" t="s">
        <v>104</v>
      </c>
      <c r="J27" s="84" t="s">
        <v>104</v>
      </c>
      <c r="K27" s="84" t="s">
        <v>104</v>
      </c>
      <c r="L27" s="84" t="s">
        <v>104</v>
      </c>
      <c r="M27" s="84" t="s">
        <v>104</v>
      </c>
    </row>
    <row r="28" spans="1:13" x14ac:dyDescent="0.25">
      <c r="A28" s="474" t="s">
        <v>392</v>
      </c>
      <c r="B28" s="475"/>
      <c r="C28" s="475"/>
      <c r="D28" s="475"/>
      <c r="E28" s="475"/>
      <c r="F28" s="475"/>
      <c r="G28" s="475"/>
      <c r="H28" s="475"/>
      <c r="I28" s="475"/>
      <c r="J28" s="475"/>
      <c r="K28" s="475"/>
      <c r="L28" s="475"/>
      <c r="M28" s="476"/>
    </row>
    <row r="29" spans="1:13" ht="41.4" x14ac:dyDescent="0.25">
      <c r="A29" s="116" t="s">
        <v>306</v>
      </c>
      <c r="B29" s="117" t="s">
        <v>3</v>
      </c>
      <c r="C29" s="117"/>
      <c r="D29" s="117"/>
      <c r="E29" s="117"/>
      <c r="F29" s="117"/>
      <c r="G29" s="117"/>
      <c r="H29" s="117"/>
      <c r="I29" s="117"/>
      <c r="J29" s="117"/>
      <c r="K29" s="117"/>
      <c r="L29" s="117"/>
      <c r="M29" s="118"/>
    </row>
    <row r="30" spans="1:13" x14ac:dyDescent="0.25">
      <c r="A30" s="477" t="s">
        <v>393</v>
      </c>
      <c r="B30" s="477"/>
      <c r="C30" s="477"/>
      <c r="D30" s="477"/>
      <c r="E30" s="477"/>
      <c r="F30" s="477"/>
      <c r="G30" s="477"/>
      <c r="H30" s="477"/>
      <c r="I30" s="477"/>
      <c r="J30" s="477"/>
      <c r="K30" s="477"/>
      <c r="L30" s="477"/>
      <c r="M30" s="477"/>
    </row>
    <row r="31" spans="1:13" x14ac:dyDescent="0.25">
      <c r="A31" s="473"/>
      <c r="B31" s="473"/>
      <c r="C31" s="473"/>
      <c r="D31" s="473"/>
      <c r="E31" s="473"/>
      <c r="F31" s="473"/>
      <c r="G31" s="473"/>
      <c r="H31" s="473"/>
      <c r="I31" s="473"/>
      <c r="J31" s="473"/>
      <c r="K31" s="473"/>
      <c r="L31" s="473"/>
      <c r="M31" s="473"/>
    </row>
    <row r="39" spans="3:3" x14ac:dyDescent="0.25">
      <c r="C39" s="119">
        <v>2021</v>
      </c>
    </row>
    <row r="68" spans="6:6" x14ac:dyDescent="0.2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D1" zoomScaleNormal="100" workbookViewId="0">
      <selection activeCell="L19" sqref="L19:O19"/>
    </sheetView>
  </sheetViews>
  <sheetFormatPr defaultRowHeight="13.8" x14ac:dyDescent="0.25"/>
  <cols>
    <col min="1" max="1" width="14" style="3" customWidth="1"/>
    <col min="2" max="7" width="17" style="57"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19" t="str">
        <f>+'Cover Page'!$B$29</f>
        <v>Annual Performance Report 2022</v>
      </c>
      <c r="B1" s="119"/>
      <c r="C1" s="119"/>
      <c r="D1" s="119"/>
      <c r="E1" s="119" t="str">
        <f>+'Cover Page'!$B$33</f>
        <v>Permit EPR/RP3036QU</v>
      </c>
      <c r="F1" s="119"/>
      <c r="G1" s="119"/>
    </row>
    <row r="3" spans="1:19" ht="14.4" x14ac:dyDescent="0.3">
      <c r="A3" s="91" t="s">
        <v>394</v>
      </c>
      <c r="D3" s="107" t="s">
        <v>395</v>
      </c>
      <c r="G3" s="111" t="s">
        <v>396</v>
      </c>
      <c r="J3" s="9" t="str">
        <f>+A3</f>
        <v>Monitoring of Hydrogen Chloride emissions</v>
      </c>
      <c r="L3" s="9"/>
      <c r="N3" s="9" t="s">
        <v>397</v>
      </c>
      <c r="Q3" s="110" t="s">
        <v>1</v>
      </c>
      <c r="R3" s="104"/>
      <c r="S3" s="104"/>
    </row>
    <row r="4" spans="1:19" ht="13.95" customHeight="1" x14ac:dyDescent="0.25">
      <c r="Q4" s="459" t="s">
        <v>398</v>
      </c>
      <c r="R4" s="459"/>
      <c r="S4" s="459"/>
    </row>
    <row r="5" spans="1:19" ht="16.2" x14ac:dyDescent="0.25">
      <c r="A5" s="98" t="s">
        <v>399</v>
      </c>
      <c r="B5" s="484" t="s">
        <v>400</v>
      </c>
      <c r="C5" s="484"/>
      <c r="D5" s="484"/>
      <c r="E5" s="484" t="s">
        <v>401</v>
      </c>
      <c r="F5" s="484"/>
      <c r="G5" s="484"/>
      <c r="J5" s="483"/>
      <c r="K5" s="483"/>
      <c r="L5" s="483"/>
      <c r="M5" s="483"/>
      <c r="N5" s="483"/>
      <c r="O5" s="483"/>
      <c r="Q5" s="459"/>
      <c r="R5" s="459"/>
      <c r="S5" s="459"/>
    </row>
    <row r="6" spans="1:19" s="89" customFormat="1" ht="37.5" customHeight="1" x14ac:dyDescent="0.3">
      <c r="A6" s="95">
        <f>+'Cover Page'!C39</f>
        <v>2022</v>
      </c>
      <c r="B6" s="85" t="s">
        <v>402</v>
      </c>
      <c r="C6" s="85" t="s">
        <v>403</v>
      </c>
      <c r="D6" s="85" t="s">
        <v>404</v>
      </c>
      <c r="E6" s="85" t="s">
        <v>405</v>
      </c>
      <c r="F6" s="85" t="s">
        <v>406</v>
      </c>
      <c r="G6" s="85" t="s">
        <v>407</v>
      </c>
      <c r="H6" s="90"/>
      <c r="J6" s="92">
        <f>+A6</f>
        <v>2022</v>
      </c>
      <c r="K6" s="92" t="s">
        <v>408</v>
      </c>
      <c r="L6" s="97" t="s">
        <v>403</v>
      </c>
      <c r="M6" s="97" t="s">
        <v>409</v>
      </c>
      <c r="N6" s="97" t="s">
        <v>406</v>
      </c>
      <c r="O6" s="97" t="s">
        <v>410</v>
      </c>
      <c r="Q6" s="459"/>
      <c r="R6" s="459"/>
      <c r="S6" s="459"/>
    </row>
    <row r="7" spans="1:19" ht="13.95" customHeight="1" x14ac:dyDescent="0.25">
      <c r="A7" s="96" t="s">
        <v>411</v>
      </c>
      <c r="B7" s="177">
        <v>60</v>
      </c>
      <c r="C7" s="159">
        <f>L7</f>
        <v>9.36</v>
      </c>
      <c r="D7" s="125">
        <f>M7</f>
        <v>44</v>
      </c>
      <c r="E7" s="177">
        <v>10</v>
      </c>
      <c r="F7" s="94">
        <f>N7</f>
        <v>9.36</v>
      </c>
      <c r="G7" s="126">
        <f>O7</f>
        <v>9.5</v>
      </c>
      <c r="J7" s="482" t="s">
        <v>182</v>
      </c>
      <c r="K7" s="96" t="s">
        <v>411</v>
      </c>
      <c r="L7" s="159">
        <v>9.36</v>
      </c>
      <c r="M7" s="125">
        <v>44</v>
      </c>
      <c r="N7" s="159">
        <v>9.36</v>
      </c>
      <c r="O7" s="126">
        <v>9.5</v>
      </c>
      <c r="Q7" s="459"/>
      <c r="R7" s="459"/>
      <c r="S7" s="459"/>
    </row>
    <row r="8" spans="1:19" x14ac:dyDescent="0.25">
      <c r="A8" s="96" t="s">
        <v>412</v>
      </c>
      <c r="B8" s="177">
        <v>60</v>
      </c>
      <c r="C8" s="159">
        <f t="shared" ref="C8:C18" si="0">L8</f>
        <v>8</v>
      </c>
      <c r="D8" s="125">
        <f t="shared" ref="D8:D18" si="1">M8</f>
        <v>26</v>
      </c>
      <c r="E8" s="177">
        <v>10</v>
      </c>
      <c r="F8" s="94">
        <f t="shared" ref="F8:F18" si="2">N8</f>
        <v>8</v>
      </c>
      <c r="G8" s="126">
        <f t="shared" ref="G8:G18" si="3">O8</f>
        <v>8.6999999999999993</v>
      </c>
      <c r="J8" s="482"/>
      <c r="K8" s="96" t="s">
        <v>412</v>
      </c>
      <c r="L8" s="159">
        <v>8</v>
      </c>
      <c r="M8" s="125">
        <v>26</v>
      </c>
      <c r="N8" s="159">
        <v>8</v>
      </c>
      <c r="O8" s="126">
        <v>8.6999999999999993</v>
      </c>
      <c r="Q8" s="459"/>
      <c r="R8" s="459"/>
      <c r="S8" s="459"/>
    </row>
    <row r="9" spans="1:19" x14ac:dyDescent="0.25">
      <c r="A9" s="96" t="s">
        <v>413</v>
      </c>
      <c r="B9" s="177">
        <v>60</v>
      </c>
      <c r="C9" s="159">
        <f t="shared" si="0"/>
        <v>8</v>
      </c>
      <c r="D9" s="125">
        <f t="shared" si="1"/>
        <v>34</v>
      </c>
      <c r="E9" s="177">
        <v>10</v>
      </c>
      <c r="F9" s="94">
        <f t="shared" si="2"/>
        <v>8</v>
      </c>
      <c r="G9" s="126">
        <f t="shared" si="3"/>
        <v>9.67</v>
      </c>
      <c r="J9" s="482"/>
      <c r="K9" s="96" t="s">
        <v>413</v>
      </c>
      <c r="L9" s="159">
        <v>8</v>
      </c>
      <c r="M9" s="125">
        <v>34</v>
      </c>
      <c r="N9" s="159">
        <v>8</v>
      </c>
      <c r="O9" s="126">
        <v>9.67</v>
      </c>
      <c r="Q9" s="109" t="s">
        <v>414</v>
      </c>
    </row>
    <row r="10" spans="1:19" ht="13.95" customHeight="1" x14ac:dyDescent="0.25">
      <c r="A10" s="96" t="s">
        <v>415</v>
      </c>
      <c r="B10" s="177">
        <v>60</v>
      </c>
      <c r="C10" s="159">
        <f t="shared" si="0"/>
        <v>6.66</v>
      </c>
      <c r="D10" s="125">
        <f t="shared" si="1"/>
        <v>40.85</v>
      </c>
      <c r="E10" s="177">
        <v>10</v>
      </c>
      <c r="F10" s="94">
        <f t="shared" si="2"/>
        <v>6.66</v>
      </c>
      <c r="G10" s="126">
        <f t="shared" si="3"/>
        <v>9.19</v>
      </c>
      <c r="J10" s="482"/>
      <c r="K10" s="96" t="s">
        <v>415</v>
      </c>
      <c r="L10" s="159">
        <v>6.66</v>
      </c>
      <c r="M10" s="125">
        <v>40.85</v>
      </c>
      <c r="N10" s="159">
        <v>6.66</v>
      </c>
      <c r="O10" s="125">
        <v>9.19</v>
      </c>
      <c r="Q10" s="481" t="s">
        <v>416</v>
      </c>
      <c r="R10" s="481"/>
      <c r="S10" s="481"/>
    </row>
    <row r="11" spans="1:19" x14ac:dyDescent="0.25">
      <c r="A11" s="96" t="s">
        <v>417</v>
      </c>
      <c r="B11" s="177">
        <v>60</v>
      </c>
      <c r="C11" s="159">
        <f t="shared" si="0"/>
        <v>6.1</v>
      </c>
      <c r="D11" s="125">
        <f t="shared" si="1"/>
        <v>30</v>
      </c>
      <c r="E11" s="177">
        <v>10</v>
      </c>
      <c r="F11" s="94">
        <f t="shared" si="2"/>
        <v>6.1</v>
      </c>
      <c r="G11" s="126">
        <f t="shared" si="3"/>
        <v>7.7</v>
      </c>
      <c r="J11" s="482"/>
      <c r="K11" s="96" t="s">
        <v>417</v>
      </c>
      <c r="L11" s="159">
        <v>6.1</v>
      </c>
      <c r="M11" s="160">
        <v>30</v>
      </c>
      <c r="N11" s="159">
        <v>6.1</v>
      </c>
      <c r="O11" s="126">
        <v>7.7</v>
      </c>
      <c r="Q11" s="481"/>
      <c r="R11" s="481"/>
      <c r="S11" s="481"/>
    </row>
    <row r="12" spans="1:19" x14ac:dyDescent="0.25">
      <c r="A12" s="96" t="s">
        <v>418</v>
      </c>
      <c r="B12" s="177">
        <v>60</v>
      </c>
      <c r="C12" s="159">
        <f t="shared" si="0"/>
        <v>7.21</v>
      </c>
      <c r="D12" s="125">
        <f t="shared" si="1"/>
        <v>24.44</v>
      </c>
      <c r="E12" s="177">
        <v>10</v>
      </c>
      <c r="F12" s="94">
        <f t="shared" si="2"/>
        <v>7.21</v>
      </c>
      <c r="G12" s="126">
        <f t="shared" si="3"/>
        <v>8.83</v>
      </c>
      <c r="J12" s="482"/>
      <c r="K12" s="96" t="s">
        <v>418</v>
      </c>
      <c r="L12" s="159">
        <v>7.21</v>
      </c>
      <c r="M12" s="125">
        <v>24.44</v>
      </c>
      <c r="N12" s="159">
        <v>7.21</v>
      </c>
      <c r="O12" s="126">
        <v>8.83</v>
      </c>
      <c r="Q12" s="481"/>
      <c r="R12" s="481"/>
      <c r="S12" s="481"/>
    </row>
    <row r="13" spans="1:19" ht="13.95" customHeight="1" x14ac:dyDescent="0.25">
      <c r="A13" s="96" t="s">
        <v>419</v>
      </c>
      <c r="B13" s="177">
        <v>60</v>
      </c>
      <c r="C13" s="159">
        <f t="shared" si="0"/>
        <v>7.1</v>
      </c>
      <c r="D13" s="125">
        <f t="shared" si="1"/>
        <v>23.52</v>
      </c>
      <c r="E13" s="177">
        <v>10</v>
      </c>
      <c r="F13" s="94">
        <f t="shared" si="2"/>
        <v>7.1</v>
      </c>
      <c r="G13" s="126">
        <f t="shared" si="3"/>
        <v>7.84</v>
      </c>
      <c r="J13" s="482"/>
      <c r="K13" s="96" t="s">
        <v>419</v>
      </c>
      <c r="L13" s="159">
        <v>7.1</v>
      </c>
      <c r="M13" s="125">
        <v>23.52</v>
      </c>
      <c r="N13" s="159">
        <v>7.1</v>
      </c>
      <c r="O13" s="126">
        <v>7.84</v>
      </c>
      <c r="Q13" s="481" t="s">
        <v>420</v>
      </c>
      <c r="R13" s="481"/>
      <c r="S13" s="481"/>
    </row>
    <row r="14" spans="1:19" x14ac:dyDescent="0.25">
      <c r="A14" s="96" t="s">
        <v>421</v>
      </c>
      <c r="B14" s="177">
        <v>60</v>
      </c>
      <c r="C14" s="159">
        <f t="shared" si="0"/>
        <v>7.94</v>
      </c>
      <c r="D14" s="125">
        <f t="shared" si="1"/>
        <v>95.4</v>
      </c>
      <c r="E14" s="177">
        <v>10</v>
      </c>
      <c r="F14" s="94">
        <f t="shared" si="2"/>
        <v>7.94</v>
      </c>
      <c r="G14" s="126">
        <f t="shared" si="3"/>
        <v>8.7100000000000009</v>
      </c>
      <c r="J14" s="482"/>
      <c r="K14" s="96" t="s">
        <v>421</v>
      </c>
      <c r="L14" s="159">
        <v>7.94</v>
      </c>
      <c r="M14" s="125">
        <v>95.4</v>
      </c>
      <c r="N14" s="159">
        <v>7.94</v>
      </c>
      <c r="O14" s="126">
        <v>8.7100000000000009</v>
      </c>
      <c r="Q14" s="481"/>
      <c r="R14" s="481"/>
      <c r="S14" s="481"/>
    </row>
    <row r="15" spans="1:19" x14ac:dyDescent="0.25">
      <c r="A15" s="96" t="s">
        <v>422</v>
      </c>
      <c r="B15" s="177">
        <v>60</v>
      </c>
      <c r="C15" s="159">
        <f t="shared" si="0"/>
        <v>7.66</v>
      </c>
      <c r="D15" s="125">
        <f t="shared" si="1"/>
        <v>29.88</v>
      </c>
      <c r="E15" s="177">
        <v>10</v>
      </c>
      <c r="F15" s="94">
        <f t="shared" si="2"/>
        <v>7.66</v>
      </c>
      <c r="G15" s="126">
        <f t="shared" si="3"/>
        <v>9.08</v>
      </c>
      <c r="J15" s="482"/>
      <c r="K15" s="96" t="s">
        <v>422</v>
      </c>
      <c r="L15" s="125">
        <v>7.66</v>
      </c>
      <c r="M15" s="125">
        <v>29.88</v>
      </c>
      <c r="N15" s="125">
        <v>7.66</v>
      </c>
      <c r="O15" s="126">
        <v>9.08</v>
      </c>
      <c r="Q15" s="481"/>
      <c r="R15" s="481"/>
      <c r="S15" s="481"/>
    </row>
    <row r="16" spans="1:19" x14ac:dyDescent="0.25">
      <c r="A16" s="96" t="s">
        <v>423</v>
      </c>
      <c r="B16" s="177">
        <v>60</v>
      </c>
      <c r="C16" s="159" t="str">
        <f t="shared" si="0"/>
        <v>N/A</v>
      </c>
      <c r="D16" s="125" t="str">
        <f t="shared" si="1"/>
        <v>N/A</v>
      </c>
      <c r="E16" s="177">
        <v>10</v>
      </c>
      <c r="F16" s="94" t="str">
        <f t="shared" si="2"/>
        <v>N/A</v>
      </c>
      <c r="G16" s="126" t="str">
        <f t="shared" si="3"/>
        <v>N/A</v>
      </c>
      <c r="J16" s="482"/>
      <c r="K16" s="96" t="s">
        <v>423</v>
      </c>
      <c r="L16" s="160" t="s">
        <v>104</v>
      </c>
      <c r="M16" s="160" t="s">
        <v>104</v>
      </c>
      <c r="N16" s="160" t="s">
        <v>104</v>
      </c>
      <c r="O16" s="160" t="s">
        <v>104</v>
      </c>
      <c r="Q16" s="481"/>
      <c r="R16" s="481"/>
      <c r="S16" s="481"/>
    </row>
    <row r="17" spans="1:15" x14ac:dyDescent="0.25">
      <c r="A17" s="96" t="s">
        <v>424</v>
      </c>
      <c r="B17" s="177">
        <v>60</v>
      </c>
      <c r="C17" s="159" t="str">
        <f t="shared" si="0"/>
        <v>N/A</v>
      </c>
      <c r="D17" s="125" t="str">
        <f t="shared" si="1"/>
        <v>N/A</v>
      </c>
      <c r="E17" s="177">
        <v>10</v>
      </c>
      <c r="F17" s="94" t="str">
        <f t="shared" si="2"/>
        <v>N/A</v>
      </c>
      <c r="G17" s="126" t="str">
        <f t="shared" si="3"/>
        <v>N/A</v>
      </c>
      <c r="J17" s="482"/>
      <c r="K17" s="96" t="s">
        <v>424</v>
      </c>
      <c r="L17" s="160" t="s">
        <v>104</v>
      </c>
      <c r="M17" s="160" t="s">
        <v>104</v>
      </c>
      <c r="N17" s="160" t="s">
        <v>104</v>
      </c>
      <c r="O17" s="160" t="s">
        <v>104</v>
      </c>
    </row>
    <row r="18" spans="1:15" x14ac:dyDescent="0.25">
      <c r="A18" s="96" t="s">
        <v>425</v>
      </c>
      <c r="B18" s="177">
        <v>60</v>
      </c>
      <c r="C18" s="159">
        <f t="shared" si="0"/>
        <v>9</v>
      </c>
      <c r="D18" s="125">
        <f t="shared" si="1"/>
        <v>216</v>
      </c>
      <c r="E18" s="177">
        <v>10</v>
      </c>
      <c r="F18" s="94">
        <f t="shared" si="2"/>
        <v>9</v>
      </c>
      <c r="G18" s="126">
        <f t="shared" si="3"/>
        <v>51</v>
      </c>
      <c r="J18" s="482"/>
      <c r="K18" s="96" t="s">
        <v>425</v>
      </c>
      <c r="L18" s="159">
        <v>9</v>
      </c>
      <c r="M18" s="125">
        <v>216</v>
      </c>
      <c r="N18" s="159">
        <v>9</v>
      </c>
      <c r="O18" s="125">
        <v>51</v>
      </c>
    </row>
    <row r="19" spans="1:15" x14ac:dyDescent="0.25">
      <c r="J19" s="482"/>
      <c r="K19" s="93" t="s">
        <v>426</v>
      </c>
      <c r="L19" s="5">
        <f>AVERAGE(L7:L18)</f>
        <v>7.7030000000000003</v>
      </c>
      <c r="M19" s="5">
        <f>MAX(M7:M18)</f>
        <v>216</v>
      </c>
      <c r="N19" s="5">
        <f>AVERAGE(N7:N18)</f>
        <v>7.7030000000000003</v>
      </c>
      <c r="O19" s="5">
        <f>MAX(O7:O18)</f>
        <v>51</v>
      </c>
    </row>
    <row r="21" spans="1:15" ht="41.4" x14ac:dyDescent="0.25">
      <c r="J21" s="92">
        <f>+A6</f>
        <v>2022</v>
      </c>
      <c r="K21" s="92" t="s">
        <v>408</v>
      </c>
      <c r="L21" s="97" t="s">
        <v>403</v>
      </c>
      <c r="M21" s="97" t="s">
        <v>409</v>
      </c>
      <c r="N21" s="97" t="s">
        <v>406</v>
      </c>
      <c r="O21" s="97" t="s">
        <v>410</v>
      </c>
    </row>
    <row r="22" spans="1:15" x14ac:dyDescent="0.25">
      <c r="J22" s="482" t="s">
        <v>183</v>
      </c>
      <c r="K22" s="96" t="s">
        <v>411</v>
      </c>
      <c r="L22" s="94" t="s">
        <v>104</v>
      </c>
      <c r="M22" s="94" t="s">
        <v>104</v>
      </c>
      <c r="N22" s="94" t="s">
        <v>104</v>
      </c>
      <c r="O22" s="94" t="s">
        <v>104</v>
      </c>
    </row>
    <row r="23" spans="1:15" x14ac:dyDescent="0.25">
      <c r="J23" s="482"/>
      <c r="K23" s="96" t="s">
        <v>412</v>
      </c>
      <c r="L23" s="94" t="s">
        <v>104</v>
      </c>
      <c r="M23" s="94" t="s">
        <v>104</v>
      </c>
      <c r="N23" s="94" t="s">
        <v>104</v>
      </c>
      <c r="O23" s="94" t="s">
        <v>104</v>
      </c>
    </row>
    <row r="24" spans="1:15" x14ac:dyDescent="0.25">
      <c r="J24" s="482"/>
      <c r="K24" s="96" t="s">
        <v>413</v>
      </c>
      <c r="L24" s="94" t="s">
        <v>104</v>
      </c>
      <c r="M24" s="94" t="s">
        <v>104</v>
      </c>
      <c r="N24" s="94" t="s">
        <v>104</v>
      </c>
      <c r="O24" s="94" t="s">
        <v>104</v>
      </c>
    </row>
    <row r="25" spans="1:15" x14ac:dyDescent="0.25">
      <c r="J25" s="482"/>
      <c r="K25" s="96" t="s">
        <v>415</v>
      </c>
      <c r="L25" s="94" t="s">
        <v>104</v>
      </c>
      <c r="M25" s="94" t="s">
        <v>104</v>
      </c>
      <c r="N25" s="94" t="s">
        <v>104</v>
      </c>
      <c r="O25" s="94" t="s">
        <v>104</v>
      </c>
    </row>
    <row r="26" spans="1:15" x14ac:dyDescent="0.25">
      <c r="J26" s="482"/>
      <c r="K26" s="96" t="s">
        <v>417</v>
      </c>
      <c r="L26" s="94" t="s">
        <v>104</v>
      </c>
      <c r="M26" s="94" t="s">
        <v>104</v>
      </c>
      <c r="N26" s="94" t="s">
        <v>104</v>
      </c>
      <c r="O26" s="94" t="s">
        <v>104</v>
      </c>
    </row>
    <row r="27" spans="1:15" x14ac:dyDescent="0.25">
      <c r="J27" s="482"/>
      <c r="K27" s="96" t="s">
        <v>418</v>
      </c>
      <c r="L27" s="94" t="s">
        <v>104</v>
      </c>
      <c r="M27" s="94" t="s">
        <v>104</v>
      </c>
      <c r="N27" s="94" t="s">
        <v>104</v>
      </c>
      <c r="O27" s="94" t="s">
        <v>104</v>
      </c>
    </row>
    <row r="28" spans="1:15" x14ac:dyDescent="0.25">
      <c r="J28" s="482"/>
      <c r="K28" s="96" t="s">
        <v>419</v>
      </c>
      <c r="L28" s="94" t="s">
        <v>104</v>
      </c>
      <c r="M28" s="94" t="s">
        <v>104</v>
      </c>
      <c r="N28" s="94" t="s">
        <v>104</v>
      </c>
      <c r="O28" s="94" t="s">
        <v>104</v>
      </c>
    </row>
    <row r="29" spans="1:15" x14ac:dyDescent="0.25">
      <c r="B29" s="57" t="s">
        <v>53</v>
      </c>
      <c r="J29" s="482"/>
      <c r="K29" s="96" t="s">
        <v>421</v>
      </c>
      <c r="L29" s="94" t="s">
        <v>104</v>
      </c>
      <c r="M29" s="94" t="s">
        <v>104</v>
      </c>
      <c r="N29" s="94" t="s">
        <v>104</v>
      </c>
      <c r="O29" s="94" t="s">
        <v>104</v>
      </c>
    </row>
    <row r="30" spans="1:15" x14ac:dyDescent="0.25">
      <c r="J30" s="482"/>
      <c r="K30" s="96" t="s">
        <v>422</v>
      </c>
      <c r="L30" s="94" t="s">
        <v>104</v>
      </c>
      <c r="M30" s="94" t="s">
        <v>104</v>
      </c>
      <c r="N30" s="94" t="s">
        <v>104</v>
      </c>
      <c r="O30" s="94" t="s">
        <v>104</v>
      </c>
    </row>
    <row r="31" spans="1:15" x14ac:dyDescent="0.25">
      <c r="B31" s="57" t="s">
        <v>53</v>
      </c>
      <c r="J31" s="482"/>
      <c r="K31" s="96" t="s">
        <v>423</v>
      </c>
      <c r="L31" s="94" t="s">
        <v>104</v>
      </c>
      <c r="M31" s="94" t="s">
        <v>104</v>
      </c>
      <c r="N31" s="94" t="s">
        <v>104</v>
      </c>
      <c r="O31" s="94" t="s">
        <v>104</v>
      </c>
    </row>
    <row r="32" spans="1:15" x14ac:dyDescent="0.25">
      <c r="J32" s="482"/>
      <c r="K32" s="96" t="s">
        <v>424</v>
      </c>
      <c r="L32" s="94" t="s">
        <v>104</v>
      </c>
      <c r="M32" s="94" t="s">
        <v>104</v>
      </c>
      <c r="N32" s="94" t="s">
        <v>104</v>
      </c>
      <c r="O32" s="94" t="s">
        <v>104</v>
      </c>
    </row>
    <row r="33" spans="1:15" x14ac:dyDescent="0.25">
      <c r="J33" s="482"/>
      <c r="K33" s="96" t="s">
        <v>425</v>
      </c>
      <c r="L33" s="94" t="s">
        <v>104</v>
      </c>
      <c r="M33" s="94" t="s">
        <v>104</v>
      </c>
      <c r="N33" s="94" t="s">
        <v>104</v>
      </c>
      <c r="O33" s="94" t="s">
        <v>104</v>
      </c>
    </row>
    <row r="34" spans="1:15" x14ac:dyDescent="0.25">
      <c r="J34" s="482"/>
      <c r="K34" s="93" t="s">
        <v>426</v>
      </c>
      <c r="L34" s="93" t="e">
        <f>AVERAGE(L22:L33)</f>
        <v>#DIV/0!</v>
      </c>
      <c r="M34" s="93">
        <f>MAX(M22:M33)</f>
        <v>0</v>
      </c>
      <c r="N34" s="93" t="e">
        <f>AVERAGE(N22:N33)</f>
        <v>#DIV/0!</v>
      </c>
      <c r="O34" s="93">
        <f>MAX(O22:O33)</f>
        <v>0</v>
      </c>
    </row>
    <row r="36" spans="1:15" ht="41.4" x14ac:dyDescent="0.25">
      <c r="J36" s="92">
        <f>+A6</f>
        <v>2022</v>
      </c>
      <c r="K36" s="92" t="s">
        <v>408</v>
      </c>
      <c r="L36" s="97" t="s">
        <v>403</v>
      </c>
      <c r="M36" s="97" t="s">
        <v>409</v>
      </c>
      <c r="N36" s="97" t="s">
        <v>406</v>
      </c>
      <c r="O36" s="97" t="s">
        <v>410</v>
      </c>
    </row>
    <row r="37" spans="1:15" x14ac:dyDescent="0.25">
      <c r="J37" s="482" t="s">
        <v>184</v>
      </c>
      <c r="K37" s="96" t="s">
        <v>411</v>
      </c>
      <c r="L37" s="94" t="s">
        <v>104</v>
      </c>
      <c r="M37" s="94" t="s">
        <v>104</v>
      </c>
      <c r="N37" s="94" t="s">
        <v>104</v>
      </c>
      <c r="O37" s="94" t="s">
        <v>104</v>
      </c>
    </row>
    <row r="38" spans="1:15" x14ac:dyDescent="0.25">
      <c r="J38" s="482"/>
      <c r="K38" s="96" t="s">
        <v>412</v>
      </c>
      <c r="L38" s="94" t="s">
        <v>104</v>
      </c>
      <c r="M38" s="94" t="s">
        <v>104</v>
      </c>
      <c r="N38" s="94" t="s">
        <v>104</v>
      </c>
      <c r="O38" s="94" t="s">
        <v>104</v>
      </c>
    </row>
    <row r="39" spans="1:15" x14ac:dyDescent="0.25">
      <c r="C39" s="57">
        <v>2021</v>
      </c>
      <c r="J39" s="482"/>
      <c r="K39" s="96" t="s">
        <v>413</v>
      </c>
      <c r="L39" s="94" t="s">
        <v>104</v>
      </c>
      <c r="M39" s="94" t="s">
        <v>104</v>
      </c>
      <c r="N39" s="94" t="s">
        <v>104</v>
      </c>
      <c r="O39" s="94" t="s">
        <v>104</v>
      </c>
    </row>
    <row r="40" spans="1:15" x14ac:dyDescent="0.25">
      <c r="J40" s="482"/>
      <c r="K40" s="96" t="s">
        <v>415</v>
      </c>
      <c r="L40" s="94" t="s">
        <v>104</v>
      </c>
      <c r="M40" s="94" t="s">
        <v>104</v>
      </c>
      <c r="N40" s="94" t="s">
        <v>104</v>
      </c>
      <c r="O40" s="94" t="s">
        <v>104</v>
      </c>
    </row>
    <row r="41" spans="1:15" x14ac:dyDescent="0.25">
      <c r="J41" s="482"/>
      <c r="K41" s="96" t="s">
        <v>417</v>
      </c>
      <c r="L41" s="94" t="s">
        <v>104</v>
      </c>
      <c r="M41" s="94" t="s">
        <v>104</v>
      </c>
      <c r="N41" s="94" t="s">
        <v>104</v>
      </c>
      <c r="O41" s="94" t="s">
        <v>104</v>
      </c>
    </row>
    <row r="42" spans="1:15" x14ac:dyDescent="0.25">
      <c r="J42" s="482"/>
      <c r="K42" s="96" t="s">
        <v>418</v>
      </c>
      <c r="L42" s="94" t="s">
        <v>104</v>
      </c>
      <c r="M42" s="94" t="s">
        <v>104</v>
      </c>
      <c r="N42" s="94" t="s">
        <v>104</v>
      </c>
      <c r="O42" s="94" t="s">
        <v>104</v>
      </c>
    </row>
    <row r="43" spans="1:15" x14ac:dyDescent="0.25">
      <c r="J43" s="482"/>
      <c r="K43" s="96" t="s">
        <v>419</v>
      </c>
      <c r="L43" s="94" t="s">
        <v>104</v>
      </c>
      <c r="M43" s="94" t="s">
        <v>104</v>
      </c>
      <c r="N43" s="94" t="s">
        <v>104</v>
      </c>
      <c r="O43" s="94" t="s">
        <v>104</v>
      </c>
    </row>
    <row r="44" spans="1:15" x14ac:dyDescent="0.25">
      <c r="J44" s="482"/>
      <c r="K44" s="96" t="s">
        <v>421</v>
      </c>
      <c r="L44" s="94" t="s">
        <v>104</v>
      </c>
      <c r="M44" s="94" t="s">
        <v>104</v>
      </c>
      <c r="N44" s="94" t="s">
        <v>104</v>
      </c>
      <c r="O44" s="94" t="s">
        <v>104</v>
      </c>
    </row>
    <row r="45" spans="1:15" x14ac:dyDescent="0.25">
      <c r="J45" s="482"/>
      <c r="K45" s="96" t="s">
        <v>422</v>
      </c>
      <c r="L45" s="94" t="s">
        <v>104</v>
      </c>
      <c r="M45" s="94" t="s">
        <v>104</v>
      </c>
      <c r="N45" s="94" t="s">
        <v>104</v>
      </c>
      <c r="O45" s="94" t="s">
        <v>104</v>
      </c>
    </row>
    <row r="46" spans="1:15" x14ac:dyDescent="0.25">
      <c r="J46" s="482"/>
      <c r="K46" s="96" t="s">
        <v>423</v>
      </c>
      <c r="L46" s="94" t="s">
        <v>104</v>
      </c>
      <c r="M46" s="94" t="s">
        <v>104</v>
      </c>
      <c r="N46" s="94" t="s">
        <v>104</v>
      </c>
      <c r="O46" s="94" t="s">
        <v>104</v>
      </c>
    </row>
    <row r="47" spans="1:15" x14ac:dyDescent="0.25">
      <c r="J47" s="482"/>
      <c r="K47" s="96" t="s">
        <v>424</v>
      </c>
      <c r="L47" s="94" t="s">
        <v>104</v>
      </c>
      <c r="M47" s="94" t="s">
        <v>104</v>
      </c>
      <c r="N47" s="94" t="s">
        <v>104</v>
      </c>
      <c r="O47" s="94" t="s">
        <v>104</v>
      </c>
    </row>
    <row r="48" spans="1:15" x14ac:dyDescent="0.25">
      <c r="A48" s="494" t="s">
        <v>306</v>
      </c>
      <c r="B48" s="495"/>
      <c r="C48" s="495"/>
      <c r="D48" s="495"/>
      <c r="E48" s="495"/>
      <c r="F48" s="495"/>
      <c r="G48" s="496"/>
      <c r="J48" s="482"/>
      <c r="K48" s="96" t="s">
        <v>425</v>
      </c>
      <c r="L48" s="94" t="s">
        <v>104</v>
      </c>
      <c r="M48" s="94" t="s">
        <v>104</v>
      </c>
      <c r="N48" s="94" t="s">
        <v>104</v>
      </c>
      <c r="O48" s="94" t="s">
        <v>104</v>
      </c>
    </row>
    <row r="49" spans="1:15" x14ac:dyDescent="0.25">
      <c r="A49" s="485" t="s">
        <v>393</v>
      </c>
      <c r="B49" s="486"/>
      <c r="C49" s="486"/>
      <c r="D49" s="486"/>
      <c r="E49" s="486"/>
      <c r="F49" s="486"/>
      <c r="G49" s="487"/>
      <c r="J49" s="482"/>
      <c r="K49" s="93" t="s">
        <v>426</v>
      </c>
      <c r="L49" s="93" t="e">
        <f>AVERAGE(L37:L48)</f>
        <v>#DIV/0!</v>
      </c>
      <c r="M49" s="93">
        <f>MAX(M37:M48)</f>
        <v>0</v>
      </c>
      <c r="N49" s="93" t="e">
        <f>AVERAGE(N37:N48)</f>
        <v>#DIV/0!</v>
      </c>
      <c r="O49" s="93">
        <f>MAX(O37:O48)</f>
        <v>0</v>
      </c>
    </row>
    <row r="50" spans="1:15" x14ac:dyDescent="0.25">
      <c r="A50" s="488"/>
      <c r="B50" s="489"/>
      <c r="C50" s="489"/>
      <c r="D50" s="489"/>
      <c r="E50" s="489"/>
      <c r="F50" s="489"/>
      <c r="G50" s="490"/>
    </row>
    <row r="51" spans="1:15" ht="41.4" x14ac:dyDescent="0.25">
      <c r="A51" s="488"/>
      <c r="B51" s="489"/>
      <c r="C51" s="489"/>
      <c r="D51" s="489"/>
      <c r="E51" s="489"/>
      <c r="F51" s="489"/>
      <c r="G51" s="490"/>
      <c r="J51" s="92">
        <f>+A6</f>
        <v>2022</v>
      </c>
      <c r="K51" s="92" t="s">
        <v>408</v>
      </c>
      <c r="L51" s="97" t="s">
        <v>403</v>
      </c>
      <c r="M51" s="97" t="s">
        <v>409</v>
      </c>
      <c r="N51" s="97" t="s">
        <v>406</v>
      </c>
      <c r="O51" s="97" t="s">
        <v>410</v>
      </c>
    </row>
    <row r="52" spans="1:15" x14ac:dyDescent="0.25">
      <c r="A52" s="491"/>
      <c r="B52" s="492"/>
      <c r="C52" s="492"/>
      <c r="D52" s="492"/>
      <c r="E52" s="492"/>
      <c r="F52" s="492"/>
      <c r="G52" s="493"/>
      <c r="J52" s="482" t="s">
        <v>185</v>
      </c>
      <c r="K52" s="96" t="s">
        <v>411</v>
      </c>
      <c r="L52" s="94" t="s">
        <v>104</v>
      </c>
      <c r="M52" s="94" t="s">
        <v>104</v>
      </c>
      <c r="N52" s="94" t="s">
        <v>104</v>
      </c>
      <c r="O52" s="94" t="s">
        <v>104</v>
      </c>
    </row>
    <row r="53" spans="1:15" x14ac:dyDescent="0.25">
      <c r="J53" s="482"/>
      <c r="K53" s="96" t="s">
        <v>412</v>
      </c>
      <c r="L53" s="94" t="s">
        <v>104</v>
      </c>
      <c r="M53" s="94" t="s">
        <v>104</v>
      </c>
      <c r="N53" s="94" t="s">
        <v>104</v>
      </c>
      <c r="O53" s="94" t="s">
        <v>104</v>
      </c>
    </row>
    <row r="54" spans="1:15" x14ac:dyDescent="0.25">
      <c r="J54" s="482"/>
      <c r="K54" s="96" t="s">
        <v>413</v>
      </c>
      <c r="L54" s="94" t="s">
        <v>104</v>
      </c>
      <c r="M54" s="94" t="s">
        <v>104</v>
      </c>
      <c r="N54" s="94" t="s">
        <v>104</v>
      </c>
      <c r="O54" s="94" t="s">
        <v>104</v>
      </c>
    </row>
    <row r="55" spans="1:15" x14ac:dyDescent="0.25">
      <c r="J55" s="482"/>
      <c r="K55" s="96" t="s">
        <v>415</v>
      </c>
      <c r="L55" s="94" t="s">
        <v>104</v>
      </c>
      <c r="M55" s="94" t="s">
        <v>104</v>
      </c>
      <c r="N55" s="94" t="s">
        <v>104</v>
      </c>
      <c r="O55" s="94" t="s">
        <v>104</v>
      </c>
    </row>
    <row r="56" spans="1:15" x14ac:dyDescent="0.25">
      <c r="J56" s="482"/>
      <c r="K56" s="96" t="s">
        <v>417</v>
      </c>
      <c r="L56" s="94" t="s">
        <v>104</v>
      </c>
      <c r="M56" s="94" t="s">
        <v>104</v>
      </c>
      <c r="N56" s="94" t="s">
        <v>104</v>
      </c>
      <c r="O56" s="94" t="s">
        <v>104</v>
      </c>
    </row>
    <row r="57" spans="1:15" x14ac:dyDescent="0.25">
      <c r="J57" s="482"/>
      <c r="K57" s="96" t="s">
        <v>418</v>
      </c>
      <c r="L57" s="94" t="s">
        <v>104</v>
      </c>
      <c r="M57" s="94" t="s">
        <v>104</v>
      </c>
      <c r="N57" s="94" t="s">
        <v>104</v>
      </c>
      <c r="O57" s="94" t="s">
        <v>104</v>
      </c>
    </row>
    <row r="58" spans="1:15" x14ac:dyDescent="0.25">
      <c r="J58" s="482"/>
      <c r="K58" s="96" t="s">
        <v>419</v>
      </c>
      <c r="L58" s="94" t="s">
        <v>104</v>
      </c>
      <c r="M58" s="94" t="s">
        <v>104</v>
      </c>
      <c r="N58" s="94" t="s">
        <v>104</v>
      </c>
      <c r="O58" s="94" t="s">
        <v>104</v>
      </c>
    </row>
    <row r="59" spans="1:15" x14ac:dyDescent="0.25">
      <c r="J59" s="482"/>
      <c r="K59" s="96" t="s">
        <v>421</v>
      </c>
      <c r="L59" s="94" t="s">
        <v>104</v>
      </c>
      <c r="M59" s="94" t="s">
        <v>104</v>
      </c>
      <c r="N59" s="94" t="s">
        <v>104</v>
      </c>
      <c r="O59" s="94" t="s">
        <v>104</v>
      </c>
    </row>
    <row r="60" spans="1:15" x14ac:dyDescent="0.25">
      <c r="J60" s="482"/>
      <c r="K60" s="96" t="s">
        <v>422</v>
      </c>
      <c r="L60" s="94" t="s">
        <v>104</v>
      </c>
      <c r="M60" s="94" t="s">
        <v>104</v>
      </c>
      <c r="N60" s="94" t="s">
        <v>104</v>
      </c>
      <c r="O60" s="94" t="s">
        <v>104</v>
      </c>
    </row>
    <row r="61" spans="1:15" x14ac:dyDescent="0.25">
      <c r="J61" s="482"/>
      <c r="K61" s="96" t="s">
        <v>423</v>
      </c>
      <c r="L61" s="94" t="s">
        <v>104</v>
      </c>
      <c r="M61" s="94" t="s">
        <v>104</v>
      </c>
      <c r="N61" s="94" t="s">
        <v>104</v>
      </c>
      <c r="O61" s="94" t="s">
        <v>104</v>
      </c>
    </row>
    <row r="62" spans="1:15" x14ac:dyDescent="0.25">
      <c r="J62" s="482"/>
      <c r="K62" s="96" t="s">
        <v>424</v>
      </c>
      <c r="L62" s="94" t="s">
        <v>104</v>
      </c>
      <c r="M62" s="94" t="s">
        <v>104</v>
      </c>
      <c r="N62" s="94" t="s">
        <v>104</v>
      </c>
      <c r="O62" s="94" t="s">
        <v>104</v>
      </c>
    </row>
    <row r="63" spans="1:15" x14ac:dyDescent="0.25">
      <c r="J63" s="482"/>
      <c r="K63" s="96" t="s">
        <v>425</v>
      </c>
      <c r="L63" s="94" t="s">
        <v>104</v>
      </c>
      <c r="M63" s="94" t="s">
        <v>104</v>
      </c>
      <c r="N63" s="94" t="s">
        <v>104</v>
      </c>
      <c r="O63" s="94" t="s">
        <v>104</v>
      </c>
    </row>
    <row r="64" spans="1:15" x14ac:dyDescent="0.25">
      <c r="J64" s="482"/>
      <c r="K64" s="93" t="s">
        <v>426</v>
      </c>
      <c r="L64" s="93" t="e">
        <f>AVERAGE(L52:L63)</f>
        <v>#DIV/0!</v>
      </c>
      <c r="M64" s="93">
        <f>MAX(M52:M63)</f>
        <v>0</v>
      </c>
      <c r="N64" s="93" t="e">
        <f>AVERAGE(N52:N63)</f>
        <v>#DIV/0!</v>
      </c>
      <c r="O64" s="93">
        <f>MAX(O52:O63)</f>
        <v>0</v>
      </c>
    </row>
    <row r="66" spans="10:15" ht="41.4" x14ac:dyDescent="0.25">
      <c r="J66" s="92">
        <f>+A6</f>
        <v>2022</v>
      </c>
      <c r="K66" s="92" t="s">
        <v>408</v>
      </c>
      <c r="L66" s="97" t="s">
        <v>403</v>
      </c>
      <c r="M66" s="97" t="s">
        <v>409</v>
      </c>
      <c r="N66" s="97" t="s">
        <v>406</v>
      </c>
      <c r="O66" s="97" t="s">
        <v>410</v>
      </c>
    </row>
    <row r="67" spans="10:15" x14ac:dyDescent="0.25">
      <c r="J67" s="482" t="s">
        <v>186</v>
      </c>
      <c r="K67" s="96" t="s">
        <v>411</v>
      </c>
      <c r="L67" s="94" t="s">
        <v>104</v>
      </c>
      <c r="M67" s="94" t="s">
        <v>104</v>
      </c>
      <c r="N67" s="94" t="s">
        <v>104</v>
      </c>
      <c r="O67" s="94" t="s">
        <v>104</v>
      </c>
    </row>
    <row r="68" spans="10:15" x14ac:dyDescent="0.25">
      <c r="J68" s="482"/>
      <c r="K68" s="96" t="s">
        <v>412</v>
      </c>
      <c r="L68" s="94" t="s">
        <v>104</v>
      </c>
      <c r="M68" s="94" t="s">
        <v>104</v>
      </c>
      <c r="N68" s="94" t="s">
        <v>104</v>
      </c>
      <c r="O68" s="94" t="s">
        <v>104</v>
      </c>
    </row>
    <row r="69" spans="10:15" x14ac:dyDescent="0.25">
      <c r="J69" s="482"/>
      <c r="K69" s="96" t="s">
        <v>413</v>
      </c>
      <c r="L69" s="94" t="s">
        <v>104</v>
      </c>
      <c r="M69" s="94" t="s">
        <v>104</v>
      </c>
      <c r="N69" s="94" t="s">
        <v>104</v>
      </c>
      <c r="O69" s="94" t="s">
        <v>104</v>
      </c>
    </row>
    <row r="70" spans="10:15" x14ac:dyDescent="0.25">
      <c r="J70" s="482"/>
      <c r="K70" s="96" t="s">
        <v>415</v>
      </c>
      <c r="L70" s="94" t="s">
        <v>104</v>
      </c>
      <c r="M70" s="94" t="s">
        <v>104</v>
      </c>
      <c r="N70" s="94" t="s">
        <v>104</v>
      </c>
      <c r="O70" s="94" t="s">
        <v>104</v>
      </c>
    </row>
    <row r="71" spans="10:15" x14ac:dyDescent="0.25">
      <c r="J71" s="482"/>
      <c r="K71" s="96" t="s">
        <v>417</v>
      </c>
      <c r="L71" s="94" t="s">
        <v>104</v>
      </c>
      <c r="M71" s="94" t="s">
        <v>104</v>
      </c>
      <c r="N71" s="94" t="s">
        <v>104</v>
      </c>
      <c r="O71" s="94" t="s">
        <v>104</v>
      </c>
    </row>
    <row r="72" spans="10:15" x14ac:dyDescent="0.25">
      <c r="J72" s="482"/>
      <c r="K72" s="96" t="s">
        <v>418</v>
      </c>
      <c r="L72" s="94" t="s">
        <v>104</v>
      </c>
      <c r="M72" s="94" t="s">
        <v>104</v>
      </c>
      <c r="N72" s="94" t="s">
        <v>104</v>
      </c>
      <c r="O72" s="94" t="s">
        <v>104</v>
      </c>
    </row>
    <row r="73" spans="10:15" x14ac:dyDescent="0.25">
      <c r="J73" s="482"/>
      <c r="K73" s="96" t="s">
        <v>419</v>
      </c>
      <c r="L73" s="94" t="s">
        <v>104</v>
      </c>
      <c r="M73" s="94" t="s">
        <v>104</v>
      </c>
      <c r="N73" s="94" t="s">
        <v>104</v>
      </c>
      <c r="O73" s="94" t="s">
        <v>104</v>
      </c>
    </row>
    <row r="74" spans="10:15" x14ac:dyDescent="0.25">
      <c r="J74" s="482"/>
      <c r="K74" s="96" t="s">
        <v>421</v>
      </c>
      <c r="L74" s="94" t="s">
        <v>104</v>
      </c>
      <c r="M74" s="94" t="s">
        <v>104</v>
      </c>
      <c r="N74" s="94" t="s">
        <v>104</v>
      </c>
      <c r="O74" s="94" t="s">
        <v>104</v>
      </c>
    </row>
    <row r="75" spans="10:15" x14ac:dyDescent="0.25">
      <c r="J75" s="482"/>
      <c r="K75" s="96" t="s">
        <v>422</v>
      </c>
      <c r="L75" s="94" t="s">
        <v>104</v>
      </c>
      <c r="M75" s="94" t="s">
        <v>104</v>
      </c>
      <c r="N75" s="94" t="s">
        <v>104</v>
      </c>
      <c r="O75" s="94" t="s">
        <v>104</v>
      </c>
    </row>
    <row r="76" spans="10:15" x14ac:dyDescent="0.25">
      <c r="J76" s="482"/>
      <c r="K76" s="96" t="s">
        <v>423</v>
      </c>
      <c r="L76" s="94" t="s">
        <v>104</v>
      </c>
      <c r="M76" s="94" t="s">
        <v>104</v>
      </c>
      <c r="N76" s="94" t="s">
        <v>104</v>
      </c>
      <c r="O76" s="94" t="s">
        <v>104</v>
      </c>
    </row>
    <row r="77" spans="10:15" x14ac:dyDescent="0.25">
      <c r="J77" s="482"/>
      <c r="K77" s="96" t="s">
        <v>424</v>
      </c>
      <c r="L77" s="94" t="s">
        <v>104</v>
      </c>
      <c r="M77" s="94" t="s">
        <v>104</v>
      </c>
      <c r="N77" s="94" t="s">
        <v>104</v>
      </c>
      <c r="O77" s="94" t="s">
        <v>104</v>
      </c>
    </row>
    <row r="78" spans="10:15" x14ac:dyDescent="0.25">
      <c r="J78" s="482"/>
      <c r="K78" s="96" t="s">
        <v>425</v>
      </c>
      <c r="L78" s="94" t="s">
        <v>104</v>
      </c>
      <c r="M78" s="94" t="s">
        <v>104</v>
      </c>
      <c r="N78" s="94" t="s">
        <v>104</v>
      </c>
      <c r="O78" s="94" t="s">
        <v>104</v>
      </c>
    </row>
    <row r="79" spans="10:15" x14ac:dyDescent="0.25">
      <c r="J79" s="482"/>
      <c r="K79" s="93" t="s">
        <v>426</v>
      </c>
      <c r="L79" s="93" t="e">
        <f>AVERAGE(L67:L78)</f>
        <v>#DIV/0!</v>
      </c>
      <c r="M79" s="93">
        <f>MAX(M67:M78)</f>
        <v>0</v>
      </c>
      <c r="N79" s="93" t="e">
        <f>AVERAGE(N67:N78)</f>
        <v>#DIV/0!</v>
      </c>
      <c r="O79" s="93">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D1" zoomScaleNormal="100" workbookViewId="0">
      <selection activeCell="L19" sqref="L19:O19"/>
    </sheetView>
  </sheetViews>
  <sheetFormatPr defaultRowHeight="13.8" x14ac:dyDescent="0.25"/>
  <cols>
    <col min="1" max="1" width="14" style="3" customWidth="1"/>
    <col min="2" max="4" width="17" style="57" customWidth="1"/>
    <col min="5" max="5" width="14.6640625" style="57" customWidth="1"/>
    <col min="6" max="7" width="17" style="57"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19" t="str">
        <f>+'Cover Page'!$B$29</f>
        <v>Annual Performance Report 2022</v>
      </c>
      <c r="B1" s="119"/>
      <c r="C1" s="119"/>
      <c r="D1" s="119"/>
      <c r="E1" s="119" t="str">
        <f>+'Cover Page'!$B$33</f>
        <v>Permit EPR/RP3036QU</v>
      </c>
      <c r="F1" s="119"/>
      <c r="G1" s="119"/>
    </row>
    <row r="3" spans="1:19" ht="14.4" x14ac:dyDescent="0.3">
      <c r="A3" s="91" t="s">
        <v>427</v>
      </c>
      <c r="D3" s="107" t="s">
        <v>395</v>
      </c>
      <c r="G3" s="111" t="s">
        <v>396</v>
      </c>
      <c r="J3" s="9" t="str">
        <f>+A3</f>
        <v>Monitoring of Sulphur dioxide emissions</v>
      </c>
      <c r="L3" s="9"/>
      <c r="N3" s="9" t="s">
        <v>397</v>
      </c>
      <c r="Q3" s="110" t="s">
        <v>1</v>
      </c>
      <c r="R3" s="104"/>
      <c r="S3" s="104"/>
    </row>
    <row r="4" spans="1:19" ht="13.95" customHeight="1" x14ac:dyDescent="0.25">
      <c r="Q4" s="459" t="s">
        <v>398</v>
      </c>
      <c r="R4" s="459"/>
      <c r="S4" s="459"/>
    </row>
    <row r="5" spans="1:19" ht="16.2" x14ac:dyDescent="0.25">
      <c r="A5" s="98" t="s">
        <v>399</v>
      </c>
      <c r="B5" s="484" t="s">
        <v>400</v>
      </c>
      <c r="C5" s="484"/>
      <c r="D5" s="484"/>
      <c r="E5" s="484" t="s">
        <v>401</v>
      </c>
      <c r="F5" s="484"/>
      <c r="G5" s="484"/>
      <c r="J5" s="483"/>
      <c r="K5" s="483"/>
      <c r="L5" s="483"/>
      <c r="M5" s="483"/>
      <c r="N5" s="483"/>
      <c r="O5" s="483"/>
      <c r="Q5" s="459"/>
      <c r="R5" s="459"/>
      <c r="S5" s="459"/>
    </row>
    <row r="6" spans="1:19" s="89" customFormat="1" ht="37.5" customHeight="1" x14ac:dyDescent="0.3">
      <c r="A6" s="95">
        <f>+'Cover Page'!C39</f>
        <v>2022</v>
      </c>
      <c r="B6" s="85" t="s">
        <v>428</v>
      </c>
      <c r="C6" s="85" t="s">
        <v>403</v>
      </c>
      <c r="D6" s="85" t="s">
        <v>404</v>
      </c>
      <c r="E6" s="85" t="s">
        <v>429</v>
      </c>
      <c r="F6" s="85" t="s">
        <v>406</v>
      </c>
      <c r="G6" s="85" t="s">
        <v>407</v>
      </c>
      <c r="H6" s="90"/>
      <c r="J6" s="92">
        <f>+A6</f>
        <v>2022</v>
      </c>
      <c r="K6" s="92" t="s">
        <v>408</v>
      </c>
      <c r="L6" s="97" t="s">
        <v>403</v>
      </c>
      <c r="M6" s="97" t="s">
        <v>409</v>
      </c>
      <c r="N6" s="97" t="s">
        <v>406</v>
      </c>
      <c r="O6" s="97" t="s">
        <v>410</v>
      </c>
      <c r="Q6" s="459"/>
      <c r="R6" s="459"/>
      <c r="S6" s="459"/>
    </row>
    <row r="7" spans="1:19" x14ac:dyDescent="0.25">
      <c r="A7" s="96" t="s">
        <v>411</v>
      </c>
      <c r="B7" s="177">
        <v>200</v>
      </c>
      <c r="C7" s="159">
        <f>L7</f>
        <v>4</v>
      </c>
      <c r="D7" s="159">
        <f>M7</f>
        <v>23</v>
      </c>
      <c r="E7" s="177">
        <v>50</v>
      </c>
      <c r="F7" s="94">
        <f>N7</f>
        <v>4</v>
      </c>
      <c r="G7" s="94">
        <f>O7</f>
        <v>6.5</v>
      </c>
      <c r="J7" s="482" t="s">
        <v>182</v>
      </c>
      <c r="K7" s="96" t="s">
        <v>411</v>
      </c>
      <c r="L7" s="162">
        <v>4</v>
      </c>
      <c r="M7" s="162">
        <v>23</v>
      </c>
      <c r="N7" s="162">
        <v>4</v>
      </c>
      <c r="O7" s="162">
        <v>6.5</v>
      </c>
      <c r="Q7" s="459"/>
      <c r="R7" s="459"/>
      <c r="S7" s="459"/>
    </row>
    <row r="8" spans="1:19" x14ac:dyDescent="0.25">
      <c r="A8" s="96" t="s">
        <v>412</v>
      </c>
      <c r="B8" s="177">
        <v>200</v>
      </c>
      <c r="C8" s="159">
        <f t="shared" ref="C8:C18" si="0">L8</f>
        <v>4.5999999999999996</v>
      </c>
      <c r="D8" s="159">
        <f t="shared" ref="D8:D18" si="1">M8</f>
        <v>24.2</v>
      </c>
      <c r="E8" s="177">
        <v>50</v>
      </c>
      <c r="F8" s="94">
        <f t="shared" ref="F8:F18" si="2">N8</f>
        <v>4.5999999999999996</v>
      </c>
      <c r="G8" s="94">
        <f t="shared" ref="G8:G18" si="3">O8</f>
        <v>7.6</v>
      </c>
      <c r="J8" s="482"/>
      <c r="K8" s="96" t="s">
        <v>412</v>
      </c>
      <c r="L8" s="162">
        <v>4.5999999999999996</v>
      </c>
      <c r="M8" s="162">
        <v>24.2</v>
      </c>
      <c r="N8" s="162">
        <v>4.5999999999999996</v>
      </c>
      <c r="O8" s="162">
        <v>7.6</v>
      </c>
      <c r="Q8" s="459"/>
      <c r="R8" s="459"/>
      <c r="S8" s="459"/>
    </row>
    <row r="9" spans="1:19" x14ac:dyDescent="0.25">
      <c r="A9" s="96" t="s">
        <v>413</v>
      </c>
      <c r="B9" s="177">
        <v>200</v>
      </c>
      <c r="C9" s="159">
        <f t="shared" si="0"/>
        <v>5.2</v>
      </c>
      <c r="D9" s="159">
        <f t="shared" si="1"/>
        <v>21</v>
      </c>
      <c r="E9" s="177">
        <v>50</v>
      </c>
      <c r="F9" s="94">
        <f t="shared" si="2"/>
        <v>5.2</v>
      </c>
      <c r="G9" s="94">
        <f t="shared" si="3"/>
        <v>6.9</v>
      </c>
      <c r="J9" s="482"/>
      <c r="K9" s="96" t="s">
        <v>413</v>
      </c>
      <c r="L9" s="162">
        <v>5.2</v>
      </c>
      <c r="M9" s="162">
        <v>21</v>
      </c>
      <c r="N9" s="162">
        <v>5.2</v>
      </c>
      <c r="O9" s="162">
        <v>6.9</v>
      </c>
      <c r="Q9" s="109" t="s">
        <v>414</v>
      </c>
    </row>
    <row r="10" spans="1:19" ht="14.25" customHeight="1" x14ac:dyDescent="0.25">
      <c r="A10" s="96" t="s">
        <v>415</v>
      </c>
      <c r="B10" s="177">
        <v>200</v>
      </c>
      <c r="C10" s="159">
        <f t="shared" si="0"/>
        <v>2.7</v>
      </c>
      <c r="D10" s="159">
        <f t="shared" si="1"/>
        <v>28.3</v>
      </c>
      <c r="E10" s="177">
        <v>50</v>
      </c>
      <c r="F10" s="94">
        <f t="shared" si="2"/>
        <v>2.7</v>
      </c>
      <c r="G10" s="94">
        <f t="shared" si="3"/>
        <v>5.5</v>
      </c>
      <c r="J10" s="482"/>
      <c r="K10" s="96" t="s">
        <v>415</v>
      </c>
      <c r="L10" s="162">
        <v>2.7</v>
      </c>
      <c r="M10" s="162">
        <v>28.3</v>
      </c>
      <c r="N10" s="162">
        <v>2.7</v>
      </c>
      <c r="O10" s="162">
        <v>5.5</v>
      </c>
      <c r="Q10" s="481" t="s">
        <v>416</v>
      </c>
      <c r="R10" s="481"/>
      <c r="S10" s="481"/>
    </row>
    <row r="11" spans="1:19" x14ac:dyDescent="0.25">
      <c r="A11" s="96" t="s">
        <v>417</v>
      </c>
      <c r="B11" s="177">
        <v>200</v>
      </c>
      <c r="C11" s="159">
        <f t="shared" si="0"/>
        <v>2.2999999999999998</v>
      </c>
      <c r="D11" s="159">
        <f t="shared" si="1"/>
        <v>25</v>
      </c>
      <c r="E11" s="177">
        <v>50</v>
      </c>
      <c r="F11" s="94">
        <f t="shared" si="2"/>
        <v>2.2999999999999998</v>
      </c>
      <c r="G11" s="94">
        <f t="shared" si="3"/>
        <v>3.6</v>
      </c>
      <c r="J11" s="482"/>
      <c r="K11" s="96" t="s">
        <v>417</v>
      </c>
      <c r="L11" s="162">
        <v>2.2999999999999998</v>
      </c>
      <c r="M11" s="162">
        <v>25</v>
      </c>
      <c r="N11" s="162">
        <v>2.2999999999999998</v>
      </c>
      <c r="O11" s="162">
        <v>3.6</v>
      </c>
      <c r="Q11" s="481"/>
      <c r="R11" s="481"/>
      <c r="S11" s="481"/>
    </row>
    <row r="12" spans="1:19" x14ac:dyDescent="0.25">
      <c r="A12" s="96" t="s">
        <v>418</v>
      </c>
      <c r="B12" s="177">
        <v>200</v>
      </c>
      <c r="C12" s="159">
        <f t="shared" si="0"/>
        <v>2.2000000000000002</v>
      </c>
      <c r="D12" s="159">
        <f t="shared" si="1"/>
        <v>45.7</v>
      </c>
      <c r="E12" s="177">
        <v>50</v>
      </c>
      <c r="F12" s="94">
        <f t="shared" si="2"/>
        <v>2.2000000000000002</v>
      </c>
      <c r="G12" s="94">
        <f t="shared" si="3"/>
        <v>3.2</v>
      </c>
      <c r="J12" s="482"/>
      <c r="K12" s="96" t="s">
        <v>418</v>
      </c>
      <c r="L12" s="162">
        <v>2.2000000000000002</v>
      </c>
      <c r="M12" s="162">
        <v>45.7</v>
      </c>
      <c r="N12" s="162">
        <v>2.2000000000000002</v>
      </c>
      <c r="O12" s="162">
        <v>3.2</v>
      </c>
      <c r="Q12" s="481"/>
      <c r="R12" s="481"/>
      <c r="S12" s="481"/>
    </row>
    <row r="13" spans="1:19" ht="14.25" customHeight="1" x14ac:dyDescent="0.25">
      <c r="A13" s="96" t="s">
        <v>419</v>
      </c>
      <c r="B13" s="177">
        <v>200</v>
      </c>
      <c r="C13" s="159">
        <f t="shared" si="0"/>
        <v>3.1</v>
      </c>
      <c r="D13" s="159">
        <f t="shared" si="1"/>
        <v>13.4</v>
      </c>
      <c r="E13" s="177">
        <v>50</v>
      </c>
      <c r="F13" s="94">
        <f t="shared" si="2"/>
        <v>3.1</v>
      </c>
      <c r="G13" s="94">
        <f t="shared" si="3"/>
        <v>5.0999999999999996</v>
      </c>
      <c r="J13" s="482"/>
      <c r="K13" s="96" t="s">
        <v>419</v>
      </c>
      <c r="L13" s="162">
        <v>3.1</v>
      </c>
      <c r="M13" s="162">
        <v>13.4</v>
      </c>
      <c r="N13" s="162">
        <v>3.1</v>
      </c>
      <c r="O13" s="162">
        <v>5.0999999999999996</v>
      </c>
      <c r="Q13" s="481" t="s">
        <v>420</v>
      </c>
      <c r="R13" s="481"/>
      <c r="S13" s="481"/>
    </row>
    <row r="14" spans="1:19" x14ac:dyDescent="0.25">
      <c r="A14" s="96" t="s">
        <v>421</v>
      </c>
      <c r="B14" s="177">
        <v>200</v>
      </c>
      <c r="C14" s="159">
        <f t="shared" si="0"/>
        <v>4.9000000000000004</v>
      </c>
      <c r="D14" s="159">
        <f t="shared" si="1"/>
        <v>45.7</v>
      </c>
      <c r="E14" s="177">
        <v>50</v>
      </c>
      <c r="F14" s="94">
        <f t="shared" si="2"/>
        <v>4.9000000000000004</v>
      </c>
      <c r="G14" s="94">
        <f t="shared" si="3"/>
        <v>12.2</v>
      </c>
      <c r="J14" s="482"/>
      <c r="K14" s="96" t="s">
        <v>421</v>
      </c>
      <c r="L14" s="162">
        <v>4.9000000000000004</v>
      </c>
      <c r="M14" s="162">
        <v>45.7</v>
      </c>
      <c r="N14" s="162">
        <v>4.9000000000000004</v>
      </c>
      <c r="O14" s="162">
        <v>12.2</v>
      </c>
      <c r="Q14" s="481"/>
      <c r="R14" s="481"/>
      <c r="S14" s="481"/>
    </row>
    <row r="15" spans="1:19" x14ac:dyDescent="0.25">
      <c r="A15" s="96" t="s">
        <v>422</v>
      </c>
      <c r="B15" s="177">
        <v>200</v>
      </c>
      <c r="C15" s="159">
        <f t="shared" si="0"/>
        <v>3.2</v>
      </c>
      <c r="D15" s="159">
        <f t="shared" si="1"/>
        <v>10.199999999999999</v>
      </c>
      <c r="E15" s="177">
        <v>50</v>
      </c>
      <c r="F15" s="94">
        <f t="shared" si="2"/>
        <v>3.2</v>
      </c>
      <c r="G15" s="94">
        <f t="shared" si="3"/>
        <v>3.6</v>
      </c>
      <c r="J15" s="482"/>
      <c r="K15" s="96" t="s">
        <v>422</v>
      </c>
      <c r="L15" s="160">
        <v>3.2</v>
      </c>
      <c r="M15" s="160">
        <v>10.199999999999999</v>
      </c>
      <c r="N15" s="160">
        <v>3.2</v>
      </c>
      <c r="O15" s="160">
        <v>3.6</v>
      </c>
      <c r="Q15" s="481"/>
      <c r="R15" s="481"/>
      <c r="S15" s="481"/>
    </row>
    <row r="16" spans="1:19" x14ac:dyDescent="0.25">
      <c r="A16" s="96" t="s">
        <v>423</v>
      </c>
      <c r="B16" s="177">
        <v>200</v>
      </c>
      <c r="C16" s="159" t="str">
        <f t="shared" si="0"/>
        <v>N/A</v>
      </c>
      <c r="D16" s="159" t="str">
        <f t="shared" si="1"/>
        <v>N/A</v>
      </c>
      <c r="E16" s="177">
        <v>50</v>
      </c>
      <c r="F16" s="94" t="str">
        <f t="shared" si="2"/>
        <v>N/A</v>
      </c>
      <c r="G16" s="94" t="str">
        <f t="shared" si="3"/>
        <v>N/A</v>
      </c>
      <c r="J16" s="482"/>
      <c r="K16" s="96" t="s">
        <v>423</v>
      </c>
      <c r="L16" s="160" t="s">
        <v>104</v>
      </c>
      <c r="M16" s="160" t="s">
        <v>104</v>
      </c>
      <c r="N16" s="160" t="s">
        <v>104</v>
      </c>
      <c r="O16" s="160" t="s">
        <v>104</v>
      </c>
      <c r="Q16" s="481"/>
      <c r="R16" s="481"/>
      <c r="S16" s="481"/>
    </row>
    <row r="17" spans="1:15" x14ac:dyDescent="0.25">
      <c r="A17" s="96" t="s">
        <v>424</v>
      </c>
      <c r="B17" s="177">
        <v>200</v>
      </c>
      <c r="C17" s="159" t="str">
        <f t="shared" si="0"/>
        <v>N/A</v>
      </c>
      <c r="D17" s="159" t="str">
        <f t="shared" si="1"/>
        <v>N/A</v>
      </c>
      <c r="E17" s="177">
        <v>50</v>
      </c>
      <c r="F17" s="94" t="str">
        <f t="shared" si="2"/>
        <v>N/A</v>
      </c>
      <c r="G17" s="94" t="str">
        <f t="shared" si="3"/>
        <v>N/A</v>
      </c>
      <c r="J17" s="482"/>
      <c r="K17" s="96" t="s">
        <v>424</v>
      </c>
      <c r="L17" s="160" t="s">
        <v>104</v>
      </c>
      <c r="M17" s="160" t="s">
        <v>104</v>
      </c>
      <c r="N17" s="160" t="s">
        <v>104</v>
      </c>
      <c r="O17" s="160" t="s">
        <v>104</v>
      </c>
    </row>
    <row r="18" spans="1:15" x14ac:dyDescent="0.25">
      <c r="A18" s="96" t="s">
        <v>425</v>
      </c>
      <c r="B18" s="177">
        <v>200</v>
      </c>
      <c r="C18" s="159">
        <f t="shared" si="0"/>
        <v>10</v>
      </c>
      <c r="D18" s="159">
        <f t="shared" si="1"/>
        <v>48</v>
      </c>
      <c r="E18" s="177">
        <v>50</v>
      </c>
      <c r="F18" s="94">
        <f t="shared" si="2"/>
        <v>10</v>
      </c>
      <c r="G18" s="94">
        <f t="shared" si="3"/>
        <v>13</v>
      </c>
      <c r="J18" s="482"/>
      <c r="K18" s="96" t="s">
        <v>425</v>
      </c>
      <c r="L18" s="162">
        <v>10</v>
      </c>
      <c r="M18" s="162">
        <v>48</v>
      </c>
      <c r="N18" s="162">
        <v>10</v>
      </c>
      <c r="O18" s="162">
        <v>13</v>
      </c>
    </row>
    <row r="19" spans="1:15" x14ac:dyDescent="0.25">
      <c r="J19" s="482"/>
      <c r="K19" s="93" t="s">
        <v>426</v>
      </c>
      <c r="L19" s="5">
        <f>AVERAGE(L7:L18)</f>
        <v>4.2200000000000006</v>
      </c>
      <c r="M19" s="5">
        <f>MAX(M7:M18)</f>
        <v>48</v>
      </c>
      <c r="N19" s="5">
        <f>AVERAGE(N7:N18)</f>
        <v>4.2200000000000006</v>
      </c>
      <c r="O19" s="5">
        <f>MAX(O7:O18)</f>
        <v>13</v>
      </c>
    </row>
    <row r="21" spans="1:15" ht="41.4" x14ac:dyDescent="0.25">
      <c r="J21" s="92">
        <f>+A6</f>
        <v>2022</v>
      </c>
      <c r="K21" s="92" t="s">
        <v>408</v>
      </c>
      <c r="L21" s="97" t="s">
        <v>403</v>
      </c>
      <c r="M21" s="97" t="s">
        <v>409</v>
      </c>
      <c r="N21" s="97" t="s">
        <v>406</v>
      </c>
      <c r="O21" s="97" t="s">
        <v>410</v>
      </c>
    </row>
    <row r="22" spans="1:15" x14ac:dyDescent="0.25">
      <c r="J22" s="482" t="s">
        <v>183</v>
      </c>
      <c r="K22" s="96" t="s">
        <v>411</v>
      </c>
      <c r="L22" s="94" t="s">
        <v>104</v>
      </c>
      <c r="M22" s="94" t="s">
        <v>104</v>
      </c>
      <c r="N22" s="94" t="s">
        <v>104</v>
      </c>
      <c r="O22" s="94" t="s">
        <v>104</v>
      </c>
    </row>
    <row r="23" spans="1:15" x14ac:dyDescent="0.25">
      <c r="J23" s="482"/>
      <c r="K23" s="96" t="s">
        <v>412</v>
      </c>
      <c r="L23" s="94" t="s">
        <v>104</v>
      </c>
      <c r="M23" s="94" t="s">
        <v>104</v>
      </c>
      <c r="N23" s="94" t="s">
        <v>104</v>
      </c>
      <c r="O23" s="94" t="s">
        <v>104</v>
      </c>
    </row>
    <row r="24" spans="1:15" x14ac:dyDescent="0.25">
      <c r="J24" s="482"/>
      <c r="K24" s="96" t="s">
        <v>413</v>
      </c>
      <c r="L24" s="94" t="s">
        <v>104</v>
      </c>
      <c r="M24" s="94" t="s">
        <v>104</v>
      </c>
      <c r="N24" s="94" t="s">
        <v>104</v>
      </c>
      <c r="O24" s="94" t="s">
        <v>104</v>
      </c>
    </row>
    <row r="25" spans="1:15" x14ac:dyDescent="0.25">
      <c r="J25" s="482"/>
      <c r="K25" s="96" t="s">
        <v>415</v>
      </c>
      <c r="L25" s="94" t="s">
        <v>104</v>
      </c>
      <c r="M25" s="94" t="s">
        <v>104</v>
      </c>
      <c r="N25" s="94" t="s">
        <v>104</v>
      </c>
      <c r="O25" s="94" t="s">
        <v>104</v>
      </c>
    </row>
    <row r="26" spans="1:15" x14ac:dyDescent="0.25">
      <c r="J26" s="482"/>
      <c r="K26" s="96" t="s">
        <v>417</v>
      </c>
      <c r="L26" s="94" t="s">
        <v>104</v>
      </c>
      <c r="M26" s="94" t="s">
        <v>104</v>
      </c>
      <c r="N26" s="94" t="s">
        <v>104</v>
      </c>
      <c r="O26" s="94" t="s">
        <v>104</v>
      </c>
    </row>
    <row r="27" spans="1:15" x14ac:dyDescent="0.25">
      <c r="J27" s="482"/>
      <c r="K27" s="96" t="s">
        <v>418</v>
      </c>
      <c r="L27" s="94" t="s">
        <v>104</v>
      </c>
      <c r="M27" s="94" t="s">
        <v>104</v>
      </c>
      <c r="N27" s="94" t="s">
        <v>104</v>
      </c>
      <c r="O27" s="94" t="s">
        <v>104</v>
      </c>
    </row>
    <row r="28" spans="1:15" x14ac:dyDescent="0.25">
      <c r="J28" s="482"/>
      <c r="K28" s="96" t="s">
        <v>419</v>
      </c>
      <c r="L28" s="94" t="s">
        <v>104</v>
      </c>
      <c r="M28" s="94" t="s">
        <v>104</v>
      </c>
      <c r="N28" s="94" t="s">
        <v>104</v>
      </c>
      <c r="O28" s="94" t="s">
        <v>104</v>
      </c>
    </row>
    <row r="29" spans="1:15" x14ac:dyDescent="0.25">
      <c r="B29" s="57" t="s">
        <v>53</v>
      </c>
      <c r="J29" s="482"/>
      <c r="K29" s="96" t="s">
        <v>421</v>
      </c>
      <c r="L29" s="94" t="s">
        <v>104</v>
      </c>
      <c r="M29" s="94" t="s">
        <v>104</v>
      </c>
      <c r="N29" s="94" t="s">
        <v>104</v>
      </c>
      <c r="O29" s="94" t="s">
        <v>104</v>
      </c>
    </row>
    <row r="30" spans="1:15" x14ac:dyDescent="0.25">
      <c r="J30" s="482"/>
      <c r="K30" s="96" t="s">
        <v>422</v>
      </c>
      <c r="L30" s="94" t="s">
        <v>104</v>
      </c>
      <c r="M30" s="94" t="s">
        <v>104</v>
      </c>
      <c r="N30" s="94" t="s">
        <v>104</v>
      </c>
      <c r="O30" s="94" t="s">
        <v>104</v>
      </c>
    </row>
    <row r="31" spans="1:15" x14ac:dyDescent="0.25">
      <c r="B31" s="57" t="s">
        <v>53</v>
      </c>
      <c r="J31" s="482"/>
      <c r="K31" s="96" t="s">
        <v>423</v>
      </c>
      <c r="L31" s="94" t="s">
        <v>104</v>
      </c>
      <c r="M31" s="94" t="s">
        <v>104</v>
      </c>
      <c r="N31" s="94" t="s">
        <v>104</v>
      </c>
      <c r="O31" s="94" t="s">
        <v>104</v>
      </c>
    </row>
    <row r="32" spans="1:15" x14ac:dyDescent="0.25">
      <c r="J32" s="482"/>
      <c r="K32" s="96" t="s">
        <v>424</v>
      </c>
      <c r="L32" s="94" t="s">
        <v>104</v>
      </c>
      <c r="M32" s="94" t="s">
        <v>104</v>
      </c>
      <c r="N32" s="94" t="s">
        <v>104</v>
      </c>
      <c r="O32" s="94" t="s">
        <v>104</v>
      </c>
    </row>
    <row r="33" spans="1:15" x14ac:dyDescent="0.25">
      <c r="J33" s="482"/>
      <c r="K33" s="96" t="s">
        <v>425</v>
      </c>
      <c r="L33" s="94" t="s">
        <v>104</v>
      </c>
      <c r="M33" s="94" t="s">
        <v>104</v>
      </c>
      <c r="N33" s="94" t="s">
        <v>104</v>
      </c>
      <c r="O33" s="94" t="s">
        <v>104</v>
      </c>
    </row>
    <row r="34" spans="1:15" x14ac:dyDescent="0.25">
      <c r="J34" s="482"/>
      <c r="K34" s="93" t="s">
        <v>426</v>
      </c>
      <c r="L34" s="93" t="e">
        <f>AVERAGE(L22:L33)</f>
        <v>#DIV/0!</v>
      </c>
      <c r="M34" s="93">
        <f>MAX(M22:M33)</f>
        <v>0</v>
      </c>
      <c r="N34" s="93" t="e">
        <f>AVERAGE(N22:N33)</f>
        <v>#DIV/0!</v>
      </c>
      <c r="O34" s="93">
        <f>MAX(O22:O33)</f>
        <v>0</v>
      </c>
    </row>
    <row r="36" spans="1:15" ht="41.4" x14ac:dyDescent="0.25">
      <c r="J36" s="92">
        <f>+A6</f>
        <v>2022</v>
      </c>
      <c r="K36" s="92" t="s">
        <v>408</v>
      </c>
      <c r="L36" s="97" t="s">
        <v>403</v>
      </c>
      <c r="M36" s="97" t="s">
        <v>409</v>
      </c>
      <c r="N36" s="97" t="s">
        <v>406</v>
      </c>
      <c r="O36" s="97" t="s">
        <v>410</v>
      </c>
    </row>
    <row r="37" spans="1:15" x14ac:dyDescent="0.25">
      <c r="J37" s="482" t="s">
        <v>184</v>
      </c>
      <c r="K37" s="96" t="s">
        <v>411</v>
      </c>
      <c r="L37" s="94" t="s">
        <v>104</v>
      </c>
      <c r="M37" s="94" t="s">
        <v>104</v>
      </c>
      <c r="N37" s="94" t="s">
        <v>104</v>
      </c>
      <c r="O37" s="94" t="s">
        <v>104</v>
      </c>
    </row>
    <row r="38" spans="1:15" x14ac:dyDescent="0.25">
      <c r="J38" s="482"/>
      <c r="K38" s="96" t="s">
        <v>412</v>
      </c>
      <c r="L38" s="94" t="s">
        <v>104</v>
      </c>
      <c r="M38" s="94" t="s">
        <v>104</v>
      </c>
      <c r="N38" s="94" t="s">
        <v>104</v>
      </c>
      <c r="O38" s="94" t="s">
        <v>104</v>
      </c>
    </row>
    <row r="39" spans="1:15" x14ac:dyDescent="0.25">
      <c r="C39" s="57">
        <v>2021</v>
      </c>
      <c r="J39" s="482"/>
      <c r="K39" s="96" t="s">
        <v>413</v>
      </c>
      <c r="L39" s="94" t="s">
        <v>104</v>
      </c>
      <c r="M39" s="94" t="s">
        <v>104</v>
      </c>
      <c r="N39" s="94" t="s">
        <v>104</v>
      </c>
      <c r="O39" s="94" t="s">
        <v>104</v>
      </c>
    </row>
    <row r="40" spans="1:15" x14ac:dyDescent="0.25">
      <c r="J40" s="482"/>
      <c r="K40" s="96" t="s">
        <v>415</v>
      </c>
      <c r="L40" s="94" t="s">
        <v>104</v>
      </c>
      <c r="M40" s="94" t="s">
        <v>104</v>
      </c>
      <c r="N40" s="94" t="s">
        <v>104</v>
      </c>
      <c r="O40" s="94" t="s">
        <v>104</v>
      </c>
    </row>
    <row r="41" spans="1:15" x14ac:dyDescent="0.25">
      <c r="J41" s="482"/>
      <c r="K41" s="96" t="s">
        <v>417</v>
      </c>
      <c r="L41" s="94" t="s">
        <v>104</v>
      </c>
      <c r="M41" s="94" t="s">
        <v>104</v>
      </c>
      <c r="N41" s="94" t="s">
        <v>104</v>
      </c>
      <c r="O41" s="94" t="s">
        <v>104</v>
      </c>
    </row>
    <row r="42" spans="1:15" x14ac:dyDescent="0.25">
      <c r="J42" s="482"/>
      <c r="K42" s="96" t="s">
        <v>418</v>
      </c>
      <c r="L42" s="94" t="s">
        <v>104</v>
      </c>
      <c r="M42" s="94" t="s">
        <v>104</v>
      </c>
      <c r="N42" s="94" t="s">
        <v>104</v>
      </c>
      <c r="O42" s="94" t="s">
        <v>104</v>
      </c>
    </row>
    <row r="43" spans="1:15" x14ac:dyDescent="0.25">
      <c r="J43" s="482"/>
      <c r="K43" s="96" t="s">
        <v>419</v>
      </c>
      <c r="L43" s="94" t="s">
        <v>104</v>
      </c>
      <c r="M43" s="94" t="s">
        <v>104</v>
      </c>
      <c r="N43" s="94" t="s">
        <v>104</v>
      </c>
      <c r="O43" s="94" t="s">
        <v>104</v>
      </c>
    </row>
    <row r="44" spans="1:15" x14ac:dyDescent="0.25">
      <c r="J44" s="482"/>
      <c r="K44" s="96" t="s">
        <v>421</v>
      </c>
      <c r="L44" s="94" t="s">
        <v>104</v>
      </c>
      <c r="M44" s="94" t="s">
        <v>104</v>
      </c>
      <c r="N44" s="94" t="s">
        <v>104</v>
      </c>
      <c r="O44" s="94" t="s">
        <v>104</v>
      </c>
    </row>
    <row r="45" spans="1:15" x14ac:dyDescent="0.25">
      <c r="J45" s="482"/>
      <c r="K45" s="96" t="s">
        <v>422</v>
      </c>
      <c r="L45" s="94" t="s">
        <v>104</v>
      </c>
      <c r="M45" s="94" t="s">
        <v>104</v>
      </c>
      <c r="N45" s="94" t="s">
        <v>104</v>
      </c>
      <c r="O45" s="94" t="s">
        <v>104</v>
      </c>
    </row>
    <row r="46" spans="1:15" x14ac:dyDescent="0.25">
      <c r="J46" s="482"/>
      <c r="K46" s="96" t="s">
        <v>423</v>
      </c>
      <c r="L46" s="94" t="s">
        <v>104</v>
      </c>
      <c r="M46" s="94" t="s">
        <v>104</v>
      </c>
      <c r="N46" s="94" t="s">
        <v>104</v>
      </c>
      <c r="O46" s="94" t="s">
        <v>104</v>
      </c>
    </row>
    <row r="47" spans="1:15" x14ac:dyDescent="0.25">
      <c r="J47" s="482"/>
      <c r="K47" s="96" t="s">
        <v>424</v>
      </c>
      <c r="L47" s="94" t="s">
        <v>104</v>
      </c>
      <c r="M47" s="94" t="s">
        <v>104</v>
      </c>
      <c r="N47" s="94" t="s">
        <v>104</v>
      </c>
      <c r="O47" s="94" t="s">
        <v>104</v>
      </c>
    </row>
    <row r="48" spans="1:15" x14ac:dyDescent="0.25">
      <c r="A48" s="494" t="s">
        <v>306</v>
      </c>
      <c r="B48" s="495"/>
      <c r="C48" s="495"/>
      <c r="D48" s="495"/>
      <c r="E48" s="495"/>
      <c r="F48" s="495"/>
      <c r="G48" s="496"/>
      <c r="J48" s="482"/>
      <c r="K48" s="96" t="s">
        <v>425</v>
      </c>
      <c r="L48" s="94" t="s">
        <v>104</v>
      </c>
      <c r="M48" s="94" t="s">
        <v>104</v>
      </c>
      <c r="N48" s="94" t="s">
        <v>104</v>
      </c>
      <c r="O48" s="94" t="s">
        <v>104</v>
      </c>
    </row>
    <row r="49" spans="1:15" x14ac:dyDescent="0.25">
      <c r="A49" s="485" t="s">
        <v>430</v>
      </c>
      <c r="B49" s="486"/>
      <c r="C49" s="486"/>
      <c r="D49" s="486"/>
      <c r="E49" s="486"/>
      <c r="F49" s="486"/>
      <c r="G49" s="487"/>
      <c r="J49" s="482"/>
      <c r="K49" s="93" t="s">
        <v>426</v>
      </c>
      <c r="L49" s="93" t="e">
        <f>AVERAGE(L37:L48)</f>
        <v>#DIV/0!</v>
      </c>
      <c r="M49" s="93">
        <f>MAX(M37:M48)</f>
        <v>0</v>
      </c>
      <c r="N49" s="93" t="e">
        <f>AVERAGE(N37:N48)</f>
        <v>#DIV/0!</v>
      </c>
      <c r="O49" s="93">
        <f>MAX(O37:O48)</f>
        <v>0</v>
      </c>
    </row>
    <row r="50" spans="1:15" x14ac:dyDescent="0.25">
      <c r="A50" s="488"/>
      <c r="B50" s="489"/>
      <c r="C50" s="489"/>
      <c r="D50" s="489"/>
      <c r="E50" s="489"/>
      <c r="F50" s="489"/>
      <c r="G50" s="490"/>
    </row>
    <row r="51" spans="1:15" ht="41.4" x14ac:dyDescent="0.25">
      <c r="A51" s="488"/>
      <c r="B51" s="489"/>
      <c r="C51" s="489"/>
      <c r="D51" s="489"/>
      <c r="E51" s="489"/>
      <c r="F51" s="489"/>
      <c r="G51" s="490"/>
      <c r="J51" s="92">
        <f>+A6</f>
        <v>2022</v>
      </c>
      <c r="K51" s="92" t="s">
        <v>408</v>
      </c>
      <c r="L51" s="97" t="s">
        <v>403</v>
      </c>
      <c r="M51" s="97" t="s">
        <v>409</v>
      </c>
      <c r="N51" s="97" t="s">
        <v>406</v>
      </c>
      <c r="O51" s="97" t="s">
        <v>410</v>
      </c>
    </row>
    <row r="52" spans="1:15" x14ac:dyDescent="0.25">
      <c r="A52" s="491"/>
      <c r="B52" s="492"/>
      <c r="C52" s="492"/>
      <c r="D52" s="492"/>
      <c r="E52" s="492"/>
      <c r="F52" s="492"/>
      <c r="G52" s="493"/>
      <c r="J52" s="482" t="s">
        <v>185</v>
      </c>
      <c r="K52" s="96" t="s">
        <v>411</v>
      </c>
      <c r="L52" s="94" t="s">
        <v>104</v>
      </c>
      <c r="M52" s="94" t="s">
        <v>104</v>
      </c>
      <c r="N52" s="94" t="s">
        <v>104</v>
      </c>
      <c r="O52" s="94" t="s">
        <v>104</v>
      </c>
    </row>
    <row r="53" spans="1:15" x14ac:dyDescent="0.25">
      <c r="J53" s="482"/>
      <c r="K53" s="96" t="s">
        <v>412</v>
      </c>
      <c r="L53" s="94" t="s">
        <v>104</v>
      </c>
      <c r="M53" s="94" t="s">
        <v>104</v>
      </c>
      <c r="N53" s="94" t="s">
        <v>104</v>
      </c>
      <c r="O53" s="94" t="s">
        <v>104</v>
      </c>
    </row>
    <row r="54" spans="1:15" x14ac:dyDescent="0.25">
      <c r="J54" s="482"/>
      <c r="K54" s="96" t="s">
        <v>413</v>
      </c>
      <c r="L54" s="94" t="s">
        <v>104</v>
      </c>
      <c r="M54" s="94" t="s">
        <v>104</v>
      </c>
      <c r="N54" s="94" t="s">
        <v>104</v>
      </c>
      <c r="O54" s="94" t="s">
        <v>104</v>
      </c>
    </row>
    <row r="55" spans="1:15" x14ac:dyDescent="0.25">
      <c r="J55" s="482"/>
      <c r="K55" s="96" t="s">
        <v>415</v>
      </c>
      <c r="L55" s="94" t="s">
        <v>104</v>
      </c>
      <c r="M55" s="94" t="s">
        <v>104</v>
      </c>
      <c r="N55" s="94" t="s">
        <v>104</v>
      </c>
      <c r="O55" s="94" t="s">
        <v>104</v>
      </c>
    </row>
    <row r="56" spans="1:15" x14ac:dyDescent="0.25">
      <c r="J56" s="482"/>
      <c r="K56" s="96" t="s">
        <v>417</v>
      </c>
      <c r="L56" s="94" t="s">
        <v>104</v>
      </c>
      <c r="M56" s="94" t="s">
        <v>104</v>
      </c>
      <c r="N56" s="94" t="s">
        <v>104</v>
      </c>
      <c r="O56" s="94" t="s">
        <v>104</v>
      </c>
    </row>
    <row r="57" spans="1:15" x14ac:dyDescent="0.25">
      <c r="J57" s="482"/>
      <c r="K57" s="96" t="s">
        <v>418</v>
      </c>
      <c r="L57" s="94" t="s">
        <v>104</v>
      </c>
      <c r="M57" s="94" t="s">
        <v>104</v>
      </c>
      <c r="N57" s="94" t="s">
        <v>104</v>
      </c>
      <c r="O57" s="94" t="s">
        <v>104</v>
      </c>
    </row>
    <row r="58" spans="1:15" x14ac:dyDescent="0.25">
      <c r="J58" s="482"/>
      <c r="K58" s="96" t="s">
        <v>419</v>
      </c>
      <c r="L58" s="94" t="s">
        <v>104</v>
      </c>
      <c r="M58" s="94" t="s">
        <v>104</v>
      </c>
      <c r="N58" s="94" t="s">
        <v>104</v>
      </c>
      <c r="O58" s="94" t="s">
        <v>104</v>
      </c>
    </row>
    <row r="59" spans="1:15" x14ac:dyDescent="0.25">
      <c r="J59" s="482"/>
      <c r="K59" s="96" t="s">
        <v>421</v>
      </c>
      <c r="L59" s="94" t="s">
        <v>104</v>
      </c>
      <c r="M59" s="94" t="s">
        <v>104</v>
      </c>
      <c r="N59" s="94" t="s">
        <v>104</v>
      </c>
      <c r="O59" s="94" t="s">
        <v>104</v>
      </c>
    </row>
    <row r="60" spans="1:15" x14ac:dyDescent="0.25">
      <c r="J60" s="482"/>
      <c r="K60" s="96" t="s">
        <v>422</v>
      </c>
      <c r="L60" s="94" t="s">
        <v>104</v>
      </c>
      <c r="M60" s="94" t="s">
        <v>104</v>
      </c>
      <c r="N60" s="94" t="s">
        <v>104</v>
      </c>
      <c r="O60" s="94" t="s">
        <v>104</v>
      </c>
    </row>
    <row r="61" spans="1:15" x14ac:dyDescent="0.25">
      <c r="J61" s="482"/>
      <c r="K61" s="96" t="s">
        <v>423</v>
      </c>
      <c r="L61" s="94" t="s">
        <v>104</v>
      </c>
      <c r="M61" s="94" t="s">
        <v>104</v>
      </c>
      <c r="N61" s="94" t="s">
        <v>104</v>
      </c>
      <c r="O61" s="94" t="s">
        <v>104</v>
      </c>
    </row>
    <row r="62" spans="1:15" x14ac:dyDescent="0.25">
      <c r="J62" s="482"/>
      <c r="K62" s="96" t="s">
        <v>424</v>
      </c>
      <c r="L62" s="94" t="s">
        <v>104</v>
      </c>
      <c r="M62" s="94" t="s">
        <v>104</v>
      </c>
      <c r="N62" s="94" t="s">
        <v>104</v>
      </c>
      <c r="O62" s="94" t="s">
        <v>104</v>
      </c>
    </row>
    <row r="63" spans="1:15" x14ac:dyDescent="0.25">
      <c r="J63" s="482"/>
      <c r="K63" s="96" t="s">
        <v>425</v>
      </c>
      <c r="L63" s="94" t="s">
        <v>104</v>
      </c>
      <c r="M63" s="94" t="s">
        <v>104</v>
      </c>
      <c r="N63" s="94" t="s">
        <v>104</v>
      </c>
      <c r="O63" s="94" t="s">
        <v>104</v>
      </c>
    </row>
    <row r="64" spans="1:15" x14ac:dyDescent="0.25">
      <c r="J64" s="482"/>
      <c r="K64" s="93" t="s">
        <v>426</v>
      </c>
      <c r="L64" s="93" t="e">
        <f>AVERAGE(L52:L63)</f>
        <v>#DIV/0!</v>
      </c>
      <c r="M64" s="93">
        <f>MAX(M52:M63)</f>
        <v>0</v>
      </c>
      <c r="N64" s="93" t="e">
        <f>AVERAGE(N52:N63)</f>
        <v>#DIV/0!</v>
      </c>
      <c r="O64" s="93">
        <f>MAX(O52:O63)</f>
        <v>0</v>
      </c>
    </row>
    <row r="66" spans="10:15" ht="41.4" x14ac:dyDescent="0.25">
      <c r="J66" s="92">
        <f>+A6</f>
        <v>2022</v>
      </c>
      <c r="K66" s="92" t="s">
        <v>408</v>
      </c>
      <c r="L66" s="97" t="s">
        <v>403</v>
      </c>
      <c r="M66" s="97" t="s">
        <v>409</v>
      </c>
      <c r="N66" s="97" t="s">
        <v>406</v>
      </c>
      <c r="O66" s="97" t="s">
        <v>410</v>
      </c>
    </row>
    <row r="67" spans="10:15" x14ac:dyDescent="0.25">
      <c r="J67" s="482" t="s">
        <v>186</v>
      </c>
      <c r="K67" s="96" t="s">
        <v>411</v>
      </c>
      <c r="L67" s="94" t="s">
        <v>104</v>
      </c>
      <c r="M67" s="94" t="s">
        <v>104</v>
      </c>
      <c r="N67" s="94" t="s">
        <v>104</v>
      </c>
      <c r="O67" s="94" t="s">
        <v>104</v>
      </c>
    </row>
    <row r="68" spans="10:15" x14ac:dyDescent="0.25">
      <c r="J68" s="482"/>
      <c r="K68" s="96" t="s">
        <v>412</v>
      </c>
      <c r="L68" s="94" t="s">
        <v>104</v>
      </c>
      <c r="M68" s="94" t="s">
        <v>104</v>
      </c>
      <c r="N68" s="94" t="s">
        <v>104</v>
      </c>
      <c r="O68" s="94" t="s">
        <v>104</v>
      </c>
    </row>
    <row r="69" spans="10:15" x14ac:dyDescent="0.25">
      <c r="J69" s="482"/>
      <c r="K69" s="96" t="s">
        <v>413</v>
      </c>
      <c r="L69" s="94" t="s">
        <v>104</v>
      </c>
      <c r="M69" s="94" t="s">
        <v>104</v>
      </c>
      <c r="N69" s="94" t="s">
        <v>104</v>
      </c>
      <c r="O69" s="94" t="s">
        <v>104</v>
      </c>
    </row>
    <row r="70" spans="10:15" x14ac:dyDescent="0.25">
      <c r="J70" s="482"/>
      <c r="K70" s="96" t="s">
        <v>415</v>
      </c>
      <c r="L70" s="94" t="s">
        <v>104</v>
      </c>
      <c r="M70" s="94" t="s">
        <v>104</v>
      </c>
      <c r="N70" s="94" t="s">
        <v>104</v>
      </c>
      <c r="O70" s="94" t="s">
        <v>104</v>
      </c>
    </row>
    <row r="71" spans="10:15" x14ac:dyDescent="0.25">
      <c r="J71" s="482"/>
      <c r="K71" s="96" t="s">
        <v>417</v>
      </c>
      <c r="L71" s="94" t="s">
        <v>104</v>
      </c>
      <c r="M71" s="94" t="s">
        <v>104</v>
      </c>
      <c r="N71" s="94" t="s">
        <v>104</v>
      </c>
      <c r="O71" s="94" t="s">
        <v>104</v>
      </c>
    </row>
    <row r="72" spans="10:15" x14ac:dyDescent="0.25">
      <c r="J72" s="482"/>
      <c r="K72" s="96" t="s">
        <v>418</v>
      </c>
      <c r="L72" s="94" t="s">
        <v>104</v>
      </c>
      <c r="M72" s="94" t="s">
        <v>104</v>
      </c>
      <c r="N72" s="94" t="s">
        <v>104</v>
      </c>
      <c r="O72" s="94" t="s">
        <v>104</v>
      </c>
    </row>
    <row r="73" spans="10:15" x14ac:dyDescent="0.25">
      <c r="J73" s="482"/>
      <c r="K73" s="96" t="s">
        <v>419</v>
      </c>
      <c r="L73" s="94" t="s">
        <v>104</v>
      </c>
      <c r="M73" s="94" t="s">
        <v>104</v>
      </c>
      <c r="N73" s="94" t="s">
        <v>104</v>
      </c>
      <c r="O73" s="94" t="s">
        <v>104</v>
      </c>
    </row>
    <row r="74" spans="10:15" x14ac:dyDescent="0.25">
      <c r="J74" s="482"/>
      <c r="K74" s="96" t="s">
        <v>421</v>
      </c>
      <c r="L74" s="94" t="s">
        <v>104</v>
      </c>
      <c r="M74" s="94" t="s">
        <v>104</v>
      </c>
      <c r="N74" s="94" t="s">
        <v>104</v>
      </c>
      <c r="O74" s="94" t="s">
        <v>104</v>
      </c>
    </row>
    <row r="75" spans="10:15" x14ac:dyDescent="0.25">
      <c r="J75" s="482"/>
      <c r="K75" s="96" t="s">
        <v>422</v>
      </c>
      <c r="L75" s="94" t="s">
        <v>104</v>
      </c>
      <c r="M75" s="94" t="s">
        <v>104</v>
      </c>
      <c r="N75" s="94" t="s">
        <v>104</v>
      </c>
      <c r="O75" s="94" t="s">
        <v>104</v>
      </c>
    </row>
    <row r="76" spans="10:15" x14ac:dyDescent="0.25">
      <c r="J76" s="482"/>
      <c r="K76" s="96" t="s">
        <v>423</v>
      </c>
      <c r="L76" s="94" t="s">
        <v>104</v>
      </c>
      <c r="M76" s="94" t="s">
        <v>104</v>
      </c>
      <c r="N76" s="94" t="s">
        <v>104</v>
      </c>
      <c r="O76" s="94" t="s">
        <v>104</v>
      </c>
    </row>
    <row r="77" spans="10:15" x14ac:dyDescent="0.25">
      <c r="J77" s="482"/>
      <c r="K77" s="96" t="s">
        <v>424</v>
      </c>
      <c r="L77" s="94" t="s">
        <v>104</v>
      </c>
      <c r="M77" s="94" t="s">
        <v>104</v>
      </c>
      <c r="N77" s="94" t="s">
        <v>104</v>
      </c>
      <c r="O77" s="94" t="s">
        <v>104</v>
      </c>
    </row>
    <row r="78" spans="10:15" x14ac:dyDescent="0.25">
      <c r="J78" s="482"/>
      <c r="K78" s="96" t="s">
        <v>425</v>
      </c>
      <c r="L78" s="94" t="s">
        <v>104</v>
      </c>
      <c r="M78" s="94" t="s">
        <v>104</v>
      </c>
      <c r="N78" s="94" t="s">
        <v>104</v>
      </c>
      <c r="O78" s="94" t="s">
        <v>104</v>
      </c>
    </row>
    <row r="79" spans="10:15" x14ac:dyDescent="0.25">
      <c r="J79" s="482"/>
      <c r="K79" s="93" t="s">
        <v>426</v>
      </c>
      <c r="L79" s="93" t="e">
        <f>AVERAGE(L67:L78)</f>
        <v>#DIV/0!</v>
      </c>
      <c r="M79" s="93">
        <f>MAX(M67:M78)</f>
        <v>0</v>
      </c>
      <c r="N79" s="93" t="e">
        <f>AVERAGE(N67:N78)</f>
        <v>#DIV/0!</v>
      </c>
      <c r="O79" s="9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D1" zoomScaleNormal="100" workbookViewId="0">
      <selection activeCell="L19" sqref="L19:O19"/>
    </sheetView>
  </sheetViews>
  <sheetFormatPr defaultRowHeight="13.8" x14ac:dyDescent="0.25"/>
  <cols>
    <col min="1" max="1" width="14" style="3" customWidth="1"/>
    <col min="2" max="4" width="17" style="57" customWidth="1"/>
    <col min="5" max="5" width="14.6640625" style="57" customWidth="1"/>
    <col min="6" max="7" width="17" style="57"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19" t="str">
        <f>+'Cover Page'!$B$29</f>
        <v>Annual Performance Report 2022</v>
      </c>
      <c r="B1" s="119"/>
      <c r="C1" s="119"/>
      <c r="D1" s="119"/>
      <c r="E1" s="119" t="str">
        <f>+'Cover Page'!$B$33</f>
        <v>Permit EPR/RP3036QU</v>
      </c>
      <c r="F1" s="119"/>
    </row>
    <row r="3" spans="1:19" ht="14.4" x14ac:dyDescent="0.3">
      <c r="A3" s="91" t="s">
        <v>431</v>
      </c>
      <c r="D3" s="107" t="s">
        <v>395</v>
      </c>
      <c r="G3" s="111" t="s">
        <v>396</v>
      </c>
      <c r="J3" s="9" t="str">
        <f>+A3</f>
        <v>Monitoring of Oxides of Nitrogen emissions</v>
      </c>
      <c r="L3" s="9"/>
      <c r="N3" s="9" t="s">
        <v>397</v>
      </c>
      <c r="Q3" s="110" t="s">
        <v>1</v>
      </c>
      <c r="R3" s="104"/>
      <c r="S3" s="104"/>
    </row>
    <row r="4" spans="1:19" ht="13.95" customHeight="1" x14ac:dyDescent="0.25">
      <c r="Q4" s="459" t="s">
        <v>398</v>
      </c>
      <c r="R4" s="459"/>
      <c r="S4" s="459"/>
    </row>
    <row r="5" spans="1:19" ht="16.2" x14ac:dyDescent="0.25">
      <c r="A5" s="98" t="s">
        <v>399</v>
      </c>
      <c r="B5" s="484" t="s">
        <v>400</v>
      </c>
      <c r="C5" s="484"/>
      <c r="D5" s="484"/>
      <c r="E5" s="484" t="s">
        <v>401</v>
      </c>
      <c r="F5" s="484"/>
      <c r="G5" s="484"/>
      <c r="J5" s="483"/>
      <c r="K5" s="483"/>
      <c r="L5" s="483"/>
      <c r="M5" s="483"/>
      <c r="N5" s="483"/>
      <c r="O5" s="483"/>
      <c r="Q5" s="459"/>
      <c r="R5" s="459"/>
      <c r="S5" s="459"/>
    </row>
    <row r="6" spans="1:19" s="89" customFormat="1" ht="37.5" customHeight="1" x14ac:dyDescent="0.3">
      <c r="A6" s="95">
        <f>+'Cover Page'!C39</f>
        <v>2022</v>
      </c>
      <c r="B6" s="85" t="s">
        <v>432</v>
      </c>
      <c r="C6" s="85" t="s">
        <v>403</v>
      </c>
      <c r="D6" s="85" t="s">
        <v>404</v>
      </c>
      <c r="E6" s="85" t="s">
        <v>433</v>
      </c>
      <c r="F6" s="85" t="s">
        <v>406</v>
      </c>
      <c r="G6" s="85" t="s">
        <v>407</v>
      </c>
      <c r="H6" s="90"/>
      <c r="J6" s="92">
        <f>+A6</f>
        <v>2022</v>
      </c>
      <c r="K6" s="92" t="s">
        <v>408</v>
      </c>
      <c r="L6" s="97" t="s">
        <v>403</v>
      </c>
      <c r="M6" s="97" t="s">
        <v>409</v>
      </c>
      <c r="N6" s="97" t="s">
        <v>406</v>
      </c>
      <c r="O6" s="97" t="s">
        <v>410</v>
      </c>
      <c r="Q6" s="459"/>
      <c r="R6" s="459"/>
      <c r="S6" s="459"/>
    </row>
    <row r="7" spans="1:19" x14ac:dyDescent="0.25">
      <c r="A7" s="96" t="s">
        <v>411</v>
      </c>
      <c r="B7" s="177">
        <v>400</v>
      </c>
      <c r="C7" s="159">
        <f>L7</f>
        <v>158</v>
      </c>
      <c r="D7" s="159">
        <f>M7</f>
        <v>202</v>
      </c>
      <c r="E7" s="177">
        <v>200</v>
      </c>
      <c r="F7" s="94">
        <f>N7</f>
        <v>158</v>
      </c>
      <c r="G7" s="94">
        <f>O7</f>
        <v>176</v>
      </c>
      <c r="J7" s="482" t="s">
        <v>182</v>
      </c>
      <c r="K7" s="96" t="s">
        <v>411</v>
      </c>
      <c r="L7" s="159">
        <v>158</v>
      </c>
      <c r="M7" s="159">
        <v>202</v>
      </c>
      <c r="N7" s="159">
        <v>158</v>
      </c>
      <c r="O7" s="159">
        <v>176</v>
      </c>
      <c r="Q7" s="459"/>
      <c r="R7" s="459"/>
      <c r="S7" s="459"/>
    </row>
    <row r="8" spans="1:19" x14ac:dyDescent="0.25">
      <c r="A8" s="96" t="s">
        <v>412</v>
      </c>
      <c r="B8" s="177">
        <v>400</v>
      </c>
      <c r="C8" s="159">
        <f t="shared" ref="C8:C18" si="0">L8</f>
        <v>158</v>
      </c>
      <c r="D8" s="159">
        <f t="shared" ref="D8:D18" si="1">M8</f>
        <v>212</v>
      </c>
      <c r="E8" s="177">
        <v>200</v>
      </c>
      <c r="F8" s="94">
        <f t="shared" ref="F8:F18" si="2">N8</f>
        <v>158</v>
      </c>
      <c r="G8" s="94">
        <f t="shared" ref="G8:G18" si="3">O8</f>
        <v>193</v>
      </c>
      <c r="J8" s="482"/>
      <c r="K8" s="96" t="s">
        <v>412</v>
      </c>
      <c r="L8" s="159">
        <v>158</v>
      </c>
      <c r="M8" s="159">
        <v>212</v>
      </c>
      <c r="N8" s="159">
        <v>158</v>
      </c>
      <c r="O8" s="159">
        <v>193</v>
      </c>
      <c r="Q8" s="459"/>
      <c r="R8" s="459"/>
      <c r="S8" s="459"/>
    </row>
    <row r="9" spans="1:19" x14ac:dyDescent="0.25">
      <c r="A9" s="96" t="s">
        <v>413</v>
      </c>
      <c r="B9" s="177">
        <v>400</v>
      </c>
      <c r="C9" s="159">
        <f t="shared" si="0"/>
        <v>160</v>
      </c>
      <c r="D9" s="159">
        <f t="shared" si="1"/>
        <v>204</v>
      </c>
      <c r="E9" s="177">
        <v>200</v>
      </c>
      <c r="F9" s="94">
        <f t="shared" si="2"/>
        <v>160</v>
      </c>
      <c r="G9" s="94">
        <f t="shared" si="3"/>
        <v>172</v>
      </c>
      <c r="J9" s="482"/>
      <c r="K9" s="96" t="s">
        <v>413</v>
      </c>
      <c r="L9" s="159">
        <v>160</v>
      </c>
      <c r="M9" s="159">
        <v>204</v>
      </c>
      <c r="N9" s="159">
        <v>160</v>
      </c>
      <c r="O9" s="159">
        <v>172</v>
      </c>
      <c r="Q9" s="109" t="s">
        <v>414</v>
      </c>
    </row>
    <row r="10" spans="1:19" ht="14.25" customHeight="1" x14ac:dyDescent="0.25">
      <c r="A10" s="96" t="s">
        <v>415</v>
      </c>
      <c r="B10" s="177">
        <v>400</v>
      </c>
      <c r="C10" s="159">
        <f t="shared" si="0"/>
        <v>168</v>
      </c>
      <c r="D10" s="159">
        <f t="shared" si="1"/>
        <v>200</v>
      </c>
      <c r="E10" s="177">
        <v>200</v>
      </c>
      <c r="F10" s="94">
        <f t="shared" si="2"/>
        <v>168</v>
      </c>
      <c r="G10" s="94">
        <f t="shared" si="3"/>
        <v>180</v>
      </c>
      <c r="J10" s="482"/>
      <c r="K10" s="96" t="s">
        <v>415</v>
      </c>
      <c r="L10" s="159">
        <v>168</v>
      </c>
      <c r="M10" s="159">
        <v>200</v>
      </c>
      <c r="N10" s="159">
        <v>168</v>
      </c>
      <c r="O10" s="159">
        <v>180</v>
      </c>
      <c r="Q10" s="481" t="s">
        <v>416</v>
      </c>
      <c r="R10" s="481"/>
      <c r="S10" s="481"/>
    </row>
    <row r="11" spans="1:19" x14ac:dyDescent="0.25">
      <c r="A11" s="96" t="s">
        <v>417</v>
      </c>
      <c r="B11" s="177">
        <v>400</v>
      </c>
      <c r="C11" s="159">
        <f t="shared" si="0"/>
        <v>166</v>
      </c>
      <c r="D11" s="159">
        <f t="shared" si="1"/>
        <v>200</v>
      </c>
      <c r="E11" s="177">
        <v>200</v>
      </c>
      <c r="F11" s="94">
        <f t="shared" si="2"/>
        <v>166</v>
      </c>
      <c r="G11" s="94">
        <f t="shared" si="3"/>
        <v>176</v>
      </c>
      <c r="J11" s="482"/>
      <c r="K11" s="96" t="s">
        <v>417</v>
      </c>
      <c r="L11" s="159">
        <v>166</v>
      </c>
      <c r="M11" s="159">
        <v>200</v>
      </c>
      <c r="N11" s="159">
        <v>166</v>
      </c>
      <c r="O11" s="159">
        <v>176</v>
      </c>
      <c r="Q11" s="481"/>
      <c r="R11" s="481"/>
      <c r="S11" s="481"/>
    </row>
    <row r="12" spans="1:19" x14ac:dyDescent="0.25">
      <c r="A12" s="96" t="s">
        <v>418</v>
      </c>
      <c r="B12" s="177">
        <v>400</v>
      </c>
      <c r="C12" s="159">
        <f t="shared" si="0"/>
        <v>174.2</v>
      </c>
      <c r="D12" s="159">
        <f t="shared" si="1"/>
        <v>219.3</v>
      </c>
      <c r="E12" s="177">
        <v>200</v>
      </c>
      <c r="F12" s="94">
        <f t="shared" si="2"/>
        <v>174.2</v>
      </c>
      <c r="G12" s="94">
        <f t="shared" si="3"/>
        <v>183.3</v>
      </c>
      <c r="J12" s="482"/>
      <c r="K12" s="96" t="s">
        <v>418</v>
      </c>
      <c r="L12" s="159">
        <v>174.2</v>
      </c>
      <c r="M12" s="159">
        <v>219.3</v>
      </c>
      <c r="N12" s="159">
        <v>174.2</v>
      </c>
      <c r="O12" s="159">
        <v>183.3</v>
      </c>
      <c r="Q12" s="481"/>
      <c r="R12" s="481"/>
      <c r="S12" s="481"/>
    </row>
    <row r="13" spans="1:19" ht="14.25" customHeight="1" x14ac:dyDescent="0.25">
      <c r="A13" s="96" t="s">
        <v>419</v>
      </c>
      <c r="B13" s="177">
        <v>400</v>
      </c>
      <c r="C13" s="159">
        <f t="shared" si="0"/>
        <v>171.6</v>
      </c>
      <c r="D13" s="159">
        <f t="shared" si="1"/>
        <v>270.75</v>
      </c>
      <c r="E13" s="177">
        <v>200</v>
      </c>
      <c r="F13" s="94">
        <f t="shared" si="2"/>
        <v>171.6</v>
      </c>
      <c r="G13" s="94">
        <f t="shared" si="3"/>
        <v>193</v>
      </c>
      <c r="J13" s="482"/>
      <c r="K13" s="96" t="s">
        <v>419</v>
      </c>
      <c r="L13" s="159">
        <v>171.6</v>
      </c>
      <c r="M13" s="159">
        <v>270.75</v>
      </c>
      <c r="N13" s="159">
        <v>171.6</v>
      </c>
      <c r="O13" s="159">
        <v>193</v>
      </c>
      <c r="Q13" s="481" t="s">
        <v>420</v>
      </c>
      <c r="R13" s="481"/>
      <c r="S13" s="481"/>
    </row>
    <row r="14" spans="1:19" x14ac:dyDescent="0.25">
      <c r="A14" s="96" t="s">
        <v>421</v>
      </c>
      <c r="B14" s="177">
        <v>400</v>
      </c>
      <c r="C14" s="159">
        <f t="shared" si="0"/>
        <v>173.8</v>
      </c>
      <c r="D14" s="159">
        <f t="shared" si="1"/>
        <v>324.39999999999998</v>
      </c>
      <c r="E14" s="177">
        <v>200</v>
      </c>
      <c r="F14" s="94">
        <f t="shared" si="2"/>
        <v>173.8</v>
      </c>
      <c r="G14" s="94">
        <f t="shared" si="3"/>
        <v>190.3</v>
      </c>
      <c r="J14" s="482"/>
      <c r="K14" s="96" t="s">
        <v>421</v>
      </c>
      <c r="L14" s="159">
        <v>173.8</v>
      </c>
      <c r="M14" s="159">
        <v>324.39999999999998</v>
      </c>
      <c r="N14" s="159">
        <v>173.8</v>
      </c>
      <c r="O14" s="159">
        <v>190.3</v>
      </c>
      <c r="Q14" s="481"/>
      <c r="R14" s="481"/>
      <c r="S14" s="481"/>
    </row>
    <row r="15" spans="1:19" x14ac:dyDescent="0.25">
      <c r="A15" s="96" t="s">
        <v>422</v>
      </c>
      <c r="B15" s="177">
        <v>400</v>
      </c>
      <c r="C15" s="159">
        <f t="shared" si="0"/>
        <v>161.1</v>
      </c>
      <c r="D15" s="159">
        <f t="shared" si="1"/>
        <v>257.95</v>
      </c>
      <c r="E15" s="177">
        <v>200</v>
      </c>
      <c r="F15" s="94">
        <f t="shared" si="2"/>
        <v>161.1</v>
      </c>
      <c r="G15" s="94">
        <f t="shared" si="3"/>
        <v>170.6</v>
      </c>
      <c r="J15" s="482"/>
      <c r="K15" s="96" t="s">
        <v>422</v>
      </c>
      <c r="L15" s="125">
        <v>161.1</v>
      </c>
      <c r="M15" s="125">
        <v>257.95</v>
      </c>
      <c r="N15" s="159">
        <v>161.1</v>
      </c>
      <c r="O15" s="125">
        <v>170.6</v>
      </c>
      <c r="Q15" s="481"/>
      <c r="R15" s="481"/>
      <c r="S15" s="481"/>
    </row>
    <row r="16" spans="1:19" x14ac:dyDescent="0.25">
      <c r="A16" s="96" t="s">
        <v>423</v>
      </c>
      <c r="B16" s="177">
        <v>400</v>
      </c>
      <c r="C16" s="159" t="str">
        <f t="shared" si="0"/>
        <v>N/A</v>
      </c>
      <c r="D16" s="159" t="str">
        <f t="shared" si="1"/>
        <v>N/A</v>
      </c>
      <c r="E16" s="177">
        <v>200</v>
      </c>
      <c r="F16" s="94" t="str">
        <f t="shared" si="2"/>
        <v>N/A</v>
      </c>
      <c r="G16" s="94" t="str">
        <f t="shared" si="3"/>
        <v>N/A</v>
      </c>
      <c r="J16" s="482"/>
      <c r="K16" s="96" t="s">
        <v>423</v>
      </c>
      <c r="L16" s="160" t="s">
        <v>104</v>
      </c>
      <c r="M16" s="160" t="s">
        <v>104</v>
      </c>
      <c r="N16" s="160" t="s">
        <v>104</v>
      </c>
      <c r="O16" s="160" t="s">
        <v>104</v>
      </c>
      <c r="Q16" s="481"/>
      <c r="R16" s="481"/>
      <c r="S16" s="481"/>
    </row>
    <row r="17" spans="1:15" x14ac:dyDescent="0.25">
      <c r="A17" s="96" t="s">
        <v>424</v>
      </c>
      <c r="B17" s="177">
        <v>400</v>
      </c>
      <c r="C17" s="159" t="str">
        <f t="shared" si="0"/>
        <v>N/A</v>
      </c>
      <c r="D17" s="159" t="str">
        <f t="shared" si="1"/>
        <v>N/A</v>
      </c>
      <c r="E17" s="177">
        <v>200</v>
      </c>
      <c r="F17" s="94" t="str">
        <f t="shared" si="2"/>
        <v>N/A</v>
      </c>
      <c r="G17" s="94" t="str">
        <f t="shared" si="3"/>
        <v>N/A</v>
      </c>
      <c r="J17" s="482"/>
      <c r="K17" s="96" t="s">
        <v>424</v>
      </c>
      <c r="L17" s="160" t="s">
        <v>104</v>
      </c>
      <c r="M17" s="160" t="s">
        <v>104</v>
      </c>
      <c r="N17" s="160" t="s">
        <v>104</v>
      </c>
      <c r="O17" s="160" t="s">
        <v>104</v>
      </c>
    </row>
    <row r="18" spans="1:15" x14ac:dyDescent="0.25">
      <c r="A18" s="96" t="s">
        <v>425</v>
      </c>
      <c r="B18" s="177">
        <v>400</v>
      </c>
      <c r="C18" s="159">
        <f t="shared" si="0"/>
        <v>139</v>
      </c>
      <c r="D18" s="159">
        <f t="shared" si="1"/>
        <v>258</v>
      </c>
      <c r="E18" s="177">
        <v>200</v>
      </c>
      <c r="F18" s="94">
        <f t="shared" si="2"/>
        <v>139</v>
      </c>
      <c r="G18" s="94">
        <f t="shared" si="3"/>
        <v>166</v>
      </c>
      <c r="J18" s="482"/>
      <c r="K18" s="96" t="s">
        <v>425</v>
      </c>
      <c r="L18" s="159">
        <v>139</v>
      </c>
      <c r="M18" s="159">
        <v>258</v>
      </c>
      <c r="N18" s="159">
        <v>139</v>
      </c>
      <c r="O18" s="159">
        <v>166</v>
      </c>
    </row>
    <row r="19" spans="1:15" x14ac:dyDescent="0.25">
      <c r="J19" s="482"/>
      <c r="K19" s="93" t="s">
        <v>426</v>
      </c>
      <c r="L19" s="5">
        <f>AVERAGE(L7:L18)</f>
        <v>162.96999999999997</v>
      </c>
      <c r="M19" s="5">
        <f>MAX(M7:M18)</f>
        <v>324.39999999999998</v>
      </c>
      <c r="N19" s="5">
        <f>AVERAGE(N7:N18)</f>
        <v>162.96999999999997</v>
      </c>
      <c r="O19" s="5">
        <f>MAX(O7:O18)</f>
        <v>193</v>
      </c>
    </row>
    <row r="21" spans="1:15" ht="41.4" x14ac:dyDescent="0.25">
      <c r="J21" s="92">
        <f>+A6</f>
        <v>2022</v>
      </c>
      <c r="K21" s="92" t="s">
        <v>408</v>
      </c>
      <c r="L21" s="97" t="s">
        <v>403</v>
      </c>
      <c r="M21" s="97" t="s">
        <v>409</v>
      </c>
      <c r="N21" s="97" t="s">
        <v>406</v>
      </c>
      <c r="O21" s="97" t="s">
        <v>410</v>
      </c>
    </row>
    <row r="22" spans="1:15" x14ac:dyDescent="0.25">
      <c r="J22" s="482" t="s">
        <v>183</v>
      </c>
      <c r="K22" s="96" t="s">
        <v>411</v>
      </c>
      <c r="L22" s="94" t="s">
        <v>104</v>
      </c>
      <c r="M22" s="94" t="s">
        <v>104</v>
      </c>
      <c r="N22" s="94" t="s">
        <v>104</v>
      </c>
      <c r="O22" s="94" t="s">
        <v>104</v>
      </c>
    </row>
    <row r="23" spans="1:15" x14ac:dyDescent="0.25">
      <c r="J23" s="482"/>
      <c r="K23" s="96" t="s">
        <v>412</v>
      </c>
      <c r="L23" s="94" t="s">
        <v>104</v>
      </c>
      <c r="M23" s="94" t="s">
        <v>104</v>
      </c>
      <c r="N23" s="94" t="s">
        <v>104</v>
      </c>
      <c r="O23" s="94" t="s">
        <v>104</v>
      </c>
    </row>
    <row r="24" spans="1:15" x14ac:dyDescent="0.25">
      <c r="J24" s="482"/>
      <c r="K24" s="96" t="s">
        <v>413</v>
      </c>
      <c r="L24" s="94" t="s">
        <v>104</v>
      </c>
      <c r="M24" s="94" t="s">
        <v>104</v>
      </c>
      <c r="N24" s="94" t="s">
        <v>104</v>
      </c>
      <c r="O24" s="94" t="s">
        <v>104</v>
      </c>
    </row>
    <row r="25" spans="1:15" x14ac:dyDescent="0.25">
      <c r="J25" s="482"/>
      <c r="K25" s="96" t="s">
        <v>415</v>
      </c>
      <c r="L25" s="94" t="s">
        <v>104</v>
      </c>
      <c r="M25" s="94" t="s">
        <v>104</v>
      </c>
      <c r="N25" s="94" t="s">
        <v>104</v>
      </c>
      <c r="O25" s="94" t="s">
        <v>104</v>
      </c>
    </row>
    <row r="26" spans="1:15" x14ac:dyDescent="0.25">
      <c r="J26" s="482"/>
      <c r="K26" s="96" t="s">
        <v>417</v>
      </c>
      <c r="L26" s="94" t="s">
        <v>104</v>
      </c>
      <c r="M26" s="94" t="s">
        <v>104</v>
      </c>
      <c r="N26" s="94" t="s">
        <v>104</v>
      </c>
      <c r="O26" s="94" t="s">
        <v>104</v>
      </c>
    </row>
    <row r="27" spans="1:15" x14ac:dyDescent="0.25">
      <c r="J27" s="482"/>
      <c r="K27" s="96" t="s">
        <v>418</v>
      </c>
      <c r="L27" s="94" t="s">
        <v>104</v>
      </c>
      <c r="M27" s="94" t="s">
        <v>104</v>
      </c>
      <c r="N27" s="94" t="s">
        <v>104</v>
      </c>
      <c r="O27" s="94" t="s">
        <v>104</v>
      </c>
    </row>
    <row r="28" spans="1:15" x14ac:dyDescent="0.25">
      <c r="J28" s="482"/>
      <c r="K28" s="96" t="s">
        <v>419</v>
      </c>
      <c r="L28" s="94" t="s">
        <v>104</v>
      </c>
      <c r="M28" s="94" t="s">
        <v>104</v>
      </c>
      <c r="N28" s="94" t="s">
        <v>104</v>
      </c>
      <c r="O28" s="94" t="s">
        <v>104</v>
      </c>
    </row>
    <row r="29" spans="1:15" x14ac:dyDescent="0.25">
      <c r="B29" s="57" t="s">
        <v>53</v>
      </c>
      <c r="J29" s="482"/>
      <c r="K29" s="96" t="s">
        <v>421</v>
      </c>
      <c r="L29" s="94" t="s">
        <v>104</v>
      </c>
      <c r="M29" s="94" t="s">
        <v>104</v>
      </c>
      <c r="N29" s="94" t="s">
        <v>104</v>
      </c>
      <c r="O29" s="94" t="s">
        <v>104</v>
      </c>
    </row>
    <row r="30" spans="1:15" x14ac:dyDescent="0.25">
      <c r="J30" s="482"/>
      <c r="K30" s="96" t="s">
        <v>422</v>
      </c>
      <c r="L30" s="94" t="s">
        <v>104</v>
      </c>
      <c r="M30" s="94" t="s">
        <v>104</v>
      </c>
      <c r="N30" s="94" t="s">
        <v>104</v>
      </c>
      <c r="O30" s="94" t="s">
        <v>104</v>
      </c>
    </row>
    <row r="31" spans="1:15" x14ac:dyDescent="0.25">
      <c r="B31" s="57" t="s">
        <v>53</v>
      </c>
      <c r="J31" s="482"/>
      <c r="K31" s="96" t="s">
        <v>423</v>
      </c>
      <c r="L31" s="94" t="s">
        <v>104</v>
      </c>
      <c r="M31" s="94" t="s">
        <v>104</v>
      </c>
      <c r="N31" s="94" t="s">
        <v>104</v>
      </c>
      <c r="O31" s="94" t="s">
        <v>104</v>
      </c>
    </row>
    <row r="32" spans="1:15" x14ac:dyDescent="0.25">
      <c r="J32" s="482"/>
      <c r="K32" s="96" t="s">
        <v>424</v>
      </c>
      <c r="L32" s="94" t="s">
        <v>104</v>
      </c>
      <c r="M32" s="94" t="s">
        <v>104</v>
      </c>
      <c r="N32" s="94" t="s">
        <v>104</v>
      </c>
      <c r="O32" s="94" t="s">
        <v>104</v>
      </c>
    </row>
    <row r="33" spans="1:15" x14ac:dyDescent="0.25">
      <c r="J33" s="482"/>
      <c r="K33" s="96" t="s">
        <v>425</v>
      </c>
      <c r="L33" s="94" t="s">
        <v>104</v>
      </c>
      <c r="M33" s="94" t="s">
        <v>104</v>
      </c>
      <c r="N33" s="94" t="s">
        <v>104</v>
      </c>
      <c r="O33" s="94" t="s">
        <v>104</v>
      </c>
    </row>
    <row r="34" spans="1:15" x14ac:dyDescent="0.25">
      <c r="J34" s="482"/>
      <c r="K34" s="93" t="s">
        <v>426</v>
      </c>
      <c r="L34" s="93" t="e">
        <f>AVERAGE(L22:L33)</f>
        <v>#DIV/0!</v>
      </c>
      <c r="M34" s="93">
        <f>MAX(M22:M33)</f>
        <v>0</v>
      </c>
      <c r="N34" s="93" t="e">
        <f>AVERAGE(N22:N33)</f>
        <v>#DIV/0!</v>
      </c>
      <c r="O34" s="93">
        <f>MAX(O22:O33)</f>
        <v>0</v>
      </c>
    </row>
    <row r="36" spans="1:15" ht="41.4" x14ac:dyDescent="0.25">
      <c r="J36" s="92">
        <f>+A6</f>
        <v>2022</v>
      </c>
      <c r="K36" s="92" t="s">
        <v>408</v>
      </c>
      <c r="L36" s="97" t="s">
        <v>403</v>
      </c>
      <c r="M36" s="97" t="s">
        <v>409</v>
      </c>
      <c r="N36" s="97" t="s">
        <v>406</v>
      </c>
      <c r="O36" s="97" t="s">
        <v>410</v>
      </c>
    </row>
    <row r="37" spans="1:15" x14ac:dyDescent="0.25">
      <c r="J37" s="482" t="s">
        <v>184</v>
      </c>
      <c r="K37" s="96" t="s">
        <v>411</v>
      </c>
      <c r="L37" s="94" t="s">
        <v>104</v>
      </c>
      <c r="M37" s="94" t="s">
        <v>104</v>
      </c>
      <c r="N37" s="94" t="s">
        <v>104</v>
      </c>
      <c r="O37" s="94" t="s">
        <v>104</v>
      </c>
    </row>
    <row r="38" spans="1:15" x14ac:dyDescent="0.25">
      <c r="J38" s="482"/>
      <c r="K38" s="96" t="s">
        <v>412</v>
      </c>
      <c r="L38" s="94" t="s">
        <v>104</v>
      </c>
      <c r="M38" s="94" t="s">
        <v>104</v>
      </c>
      <c r="N38" s="94" t="s">
        <v>104</v>
      </c>
      <c r="O38" s="94" t="s">
        <v>104</v>
      </c>
    </row>
    <row r="39" spans="1:15" x14ac:dyDescent="0.25">
      <c r="C39" s="57">
        <v>2021</v>
      </c>
      <c r="J39" s="482"/>
      <c r="K39" s="96" t="s">
        <v>413</v>
      </c>
      <c r="L39" s="94" t="s">
        <v>104</v>
      </c>
      <c r="M39" s="94" t="s">
        <v>104</v>
      </c>
      <c r="N39" s="94" t="s">
        <v>104</v>
      </c>
      <c r="O39" s="94" t="s">
        <v>104</v>
      </c>
    </row>
    <row r="40" spans="1:15" x14ac:dyDescent="0.25">
      <c r="J40" s="482"/>
      <c r="K40" s="96" t="s">
        <v>415</v>
      </c>
      <c r="L40" s="94" t="s">
        <v>104</v>
      </c>
      <c r="M40" s="94" t="s">
        <v>104</v>
      </c>
      <c r="N40" s="94" t="s">
        <v>104</v>
      </c>
      <c r="O40" s="94" t="s">
        <v>104</v>
      </c>
    </row>
    <row r="41" spans="1:15" x14ac:dyDescent="0.25">
      <c r="J41" s="482"/>
      <c r="K41" s="96" t="s">
        <v>417</v>
      </c>
      <c r="L41" s="94" t="s">
        <v>104</v>
      </c>
      <c r="M41" s="94" t="s">
        <v>104</v>
      </c>
      <c r="N41" s="94" t="s">
        <v>104</v>
      </c>
      <c r="O41" s="94" t="s">
        <v>104</v>
      </c>
    </row>
    <row r="42" spans="1:15" x14ac:dyDescent="0.25">
      <c r="J42" s="482"/>
      <c r="K42" s="96" t="s">
        <v>418</v>
      </c>
      <c r="L42" s="94" t="s">
        <v>104</v>
      </c>
      <c r="M42" s="94" t="s">
        <v>104</v>
      </c>
      <c r="N42" s="94" t="s">
        <v>104</v>
      </c>
      <c r="O42" s="94" t="s">
        <v>104</v>
      </c>
    </row>
    <row r="43" spans="1:15" x14ac:dyDescent="0.25">
      <c r="J43" s="482"/>
      <c r="K43" s="96" t="s">
        <v>419</v>
      </c>
      <c r="L43" s="94" t="s">
        <v>104</v>
      </c>
      <c r="M43" s="94" t="s">
        <v>104</v>
      </c>
      <c r="N43" s="94" t="s">
        <v>104</v>
      </c>
      <c r="O43" s="94" t="s">
        <v>104</v>
      </c>
    </row>
    <row r="44" spans="1:15" x14ac:dyDescent="0.25">
      <c r="J44" s="482"/>
      <c r="K44" s="96" t="s">
        <v>421</v>
      </c>
      <c r="L44" s="94" t="s">
        <v>104</v>
      </c>
      <c r="M44" s="94" t="s">
        <v>104</v>
      </c>
      <c r="N44" s="94" t="s">
        <v>104</v>
      </c>
      <c r="O44" s="94" t="s">
        <v>104</v>
      </c>
    </row>
    <row r="45" spans="1:15" x14ac:dyDescent="0.25">
      <c r="J45" s="482"/>
      <c r="K45" s="96" t="s">
        <v>422</v>
      </c>
      <c r="L45" s="94" t="s">
        <v>104</v>
      </c>
      <c r="M45" s="94" t="s">
        <v>104</v>
      </c>
      <c r="N45" s="94" t="s">
        <v>104</v>
      </c>
      <c r="O45" s="94" t="s">
        <v>104</v>
      </c>
    </row>
    <row r="46" spans="1:15" x14ac:dyDescent="0.25">
      <c r="J46" s="482"/>
      <c r="K46" s="96" t="s">
        <v>423</v>
      </c>
      <c r="L46" s="94" t="s">
        <v>104</v>
      </c>
      <c r="M46" s="94" t="s">
        <v>104</v>
      </c>
      <c r="N46" s="94" t="s">
        <v>104</v>
      </c>
      <c r="O46" s="94" t="s">
        <v>104</v>
      </c>
    </row>
    <row r="47" spans="1:15" x14ac:dyDescent="0.25">
      <c r="J47" s="482"/>
      <c r="K47" s="96" t="s">
        <v>424</v>
      </c>
      <c r="L47" s="94" t="s">
        <v>104</v>
      </c>
      <c r="M47" s="94" t="s">
        <v>104</v>
      </c>
      <c r="N47" s="94" t="s">
        <v>104</v>
      </c>
      <c r="O47" s="94" t="s">
        <v>104</v>
      </c>
    </row>
    <row r="48" spans="1:15" x14ac:dyDescent="0.25">
      <c r="A48" s="494" t="s">
        <v>306</v>
      </c>
      <c r="B48" s="495"/>
      <c r="C48" s="495"/>
      <c r="D48" s="495"/>
      <c r="E48" s="495"/>
      <c r="F48" s="495"/>
      <c r="G48" s="496"/>
      <c r="J48" s="482"/>
      <c r="K48" s="96" t="s">
        <v>425</v>
      </c>
      <c r="L48" s="94" t="s">
        <v>104</v>
      </c>
      <c r="M48" s="94" t="s">
        <v>104</v>
      </c>
      <c r="N48" s="94" t="s">
        <v>104</v>
      </c>
      <c r="O48" s="94" t="s">
        <v>104</v>
      </c>
    </row>
    <row r="49" spans="1:15" x14ac:dyDescent="0.25">
      <c r="A49" s="485" t="s">
        <v>430</v>
      </c>
      <c r="B49" s="486"/>
      <c r="C49" s="486"/>
      <c r="D49" s="486"/>
      <c r="E49" s="486"/>
      <c r="F49" s="486"/>
      <c r="G49" s="487"/>
      <c r="J49" s="482"/>
      <c r="K49" s="93" t="s">
        <v>426</v>
      </c>
      <c r="L49" s="93" t="e">
        <f>AVERAGE(L37:L48)</f>
        <v>#DIV/0!</v>
      </c>
      <c r="M49" s="93">
        <f>MAX(M37:M48)</f>
        <v>0</v>
      </c>
      <c r="N49" s="93" t="e">
        <f>AVERAGE(N37:N48)</f>
        <v>#DIV/0!</v>
      </c>
      <c r="O49" s="93">
        <f>MAX(O37:O48)</f>
        <v>0</v>
      </c>
    </row>
    <row r="50" spans="1:15" x14ac:dyDescent="0.25">
      <c r="A50" s="488"/>
      <c r="B50" s="489"/>
      <c r="C50" s="489"/>
      <c r="D50" s="489"/>
      <c r="E50" s="489"/>
      <c r="F50" s="489"/>
      <c r="G50" s="490"/>
    </row>
    <row r="51" spans="1:15" ht="41.4" x14ac:dyDescent="0.25">
      <c r="A51" s="488"/>
      <c r="B51" s="489"/>
      <c r="C51" s="489"/>
      <c r="D51" s="489"/>
      <c r="E51" s="489"/>
      <c r="F51" s="489"/>
      <c r="G51" s="490"/>
      <c r="J51" s="92">
        <f>+A6</f>
        <v>2022</v>
      </c>
      <c r="K51" s="92" t="s">
        <v>408</v>
      </c>
      <c r="L51" s="97" t="s">
        <v>403</v>
      </c>
      <c r="M51" s="97" t="s">
        <v>409</v>
      </c>
      <c r="N51" s="97" t="s">
        <v>406</v>
      </c>
      <c r="O51" s="97" t="s">
        <v>410</v>
      </c>
    </row>
    <row r="52" spans="1:15" x14ac:dyDescent="0.25">
      <c r="A52" s="491"/>
      <c r="B52" s="492"/>
      <c r="C52" s="492"/>
      <c r="D52" s="492"/>
      <c r="E52" s="492"/>
      <c r="F52" s="492"/>
      <c r="G52" s="493"/>
      <c r="J52" s="482" t="s">
        <v>185</v>
      </c>
      <c r="K52" s="96" t="s">
        <v>411</v>
      </c>
      <c r="L52" s="94" t="s">
        <v>104</v>
      </c>
      <c r="M52" s="94" t="s">
        <v>104</v>
      </c>
      <c r="N52" s="94" t="s">
        <v>104</v>
      </c>
      <c r="O52" s="94" t="s">
        <v>104</v>
      </c>
    </row>
    <row r="53" spans="1:15" x14ac:dyDescent="0.25">
      <c r="J53" s="482"/>
      <c r="K53" s="96" t="s">
        <v>412</v>
      </c>
      <c r="L53" s="94" t="s">
        <v>104</v>
      </c>
      <c r="M53" s="94" t="s">
        <v>104</v>
      </c>
      <c r="N53" s="94" t="s">
        <v>104</v>
      </c>
      <c r="O53" s="94" t="s">
        <v>104</v>
      </c>
    </row>
    <row r="54" spans="1:15" x14ac:dyDescent="0.25">
      <c r="J54" s="482"/>
      <c r="K54" s="96" t="s">
        <v>413</v>
      </c>
      <c r="L54" s="94" t="s">
        <v>104</v>
      </c>
      <c r="M54" s="94" t="s">
        <v>104</v>
      </c>
      <c r="N54" s="94" t="s">
        <v>104</v>
      </c>
      <c r="O54" s="94" t="s">
        <v>104</v>
      </c>
    </row>
    <row r="55" spans="1:15" x14ac:dyDescent="0.25">
      <c r="J55" s="482"/>
      <c r="K55" s="96" t="s">
        <v>415</v>
      </c>
      <c r="L55" s="94" t="s">
        <v>104</v>
      </c>
      <c r="M55" s="94" t="s">
        <v>104</v>
      </c>
      <c r="N55" s="94" t="s">
        <v>104</v>
      </c>
      <c r="O55" s="94" t="s">
        <v>104</v>
      </c>
    </row>
    <row r="56" spans="1:15" x14ac:dyDescent="0.25">
      <c r="J56" s="482"/>
      <c r="K56" s="96" t="s">
        <v>417</v>
      </c>
      <c r="L56" s="94" t="s">
        <v>104</v>
      </c>
      <c r="M56" s="94" t="s">
        <v>104</v>
      </c>
      <c r="N56" s="94" t="s">
        <v>104</v>
      </c>
      <c r="O56" s="94" t="s">
        <v>104</v>
      </c>
    </row>
    <row r="57" spans="1:15" x14ac:dyDescent="0.25">
      <c r="J57" s="482"/>
      <c r="K57" s="96" t="s">
        <v>418</v>
      </c>
      <c r="L57" s="94" t="s">
        <v>104</v>
      </c>
      <c r="M57" s="94" t="s">
        <v>104</v>
      </c>
      <c r="N57" s="94" t="s">
        <v>104</v>
      </c>
      <c r="O57" s="94" t="s">
        <v>104</v>
      </c>
    </row>
    <row r="58" spans="1:15" x14ac:dyDescent="0.25">
      <c r="J58" s="482"/>
      <c r="K58" s="96" t="s">
        <v>419</v>
      </c>
      <c r="L58" s="94" t="s">
        <v>104</v>
      </c>
      <c r="M58" s="94" t="s">
        <v>104</v>
      </c>
      <c r="N58" s="94" t="s">
        <v>104</v>
      </c>
      <c r="O58" s="94" t="s">
        <v>104</v>
      </c>
    </row>
    <row r="59" spans="1:15" x14ac:dyDescent="0.25">
      <c r="J59" s="482"/>
      <c r="K59" s="96" t="s">
        <v>421</v>
      </c>
      <c r="L59" s="94" t="s">
        <v>104</v>
      </c>
      <c r="M59" s="94" t="s">
        <v>104</v>
      </c>
      <c r="N59" s="94" t="s">
        <v>104</v>
      </c>
      <c r="O59" s="94" t="s">
        <v>104</v>
      </c>
    </row>
    <row r="60" spans="1:15" x14ac:dyDescent="0.25">
      <c r="J60" s="482"/>
      <c r="K60" s="96" t="s">
        <v>422</v>
      </c>
      <c r="L60" s="94" t="s">
        <v>104</v>
      </c>
      <c r="M60" s="94" t="s">
        <v>104</v>
      </c>
      <c r="N60" s="94" t="s">
        <v>104</v>
      </c>
      <c r="O60" s="94" t="s">
        <v>104</v>
      </c>
    </row>
    <row r="61" spans="1:15" x14ac:dyDescent="0.25">
      <c r="J61" s="482"/>
      <c r="K61" s="96" t="s">
        <v>423</v>
      </c>
      <c r="L61" s="94" t="s">
        <v>104</v>
      </c>
      <c r="M61" s="94" t="s">
        <v>104</v>
      </c>
      <c r="N61" s="94" t="s">
        <v>104</v>
      </c>
      <c r="O61" s="94" t="s">
        <v>104</v>
      </c>
    </row>
    <row r="62" spans="1:15" x14ac:dyDescent="0.25">
      <c r="J62" s="482"/>
      <c r="K62" s="96" t="s">
        <v>424</v>
      </c>
      <c r="L62" s="94" t="s">
        <v>104</v>
      </c>
      <c r="M62" s="94" t="s">
        <v>104</v>
      </c>
      <c r="N62" s="94" t="s">
        <v>104</v>
      </c>
      <c r="O62" s="94" t="s">
        <v>104</v>
      </c>
    </row>
    <row r="63" spans="1:15" x14ac:dyDescent="0.25">
      <c r="J63" s="482"/>
      <c r="K63" s="96" t="s">
        <v>425</v>
      </c>
      <c r="L63" s="94" t="s">
        <v>104</v>
      </c>
      <c r="M63" s="94" t="s">
        <v>104</v>
      </c>
      <c r="N63" s="94" t="s">
        <v>104</v>
      </c>
      <c r="O63" s="94" t="s">
        <v>104</v>
      </c>
    </row>
    <row r="64" spans="1:15" x14ac:dyDescent="0.25">
      <c r="J64" s="482"/>
      <c r="K64" s="93" t="s">
        <v>426</v>
      </c>
      <c r="L64" s="93" t="e">
        <f>AVERAGE(L52:L63)</f>
        <v>#DIV/0!</v>
      </c>
      <c r="M64" s="93">
        <f>MAX(M52:M63)</f>
        <v>0</v>
      </c>
      <c r="N64" s="93" t="e">
        <f>AVERAGE(N52:N63)</f>
        <v>#DIV/0!</v>
      </c>
      <c r="O64" s="93">
        <f>MAX(O52:O63)</f>
        <v>0</v>
      </c>
    </row>
    <row r="66" spans="10:15" ht="41.4" x14ac:dyDescent="0.25">
      <c r="J66" s="92">
        <f>+A6</f>
        <v>2022</v>
      </c>
      <c r="K66" s="92" t="s">
        <v>408</v>
      </c>
      <c r="L66" s="97" t="s">
        <v>403</v>
      </c>
      <c r="M66" s="97" t="s">
        <v>409</v>
      </c>
      <c r="N66" s="97" t="s">
        <v>406</v>
      </c>
      <c r="O66" s="97" t="s">
        <v>410</v>
      </c>
    </row>
    <row r="67" spans="10:15" x14ac:dyDescent="0.25">
      <c r="J67" s="482" t="s">
        <v>186</v>
      </c>
      <c r="K67" s="96" t="s">
        <v>411</v>
      </c>
      <c r="L67" s="94" t="s">
        <v>104</v>
      </c>
      <c r="M67" s="94" t="s">
        <v>104</v>
      </c>
      <c r="N67" s="94" t="s">
        <v>104</v>
      </c>
      <c r="O67" s="94" t="s">
        <v>104</v>
      </c>
    </row>
    <row r="68" spans="10:15" x14ac:dyDescent="0.25">
      <c r="J68" s="482"/>
      <c r="K68" s="96" t="s">
        <v>412</v>
      </c>
      <c r="L68" s="94" t="s">
        <v>104</v>
      </c>
      <c r="M68" s="94" t="s">
        <v>104</v>
      </c>
      <c r="N68" s="94" t="s">
        <v>104</v>
      </c>
      <c r="O68" s="94" t="s">
        <v>104</v>
      </c>
    </row>
    <row r="69" spans="10:15" x14ac:dyDescent="0.25">
      <c r="J69" s="482"/>
      <c r="K69" s="96" t="s">
        <v>413</v>
      </c>
      <c r="L69" s="94" t="s">
        <v>104</v>
      </c>
      <c r="M69" s="94" t="s">
        <v>104</v>
      </c>
      <c r="N69" s="94" t="s">
        <v>104</v>
      </c>
      <c r="O69" s="94" t="s">
        <v>104</v>
      </c>
    </row>
    <row r="70" spans="10:15" x14ac:dyDescent="0.25">
      <c r="J70" s="482"/>
      <c r="K70" s="96" t="s">
        <v>415</v>
      </c>
      <c r="L70" s="94" t="s">
        <v>104</v>
      </c>
      <c r="M70" s="94" t="s">
        <v>104</v>
      </c>
      <c r="N70" s="94" t="s">
        <v>104</v>
      </c>
      <c r="O70" s="94" t="s">
        <v>104</v>
      </c>
    </row>
    <row r="71" spans="10:15" x14ac:dyDescent="0.25">
      <c r="J71" s="482"/>
      <c r="K71" s="96" t="s">
        <v>417</v>
      </c>
      <c r="L71" s="94" t="s">
        <v>104</v>
      </c>
      <c r="M71" s="94" t="s">
        <v>104</v>
      </c>
      <c r="N71" s="94" t="s">
        <v>104</v>
      </c>
      <c r="O71" s="94" t="s">
        <v>104</v>
      </c>
    </row>
    <row r="72" spans="10:15" x14ac:dyDescent="0.25">
      <c r="J72" s="482"/>
      <c r="K72" s="96" t="s">
        <v>418</v>
      </c>
      <c r="L72" s="94" t="s">
        <v>104</v>
      </c>
      <c r="M72" s="94" t="s">
        <v>104</v>
      </c>
      <c r="N72" s="94" t="s">
        <v>104</v>
      </c>
      <c r="O72" s="94" t="s">
        <v>104</v>
      </c>
    </row>
    <row r="73" spans="10:15" x14ac:dyDescent="0.25">
      <c r="J73" s="482"/>
      <c r="K73" s="96" t="s">
        <v>419</v>
      </c>
      <c r="L73" s="94" t="s">
        <v>104</v>
      </c>
      <c r="M73" s="94" t="s">
        <v>104</v>
      </c>
      <c r="N73" s="94" t="s">
        <v>104</v>
      </c>
      <c r="O73" s="94" t="s">
        <v>104</v>
      </c>
    </row>
    <row r="74" spans="10:15" x14ac:dyDescent="0.25">
      <c r="J74" s="482"/>
      <c r="K74" s="96" t="s">
        <v>421</v>
      </c>
      <c r="L74" s="94" t="s">
        <v>104</v>
      </c>
      <c r="M74" s="94" t="s">
        <v>104</v>
      </c>
      <c r="N74" s="94" t="s">
        <v>104</v>
      </c>
      <c r="O74" s="94" t="s">
        <v>104</v>
      </c>
    </row>
    <row r="75" spans="10:15" x14ac:dyDescent="0.25">
      <c r="J75" s="482"/>
      <c r="K75" s="96" t="s">
        <v>422</v>
      </c>
      <c r="L75" s="94" t="s">
        <v>104</v>
      </c>
      <c r="M75" s="94" t="s">
        <v>104</v>
      </c>
      <c r="N75" s="94" t="s">
        <v>104</v>
      </c>
      <c r="O75" s="94" t="s">
        <v>104</v>
      </c>
    </row>
    <row r="76" spans="10:15" x14ac:dyDescent="0.25">
      <c r="J76" s="482"/>
      <c r="K76" s="96" t="s">
        <v>423</v>
      </c>
      <c r="L76" s="94" t="s">
        <v>104</v>
      </c>
      <c r="M76" s="94" t="s">
        <v>104</v>
      </c>
      <c r="N76" s="94" t="s">
        <v>104</v>
      </c>
      <c r="O76" s="94" t="s">
        <v>104</v>
      </c>
    </row>
    <row r="77" spans="10:15" x14ac:dyDescent="0.25">
      <c r="J77" s="482"/>
      <c r="K77" s="96" t="s">
        <v>424</v>
      </c>
      <c r="L77" s="94" t="s">
        <v>104</v>
      </c>
      <c r="M77" s="94" t="s">
        <v>104</v>
      </c>
      <c r="N77" s="94" t="s">
        <v>104</v>
      </c>
      <c r="O77" s="94" t="s">
        <v>104</v>
      </c>
    </row>
    <row r="78" spans="10:15" x14ac:dyDescent="0.25">
      <c r="J78" s="482"/>
      <c r="K78" s="96" t="s">
        <v>425</v>
      </c>
      <c r="L78" s="94" t="s">
        <v>104</v>
      </c>
      <c r="M78" s="94" t="s">
        <v>104</v>
      </c>
      <c r="N78" s="94" t="s">
        <v>104</v>
      </c>
      <c r="O78" s="94" t="s">
        <v>104</v>
      </c>
    </row>
    <row r="79" spans="10:15" x14ac:dyDescent="0.25">
      <c r="J79" s="482"/>
      <c r="K79" s="93" t="s">
        <v>426</v>
      </c>
      <c r="L79" s="93" t="e">
        <f>AVERAGE(L67:L78)</f>
        <v>#DIV/0!</v>
      </c>
      <c r="M79" s="93">
        <f>MAX(M67:M78)</f>
        <v>0</v>
      </c>
      <c r="N79" s="93" t="e">
        <f>AVERAGE(N67:N78)</f>
        <v>#DIV/0!</v>
      </c>
      <c r="O79" s="9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opLeftCell="D1" zoomScaleNormal="100" workbookViewId="0">
      <selection activeCell="L19" sqref="L19:O19"/>
    </sheetView>
  </sheetViews>
  <sheetFormatPr defaultRowHeight="13.8" x14ac:dyDescent="0.25"/>
  <cols>
    <col min="1" max="1" width="14" style="3" customWidth="1"/>
    <col min="2" max="4" width="17" style="57" customWidth="1"/>
    <col min="5" max="5" width="14.6640625" style="57" customWidth="1"/>
    <col min="6" max="7" width="17" style="57"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19" t="str">
        <f>+'Cover Page'!$B$29</f>
        <v>Annual Performance Report 2022</v>
      </c>
      <c r="B1" s="119"/>
      <c r="C1" s="119"/>
      <c r="D1" s="119"/>
      <c r="E1" s="119" t="str">
        <f>+'Cover Page'!$B$33</f>
        <v>Permit EPR/RP3036QU</v>
      </c>
    </row>
    <row r="3" spans="1:19" ht="14.4" x14ac:dyDescent="0.3">
      <c r="A3" s="91" t="s">
        <v>434</v>
      </c>
      <c r="D3" s="107" t="s">
        <v>395</v>
      </c>
      <c r="G3" s="111" t="s">
        <v>396</v>
      </c>
      <c r="J3" s="9" t="str">
        <f>+A3</f>
        <v>Monitoring of Total organic carbon emissions</v>
      </c>
      <c r="L3" s="9"/>
      <c r="N3" s="9" t="s">
        <v>397</v>
      </c>
      <c r="Q3" s="110" t="s">
        <v>1</v>
      </c>
      <c r="R3" s="104"/>
      <c r="S3" s="104"/>
    </row>
    <row r="4" spans="1:19" ht="13.95" customHeight="1" x14ac:dyDescent="0.25">
      <c r="Q4" s="459" t="s">
        <v>398</v>
      </c>
      <c r="R4" s="459"/>
      <c r="S4" s="459"/>
    </row>
    <row r="5" spans="1:19" ht="16.2" x14ac:dyDescent="0.25">
      <c r="A5" s="98" t="s">
        <v>399</v>
      </c>
      <c r="B5" s="484" t="s">
        <v>400</v>
      </c>
      <c r="C5" s="484"/>
      <c r="D5" s="484"/>
      <c r="E5" s="484" t="s">
        <v>401</v>
      </c>
      <c r="F5" s="484"/>
      <c r="G5" s="484"/>
      <c r="J5" s="483"/>
      <c r="K5" s="483"/>
      <c r="L5" s="483"/>
      <c r="M5" s="483"/>
      <c r="N5" s="483"/>
      <c r="O5" s="483"/>
      <c r="Q5" s="459"/>
      <c r="R5" s="459"/>
      <c r="S5" s="459"/>
    </row>
    <row r="6" spans="1:19" s="89" customFormat="1" ht="37.5" customHeight="1" x14ac:dyDescent="0.3">
      <c r="A6" s="95">
        <f>+'Cover Page'!C39</f>
        <v>2022</v>
      </c>
      <c r="B6" s="85" t="s">
        <v>435</v>
      </c>
      <c r="C6" s="85" t="s">
        <v>403</v>
      </c>
      <c r="D6" s="85" t="s">
        <v>404</v>
      </c>
      <c r="E6" s="85" t="s">
        <v>436</v>
      </c>
      <c r="F6" s="85" t="s">
        <v>406</v>
      </c>
      <c r="G6" s="85" t="s">
        <v>407</v>
      </c>
      <c r="H6" s="90"/>
      <c r="J6" s="92">
        <f>+A6</f>
        <v>2022</v>
      </c>
      <c r="K6" s="92" t="s">
        <v>408</v>
      </c>
      <c r="L6" s="97" t="s">
        <v>403</v>
      </c>
      <c r="M6" s="97" t="s">
        <v>409</v>
      </c>
      <c r="N6" s="97" t="s">
        <v>406</v>
      </c>
      <c r="O6" s="97" t="s">
        <v>410</v>
      </c>
      <c r="Q6" s="459"/>
      <c r="R6" s="459"/>
      <c r="S6" s="459"/>
    </row>
    <row r="7" spans="1:19" x14ac:dyDescent="0.25">
      <c r="A7" s="96" t="s">
        <v>411</v>
      </c>
      <c r="B7" s="177">
        <v>20</v>
      </c>
      <c r="C7" s="94">
        <f>L7</f>
        <v>2.2999999999999998</v>
      </c>
      <c r="D7" s="94">
        <f>M7</f>
        <v>3.85</v>
      </c>
      <c r="E7" s="177">
        <v>10</v>
      </c>
      <c r="F7" s="94">
        <f>N7</f>
        <v>2.2999999999999998</v>
      </c>
      <c r="G7" s="94">
        <f>O7</f>
        <v>3</v>
      </c>
      <c r="J7" s="482" t="s">
        <v>182</v>
      </c>
      <c r="K7" s="96" t="s">
        <v>411</v>
      </c>
      <c r="L7" s="159">
        <v>2.2999999999999998</v>
      </c>
      <c r="M7" s="159">
        <v>3.85</v>
      </c>
      <c r="N7" s="159">
        <v>2.2999999999999998</v>
      </c>
      <c r="O7" s="159">
        <v>3</v>
      </c>
      <c r="Q7" s="459"/>
      <c r="R7" s="459"/>
      <c r="S7" s="459"/>
    </row>
    <row r="8" spans="1:19" x14ac:dyDescent="0.25">
      <c r="A8" s="96" t="s">
        <v>412</v>
      </c>
      <c r="B8" s="177">
        <v>20</v>
      </c>
      <c r="C8" s="94">
        <f t="shared" ref="C8:C18" si="0">L8</f>
        <v>2</v>
      </c>
      <c r="D8" s="94">
        <f t="shared" ref="D8:D18" si="1">M8</f>
        <v>3.15</v>
      </c>
      <c r="E8" s="177">
        <v>10</v>
      </c>
      <c r="F8" s="94">
        <f t="shared" ref="F8:F18" si="2">N8</f>
        <v>2</v>
      </c>
      <c r="G8" s="94">
        <f t="shared" ref="G8:G18" si="3">O8</f>
        <v>2.4</v>
      </c>
      <c r="J8" s="482"/>
      <c r="K8" s="96" t="s">
        <v>412</v>
      </c>
      <c r="L8" s="159">
        <v>2</v>
      </c>
      <c r="M8" s="159">
        <v>3.15</v>
      </c>
      <c r="N8" s="159">
        <v>2</v>
      </c>
      <c r="O8" s="159">
        <v>2.4</v>
      </c>
      <c r="Q8" s="459"/>
      <c r="R8" s="459"/>
      <c r="S8" s="459"/>
    </row>
    <row r="9" spans="1:19" x14ac:dyDescent="0.25">
      <c r="A9" s="96" t="s">
        <v>413</v>
      </c>
      <c r="B9" s="177">
        <v>20</v>
      </c>
      <c r="C9" s="94">
        <f t="shared" si="0"/>
        <v>2.25</v>
      </c>
      <c r="D9" s="94">
        <f t="shared" si="1"/>
        <v>3.3</v>
      </c>
      <c r="E9" s="177">
        <v>10</v>
      </c>
      <c r="F9" s="94">
        <f t="shared" si="2"/>
        <v>2.25</v>
      </c>
      <c r="G9" s="94">
        <f t="shared" si="3"/>
        <v>2.48</v>
      </c>
      <c r="J9" s="482"/>
      <c r="K9" s="96" t="s">
        <v>413</v>
      </c>
      <c r="L9" s="159">
        <v>2.25</v>
      </c>
      <c r="M9" s="159">
        <v>3.3</v>
      </c>
      <c r="N9" s="159">
        <v>2.25</v>
      </c>
      <c r="O9" s="159">
        <v>2.48</v>
      </c>
      <c r="Q9" s="109" t="s">
        <v>414</v>
      </c>
    </row>
    <row r="10" spans="1:19" ht="14.25" customHeight="1" x14ac:dyDescent="0.25">
      <c r="A10" s="96" t="s">
        <v>415</v>
      </c>
      <c r="B10" s="177">
        <v>20</v>
      </c>
      <c r="C10" s="94">
        <f t="shared" si="0"/>
        <v>2.2999999999999998</v>
      </c>
      <c r="D10" s="94">
        <f t="shared" si="1"/>
        <v>2.92</v>
      </c>
      <c r="E10" s="177">
        <v>10</v>
      </c>
      <c r="F10" s="94">
        <f t="shared" si="2"/>
        <v>2.2999999999999998</v>
      </c>
      <c r="G10" s="94">
        <f t="shared" si="3"/>
        <v>2.48</v>
      </c>
      <c r="J10" s="482"/>
      <c r="K10" s="96" t="s">
        <v>415</v>
      </c>
      <c r="L10" s="159">
        <v>2.2999999999999998</v>
      </c>
      <c r="M10" s="159">
        <v>2.92</v>
      </c>
      <c r="N10" s="159">
        <v>2.2999999999999998</v>
      </c>
      <c r="O10" s="159">
        <v>2.48</v>
      </c>
      <c r="Q10" s="481" t="s">
        <v>416</v>
      </c>
      <c r="R10" s="481"/>
      <c r="S10" s="481"/>
    </row>
    <row r="11" spans="1:19" x14ac:dyDescent="0.25">
      <c r="A11" s="96" t="s">
        <v>417</v>
      </c>
      <c r="B11" s="177">
        <v>20</v>
      </c>
      <c r="C11" s="94">
        <f t="shared" si="0"/>
        <v>2.4</v>
      </c>
      <c r="D11" s="94">
        <f t="shared" si="1"/>
        <v>2.95</v>
      </c>
      <c r="E11" s="177">
        <v>10</v>
      </c>
      <c r="F11" s="94">
        <f t="shared" si="2"/>
        <v>2.4</v>
      </c>
      <c r="G11" s="94">
        <f t="shared" si="3"/>
        <v>2.5</v>
      </c>
      <c r="J11" s="482"/>
      <c r="K11" s="96" t="s">
        <v>417</v>
      </c>
      <c r="L11" s="159">
        <v>2.4</v>
      </c>
      <c r="M11" s="159">
        <v>2.95</v>
      </c>
      <c r="N11" s="159">
        <v>2.4</v>
      </c>
      <c r="O11" s="159">
        <v>2.5</v>
      </c>
      <c r="Q11" s="481"/>
      <c r="R11" s="481"/>
      <c r="S11" s="481"/>
    </row>
    <row r="12" spans="1:19" x14ac:dyDescent="0.25">
      <c r="A12" s="96" t="s">
        <v>418</v>
      </c>
      <c r="B12" s="177">
        <v>20</v>
      </c>
      <c r="C12" s="94">
        <f t="shared" si="0"/>
        <v>2.35</v>
      </c>
      <c r="D12" s="94">
        <f t="shared" si="1"/>
        <v>2.77</v>
      </c>
      <c r="E12" s="177">
        <v>10</v>
      </c>
      <c r="F12" s="94">
        <f t="shared" si="2"/>
        <v>2.35</v>
      </c>
      <c r="G12" s="94">
        <f t="shared" si="3"/>
        <v>2.5</v>
      </c>
      <c r="J12" s="482"/>
      <c r="K12" s="96" t="s">
        <v>418</v>
      </c>
      <c r="L12" s="159">
        <v>2.35</v>
      </c>
      <c r="M12" s="159">
        <v>2.77</v>
      </c>
      <c r="N12" s="159">
        <v>2.35</v>
      </c>
      <c r="O12" s="159">
        <v>2.5</v>
      </c>
      <c r="Q12" s="481"/>
      <c r="R12" s="481"/>
      <c r="S12" s="481"/>
    </row>
    <row r="13" spans="1:19" ht="14.25" customHeight="1" x14ac:dyDescent="0.25">
      <c r="A13" s="96" t="s">
        <v>419</v>
      </c>
      <c r="B13" s="177">
        <v>20</v>
      </c>
      <c r="C13" s="94">
        <f t="shared" si="0"/>
        <v>2.5499999999999998</v>
      </c>
      <c r="D13" s="94">
        <f t="shared" si="1"/>
        <v>3.46</v>
      </c>
      <c r="E13" s="177">
        <v>10</v>
      </c>
      <c r="F13" s="94">
        <f t="shared" si="2"/>
        <v>2.5499999999999998</v>
      </c>
      <c r="G13" s="94">
        <f t="shared" si="3"/>
        <v>2.8</v>
      </c>
      <c r="J13" s="482"/>
      <c r="K13" s="96" t="s">
        <v>419</v>
      </c>
      <c r="L13" s="159">
        <v>2.5499999999999998</v>
      </c>
      <c r="M13" s="159">
        <v>3.46</v>
      </c>
      <c r="N13" s="159">
        <v>2.5499999999999998</v>
      </c>
      <c r="O13" s="159">
        <v>2.8</v>
      </c>
      <c r="Q13" s="481" t="s">
        <v>420</v>
      </c>
      <c r="R13" s="481"/>
      <c r="S13" s="481"/>
    </row>
    <row r="14" spans="1:19" x14ac:dyDescent="0.25">
      <c r="A14" s="96" t="s">
        <v>421</v>
      </c>
      <c r="B14" s="177">
        <v>20</v>
      </c>
      <c r="C14" s="94">
        <f t="shared" si="0"/>
        <v>2.71</v>
      </c>
      <c r="D14" s="94">
        <f t="shared" si="1"/>
        <v>4.21</v>
      </c>
      <c r="E14" s="177">
        <v>10</v>
      </c>
      <c r="F14" s="94">
        <f t="shared" si="2"/>
        <v>2.71</v>
      </c>
      <c r="G14" s="94">
        <f t="shared" si="3"/>
        <v>3.21</v>
      </c>
      <c r="J14" s="482"/>
      <c r="K14" s="96" t="s">
        <v>421</v>
      </c>
      <c r="L14" s="159">
        <v>2.71</v>
      </c>
      <c r="M14" s="159">
        <v>4.21</v>
      </c>
      <c r="N14" s="159">
        <v>2.71</v>
      </c>
      <c r="O14" s="159">
        <v>3.21</v>
      </c>
      <c r="Q14" s="481"/>
      <c r="R14" s="481"/>
      <c r="S14" s="481"/>
    </row>
    <row r="15" spans="1:19" x14ac:dyDescent="0.25">
      <c r="A15" s="96" t="s">
        <v>422</v>
      </c>
      <c r="B15" s="177">
        <v>20</v>
      </c>
      <c r="C15" s="94">
        <f t="shared" si="0"/>
        <v>2.68</v>
      </c>
      <c r="D15" s="94">
        <f t="shared" si="1"/>
        <v>3.2</v>
      </c>
      <c r="E15" s="177">
        <v>10</v>
      </c>
      <c r="F15" s="94">
        <f t="shared" si="2"/>
        <v>2.68</v>
      </c>
      <c r="G15" s="94">
        <f t="shared" si="3"/>
        <v>2.8</v>
      </c>
      <c r="J15" s="482"/>
      <c r="K15" s="96" t="s">
        <v>422</v>
      </c>
      <c r="L15" s="125">
        <v>2.68</v>
      </c>
      <c r="M15" s="159">
        <v>3.2</v>
      </c>
      <c r="N15" s="125">
        <v>2.68</v>
      </c>
      <c r="O15" s="159">
        <v>2.8</v>
      </c>
      <c r="Q15" s="481"/>
      <c r="R15" s="481"/>
      <c r="S15" s="481"/>
    </row>
    <row r="16" spans="1:19" x14ac:dyDescent="0.25">
      <c r="A16" s="96" t="s">
        <v>423</v>
      </c>
      <c r="B16" s="177">
        <v>20</v>
      </c>
      <c r="C16" s="94" t="str">
        <f t="shared" si="0"/>
        <v>N/A</v>
      </c>
      <c r="D16" s="94" t="str">
        <f t="shared" si="1"/>
        <v>N/A</v>
      </c>
      <c r="E16" s="177">
        <v>10</v>
      </c>
      <c r="F16" s="94" t="str">
        <f t="shared" si="2"/>
        <v>N/A</v>
      </c>
      <c r="G16" s="94" t="str">
        <f t="shared" si="3"/>
        <v>N/A</v>
      </c>
      <c r="J16" s="482"/>
      <c r="K16" s="96" t="s">
        <v>423</v>
      </c>
      <c r="L16" s="160" t="s">
        <v>104</v>
      </c>
      <c r="M16" s="160" t="s">
        <v>104</v>
      </c>
      <c r="N16" s="160" t="s">
        <v>104</v>
      </c>
      <c r="O16" s="160" t="s">
        <v>104</v>
      </c>
      <c r="Q16" s="481"/>
      <c r="R16" s="481"/>
      <c r="S16" s="481"/>
    </row>
    <row r="17" spans="1:15" x14ac:dyDescent="0.25">
      <c r="A17" s="96" t="s">
        <v>424</v>
      </c>
      <c r="B17" s="177">
        <v>20</v>
      </c>
      <c r="C17" s="94" t="str">
        <f t="shared" si="0"/>
        <v>N/A</v>
      </c>
      <c r="D17" s="94" t="str">
        <f t="shared" si="1"/>
        <v>N/A</v>
      </c>
      <c r="E17" s="177">
        <v>10</v>
      </c>
      <c r="F17" s="94" t="str">
        <f t="shared" si="2"/>
        <v>N/A</v>
      </c>
      <c r="G17" s="94" t="str">
        <f t="shared" si="3"/>
        <v>N/A</v>
      </c>
      <c r="J17" s="482"/>
      <c r="K17" s="96" t="s">
        <v>424</v>
      </c>
      <c r="L17" s="160" t="s">
        <v>104</v>
      </c>
      <c r="M17" s="160" t="s">
        <v>104</v>
      </c>
      <c r="N17" s="160" t="s">
        <v>104</v>
      </c>
      <c r="O17" s="160" t="s">
        <v>104</v>
      </c>
    </row>
    <row r="18" spans="1:15" x14ac:dyDescent="0.25">
      <c r="A18" s="96" t="s">
        <v>425</v>
      </c>
      <c r="B18" s="177">
        <v>20</v>
      </c>
      <c r="C18" s="94">
        <f t="shared" si="0"/>
        <v>0</v>
      </c>
      <c r="D18" s="94">
        <f t="shared" si="1"/>
        <v>10</v>
      </c>
      <c r="E18" s="177">
        <v>10</v>
      </c>
      <c r="F18" s="94">
        <f t="shared" si="2"/>
        <v>0</v>
      </c>
      <c r="G18" s="94">
        <f t="shared" si="3"/>
        <v>1</v>
      </c>
      <c r="J18" s="482"/>
      <c r="K18" s="96" t="s">
        <v>425</v>
      </c>
      <c r="L18" s="159">
        <v>0</v>
      </c>
      <c r="M18" s="159">
        <v>10</v>
      </c>
      <c r="N18" s="159">
        <v>0</v>
      </c>
      <c r="O18" s="159">
        <v>1</v>
      </c>
    </row>
    <row r="19" spans="1:15" x14ac:dyDescent="0.25">
      <c r="J19" s="482"/>
      <c r="K19" s="93" t="s">
        <v>426</v>
      </c>
      <c r="L19" s="5">
        <f>AVERAGE(L7:L18)</f>
        <v>2.1539999999999999</v>
      </c>
      <c r="M19" s="5">
        <f>MAX(M7:M18)</f>
        <v>10</v>
      </c>
      <c r="N19" s="5">
        <f>AVERAGE(N7:N18)</f>
        <v>2.1539999999999999</v>
      </c>
      <c r="O19" s="5">
        <f>MAX(O7:O18)</f>
        <v>3.21</v>
      </c>
    </row>
    <row r="21" spans="1:15" ht="41.4" x14ac:dyDescent="0.25">
      <c r="J21" s="92">
        <f>+A6</f>
        <v>2022</v>
      </c>
      <c r="K21" s="92" t="s">
        <v>408</v>
      </c>
      <c r="L21" s="97" t="s">
        <v>403</v>
      </c>
      <c r="M21" s="97" t="s">
        <v>409</v>
      </c>
      <c r="N21" s="97" t="s">
        <v>406</v>
      </c>
      <c r="O21" s="97" t="s">
        <v>410</v>
      </c>
    </row>
    <row r="22" spans="1:15" x14ac:dyDescent="0.25">
      <c r="J22" s="482" t="s">
        <v>183</v>
      </c>
      <c r="K22" s="96" t="s">
        <v>411</v>
      </c>
      <c r="L22" s="94" t="s">
        <v>104</v>
      </c>
      <c r="M22" s="94" t="s">
        <v>104</v>
      </c>
      <c r="N22" s="94" t="s">
        <v>104</v>
      </c>
      <c r="O22" s="94" t="s">
        <v>104</v>
      </c>
    </row>
    <row r="23" spans="1:15" x14ac:dyDescent="0.25">
      <c r="J23" s="482"/>
      <c r="K23" s="96" t="s">
        <v>412</v>
      </c>
      <c r="L23" s="94" t="s">
        <v>104</v>
      </c>
      <c r="M23" s="94" t="s">
        <v>104</v>
      </c>
      <c r="N23" s="94" t="s">
        <v>104</v>
      </c>
      <c r="O23" s="94" t="s">
        <v>104</v>
      </c>
    </row>
    <row r="24" spans="1:15" x14ac:dyDescent="0.25">
      <c r="J24" s="482"/>
      <c r="K24" s="96" t="s">
        <v>413</v>
      </c>
      <c r="L24" s="94" t="s">
        <v>104</v>
      </c>
      <c r="M24" s="94" t="s">
        <v>104</v>
      </c>
      <c r="N24" s="94" t="s">
        <v>104</v>
      </c>
      <c r="O24" s="94" t="s">
        <v>104</v>
      </c>
    </row>
    <row r="25" spans="1:15" x14ac:dyDescent="0.25">
      <c r="J25" s="482"/>
      <c r="K25" s="96" t="s">
        <v>415</v>
      </c>
      <c r="L25" s="94" t="s">
        <v>104</v>
      </c>
      <c r="M25" s="94" t="s">
        <v>104</v>
      </c>
      <c r="N25" s="94" t="s">
        <v>104</v>
      </c>
      <c r="O25" s="94" t="s">
        <v>104</v>
      </c>
    </row>
    <row r="26" spans="1:15" x14ac:dyDescent="0.25">
      <c r="J26" s="482"/>
      <c r="K26" s="96" t="s">
        <v>417</v>
      </c>
      <c r="L26" s="94" t="s">
        <v>104</v>
      </c>
      <c r="M26" s="94" t="s">
        <v>104</v>
      </c>
      <c r="N26" s="94" t="s">
        <v>104</v>
      </c>
      <c r="O26" s="94" t="s">
        <v>104</v>
      </c>
    </row>
    <row r="27" spans="1:15" x14ac:dyDescent="0.25">
      <c r="J27" s="482"/>
      <c r="K27" s="96" t="s">
        <v>418</v>
      </c>
      <c r="L27" s="94" t="s">
        <v>104</v>
      </c>
      <c r="M27" s="94" t="s">
        <v>104</v>
      </c>
      <c r="N27" s="94" t="s">
        <v>104</v>
      </c>
      <c r="O27" s="94" t="s">
        <v>104</v>
      </c>
    </row>
    <row r="28" spans="1:15" x14ac:dyDescent="0.25">
      <c r="J28" s="482"/>
      <c r="K28" s="96" t="s">
        <v>419</v>
      </c>
      <c r="L28" s="94" t="s">
        <v>104</v>
      </c>
      <c r="M28" s="94" t="s">
        <v>104</v>
      </c>
      <c r="N28" s="94" t="s">
        <v>104</v>
      </c>
      <c r="O28" s="94" t="s">
        <v>104</v>
      </c>
    </row>
    <row r="29" spans="1:15" x14ac:dyDescent="0.25">
      <c r="B29" s="57" t="s">
        <v>53</v>
      </c>
      <c r="J29" s="482"/>
      <c r="K29" s="96" t="s">
        <v>421</v>
      </c>
      <c r="L29" s="94" t="s">
        <v>104</v>
      </c>
      <c r="M29" s="94" t="s">
        <v>104</v>
      </c>
      <c r="N29" s="94" t="s">
        <v>104</v>
      </c>
      <c r="O29" s="94" t="s">
        <v>104</v>
      </c>
    </row>
    <row r="30" spans="1:15" x14ac:dyDescent="0.25">
      <c r="J30" s="482"/>
      <c r="K30" s="96" t="s">
        <v>422</v>
      </c>
      <c r="L30" s="94" t="s">
        <v>104</v>
      </c>
      <c r="M30" s="94" t="s">
        <v>104</v>
      </c>
      <c r="N30" s="94" t="s">
        <v>104</v>
      </c>
      <c r="O30" s="94" t="s">
        <v>104</v>
      </c>
    </row>
    <row r="31" spans="1:15" x14ac:dyDescent="0.25">
      <c r="B31" s="57" t="s">
        <v>53</v>
      </c>
      <c r="J31" s="482"/>
      <c r="K31" s="96" t="s">
        <v>423</v>
      </c>
      <c r="L31" s="94" t="s">
        <v>104</v>
      </c>
      <c r="M31" s="94" t="s">
        <v>104</v>
      </c>
      <c r="N31" s="94" t="s">
        <v>104</v>
      </c>
      <c r="O31" s="94" t="s">
        <v>104</v>
      </c>
    </row>
    <row r="32" spans="1:15" x14ac:dyDescent="0.25">
      <c r="J32" s="482"/>
      <c r="K32" s="96" t="s">
        <v>424</v>
      </c>
      <c r="L32" s="94" t="s">
        <v>104</v>
      </c>
      <c r="M32" s="94" t="s">
        <v>104</v>
      </c>
      <c r="N32" s="94" t="s">
        <v>104</v>
      </c>
      <c r="O32" s="94" t="s">
        <v>104</v>
      </c>
    </row>
    <row r="33" spans="1:15" x14ac:dyDescent="0.25">
      <c r="J33" s="482"/>
      <c r="K33" s="96" t="s">
        <v>425</v>
      </c>
      <c r="L33" s="94" t="s">
        <v>104</v>
      </c>
      <c r="M33" s="94" t="s">
        <v>104</v>
      </c>
      <c r="N33" s="94" t="s">
        <v>104</v>
      </c>
      <c r="O33" s="94" t="s">
        <v>104</v>
      </c>
    </row>
    <row r="34" spans="1:15" x14ac:dyDescent="0.25">
      <c r="J34" s="482"/>
      <c r="K34" s="93" t="s">
        <v>426</v>
      </c>
      <c r="L34" s="93" t="e">
        <f>AVERAGE(L22:L33)</f>
        <v>#DIV/0!</v>
      </c>
      <c r="M34" s="93">
        <f>MAX(M22:M33)</f>
        <v>0</v>
      </c>
      <c r="N34" s="93" t="e">
        <f>AVERAGE(N22:N33)</f>
        <v>#DIV/0!</v>
      </c>
      <c r="O34" s="93">
        <f>MAX(O22:O33)</f>
        <v>0</v>
      </c>
    </row>
    <row r="36" spans="1:15" ht="41.4" x14ac:dyDescent="0.25">
      <c r="J36" s="92">
        <f>+A6</f>
        <v>2022</v>
      </c>
      <c r="K36" s="92" t="s">
        <v>408</v>
      </c>
      <c r="L36" s="97" t="s">
        <v>403</v>
      </c>
      <c r="M36" s="97" t="s">
        <v>409</v>
      </c>
      <c r="N36" s="97" t="s">
        <v>406</v>
      </c>
      <c r="O36" s="97" t="s">
        <v>410</v>
      </c>
    </row>
    <row r="37" spans="1:15" x14ac:dyDescent="0.25">
      <c r="J37" s="482" t="s">
        <v>184</v>
      </c>
      <c r="K37" s="96" t="s">
        <v>411</v>
      </c>
      <c r="L37" s="94" t="s">
        <v>104</v>
      </c>
      <c r="M37" s="94" t="s">
        <v>104</v>
      </c>
      <c r="N37" s="94" t="s">
        <v>104</v>
      </c>
      <c r="O37" s="94" t="s">
        <v>104</v>
      </c>
    </row>
    <row r="38" spans="1:15" x14ac:dyDescent="0.25">
      <c r="J38" s="482"/>
      <c r="K38" s="96" t="s">
        <v>412</v>
      </c>
      <c r="L38" s="94" t="s">
        <v>104</v>
      </c>
      <c r="M38" s="94" t="s">
        <v>104</v>
      </c>
      <c r="N38" s="94" t="s">
        <v>104</v>
      </c>
      <c r="O38" s="94" t="s">
        <v>104</v>
      </c>
    </row>
    <row r="39" spans="1:15" x14ac:dyDescent="0.25">
      <c r="C39" s="57">
        <v>2021</v>
      </c>
      <c r="J39" s="482"/>
      <c r="K39" s="96" t="s">
        <v>413</v>
      </c>
      <c r="L39" s="94" t="s">
        <v>104</v>
      </c>
      <c r="M39" s="94" t="s">
        <v>104</v>
      </c>
      <c r="N39" s="94" t="s">
        <v>104</v>
      </c>
      <c r="O39" s="94" t="s">
        <v>104</v>
      </c>
    </row>
    <row r="40" spans="1:15" x14ac:dyDescent="0.25">
      <c r="J40" s="482"/>
      <c r="K40" s="96" t="s">
        <v>415</v>
      </c>
      <c r="L40" s="94" t="s">
        <v>104</v>
      </c>
      <c r="M40" s="94" t="s">
        <v>104</v>
      </c>
      <c r="N40" s="94" t="s">
        <v>104</v>
      </c>
      <c r="O40" s="94" t="s">
        <v>104</v>
      </c>
    </row>
    <row r="41" spans="1:15" x14ac:dyDescent="0.25">
      <c r="J41" s="482"/>
      <c r="K41" s="96" t="s">
        <v>417</v>
      </c>
      <c r="L41" s="94" t="s">
        <v>104</v>
      </c>
      <c r="M41" s="94" t="s">
        <v>104</v>
      </c>
      <c r="N41" s="94" t="s">
        <v>104</v>
      </c>
      <c r="O41" s="94" t="s">
        <v>104</v>
      </c>
    </row>
    <row r="42" spans="1:15" x14ac:dyDescent="0.25">
      <c r="J42" s="482"/>
      <c r="K42" s="96" t="s">
        <v>418</v>
      </c>
      <c r="L42" s="94" t="s">
        <v>104</v>
      </c>
      <c r="M42" s="94" t="s">
        <v>104</v>
      </c>
      <c r="N42" s="94" t="s">
        <v>104</v>
      </c>
      <c r="O42" s="94" t="s">
        <v>104</v>
      </c>
    </row>
    <row r="43" spans="1:15" x14ac:dyDescent="0.25">
      <c r="J43" s="482"/>
      <c r="K43" s="96" t="s">
        <v>419</v>
      </c>
      <c r="L43" s="94" t="s">
        <v>104</v>
      </c>
      <c r="M43" s="94" t="s">
        <v>104</v>
      </c>
      <c r="N43" s="94" t="s">
        <v>104</v>
      </c>
      <c r="O43" s="94" t="s">
        <v>104</v>
      </c>
    </row>
    <row r="44" spans="1:15" x14ac:dyDescent="0.25">
      <c r="J44" s="482"/>
      <c r="K44" s="96" t="s">
        <v>421</v>
      </c>
      <c r="L44" s="94" t="s">
        <v>104</v>
      </c>
      <c r="M44" s="94" t="s">
        <v>104</v>
      </c>
      <c r="N44" s="94" t="s">
        <v>104</v>
      </c>
      <c r="O44" s="94" t="s">
        <v>104</v>
      </c>
    </row>
    <row r="45" spans="1:15" x14ac:dyDescent="0.25">
      <c r="J45" s="482"/>
      <c r="K45" s="96" t="s">
        <v>422</v>
      </c>
      <c r="L45" s="94" t="s">
        <v>104</v>
      </c>
      <c r="M45" s="94" t="s">
        <v>104</v>
      </c>
      <c r="N45" s="94" t="s">
        <v>104</v>
      </c>
      <c r="O45" s="94" t="s">
        <v>104</v>
      </c>
    </row>
    <row r="46" spans="1:15" x14ac:dyDescent="0.25">
      <c r="J46" s="482"/>
      <c r="K46" s="96" t="s">
        <v>423</v>
      </c>
      <c r="L46" s="94" t="s">
        <v>104</v>
      </c>
      <c r="M46" s="94" t="s">
        <v>104</v>
      </c>
      <c r="N46" s="94" t="s">
        <v>104</v>
      </c>
      <c r="O46" s="94" t="s">
        <v>104</v>
      </c>
    </row>
    <row r="47" spans="1:15" x14ac:dyDescent="0.25">
      <c r="J47" s="482"/>
      <c r="K47" s="96" t="s">
        <v>424</v>
      </c>
      <c r="L47" s="94" t="s">
        <v>104</v>
      </c>
      <c r="M47" s="94" t="s">
        <v>104</v>
      </c>
      <c r="N47" s="94" t="s">
        <v>104</v>
      </c>
      <c r="O47" s="94" t="s">
        <v>104</v>
      </c>
    </row>
    <row r="48" spans="1:15" x14ac:dyDescent="0.25">
      <c r="A48" s="494" t="s">
        <v>306</v>
      </c>
      <c r="B48" s="495"/>
      <c r="C48" s="495"/>
      <c r="D48" s="495"/>
      <c r="E48" s="495"/>
      <c r="F48" s="495"/>
      <c r="G48" s="496"/>
      <c r="J48" s="482"/>
      <c r="K48" s="96" t="s">
        <v>425</v>
      </c>
      <c r="L48" s="94" t="s">
        <v>104</v>
      </c>
      <c r="M48" s="94" t="s">
        <v>104</v>
      </c>
      <c r="N48" s="94" t="s">
        <v>104</v>
      </c>
      <c r="O48" s="94" t="s">
        <v>104</v>
      </c>
    </row>
    <row r="49" spans="1:15" x14ac:dyDescent="0.25">
      <c r="A49" s="485" t="s">
        <v>430</v>
      </c>
      <c r="B49" s="486"/>
      <c r="C49" s="486"/>
      <c r="D49" s="486"/>
      <c r="E49" s="486"/>
      <c r="F49" s="486"/>
      <c r="G49" s="487"/>
      <c r="J49" s="482"/>
      <c r="K49" s="93" t="s">
        <v>426</v>
      </c>
      <c r="L49" s="93" t="e">
        <f>AVERAGE(L37:L48)</f>
        <v>#DIV/0!</v>
      </c>
      <c r="M49" s="93">
        <f>MAX(M37:M48)</f>
        <v>0</v>
      </c>
      <c r="N49" s="93" t="e">
        <f>AVERAGE(N37:N48)</f>
        <v>#DIV/0!</v>
      </c>
      <c r="O49" s="93">
        <f>MAX(O37:O48)</f>
        <v>0</v>
      </c>
    </row>
    <row r="50" spans="1:15" x14ac:dyDescent="0.25">
      <c r="A50" s="488"/>
      <c r="B50" s="489"/>
      <c r="C50" s="489"/>
      <c r="D50" s="489"/>
      <c r="E50" s="489"/>
      <c r="F50" s="489"/>
      <c r="G50" s="490"/>
    </row>
    <row r="51" spans="1:15" ht="41.4" x14ac:dyDescent="0.25">
      <c r="A51" s="488"/>
      <c r="B51" s="489"/>
      <c r="C51" s="489"/>
      <c r="D51" s="489"/>
      <c r="E51" s="489"/>
      <c r="F51" s="489"/>
      <c r="G51" s="490"/>
      <c r="J51" s="92">
        <f>+A6</f>
        <v>2022</v>
      </c>
      <c r="K51" s="92" t="s">
        <v>408</v>
      </c>
      <c r="L51" s="97" t="s">
        <v>403</v>
      </c>
      <c r="M51" s="97" t="s">
        <v>409</v>
      </c>
      <c r="N51" s="97" t="s">
        <v>406</v>
      </c>
      <c r="O51" s="97" t="s">
        <v>410</v>
      </c>
    </row>
    <row r="52" spans="1:15" x14ac:dyDescent="0.25">
      <c r="A52" s="491"/>
      <c r="B52" s="492"/>
      <c r="C52" s="492"/>
      <c r="D52" s="492"/>
      <c r="E52" s="492"/>
      <c r="F52" s="492"/>
      <c r="G52" s="493"/>
      <c r="J52" s="482" t="s">
        <v>185</v>
      </c>
      <c r="K52" s="96" t="s">
        <v>411</v>
      </c>
      <c r="L52" s="94" t="s">
        <v>104</v>
      </c>
      <c r="M52" s="94" t="s">
        <v>104</v>
      </c>
      <c r="N52" s="94" t="s">
        <v>104</v>
      </c>
      <c r="O52" s="94" t="s">
        <v>104</v>
      </c>
    </row>
    <row r="53" spans="1:15" x14ac:dyDescent="0.25">
      <c r="J53" s="482"/>
      <c r="K53" s="96" t="s">
        <v>412</v>
      </c>
      <c r="L53" s="94" t="s">
        <v>104</v>
      </c>
      <c r="M53" s="94" t="s">
        <v>104</v>
      </c>
      <c r="N53" s="94" t="s">
        <v>104</v>
      </c>
      <c r="O53" s="94" t="s">
        <v>104</v>
      </c>
    </row>
    <row r="54" spans="1:15" x14ac:dyDescent="0.25">
      <c r="J54" s="482"/>
      <c r="K54" s="96" t="s">
        <v>413</v>
      </c>
      <c r="L54" s="94" t="s">
        <v>104</v>
      </c>
      <c r="M54" s="94" t="s">
        <v>104</v>
      </c>
      <c r="N54" s="94" t="s">
        <v>104</v>
      </c>
      <c r="O54" s="94" t="s">
        <v>104</v>
      </c>
    </row>
    <row r="55" spans="1:15" x14ac:dyDescent="0.25">
      <c r="J55" s="482"/>
      <c r="K55" s="96" t="s">
        <v>415</v>
      </c>
      <c r="L55" s="94" t="s">
        <v>104</v>
      </c>
      <c r="M55" s="94" t="s">
        <v>104</v>
      </c>
      <c r="N55" s="94" t="s">
        <v>104</v>
      </c>
      <c r="O55" s="94" t="s">
        <v>104</v>
      </c>
    </row>
    <row r="56" spans="1:15" x14ac:dyDescent="0.25">
      <c r="J56" s="482"/>
      <c r="K56" s="96" t="s">
        <v>417</v>
      </c>
      <c r="L56" s="94" t="s">
        <v>104</v>
      </c>
      <c r="M56" s="94" t="s">
        <v>104</v>
      </c>
      <c r="N56" s="94" t="s">
        <v>104</v>
      </c>
      <c r="O56" s="94" t="s">
        <v>104</v>
      </c>
    </row>
    <row r="57" spans="1:15" x14ac:dyDescent="0.25">
      <c r="J57" s="482"/>
      <c r="K57" s="96" t="s">
        <v>418</v>
      </c>
      <c r="L57" s="94" t="s">
        <v>104</v>
      </c>
      <c r="M57" s="94" t="s">
        <v>104</v>
      </c>
      <c r="N57" s="94" t="s">
        <v>104</v>
      </c>
      <c r="O57" s="94" t="s">
        <v>104</v>
      </c>
    </row>
    <row r="58" spans="1:15" x14ac:dyDescent="0.25">
      <c r="J58" s="482"/>
      <c r="K58" s="96" t="s">
        <v>419</v>
      </c>
      <c r="L58" s="94" t="s">
        <v>104</v>
      </c>
      <c r="M58" s="94" t="s">
        <v>104</v>
      </c>
      <c r="N58" s="94" t="s">
        <v>104</v>
      </c>
      <c r="O58" s="94" t="s">
        <v>104</v>
      </c>
    </row>
    <row r="59" spans="1:15" x14ac:dyDescent="0.25">
      <c r="J59" s="482"/>
      <c r="K59" s="96" t="s">
        <v>421</v>
      </c>
      <c r="L59" s="94" t="s">
        <v>104</v>
      </c>
      <c r="M59" s="94" t="s">
        <v>104</v>
      </c>
      <c r="N59" s="94" t="s">
        <v>104</v>
      </c>
      <c r="O59" s="94" t="s">
        <v>104</v>
      </c>
    </row>
    <row r="60" spans="1:15" x14ac:dyDescent="0.25">
      <c r="J60" s="482"/>
      <c r="K60" s="96" t="s">
        <v>422</v>
      </c>
      <c r="L60" s="94" t="s">
        <v>104</v>
      </c>
      <c r="M60" s="94" t="s">
        <v>104</v>
      </c>
      <c r="N60" s="94" t="s">
        <v>104</v>
      </c>
      <c r="O60" s="94" t="s">
        <v>104</v>
      </c>
    </row>
    <row r="61" spans="1:15" x14ac:dyDescent="0.25">
      <c r="J61" s="482"/>
      <c r="K61" s="96" t="s">
        <v>423</v>
      </c>
      <c r="L61" s="94" t="s">
        <v>104</v>
      </c>
      <c r="M61" s="94" t="s">
        <v>104</v>
      </c>
      <c r="N61" s="94" t="s">
        <v>104</v>
      </c>
      <c r="O61" s="94" t="s">
        <v>104</v>
      </c>
    </row>
    <row r="62" spans="1:15" x14ac:dyDescent="0.25">
      <c r="J62" s="482"/>
      <c r="K62" s="96" t="s">
        <v>424</v>
      </c>
      <c r="L62" s="94" t="s">
        <v>104</v>
      </c>
      <c r="M62" s="94" t="s">
        <v>104</v>
      </c>
      <c r="N62" s="94" t="s">
        <v>104</v>
      </c>
      <c r="O62" s="94" t="s">
        <v>104</v>
      </c>
    </row>
    <row r="63" spans="1:15" x14ac:dyDescent="0.25">
      <c r="J63" s="482"/>
      <c r="K63" s="96" t="s">
        <v>425</v>
      </c>
      <c r="L63" s="94" t="s">
        <v>104</v>
      </c>
      <c r="M63" s="94" t="s">
        <v>104</v>
      </c>
      <c r="N63" s="94" t="s">
        <v>104</v>
      </c>
      <c r="O63" s="94" t="s">
        <v>104</v>
      </c>
    </row>
    <row r="64" spans="1:15" x14ac:dyDescent="0.25">
      <c r="J64" s="482"/>
      <c r="K64" s="93" t="s">
        <v>426</v>
      </c>
      <c r="L64" s="93" t="e">
        <f>AVERAGE(L52:L63)</f>
        <v>#DIV/0!</v>
      </c>
      <c r="M64" s="93">
        <f>MAX(M52:M63)</f>
        <v>0</v>
      </c>
      <c r="N64" s="93" t="e">
        <f>AVERAGE(N52:N63)</f>
        <v>#DIV/0!</v>
      </c>
      <c r="O64" s="93">
        <f>MAX(O52:O63)</f>
        <v>0</v>
      </c>
    </row>
    <row r="66" spans="10:15" ht="41.4" x14ac:dyDescent="0.25">
      <c r="J66" s="92">
        <f>+A6</f>
        <v>2022</v>
      </c>
      <c r="K66" s="92" t="s">
        <v>408</v>
      </c>
      <c r="L66" s="97" t="s">
        <v>403</v>
      </c>
      <c r="M66" s="97" t="s">
        <v>409</v>
      </c>
      <c r="N66" s="97" t="s">
        <v>406</v>
      </c>
      <c r="O66" s="97" t="s">
        <v>410</v>
      </c>
    </row>
    <row r="67" spans="10:15" x14ac:dyDescent="0.25">
      <c r="J67" s="482" t="s">
        <v>186</v>
      </c>
      <c r="K67" s="96" t="s">
        <v>411</v>
      </c>
      <c r="L67" s="94" t="s">
        <v>104</v>
      </c>
      <c r="M67" s="94" t="s">
        <v>104</v>
      </c>
      <c r="N67" s="94" t="s">
        <v>104</v>
      </c>
      <c r="O67" s="94" t="s">
        <v>104</v>
      </c>
    </row>
    <row r="68" spans="10:15" x14ac:dyDescent="0.25">
      <c r="J68" s="482"/>
      <c r="K68" s="96" t="s">
        <v>412</v>
      </c>
      <c r="L68" s="94" t="s">
        <v>104</v>
      </c>
      <c r="M68" s="94" t="s">
        <v>104</v>
      </c>
      <c r="N68" s="94" t="s">
        <v>104</v>
      </c>
      <c r="O68" s="94" t="s">
        <v>104</v>
      </c>
    </row>
    <row r="69" spans="10:15" x14ac:dyDescent="0.25">
      <c r="J69" s="482"/>
      <c r="K69" s="96" t="s">
        <v>413</v>
      </c>
      <c r="L69" s="94" t="s">
        <v>104</v>
      </c>
      <c r="M69" s="94" t="s">
        <v>104</v>
      </c>
      <c r="N69" s="94" t="s">
        <v>104</v>
      </c>
      <c r="O69" s="94" t="s">
        <v>104</v>
      </c>
    </row>
    <row r="70" spans="10:15" x14ac:dyDescent="0.25">
      <c r="J70" s="482"/>
      <c r="K70" s="96" t="s">
        <v>415</v>
      </c>
      <c r="L70" s="94" t="s">
        <v>104</v>
      </c>
      <c r="M70" s="94" t="s">
        <v>104</v>
      </c>
      <c r="N70" s="94" t="s">
        <v>104</v>
      </c>
      <c r="O70" s="94" t="s">
        <v>104</v>
      </c>
    </row>
    <row r="71" spans="10:15" x14ac:dyDescent="0.25">
      <c r="J71" s="482"/>
      <c r="K71" s="96" t="s">
        <v>417</v>
      </c>
      <c r="L71" s="94" t="s">
        <v>104</v>
      </c>
      <c r="M71" s="94" t="s">
        <v>104</v>
      </c>
      <c r="N71" s="94" t="s">
        <v>104</v>
      </c>
      <c r="O71" s="94" t="s">
        <v>104</v>
      </c>
    </row>
    <row r="72" spans="10:15" x14ac:dyDescent="0.25">
      <c r="J72" s="482"/>
      <c r="K72" s="96" t="s">
        <v>418</v>
      </c>
      <c r="L72" s="94" t="s">
        <v>104</v>
      </c>
      <c r="M72" s="94" t="s">
        <v>104</v>
      </c>
      <c r="N72" s="94" t="s">
        <v>104</v>
      </c>
      <c r="O72" s="94" t="s">
        <v>104</v>
      </c>
    </row>
    <row r="73" spans="10:15" x14ac:dyDescent="0.25">
      <c r="J73" s="482"/>
      <c r="K73" s="96" t="s">
        <v>419</v>
      </c>
      <c r="L73" s="94" t="s">
        <v>104</v>
      </c>
      <c r="M73" s="94" t="s">
        <v>104</v>
      </c>
      <c r="N73" s="94" t="s">
        <v>104</v>
      </c>
      <c r="O73" s="94" t="s">
        <v>104</v>
      </c>
    </row>
    <row r="74" spans="10:15" x14ac:dyDescent="0.25">
      <c r="J74" s="482"/>
      <c r="K74" s="96" t="s">
        <v>421</v>
      </c>
      <c r="L74" s="94" t="s">
        <v>104</v>
      </c>
      <c r="M74" s="94" t="s">
        <v>104</v>
      </c>
      <c r="N74" s="94" t="s">
        <v>104</v>
      </c>
      <c r="O74" s="94" t="s">
        <v>104</v>
      </c>
    </row>
    <row r="75" spans="10:15" x14ac:dyDescent="0.25">
      <c r="J75" s="482"/>
      <c r="K75" s="96" t="s">
        <v>422</v>
      </c>
      <c r="L75" s="94" t="s">
        <v>104</v>
      </c>
      <c r="M75" s="94" t="s">
        <v>104</v>
      </c>
      <c r="N75" s="94" t="s">
        <v>104</v>
      </c>
      <c r="O75" s="94" t="s">
        <v>104</v>
      </c>
    </row>
    <row r="76" spans="10:15" x14ac:dyDescent="0.25">
      <c r="J76" s="482"/>
      <c r="K76" s="96" t="s">
        <v>423</v>
      </c>
      <c r="L76" s="94" t="s">
        <v>104</v>
      </c>
      <c r="M76" s="94" t="s">
        <v>104</v>
      </c>
      <c r="N76" s="94" t="s">
        <v>104</v>
      </c>
      <c r="O76" s="94" t="s">
        <v>104</v>
      </c>
    </row>
    <row r="77" spans="10:15" x14ac:dyDescent="0.25">
      <c r="J77" s="482"/>
      <c r="K77" s="96" t="s">
        <v>424</v>
      </c>
      <c r="L77" s="94" t="s">
        <v>104</v>
      </c>
      <c r="M77" s="94" t="s">
        <v>104</v>
      </c>
      <c r="N77" s="94" t="s">
        <v>104</v>
      </c>
      <c r="O77" s="94" t="s">
        <v>104</v>
      </c>
    </row>
    <row r="78" spans="10:15" x14ac:dyDescent="0.25">
      <c r="J78" s="482"/>
      <c r="K78" s="96" t="s">
        <v>425</v>
      </c>
      <c r="L78" s="94" t="s">
        <v>104</v>
      </c>
      <c r="M78" s="94" t="s">
        <v>104</v>
      </c>
      <c r="N78" s="94" t="s">
        <v>104</v>
      </c>
      <c r="O78" s="94" t="s">
        <v>104</v>
      </c>
    </row>
    <row r="79" spans="10:15" x14ac:dyDescent="0.25">
      <c r="J79" s="482"/>
      <c r="K79" s="93" t="s">
        <v>426</v>
      </c>
      <c r="L79" s="93" t="e">
        <f>AVERAGE(L67:L78)</f>
        <v>#DIV/0!</v>
      </c>
      <c r="M79" s="93">
        <f>MAX(M67:M78)</f>
        <v>0</v>
      </c>
      <c r="N79" s="93" t="e">
        <f>AVERAGE(N67:N78)</f>
        <v>#DIV/0!</v>
      </c>
      <c r="O79" s="9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D1" zoomScaleNormal="100" workbookViewId="0">
      <selection activeCell="L19" sqref="L19:O19"/>
    </sheetView>
  </sheetViews>
  <sheetFormatPr defaultRowHeight="13.8" x14ac:dyDescent="0.25"/>
  <cols>
    <col min="1" max="1" width="14" style="3" customWidth="1"/>
    <col min="2" max="4" width="17" style="57" customWidth="1"/>
    <col min="5" max="5" width="14.6640625" style="57" customWidth="1"/>
    <col min="6" max="7" width="17" style="57"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19" t="str">
        <f>+'Cover Page'!$B$29</f>
        <v>Annual Performance Report 2022</v>
      </c>
      <c r="B1" s="119"/>
      <c r="C1" s="119"/>
      <c r="D1" s="119"/>
      <c r="E1" s="119" t="str">
        <f>+'Cover Page'!$B$33</f>
        <v>Permit EPR/RP3036QU</v>
      </c>
    </row>
    <row r="3" spans="1:19" ht="14.4" x14ac:dyDescent="0.3">
      <c r="A3" s="91" t="s">
        <v>437</v>
      </c>
      <c r="D3" s="107" t="s">
        <v>395</v>
      </c>
      <c r="G3" s="111" t="s">
        <v>396</v>
      </c>
      <c r="J3" s="9" t="str">
        <f>+A3</f>
        <v>Monitoring of Particulate matter emissions</v>
      </c>
      <c r="L3" s="9"/>
      <c r="N3" s="9" t="s">
        <v>397</v>
      </c>
      <c r="Q3" s="110" t="s">
        <v>1</v>
      </c>
      <c r="R3" s="104"/>
      <c r="S3" s="104"/>
    </row>
    <row r="4" spans="1:19" ht="13.95" customHeight="1" x14ac:dyDescent="0.25">
      <c r="Q4" s="459" t="s">
        <v>398</v>
      </c>
      <c r="R4" s="459"/>
      <c r="S4" s="459"/>
    </row>
    <row r="5" spans="1:19" ht="16.2" x14ac:dyDescent="0.25">
      <c r="A5" s="98" t="s">
        <v>399</v>
      </c>
      <c r="B5" s="484" t="s">
        <v>400</v>
      </c>
      <c r="C5" s="484"/>
      <c r="D5" s="484"/>
      <c r="E5" s="484" t="s">
        <v>401</v>
      </c>
      <c r="F5" s="484"/>
      <c r="G5" s="484"/>
      <c r="J5" s="483"/>
      <c r="K5" s="483"/>
      <c r="L5" s="483"/>
      <c r="M5" s="483"/>
      <c r="N5" s="483"/>
      <c r="O5" s="483"/>
      <c r="Q5" s="459"/>
      <c r="R5" s="459"/>
      <c r="S5" s="459"/>
    </row>
    <row r="6" spans="1:19" s="89" customFormat="1" ht="37.5" customHeight="1" x14ac:dyDescent="0.3">
      <c r="A6" s="95">
        <f>+'Cover Page'!C39</f>
        <v>2022</v>
      </c>
      <c r="B6" s="85" t="s">
        <v>438</v>
      </c>
      <c r="C6" s="85" t="s">
        <v>403</v>
      </c>
      <c r="D6" s="85" t="s">
        <v>404</v>
      </c>
      <c r="E6" s="85" t="s">
        <v>439</v>
      </c>
      <c r="F6" s="85" t="s">
        <v>406</v>
      </c>
      <c r="G6" s="85" t="s">
        <v>407</v>
      </c>
      <c r="H6" s="90"/>
      <c r="J6" s="92">
        <f>+A6</f>
        <v>2022</v>
      </c>
      <c r="K6" s="92" t="s">
        <v>408</v>
      </c>
      <c r="L6" s="97" t="s">
        <v>403</v>
      </c>
      <c r="M6" s="97" t="s">
        <v>409</v>
      </c>
      <c r="N6" s="97" t="s">
        <v>406</v>
      </c>
      <c r="O6" s="97" t="s">
        <v>410</v>
      </c>
      <c r="Q6" s="459"/>
      <c r="R6" s="459"/>
      <c r="S6" s="459"/>
    </row>
    <row r="7" spans="1:19" x14ac:dyDescent="0.25">
      <c r="A7" s="96" t="s">
        <v>411</v>
      </c>
      <c r="B7" s="177">
        <v>30</v>
      </c>
      <c r="C7" s="94">
        <f>L7</f>
        <v>1.7</v>
      </c>
      <c r="D7" s="94">
        <f>M7</f>
        <v>9.5</v>
      </c>
      <c r="E7" s="177">
        <v>10</v>
      </c>
      <c r="F7" s="94">
        <f>N7</f>
        <v>1.7</v>
      </c>
      <c r="G7" s="94">
        <f>O7</f>
        <v>4.2</v>
      </c>
      <c r="J7" s="482" t="s">
        <v>182</v>
      </c>
      <c r="K7" s="96" t="s">
        <v>411</v>
      </c>
      <c r="L7" s="159">
        <v>1.7</v>
      </c>
      <c r="M7" s="159">
        <v>9.5</v>
      </c>
      <c r="N7" s="159">
        <v>1.7</v>
      </c>
      <c r="O7" s="159">
        <v>4.2</v>
      </c>
      <c r="Q7" s="459"/>
      <c r="R7" s="459"/>
      <c r="S7" s="459"/>
    </row>
    <row r="8" spans="1:19" x14ac:dyDescent="0.25">
      <c r="A8" s="96" t="s">
        <v>412</v>
      </c>
      <c r="B8" s="177">
        <v>30</v>
      </c>
      <c r="C8" s="94">
        <f t="shared" ref="C8:C18" si="0">L8</f>
        <v>3.2</v>
      </c>
      <c r="D8" s="94">
        <f t="shared" ref="D8:D18" si="1">M8</f>
        <v>10.5</v>
      </c>
      <c r="E8" s="177">
        <v>10</v>
      </c>
      <c r="F8" s="94">
        <f t="shared" ref="F8:F18" si="2">N8</f>
        <v>3.2</v>
      </c>
      <c r="G8" s="94">
        <f t="shared" ref="G8:G18" si="3">O8</f>
        <v>4.5999999999999996</v>
      </c>
      <c r="J8" s="482"/>
      <c r="K8" s="96" t="s">
        <v>412</v>
      </c>
      <c r="L8" s="159">
        <v>3.2</v>
      </c>
      <c r="M8" s="159">
        <v>10.5</v>
      </c>
      <c r="N8" s="159">
        <v>3.2</v>
      </c>
      <c r="O8" s="159">
        <v>4.5999999999999996</v>
      </c>
      <c r="Q8" s="459"/>
      <c r="R8" s="459"/>
      <c r="S8" s="459"/>
    </row>
    <row r="9" spans="1:19" x14ac:dyDescent="0.25">
      <c r="A9" s="96" t="s">
        <v>413</v>
      </c>
      <c r="B9" s="177">
        <v>30</v>
      </c>
      <c r="C9" s="94">
        <f t="shared" si="0"/>
        <v>4.7</v>
      </c>
      <c r="D9" s="94">
        <f t="shared" si="1"/>
        <v>15</v>
      </c>
      <c r="E9" s="177">
        <v>10</v>
      </c>
      <c r="F9" s="94">
        <f t="shared" si="2"/>
        <v>4.7</v>
      </c>
      <c r="G9" s="94">
        <f t="shared" si="3"/>
        <v>7</v>
      </c>
      <c r="J9" s="482"/>
      <c r="K9" s="96" t="s">
        <v>413</v>
      </c>
      <c r="L9" s="159">
        <v>4.7</v>
      </c>
      <c r="M9" s="159">
        <v>15</v>
      </c>
      <c r="N9" s="159">
        <v>4.7</v>
      </c>
      <c r="O9" s="159">
        <v>7</v>
      </c>
      <c r="Q9" s="109" t="s">
        <v>414</v>
      </c>
    </row>
    <row r="10" spans="1:19" ht="14.25" customHeight="1" x14ac:dyDescent="0.25">
      <c r="A10" s="96" t="s">
        <v>415</v>
      </c>
      <c r="B10" s="177">
        <v>30</v>
      </c>
      <c r="C10" s="94">
        <f t="shared" si="0"/>
        <v>4.71</v>
      </c>
      <c r="D10" s="94">
        <f t="shared" si="1"/>
        <v>15</v>
      </c>
      <c r="E10" s="177">
        <v>10</v>
      </c>
      <c r="F10" s="94">
        <f t="shared" si="2"/>
        <v>4.71</v>
      </c>
      <c r="G10" s="94">
        <f t="shared" si="3"/>
        <v>6.91</v>
      </c>
      <c r="J10" s="482"/>
      <c r="K10" s="96" t="s">
        <v>415</v>
      </c>
      <c r="L10" s="159">
        <v>4.71</v>
      </c>
      <c r="M10" s="159">
        <v>15</v>
      </c>
      <c r="N10" s="159">
        <v>4.71</v>
      </c>
      <c r="O10" s="159">
        <v>6.91</v>
      </c>
      <c r="Q10" s="481" t="s">
        <v>416</v>
      </c>
      <c r="R10" s="481"/>
      <c r="S10" s="481"/>
    </row>
    <row r="11" spans="1:19" x14ac:dyDescent="0.25">
      <c r="A11" s="96" t="s">
        <v>417</v>
      </c>
      <c r="B11" s="177">
        <v>30</v>
      </c>
      <c r="C11" s="94">
        <f t="shared" si="0"/>
        <v>4.4000000000000004</v>
      </c>
      <c r="D11" s="94">
        <f t="shared" si="1"/>
        <v>13</v>
      </c>
      <c r="E11" s="177">
        <v>10</v>
      </c>
      <c r="F11" s="94">
        <f t="shared" si="2"/>
        <v>4.4000000000000004</v>
      </c>
      <c r="G11" s="94">
        <f t="shared" si="3"/>
        <v>6.6</v>
      </c>
      <c r="J11" s="482"/>
      <c r="K11" s="96" t="s">
        <v>417</v>
      </c>
      <c r="L11" s="159">
        <v>4.4000000000000004</v>
      </c>
      <c r="M11" s="159">
        <v>13</v>
      </c>
      <c r="N11" s="159">
        <v>4.4000000000000004</v>
      </c>
      <c r="O11" s="159">
        <v>6.6</v>
      </c>
      <c r="Q11" s="481"/>
      <c r="R11" s="481"/>
      <c r="S11" s="481"/>
    </row>
    <row r="12" spans="1:19" x14ac:dyDescent="0.25">
      <c r="A12" s="96" t="s">
        <v>418</v>
      </c>
      <c r="B12" s="177">
        <v>30</v>
      </c>
      <c r="C12" s="94">
        <f t="shared" si="0"/>
        <v>5.0199999999999996</v>
      </c>
      <c r="D12" s="94">
        <f t="shared" si="1"/>
        <v>16.02</v>
      </c>
      <c r="E12" s="177">
        <v>10</v>
      </c>
      <c r="F12" s="94">
        <f t="shared" si="2"/>
        <v>5.0199999999999996</v>
      </c>
      <c r="G12" s="94">
        <f t="shared" si="3"/>
        <v>6.74</v>
      </c>
      <c r="J12" s="482"/>
      <c r="K12" s="96" t="s">
        <v>418</v>
      </c>
      <c r="L12" s="159">
        <v>5.0199999999999996</v>
      </c>
      <c r="M12" s="159">
        <v>16.02</v>
      </c>
      <c r="N12" s="159">
        <v>5.0199999999999996</v>
      </c>
      <c r="O12" s="159">
        <v>6.74</v>
      </c>
      <c r="Q12" s="481"/>
      <c r="R12" s="481"/>
      <c r="S12" s="481"/>
    </row>
    <row r="13" spans="1:19" ht="14.25" customHeight="1" x14ac:dyDescent="0.25">
      <c r="A13" s="96" t="s">
        <v>419</v>
      </c>
      <c r="B13" s="177">
        <v>30</v>
      </c>
      <c r="C13" s="94">
        <f t="shared" si="0"/>
        <v>4.46</v>
      </c>
      <c r="D13" s="94">
        <f t="shared" si="1"/>
        <v>13.38</v>
      </c>
      <c r="E13" s="177">
        <v>10</v>
      </c>
      <c r="F13" s="94">
        <f t="shared" si="2"/>
        <v>4.46</v>
      </c>
      <c r="G13" s="94">
        <f t="shared" si="3"/>
        <v>6.88</v>
      </c>
      <c r="J13" s="482"/>
      <c r="K13" s="96" t="s">
        <v>419</v>
      </c>
      <c r="L13" s="159">
        <v>4.46</v>
      </c>
      <c r="M13" s="159">
        <v>13.38</v>
      </c>
      <c r="N13" s="159">
        <v>4.46</v>
      </c>
      <c r="O13" s="159">
        <v>6.88</v>
      </c>
      <c r="Q13" s="481" t="s">
        <v>420</v>
      </c>
      <c r="R13" s="481"/>
      <c r="S13" s="481"/>
    </row>
    <row r="14" spans="1:19" x14ac:dyDescent="0.25">
      <c r="A14" s="96" t="s">
        <v>421</v>
      </c>
      <c r="B14" s="177">
        <v>30</v>
      </c>
      <c r="C14" s="94">
        <f t="shared" si="0"/>
        <v>2.95</v>
      </c>
      <c r="D14" s="94">
        <f t="shared" si="1"/>
        <v>5.27</v>
      </c>
      <c r="E14" s="177">
        <v>10</v>
      </c>
      <c r="F14" s="94">
        <f t="shared" si="2"/>
        <v>2.95</v>
      </c>
      <c r="G14" s="94">
        <f t="shared" si="3"/>
        <v>3.82</v>
      </c>
      <c r="J14" s="482"/>
      <c r="K14" s="96" t="s">
        <v>421</v>
      </c>
      <c r="L14" s="159">
        <v>2.95</v>
      </c>
      <c r="M14" s="159">
        <v>5.27</v>
      </c>
      <c r="N14" s="159">
        <v>2.95</v>
      </c>
      <c r="O14" s="159">
        <v>3.82</v>
      </c>
      <c r="Q14" s="481"/>
      <c r="R14" s="481"/>
      <c r="S14" s="481"/>
    </row>
    <row r="15" spans="1:19" x14ac:dyDescent="0.25">
      <c r="A15" s="96" t="s">
        <v>422</v>
      </c>
      <c r="B15" s="177">
        <v>30</v>
      </c>
      <c r="C15" s="94">
        <f t="shared" si="0"/>
        <v>3.89</v>
      </c>
      <c r="D15" s="94">
        <f t="shared" si="1"/>
        <v>5.96</v>
      </c>
      <c r="E15" s="177">
        <v>10</v>
      </c>
      <c r="F15" s="94">
        <f t="shared" si="2"/>
        <v>3.89</v>
      </c>
      <c r="G15" s="94">
        <f t="shared" si="3"/>
        <v>4.01</v>
      </c>
      <c r="J15" s="482"/>
      <c r="K15" s="96" t="s">
        <v>422</v>
      </c>
      <c r="L15" s="125">
        <v>3.89</v>
      </c>
      <c r="M15" s="125">
        <v>5.96</v>
      </c>
      <c r="N15" s="125">
        <v>3.89</v>
      </c>
      <c r="O15" s="125">
        <v>4.01</v>
      </c>
      <c r="Q15" s="481"/>
      <c r="R15" s="481"/>
      <c r="S15" s="481"/>
    </row>
    <row r="16" spans="1:19" x14ac:dyDescent="0.25">
      <c r="A16" s="96" t="s">
        <v>423</v>
      </c>
      <c r="B16" s="177">
        <v>30</v>
      </c>
      <c r="C16" s="94" t="str">
        <f t="shared" si="0"/>
        <v>N/A</v>
      </c>
      <c r="D16" s="94" t="str">
        <f t="shared" si="1"/>
        <v>N/A</v>
      </c>
      <c r="E16" s="177">
        <v>10</v>
      </c>
      <c r="F16" s="94" t="str">
        <f t="shared" si="2"/>
        <v>N/A</v>
      </c>
      <c r="G16" s="94" t="str">
        <f t="shared" si="3"/>
        <v>N/A</v>
      </c>
      <c r="J16" s="482"/>
      <c r="K16" s="96" t="s">
        <v>423</v>
      </c>
      <c r="L16" s="160" t="s">
        <v>104</v>
      </c>
      <c r="M16" s="160" t="s">
        <v>104</v>
      </c>
      <c r="N16" s="160" t="s">
        <v>104</v>
      </c>
      <c r="O16" s="160" t="s">
        <v>104</v>
      </c>
      <c r="Q16" s="481"/>
      <c r="R16" s="481"/>
      <c r="S16" s="481"/>
    </row>
    <row r="17" spans="1:15" x14ac:dyDescent="0.25">
      <c r="A17" s="96" t="s">
        <v>424</v>
      </c>
      <c r="B17" s="177">
        <v>30</v>
      </c>
      <c r="C17" s="94" t="str">
        <f t="shared" si="0"/>
        <v>N/A</v>
      </c>
      <c r="D17" s="94" t="str">
        <f t="shared" si="1"/>
        <v>N/A</v>
      </c>
      <c r="E17" s="177">
        <v>10</v>
      </c>
      <c r="F17" s="94" t="str">
        <f t="shared" si="2"/>
        <v>N/A</v>
      </c>
      <c r="G17" s="94" t="str">
        <f t="shared" si="3"/>
        <v>N/A</v>
      </c>
      <c r="J17" s="482"/>
      <c r="K17" s="96" t="s">
        <v>424</v>
      </c>
      <c r="L17" s="160" t="s">
        <v>104</v>
      </c>
      <c r="M17" s="160" t="s">
        <v>104</v>
      </c>
      <c r="N17" s="160" t="s">
        <v>104</v>
      </c>
      <c r="O17" s="160" t="s">
        <v>104</v>
      </c>
    </row>
    <row r="18" spans="1:15" x14ac:dyDescent="0.25">
      <c r="A18" s="96" t="s">
        <v>425</v>
      </c>
      <c r="B18" s="177">
        <v>30</v>
      </c>
      <c r="C18" s="94">
        <f t="shared" si="0"/>
        <v>0</v>
      </c>
      <c r="D18" s="94">
        <f t="shared" si="1"/>
        <v>57</v>
      </c>
      <c r="E18" s="177">
        <v>10</v>
      </c>
      <c r="F18" s="94">
        <f t="shared" si="2"/>
        <v>0</v>
      </c>
      <c r="G18" s="94">
        <f t="shared" si="3"/>
        <v>6</v>
      </c>
      <c r="J18" s="482"/>
      <c r="K18" s="96" t="s">
        <v>425</v>
      </c>
      <c r="L18" s="159">
        <v>0</v>
      </c>
      <c r="M18" s="159">
        <v>57</v>
      </c>
      <c r="N18" s="159">
        <v>0</v>
      </c>
      <c r="O18" s="159">
        <v>6</v>
      </c>
    </row>
    <row r="19" spans="1:15" x14ac:dyDescent="0.25">
      <c r="J19" s="482"/>
      <c r="K19" s="93" t="s">
        <v>426</v>
      </c>
      <c r="L19" s="5">
        <f>AVERAGE(L7:L18)</f>
        <v>3.5030000000000001</v>
      </c>
      <c r="M19" s="5">
        <f>MAX(M7:M18)</f>
        <v>57</v>
      </c>
      <c r="N19" s="5">
        <f>AVERAGE(N7:N18)</f>
        <v>3.5030000000000001</v>
      </c>
      <c r="O19" s="5">
        <f>MAX(O7:O18)</f>
        <v>7</v>
      </c>
    </row>
    <row r="21" spans="1:15" ht="41.4" x14ac:dyDescent="0.25">
      <c r="J21" s="92">
        <f>+A6</f>
        <v>2022</v>
      </c>
      <c r="K21" s="92" t="s">
        <v>408</v>
      </c>
      <c r="L21" s="97" t="s">
        <v>403</v>
      </c>
      <c r="M21" s="97" t="s">
        <v>409</v>
      </c>
      <c r="N21" s="97" t="s">
        <v>406</v>
      </c>
      <c r="O21" s="97" t="s">
        <v>410</v>
      </c>
    </row>
    <row r="22" spans="1:15" x14ac:dyDescent="0.25">
      <c r="J22" s="482" t="s">
        <v>183</v>
      </c>
      <c r="K22" s="96" t="s">
        <v>411</v>
      </c>
      <c r="L22" s="94" t="s">
        <v>104</v>
      </c>
      <c r="M22" s="94" t="s">
        <v>104</v>
      </c>
      <c r="N22" s="94" t="s">
        <v>104</v>
      </c>
      <c r="O22" s="94" t="s">
        <v>104</v>
      </c>
    </row>
    <row r="23" spans="1:15" x14ac:dyDescent="0.25">
      <c r="J23" s="482"/>
      <c r="K23" s="96" t="s">
        <v>412</v>
      </c>
      <c r="L23" s="94" t="s">
        <v>104</v>
      </c>
      <c r="M23" s="94" t="s">
        <v>104</v>
      </c>
      <c r="N23" s="94" t="s">
        <v>104</v>
      </c>
      <c r="O23" s="94" t="s">
        <v>104</v>
      </c>
    </row>
    <row r="24" spans="1:15" x14ac:dyDescent="0.25">
      <c r="J24" s="482"/>
      <c r="K24" s="96" t="s">
        <v>413</v>
      </c>
      <c r="L24" s="94" t="s">
        <v>104</v>
      </c>
      <c r="M24" s="94" t="s">
        <v>104</v>
      </c>
      <c r="N24" s="94" t="s">
        <v>104</v>
      </c>
      <c r="O24" s="94" t="s">
        <v>104</v>
      </c>
    </row>
    <row r="25" spans="1:15" x14ac:dyDescent="0.25">
      <c r="J25" s="482"/>
      <c r="K25" s="96" t="s">
        <v>415</v>
      </c>
      <c r="L25" s="94" t="s">
        <v>104</v>
      </c>
      <c r="M25" s="94" t="s">
        <v>104</v>
      </c>
      <c r="N25" s="94" t="s">
        <v>104</v>
      </c>
      <c r="O25" s="94" t="s">
        <v>104</v>
      </c>
    </row>
    <row r="26" spans="1:15" x14ac:dyDescent="0.25">
      <c r="J26" s="482"/>
      <c r="K26" s="96" t="s">
        <v>417</v>
      </c>
      <c r="L26" s="94" t="s">
        <v>104</v>
      </c>
      <c r="M26" s="94" t="s">
        <v>104</v>
      </c>
      <c r="N26" s="94" t="s">
        <v>104</v>
      </c>
      <c r="O26" s="94" t="s">
        <v>104</v>
      </c>
    </row>
    <row r="27" spans="1:15" x14ac:dyDescent="0.25">
      <c r="J27" s="482"/>
      <c r="K27" s="96" t="s">
        <v>418</v>
      </c>
      <c r="L27" s="94" t="s">
        <v>104</v>
      </c>
      <c r="M27" s="94" t="s">
        <v>104</v>
      </c>
      <c r="N27" s="94" t="s">
        <v>104</v>
      </c>
      <c r="O27" s="94" t="s">
        <v>104</v>
      </c>
    </row>
    <row r="28" spans="1:15" x14ac:dyDescent="0.25">
      <c r="J28" s="482"/>
      <c r="K28" s="96" t="s">
        <v>419</v>
      </c>
      <c r="L28" s="94" t="s">
        <v>104</v>
      </c>
      <c r="M28" s="94" t="s">
        <v>104</v>
      </c>
      <c r="N28" s="94" t="s">
        <v>104</v>
      </c>
      <c r="O28" s="94" t="s">
        <v>104</v>
      </c>
    </row>
    <row r="29" spans="1:15" x14ac:dyDescent="0.25">
      <c r="B29" s="57" t="s">
        <v>53</v>
      </c>
      <c r="J29" s="482"/>
      <c r="K29" s="96" t="s">
        <v>421</v>
      </c>
      <c r="L29" s="94" t="s">
        <v>104</v>
      </c>
      <c r="M29" s="94" t="s">
        <v>104</v>
      </c>
      <c r="N29" s="94" t="s">
        <v>104</v>
      </c>
      <c r="O29" s="94" t="s">
        <v>104</v>
      </c>
    </row>
    <row r="30" spans="1:15" x14ac:dyDescent="0.25">
      <c r="J30" s="482"/>
      <c r="K30" s="96" t="s">
        <v>422</v>
      </c>
      <c r="L30" s="94" t="s">
        <v>104</v>
      </c>
      <c r="M30" s="94" t="s">
        <v>104</v>
      </c>
      <c r="N30" s="94" t="s">
        <v>104</v>
      </c>
      <c r="O30" s="94" t="s">
        <v>104</v>
      </c>
    </row>
    <row r="31" spans="1:15" x14ac:dyDescent="0.25">
      <c r="B31" s="57" t="s">
        <v>53</v>
      </c>
      <c r="J31" s="482"/>
      <c r="K31" s="96" t="s">
        <v>423</v>
      </c>
      <c r="L31" s="94" t="s">
        <v>104</v>
      </c>
      <c r="M31" s="94" t="s">
        <v>104</v>
      </c>
      <c r="N31" s="94" t="s">
        <v>104</v>
      </c>
      <c r="O31" s="94" t="s">
        <v>104</v>
      </c>
    </row>
    <row r="32" spans="1:15" x14ac:dyDescent="0.25">
      <c r="J32" s="482"/>
      <c r="K32" s="96" t="s">
        <v>424</v>
      </c>
      <c r="L32" s="94" t="s">
        <v>104</v>
      </c>
      <c r="M32" s="94" t="s">
        <v>104</v>
      </c>
      <c r="N32" s="94" t="s">
        <v>104</v>
      </c>
      <c r="O32" s="94" t="s">
        <v>104</v>
      </c>
    </row>
    <row r="33" spans="1:15" x14ac:dyDescent="0.25">
      <c r="J33" s="482"/>
      <c r="K33" s="96" t="s">
        <v>425</v>
      </c>
      <c r="L33" s="94" t="s">
        <v>104</v>
      </c>
      <c r="M33" s="94" t="s">
        <v>104</v>
      </c>
      <c r="N33" s="94" t="s">
        <v>104</v>
      </c>
      <c r="O33" s="94" t="s">
        <v>104</v>
      </c>
    </row>
    <row r="34" spans="1:15" x14ac:dyDescent="0.25">
      <c r="J34" s="482"/>
      <c r="K34" s="93" t="s">
        <v>426</v>
      </c>
      <c r="L34" s="93" t="e">
        <f>AVERAGE(L22:L33)</f>
        <v>#DIV/0!</v>
      </c>
      <c r="M34" s="93">
        <f>MAX(M22:M33)</f>
        <v>0</v>
      </c>
      <c r="N34" s="93" t="e">
        <f>AVERAGE(N22:N33)</f>
        <v>#DIV/0!</v>
      </c>
      <c r="O34" s="93">
        <f>MAX(O22:O33)</f>
        <v>0</v>
      </c>
    </row>
    <row r="36" spans="1:15" ht="41.4" x14ac:dyDescent="0.25">
      <c r="J36" s="92">
        <f>+A6</f>
        <v>2022</v>
      </c>
      <c r="K36" s="92" t="s">
        <v>408</v>
      </c>
      <c r="L36" s="97" t="s">
        <v>403</v>
      </c>
      <c r="M36" s="97" t="s">
        <v>409</v>
      </c>
      <c r="N36" s="97" t="s">
        <v>406</v>
      </c>
      <c r="O36" s="97" t="s">
        <v>410</v>
      </c>
    </row>
    <row r="37" spans="1:15" x14ac:dyDescent="0.25">
      <c r="J37" s="482" t="s">
        <v>184</v>
      </c>
      <c r="K37" s="96" t="s">
        <v>411</v>
      </c>
      <c r="L37" s="94" t="s">
        <v>104</v>
      </c>
      <c r="M37" s="94" t="s">
        <v>104</v>
      </c>
      <c r="N37" s="94" t="s">
        <v>104</v>
      </c>
      <c r="O37" s="94" t="s">
        <v>104</v>
      </c>
    </row>
    <row r="38" spans="1:15" x14ac:dyDescent="0.25">
      <c r="J38" s="482"/>
      <c r="K38" s="96" t="s">
        <v>412</v>
      </c>
      <c r="L38" s="94" t="s">
        <v>104</v>
      </c>
      <c r="M38" s="94" t="s">
        <v>104</v>
      </c>
      <c r="N38" s="94" t="s">
        <v>104</v>
      </c>
      <c r="O38" s="94" t="s">
        <v>104</v>
      </c>
    </row>
    <row r="39" spans="1:15" x14ac:dyDescent="0.25">
      <c r="C39" s="57">
        <v>2021</v>
      </c>
      <c r="J39" s="482"/>
      <c r="K39" s="96" t="s">
        <v>413</v>
      </c>
      <c r="L39" s="94" t="s">
        <v>104</v>
      </c>
      <c r="M39" s="94" t="s">
        <v>104</v>
      </c>
      <c r="N39" s="94" t="s">
        <v>104</v>
      </c>
      <c r="O39" s="94" t="s">
        <v>104</v>
      </c>
    </row>
    <row r="40" spans="1:15" x14ac:dyDescent="0.25">
      <c r="J40" s="482"/>
      <c r="K40" s="96" t="s">
        <v>415</v>
      </c>
      <c r="L40" s="94" t="s">
        <v>104</v>
      </c>
      <c r="M40" s="94" t="s">
        <v>104</v>
      </c>
      <c r="N40" s="94" t="s">
        <v>104</v>
      </c>
      <c r="O40" s="94" t="s">
        <v>104</v>
      </c>
    </row>
    <row r="41" spans="1:15" x14ac:dyDescent="0.25">
      <c r="J41" s="482"/>
      <c r="K41" s="96" t="s">
        <v>417</v>
      </c>
      <c r="L41" s="94" t="s">
        <v>104</v>
      </c>
      <c r="M41" s="94" t="s">
        <v>104</v>
      </c>
      <c r="N41" s="94" t="s">
        <v>104</v>
      </c>
      <c r="O41" s="94" t="s">
        <v>104</v>
      </c>
    </row>
    <row r="42" spans="1:15" x14ac:dyDescent="0.25">
      <c r="J42" s="482"/>
      <c r="K42" s="96" t="s">
        <v>418</v>
      </c>
      <c r="L42" s="94" t="s">
        <v>104</v>
      </c>
      <c r="M42" s="94" t="s">
        <v>104</v>
      </c>
      <c r="N42" s="94" t="s">
        <v>104</v>
      </c>
      <c r="O42" s="94" t="s">
        <v>104</v>
      </c>
    </row>
    <row r="43" spans="1:15" x14ac:dyDescent="0.25">
      <c r="J43" s="482"/>
      <c r="K43" s="96" t="s">
        <v>419</v>
      </c>
      <c r="L43" s="94" t="s">
        <v>104</v>
      </c>
      <c r="M43" s="94" t="s">
        <v>104</v>
      </c>
      <c r="N43" s="94" t="s">
        <v>104</v>
      </c>
      <c r="O43" s="94" t="s">
        <v>104</v>
      </c>
    </row>
    <row r="44" spans="1:15" x14ac:dyDescent="0.25">
      <c r="J44" s="482"/>
      <c r="K44" s="96" t="s">
        <v>421</v>
      </c>
      <c r="L44" s="94" t="s">
        <v>104</v>
      </c>
      <c r="M44" s="94" t="s">
        <v>104</v>
      </c>
      <c r="N44" s="94" t="s">
        <v>104</v>
      </c>
      <c r="O44" s="94" t="s">
        <v>104</v>
      </c>
    </row>
    <row r="45" spans="1:15" x14ac:dyDescent="0.25">
      <c r="J45" s="482"/>
      <c r="K45" s="96" t="s">
        <v>422</v>
      </c>
      <c r="L45" s="94" t="s">
        <v>104</v>
      </c>
      <c r="M45" s="94" t="s">
        <v>104</v>
      </c>
      <c r="N45" s="94" t="s">
        <v>104</v>
      </c>
      <c r="O45" s="94" t="s">
        <v>104</v>
      </c>
    </row>
    <row r="46" spans="1:15" x14ac:dyDescent="0.25">
      <c r="J46" s="482"/>
      <c r="K46" s="96" t="s">
        <v>423</v>
      </c>
      <c r="L46" s="94" t="s">
        <v>104</v>
      </c>
      <c r="M46" s="94" t="s">
        <v>104</v>
      </c>
      <c r="N46" s="94" t="s">
        <v>104</v>
      </c>
      <c r="O46" s="94" t="s">
        <v>104</v>
      </c>
    </row>
    <row r="47" spans="1:15" x14ac:dyDescent="0.25">
      <c r="J47" s="482"/>
      <c r="K47" s="96" t="s">
        <v>424</v>
      </c>
      <c r="L47" s="94" t="s">
        <v>104</v>
      </c>
      <c r="M47" s="94" t="s">
        <v>104</v>
      </c>
      <c r="N47" s="94" t="s">
        <v>104</v>
      </c>
      <c r="O47" s="94" t="s">
        <v>104</v>
      </c>
    </row>
    <row r="48" spans="1:15" x14ac:dyDescent="0.25">
      <c r="A48" s="494" t="s">
        <v>306</v>
      </c>
      <c r="B48" s="495"/>
      <c r="C48" s="495"/>
      <c r="D48" s="495"/>
      <c r="E48" s="495"/>
      <c r="F48" s="495"/>
      <c r="G48" s="496"/>
      <c r="J48" s="482"/>
      <c r="K48" s="96" t="s">
        <v>425</v>
      </c>
      <c r="L48" s="94" t="s">
        <v>104</v>
      </c>
      <c r="M48" s="94" t="s">
        <v>104</v>
      </c>
      <c r="N48" s="94" t="s">
        <v>104</v>
      </c>
      <c r="O48" s="94" t="s">
        <v>104</v>
      </c>
    </row>
    <row r="49" spans="1:15" x14ac:dyDescent="0.25">
      <c r="A49" s="485" t="s">
        <v>430</v>
      </c>
      <c r="B49" s="486"/>
      <c r="C49" s="486"/>
      <c r="D49" s="486"/>
      <c r="E49" s="486"/>
      <c r="F49" s="486"/>
      <c r="G49" s="487"/>
      <c r="J49" s="482"/>
      <c r="K49" s="93" t="s">
        <v>426</v>
      </c>
      <c r="L49" s="93" t="e">
        <f>AVERAGE(L37:L48)</f>
        <v>#DIV/0!</v>
      </c>
      <c r="M49" s="93">
        <f>MAX(M37:M48)</f>
        <v>0</v>
      </c>
      <c r="N49" s="93" t="e">
        <f>AVERAGE(N37:N48)</f>
        <v>#DIV/0!</v>
      </c>
      <c r="O49" s="93">
        <f>MAX(O37:O48)</f>
        <v>0</v>
      </c>
    </row>
    <row r="50" spans="1:15" x14ac:dyDescent="0.25">
      <c r="A50" s="488"/>
      <c r="B50" s="489"/>
      <c r="C50" s="489"/>
      <c r="D50" s="489"/>
      <c r="E50" s="489"/>
      <c r="F50" s="489"/>
      <c r="G50" s="490"/>
    </row>
    <row r="51" spans="1:15" ht="41.4" x14ac:dyDescent="0.25">
      <c r="A51" s="488"/>
      <c r="B51" s="489"/>
      <c r="C51" s="489"/>
      <c r="D51" s="489"/>
      <c r="E51" s="489"/>
      <c r="F51" s="489"/>
      <c r="G51" s="490"/>
      <c r="J51" s="92">
        <f>+A6</f>
        <v>2022</v>
      </c>
      <c r="K51" s="92" t="s">
        <v>408</v>
      </c>
      <c r="L51" s="97" t="s">
        <v>403</v>
      </c>
      <c r="M51" s="97" t="s">
        <v>409</v>
      </c>
      <c r="N51" s="97" t="s">
        <v>406</v>
      </c>
      <c r="O51" s="97" t="s">
        <v>410</v>
      </c>
    </row>
    <row r="52" spans="1:15" x14ac:dyDescent="0.25">
      <c r="A52" s="491"/>
      <c r="B52" s="492"/>
      <c r="C52" s="492"/>
      <c r="D52" s="492"/>
      <c r="E52" s="492"/>
      <c r="F52" s="492"/>
      <c r="G52" s="493"/>
      <c r="J52" s="482" t="s">
        <v>185</v>
      </c>
      <c r="K52" s="96" t="s">
        <v>411</v>
      </c>
      <c r="L52" s="94" t="s">
        <v>104</v>
      </c>
      <c r="M52" s="94" t="s">
        <v>104</v>
      </c>
      <c r="N52" s="94" t="s">
        <v>104</v>
      </c>
      <c r="O52" s="94" t="s">
        <v>104</v>
      </c>
    </row>
    <row r="53" spans="1:15" x14ac:dyDescent="0.25">
      <c r="J53" s="482"/>
      <c r="K53" s="96" t="s">
        <v>412</v>
      </c>
      <c r="L53" s="94" t="s">
        <v>104</v>
      </c>
      <c r="M53" s="94" t="s">
        <v>104</v>
      </c>
      <c r="N53" s="94" t="s">
        <v>104</v>
      </c>
      <c r="O53" s="94" t="s">
        <v>104</v>
      </c>
    </row>
    <row r="54" spans="1:15" x14ac:dyDescent="0.25">
      <c r="J54" s="482"/>
      <c r="K54" s="96" t="s">
        <v>413</v>
      </c>
      <c r="L54" s="94" t="s">
        <v>104</v>
      </c>
      <c r="M54" s="94" t="s">
        <v>104</v>
      </c>
      <c r="N54" s="94" t="s">
        <v>104</v>
      </c>
      <c r="O54" s="94" t="s">
        <v>104</v>
      </c>
    </row>
    <row r="55" spans="1:15" x14ac:dyDescent="0.25">
      <c r="J55" s="482"/>
      <c r="K55" s="96" t="s">
        <v>415</v>
      </c>
      <c r="L55" s="94" t="s">
        <v>104</v>
      </c>
      <c r="M55" s="94" t="s">
        <v>104</v>
      </c>
      <c r="N55" s="94" t="s">
        <v>104</v>
      </c>
      <c r="O55" s="94" t="s">
        <v>104</v>
      </c>
    </row>
    <row r="56" spans="1:15" x14ac:dyDescent="0.25">
      <c r="J56" s="482"/>
      <c r="K56" s="96" t="s">
        <v>417</v>
      </c>
      <c r="L56" s="94" t="s">
        <v>104</v>
      </c>
      <c r="M56" s="94" t="s">
        <v>104</v>
      </c>
      <c r="N56" s="94" t="s">
        <v>104</v>
      </c>
      <c r="O56" s="94" t="s">
        <v>104</v>
      </c>
    </row>
    <row r="57" spans="1:15" x14ac:dyDescent="0.25">
      <c r="J57" s="482"/>
      <c r="K57" s="96" t="s">
        <v>418</v>
      </c>
      <c r="L57" s="94" t="s">
        <v>104</v>
      </c>
      <c r="M57" s="94" t="s">
        <v>104</v>
      </c>
      <c r="N57" s="94" t="s">
        <v>104</v>
      </c>
      <c r="O57" s="94" t="s">
        <v>104</v>
      </c>
    </row>
    <row r="58" spans="1:15" x14ac:dyDescent="0.25">
      <c r="J58" s="482"/>
      <c r="K58" s="96" t="s">
        <v>419</v>
      </c>
      <c r="L58" s="94" t="s">
        <v>104</v>
      </c>
      <c r="M58" s="94" t="s">
        <v>104</v>
      </c>
      <c r="N58" s="94" t="s">
        <v>104</v>
      </c>
      <c r="O58" s="94" t="s">
        <v>104</v>
      </c>
    </row>
    <row r="59" spans="1:15" x14ac:dyDescent="0.25">
      <c r="J59" s="482"/>
      <c r="K59" s="96" t="s">
        <v>421</v>
      </c>
      <c r="L59" s="94" t="s">
        <v>104</v>
      </c>
      <c r="M59" s="94" t="s">
        <v>104</v>
      </c>
      <c r="N59" s="94" t="s">
        <v>104</v>
      </c>
      <c r="O59" s="94" t="s">
        <v>104</v>
      </c>
    </row>
    <row r="60" spans="1:15" x14ac:dyDescent="0.25">
      <c r="J60" s="482"/>
      <c r="K60" s="96" t="s">
        <v>422</v>
      </c>
      <c r="L60" s="94" t="s">
        <v>104</v>
      </c>
      <c r="M60" s="94" t="s">
        <v>104</v>
      </c>
      <c r="N60" s="94" t="s">
        <v>104</v>
      </c>
      <c r="O60" s="94" t="s">
        <v>104</v>
      </c>
    </row>
    <row r="61" spans="1:15" x14ac:dyDescent="0.25">
      <c r="J61" s="482"/>
      <c r="K61" s="96" t="s">
        <v>423</v>
      </c>
      <c r="L61" s="94" t="s">
        <v>104</v>
      </c>
      <c r="M61" s="94" t="s">
        <v>104</v>
      </c>
      <c r="N61" s="94" t="s">
        <v>104</v>
      </c>
      <c r="O61" s="94" t="s">
        <v>104</v>
      </c>
    </row>
    <row r="62" spans="1:15" x14ac:dyDescent="0.25">
      <c r="J62" s="482"/>
      <c r="K62" s="96" t="s">
        <v>424</v>
      </c>
      <c r="L62" s="94" t="s">
        <v>104</v>
      </c>
      <c r="M62" s="94" t="s">
        <v>104</v>
      </c>
      <c r="N62" s="94" t="s">
        <v>104</v>
      </c>
      <c r="O62" s="94" t="s">
        <v>104</v>
      </c>
    </row>
    <row r="63" spans="1:15" x14ac:dyDescent="0.25">
      <c r="J63" s="482"/>
      <c r="K63" s="96" t="s">
        <v>425</v>
      </c>
      <c r="L63" s="94" t="s">
        <v>104</v>
      </c>
      <c r="M63" s="94" t="s">
        <v>104</v>
      </c>
      <c r="N63" s="94" t="s">
        <v>104</v>
      </c>
      <c r="O63" s="94" t="s">
        <v>104</v>
      </c>
    </row>
    <row r="64" spans="1:15" x14ac:dyDescent="0.25">
      <c r="J64" s="482"/>
      <c r="K64" s="93" t="s">
        <v>426</v>
      </c>
      <c r="L64" s="93" t="e">
        <f>AVERAGE(L52:L63)</f>
        <v>#DIV/0!</v>
      </c>
      <c r="M64" s="93">
        <f>MAX(M52:M63)</f>
        <v>0</v>
      </c>
      <c r="N64" s="93" t="e">
        <f>AVERAGE(N52:N63)</f>
        <v>#DIV/0!</v>
      </c>
      <c r="O64" s="93">
        <f>MAX(O52:O63)</f>
        <v>0</v>
      </c>
    </row>
    <row r="66" spans="10:15" ht="41.4" x14ac:dyDescent="0.25">
      <c r="J66" s="92">
        <f>+A6</f>
        <v>2022</v>
      </c>
      <c r="K66" s="92" t="s">
        <v>408</v>
      </c>
      <c r="L66" s="97" t="s">
        <v>403</v>
      </c>
      <c r="M66" s="97" t="s">
        <v>409</v>
      </c>
      <c r="N66" s="97" t="s">
        <v>406</v>
      </c>
      <c r="O66" s="97" t="s">
        <v>410</v>
      </c>
    </row>
    <row r="67" spans="10:15" x14ac:dyDescent="0.25">
      <c r="J67" s="482" t="s">
        <v>186</v>
      </c>
      <c r="K67" s="96" t="s">
        <v>411</v>
      </c>
      <c r="L67" s="94" t="s">
        <v>104</v>
      </c>
      <c r="M67" s="94" t="s">
        <v>104</v>
      </c>
      <c r="N67" s="94" t="s">
        <v>104</v>
      </c>
      <c r="O67" s="94" t="s">
        <v>104</v>
      </c>
    </row>
    <row r="68" spans="10:15" x14ac:dyDescent="0.25">
      <c r="J68" s="482"/>
      <c r="K68" s="96" t="s">
        <v>412</v>
      </c>
      <c r="L68" s="94" t="s">
        <v>104</v>
      </c>
      <c r="M68" s="94" t="s">
        <v>104</v>
      </c>
      <c r="N68" s="94" t="s">
        <v>104</v>
      </c>
      <c r="O68" s="94" t="s">
        <v>104</v>
      </c>
    </row>
    <row r="69" spans="10:15" x14ac:dyDescent="0.25">
      <c r="J69" s="482"/>
      <c r="K69" s="96" t="s">
        <v>413</v>
      </c>
      <c r="L69" s="94" t="s">
        <v>104</v>
      </c>
      <c r="M69" s="94" t="s">
        <v>104</v>
      </c>
      <c r="N69" s="94" t="s">
        <v>104</v>
      </c>
      <c r="O69" s="94" t="s">
        <v>104</v>
      </c>
    </row>
    <row r="70" spans="10:15" x14ac:dyDescent="0.25">
      <c r="J70" s="482"/>
      <c r="K70" s="96" t="s">
        <v>415</v>
      </c>
      <c r="L70" s="94" t="s">
        <v>104</v>
      </c>
      <c r="M70" s="94" t="s">
        <v>104</v>
      </c>
      <c r="N70" s="94" t="s">
        <v>104</v>
      </c>
      <c r="O70" s="94" t="s">
        <v>104</v>
      </c>
    </row>
    <row r="71" spans="10:15" x14ac:dyDescent="0.25">
      <c r="J71" s="482"/>
      <c r="K71" s="96" t="s">
        <v>417</v>
      </c>
      <c r="L71" s="94" t="s">
        <v>104</v>
      </c>
      <c r="M71" s="94" t="s">
        <v>104</v>
      </c>
      <c r="N71" s="94" t="s">
        <v>104</v>
      </c>
      <c r="O71" s="94" t="s">
        <v>104</v>
      </c>
    </row>
    <row r="72" spans="10:15" x14ac:dyDescent="0.25">
      <c r="J72" s="482"/>
      <c r="K72" s="96" t="s">
        <v>418</v>
      </c>
      <c r="L72" s="94" t="s">
        <v>104</v>
      </c>
      <c r="M72" s="94" t="s">
        <v>104</v>
      </c>
      <c r="N72" s="94" t="s">
        <v>104</v>
      </c>
      <c r="O72" s="94" t="s">
        <v>104</v>
      </c>
    </row>
    <row r="73" spans="10:15" x14ac:dyDescent="0.25">
      <c r="J73" s="482"/>
      <c r="K73" s="96" t="s">
        <v>419</v>
      </c>
      <c r="L73" s="94" t="s">
        <v>104</v>
      </c>
      <c r="M73" s="94" t="s">
        <v>104</v>
      </c>
      <c r="N73" s="94" t="s">
        <v>104</v>
      </c>
      <c r="O73" s="94" t="s">
        <v>104</v>
      </c>
    </row>
    <row r="74" spans="10:15" x14ac:dyDescent="0.25">
      <c r="J74" s="482"/>
      <c r="K74" s="96" t="s">
        <v>421</v>
      </c>
      <c r="L74" s="94" t="s">
        <v>104</v>
      </c>
      <c r="M74" s="94" t="s">
        <v>104</v>
      </c>
      <c r="N74" s="94" t="s">
        <v>104</v>
      </c>
      <c r="O74" s="94" t="s">
        <v>104</v>
      </c>
    </row>
    <row r="75" spans="10:15" x14ac:dyDescent="0.25">
      <c r="J75" s="482"/>
      <c r="K75" s="96" t="s">
        <v>422</v>
      </c>
      <c r="L75" s="94" t="s">
        <v>104</v>
      </c>
      <c r="M75" s="94" t="s">
        <v>104</v>
      </c>
      <c r="N75" s="94" t="s">
        <v>104</v>
      </c>
      <c r="O75" s="94" t="s">
        <v>104</v>
      </c>
    </row>
    <row r="76" spans="10:15" x14ac:dyDescent="0.25">
      <c r="J76" s="482"/>
      <c r="K76" s="96" t="s">
        <v>423</v>
      </c>
      <c r="L76" s="94" t="s">
        <v>104</v>
      </c>
      <c r="M76" s="94" t="s">
        <v>104</v>
      </c>
      <c r="N76" s="94" t="s">
        <v>104</v>
      </c>
      <c r="O76" s="94" t="s">
        <v>104</v>
      </c>
    </row>
    <row r="77" spans="10:15" x14ac:dyDescent="0.25">
      <c r="J77" s="482"/>
      <c r="K77" s="96" t="s">
        <v>424</v>
      </c>
      <c r="L77" s="94" t="s">
        <v>104</v>
      </c>
      <c r="M77" s="94" t="s">
        <v>104</v>
      </c>
      <c r="N77" s="94" t="s">
        <v>104</v>
      </c>
      <c r="O77" s="94" t="s">
        <v>104</v>
      </c>
    </row>
    <row r="78" spans="10:15" x14ac:dyDescent="0.25">
      <c r="J78" s="482"/>
      <c r="K78" s="96" t="s">
        <v>425</v>
      </c>
      <c r="L78" s="94" t="s">
        <v>104</v>
      </c>
      <c r="M78" s="94" t="s">
        <v>104</v>
      </c>
      <c r="N78" s="94" t="s">
        <v>104</v>
      </c>
      <c r="O78" s="94" t="s">
        <v>104</v>
      </c>
    </row>
    <row r="79" spans="10:15" x14ac:dyDescent="0.25">
      <c r="J79" s="482"/>
      <c r="K79" s="93" t="s">
        <v>426</v>
      </c>
      <c r="L79" s="93" t="e">
        <f>AVERAGE(L67:L78)</f>
        <v>#DIV/0!</v>
      </c>
      <c r="M79" s="93">
        <f>MAX(M67:M78)</f>
        <v>0</v>
      </c>
      <c r="N79" s="93" t="e">
        <f>AVERAGE(N67:N78)</f>
        <v>#DIV/0!</v>
      </c>
      <c r="O79" s="9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D1" zoomScale="85" zoomScaleNormal="85" workbookViewId="0">
      <selection activeCell="S28" sqref="S28"/>
    </sheetView>
  </sheetViews>
  <sheetFormatPr defaultRowHeight="13.8" x14ac:dyDescent="0.25"/>
  <cols>
    <col min="1" max="1" width="14" style="3" customWidth="1"/>
    <col min="2" max="2" width="12.6640625" style="57" customWidth="1"/>
    <col min="3" max="3" width="15.33203125" style="57" customWidth="1"/>
    <col min="4" max="4" width="17.6640625" style="57" customWidth="1"/>
    <col min="5" max="5" width="14.6640625" style="57" customWidth="1"/>
    <col min="6" max="6" width="11.5546875" style="57" customWidth="1"/>
    <col min="7" max="7" width="15" style="57" customWidth="1"/>
    <col min="8" max="8" width="14.6640625" style="57"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119" t="str">
        <f>+'Cover Page'!$B$29</f>
        <v>Annual Performance Report 2022</v>
      </c>
      <c r="B1" s="119"/>
      <c r="C1" s="119"/>
      <c r="D1" s="119"/>
      <c r="E1" s="119" t="str">
        <f>+'Cover Page'!$B$33</f>
        <v>Permit EPR/RP3036QU</v>
      </c>
    </row>
    <row r="3" spans="1:21" ht="14.4" x14ac:dyDescent="0.3">
      <c r="A3" s="91" t="s">
        <v>440</v>
      </c>
      <c r="E3" s="107" t="s">
        <v>395</v>
      </c>
      <c r="H3" s="111" t="s">
        <v>441</v>
      </c>
      <c r="J3" s="9" t="str">
        <f>+A3</f>
        <v>Monitoring of Carbon Monoxide (10-minute avg)</v>
      </c>
      <c r="L3" s="9"/>
      <c r="O3" s="9" t="s">
        <v>397</v>
      </c>
      <c r="Q3" s="108" t="s">
        <v>1</v>
      </c>
      <c r="S3" s="110" t="s">
        <v>1</v>
      </c>
      <c r="T3" s="104"/>
      <c r="U3" s="104"/>
    </row>
    <row r="4" spans="1:21" ht="13.95" customHeight="1" x14ac:dyDescent="0.25">
      <c r="S4" s="459" t="s">
        <v>442</v>
      </c>
      <c r="T4" s="459"/>
      <c r="U4" s="459"/>
    </row>
    <row r="5" spans="1:21" ht="16.2" x14ac:dyDescent="0.25">
      <c r="A5" s="98" t="s">
        <v>399</v>
      </c>
      <c r="B5" s="484" t="s">
        <v>443</v>
      </c>
      <c r="C5" s="484"/>
      <c r="D5" s="484"/>
      <c r="E5" s="484"/>
      <c r="F5" s="484" t="s">
        <v>401</v>
      </c>
      <c r="G5" s="484"/>
      <c r="H5" s="484"/>
      <c r="K5" s="483"/>
      <c r="L5" s="483"/>
      <c r="M5" s="483"/>
      <c r="N5" s="483"/>
      <c r="O5" s="483"/>
      <c r="P5" s="483"/>
      <c r="Q5" s="483"/>
      <c r="S5" s="459"/>
      <c r="T5" s="459"/>
      <c r="U5" s="459"/>
    </row>
    <row r="6" spans="1:21" s="89" customFormat="1" ht="37.5" customHeight="1" x14ac:dyDescent="0.3">
      <c r="A6" s="95">
        <f>+'Cover Page'!C39</f>
        <v>2022</v>
      </c>
      <c r="B6" s="85" t="s">
        <v>444</v>
      </c>
      <c r="C6" s="85" t="s">
        <v>445</v>
      </c>
      <c r="D6" s="85" t="s">
        <v>446</v>
      </c>
      <c r="E6" s="85" t="s">
        <v>447</v>
      </c>
      <c r="F6" s="85" t="s">
        <v>448</v>
      </c>
      <c r="G6" s="85" t="s">
        <v>406</v>
      </c>
      <c r="H6" s="85" t="s">
        <v>407</v>
      </c>
      <c r="I6" s="90"/>
      <c r="K6" s="92">
        <f>+A6</f>
        <v>2022</v>
      </c>
      <c r="L6" s="92" t="s">
        <v>408</v>
      </c>
      <c r="M6" s="85" t="s">
        <v>445</v>
      </c>
      <c r="N6" s="85" t="s">
        <v>446</v>
      </c>
      <c r="O6" s="85" t="s">
        <v>447</v>
      </c>
      <c r="P6" s="97" t="s">
        <v>406</v>
      </c>
      <c r="Q6" s="97" t="s">
        <v>410</v>
      </c>
      <c r="S6" s="459"/>
      <c r="T6" s="459"/>
      <c r="U6" s="459"/>
    </row>
    <row r="7" spans="1:21" x14ac:dyDescent="0.25">
      <c r="A7" s="96" t="s">
        <v>411</v>
      </c>
      <c r="B7" s="159">
        <v>150</v>
      </c>
      <c r="C7" s="159">
        <f>M7</f>
        <v>7.5</v>
      </c>
      <c r="D7" s="159">
        <f>N7</f>
        <v>0.9</v>
      </c>
      <c r="E7" s="159">
        <f>O7</f>
        <v>26</v>
      </c>
      <c r="F7" s="159">
        <v>50</v>
      </c>
      <c r="G7" s="94">
        <f>P7</f>
        <v>0.9</v>
      </c>
      <c r="H7" s="94">
        <f>Q7</f>
        <v>1.4</v>
      </c>
      <c r="K7" s="482" t="s">
        <v>182</v>
      </c>
      <c r="L7" s="96" t="s">
        <v>411</v>
      </c>
      <c r="M7" s="159">
        <v>7.5</v>
      </c>
      <c r="N7" s="159">
        <v>0.9</v>
      </c>
      <c r="O7" s="159">
        <v>26</v>
      </c>
      <c r="P7" s="159">
        <v>0.9</v>
      </c>
      <c r="Q7" s="159">
        <v>1.4</v>
      </c>
      <c r="S7" s="459"/>
      <c r="T7" s="459"/>
      <c r="U7" s="459"/>
    </row>
    <row r="8" spans="1:21" x14ac:dyDescent="0.25">
      <c r="A8" s="96" t="s">
        <v>412</v>
      </c>
      <c r="B8" s="177">
        <f>+B7</f>
        <v>150</v>
      </c>
      <c r="C8" s="159">
        <f t="shared" ref="C8:C18" si="0">M8</f>
        <v>1.9</v>
      </c>
      <c r="D8" s="159">
        <f t="shared" ref="D8:D18" si="1">N8</f>
        <v>1</v>
      </c>
      <c r="E8" s="159">
        <f t="shared" ref="E8:E18" si="2">O8</f>
        <v>109</v>
      </c>
      <c r="F8" s="177">
        <f>+F7</f>
        <v>50</v>
      </c>
      <c r="G8" s="94">
        <f t="shared" ref="G8:G18" si="3">P8</f>
        <v>1</v>
      </c>
      <c r="H8" s="94">
        <f t="shared" ref="H8:H18" si="4">Q8</f>
        <v>1.4</v>
      </c>
      <c r="K8" s="482"/>
      <c r="L8" s="96" t="s">
        <v>412</v>
      </c>
      <c r="M8" s="159">
        <v>1.9</v>
      </c>
      <c r="N8" s="159">
        <v>1</v>
      </c>
      <c r="O8" s="159">
        <v>109</v>
      </c>
      <c r="P8" s="159">
        <v>1</v>
      </c>
      <c r="Q8" s="159">
        <v>1.4</v>
      </c>
      <c r="S8" s="459"/>
      <c r="T8" s="459"/>
      <c r="U8" s="459"/>
    </row>
    <row r="9" spans="1:21" x14ac:dyDescent="0.25">
      <c r="A9" s="96" t="s">
        <v>413</v>
      </c>
      <c r="B9" s="177">
        <f t="shared" ref="B9:B18" si="5">+B8</f>
        <v>150</v>
      </c>
      <c r="C9" s="159">
        <f t="shared" si="0"/>
        <v>13.6</v>
      </c>
      <c r="D9" s="159">
        <f t="shared" si="1"/>
        <v>1</v>
      </c>
      <c r="E9" s="159">
        <f t="shared" si="2"/>
        <v>87</v>
      </c>
      <c r="F9" s="177">
        <f t="shared" ref="F9:F18" si="6">+F8</f>
        <v>50</v>
      </c>
      <c r="G9" s="94">
        <f t="shared" si="3"/>
        <v>1</v>
      </c>
      <c r="H9" s="94">
        <f t="shared" si="4"/>
        <v>0.8</v>
      </c>
      <c r="K9" s="482"/>
      <c r="L9" s="96" t="s">
        <v>413</v>
      </c>
      <c r="M9" s="159">
        <v>13.6</v>
      </c>
      <c r="N9" s="159">
        <v>1</v>
      </c>
      <c r="O9" s="159">
        <v>87</v>
      </c>
      <c r="P9" s="159">
        <v>1</v>
      </c>
      <c r="Q9" s="159">
        <v>0.8</v>
      </c>
      <c r="S9" s="109" t="s">
        <v>449</v>
      </c>
    </row>
    <row r="10" spans="1:21" x14ac:dyDescent="0.25">
      <c r="A10" s="96" t="s">
        <v>415</v>
      </c>
      <c r="B10" s="177">
        <f t="shared" si="5"/>
        <v>150</v>
      </c>
      <c r="C10" s="159">
        <f t="shared" si="0"/>
        <v>1.2</v>
      </c>
      <c r="D10" s="159">
        <f t="shared" si="1"/>
        <v>0.6</v>
      </c>
      <c r="E10" s="159">
        <f t="shared" si="2"/>
        <v>22</v>
      </c>
      <c r="F10" s="177">
        <f t="shared" si="6"/>
        <v>50</v>
      </c>
      <c r="G10" s="94">
        <f t="shared" si="3"/>
        <v>0.6</v>
      </c>
      <c r="H10" s="94">
        <f t="shared" si="4"/>
        <v>0.5</v>
      </c>
      <c r="K10" s="482"/>
      <c r="L10" s="96" t="s">
        <v>415</v>
      </c>
      <c r="M10" s="159">
        <v>1.2</v>
      </c>
      <c r="N10" s="159">
        <v>0.6</v>
      </c>
      <c r="O10" s="159">
        <v>22</v>
      </c>
      <c r="P10" s="159">
        <v>0.6</v>
      </c>
      <c r="Q10" s="159">
        <v>0.5</v>
      </c>
      <c r="S10" s="481" t="s">
        <v>450</v>
      </c>
      <c r="T10" s="481"/>
      <c r="U10" s="481"/>
    </row>
    <row r="11" spans="1:21" x14ac:dyDescent="0.25">
      <c r="A11" s="96" t="s">
        <v>417</v>
      </c>
      <c r="B11" s="177">
        <f t="shared" si="5"/>
        <v>150</v>
      </c>
      <c r="C11" s="159">
        <f t="shared" si="0"/>
        <v>2.7</v>
      </c>
      <c r="D11" s="159">
        <f t="shared" si="1"/>
        <v>0.7</v>
      </c>
      <c r="E11" s="159">
        <f t="shared" si="2"/>
        <v>11</v>
      </c>
      <c r="F11" s="177">
        <f t="shared" si="6"/>
        <v>50</v>
      </c>
      <c r="G11" s="94">
        <f t="shared" si="3"/>
        <v>1.7</v>
      </c>
      <c r="H11" s="94">
        <f t="shared" si="4"/>
        <v>1.1000000000000001</v>
      </c>
      <c r="K11" s="482"/>
      <c r="L11" s="96" t="s">
        <v>417</v>
      </c>
      <c r="M11" s="159">
        <v>2.7</v>
      </c>
      <c r="N11" s="159">
        <v>0.7</v>
      </c>
      <c r="O11" s="159">
        <v>11</v>
      </c>
      <c r="P11" s="159">
        <v>1.7</v>
      </c>
      <c r="Q11" s="159">
        <v>1.1000000000000001</v>
      </c>
      <c r="S11" s="481"/>
      <c r="T11" s="481"/>
      <c r="U11" s="481"/>
    </row>
    <row r="12" spans="1:21" x14ac:dyDescent="0.25">
      <c r="A12" s="96" t="s">
        <v>418</v>
      </c>
      <c r="B12" s="177">
        <f t="shared" si="5"/>
        <v>150</v>
      </c>
      <c r="C12" s="159">
        <f t="shared" si="0"/>
        <v>3.3</v>
      </c>
      <c r="D12" s="159">
        <f t="shared" si="1"/>
        <v>1.6</v>
      </c>
      <c r="E12" s="159">
        <f t="shared" si="2"/>
        <v>23.7</v>
      </c>
      <c r="F12" s="177">
        <f t="shared" si="6"/>
        <v>50</v>
      </c>
      <c r="G12" s="94">
        <f t="shared" si="3"/>
        <v>1.6</v>
      </c>
      <c r="H12" s="94">
        <f t="shared" si="4"/>
        <v>1.7</v>
      </c>
      <c r="K12" s="482"/>
      <c r="L12" s="96" t="s">
        <v>418</v>
      </c>
      <c r="M12" s="159">
        <v>3.3</v>
      </c>
      <c r="N12" s="159">
        <v>1.6</v>
      </c>
      <c r="O12" s="159">
        <v>23.7</v>
      </c>
      <c r="P12" s="159">
        <v>1.6</v>
      </c>
      <c r="Q12" s="159">
        <v>1.7</v>
      </c>
      <c r="S12" s="481"/>
      <c r="T12" s="481"/>
      <c r="U12" s="481"/>
    </row>
    <row r="13" spans="1:21" x14ac:dyDescent="0.25">
      <c r="A13" s="96" t="s">
        <v>419</v>
      </c>
      <c r="B13" s="177">
        <f t="shared" si="5"/>
        <v>150</v>
      </c>
      <c r="C13" s="159">
        <f t="shared" si="0"/>
        <v>12</v>
      </c>
      <c r="D13" s="159">
        <f t="shared" si="1"/>
        <v>1.4</v>
      </c>
      <c r="E13" s="159">
        <f t="shared" si="2"/>
        <v>153.80000000000001</v>
      </c>
      <c r="F13" s="177">
        <f t="shared" si="6"/>
        <v>50</v>
      </c>
      <c r="G13" s="94">
        <f t="shared" si="3"/>
        <v>1.4</v>
      </c>
      <c r="H13" s="94">
        <f t="shared" si="4"/>
        <v>0.7</v>
      </c>
      <c r="K13" s="482"/>
      <c r="L13" s="96" t="s">
        <v>419</v>
      </c>
      <c r="M13" s="159">
        <v>12</v>
      </c>
      <c r="N13" s="159">
        <v>1.4</v>
      </c>
      <c r="O13" s="159">
        <v>153.80000000000001</v>
      </c>
      <c r="P13" s="159">
        <v>1.4</v>
      </c>
      <c r="Q13" s="159">
        <v>0.7</v>
      </c>
      <c r="S13" s="481" t="s">
        <v>451</v>
      </c>
      <c r="T13" s="481"/>
      <c r="U13" s="481"/>
    </row>
    <row r="14" spans="1:21" x14ac:dyDescent="0.25">
      <c r="A14" s="96" t="s">
        <v>421</v>
      </c>
      <c r="B14" s="177">
        <f t="shared" si="5"/>
        <v>150</v>
      </c>
      <c r="C14" s="159">
        <f t="shared" si="0"/>
        <v>3.5</v>
      </c>
      <c r="D14" s="159">
        <f t="shared" si="1"/>
        <v>1.9</v>
      </c>
      <c r="E14" s="159">
        <f t="shared" si="2"/>
        <v>405.2</v>
      </c>
      <c r="F14" s="177">
        <f t="shared" si="6"/>
        <v>50</v>
      </c>
      <c r="G14" s="94">
        <f t="shared" si="3"/>
        <v>1.9</v>
      </c>
      <c r="H14" s="94">
        <f t="shared" si="4"/>
        <v>1.5</v>
      </c>
      <c r="K14" s="482"/>
      <c r="L14" s="96" t="s">
        <v>421</v>
      </c>
      <c r="M14" s="159">
        <v>3.5</v>
      </c>
      <c r="N14" s="159">
        <v>1.9</v>
      </c>
      <c r="O14" s="159">
        <v>405.2</v>
      </c>
      <c r="P14" s="159">
        <v>1.9</v>
      </c>
      <c r="Q14" s="159">
        <v>1.5</v>
      </c>
      <c r="S14" s="481"/>
      <c r="T14" s="481"/>
      <c r="U14" s="481"/>
    </row>
    <row r="15" spans="1:21" x14ac:dyDescent="0.25">
      <c r="A15" s="96" t="s">
        <v>422</v>
      </c>
      <c r="B15" s="177">
        <f t="shared" si="5"/>
        <v>150</v>
      </c>
      <c r="C15" s="159">
        <f t="shared" si="0"/>
        <v>8.8000000000000007</v>
      </c>
      <c r="D15" s="159">
        <f t="shared" si="1"/>
        <v>1.4</v>
      </c>
      <c r="E15" s="159">
        <f t="shared" si="2"/>
        <v>69.599999999999994</v>
      </c>
      <c r="F15" s="177">
        <f t="shared" si="6"/>
        <v>50</v>
      </c>
      <c r="G15" s="94">
        <f t="shared" si="3"/>
        <v>1.4</v>
      </c>
      <c r="H15" s="94">
        <f t="shared" si="4"/>
        <v>0.7</v>
      </c>
      <c r="K15" s="482"/>
      <c r="L15" s="96" t="s">
        <v>422</v>
      </c>
      <c r="M15" s="159">
        <v>8.8000000000000007</v>
      </c>
      <c r="N15" s="159">
        <v>1.4</v>
      </c>
      <c r="O15" s="159">
        <v>69.599999999999994</v>
      </c>
      <c r="P15" s="159">
        <v>1.4</v>
      </c>
      <c r="Q15" s="159">
        <v>0.7</v>
      </c>
      <c r="S15" s="481"/>
      <c r="T15" s="481"/>
      <c r="U15" s="481"/>
    </row>
    <row r="16" spans="1:21" x14ac:dyDescent="0.25">
      <c r="A16" s="96" t="s">
        <v>423</v>
      </c>
      <c r="B16" s="177">
        <f t="shared" si="5"/>
        <v>150</v>
      </c>
      <c r="C16" s="159" t="str">
        <f t="shared" si="0"/>
        <v>N/A</v>
      </c>
      <c r="D16" s="159" t="str">
        <f t="shared" si="1"/>
        <v>N/A</v>
      </c>
      <c r="E16" s="159" t="str">
        <f t="shared" si="2"/>
        <v>N/A</v>
      </c>
      <c r="F16" s="177">
        <f t="shared" si="6"/>
        <v>50</v>
      </c>
      <c r="G16" s="94" t="str">
        <f t="shared" si="3"/>
        <v>N/A</v>
      </c>
      <c r="H16" s="94" t="str">
        <f t="shared" si="4"/>
        <v>N/A</v>
      </c>
      <c r="K16" s="482"/>
      <c r="L16" s="96" t="s">
        <v>423</v>
      </c>
      <c r="M16" s="159" t="s">
        <v>104</v>
      </c>
      <c r="N16" s="159" t="s">
        <v>104</v>
      </c>
      <c r="O16" s="159" t="s">
        <v>104</v>
      </c>
      <c r="P16" s="159" t="s">
        <v>104</v>
      </c>
      <c r="Q16" s="159" t="s">
        <v>104</v>
      </c>
      <c r="S16" s="481"/>
      <c r="T16" s="481"/>
      <c r="U16" s="481"/>
    </row>
    <row r="17" spans="1:17" x14ac:dyDescent="0.25">
      <c r="A17" s="96" t="s">
        <v>424</v>
      </c>
      <c r="B17" s="177">
        <f t="shared" si="5"/>
        <v>150</v>
      </c>
      <c r="C17" s="159" t="str">
        <f t="shared" si="0"/>
        <v>N/A</v>
      </c>
      <c r="D17" s="159" t="str">
        <f t="shared" si="1"/>
        <v>N/A</v>
      </c>
      <c r="E17" s="159" t="str">
        <f t="shared" si="2"/>
        <v>N/A</v>
      </c>
      <c r="F17" s="177">
        <f t="shared" si="6"/>
        <v>50</v>
      </c>
      <c r="G17" s="94" t="str">
        <f t="shared" si="3"/>
        <v>N/A</v>
      </c>
      <c r="H17" s="94" t="str">
        <f t="shared" si="4"/>
        <v>N/A</v>
      </c>
      <c r="K17" s="482"/>
      <c r="L17" s="96" t="s">
        <v>424</v>
      </c>
      <c r="M17" s="160" t="s">
        <v>104</v>
      </c>
      <c r="N17" s="160" t="s">
        <v>104</v>
      </c>
      <c r="O17" s="160" t="s">
        <v>104</v>
      </c>
      <c r="P17" s="160" t="s">
        <v>104</v>
      </c>
      <c r="Q17" s="159" t="s">
        <v>104</v>
      </c>
    </row>
    <row r="18" spans="1:17" x14ac:dyDescent="0.25">
      <c r="A18" s="96" t="s">
        <v>425</v>
      </c>
      <c r="B18" s="177">
        <f t="shared" si="5"/>
        <v>150</v>
      </c>
      <c r="C18" s="159">
        <f t="shared" si="0"/>
        <v>331</v>
      </c>
      <c r="D18" s="159">
        <f t="shared" si="1"/>
        <v>20</v>
      </c>
      <c r="E18" s="159">
        <f t="shared" si="2"/>
        <v>5028</v>
      </c>
      <c r="F18" s="177">
        <f t="shared" si="6"/>
        <v>50</v>
      </c>
      <c r="G18" s="94">
        <f t="shared" si="3"/>
        <v>20</v>
      </c>
      <c r="H18" s="94">
        <f t="shared" si="4"/>
        <v>135</v>
      </c>
      <c r="K18" s="482"/>
      <c r="L18" s="96" t="s">
        <v>425</v>
      </c>
      <c r="M18" s="159">
        <v>331</v>
      </c>
      <c r="N18" s="159">
        <v>20</v>
      </c>
      <c r="O18" s="159">
        <v>5028</v>
      </c>
      <c r="P18" s="159">
        <v>20</v>
      </c>
      <c r="Q18" s="159">
        <v>135</v>
      </c>
    </row>
    <row r="19" spans="1:17" x14ac:dyDescent="0.25">
      <c r="K19" s="482"/>
      <c r="L19" s="93" t="s">
        <v>426</v>
      </c>
      <c r="M19" s="5">
        <f>AVERAGE(M7:M18)</f>
        <v>38.549999999999997</v>
      </c>
      <c r="N19" s="5">
        <f>AVERAGE(N7:N18)</f>
        <v>3.05</v>
      </c>
      <c r="O19" s="5">
        <f>MAX(O7:O18)</f>
        <v>5028</v>
      </c>
      <c r="P19" s="5">
        <f>AVERAGE(P7:P18)</f>
        <v>3.15</v>
      </c>
      <c r="Q19" s="5">
        <f>MAX(Q7:Q18)</f>
        <v>135</v>
      </c>
    </row>
    <row r="21" spans="1:17" ht="27.6" x14ac:dyDescent="0.25">
      <c r="K21" s="92">
        <f>+A6</f>
        <v>2022</v>
      </c>
      <c r="L21" s="92" t="s">
        <v>408</v>
      </c>
      <c r="M21" s="85" t="s">
        <v>445</v>
      </c>
      <c r="N21" s="85" t="s">
        <v>446</v>
      </c>
      <c r="O21" s="85" t="s">
        <v>447</v>
      </c>
      <c r="P21" s="97" t="s">
        <v>406</v>
      </c>
      <c r="Q21" s="97" t="s">
        <v>410</v>
      </c>
    </row>
    <row r="22" spans="1:17" x14ac:dyDescent="0.25">
      <c r="K22" s="482" t="s">
        <v>183</v>
      </c>
      <c r="L22" s="96" t="s">
        <v>411</v>
      </c>
      <c r="M22" s="94" t="s">
        <v>104</v>
      </c>
      <c r="N22" s="94" t="s">
        <v>104</v>
      </c>
      <c r="O22" s="94" t="s">
        <v>104</v>
      </c>
      <c r="P22" s="94" t="s">
        <v>104</v>
      </c>
      <c r="Q22" s="94" t="s">
        <v>104</v>
      </c>
    </row>
    <row r="23" spans="1:17" x14ac:dyDescent="0.25">
      <c r="K23" s="482"/>
      <c r="L23" s="96" t="s">
        <v>412</v>
      </c>
      <c r="M23" s="94" t="s">
        <v>104</v>
      </c>
      <c r="N23" s="94" t="s">
        <v>104</v>
      </c>
      <c r="O23" s="94" t="s">
        <v>104</v>
      </c>
      <c r="P23" s="94" t="s">
        <v>104</v>
      </c>
      <c r="Q23" s="94" t="s">
        <v>104</v>
      </c>
    </row>
    <row r="24" spans="1:17" x14ac:dyDescent="0.25">
      <c r="K24" s="482"/>
      <c r="L24" s="96" t="s">
        <v>413</v>
      </c>
      <c r="M24" s="94" t="s">
        <v>104</v>
      </c>
      <c r="N24" s="94" t="s">
        <v>104</v>
      </c>
      <c r="O24" s="94" t="s">
        <v>104</v>
      </c>
      <c r="P24" s="94" t="s">
        <v>104</v>
      </c>
      <c r="Q24" s="94" t="s">
        <v>104</v>
      </c>
    </row>
    <row r="25" spans="1:17" x14ac:dyDescent="0.25">
      <c r="K25" s="482"/>
      <c r="L25" s="96" t="s">
        <v>415</v>
      </c>
      <c r="M25" s="94" t="s">
        <v>104</v>
      </c>
      <c r="N25" s="94" t="s">
        <v>104</v>
      </c>
      <c r="O25" s="94" t="s">
        <v>104</v>
      </c>
      <c r="P25" s="94" t="s">
        <v>104</v>
      </c>
      <c r="Q25" s="94" t="s">
        <v>104</v>
      </c>
    </row>
    <row r="26" spans="1:17" x14ac:dyDescent="0.25">
      <c r="K26" s="482"/>
      <c r="L26" s="96" t="s">
        <v>417</v>
      </c>
      <c r="M26" s="94" t="s">
        <v>104</v>
      </c>
      <c r="N26" s="94" t="s">
        <v>104</v>
      </c>
      <c r="O26" s="94" t="s">
        <v>104</v>
      </c>
      <c r="P26" s="94" t="s">
        <v>104</v>
      </c>
      <c r="Q26" s="94" t="s">
        <v>104</v>
      </c>
    </row>
    <row r="27" spans="1:17" x14ac:dyDescent="0.25">
      <c r="K27" s="482"/>
      <c r="L27" s="96" t="s">
        <v>418</v>
      </c>
      <c r="M27" s="94" t="s">
        <v>104</v>
      </c>
      <c r="N27" s="94" t="s">
        <v>104</v>
      </c>
      <c r="O27" s="94" t="s">
        <v>104</v>
      </c>
      <c r="P27" s="94" t="s">
        <v>104</v>
      </c>
      <c r="Q27" s="94" t="s">
        <v>104</v>
      </c>
    </row>
    <row r="28" spans="1:17" x14ac:dyDescent="0.25">
      <c r="K28" s="482"/>
      <c r="L28" s="96" t="s">
        <v>419</v>
      </c>
      <c r="M28" s="94" t="s">
        <v>104</v>
      </c>
      <c r="N28" s="94" t="s">
        <v>104</v>
      </c>
      <c r="O28" s="94" t="s">
        <v>104</v>
      </c>
      <c r="P28" s="94" t="s">
        <v>104</v>
      </c>
      <c r="Q28" s="94" t="s">
        <v>104</v>
      </c>
    </row>
    <row r="29" spans="1:17" x14ac:dyDescent="0.25">
      <c r="B29" s="57" t="s">
        <v>53</v>
      </c>
      <c r="K29" s="482"/>
      <c r="L29" s="96" t="s">
        <v>421</v>
      </c>
      <c r="M29" s="94" t="s">
        <v>104</v>
      </c>
      <c r="N29" s="94" t="s">
        <v>104</v>
      </c>
      <c r="O29" s="94" t="s">
        <v>104</v>
      </c>
      <c r="P29" s="94" t="s">
        <v>104</v>
      </c>
      <c r="Q29" s="94" t="s">
        <v>104</v>
      </c>
    </row>
    <row r="30" spans="1:17" x14ac:dyDescent="0.25">
      <c r="K30" s="482"/>
      <c r="L30" s="96" t="s">
        <v>422</v>
      </c>
      <c r="M30" s="94" t="s">
        <v>104</v>
      </c>
      <c r="N30" s="94" t="s">
        <v>104</v>
      </c>
      <c r="O30" s="94" t="s">
        <v>104</v>
      </c>
      <c r="P30" s="94" t="s">
        <v>104</v>
      </c>
      <c r="Q30" s="94" t="s">
        <v>104</v>
      </c>
    </row>
    <row r="31" spans="1:17" x14ac:dyDescent="0.25">
      <c r="B31" s="57" t="s">
        <v>53</v>
      </c>
      <c r="K31" s="482"/>
      <c r="L31" s="96" t="s">
        <v>423</v>
      </c>
      <c r="M31" s="94" t="s">
        <v>104</v>
      </c>
      <c r="N31" s="94" t="s">
        <v>104</v>
      </c>
      <c r="O31" s="94" t="s">
        <v>104</v>
      </c>
      <c r="P31" s="94" t="s">
        <v>104</v>
      </c>
      <c r="Q31" s="94" t="s">
        <v>104</v>
      </c>
    </row>
    <row r="32" spans="1:17" x14ac:dyDescent="0.25">
      <c r="K32" s="482"/>
      <c r="L32" s="96" t="s">
        <v>424</v>
      </c>
      <c r="M32" s="94" t="s">
        <v>104</v>
      </c>
      <c r="N32" s="94" t="s">
        <v>104</v>
      </c>
      <c r="O32" s="94" t="s">
        <v>104</v>
      </c>
      <c r="P32" s="94" t="s">
        <v>104</v>
      </c>
      <c r="Q32" s="94" t="s">
        <v>104</v>
      </c>
    </row>
    <row r="33" spans="1:17" x14ac:dyDescent="0.25">
      <c r="K33" s="482"/>
      <c r="L33" s="96" t="s">
        <v>425</v>
      </c>
      <c r="M33" s="94" t="s">
        <v>104</v>
      </c>
      <c r="N33" s="94" t="s">
        <v>104</v>
      </c>
      <c r="O33" s="94" t="s">
        <v>104</v>
      </c>
      <c r="P33" s="94" t="s">
        <v>104</v>
      </c>
      <c r="Q33" s="94" t="s">
        <v>104</v>
      </c>
    </row>
    <row r="34" spans="1:17" x14ac:dyDescent="0.25">
      <c r="K34" s="482"/>
      <c r="L34" s="93" t="s">
        <v>426</v>
      </c>
      <c r="M34" s="93" t="e">
        <f>AVERAGE(M22:M33)</f>
        <v>#DIV/0!</v>
      </c>
      <c r="N34" s="93"/>
      <c r="O34" s="93">
        <f>MAX(O22:O33)</f>
        <v>0</v>
      </c>
      <c r="P34" s="93" t="e">
        <f>AVERAGE(P22:P33)</f>
        <v>#DIV/0!</v>
      </c>
      <c r="Q34" s="93">
        <f>MAX(Q22:Q33)</f>
        <v>0</v>
      </c>
    </row>
    <row r="36" spans="1:17" ht="27.6" x14ac:dyDescent="0.25">
      <c r="K36" s="92">
        <f>+A6</f>
        <v>2022</v>
      </c>
      <c r="L36" s="92" t="s">
        <v>408</v>
      </c>
      <c r="M36" s="85" t="s">
        <v>445</v>
      </c>
      <c r="N36" s="85" t="s">
        <v>446</v>
      </c>
      <c r="O36" s="85" t="s">
        <v>447</v>
      </c>
      <c r="P36" s="97" t="s">
        <v>406</v>
      </c>
      <c r="Q36" s="97" t="s">
        <v>410</v>
      </c>
    </row>
    <row r="37" spans="1:17" x14ac:dyDescent="0.25">
      <c r="K37" s="482" t="s">
        <v>184</v>
      </c>
      <c r="L37" s="96" t="s">
        <v>411</v>
      </c>
      <c r="M37" s="94" t="s">
        <v>104</v>
      </c>
      <c r="N37" s="94" t="s">
        <v>104</v>
      </c>
      <c r="O37" s="94" t="s">
        <v>104</v>
      </c>
      <c r="P37" s="94" t="s">
        <v>104</v>
      </c>
      <c r="Q37" s="94" t="s">
        <v>104</v>
      </c>
    </row>
    <row r="38" spans="1:17" x14ac:dyDescent="0.25">
      <c r="K38" s="482"/>
      <c r="L38" s="96" t="s">
        <v>412</v>
      </c>
      <c r="M38" s="94" t="s">
        <v>104</v>
      </c>
      <c r="N38" s="94" t="s">
        <v>104</v>
      </c>
      <c r="O38" s="94" t="s">
        <v>104</v>
      </c>
      <c r="P38" s="94" t="s">
        <v>104</v>
      </c>
      <c r="Q38" s="94" t="s">
        <v>104</v>
      </c>
    </row>
    <row r="39" spans="1:17" x14ac:dyDescent="0.25">
      <c r="C39" s="57">
        <v>2021</v>
      </c>
      <c r="K39" s="482"/>
      <c r="L39" s="96" t="s">
        <v>413</v>
      </c>
      <c r="M39" s="94" t="s">
        <v>104</v>
      </c>
      <c r="N39" s="94" t="s">
        <v>104</v>
      </c>
      <c r="O39" s="94" t="s">
        <v>104</v>
      </c>
      <c r="P39" s="94" t="s">
        <v>104</v>
      </c>
      <c r="Q39" s="94" t="s">
        <v>104</v>
      </c>
    </row>
    <row r="40" spans="1:17" x14ac:dyDescent="0.25">
      <c r="K40" s="482"/>
      <c r="L40" s="96" t="s">
        <v>415</v>
      </c>
      <c r="M40" s="94" t="s">
        <v>104</v>
      </c>
      <c r="N40" s="94" t="s">
        <v>104</v>
      </c>
      <c r="O40" s="94" t="s">
        <v>104</v>
      </c>
      <c r="P40" s="94" t="s">
        <v>104</v>
      </c>
      <c r="Q40" s="94" t="s">
        <v>104</v>
      </c>
    </row>
    <row r="41" spans="1:17" x14ac:dyDescent="0.25">
      <c r="K41" s="482"/>
      <c r="L41" s="96" t="s">
        <v>417</v>
      </c>
      <c r="M41" s="94" t="s">
        <v>104</v>
      </c>
      <c r="N41" s="94" t="s">
        <v>104</v>
      </c>
      <c r="O41" s="94" t="s">
        <v>104</v>
      </c>
      <c r="P41" s="94" t="s">
        <v>104</v>
      </c>
      <c r="Q41" s="94" t="s">
        <v>104</v>
      </c>
    </row>
    <row r="42" spans="1:17" x14ac:dyDescent="0.25">
      <c r="K42" s="482"/>
      <c r="L42" s="96" t="s">
        <v>418</v>
      </c>
      <c r="M42" s="94" t="s">
        <v>104</v>
      </c>
      <c r="N42" s="94" t="s">
        <v>104</v>
      </c>
      <c r="O42" s="94" t="s">
        <v>104</v>
      </c>
      <c r="P42" s="94" t="s">
        <v>104</v>
      </c>
      <c r="Q42" s="94" t="s">
        <v>104</v>
      </c>
    </row>
    <row r="43" spans="1:17" x14ac:dyDescent="0.25">
      <c r="K43" s="482"/>
      <c r="L43" s="96" t="s">
        <v>419</v>
      </c>
      <c r="M43" s="94" t="s">
        <v>104</v>
      </c>
      <c r="N43" s="94" t="s">
        <v>104</v>
      </c>
      <c r="O43" s="94" t="s">
        <v>104</v>
      </c>
      <c r="P43" s="94" t="s">
        <v>104</v>
      </c>
      <c r="Q43" s="94" t="s">
        <v>104</v>
      </c>
    </row>
    <row r="44" spans="1:17" x14ac:dyDescent="0.25">
      <c r="K44" s="482"/>
      <c r="L44" s="96" t="s">
        <v>421</v>
      </c>
      <c r="M44" s="94" t="s">
        <v>104</v>
      </c>
      <c r="N44" s="94" t="s">
        <v>104</v>
      </c>
      <c r="O44" s="94" t="s">
        <v>104</v>
      </c>
      <c r="P44" s="94" t="s">
        <v>104</v>
      </c>
      <c r="Q44" s="94" t="s">
        <v>104</v>
      </c>
    </row>
    <row r="45" spans="1:17" x14ac:dyDescent="0.25">
      <c r="K45" s="482"/>
      <c r="L45" s="96" t="s">
        <v>422</v>
      </c>
      <c r="M45" s="94" t="s">
        <v>104</v>
      </c>
      <c r="N45" s="94" t="s">
        <v>104</v>
      </c>
      <c r="O45" s="94" t="s">
        <v>104</v>
      </c>
      <c r="P45" s="94" t="s">
        <v>104</v>
      </c>
      <c r="Q45" s="94" t="s">
        <v>104</v>
      </c>
    </row>
    <row r="46" spans="1:17" x14ac:dyDescent="0.25">
      <c r="K46" s="482"/>
      <c r="L46" s="96" t="s">
        <v>423</v>
      </c>
      <c r="M46" s="94" t="s">
        <v>104</v>
      </c>
      <c r="N46" s="94" t="s">
        <v>104</v>
      </c>
      <c r="O46" s="94" t="s">
        <v>104</v>
      </c>
      <c r="P46" s="94" t="s">
        <v>104</v>
      </c>
      <c r="Q46" s="94" t="s">
        <v>104</v>
      </c>
    </row>
    <row r="47" spans="1:17" x14ac:dyDescent="0.25">
      <c r="K47" s="482"/>
      <c r="L47" s="96" t="s">
        <v>424</v>
      </c>
      <c r="M47" s="94" t="s">
        <v>104</v>
      </c>
      <c r="N47" s="94" t="s">
        <v>104</v>
      </c>
      <c r="O47" s="94" t="s">
        <v>104</v>
      </c>
      <c r="P47" s="94" t="s">
        <v>104</v>
      </c>
      <c r="Q47" s="94" t="s">
        <v>104</v>
      </c>
    </row>
    <row r="48" spans="1:17" x14ac:dyDescent="0.25">
      <c r="A48" s="494" t="s">
        <v>306</v>
      </c>
      <c r="B48" s="495"/>
      <c r="C48" s="495"/>
      <c r="D48" s="495"/>
      <c r="E48" s="495"/>
      <c r="F48" s="495"/>
      <c r="G48" s="495"/>
      <c r="H48" s="496"/>
      <c r="K48" s="482"/>
      <c r="L48" s="96" t="s">
        <v>425</v>
      </c>
      <c r="M48" s="94" t="s">
        <v>104</v>
      </c>
      <c r="N48" s="94" t="s">
        <v>104</v>
      </c>
      <c r="O48" s="94" t="s">
        <v>104</v>
      </c>
      <c r="P48" s="94" t="s">
        <v>104</v>
      </c>
      <c r="Q48" s="94" t="s">
        <v>104</v>
      </c>
    </row>
    <row r="49" spans="1:17" x14ac:dyDescent="0.25">
      <c r="A49" s="497" t="s">
        <v>452</v>
      </c>
      <c r="B49" s="498"/>
      <c r="C49" s="498"/>
      <c r="D49" s="498"/>
      <c r="E49" s="498"/>
      <c r="F49" s="498"/>
      <c r="G49" s="498"/>
      <c r="H49" s="499"/>
      <c r="K49" s="482"/>
      <c r="L49" s="93" t="s">
        <v>426</v>
      </c>
      <c r="M49" s="93" t="e">
        <f>AVERAGE(M37:M48)</f>
        <v>#DIV/0!</v>
      </c>
      <c r="N49" s="93"/>
      <c r="O49" s="93">
        <f>MAX(O37:O48)</f>
        <v>0</v>
      </c>
      <c r="P49" s="93" t="e">
        <f>AVERAGE(P37:P48)</f>
        <v>#DIV/0!</v>
      </c>
      <c r="Q49" s="93">
        <f>MAX(Q37:Q48)</f>
        <v>0</v>
      </c>
    </row>
    <row r="50" spans="1:17" x14ac:dyDescent="0.25">
      <c r="A50" s="500"/>
      <c r="B50" s="501"/>
      <c r="C50" s="501"/>
      <c r="D50" s="501"/>
      <c r="E50" s="501"/>
      <c r="F50" s="501"/>
      <c r="G50" s="501"/>
      <c r="H50" s="502"/>
    </row>
    <row r="51" spans="1:17" ht="27.6" x14ac:dyDescent="0.25">
      <c r="A51" s="500"/>
      <c r="B51" s="501"/>
      <c r="C51" s="501"/>
      <c r="D51" s="501"/>
      <c r="E51" s="501"/>
      <c r="F51" s="501"/>
      <c r="G51" s="501"/>
      <c r="H51" s="502"/>
      <c r="K51" s="92">
        <f>+A6</f>
        <v>2022</v>
      </c>
      <c r="L51" s="92" t="s">
        <v>408</v>
      </c>
      <c r="M51" s="85" t="s">
        <v>445</v>
      </c>
      <c r="N51" s="85" t="s">
        <v>446</v>
      </c>
      <c r="O51" s="85" t="s">
        <v>447</v>
      </c>
      <c r="P51" s="97" t="s">
        <v>406</v>
      </c>
      <c r="Q51" s="97" t="s">
        <v>410</v>
      </c>
    </row>
    <row r="52" spans="1:17" x14ac:dyDescent="0.25">
      <c r="A52" s="503"/>
      <c r="B52" s="504"/>
      <c r="C52" s="504"/>
      <c r="D52" s="504"/>
      <c r="E52" s="504"/>
      <c r="F52" s="504"/>
      <c r="G52" s="504"/>
      <c r="H52" s="505"/>
      <c r="K52" s="482" t="s">
        <v>185</v>
      </c>
      <c r="L52" s="96" t="s">
        <v>411</v>
      </c>
      <c r="M52" s="94" t="s">
        <v>104</v>
      </c>
      <c r="N52" s="94" t="s">
        <v>104</v>
      </c>
      <c r="O52" s="94" t="s">
        <v>104</v>
      </c>
      <c r="P52" s="94" t="s">
        <v>104</v>
      </c>
      <c r="Q52" s="94" t="s">
        <v>104</v>
      </c>
    </row>
    <row r="53" spans="1:17" x14ac:dyDescent="0.25">
      <c r="K53" s="482"/>
      <c r="L53" s="96" t="s">
        <v>412</v>
      </c>
      <c r="M53" s="94" t="s">
        <v>104</v>
      </c>
      <c r="N53" s="94" t="s">
        <v>104</v>
      </c>
      <c r="O53" s="94" t="s">
        <v>104</v>
      </c>
      <c r="P53" s="94" t="s">
        <v>104</v>
      </c>
      <c r="Q53" s="94" t="s">
        <v>104</v>
      </c>
    </row>
    <row r="54" spans="1:17" x14ac:dyDescent="0.25">
      <c r="K54" s="482"/>
      <c r="L54" s="96" t="s">
        <v>413</v>
      </c>
      <c r="M54" s="94" t="s">
        <v>104</v>
      </c>
      <c r="N54" s="94" t="s">
        <v>104</v>
      </c>
      <c r="O54" s="94" t="s">
        <v>104</v>
      </c>
      <c r="P54" s="94" t="s">
        <v>104</v>
      </c>
      <c r="Q54" s="94" t="s">
        <v>104</v>
      </c>
    </row>
    <row r="55" spans="1:17" x14ac:dyDescent="0.25">
      <c r="K55" s="482"/>
      <c r="L55" s="96" t="s">
        <v>415</v>
      </c>
      <c r="M55" s="94" t="s">
        <v>104</v>
      </c>
      <c r="N55" s="94" t="s">
        <v>104</v>
      </c>
      <c r="O55" s="94" t="s">
        <v>104</v>
      </c>
      <c r="P55" s="94" t="s">
        <v>104</v>
      </c>
      <c r="Q55" s="94" t="s">
        <v>104</v>
      </c>
    </row>
    <row r="56" spans="1:17" x14ac:dyDescent="0.25">
      <c r="K56" s="482"/>
      <c r="L56" s="96" t="s">
        <v>417</v>
      </c>
      <c r="M56" s="94" t="s">
        <v>104</v>
      </c>
      <c r="N56" s="94" t="s">
        <v>104</v>
      </c>
      <c r="O56" s="94" t="s">
        <v>104</v>
      </c>
      <c r="P56" s="94" t="s">
        <v>104</v>
      </c>
      <c r="Q56" s="94" t="s">
        <v>104</v>
      </c>
    </row>
    <row r="57" spans="1:17" x14ac:dyDescent="0.25">
      <c r="K57" s="482"/>
      <c r="L57" s="96" t="s">
        <v>418</v>
      </c>
      <c r="M57" s="94" t="s">
        <v>104</v>
      </c>
      <c r="N57" s="94" t="s">
        <v>104</v>
      </c>
      <c r="O57" s="94" t="s">
        <v>104</v>
      </c>
      <c r="P57" s="94" t="s">
        <v>104</v>
      </c>
      <c r="Q57" s="94" t="s">
        <v>104</v>
      </c>
    </row>
    <row r="58" spans="1:17" x14ac:dyDescent="0.25">
      <c r="K58" s="482"/>
      <c r="L58" s="96" t="s">
        <v>419</v>
      </c>
      <c r="M58" s="94" t="s">
        <v>104</v>
      </c>
      <c r="N58" s="94" t="s">
        <v>104</v>
      </c>
      <c r="O58" s="94" t="s">
        <v>104</v>
      </c>
      <c r="P58" s="94" t="s">
        <v>104</v>
      </c>
      <c r="Q58" s="94" t="s">
        <v>104</v>
      </c>
    </row>
    <row r="59" spans="1:17" x14ac:dyDescent="0.25">
      <c r="K59" s="482"/>
      <c r="L59" s="96" t="s">
        <v>421</v>
      </c>
      <c r="M59" s="94" t="s">
        <v>104</v>
      </c>
      <c r="N59" s="94" t="s">
        <v>104</v>
      </c>
      <c r="O59" s="94" t="s">
        <v>104</v>
      </c>
      <c r="P59" s="94" t="s">
        <v>104</v>
      </c>
      <c r="Q59" s="94" t="s">
        <v>104</v>
      </c>
    </row>
    <row r="60" spans="1:17" x14ac:dyDescent="0.25">
      <c r="K60" s="482"/>
      <c r="L60" s="96" t="s">
        <v>422</v>
      </c>
      <c r="M60" s="94" t="s">
        <v>104</v>
      </c>
      <c r="N60" s="94" t="s">
        <v>104</v>
      </c>
      <c r="O60" s="94" t="s">
        <v>104</v>
      </c>
      <c r="P60" s="94" t="s">
        <v>104</v>
      </c>
      <c r="Q60" s="94" t="s">
        <v>104</v>
      </c>
    </row>
    <row r="61" spans="1:17" x14ac:dyDescent="0.25">
      <c r="K61" s="482"/>
      <c r="L61" s="96" t="s">
        <v>423</v>
      </c>
      <c r="M61" s="94" t="s">
        <v>104</v>
      </c>
      <c r="N61" s="94" t="s">
        <v>104</v>
      </c>
      <c r="O61" s="94" t="s">
        <v>104</v>
      </c>
      <c r="P61" s="94" t="s">
        <v>104</v>
      </c>
      <c r="Q61" s="94" t="s">
        <v>104</v>
      </c>
    </row>
    <row r="62" spans="1:17" x14ac:dyDescent="0.25">
      <c r="K62" s="482"/>
      <c r="L62" s="96" t="s">
        <v>424</v>
      </c>
      <c r="M62" s="94" t="s">
        <v>104</v>
      </c>
      <c r="N62" s="94" t="s">
        <v>104</v>
      </c>
      <c r="O62" s="94" t="s">
        <v>104</v>
      </c>
      <c r="P62" s="94" t="s">
        <v>104</v>
      </c>
      <c r="Q62" s="94" t="s">
        <v>104</v>
      </c>
    </row>
    <row r="63" spans="1:17" x14ac:dyDescent="0.25">
      <c r="K63" s="482"/>
      <c r="L63" s="96" t="s">
        <v>425</v>
      </c>
      <c r="M63" s="94" t="s">
        <v>104</v>
      </c>
      <c r="N63" s="94" t="s">
        <v>104</v>
      </c>
      <c r="O63" s="94" t="s">
        <v>104</v>
      </c>
      <c r="P63" s="94" t="s">
        <v>104</v>
      </c>
      <c r="Q63" s="94" t="s">
        <v>104</v>
      </c>
    </row>
    <row r="64" spans="1:17" x14ac:dyDescent="0.25">
      <c r="K64" s="482"/>
      <c r="L64" s="93" t="s">
        <v>426</v>
      </c>
      <c r="M64" s="93" t="e">
        <f>AVERAGE(M52:M63)</f>
        <v>#DIV/0!</v>
      </c>
      <c r="N64" s="93"/>
      <c r="O64" s="93">
        <f>MAX(O52:O63)</f>
        <v>0</v>
      </c>
      <c r="P64" s="93" t="e">
        <f>AVERAGE(P52:P63)</f>
        <v>#DIV/0!</v>
      </c>
      <c r="Q64" s="93">
        <f>MAX(Q52:Q63)</f>
        <v>0</v>
      </c>
    </row>
    <row r="66" spans="11:17" ht="27.6" x14ac:dyDescent="0.25">
      <c r="K66" s="92">
        <f>+A6</f>
        <v>2022</v>
      </c>
      <c r="L66" s="92" t="s">
        <v>408</v>
      </c>
      <c r="M66" s="85" t="s">
        <v>445</v>
      </c>
      <c r="N66" s="85" t="s">
        <v>446</v>
      </c>
      <c r="O66" s="85" t="s">
        <v>447</v>
      </c>
      <c r="P66" s="97" t="s">
        <v>406</v>
      </c>
      <c r="Q66" s="97" t="s">
        <v>410</v>
      </c>
    </row>
    <row r="67" spans="11:17" x14ac:dyDescent="0.25">
      <c r="K67" s="482" t="s">
        <v>186</v>
      </c>
      <c r="L67" s="96" t="s">
        <v>411</v>
      </c>
      <c r="M67" s="94" t="s">
        <v>104</v>
      </c>
      <c r="N67" s="94" t="s">
        <v>104</v>
      </c>
      <c r="O67" s="94" t="s">
        <v>104</v>
      </c>
      <c r="P67" s="94" t="s">
        <v>104</v>
      </c>
      <c r="Q67" s="94" t="s">
        <v>104</v>
      </c>
    </row>
    <row r="68" spans="11:17" x14ac:dyDescent="0.25">
      <c r="K68" s="482"/>
      <c r="L68" s="96" t="s">
        <v>412</v>
      </c>
      <c r="M68" s="94" t="s">
        <v>104</v>
      </c>
      <c r="N68" s="94" t="s">
        <v>104</v>
      </c>
      <c r="O68" s="94" t="s">
        <v>104</v>
      </c>
      <c r="P68" s="94" t="s">
        <v>104</v>
      </c>
      <c r="Q68" s="94" t="s">
        <v>104</v>
      </c>
    </row>
    <row r="69" spans="11:17" x14ac:dyDescent="0.25">
      <c r="K69" s="482"/>
      <c r="L69" s="96" t="s">
        <v>413</v>
      </c>
      <c r="M69" s="94" t="s">
        <v>104</v>
      </c>
      <c r="N69" s="94" t="s">
        <v>104</v>
      </c>
      <c r="O69" s="94" t="s">
        <v>104</v>
      </c>
      <c r="P69" s="94" t="s">
        <v>104</v>
      </c>
      <c r="Q69" s="94" t="s">
        <v>104</v>
      </c>
    </row>
    <row r="70" spans="11:17" x14ac:dyDescent="0.25">
      <c r="K70" s="482"/>
      <c r="L70" s="96" t="s">
        <v>415</v>
      </c>
      <c r="M70" s="94" t="s">
        <v>104</v>
      </c>
      <c r="N70" s="94" t="s">
        <v>104</v>
      </c>
      <c r="O70" s="94" t="s">
        <v>104</v>
      </c>
      <c r="P70" s="94" t="s">
        <v>104</v>
      </c>
      <c r="Q70" s="94" t="s">
        <v>104</v>
      </c>
    </row>
    <row r="71" spans="11:17" x14ac:dyDescent="0.25">
      <c r="K71" s="482"/>
      <c r="L71" s="96" t="s">
        <v>417</v>
      </c>
      <c r="M71" s="94" t="s">
        <v>104</v>
      </c>
      <c r="N71" s="94" t="s">
        <v>104</v>
      </c>
      <c r="O71" s="94" t="s">
        <v>104</v>
      </c>
      <c r="P71" s="94" t="s">
        <v>104</v>
      </c>
      <c r="Q71" s="94" t="s">
        <v>104</v>
      </c>
    </row>
    <row r="72" spans="11:17" x14ac:dyDescent="0.25">
      <c r="K72" s="482"/>
      <c r="L72" s="96" t="s">
        <v>418</v>
      </c>
      <c r="M72" s="94" t="s">
        <v>104</v>
      </c>
      <c r="N72" s="94" t="s">
        <v>104</v>
      </c>
      <c r="O72" s="94" t="s">
        <v>104</v>
      </c>
      <c r="P72" s="94" t="s">
        <v>104</v>
      </c>
      <c r="Q72" s="94" t="s">
        <v>104</v>
      </c>
    </row>
    <row r="73" spans="11:17" x14ac:dyDescent="0.25">
      <c r="K73" s="482"/>
      <c r="L73" s="96" t="s">
        <v>419</v>
      </c>
      <c r="M73" s="94" t="s">
        <v>104</v>
      </c>
      <c r="N73" s="94" t="s">
        <v>104</v>
      </c>
      <c r="O73" s="94" t="s">
        <v>104</v>
      </c>
      <c r="P73" s="94" t="s">
        <v>104</v>
      </c>
      <c r="Q73" s="94" t="s">
        <v>104</v>
      </c>
    </row>
    <row r="74" spans="11:17" x14ac:dyDescent="0.25">
      <c r="K74" s="482"/>
      <c r="L74" s="96" t="s">
        <v>421</v>
      </c>
      <c r="M74" s="94" t="s">
        <v>104</v>
      </c>
      <c r="N74" s="94" t="s">
        <v>104</v>
      </c>
      <c r="O74" s="94" t="s">
        <v>104</v>
      </c>
      <c r="P74" s="94" t="s">
        <v>104</v>
      </c>
      <c r="Q74" s="94" t="s">
        <v>104</v>
      </c>
    </row>
    <row r="75" spans="11:17" x14ac:dyDescent="0.25">
      <c r="K75" s="482"/>
      <c r="L75" s="96" t="s">
        <v>422</v>
      </c>
      <c r="M75" s="94" t="s">
        <v>104</v>
      </c>
      <c r="N75" s="94" t="s">
        <v>104</v>
      </c>
      <c r="O75" s="94" t="s">
        <v>104</v>
      </c>
      <c r="P75" s="94" t="s">
        <v>104</v>
      </c>
      <c r="Q75" s="94" t="s">
        <v>104</v>
      </c>
    </row>
    <row r="76" spans="11:17" x14ac:dyDescent="0.25">
      <c r="K76" s="482"/>
      <c r="L76" s="96" t="s">
        <v>423</v>
      </c>
      <c r="M76" s="94" t="s">
        <v>104</v>
      </c>
      <c r="N76" s="94" t="s">
        <v>104</v>
      </c>
      <c r="O76" s="94" t="s">
        <v>104</v>
      </c>
      <c r="P76" s="94" t="s">
        <v>104</v>
      </c>
      <c r="Q76" s="94" t="s">
        <v>104</v>
      </c>
    </row>
    <row r="77" spans="11:17" x14ac:dyDescent="0.25">
      <c r="K77" s="482"/>
      <c r="L77" s="96" t="s">
        <v>424</v>
      </c>
      <c r="M77" s="94" t="s">
        <v>104</v>
      </c>
      <c r="N77" s="94" t="s">
        <v>104</v>
      </c>
      <c r="O77" s="94" t="s">
        <v>104</v>
      </c>
      <c r="P77" s="94" t="s">
        <v>104</v>
      </c>
      <c r="Q77" s="94" t="s">
        <v>104</v>
      </c>
    </row>
    <row r="78" spans="11:17" x14ac:dyDescent="0.25">
      <c r="K78" s="482"/>
      <c r="L78" s="96" t="s">
        <v>425</v>
      </c>
      <c r="M78" s="94" t="s">
        <v>104</v>
      </c>
      <c r="N78" s="94" t="s">
        <v>104</v>
      </c>
      <c r="O78" s="94" t="s">
        <v>104</v>
      </c>
      <c r="P78" s="94" t="s">
        <v>104</v>
      </c>
      <c r="Q78" s="94" t="s">
        <v>104</v>
      </c>
    </row>
    <row r="79" spans="11:17" x14ac:dyDescent="0.25">
      <c r="K79" s="482"/>
      <c r="L79" s="93" t="s">
        <v>426</v>
      </c>
      <c r="M79" s="93" t="e">
        <f>AVERAGE(M67:M78)</f>
        <v>#DIV/0!</v>
      </c>
      <c r="N79" s="93"/>
      <c r="O79" s="93">
        <f>MAX(O67:O78)</f>
        <v>0</v>
      </c>
      <c r="P79" s="93" t="e">
        <f>AVERAGE(P67:P78)</f>
        <v>#DIV/0!</v>
      </c>
      <c r="Q79" s="93">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F1" zoomScaleNormal="100" workbookViewId="0">
      <selection activeCell="C6" sqref="C6"/>
    </sheetView>
  </sheetViews>
  <sheetFormatPr defaultRowHeight="13.8" x14ac:dyDescent="0.25"/>
  <cols>
    <col min="1" max="1" width="14" style="3" customWidth="1"/>
    <col min="2" max="4" width="17" style="57" customWidth="1"/>
    <col min="5" max="5" width="14.6640625" style="57" customWidth="1"/>
    <col min="6" max="7" width="17" style="57"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19" t="str">
        <f>+'Cover Page'!$B$29</f>
        <v>Annual Performance Report 2022</v>
      </c>
      <c r="B1" s="119"/>
      <c r="C1" s="119"/>
      <c r="D1" s="119"/>
      <c r="E1" s="119" t="str">
        <f>+'Cover Page'!$B$33</f>
        <v>Permit EPR/RP3036QU</v>
      </c>
    </row>
    <row r="3" spans="1:19" ht="14.4" x14ac:dyDescent="0.3">
      <c r="A3" s="91" t="s">
        <v>453</v>
      </c>
      <c r="D3" s="107" t="s">
        <v>395</v>
      </c>
      <c r="G3" s="111" t="s">
        <v>396</v>
      </c>
      <c r="J3" s="9" t="str">
        <f>+A3</f>
        <v xml:space="preserve">Monitoring of Ammnonia emissions </v>
      </c>
      <c r="L3" s="9"/>
      <c r="N3" s="9" t="s">
        <v>397</v>
      </c>
      <c r="Q3" s="110" t="s">
        <v>1</v>
      </c>
      <c r="R3" s="104"/>
      <c r="S3" s="104"/>
    </row>
    <row r="4" spans="1:19" ht="13.95" customHeight="1" x14ac:dyDescent="0.25">
      <c r="Q4" s="459" t="s">
        <v>398</v>
      </c>
      <c r="R4" s="459"/>
      <c r="S4" s="459"/>
    </row>
    <row r="5" spans="1:19" ht="16.2" x14ac:dyDescent="0.25">
      <c r="A5" s="98" t="s">
        <v>399</v>
      </c>
      <c r="B5" s="484" t="s">
        <v>400</v>
      </c>
      <c r="C5" s="484"/>
      <c r="D5" s="484"/>
      <c r="E5" s="484" t="s">
        <v>401</v>
      </c>
      <c r="F5" s="484"/>
      <c r="G5" s="484"/>
      <c r="J5" s="483"/>
      <c r="K5" s="483"/>
      <c r="L5" s="483"/>
      <c r="M5" s="483"/>
      <c r="N5" s="483"/>
      <c r="O5" s="483"/>
      <c r="Q5" s="459"/>
      <c r="R5" s="459"/>
      <c r="S5" s="459"/>
    </row>
    <row r="6" spans="1:19" s="89" customFormat="1" ht="37.5" customHeight="1" x14ac:dyDescent="0.3">
      <c r="A6" s="95">
        <f>+'Cover Page'!C39</f>
        <v>2022</v>
      </c>
      <c r="B6" s="85" t="s">
        <v>454</v>
      </c>
      <c r="C6" s="85" t="s">
        <v>403</v>
      </c>
      <c r="D6" s="85" t="s">
        <v>404</v>
      </c>
      <c r="E6" s="85" t="s">
        <v>455</v>
      </c>
      <c r="F6" s="85" t="s">
        <v>406</v>
      </c>
      <c r="G6" s="85" t="s">
        <v>407</v>
      </c>
      <c r="H6" s="90"/>
      <c r="J6" s="92">
        <f>+A6</f>
        <v>2022</v>
      </c>
      <c r="K6" s="92" t="s">
        <v>408</v>
      </c>
      <c r="L6" s="97" t="s">
        <v>403</v>
      </c>
      <c r="M6" s="97" t="s">
        <v>409</v>
      </c>
      <c r="N6" s="97" t="s">
        <v>406</v>
      </c>
      <c r="O6" s="97" t="s">
        <v>410</v>
      </c>
      <c r="Q6" s="459"/>
      <c r="R6" s="459"/>
      <c r="S6" s="459"/>
    </row>
    <row r="7" spans="1:19" x14ac:dyDescent="0.25">
      <c r="A7" s="96" t="s">
        <v>411</v>
      </c>
      <c r="B7" s="159">
        <v>10</v>
      </c>
      <c r="C7" s="125">
        <f>L7</f>
        <v>0.3</v>
      </c>
      <c r="D7" s="125">
        <f>M7</f>
        <v>0.5</v>
      </c>
      <c r="E7" s="159">
        <v>0</v>
      </c>
      <c r="F7" s="125">
        <f>N7</f>
        <v>0.3</v>
      </c>
      <c r="G7" s="125">
        <f>O7</f>
        <v>0.3</v>
      </c>
      <c r="J7" s="482" t="s">
        <v>182</v>
      </c>
      <c r="K7" s="96" t="s">
        <v>411</v>
      </c>
      <c r="L7" s="160">
        <v>0.3</v>
      </c>
      <c r="M7" s="160">
        <v>0.5</v>
      </c>
      <c r="N7" s="160">
        <v>0.3</v>
      </c>
      <c r="O7" s="161">
        <v>0.3</v>
      </c>
      <c r="Q7" s="459"/>
      <c r="R7" s="459"/>
      <c r="S7" s="459"/>
    </row>
    <row r="8" spans="1:19" x14ac:dyDescent="0.25">
      <c r="A8" s="96" t="s">
        <v>412</v>
      </c>
      <c r="B8" s="177">
        <f>+B7</f>
        <v>10</v>
      </c>
      <c r="C8" s="125">
        <f t="shared" ref="C8:C18" si="0">L8</f>
        <v>0.3</v>
      </c>
      <c r="D8" s="125">
        <f t="shared" ref="D8:D18" si="1">M8</f>
        <v>3.34</v>
      </c>
      <c r="E8" s="177">
        <f>+E7</f>
        <v>0</v>
      </c>
      <c r="F8" s="125">
        <f t="shared" ref="F8:F18" si="2">N8</f>
        <v>0.3</v>
      </c>
      <c r="G8" s="125">
        <f t="shared" ref="G8:G18" si="3">O8</f>
        <v>0.56000000000000005</v>
      </c>
      <c r="J8" s="482"/>
      <c r="K8" s="96" t="s">
        <v>412</v>
      </c>
      <c r="L8" s="160">
        <v>0.3</v>
      </c>
      <c r="M8" s="160">
        <v>3.34</v>
      </c>
      <c r="N8" s="160">
        <v>0.3</v>
      </c>
      <c r="O8" s="161">
        <v>0.56000000000000005</v>
      </c>
      <c r="Q8" s="459"/>
      <c r="R8" s="459"/>
      <c r="S8" s="459"/>
    </row>
    <row r="9" spans="1:19" x14ac:dyDescent="0.25">
      <c r="A9" s="96" t="s">
        <v>413</v>
      </c>
      <c r="B9" s="177">
        <f t="shared" ref="B9:B18" si="4">+B8</f>
        <v>10</v>
      </c>
      <c r="C9" s="125">
        <f t="shared" si="0"/>
        <v>0.3</v>
      </c>
      <c r="D9" s="125">
        <f t="shared" si="1"/>
        <v>16</v>
      </c>
      <c r="E9" s="177">
        <f t="shared" ref="E9:E18" si="5">+E8</f>
        <v>0</v>
      </c>
      <c r="F9" s="125">
        <f t="shared" si="2"/>
        <v>0.3</v>
      </c>
      <c r="G9" s="125">
        <f t="shared" si="3"/>
        <v>0.84</v>
      </c>
      <c r="J9" s="482"/>
      <c r="K9" s="96" t="s">
        <v>413</v>
      </c>
      <c r="L9" s="160">
        <v>0.3</v>
      </c>
      <c r="M9" s="160">
        <v>16</v>
      </c>
      <c r="N9" s="160">
        <v>0.3</v>
      </c>
      <c r="O9" s="161">
        <v>0.84</v>
      </c>
      <c r="Q9" s="109" t="s">
        <v>414</v>
      </c>
    </row>
    <row r="10" spans="1:19" ht="14.25" customHeight="1" x14ac:dyDescent="0.25">
      <c r="A10" s="96" t="s">
        <v>415</v>
      </c>
      <c r="B10" s="177">
        <f t="shared" si="4"/>
        <v>10</v>
      </c>
      <c r="C10" s="125">
        <f t="shared" si="0"/>
        <v>0.32</v>
      </c>
      <c r="D10" s="125">
        <f t="shared" si="1"/>
        <v>2.5499999999999998</v>
      </c>
      <c r="E10" s="177">
        <f t="shared" si="5"/>
        <v>0</v>
      </c>
      <c r="F10" s="125">
        <f t="shared" si="2"/>
        <v>0.32</v>
      </c>
      <c r="G10" s="125">
        <f t="shared" si="3"/>
        <v>0.47</v>
      </c>
      <c r="J10" s="482"/>
      <c r="K10" s="96" t="s">
        <v>415</v>
      </c>
      <c r="L10" s="160">
        <v>0.32</v>
      </c>
      <c r="M10" s="160">
        <v>2.5499999999999998</v>
      </c>
      <c r="N10" s="160">
        <v>0.32</v>
      </c>
      <c r="O10" s="160">
        <v>0.47</v>
      </c>
      <c r="Q10" s="481" t="s">
        <v>416</v>
      </c>
      <c r="R10" s="481"/>
      <c r="S10" s="481"/>
    </row>
    <row r="11" spans="1:19" x14ac:dyDescent="0.25">
      <c r="A11" s="96" t="s">
        <v>417</v>
      </c>
      <c r="B11" s="177">
        <f t="shared" si="4"/>
        <v>10</v>
      </c>
      <c r="C11" s="125">
        <f t="shared" si="0"/>
        <v>0.35</v>
      </c>
      <c r="D11" s="125">
        <f t="shared" si="1"/>
        <v>8.1999999999999993</v>
      </c>
      <c r="E11" s="177">
        <f t="shared" si="5"/>
        <v>0</v>
      </c>
      <c r="F11" s="125">
        <f t="shared" si="2"/>
        <v>0.35</v>
      </c>
      <c r="G11" s="125">
        <f t="shared" si="3"/>
        <v>0.5</v>
      </c>
      <c r="J11" s="482"/>
      <c r="K11" s="96" t="s">
        <v>417</v>
      </c>
      <c r="L11" s="160">
        <v>0.35</v>
      </c>
      <c r="M11" s="160">
        <v>8.1999999999999993</v>
      </c>
      <c r="N11" s="160">
        <v>0.35</v>
      </c>
      <c r="O11" s="161">
        <v>0.5</v>
      </c>
      <c r="Q11" s="481"/>
      <c r="R11" s="481"/>
      <c r="S11" s="481"/>
    </row>
    <row r="12" spans="1:19" x14ac:dyDescent="0.25">
      <c r="A12" s="96" t="s">
        <v>418</v>
      </c>
      <c r="B12" s="177">
        <f t="shared" si="4"/>
        <v>10</v>
      </c>
      <c r="C12" s="125">
        <f t="shared" si="0"/>
        <v>0.32</v>
      </c>
      <c r="D12" s="125">
        <f t="shared" si="1"/>
        <v>2.13</v>
      </c>
      <c r="E12" s="177">
        <f t="shared" si="5"/>
        <v>0</v>
      </c>
      <c r="F12" s="125">
        <f t="shared" si="2"/>
        <v>0.32</v>
      </c>
      <c r="G12" s="125">
        <f t="shared" si="3"/>
        <v>0.42</v>
      </c>
      <c r="J12" s="482"/>
      <c r="K12" s="96" t="s">
        <v>418</v>
      </c>
      <c r="L12" s="160">
        <v>0.32</v>
      </c>
      <c r="M12" s="160">
        <v>2.13</v>
      </c>
      <c r="N12" s="160">
        <v>0.32</v>
      </c>
      <c r="O12" s="161">
        <v>0.42</v>
      </c>
      <c r="Q12" s="481"/>
      <c r="R12" s="481"/>
      <c r="S12" s="481"/>
    </row>
    <row r="13" spans="1:19" ht="14.25" customHeight="1" x14ac:dyDescent="0.25">
      <c r="A13" s="96" t="s">
        <v>419</v>
      </c>
      <c r="B13" s="177">
        <f t="shared" si="4"/>
        <v>10</v>
      </c>
      <c r="C13" s="125">
        <f t="shared" si="0"/>
        <v>0.35</v>
      </c>
      <c r="D13" s="125">
        <f t="shared" si="1"/>
        <v>2.09</v>
      </c>
      <c r="E13" s="177">
        <f t="shared" si="5"/>
        <v>0</v>
      </c>
      <c r="F13" s="125">
        <f t="shared" si="2"/>
        <v>0.35</v>
      </c>
      <c r="G13" s="125">
        <f t="shared" si="3"/>
        <v>0.39</v>
      </c>
      <c r="J13" s="482"/>
      <c r="K13" s="96" t="s">
        <v>419</v>
      </c>
      <c r="L13" s="160">
        <v>0.35</v>
      </c>
      <c r="M13" s="160">
        <v>2.09</v>
      </c>
      <c r="N13" s="160">
        <v>0.35</v>
      </c>
      <c r="O13" s="161">
        <v>0.39</v>
      </c>
      <c r="Q13" s="481" t="s">
        <v>420</v>
      </c>
      <c r="R13" s="481"/>
      <c r="S13" s="481"/>
    </row>
    <row r="14" spans="1:19" x14ac:dyDescent="0.25">
      <c r="A14" s="96" t="s">
        <v>421</v>
      </c>
      <c r="B14" s="177">
        <f t="shared" si="4"/>
        <v>10</v>
      </c>
      <c r="C14" s="125">
        <f t="shared" si="0"/>
        <v>0.56000000000000005</v>
      </c>
      <c r="D14" s="125">
        <f t="shared" si="1"/>
        <v>2.63</v>
      </c>
      <c r="E14" s="177">
        <f t="shared" si="5"/>
        <v>0</v>
      </c>
      <c r="F14" s="125">
        <f t="shared" si="2"/>
        <v>0.56000000000000005</v>
      </c>
      <c r="G14" s="125">
        <f t="shared" si="3"/>
        <v>1.0900000000000001</v>
      </c>
      <c r="J14" s="482"/>
      <c r="K14" s="96" t="s">
        <v>421</v>
      </c>
      <c r="L14" s="160">
        <v>0.56000000000000005</v>
      </c>
      <c r="M14" s="160">
        <v>2.63</v>
      </c>
      <c r="N14" s="160">
        <v>0.56000000000000005</v>
      </c>
      <c r="O14" s="161">
        <v>1.0900000000000001</v>
      </c>
      <c r="Q14" s="481"/>
      <c r="R14" s="481"/>
      <c r="S14" s="481"/>
    </row>
    <row r="15" spans="1:19" x14ac:dyDescent="0.25">
      <c r="A15" s="96" t="s">
        <v>422</v>
      </c>
      <c r="B15" s="177">
        <f t="shared" si="4"/>
        <v>10</v>
      </c>
      <c r="C15" s="125">
        <f t="shared" si="0"/>
        <v>0.75</v>
      </c>
      <c r="D15" s="125">
        <f t="shared" si="1"/>
        <v>3.87</v>
      </c>
      <c r="E15" s="177">
        <f t="shared" si="5"/>
        <v>0</v>
      </c>
      <c r="F15" s="125">
        <f t="shared" si="2"/>
        <v>0.75</v>
      </c>
      <c r="G15" s="125">
        <f t="shared" si="3"/>
        <v>1.03</v>
      </c>
      <c r="J15" s="482"/>
      <c r="K15" s="96" t="s">
        <v>422</v>
      </c>
      <c r="L15" s="160">
        <v>0.75</v>
      </c>
      <c r="M15" s="160">
        <v>3.87</v>
      </c>
      <c r="N15" s="160">
        <v>0.75</v>
      </c>
      <c r="O15" s="161">
        <v>1.03</v>
      </c>
      <c r="Q15" s="481"/>
      <c r="R15" s="481"/>
      <c r="S15" s="481"/>
    </row>
    <row r="16" spans="1:19" x14ac:dyDescent="0.25">
      <c r="A16" s="96" t="s">
        <v>423</v>
      </c>
      <c r="B16" s="177">
        <f t="shared" si="4"/>
        <v>10</v>
      </c>
      <c r="C16" s="125" t="str">
        <f t="shared" si="0"/>
        <v>N/A</v>
      </c>
      <c r="D16" s="125" t="str">
        <f t="shared" si="1"/>
        <v>N/A</v>
      </c>
      <c r="E16" s="177">
        <f t="shared" si="5"/>
        <v>0</v>
      </c>
      <c r="F16" s="125" t="str">
        <f t="shared" si="2"/>
        <v>N/A</v>
      </c>
      <c r="G16" s="125" t="str">
        <f t="shared" si="3"/>
        <v>N/A</v>
      </c>
      <c r="J16" s="482"/>
      <c r="K16" s="96" t="s">
        <v>423</v>
      </c>
      <c r="L16" s="160" t="s">
        <v>104</v>
      </c>
      <c r="M16" s="160" t="s">
        <v>104</v>
      </c>
      <c r="N16" s="160" t="s">
        <v>104</v>
      </c>
      <c r="O16" s="160" t="s">
        <v>104</v>
      </c>
      <c r="Q16" s="481"/>
      <c r="R16" s="481"/>
      <c r="S16" s="481"/>
    </row>
    <row r="17" spans="1:15" x14ac:dyDescent="0.25">
      <c r="A17" s="96" t="s">
        <v>424</v>
      </c>
      <c r="B17" s="177">
        <f t="shared" si="4"/>
        <v>10</v>
      </c>
      <c r="C17" s="125" t="str">
        <f t="shared" si="0"/>
        <v>N/A</v>
      </c>
      <c r="D17" s="125" t="str">
        <f t="shared" si="1"/>
        <v>N/A</v>
      </c>
      <c r="E17" s="177">
        <f t="shared" si="5"/>
        <v>0</v>
      </c>
      <c r="F17" s="125" t="str">
        <f t="shared" si="2"/>
        <v>N/A</v>
      </c>
      <c r="G17" s="125" t="str">
        <f t="shared" si="3"/>
        <v>N/A</v>
      </c>
      <c r="J17" s="482"/>
      <c r="K17" s="96" t="s">
        <v>424</v>
      </c>
      <c r="L17" s="160" t="s">
        <v>104</v>
      </c>
      <c r="M17" s="160" t="s">
        <v>104</v>
      </c>
      <c r="N17" s="160" t="s">
        <v>104</v>
      </c>
      <c r="O17" s="160" t="s">
        <v>104</v>
      </c>
    </row>
    <row r="18" spans="1:15" x14ac:dyDescent="0.25">
      <c r="A18" s="96" t="s">
        <v>425</v>
      </c>
      <c r="B18" s="177">
        <f t="shared" si="4"/>
        <v>10</v>
      </c>
      <c r="C18" s="125">
        <f t="shared" si="0"/>
        <v>0</v>
      </c>
      <c r="D18" s="125">
        <f t="shared" si="1"/>
        <v>6</v>
      </c>
      <c r="E18" s="177">
        <f t="shared" si="5"/>
        <v>0</v>
      </c>
      <c r="F18" s="125">
        <f t="shared" si="2"/>
        <v>0</v>
      </c>
      <c r="G18" s="125">
        <f t="shared" si="3"/>
        <v>1</v>
      </c>
      <c r="J18" s="482"/>
      <c r="K18" s="96" t="s">
        <v>425</v>
      </c>
      <c r="L18" s="125">
        <v>0</v>
      </c>
      <c r="M18" s="125">
        <v>6</v>
      </c>
      <c r="N18" s="125">
        <v>0</v>
      </c>
      <c r="O18" s="125">
        <v>1</v>
      </c>
    </row>
    <row r="19" spans="1:15" x14ac:dyDescent="0.25">
      <c r="J19" s="482"/>
      <c r="K19" s="93" t="s">
        <v>426</v>
      </c>
      <c r="L19" s="5">
        <f>AVERAGE(L7:L18)</f>
        <v>0.35499999999999998</v>
      </c>
      <c r="M19" s="5">
        <f>MAX(M7:M18)</f>
        <v>16</v>
      </c>
      <c r="N19" s="5">
        <f>AVERAGE(N7:N18)</f>
        <v>0.35499999999999998</v>
      </c>
      <c r="O19" s="178">
        <f>MAX(O7:O18)</f>
        <v>1.0900000000000001</v>
      </c>
    </row>
    <row r="21" spans="1:15" ht="41.4" x14ac:dyDescent="0.25">
      <c r="J21" s="92">
        <f>+A6</f>
        <v>2022</v>
      </c>
      <c r="K21" s="92" t="s">
        <v>408</v>
      </c>
      <c r="L21" s="97" t="s">
        <v>403</v>
      </c>
      <c r="M21" s="97" t="s">
        <v>409</v>
      </c>
      <c r="N21" s="97" t="s">
        <v>406</v>
      </c>
      <c r="O21" s="97" t="s">
        <v>410</v>
      </c>
    </row>
    <row r="22" spans="1:15" x14ac:dyDescent="0.25">
      <c r="J22" s="482" t="s">
        <v>183</v>
      </c>
      <c r="K22" s="96" t="s">
        <v>411</v>
      </c>
      <c r="L22" s="94" t="s">
        <v>104</v>
      </c>
      <c r="M22" s="94" t="s">
        <v>104</v>
      </c>
      <c r="N22" s="94" t="s">
        <v>104</v>
      </c>
      <c r="O22" s="94" t="s">
        <v>104</v>
      </c>
    </row>
    <row r="23" spans="1:15" x14ac:dyDescent="0.25">
      <c r="J23" s="482"/>
      <c r="K23" s="96" t="s">
        <v>412</v>
      </c>
      <c r="L23" s="94" t="s">
        <v>104</v>
      </c>
      <c r="M23" s="94" t="s">
        <v>104</v>
      </c>
      <c r="N23" s="94" t="s">
        <v>104</v>
      </c>
      <c r="O23" s="94" t="s">
        <v>104</v>
      </c>
    </row>
    <row r="24" spans="1:15" x14ac:dyDescent="0.25">
      <c r="J24" s="482"/>
      <c r="K24" s="96" t="s">
        <v>413</v>
      </c>
      <c r="L24" s="94" t="s">
        <v>104</v>
      </c>
      <c r="M24" s="94" t="s">
        <v>104</v>
      </c>
      <c r="N24" s="94" t="s">
        <v>104</v>
      </c>
      <c r="O24" s="94" t="s">
        <v>104</v>
      </c>
    </row>
    <row r="25" spans="1:15" x14ac:dyDescent="0.25">
      <c r="J25" s="482"/>
      <c r="K25" s="96" t="s">
        <v>415</v>
      </c>
      <c r="L25" s="94" t="s">
        <v>104</v>
      </c>
      <c r="M25" s="94" t="s">
        <v>104</v>
      </c>
      <c r="N25" s="94" t="s">
        <v>104</v>
      </c>
      <c r="O25" s="94" t="s">
        <v>104</v>
      </c>
    </row>
    <row r="26" spans="1:15" x14ac:dyDescent="0.25">
      <c r="J26" s="482"/>
      <c r="K26" s="96" t="s">
        <v>417</v>
      </c>
      <c r="L26" s="94" t="s">
        <v>104</v>
      </c>
      <c r="M26" s="94" t="s">
        <v>104</v>
      </c>
      <c r="N26" s="94" t="s">
        <v>104</v>
      </c>
      <c r="O26" s="94" t="s">
        <v>104</v>
      </c>
    </row>
    <row r="27" spans="1:15" x14ac:dyDescent="0.25">
      <c r="J27" s="482"/>
      <c r="K27" s="96" t="s">
        <v>418</v>
      </c>
      <c r="L27" s="94" t="s">
        <v>104</v>
      </c>
      <c r="M27" s="94" t="s">
        <v>104</v>
      </c>
      <c r="N27" s="94" t="s">
        <v>104</v>
      </c>
      <c r="O27" s="94" t="s">
        <v>104</v>
      </c>
    </row>
    <row r="28" spans="1:15" x14ac:dyDescent="0.25">
      <c r="J28" s="482"/>
      <c r="K28" s="96" t="s">
        <v>419</v>
      </c>
      <c r="L28" s="94" t="s">
        <v>104</v>
      </c>
      <c r="M28" s="94" t="s">
        <v>104</v>
      </c>
      <c r="N28" s="94" t="s">
        <v>104</v>
      </c>
      <c r="O28" s="94" t="s">
        <v>104</v>
      </c>
    </row>
    <row r="29" spans="1:15" x14ac:dyDescent="0.25">
      <c r="B29" s="57" t="s">
        <v>53</v>
      </c>
      <c r="J29" s="482"/>
      <c r="K29" s="96" t="s">
        <v>421</v>
      </c>
      <c r="L29" s="94" t="s">
        <v>104</v>
      </c>
      <c r="M29" s="94" t="s">
        <v>104</v>
      </c>
      <c r="N29" s="94" t="s">
        <v>104</v>
      </c>
      <c r="O29" s="94" t="s">
        <v>104</v>
      </c>
    </row>
    <row r="30" spans="1:15" x14ac:dyDescent="0.25">
      <c r="J30" s="482"/>
      <c r="K30" s="96" t="s">
        <v>422</v>
      </c>
      <c r="L30" s="94" t="s">
        <v>104</v>
      </c>
      <c r="M30" s="94" t="s">
        <v>104</v>
      </c>
      <c r="N30" s="94" t="s">
        <v>104</v>
      </c>
      <c r="O30" s="94" t="s">
        <v>104</v>
      </c>
    </row>
    <row r="31" spans="1:15" x14ac:dyDescent="0.25">
      <c r="B31" s="57" t="s">
        <v>53</v>
      </c>
      <c r="J31" s="482"/>
      <c r="K31" s="96" t="s">
        <v>423</v>
      </c>
      <c r="L31" s="94" t="s">
        <v>104</v>
      </c>
      <c r="M31" s="94" t="s">
        <v>104</v>
      </c>
      <c r="N31" s="94" t="s">
        <v>104</v>
      </c>
      <c r="O31" s="94" t="s">
        <v>104</v>
      </c>
    </row>
    <row r="32" spans="1:15" x14ac:dyDescent="0.25">
      <c r="J32" s="482"/>
      <c r="K32" s="96" t="s">
        <v>424</v>
      </c>
      <c r="L32" s="94" t="s">
        <v>104</v>
      </c>
      <c r="M32" s="94" t="s">
        <v>104</v>
      </c>
      <c r="N32" s="94" t="s">
        <v>104</v>
      </c>
      <c r="O32" s="94" t="s">
        <v>104</v>
      </c>
    </row>
    <row r="33" spans="1:15" x14ac:dyDescent="0.25">
      <c r="J33" s="482"/>
      <c r="K33" s="96" t="s">
        <v>425</v>
      </c>
      <c r="L33" s="94" t="s">
        <v>104</v>
      </c>
      <c r="M33" s="94" t="s">
        <v>104</v>
      </c>
      <c r="N33" s="94" t="s">
        <v>104</v>
      </c>
      <c r="O33" s="94" t="s">
        <v>104</v>
      </c>
    </row>
    <row r="34" spans="1:15" x14ac:dyDescent="0.25">
      <c r="J34" s="482"/>
      <c r="K34" s="93" t="s">
        <v>426</v>
      </c>
      <c r="L34" s="93" t="e">
        <f>AVERAGE(L22:L33)</f>
        <v>#DIV/0!</v>
      </c>
      <c r="M34" s="93">
        <f>MAX(M22:M33)</f>
        <v>0</v>
      </c>
      <c r="N34" s="93" t="e">
        <f>AVERAGE(N22:N33)</f>
        <v>#DIV/0!</v>
      </c>
      <c r="O34" s="93">
        <f>MAX(O22:O33)</f>
        <v>0</v>
      </c>
    </row>
    <row r="36" spans="1:15" ht="41.4" x14ac:dyDescent="0.25">
      <c r="J36" s="92">
        <f>+A6</f>
        <v>2022</v>
      </c>
      <c r="K36" s="92" t="s">
        <v>408</v>
      </c>
      <c r="L36" s="97" t="s">
        <v>403</v>
      </c>
      <c r="M36" s="97" t="s">
        <v>409</v>
      </c>
      <c r="N36" s="97" t="s">
        <v>406</v>
      </c>
      <c r="O36" s="97" t="s">
        <v>410</v>
      </c>
    </row>
    <row r="37" spans="1:15" x14ac:dyDescent="0.25">
      <c r="J37" s="482" t="s">
        <v>184</v>
      </c>
      <c r="K37" s="96" t="s">
        <v>411</v>
      </c>
      <c r="L37" s="94" t="s">
        <v>104</v>
      </c>
      <c r="M37" s="94" t="s">
        <v>104</v>
      </c>
      <c r="N37" s="94" t="s">
        <v>104</v>
      </c>
      <c r="O37" s="94" t="s">
        <v>104</v>
      </c>
    </row>
    <row r="38" spans="1:15" x14ac:dyDescent="0.25">
      <c r="J38" s="482"/>
      <c r="K38" s="96" t="s">
        <v>412</v>
      </c>
      <c r="L38" s="94" t="s">
        <v>104</v>
      </c>
      <c r="M38" s="94" t="s">
        <v>104</v>
      </c>
      <c r="N38" s="94" t="s">
        <v>104</v>
      </c>
      <c r="O38" s="94" t="s">
        <v>104</v>
      </c>
    </row>
    <row r="39" spans="1:15" x14ac:dyDescent="0.25">
      <c r="C39" s="57">
        <v>2021</v>
      </c>
      <c r="J39" s="482"/>
      <c r="K39" s="96" t="s">
        <v>413</v>
      </c>
      <c r="L39" s="94" t="s">
        <v>104</v>
      </c>
      <c r="M39" s="94" t="s">
        <v>104</v>
      </c>
      <c r="N39" s="94" t="s">
        <v>104</v>
      </c>
      <c r="O39" s="94" t="s">
        <v>104</v>
      </c>
    </row>
    <row r="40" spans="1:15" x14ac:dyDescent="0.25">
      <c r="J40" s="482"/>
      <c r="K40" s="96" t="s">
        <v>415</v>
      </c>
      <c r="L40" s="94" t="s">
        <v>104</v>
      </c>
      <c r="M40" s="94" t="s">
        <v>104</v>
      </c>
      <c r="N40" s="94" t="s">
        <v>104</v>
      </c>
      <c r="O40" s="94" t="s">
        <v>104</v>
      </c>
    </row>
    <row r="41" spans="1:15" x14ac:dyDescent="0.25">
      <c r="J41" s="482"/>
      <c r="K41" s="96" t="s">
        <v>417</v>
      </c>
      <c r="L41" s="94" t="s">
        <v>104</v>
      </c>
      <c r="M41" s="94" t="s">
        <v>104</v>
      </c>
      <c r="N41" s="94" t="s">
        <v>104</v>
      </c>
      <c r="O41" s="94" t="s">
        <v>104</v>
      </c>
    </row>
    <row r="42" spans="1:15" x14ac:dyDescent="0.25">
      <c r="J42" s="482"/>
      <c r="K42" s="96" t="s">
        <v>418</v>
      </c>
      <c r="L42" s="94" t="s">
        <v>104</v>
      </c>
      <c r="M42" s="94" t="s">
        <v>104</v>
      </c>
      <c r="N42" s="94" t="s">
        <v>104</v>
      </c>
      <c r="O42" s="94" t="s">
        <v>104</v>
      </c>
    </row>
    <row r="43" spans="1:15" x14ac:dyDescent="0.25">
      <c r="J43" s="482"/>
      <c r="K43" s="96" t="s">
        <v>419</v>
      </c>
      <c r="L43" s="94" t="s">
        <v>104</v>
      </c>
      <c r="M43" s="94" t="s">
        <v>104</v>
      </c>
      <c r="N43" s="94" t="s">
        <v>104</v>
      </c>
      <c r="O43" s="94" t="s">
        <v>104</v>
      </c>
    </row>
    <row r="44" spans="1:15" x14ac:dyDescent="0.25">
      <c r="J44" s="482"/>
      <c r="K44" s="96" t="s">
        <v>421</v>
      </c>
      <c r="L44" s="94" t="s">
        <v>104</v>
      </c>
      <c r="M44" s="94" t="s">
        <v>104</v>
      </c>
      <c r="N44" s="94" t="s">
        <v>104</v>
      </c>
      <c r="O44" s="94" t="s">
        <v>104</v>
      </c>
    </row>
    <row r="45" spans="1:15" x14ac:dyDescent="0.25">
      <c r="J45" s="482"/>
      <c r="K45" s="96" t="s">
        <v>422</v>
      </c>
      <c r="L45" s="94" t="s">
        <v>104</v>
      </c>
      <c r="M45" s="94" t="s">
        <v>104</v>
      </c>
      <c r="N45" s="94" t="s">
        <v>104</v>
      </c>
      <c r="O45" s="94" t="s">
        <v>104</v>
      </c>
    </row>
    <row r="46" spans="1:15" x14ac:dyDescent="0.25">
      <c r="J46" s="482"/>
      <c r="K46" s="96" t="s">
        <v>423</v>
      </c>
      <c r="L46" s="94" t="s">
        <v>104</v>
      </c>
      <c r="M46" s="94" t="s">
        <v>104</v>
      </c>
      <c r="N46" s="94" t="s">
        <v>104</v>
      </c>
      <c r="O46" s="94" t="s">
        <v>104</v>
      </c>
    </row>
    <row r="47" spans="1:15" x14ac:dyDescent="0.25">
      <c r="J47" s="482"/>
      <c r="K47" s="96" t="s">
        <v>424</v>
      </c>
      <c r="L47" s="94" t="s">
        <v>104</v>
      </c>
      <c r="M47" s="94" t="s">
        <v>104</v>
      </c>
      <c r="N47" s="94" t="s">
        <v>104</v>
      </c>
      <c r="O47" s="94" t="s">
        <v>104</v>
      </c>
    </row>
    <row r="48" spans="1:15" x14ac:dyDescent="0.25">
      <c r="A48" s="494" t="s">
        <v>306</v>
      </c>
      <c r="B48" s="495"/>
      <c r="C48" s="495"/>
      <c r="D48" s="495"/>
      <c r="E48" s="495"/>
      <c r="F48" s="495"/>
      <c r="G48" s="496"/>
      <c r="J48" s="482"/>
      <c r="K48" s="96" t="s">
        <v>425</v>
      </c>
      <c r="L48" s="94" t="s">
        <v>104</v>
      </c>
      <c r="M48" s="94" t="s">
        <v>104</v>
      </c>
      <c r="N48" s="94" t="s">
        <v>104</v>
      </c>
      <c r="O48" s="94" t="s">
        <v>104</v>
      </c>
    </row>
    <row r="49" spans="1:15" x14ac:dyDescent="0.25">
      <c r="A49" s="485" t="s">
        <v>456</v>
      </c>
      <c r="B49" s="486"/>
      <c r="C49" s="486"/>
      <c r="D49" s="486"/>
      <c r="E49" s="486"/>
      <c r="F49" s="486"/>
      <c r="G49" s="487"/>
      <c r="J49" s="482"/>
      <c r="K49" s="93" t="s">
        <v>426</v>
      </c>
      <c r="L49" s="93" t="e">
        <f>AVERAGE(L37:L48)</f>
        <v>#DIV/0!</v>
      </c>
      <c r="M49" s="93">
        <f>MAX(M37:M48)</f>
        <v>0</v>
      </c>
      <c r="N49" s="93" t="e">
        <f>AVERAGE(N37:N48)</f>
        <v>#DIV/0!</v>
      </c>
      <c r="O49" s="93">
        <f>MAX(O37:O48)</f>
        <v>0</v>
      </c>
    </row>
    <row r="50" spans="1:15" x14ac:dyDescent="0.25">
      <c r="A50" s="488"/>
      <c r="B50" s="489"/>
      <c r="C50" s="489"/>
      <c r="D50" s="489"/>
      <c r="E50" s="489"/>
      <c r="F50" s="489"/>
      <c r="G50" s="490"/>
    </row>
    <row r="51" spans="1:15" ht="41.4" x14ac:dyDescent="0.25">
      <c r="A51" s="488"/>
      <c r="B51" s="489"/>
      <c r="C51" s="489"/>
      <c r="D51" s="489"/>
      <c r="E51" s="489"/>
      <c r="F51" s="489"/>
      <c r="G51" s="490"/>
      <c r="J51" s="92">
        <f>+A6</f>
        <v>2022</v>
      </c>
      <c r="K51" s="92" t="s">
        <v>408</v>
      </c>
      <c r="L51" s="97" t="s">
        <v>403</v>
      </c>
      <c r="M51" s="97" t="s">
        <v>409</v>
      </c>
      <c r="N51" s="97" t="s">
        <v>406</v>
      </c>
      <c r="O51" s="97" t="s">
        <v>410</v>
      </c>
    </row>
    <row r="52" spans="1:15" x14ac:dyDescent="0.25">
      <c r="A52" s="491"/>
      <c r="B52" s="492"/>
      <c r="C52" s="492"/>
      <c r="D52" s="492"/>
      <c r="E52" s="492"/>
      <c r="F52" s="492"/>
      <c r="G52" s="493"/>
      <c r="J52" s="482" t="s">
        <v>185</v>
      </c>
      <c r="K52" s="96" t="s">
        <v>411</v>
      </c>
      <c r="L52" s="94" t="s">
        <v>104</v>
      </c>
      <c r="M52" s="94" t="s">
        <v>104</v>
      </c>
      <c r="N52" s="94" t="s">
        <v>104</v>
      </c>
      <c r="O52" s="94" t="s">
        <v>104</v>
      </c>
    </row>
    <row r="53" spans="1:15" x14ac:dyDescent="0.25">
      <c r="J53" s="482"/>
      <c r="K53" s="96" t="s">
        <v>412</v>
      </c>
      <c r="L53" s="94" t="s">
        <v>104</v>
      </c>
      <c r="M53" s="94" t="s">
        <v>104</v>
      </c>
      <c r="N53" s="94" t="s">
        <v>104</v>
      </c>
      <c r="O53" s="94" t="s">
        <v>104</v>
      </c>
    </row>
    <row r="54" spans="1:15" x14ac:dyDescent="0.25">
      <c r="J54" s="482"/>
      <c r="K54" s="96" t="s">
        <v>413</v>
      </c>
      <c r="L54" s="94" t="s">
        <v>104</v>
      </c>
      <c r="M54" s="94" t="s">
        <v>104</v>
      </c>
      <c r="N54" s="94" t="s">
        <v>104</v>
      </c>
      <c r="O54" s="94" t="s">
        <v>104</v>
      </c>
    </row>
    <row r="55" spans="1:15" x14ac:dyDescent="0.25">
      <c r="J55" s="482"/>
      <c r="K55" s="96" t="s">
        <v>415</v>
      </c>
      <c r="L55" s="94" t="s">
        <v>104</v>
      </c>
      <c r="M55" s="94" t="s">
        <v>104</v>
      </c>
      <c r="N55" s="94" t="s">
        <v>104</v>
      </c>
      <c r="O55" s="94" t="s">
        <v>104</v>
      </c>
    </row>
    <row r="56" spans="1:15" x14ac:dyDescent="0.25">
      <c r="J56" s="482"/>
      <c r="K56" s="96" t="s">
        <v>417</v>
      </c>
      <c r="L56" s="94" t="s">
        <v>104</v>
      </c>
      <c r="M56" s="94" t="s">
        <v>104</v>
      </c>
      <c r="N56" s="94" t="s">
        <v>104</v>
      </c>
      <c r="O56" s="94" t="s">
        <v>104</v>
      </c>
    </row>
    <row r="57" spans="1:15" x14ac:dyDescent="0.25">
      <c r="J57" s="482"/>
      <c r="K57" s="96" t="s">
        <v>418</v>
      </c>
      <c r="L57" s="94" t="s">
        <v>104</v>
      </c>
      <c r="M57" s="94" t="s">
        <v>104</v>
      </c>
      <c r="N57" s="94" t="s">
        <v>104</v>
      </c>
      <c r="O57" s="94" t="s">
        <v>104</v>
      </c>
    </row>
    <row r="58" spans="1:15" x14ac:dyDescent="0.25">
      <c r="J58" s="482"/>
      <c r="K58" s="96" t="s">
        <v>419</v>
      </c>
      <c r="L58" s="94" t="s">
        <v>104</v>
      </c>
      <c r="M58" s="94" t="s">
        <v>104</v>
      </c>
      <c r="N58" s="94" t="s">
        <v>104</v>
      </c>
      <c r="O58" s="94" t="s">
        <v>104</v>
      </c>
    </row>
    <row r="59" spans="1:15" x14ac:dyDescent="0.25">
      <c r="J59" s="482"/>
      <c r="K59" s="96" t="s">
        <v>421</v>
      </c>
      <c r="L59" s="94" t="s">
        <v>104</v>
      </c>
      <c r="M59" s="94" t="s">
        <v>104</v>
      </c>
      <c r="N59" s="94" t="s">
        <v>104</v>
      </c>
      <c r="O59" s="94" t="s">
        <v>104</v>
      </c>
    </row>
    <row r="60" spans="1:15" x14ac:dyDescent="0.25">
      <c r="J60" s="482"/>
      <c r="K60" s="96" t="s">
        <v>422</v>
      </c>
      <c r="L60" s="94" t="s">
        <v>104</v>
      </c>
      <c r="M60" s="94" t="s">
        <v>104</v>
      </c>
      <c r="N60" s="94" t="s">
        <v>104</v>
      </c>
      <c r="O60" s="94" t="s">
        <v>104</v>
      </c>
    </row>
    <row r="61" spans="1:15" x14ac:dyDescent="0.25">
      <c r="J61" s="482"/>
      <c r="K61" s="96" t="s">
        <v>423</v>
      </c>
      <c r="L61" s="94" t="s">
        <v>104</v>
      </c>
      <c r="M61" s="94" t="s">
        <v>104</v>
      </c>
      <c r="N61" s="94" t="s">
        <v>104</v>
      </c>
      <c r="O61" s="94" t="s">
        <v>104</v>
      </c>
    </row>
    <row r="62" spans="1:15" x14ac:dyDescent="0.25">
      <c r="J62" s="482"/>
      <c r="K62" s="96" t="s">
        <v>424</v>
      </c>
      <c r="L62" s="94" t="s">
        <v>104</v>
      </c>
      <c r="M62" s="94" t="s">
        <v>104</v>
      </c>
      <c r="N62" s="94" t="s">
        <v>104</v>
      </c>
      <c r="O62" s="94" t="s">
        <v>104</v>
      </c>
    </row>
    <row r="63" spans="1:15" x14ac:dyDescent="0.25">
      <c r="J63" s="482"/>
      <c r="K63" s="96" t="s">
        <v>425</v>
      </c>
      <c r="L63" s="94" t="s">
        <v>104</v>
      </c>
      <c r="M63" s="94" t="s">
        <v>104</v>
      </c>
      <c r="N63" s="94" t="s">
        <v>104</v>
      </c>
      <c r="O63" s="94" t="s">
        <v>104</v>
      </c>
    </row>
    <row r="64" spans="1:15" x14ac:dyDescent="0.25">
      <c r="J64" s="482"/>
      <c r="K64" s="93" t="s">
        <v>426</v>
      </c>
      <c r="L64" s="93" t="e">
        <f>AVERAGE(L52:L63)</f>
        <v>#DIV/0!</v>
      </c>
      <c r="M64" s="93">
        <f>MAX(M52:M63)</f>
        <v>0</v>
      </c>
      <c r="N64" s="93" t="e">
        <f>AVERAGE(N52:N63)</f>
        <v>#DIV/0!</v>
      </c>
      <c r="O64" s="93">
        <f>MAX(O52:O63)</f>
        <v>0</v>
      </c>
    </row>
    <row r="66" spans="10:15" ht="41.4" x14ac:dyDescent="0.25">
      <c r="J66" s="92">
        <f>+A6</f>
        <v>2022</v>
      </c>
      <c r="K66" s="92" t="s">
        <v>408</v>
      </c>
      <c r="L66" s="97" t="s">
        <v>403</v>
      </c>
      <c r="M66" s="97" t="s">
        <v>409</v>
      </c>
      <c r="N66" s="97" t="s">
        <v>406</v>
      </c>
      <c r="O66" s="97" t="s">
        <v>410</v>
      </c>
    </row>
    <row r="67" spans="10:15" x14ac:dyDescent="0.25">
      <c r="J67" s="482" t="s">
        <v>186</v>
      </c>
      <c r="K67" s="96" t="s">
        <v>411</v>
      </c>
      <c r="L67" s="94" t="s">
        <v>104</v>
      </c>
      <c r="M67" s="94" t="s">
        <v>104</v>
      </c>
      <c r="N67" s="94" t="s">
        <v>104</v>
      </c>
      <c r="O67" s="94" t="s">
        <v>104</v>
      </c>
    </row>
    <row r="68" spans="10:15" x14ac:dyDescent="0.25">
      <c r="J68" s="482"/>
      <c r="K68" s="96" t="s">
        <v>412</v>
      </c>
      <c r="L68" s="94" t="s">
        <v>104</v>
      </c>
      <c r="M68" s="94" t="s">
        <v>104</v>
      </c>
      <c r="N68" s="94" t="s">
        <v>104</v>
      </c>
      <c r="O68" s="94" t="s">
        <v>104</v>
      </c>
    </row>
    <row r="69" spans="10:15" x14ac:dyDescent="0.25">
      <c r="J69" s="482"/>
      <c r="K69" s="96" t="s">
        <v>413</v>
      </c>
      <c r="L69" s="94" t="s">
        <v>104</v>
      </c>
      <c r="M69" s="94" t="s">
        <v>104</v>
      </c>
      <c r="N69" s="94" t="s">
        <v>104</v>
      </c>
      <c r="O69" s="94" t="s">
        <v>104</v>
      </c>
    </row>
    <row r="70" spans="10:15" x14ac:dyDescent="0.25">
      <c r="J70" s="482"/>
      <c r="K70" s="96" t="s">
        <v>415</v>
      </c>
      <c r="L70" s="94" t="s">
        <v>104</v>
      </c>
      <c r="M70" s="94" t="s">
        <v>104</v>
      </c>
      <c r="N70" s="94" t="s">
        <v>104</v>
      </c>
      <c r="O70" s="94" t="s">
        <v>104</v>
      </c>
    </row>
    <row r="71" spans="10:15" x14ac:dyDescent="0.25">
      <c r="J71" s="482"/>
      <c r="K71" s="96" t="s">
        <v>417</v>
      </c>
      <c r="L71" s="94" t="s">
        <v>104</v>
      </c>
      <c r="M71" s="94" t="s">
        <v>104</v>
      </c>
      <c r="N71" s="94" t="s">
        <v>104</v>
      </c>
      <c r="O71" s="94" t="s">
        <v>104</v>
      </c>
    </row>
    <row r="72" spans="10:15" x14ac:dyDescent="0.25">
      <c r="J72" s="482"/>
      <c r="K72" s="96" t="s">
        <v>418</v>
      </c>
      <c r="L72" s="94" t="s">
        <v>104</v>
      </c>
      <c r="M72" s="94" t="s">
        <v>104</v>
      </c>
      <c r="N72" s="94" t="s">
        <v>104</v>
      </c>
      <c r="O72" s="94" t="s">
        <v>104</v>
      </c>
    </row>
    <row r="73" spans="10:15" x14ac:dyDescent="0.25">
      <c r="J73" s="482"/>
      <c r="K73" s="96" t="s">
        <v>419</v>
      </c>
      <c r="L73" s="94" t="s">
        <v>104</v>
      </c>
      <c r="M73" s="94" t="s">
        <v>104</v>
      </c>
      <c r="N73" s="94" t="s">
        <v>104</v>
      </c>
      <c r="O73" s="94" t="s">
        <v>104</v>
      </c>
    </row>
    <row r="74" spans="10:15" x14ac:dyDescent="0.25">
      <c r="J74" s="482"/>
      <c r="K74" s="96" t="s">
        <v>421</v>
      </c>
      <c r="L74" s="94" t="s">
        <v>104</v>
      </c>
      <c r="M74" s="94" t="s">
        <v>104</v>
      </c>
      <c r="N74" s="94" t="s">
        <v>104</v>
      </c>
      <c r="O74" s="94" t="s">
        <v>104</v>
      </c>
    </row>
    <row r="75" spans="10:15" x14ac:dyDescent="0.25">
      <c r="J75" s="482"/>
      <c r="K75" s="96" t="s">
        <v>422</v>
      </c>
      <c r="L75" s="94" t="s">
        <v>104</v>
      </c>
      <c r="M75" s="94" t="s">
        <v>104</v>
      </c>
      <c r="N75" s="94" t="s">
        <v>104</v>
      </c>
      <c r="O75" s="94" t="s">
        <v>104</v>
      </c>
    </row>
    <row r="76" spans="10:15" x14ac:dyDescent="0.25">
      <c r="J76" s="482"/>
      <c r="K76" s="96" t="s">
        <v>423</v>
      </c>
      <c r="L76" s="94" t="s">
        <v>104</v>
      </c>
      <c r="M76" s="94" t="s">
        <v>104</v>
      </c>
      <c r="N76" s="94" t="s">
        <v>104</v>
      </c>
      <c r="O76" s="94" t="s">
        <v>104</v>
      </c>
    </row>
    <row r="77" spans="10:15" x14ac:dyDescent="0.25">
      <c r="J77" s="482"/>
      <c r="K77" s="96" t="s">
        <v>424</v>
      </c>
      <c r="L77" s="94" t="s">
        <v>104</v>
      </c>
      <c r="M77" s="94" t="s">
        <v>104</v>
      </c>
      <c r="N77" s="94" t="s">
        <v>104</v>
      </c>
      <c r="O77" s="94" t="s">
        <v>104</v>
      </c>
    </row>
    <row r="78" spans="10:15" x14ac:dyDescent="0.25">
      <c r="J78" s="482"/>
      <c r="K78" s="96" t="s">
        <v>425</v>
      </c>
      <c r="L78" s="94" t="s">
        <v>104</v>
      </c>
      <c r="M78" s="94" t="s">
        <v>104</v>
      </c>
      <c r="N78" s="94" t="s">
        <v>104</v>
      </c>
      <c r="O78" s="94" t="s">
        <v>104</v>
      </c>
    </row>
    <row r="79" spans="10:15" x14ac:dyDescent="0.25">
      <c r="J79" s="482"/>
      <c r="K79" s="93" t="s">
        <v>426</v>
      </c>
      <c r="L79" s="93" t="e">
        <f>AVERAGE(L67:L78)</f>
        <v>#DIV/0!</v>
      </c>
      <c r="M79" s="93">
        <f>MAX(M67:M78)</f>
        <v>0</v>
      </c>
      <c r="N79" s="93" t="e">
        <f>AVERAGE(N67:N78)</f>
        <v>#DIV/0!</v>
      </c>
      <c r="O79" s="9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7D565E5-4CD6-4B20-91CA-48658449C8F0}">
  <ds:schemaRefs>
    <ds:schemaRef ds:uri="Microsoft.SharePoint.Taxonomy.ContentTypeSync"/>
  </ds:schemaRefs>
</ds:datastoreItem>
</file>

<file path=customXml/itemProps2.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3.xml><?xml version="1.0" encoding="utf-8"?>
<ds:datastoreItem xmlns:ds="http://schemas.openxmlformats.org/officeDocument/2006/customXml" ds:itemID="{D0D438C0-47A1-4A59-826D-DCE4337037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30E79B3-286C-4594-AC93-4243D3FE78E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vt:i4>
      </vt:variant>
    </vt:vector>
  </HeadingPairs>
  <TitlesOfParts>
    <vt:vector size="43"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N20 CO2</vt:lpstr>
      <vt:lpstr>Residue Quality </vt:lpstr>
      <vt:lpstr>Water</vt:lpstr>
      <vt:lpstr>Air (periodic)</vt:lpstr>
      <vt:lpstr>Air (CEMS)</vt:lpstr>
      <vt:lpstr>HCl</vt:lpstr>
      <vt:lpstr>SO2</vt:lpstr>
      <vt:lpstr>NOx</vt:lpstr>
      <vt:lpstr>TOC</vt:lpstr>
      <vt:lpstr>Particulates</vt:lpstr>
      <vt:lpstr>CO 95% 10 min</vt:lpstr>
      <vt:lpstr>NH3</vt:lpstr>
      <vt:lpstr>'Air (CEMS)'!Print_Area</vt:lpstr>
      <vt:lpstr>'Air (periodic)'!Print_Area</vt:lpstr>
      <vt:lpstr>'CO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2023-03-22T16:13:24Z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