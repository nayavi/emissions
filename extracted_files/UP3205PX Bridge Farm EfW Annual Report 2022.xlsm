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0" codeName="{00000000-0000-0000-0000-000000000000}"/>
  <workbookPr codeName="ThisWorkbook" defaultThemeVersion="166925"/>
  <mc:AlternateContent xmlns:mc="http://schemas.openxmlformats.org/markup-compatibility/2006">
    <mc:Choice Requires="x15">
      <x15ac:absPath xmlns:x15ac="http://schemas.microsoft.com/office/spreadsheetml/2010/11/ac" url="V:\JRM\Boilers\"/>
    </mc:Choice>
  </mc:AlternateContent>
  <xr:revisionPtr revIDLastSave="0" documentId="8_{291D464A-B6F0-4126-8A68-1D54AD6967CB}" xr6:coauthVersionLast="47" xr6:coauthVersionMax="47" xr10:uidLastSave="{00000000-0000-0000-0000-000000000000}"/>
  <bookViews>
    <workbookView xWindow="-120" yWindow="-120" windowWidth="38640" windowHeight="21240"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Air (periodic)" sheetId="23" r:id="rId11"/>
  </sheets>
  <definedNames>
    <definedName name="_xlnm.Print_Area" localSheetId="10">'Air (periodic)'!$A$1:$J$98</definedName>
    <definedName name="_xlnm.Print_Area" localSheetId="1">Contents!$A$1:$J$37</definedName>
    <definedName name="_xlnm.Print_Area" localSheetId="0">'Cover Page'!$A$1:$J$55</definedName>
    <definedName name="_xlnm.Print_Area" localSheetId="6">'Energy Form 1'!$A$1:$I$29</definedName>
    <definedName name="_xlnm.Print_Area" localSheetId="2">'Facility Info'!$A$1:$I$54</definedName>
    <definedName name="_xlnm.Print_Area" localSheetId="8">Improvements!$A$1:$J$48</definedName>
    <definedName name="_xlnm.Print_Area" localSheetId="3">'Operational Data'!$A$1:$H$37</definedName>
    <definedName name="_xlnm.Print_Area" localSheetId="4">'Operational Summary'!$A$1:$I$52</definedName>
    <definedName name="_xlnm.Print_Area" localSheetId="5">'Perf. Form 1'!$A$1:$J$55</definedName>
    <definedName name="_xlnm.Print_Area" localSheetId="7">'Permit Compliance'!$A$1:$J$24</definedName>
    <definedName name="_xlnm.Print_Area" localSheetId="9">'Public Liasion'!$A$1:$J$29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2" i="6" l="1"/>
  <c r="H33" i="6"/>
  <c r="E10" i="6"/>
  <c r="G19" i="6" l="1"/>
  <c r="I19" i="7" l="1"/>
  <c r="I20" i="7"/>
  <c r="I22" i="7"/>
  <c r="I18" i="7"/>
  <c r="I12" i="7"/>
  <c r="I13" i="7"/>
  <c r="I14" i="7"/>
  <c r="I11" i="7"/>
  <c r="C10" i="6" l="1"/>
  <c r="C12" i="6" s="1"/>
  <c r="G25" i="6" l="1"/>
  <c r="H25" i="6" s="1"/>
  <c r="G11" i="6" l="1"/>
  <c r="G37" i="6" l="1"/>
  <c r="G36" i="6"/>
  <c r="H36" i="6" s="1"/>
  <c r="G35" i="6"/>
  <c r="G30" i="6"/>
  <c r="G31" i="6"/>
  <c r="G32" i="6"/>
  <c r="G33" i="6" l="1"/>
  <c r="D10" i="6"/>
  <c r="D12" i="6" s="1"/>
  <c r="E12" i="6"/>
  <c r="F10" i="6"/>
  <c r="F12" i="6" s="1"/>
  <c r="G12" i="6" l="1"/>
  <c r="I21" i="7" s="1"/>
  <c r="E1" i="23"/>
  <c r="A1" i="23"/>
  <c r="E1" i="11"/>
  <c r="A1" i="11"/>
  <c r="E1" i="10"/>
  <c r="A1" i="10"/>
  <c r="E1" i="9"/>
  <c r="A1" i="9"/>
  <c r="E1" i="6"/>
  <c r="A1" i="6"/>
  <c r="E1" i="5"/>
  <c r="A1" i="5"/>
  <c r="E1" i="4"/>
  <c r="A1" i="4"/>
  <c r="E1" i="3"/>
  <c r="A1" i="3"/>
  <c r="B5" i="8" l="1"/>
  <c r="A3" i="8"/>
  <c r="A1" i="8"/>
  <c r="G23" i="7"/>
  <c r="E23" i="7"/>
  <c r="G15" i="7"/>
  <c r="E15" i="7"/>
  <c r="I15" i="7" s="1"/>
  <c r="B4" i="7"/>
  <c r="A3" i="7"/>
  <c r="A1" i="7"/>
  <c r="A8" i="7" s="1"/>
  <c r="H37" i="6"/>
  <c r="H35" i="6"/>
  <c r="G27" i="6"/>
  <c r="G26" i="6"/>
  <c r="G24" i="6"/>
  <c r="G21" i="6"/>
  <c r="H21" i="6" s="1"/>
  <c r="G20" i="6"/>
  <c r="H20" i="6" s="1"/>
  <c r="G16" i="6"/>
  <c r="H16" i="6" s="1"/>
  <c r="G15" i="6"/>
  <c r="H15" i="6" s="1"/>
  <c r="G9" i="6"/>
  <c r="G8" i="6"/>
  <c r="I23" i="7" l="1"/>
  <c r="E33" i="7"/>
  <c r="H33" i="7" s="1"/>
  <c r="H24" i="6"/>
  <c r="H35" i="7"/>
  <c r="H37" i="7"/>
  <c r="H36" i="7"/>
  <c r="G24" i="7"/>
  <c r="G10" i="6"/>
  <c r="E24" i="7"/>
  <c r="H34" i="7"/>
  <c r="A31" i="7"/>
  <c r="A43" i="7" s="1"/>
  <c r="H12" i="6" l="1"/>
  <c r="H26" i="6"/>
  <c r="H19" i="6"/>
  <c r="H9" i="6"/>
  <c r="H8" i="6"/>
  <c r="I24" i="7"/>
  <c r="H11" i="6"/>
</calcChain>
</file>

<file path=xl/sharedStrings.xml><?xml version="1.0" encoding="utf-8"?>
<sst xmlns="http://schemas.openxmlformats.org/spreadsheetml/2006/main" count="384" uniqueCount="256">
  <si>
    <t xml:space="preserve">Version 20.5 </t>
  </si>
  <si>
    <t>Add photo</t>
  </si>
  <si>
    <t>Notes:</t>
  </si>
  <si>
    <t>This template may require adjustments by individual operators to meet specific reporting requirements as defined in the site Permit(s)</t>
  </si>
  <si>
    <t>Annual Performance Report 2023</t>
  </si>
  <si>
    <t>Permit EPR/UP3205PX</t>
  </si>
  <si>
    <t>Clay Lake Bank</t>
  </si>
  <si>
    <t>Neame Lea Marketing</t>
  </si>
  <si>
    <t>Year:</t>
  </si>
  <si>
    <t>Address:</t>
  </si>
  <si>
    <t>Clay Lake Bank, Spalding, Lincolnshire PE12 6RN</t>
  </si>
  <si>
    <t xml:space="preserve">Tel: </t>
  </si>
  <si>
    <t xml:space="preserve"> 01775 768234</t>
  </si>
  <si>
    <t xml:space="preserve">Email: </t>
  </si>
  <si>
    <t>Jon.Margree@bridgefarmgroup.co.uk</t>
  </si>
  <si>
    <t>Prepared by:</t>
  </si>
  <si>
    <t>Jon Margree</t>
  </si>
  <si>
    <t>Position:</t>
  </si>
  <si>
    <t>Operations Director</t>
  </si>
  <si>
    <t>Approved by:</t>
  </si>
  <si>
    <t>Louise Motala</t>
  </si>
  <si>
    <t>Managing Director</t>
  </si>
  <si>
    <t>Version:</t>
  </si>
  <si>
    <t>v1.2</t>
  </si>
  <si>
    <t>Issue Date:</t>
  </si>
  <si>
    <t>24.02.23</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</si>
  <si>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</si>
  <si>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</si>
  <si>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</si>
  <si>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</si>
  <si>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</si>
  <si>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</si>
  <si>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</si>
  <si>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</si>
  <si>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</si>
  <si>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</si>
  <si>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</si>
  <si>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</si>
  <si>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</si>
  <si>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</si>
  <si>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Emissions to Air (periodically monitored)</t>
  </si>
  <si>
    <t>Version Control</t>
  </si>
  <si>
    <t>Information</t>
  </si>
  <si>
    <t>Date</t>
  </si>
  <si>
    <t>Initial Draught v1.1</t>
  </si>
  <si>
    <t>Final v1.2</t>
  </si>
  <si>
    <t>Distribution</t>
  </si>
  <si>
    <t>Copy</t>
  </si>
  <si>
    <t>Name, Role</t>
  </si>
  <si>
    <t>No.</t>
  </si>
  <si>
    <t>Louise Motala, Managing Director</t>
  </si>
  <si>
    <t>v1.1</t>
  </si>
  <si>
    <t>William Scholes, Engineering &amp; Projects Manager</t>
  </si>
  <si>
    <t>Ricky Stancer, Senior Engineer</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</si>
  <si>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</si>
  <si>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</si>
  <si>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plant consists of 2 physically and hydraulically separate systems at the same address. The first system consisting of 1 qty 8MW Justsen Biomass boiler backed up by 1 qty Crone Oil Boiler. The second system comprising of 2 qty 8MW Justsen Biomass Boiler (Phase 2, boilers 2 and 3). Both systems are used for heating of hot water for the purposes of heating greenhouses, production, packing and dispatch areas at the Clay Lake site. The products grown are a mixture of Ornamental plants and edible herbs.</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</si>
  <si>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</si>
  <si>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</si>
  <si>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Each load of Grade A fuel is proccessed according to our waste wood acceptance procedure and tested prior to unloading for moisture content, as well as a visual contamination check before and during unloading, this data is recorded along with ticket numbers electronically for monitoring and performance tracking.
The fuel is dispensed into loading bays and fed into the boiler by a system consisting of a toploader feed system pulling fuel onto conveyors, which is then fed in to the boiler by augers according to demand dictated by the greenhouse computer system which calculates heat demand from temperature requirements.
The PLC control of each boiler regulates airflow, pressure and vacuum within the plant to ensure optimum combustion, as well as outputting and logging faults in the event of problems with the boilers or the emissions controls systems, these faults are then relayed via a dialler system for round the clock engineer response.
Heat from the boilers is either fed directly to the glasshouse via a manifold and transport system, or if demand is lower, stored in buffer tanks for use overnight or when demand for heat exceeds supply. Once in the individual glasshouse blocks, heat is directed by the computer via valves and pumps to high or low level heating pipes to achieve the correct temperature and humidity levels for the plants or activity in each area.
The ash residue from the combustion process is fed out of the boilers by an auger system from both the undregrate, the cyclone and the bag filtration systems, producing non hazardous fly ash/combustion ash which is stored in Roll On/Roll Off skip containers. These are monitored by operators and booked for collection by Mick George Ltd when full, for disposal.
Maintenance of the boiler is conducted CEF (Carbon Focus Engineering Ltd).
During planned or unplanned downtime, where required the heating demands of site are met by running the backup boiler, Boiler 1 has an Oil boiler for backup, whereas Boiler 2/3 serve as backup for each other in the event of the other being inoperative.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</si>
  <si>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</si>
  <si>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</si>
  <si>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</si>
  <si>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</si>
  <si>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</si>
  <si>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</si>
  <si>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</si>
  <si>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</si>
  <si>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</si>
  <si>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</si>
  <si>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</si>
  <si>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</si>
  <si>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Q2</t>
  </si>
  <si>
    <t>Q3</t>
  </si>
  <si>
    <t>Q4</t>
  </si>
  <si>
    <t>Q1</t>
  </si>
  <si>
    <t>Year Total</t>
  </si>
  <si>
    <t>%</t>
  </si>
  <si>
    <t xml:space="preserve">Waste wood (biomass) </t>
  </si>
  <si>
    <t>tons</t>
  </si>
  <si>
    <t>none waste wood chip (biomass)</t>
  </si>
  <si>
    <t>Total waste received</t>
  </si>
  <si>
    <t xml:space="preserve">Rejected Waste </t>
  </si>
  <si>
    <t>-</t>
  </si>
  <si>
    <t>Total waste combusted</t>
  </si>
  <si>
    <t>Energy Useage / Export</t>
  </si>
  <si>
    <t>KWh/te</t>
  </si>
  <si>
    <t>Heat Generated</t>
  </si>
  <si>
    <t>MWh</t>
  </si>
  <si>
    <t>Heat Used on site</t>
  </si>
  <si>
    <t>Waste Disposal &amp; Recovery</t>
  </si>
  <si>
    <t>% inputs</t>
  </si>
  <si>
    <t>Ash residue</t>
  </si>
  <si>
    <t>Other</t>
  </si>
  <si>
    <t>Raw Material Usage</t>
  </si>
  <si>
    <t>kg or Ltr /te</t>
  </si>
  <si>
    <t>Mains Water</t>
  </si>
  <si>
    <t>ltrs</t>
  </si>
  <si>
    <t>Urea</t>
  </si>
  <si>
    <t>kgs</t>
  </si>
  <si>
    <t>Fuel oil</t>
  </si>
  <si>
    <t xml:space="preserve">Summary </t>
  </si>
  <si>
    <t>Line/Unit</t>
  </si>
  <si>
    <t>required 11 months per year, excluding PPM</t>
  </si>
  <si>
    <t xml:space="preserve">Hrs in year </t>
  </si>
  <si>
    <t>Availability of waste combustion by line, hrs</t>
  </si>
  <si>
    <t>Overall Availability, mean avg. of all lines, hrs</t>
  </si>
  <si>
    <t>Net Calorific Value of waste</t>
  </si>
  <si>
    <t>MJ/kg</t>
  </si>
  <si>
    <t>Abnormal Events</t>
  </si>
  <si>
    <t>qty.</t>
  </si>
  <si>
    <t>Abnormal operation</t>
  </si>
  <si>
    <t>hours</t>
  </si>
  <si>
    <t>Permit Breaches</t>
  </si>
  <si>
    <t>Summary of Plant Operations and Maintenance during the reporting year</t>
  </si>
  <si>
    <t>Routine maintenance completed over the scheduled summer shutdown. Included replacing of damaged grates, and replacing bag filters in boiler A1, completed by our service agent Carbon Focus Engineering Ltd. NerG were previoulsy our service agent, benchmarked in 2022 gainst CFE after receiving recommndations from the boiler manufacturer.</t>
  </si>
  <si>
    <t xml:space="preserve">Include summary of key operational and/or mainteanance activity undertaken in the year, such as any major component upgrades and/or replacements </t>
  </si>
  <si>
    <t>Summary of Residue Handling for the reporting year</t>
  </si>
  <si>
    <t>Residues generated from the activity take the form of combined non hazardous combustion and fly ash from non waste wood or waste wood combustion, this is collected in roll on roll off skips from the premises by Mick George, the final destination being their site - Rushton Landfill NN14 1RS permit EPR/CP3536XG. The Ash residue content at 2.3% continues to tally well with the expected Ash content of the fuel.</t>
  </si>
  <si>
    <t xml:space="preserve">Include in here a summary of residue handling regimes and destinations </t>
  </si>
  <si>
    <t xml:space="preserve"> Annual Reporting Performance Form 1</t>
  </si>
  <si>
    <t>Facility:</t>
  </si>
  <si>
    <t>Form:</t>
  </si>
  <si>
    <t xml:space="preserve">Reporting  Period from: </t>
  </si>
  <si>
    <t>01.04.22</t>
  </si>
  <si>
    <t>to:</t>
  </si>
  <si>
    <t>17.02.23</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</si>
  <si>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</si>
  <si>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</si>
  <si>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</si>
  <si>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</si>
  <si>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</si>
  <si>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</si>
  <si>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</si>
  <si>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</si>
  <si>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</si>
  <si>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</si>
  <si>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</si>
  <si>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</si>
  <si>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</si>
  <si>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Ash</t>
  </si>
  <si>
    <t>Mick George, Landfill</t>
  </si>
  <si>
    <t>Total Non-Hazardous Waste</t>
  </si>
  <si>
    <t>TOTAL WASTE</t>
  </si>
  <si>
    <t>Operator’s comments :</t>
  </si>
  <si>
    <t>This is as expected for the waste wood ash content.</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</si>
  <si>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</si>
  <si>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</si>
  <si>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</si>
  <si>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</si>
  <si>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</si>
  <si>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</si>
  <si>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</si>
  <si>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</si>
  <si>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</si>
  <si>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</si>
  <si>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Activated Carbon</t>
  </si>
  <si>
    <t>Lime / hydrated lime / Sodium Bicarb.</t>
  </si>
  <si>
    <t>none used.</t>
  </si>
  <si>
    <t xml:space="preserve">Annual Reporting of other performance indicators </t>
  </si>
  <si>
    <t>Parameter</t>
  </si>
  <si>
    <t>Results by Line</t>
  </si>
  <si>
    <t>Turbine 1</t>
  </si>
  <si>
    <t>Turbine 2</t>
  </si>
  <si>
    <t>Operating hours for the year, hours</t>
  </si>
  <si>
    <t>Number of periods of abnormal operation, qty.</t>
  </si>
  <si>
    <t>Cumulative hours of abnormal operation for this year, hours</t>
  </si>
  <si>
    <t>Hours are not recorded per quarter, however plant runs 24 hours per day when operational, so figures are simply based on 24 hours per day for the 11 months per year the plant is required.</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</si>
  <si>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</si>
  <si>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</si>
  <si>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</si>
  <si>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</si>
  <si>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</si>
  <si>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</si>
  <si>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</si>
  <si>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</si>
  <si>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</si>
  <si>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</si>
  <si>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</si>
  <si>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Litres</t>
  </si>
  <si>
    <t>N/A</t>
  </si>
  <si>
    <t>Steam/hot water exported</t>
  </si>
  <si>
    <t>GWh</t>
  </si>
  <si>
    <t>Oil used during backup plant operation for Boiler 1 only - unable to give figure for imported electricity as power monitoring is not fitted to the 3 Clay Lake boilers.</t>
  </si>
  <si>
    <t>Summary of Permit Compliance</t>
  </si>
  <si>
    <t>Compliance with permit limits for continuously monitored pollutants</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</si>
  <si>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</si>
  <si>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</si>
  <si>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</si>
  <si>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</si>
  <si>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</si>
  <si>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</si>
  <si>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</si>
  <si>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</si>
  <si>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</si>
  <si>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</si>
  <si>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No mechanical efficiency improvements.
Continued refinement of fuel from contracted supplier, low contaminants and moisture content.
Completed piece of work on feasibility of Miscanthus as a sustainable fuel. Area of land required not practical for full adoption, storage and commercial viability a concern for farmers when given other crop options.</t>
  </si>
  <si>
    <t>Summary of any permit improvement conditions that have been completed within the year and the resulting environmental benefits.</t>
  </si>
  <si>
    <t>No permit improvement conditions.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</si>
  <si>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</si>
  <si>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</si>
  <si>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Dust supression (fogging) system trialed alongside the current dust extraction system, to further reduce dust levels.
Exploring adding energy monitoring to the boilers to track accurate and specific electrical requirement.</t>
  </si>
  <si>
    <t>Details of Public &amp; Stakeholder Liasion</t>
  </si>
  <si>
    <t>Summary of events held during the reporting year.</t>
  </si>
  <si>
    <t>Description</t>
  </si>
  <si>
    <t>Community tours conducted in 2022 of the facility, from charities, to local primary and secondary schools.</t>
  </si>
  <si>
    <t>List of events planned for next year</t>
  </si>
  <si>
    <t>Bridge Farm Group will continue to offer the local community multiple opportunites to visit and tour the facility in 2023.</t>
  </si>
  <si>
    <t>If you wish to be involved in the public liasion programme, please contact _________________</t>
  </si>
  <si>
    <t>Summary of monitoring undertaken, standards used and compliance</t>
  </si>
  <si>
    <t>Extractive Testing conducted by Socotec MCERTS standards between November 30th and December 01st 2022. All readings were below the ELV.</t>
  </si>
  <si>
    <t>Substance</t>
  </si>
  <si>
    <t>Ref. Period</t>
  </si>
  <si>
    <t>Emission Limit Value</t>
  </si>
  <si>
    <t>User to add additional tables as necessary, depending on whether quarterly or bi-annual reporting is required for the compliance year</t>
  </si>
  <si>
    <t>A1</t>
  </si>
  <si>
    <t>A2</t>
  </si>
  <si>
    <t>A3</t>
  </si>
  <si>
    <t>A4</t>
  </si>
  <si>
    <t>A5</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</si>
  <si>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</si>
  <si>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</si>
  <si>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</si>
  <si>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</si>
  <si>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</si>
  <si>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</si>
  <si>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</si>
  <si>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</si>
  <si>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</si>
  <si>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</si>
  <si>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</si>
  <si>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</si>
  <si>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</si>
  <si>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</si>
  <si>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</si>
  <si>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</si>
  <si>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</si>
  <si>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</si>
  <si>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</si>
  <si>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</si>
  <si>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</si>
  <si>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</si>
  <si>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</si>
  <si>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</si>
  <si>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</si>
  <si>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</si>
  <si>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</si>
  <si>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</si>
  <si>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</si>
  <si>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</si>
  <si>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</si>
  <si>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</si>
  <si>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</si>
  <si>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</si>
  <si>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</si>
  <si>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Comments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</si>
</sst>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0_-;\-* #,##0_-;_-* &quot;-&quot;??_-;_-@_-"/>
    <numFmt numFmtId="165" formatCode="0.0%"/>
    <numFmt numFmtId="166" formatCode="[$-F800]dddd\,\ mmmm\ dd\,\ yyyy"/>
    <numFmt numFmtId="167" formatCode="#,##0.0"/>
  </numFmts>
  <fonts count="24">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b/>
      <u/>
      <sz val="12"/>
      <color theme="1"/>
      <name val="Arial"/>
      <family val="2"/>
    </font>
    <font>
      <b/>
      <i/>
      <u/>
      <sz val="12"/>
      <color theme="1"/>
      <name val="Arial"/>
      <family val="2"/>
    </font>
    <font>
      <u/>
      <sz val="11"/>
      <color theme="10"/>
      <name val="Calibri"/>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s>
  <borders count="16">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23" fillId="0" borderId="0" applyNumberFormat="0" applyFill="0" applyBorder="0" applyAlignment="0" applyProtection="0"/>
  </cellStyleXfs>
  <cellXfs count="25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6" fillId="0" borderId="8" xfId="0" applyFont="1" applyBorder="1" applyAlignment="1">
      <alignment horizontal="left"/>
    </xf>
    <xf numFmtId="0" fontId="16" fillId="0" borderId="0" xfId="0" applyFont="1"/>
    <xf numFmtId="0" fontId="6" fillId="0" borderId="9" xfId="0" applyFont="1" applyBorder="1"/>
    <xf numFmtId="0" fontId="17" fillId="0" borderId="0" xfId="0" applyFont="1"/>
    <xf numFmtId="0" fontId="19" fillId="0" borderId="0" xfId="0" applyFont="1"/>
    <xf numFmtId="0" fontId="21" fillId="0" borderId="0" xfId="0" applyFont="1"/>
    <xf numFmtId="0" fontId="22" fillId="0" borderId="0" xfId="0" applyFont="1"/>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2" xfId="0" applyFont="1" applyBorder="1" applyAlignment="1">
      <alignment horizontal="center" vertical="center" wrapText="1"/>
    </xf>
    <xf numFmtId="0" fontId="2" fillId="0" borderId="4" xfId="0" applyFont="1" applyBorder="1" applyAlignment="1">
      <alignment horizontal="center"/>
    </xf>
    <xf numFmtId="0" fontId="2" fillId="0" borderId="9" xfId="0" applyFont="1" applyBorder="1" applyAlignment="1">
      <alignment vertical="center"/>
    </xf>
    <xf numFmtId="0" fontId="2" fillId="0" borderId="6" xfId="0" applyFont="1" applyBorder="1"/>
    <xf numFmtId="0" fontId="2" fillId="0" borderId="9" xfId="0" applyFont="1" applyBorder="1"/>
    <xf numFmtId="0" fontId="2" fillId="2" borderId="2" xfId="0" applyFont="1" applyFill="1" applyBorder="1" applyAlignment="1">
      <alignment horizontal="center"/>
    </xf>
    <xf numFmtId="164" fontId="2" fillId="2" borderId="0" xfId="1" applyNumberFormat="1" applyFont="1" applyFill="1" applyBorder="1" applyAlignment="1">
      <alignment horizontal="center"/>
    </xf>
    <xf numFmtId="165" fontId="2" fillId="0" borderId="8" xfId="2" applyNumberFormat="1" applyFont="1" applyBorder="1" applyAlignment="1">
      <alignment horizontal="center"/>
    </xf>
    <xf numFmtId="0" fontId="1" fillId="2" borderId="0" xfId="0" applyFont="1" applyFill="1"/>
    <xf numFmtId="0" fontId="2" fillId="0" borderId="12" xfId="0" applyFont="1" applyBorder="1" applyAlignment="1">
      <alignment horizontal="center" vertical="center" textRotation="90"/>
    </xf>
    <xf numFmtId="0" fontId="2" fillId="0" borderId="4" xfId="0" applyFont="1" applyBorder="1"/>
    <xf numFmtId="0" fontId="2" fillId="2" borderId="2" xfId="0" applyFont="1" applyFill="1" applyBorder="1" applyAlignment="1">
      <alignment horizontal="center" vertical="top"/>
    </xf>
    <xf numFmtId="0" fontId="2" fillId="2" borderId="2" xfId="0" applyFont="1" applyFill="1" applyBorder="1" applyAlignment="1">
      <alignment horizontal="left"/>
    </xf>
    <xf numFmtId="0" fontId="2" fillId="2" borderId="2" xfId="0" applyFont="1" applyFill="1" applyBorder="1" applyAlignment="1">
      <alignment horizontal="center" vertical="center" wrapText="1"/>
    </xf>
    <xf numFmtId="0" fontId="17" fillId="0" borderId="0" xfId="0" applyFont="1" applyAlignment="1">
      <alignment horizontal="left" wrapText="1"/>
    </xf>
    <xf numFmtId="0" fontId="8" fillId="2" borderId="0" xfId="0" applyFont="1" applyFill="1" applyAlignment="1">
      <alignment horizontal="center"/>
    </xf>
    <xf numFmtId="0" fontId="1" fillId="0" borderId="0" xfId="0" applyFont="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xf>
    <xf numFmtId="0" fontId="23"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2" fillId="2" borderId="2" xfId="0" applyFont="1" applyFill="1" applyBorder="1" applyAlignment="1">
      <alignment horizontal="left" vertical="top"/>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2" fillId="2" borderId="6"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2" fillId="0" borderId="0" xfId="0" applyFont="1" applyAlignment="1">
      <alignment horizontal="center" vertical="center" textRotation="90"/>
    </xf>
    <xf numFmtId="0" fontId="6" fillId="0" borderId="0" xfId="0" applyFont="1" applyAlignment="1">
      <alignment horizontal="left"/>
    </xf>
    <xf numFmtId="0" fontId="6" fillId="0" borderId="0" xfId="0" applyFont="1" applyAlignment="1">
      <alignment horizontal="left" vertical="top"/>
    </xf>
    <xf numFmtId="166"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7"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2" borderId="2" xfId="0" applyFont="1" applyFill="1" applyBorder="1" applyAlignment="1">
      <alignment horizontal="left" vertical="top" wrapText="1"/>
    </xf>
    <xf numFmtId="0" fontId="10" fillId="0" borderId="7" xfId="0" applyFont="1" applyBorder="1" applyAlignment="1">
      <alignment horizont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0" fontId="18"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6" fillId="2" borderId="2" xfId="0" applyFont="1" applyFill="1" applyBorder="1" applyAlignment="1">
      <alignment horizontal="left" vertical="top"/>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17" fontId="1" fillId="0" borderId="0" xfId="0" applyNumberFormat="1" applyFont="1"/>
    <xf numFmtId="0" fontId="1" fillId="0" borderId="0" xfId="0" applyFont="1" applyAlignment="1">
      <alignment horizontal="left"/>
    </xf>
    <xf numFmtId="0" fontId="1" fillId="2" borderId="0" xfId="0" applyFont="1" applyFill="1" applyAlignment="1"/>
    <xf numFmtId="0" fontId="1" fillId="0" borderId="4" xfId="0" applyFont="1" applyBorder="1"/>
    <xf numFmtId="0" fontId="1" fillId="0" borderId="5" xfId="0" applyFont="1" applyBorder="1"/>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0" borderId="0" xfId="0" applyFont="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2" fillId="0" borderId="0" xfId="0" applyFont="1"/>
    <xf numFmtId="0" fontId="2" fillId="0" borderId="0" xfId="0" applyFont="1" applyAlignment="1">
      <alignment horizontal="center"/>
    </xf>
    <xf numFmtId="164" fontId="6" fillId="2" borderId="7" xfId="1" applyNumberFormat="1" applyFont="1" applyFill="1" applyBorder="1" applyAlignment="1"/>
    <xf numFmtId="0" fontId="2" fillId="0" borderId="3" xfId="0" applyFont="1" applyBorder="1"/>
    <xf numFmtId="0" fontId="2" fillId="0" borderId="5" xfId="0" applyFont="1" applyBorder="1" applyAlignment="1">
      <alignment horizontal="center"/>
    </xf>
    <xf numFmtId="165" fontId="2" fillId="0" borderId="10" xfId="2" applyNumberFormat="1" applyFont="1" applyBorder="1" applyAlignment="1">
      <alignment horizontal="center"/>
    </xf>
    <xf numFmtId="165" fontId="2" fillId="0" borderId="10" xfId="2" applyNumberFormat="1" applyFont="1" applyFill="1" applyBorder="1" applyAlignment="1">
      <alignment horizontal="center"/>
    </xf>
    <xf numFmtId="165" fontId="2" fillId="0" borderId="13" xfId="2" applyNumberFormat="1" applyFont="1" applyBorder="1" applyAlignment="1">
      <alignment horizontal="center"/>
    </xf>
    <xf numFmtId="0" fontId="2" fillId="0" borderId="8" xfId="0" applyFont="1" applyBorder="1" applyAlignment="1">
      <alignment horizontal="center"/>
    </xf>
    <xf numFmtId="0" fontId="2" fillId="0" borderId="7" xfId="0" applyFont="1" applyBorder="1" applyAlignment="1">
      <alignment horizontal="center" vertical="center" textRotation="90"/>
    </xf>
    <xf numFmtId="164" fontId="2" fillId="2" borderId="7" xfId="1" applyNumberFormat="1" applyFont="1" applyFill="1" applyBorder="1" applyAlignment="1">
      <alignment horizontal="center"/>
    </xf>
    <xf numFmtId="164" fontId="2" fillId="0" borderId="8" xfId="0" applyNumberFormat="1" applyFont="1" applyBorder="1" applyAlignment="1">
      <alignment horizontal="center"/>
    </xf>
    <xf numFmtId="164" fontId="2" fillId="0" borderId="10" xfId="0" applyNumberFormat="1" applyFont="1" applyBorder="1" applyAlignment="1">
      <alignment horizontal="center"/>
    </xf>
    <xf numFmtId="0" fontId="2" fillId="0" borderId="3" xfId="0" applyFont="1" applyBorder="1" applyAlignment="1">
      <alignment horizontal="center" vertical="center"/>
    </xf>
    <xf numFmtId="0" fontId="2" fillId="0" borderId="5" xfId="0" quotePrefix="1" applyFont="1" applyBorder="1" applyAlignment="1">
      <alignment horizontal="center"/>
    </xf>
    <xf numFmtId="164" fontId="2" fillId="2" borderId="0" xfId="1" applyNumberFormat="1" applyFont="1" applyFill="1" applyAlignment="1">
      <alignment horizontal="center"/>
    </xf>
    <xf numFmtId="0" fontId="2" fillId="2" borderId="9" xfId="0" applyFont="1" applyFill="1" applyBorder="1"/>
    <xf numFmtId="0" fontId="2" fillId="2" borderId="11" xfId="0" applyFont="1" applyFill="1" applyBorder="1"/>
    <xf numFmtId="0" fontId="2" fillId="0" borderId="12" xfId="0" applyFont="1" applyBorder="1" applyAlignment="1">
      <alignment horizontal="center" vertical="center" textRotation="90"/>
    </xf>
    <xf numFmtId="164" fontId="2" fillId="2" borderId="12" xfId="1" applyNumberFormat="1" applyFont="1" applyFill="1" applyBorder="1" applyAlignment="1">
      <alignment horizontal="center"/>
    </xf>
    <xf numFmtId="0" fontId="2" fillId="0" borderId="0" xfId="0" applyFont="1" applyAlignment="1">
      <alignment horizontal="center" vertical="center"/>
    </xf>
    <xf numFmtId="43" fontId="2" fillId="0" borderId="10" xfId="0" applyNumberFormat="1" applyFont="1" applyBorder="1" applyAlignment="1">
      <alignment horizontal="center" vertical="center"/>
    </xf>
    <xf numFmtId="0" fontId="2" fillId="0" borderId="11" xfId="0" applyFont="1" applyBorder="1"/>
    <xf numFmtId="0" fontId="2" fillId="2"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0" fontId="2" fillId="0" borderId="7" xfId="0" applyFont="1" applyBorder="1" applyAlignment="1">
      <alignment horizontal="center"/>
    </xf>
    <xf numFmtId="0" fontId="2" fillId="0" borderId="9" xfId="0" applyFont="1" applyBorder="1" applyAlignment="1">
      <alignment horizontal="left" vertical="center" wrapText="1"/>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2" xfId="0" applyFont="1" applyBorder="1" applyAlignment="1">
      <alignment horizontal="left" vertical="center" wrapText="1"/>
    </xf>
    <xf numFmtId="167"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2" fillId="2" borderId="2" xfId="0" applyFont="1" applyFill="1" applyBorder="1" applyAlignment="1">
      <alignment horizontal="left" vertical="center" wrapText="1"/>
    </xf>
    <xf numFmtId="0" fontId="2" fillId="0" borderId="1" xfId="0" applyFont="1" applyBorder="1" applyAlignment="1">
      <alignment vertical="center" wrapText="1"/>
    </xf>
    <xf numFmtId="167" fontId="2" fillId="0" borderId="1" xfId="0" applyNumberFormat="1" applyFont="1" applyBorder="1" applyAlignment="1">
      <alignment horizontal="center"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165" fontId="2" fillId="0" borderId="2" xfId="2" applyNumberFormat="1" applyFont="1" applyBorder="1" applyAlignment="1">
      <alignment horizontal="center" vertical="center" wrapText="1"/>
    </xf>
    <xf numFmtId="0" fontId="2" fillId="0" borderId="0" xfId="0" applyFont="1" applyAlignment="1">
      <alignment vertical="center"/>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2" xfId="0" applyNumberFormat="1"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2" xfId="0" applyNumberFormat="1"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3" fontId="2" fillId="5" borderId="2" xfId="0" applyNumberFormat="1" applyFont="1" applyFill="1" applyBorder="1" applyAlignment="1">
      <alignment horizontal="center" vertical="center" wrapText="1"/>
    </xf>
    <xf numFmtId="0" fontId="2" fillId="5" borderId="2" xfId="0" applyFont="1" applyFill="1" applyBorder="1" applyAlignment="1">
      <alignment horizontal="center" vertical="center" wrapText="1"/>
    </xf>
    <xf numFmtId="14" fontId="2" fillId="2" borderId="2" xfId="0" applyNumberFormat="1" applyFont="1" applyFill="1" applyBorder="1" applyAlignment="1">
      <alignment horizontal="left"/>
    </xf>
    <xf numFmtId="0" fontId="2" fillId="2" borderId="3" xfId="0" applyFont="1" applyFill="1" applyBorder="1" applyAlignment="1">
      <alignment horizontal="left"/>
    </xf>
    <xf numFmtId="0" fontId="2" fillId="0" borderId="2" xfId="0" applyFont="1" applyBorder="1" applyAlignment="1">
      <alignment horizont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8</xdr:col>
      <xdr:colOff>609600</xdr:colOff>
      <xdr:row>25</xdr:row>
      <xdr:rowOff>96575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9125" y="1333500"/>
          <a:ext cx="5295900" cy="3531290"/>
        </a:xfrm>
        <a:prstGeom prst="rect">
          <a:avLst/>
        </a:prstGeom>
      </xdr:spPr>
    </xdr:pic>
    <xdr:clientData/>
  </xdr:twoCellAnchor>
  <xdr:twoCellAnchor editAs="oneCell">
    <xdr:from>
      <xdr:col>3</xdr:col>
      <xdr:colOff>476250</xdr:colOff>
      <xdr:row>0</xdr:row>
      <xdr:rowOff>57150</xdr:rowOff>
    </xdr:from>
    <xdr:to>
      <xdr:col>5</xdr:col>
      <xdr:colOff>392430</xdr:colOff>
      <xdr:row>6</xdr:row>
      <xdr:rowOff>64770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6050" y="57150"/>
          <a:ext cx="1152525"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28301</xdr:rowOff>
    </xdr:from>
    <xdr:to>
      <xdr:col>10</xdr:col>
      <xdr:colOff>476251</xdr:colOff>
      <xdr:row>24</xdr:row>
      <xdr:rowOff>0</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4126"/>
          <a:ext cx="7296151" cy="3210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0</xdr:rowOff>
    </xdr:from>
    <xdr:to>
      <xdr:col>10</xdr:col>
      <xdr:colOff>514383</xdr:colOff>
      <xdr:row>48</xdr:row>
      <xdr:rowOff>15240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24325"/>
          <a:ext cx="7319043" cy="459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xdr:row>
      <xdr:rowOff>0</xdr:rowOff>
    </xdr:from>
    <xdr:to>
      <xdr:col>11</xdr:col>
      <xdr:colOff>0</xdr:colOff>
      <xdr:row>95</xdr:row>
      <xdr:rowOff>20508</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696325"/>
          <a:ext cx="7458075" cy="343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on.Margree@bridgefarmgroup.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zoomScaleNormal="100" workbookViewId="0">
      <selection activeCell="C52" sqref="C52"/>
    </sheetView>
  </sheetViews>
  <sheetFormatPr defaultColWidth="9.28515625" defaultRowHeight="15"/>
  <cols>
    <col min="1" max="1" width="9.28515625" style="2" customWidth="1"/>
    <col min="2" max="2" width="14.5703125" style="2" bestFit="1" customWidth="1"/>
    <col min="3" max="4" width="9.28515625" style="2"/>
    <col min="5" max="5" width="9.28515625" style="2" customWidth="1"/>
    <col min="6" max="9" width="9.28515625" style="2"/>
    <col min="10" max="10" width="11.5703125" style="2" customWidth="1"/>
    <col min="11" max="14" width="9.28515625" style="2"/>
    <col min="15" max="15" width="9.28515625" style="2" customWidth="1"/>
    <col min="16" max="16384" width="9.28515625" style="2"/>
  </cols>
  <sheetData>
    <row r="1" spans="2:16">
      <c r="B1" s="67"/>
      <c r="C1" s="67"/>
      <c r="D1" s="84"/>
      <c r="E1" s="84"/>
      <c r="F1" s="84"/>
      <c r="G1" s="84"/>
      <c r="H1" s="67"/>
      <c r="I1" s="67"/>
      <c r="J1" s="67"/>
      <c r="K1" s="67"/>
      <c r="L1" s="67"/>
      <c r="M1" s="67"/>
      <c r="N1" s="67"/>
      <c r="O1" s="67"/>
      <c r="P1" s="67"/>
    </row>
    <row r="2" spans="2:16">
      <c r="B2" s="67"/>
      <c r="C2" s="67"/>
      <c r="D2" s="84"/>
      <c r="E2" s="84"/>
      <c r="F2" s="84"/>
      <c r="G2" s="84"/>
      <c r="H2" s="67"/>
      <c r="I2" s="67"/>
      <c r="J2" s="67"/>
      <c r="K2" s="67"/>
      <c r="L2" s="67"/>
      <c r="M2" s="67"/>
      <c r="N2" s="67" t="s">
        <v>0</v>
      </c>
      <c r="O2" s="67"/>
      <c r="P2" s="148"/>
    </row>
    <row r="3" spans="2:16">
      <c r="B3" s="67"/>
      <c r="C3" s="67"/>
      <c r="D3" s="84"/>
      <c r="E3" s="84"/>
      <c r="F3" s="84"/>
      <c r="G3" s="84"/>
      <c r="H3" s="67"/>
      <c r="I3" s="67"/>
      <c r="J3" s="67"/>
      <c r="K3" s="67"/>
      <c r="L3" s="67"/>
      <c r="M3" s="67"/>
      <c r="N3" s="148"/>
      <c r="O3" s="67"/>
      <c r="P3" s="67"/>
    </row>
    <row r="4" spans="2:16">
      <c r="B4" s="67"/>
      <c r="C4" s="67"/>
      <c r="D4" s="84"/>
      <c r="E4" s="84"/>
      <c r="F4" s="84"/>
      <c r="G4" s="84"/>
      <c r="H4" s="67"/>
      <c r="I4" s="67"/>
      <c r="J4" s="67"/>
      <c r="K4" s="67"/>
      <c r="L4" s="67"/>
      <c r="M4" s="67"/>
      <c r="N4" s="67"/>
      <c r="O4" s="67"/>
      <c r="P4" s="67"/>
    </row>
    <row r="5" spans="2:16">
      <c r="B5" s="67"/>
      <c r="C5" s="67"/>
      <c r="D5" s="84"/>
      <c r="E5" s="84"/>
      <c r="F5" s="84"/>
      <c r="G5" s="84"/>
      <c r="H5" s="67"/>
      <c r="I5" s="67"/>
      <c r="J5" s="67"/>
      <c r="K5" s="67"/>
      <c r="L5" s="67"/>
      <c r="M5" s="67"/>
      <c r="N5" s="67"/>
      <c r="O5" s="67"/>
      <c r="P5" s="67"/>
    </row>
    <row r="6" spans="2:16">
      <c r="B6" s="67"/>
      <c r="C6" s="67"/>
      <c r="D6" s="84"/>
      <c r="E6" s="84"/>
      <c r="F6" s="84"/>
      <c r="G6" s="84"/>
      <c r="H6" s="67"/>
      <c r="I6" s="67"/>
      <c r="J6" s="67"/>
      <c r="K6" s="67"/>
      <c r="L6" s="67"/>
      <c r="M6" s="67"/>
      <c r="N6" s="67"/>
      <c r="O6" s="67"/>
      <c r="P6" s="67"/>
    </row>
    <row r="8" spans="2:16" ht="15.75" customHeight="1">
      <c r="B8" s="85" t="s">
        <v>1</v>
      </c>
      <c r="C8" s="85"/>
      <c r="D8" s="85"/>
      <c r="E8" s="85"/>
      <c r="F8" s="85"/>
      <c r="G8" s="85"/>
      <c r="H8" s="85"/>
      <c r="I8" s="85"/>
      <c r="J8" s="67"/>
      <c r="K8" s="67"/>
      <c r="L8" s="67"/>
      <c r="M8" s="67"/>
      <c r="N8" s="54"/>
      <c r="O8" s="67"/>
      <c r="P8" s="67"/>
    </row>
    <row r="9" spans="2:16">
      <c r="B9" s="85"/>
      <c r="C9" s="85"/>
      <c r="D9" s="85"/>
      <c r="E9" s="85"/>
      <c r="F9" s="85"/>
      <c r="G9" s="85"/>
      <c r="H9" s="85"/>
      <c r="I9" s="85"/>
      <c r="J9" s="67"/>
      <c r="K9" s="67"/>
      <c r="L9" s="67"/>
      <c r="M9" s="67"/>
      <c r="N9" s="67"/>
      <c r="O9" s="67"/>
      <c r="P9" s="67"/>
    </row>
    <row r="10" spans="2:16">
      <c r="B10" s="85"/>
      <c r="C10" s="85"/>
      <c r="D10" s="85"/>
      <c r="E10" s="85"/>
      <c r="F10" s="85"/>
      <c r="G10" s="85"/>
      <c r="H10" s="85"/>
      <c r="I10" s="85"/>
      <c r="J10" s="67"/>
      <c r="K10" s="67"/>
      <c r="L10" s="67"/>
      <c r="M10" s="67"/>
      <c r="N10" s="67"/>
      <c r="O10" s="67"/>
      <c r="P10" s="67"/>
    </row>
    <row r="11" spans="2:16">
      <c r="B11" s="85"/>
      <c r="C11" s="85"/>
      <c r="D11" s="85"/>
      <c r="E11" s="85"/>
      <c r="F11" s="85"/>
      <c r="G11" s="85"/>
      <c r="H11" s="85"/>
      <c r="I11" s="85"/>
      <c r="J11" s="67"/>
      <c r="K11" s="67"/>
      <c r="L11" s="67"/>
      <c r="M11" s="67"/>
      <c r="N11" s="67"/>
      <c r="O11" s="67"/>
      <c r="P11" s="67"/>
    </row>
    <row r="12" spans="2:16">
      <c r="B12" s="85"/>
      <c r="C12" s="85"/>
      <c r="D12" s="85"/>
      <c r="E12" s="85"/>
      <c r="F12" s="85"/>
      <c r="G12" s="85"/>
      <c r="H12" s="85"/>
      <c r="I12" s="85"/>
      <c r="J12" s="67"/>
      <c r="K12" s="67"/>
      <c r="L12" s="67"/>
      <c r="M12" s="67"/>
      <c r="N12" s="67"/>
      <c r="O12" s="67"/>
      <c r="P12" s="67"/>
    </row>
    <row r="13" spans="2:16" ht="15.6">
      <c r="B13" s="85"/>
      <c r="C13" s="85"/>
      <c r="D13" s="85"/>
      <c r="E13" s="85"/>
      <c r="F13" s="85"/>
      <c r="G13" s="85"/>
      <c r="H13" s="85"/>
      <c r="I13" s="85"/>
      <c r="J13" s="67"/>
      <c r="K13" s="67"/>
      <c r="L13" s="67"/>
      <c r="M13" s="67"/>
      <c r="N13" s="57" t="s">
        <v>2</v>
      </c>
      <c r="O13" s="56"/>
      <c r="P13" s="56"/>
    </row>
    <row r="14" spans="2:16" ht="15.6" customHeight="1">
      <c r="B14" s="85"/>
      <c r="C14" s="85"/>
      <c r="D14" s="85"/>
      <c r="E14" s="85"/>
      <c r="F14" s="85"/>
      <c r="G14" s="85"/>
      <c r="H14" s="85"/>
      <c r="I14" s="85"/>
      <c r="J14" s="67"/>
      <c r="K14" s="67"/>
      <c r="L14" s="67"/>
      <c r="M14" s="67"/>
      <c r="N14" s="82" t="s">
        <v>3</v>
      </c>
      <c r="O14" s="82"/>
      <c r="P14" s="82"/>
    </row>
    <row r="15" spans="2:16">
      <c r="B15" s="85"/>
      <c r="C15" s="85"/>
      <c r="D15" s="85"/>
      <c r="E15" s="85"/>
      <c r="F15" s="85"/>
      <c r="G15" s="85"/>
      <c r="H15" s="85"/>
      <c r="I15" s="85"/>
      <c r="J15" s="67"/>
      <c r="K15" s="67"/>
      <c r="L15" s="67"/>
      <c r="M15" s="67"/>
      <c r="N15" s="82"/>
      <c r="O15" s="82"/>
      <c r="P15" s="82"/>
    </row>
    <row r="16" spans="2:16">
      <c r="B16" s="85"/>
      <c r="C16" s="85"/>
      <c r="D16" s="85"/>
      <c r="E16" s="85"/>
      <c r="F16" s="85"/>
      <c r="G16" s="85"/>
      <c r="H16" s="85"/>
      <c r="I16" s="85"/>
      <c r="J16" s="67"/>
      <c r="K16" s="67"/>
      <c r="L16" s="67"/>
      <c r="M16" s="67"/>
      <c r="N16" s="82"/>
      <c r="O16" s="82"/>
      <c r="P16" s="82"/>
    </row>
    <row r="17" spans="2:16">
      <c r="B17" s="85"/>
      <c r="C17" s="85"/>
      <c r="D17" s="85"/>
      <c r="E17" s="85"/>
      <c r="F17" s="85"/>
      <c r="G17" s="85"/>
      <c r="H17" s="85"/>
      <c r="I17" s="85"/>
      <c r="J17" s="67"/>
      <c r="K17" s="67"/>
      <c r="L17" s="67"/>
      <c r="M17" s="67"/>
      <c r="N17" s="82"/>
      <c r="O17" s="82"/>
      <c r="P17" s="82"/>
    </row>
    <row r="18" spans="2:16">
      <c r="B18" s="85"/>
      <c r="C18" s="85"/>
      <c r="D18" s="85"/>
      <c r="E18" s="85"/>
      <c r="F18" s="85"/>
      <c r="G18" s="85"/>
      <c r="H18" s="85"/>
      <c r="I18" s="85"/>
      <c r="J18" s="67"/>
      <c r="K18" s="67"/>
      <c r="L18" s="67"/>
      <c r="M18" s="67"/>
      <c r="N18" s="82"/>
      <c r="O18" s="82"/>
      <c r="P18" s="82"/>
    </row>
    <row r="19" spans="2:16">
      <c r="B19" s="85"/>
      <c r="C19" s="85"/>
      <c r="D19" s="85"/>
      <c r="E19" s="85"/>
      <c r="F19" s="85"/>
      <c r="G19" s="85"/>
      <c r="H19" s="85"/>
      <c r="I19" s="85"/>
      <c r="J19" s="67"/>
      <c r="K19" s="67"/>
      <c r="L19" s="67"/>
      <c r="M19" s="67"/>
      <c r="N19" s="82"/>
      <c r="O19" s="82"/>
      <c r="P19" s="82"/>
    </row>
    <row r="20" spans="2:16">
      <c r="B20" s="85"/>
      <c r="C20" s="85"/>
      <c r="D20" s="85"/>
      <c r="E20" s="85"/>
      <c r="F20" s="85"/>
      <c r="G20" s="85"/>
      <c r="H20" s="85"/>
      <c r="I20" s="85"/>
      <c r="J20" s="67"/>
      <c r="K20" s="67"/>
      <c r="L20" s="67"/>
      <c r="M20" s="67"/>
      <c r="N20" s="67"/>
      <c r="O20" s="67"/>
      <c r="P20" s="67"/>
    </row>
    <row r="21" spans="2:16">
      <c r="B21" s="85"/>
      <c r="C21" s="85"/>
      <c r="D21" s="85"/>
      <c r="E21" s="85"/>
      <c r="F21" s="85"/>
      <c r="G21" s="85"/>
      <c r="H21" s="85"/>
      <c r="I21" s="85"/>
      <c r="J21" s="67"/>
      <c r="K21" s="67"/>
      <c r="L21" s="67"/>
      <c r="M21" s="67"/>
      <c r="N21" s="67"/>
      <c r="O21" s="67"/>
      <c r="P21" s="67"/>
    </row>
    <row r="22" spans="2:16">
      <c r="B22" s="85"/>
      <c r="C22" s="85"/>
      <c r="D22" s="85"/>
      <c r="E22" s="85"/>
      <c r="F22" s="85"/>
      <c r="G22" s="85"/>
      <c r="H22" s="85"/>
      <c r="I22" s="85"/>
      <c r="J22" s="67"/>
      <c r="K22" s="67"/>
      <c r="L22" s="67"/>
      <c r="M22" s="67"/>
      <c r="N22" s="67"/>
      <c r="O22" s="67"/>
      <c r="P22" s="67"/>
    </row>
    <row r="23" spans="2:16">
      <c r="B23" s="85"/>
      <c r="C23" s="85"/>
      <c r="D23" s="85"/>
      <c r="E23" s="85"/>
      <c r="F23" s="85"/>
      <c r="G23" s="85"/>
      <c r="H23" s="85"/>
      <c r="I23" s="85"/>
      <c r="J23" s="67"/>
      <c r="K23" s="67"/>
      <c r="L23" s="67"/>
      <c r="M23" s="67"/>
      <c r="N23" s="67"/>
      <c r="O23" s="67"/>
      <c r="P23" s="67"/>
    </row>
    <row r="24" spans="2:16">
      <c r="B24" s="85"/>
      <c r="C24" s="85"/>
      <c r="D24" s="85"/>
      <c r="E24" s="85"/>
      <c r="F24" s="85"/>
      <c r="G24" s="85"/>
      <c r="H24" s="85"/>
      <c r="I24" s="85"/>
      <c r="J24" s="67"/>
      <c r="K24" s="67"/>
      <c r="L24" s="67"/>
      <c r="M24" s="67"/>
      <c r="N24" s="67"/>
      <c r="O24" s="67"/>
      <c r="P24" s="67"/>
    </row>
    <row r="29" spans="2:16" ht="17.45">
      <c r="B29" s="83" t="s">
        <v>4</v>
      </c>
      <c r="C29" s="83"/>
      <c r="D29" s="83"/>
      <c r="E29" s="83"/>
      <c r="F29" s="83"/>
      <c r="G29" s="83"/>
      <c r="H29" s="83"/>
      <c r="I29" s="83"/>
      <c r="J29" s="67"/>
      <c r="K29" s="67"/>
      <c r="L29" s="67"/>
      <c r="M29" s="67"/>
      <c r="N29" s="67"/>
      <c r="O29" s="67"/>
      <c r="P29" s="67"/>
    </row>
    <row r="30" spans="2:16" ht="17.45">
      <c r="B30" s="67"/>
      <c r="C30" s="7"/>
      <c r="D30" s="8"/>
      <c r="E30" s="8"/>
      <c r="F30" s="8"/>
      <c r="G30" s="8"/>
      <c r="H30" s="8"/>
      <c r="I30" s="8"/>
      <c r="J30" s="67"/>
      <c r="K30" s="67"/>
      <c r="L30" s="67"/>
      <c r="M30" s="67"/>
      <c r="N30" s="67"/>
      <c r="O30" s="67"/>
      <c r="P30" s="67"/>
    </row>
    <row r="31" spans="2:16" ht="17.45">
      <c r="B31" s="83" t="s">
        <v>5</v>
      </c>
      <c r="C31" s="83"/>
      <c r="D31" s="83"/>
      <c r="E31" s="83"/>
      <c r="F31" s="83"/>
      <c r="G31" s="83"/>
      <c r="H31" s="83"/>
      <c r="I31" s="83"/>
      <c r="J31" s="67"/>
      <c r="K31" s="67"/>
      <c r="L31" s="67"/>
      <c r="M31" s="67"/>
      <c r="N31" s="67"/>
      <c r="O31" s="67"/>
      <c r="P31" s="67"/>
    </row>
    <row r="32" spans="2:16" ht="17.45">
      <c r="B32" s="67"/>
      <c r="C32" s="7"/>
      <c r="D32" s="8"/>
      <c r="E32" s="8"/>
      <c r="F32" s="8"/>
      <c r="G32" s="8"/>
      <c r="H32" s="8"/>
      <c r="I32" s="8"/>
      <c r="J32" s="67"/>
      <c r="K32" s="67"/>
      <c r="L32" s="67"/>
      <c r="M32" s="67"/>
      <c r="N32" s="67"/>
      <c r="O32" s="67"/>
      <c r="P32" s="67"/>
    </row>
    <row r="33" spans="2:9" ht="17.45">
      <c r="B33" s="83" t="s">
        <v>6</v>
      </c>
      <c r="C33" s="83"/>
      <c r="D33" s="83"/>
      <c r="E33" s="83"/>
      <c r="F33" s="83"/>
      <c r="G33" s="83"/>
      <c r="H33" s="83"/>
      <c r="I33" s="83"/>
    </row>
    <row r="34" spans="2:9" ht="17.45">
      <c r="B34" s="67"/>
      <c r="C34" s="7"/>
      <c r="D34" s="8"/>
      <c r="E34" s="8"/>
      <c r="F34" s="8"/>
      <c r="G34" s="8"/>
      <c r="H34" s="8"/>
      <c r="I34" s="8"/>
    </row>
    <row r="35" spans="2:9" ht="17.45">
      <c r="B35" s="83"/>
      <c r="C35" s="83"/>
      <c r="D35" s="83"/>
      <c r="E35" s="83"/>
      <c r="F35" s="83"/>
      <c r="G35" s="83"/>
      <c r="H35" s="83"/>
      <c r="I35" s="83"/>
    </row>
    <row r="37" spans="2:9" ht="17.45">
      <c r="B37" s="83" t="s">
        <v>7</v>
      </c>
      <c r="C37" s="83"/>
      <c r="D37" s="83"/>
      <c r="E37" s="83"/>
      <c r="F37" s="83"/>
      <c r="G37" s="83"/>
      <c r="H37" s="83"/>
      <c r="I37" s="83"/>
    </row>
    <row r="39" spans="2:9">
      <c r="B39" s="67" t="s">
        <v>8</v>
      </c>
      <c r="C39" s="76">
        <v>2023</v>
      </c>
      <c r="D39" s="67"/>
      <c r="E39" s="67"/>
      <c r="F39" s="67"/>
      <c r="G39" s="67"/>
      <c r="H39" s="67"/>
      <c r="I39" s="67"/>
    </row>
    <row r="40" spans="2:9" ht="14.25" customHeight="1">
      <c r="B40" s="67"/>
      <c r="C40" s="67"/>
      <c r="D40" s="67"/>
      <c r="E40" s="67"/>
      <c r="F40" s="67"/>
      <c r="G40" s="67"/>
      <c r="H40" s="67"/>
      <c r="I40" s="67"/>
    </row>
    <row r="41" spans="2:9">
      <c r="B41" s="149" t="s">
        <v>9</v>
      </c>
      <c r="C41" s="86" t="s">
        <v>10</v>
      </c>
      <c r="D41" s="86"/>
      <c r="E41" s="86"/>
      <c r="F41" s="86"/>
      <c r="G41" s="86"/>
      <c r="H41" s="86"/>
      <c r="I41" s="86"/>
    </row>
    <row r="42" spans="2:9">
      <c r="B42" s="149"/>
      <c r="C42" s="67"/>
      <c r="D42" s="67"/>
      <c r="E42" s="67"/>
      <c r="F42" s="67"/>
      <c r="G42" s="67"/>
      <c r="H42" s="67"/>
      <c r="I42" s="67"/>
    </row>
    <row r="43" spans="2:9">
      <c r="B43" s="149" t="s">
        <v>11</v>
      </c>
      <c r="C43" s="86" t="s">
        <v>12</v>
      </c>
      <c r="D43" s="86"/>
      <c r="E43" s="86"/>
      <c r="F43" s="67"/>
      <c r="G43" s="67"/>
      <c r="H43" s="67"/>
      <c r="I43" s="67"/>
    </row>
    <row r="44" spans="2:9">
      <c r="B44" s="149"/>
      <c r="C44" s="67"/>
      <c r="D44" s="67"/>
      <c r="E44" s="67"/>
      <c r="F44" s="67"/>
      <c r="G44" s="67"/>
      <c r="H44" s="67"/>
      <c r="I44" s="67"/>
    </row>
    <row r="45" spans="2:9" ht="15.6">
      <c r="B45" s="149" t="s">
        <v>13</v>
      </c>
      <c r="C45" s="87" t="s">
        <v>14</v>
      </c>
      <c r="D45" s="87"/>
      <c r="E45" s="87"/>
      <c r="F45" s="87"/>
      <c r="G45" s="67"/>
      <c r="H45" s="67"/>
      <c r="I45" s="67"/>
    </row>
    <row r="46" spans="2:9">
      <c r="B46" s="149"/>
      <c r="C46" s="67"/>
      <c r="D46" s="67"/>
      <c r="E46" s="67"/>
      <c r="F46" s="67"/>
      <c r="G46" s="67"/>
      <c r="H46" s="67"/>
      <c r="I46" s="67"/>
    </row>
    <row r="47" spans="2:9">
      <c r="B47" s="149" t="s">
        <v>15</v>
      </c>
      <c r="C47" s="150" t="s">
        <v>16</v>
      </c>
      <c r="D47" s="150"/>
      <c r="E47" s="67"/>
      <c r="F47" s="67" t="s">
        <v>17</v>
      </c>
      <c r="G47" s="86" t="s">
        <v>18</v>
      </c>
      <c r="H47" s="86"/>
      <c r="I47" s="86"/>
    </row>
    <row r="48" spans="2:9">
      <c r="B48" s="149"/>
      <c r="C48" s="67"/>
      <c r="D48" s="67"/>
      <c r="E48" s="67"/>
      <c r="F48" s="67"/>
      <c r="G48" s="67"/>
      <c r="H48" s="67"/>
      <c r="I48" s="67"/>
    </row>
    <row r="49" spans="2:9">
      <c r="B49" s="149" t="s">
        <v>19</v>
      </c>
      <c r="C49" s="150" t="s">
        <v>20</v>
      </c>
      <c r="D49" s="150"/>
      <c r="E49" s="67"/>
      <c r="F49" s="67" t="s">
        <v>17</v>
      </c>
      <c r="G49" s="86" t="s">
        <v>21</v>
      </c>
      <c r="H49" s="86"/>
      <c r="I49" s="86"/>
    </row>
    <row r="50" spans="2:9">
      <c r="B50" s="149"/>
      <c r="C50" s="67"/>
      <c r="D50" s="67"/>
      <c r="E50" s="67"/>
      <c r="F50" s="67"/>
      <c r="G50" s="67"/>
      <c r="H50" s="67"/>
      <c r="I50" s="67"/>
    </row>
    <row r="51" spans="2:9">
      <c r="B51" s="149" t="s">
        <v>22</v>
      </c>
      <c r="C51" s="76" t="s">
        <v>23</v>
      </c>
      <c r="D51" s="67"/>
      <c r="E51" s="67"/>
      <c r="F51" s="67"/>
      <c r="G51" s="67"/>
      <c r="H51" s="67"/>
      <c r="I51" s="67"/>
    </row>
    <row r="52" spans="2:9">
      <c r="B52" s="149"/>
      <c r="C52" s="67"/>
      <c r="D52" s="67"/>
      <c r="E52" s="67"/>
      <c r="F52" s="67"/>
      <c r="G52" s="67"/>
      <c r="H52" s="67"/>
      <c r="I52" s="67"/>
    </row>
    <row r="53" spans="2:9">
      <c r="B53" s="149" t="s">
        <v>24</v>
      </c>
      <c r="C53" s="86" t="s">
        <v>25</v>
      </c>
      <c r="D53" s="86"/>
      <c r="E53" s="67"/>
      <c r="F53" s="67"/>
      <c r="G53" s="67"/>
      <c r="H53" s="67"/>
      <c r="I53" s="67"/>
    </row>
  </sheetData>
  <mergeCells count="16">
    <mergeCell ref="C49:D49"/>
    <mergeCell ref="G49:I49"/>
    <mergeCell ref="C53:D53"/>
    <mergeCell ref="B37:I37"/>
    <mergeCell ref="C41:I41"/>
    <mergeCell ref="C43:E43"/>
    <mergeCell ref="C47:D47"/>
    <mergeCell ref="G47:I47"/>
    <mergeCell ref="C45:F45"/>
    <mergeCell ref="N14:P19"/>
    <mergeCell ref="B35:I35"/>
    <mergeCell ref="D1:G6"/>
    <mergeCell ref="B8:I24"/>
    <mergeCell ref="B29:I29"/>
    <mergeCell ref="B31:I31"/>
    <mergeCell ref="B33:I33"/>
  </mergeCells>
  <hyperlinks>
    <hyperlink ref="C45" r:id="rId1" xr:uid="{5EAFDF6E-9CCC-48C9-9C1C-4C2C2DE1CA3E}"/>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55"/>
  <sheetViews>
    <sheetView showGridLines="0" zoomScaleNormal="100" workbookViewId="0">
      <selection activeCell="L43" sqref="L4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67" t="str">
        <f>+'Cover Page'!$B$29</f>
        <v>Annual Performance Report 2023</v>
      </c>
      <c r="B1" s="67"/>
      <c r="C1" s="67"/>
      <c r="D1" s="67"/>
      <c r="E1" s="67" t="str">
        <f>+'Cover Page'!$B$33</f>
        <v>Clay Lake Bank</v>
      </c>
      <c r="F1" s="67"/>
      <c r="G1" s="67"/>
      <c r="H1" s="67"/>
      <c r="I1" s="67"/>
      <c r="J1" s="67"/>
      <c r="K1" s="67"/>
      <c r="L1" s="67"/>
      <c r="M1" s="67"/>
      <c r="N1" s="67"/>
      <c r="O1" s="67"/>
    </row>
    <row r="3" spans="1:15" ht="15.6">
      <c r="A3" s="52" t="s">
        <v>26</v>
      </c>
      <c r="B3" s="151"/>
      <c r="C3" s="151"/>
      <c r="D3" s="151"/>
      <c r="E3" s="151"/>
      <c r="F3" s="151"/>
      <c r="G3" s="151"/>
      <c r="H3" s="152"/>
      <c r="I3" s="67"/>
      <c r="J3" s="67"/>
      <c r="K3" s="57" t="s">
        <v>2</v>
      </c>
      <c r="L3" s="67"/>
      <c r="M3" s="67"/>
      <c r="N3" s="67"/>
      <c r="O3" s="67"/>
    </row>
    <row r="4" spans="1:15" ht="15.6">
      <c r="A4" s="5" t="s">
        <v>27</v>
      </c>
      <c r="B4" s="89" t="s">
        <v>28</v>
      </c>
      <c r="C4" s="89"/>
      <c r="D4" s="89"/>
      <c r="E4" s="89"/>
      <c r="F4" s="89"/>
      <c r="G4" s="89"/>
      <c r="H4" s="6" t="s">
        <v>29</v>
      </c>
      <c r="I4" s="67"/>
      <c r="J4" s="67"/>
      <c r="K4" s="56" t="s">
        <v>30</v>
      </c>
      <c r="L4" s="67"/>
      <c r="M4" s="67"/>
      <c r="N4" s="67"/>
      <c r="O4" s="67"/>
    </row>
    <row r="5" spans="1:15" ht="15.6" customHeight="1">
      <c r="A5" s="4"/>
      <c r="B5" s="88" t="s">
        <v>31</v>
      </c>
      <c r="C5" s="88"/>
      <c r="D5" s="88"/>
      <c r="E5" s="88"/>
      <c r="F5" s="88"/>
      <c r="G5" s="88"/>
      <c r="H5" s="4">
        <v>3</v>
      </c>
      <c r="I5" s="67"/>
      <c r="J5" s="67"/>
      <c r="K5" s="82" t="s">
        <v>32</v>
      </c>
      <c r="L5" s="82"/>
      <c r="M5" s="82"/>
      <c r="N5" s="82"/>
      <c r="O5" s="82"/>
    </row>
    <row r="6" spans="1:15">
      <c r="A6" s="4"/>
      <c r="B6" s="88" t="s">
        <v>33</v>
      </c>
      <c r="C6" s="88"/>
      <c r="D6" s="88"/>
      <c r="E6" s="88"/>
      <c r="F6" s="88"/>
      <c r="G6" s="88"/>
      <c r="H6" s="4">
        <v>4</v>
      </c>
      <c r="I6" s="67"/>
      <c r="J6" s="67"/>
      <c r="K6" s="82"/>
      <c r="L6" s="82"/>
      <c r="M6" s="82"/>
      <c r="N6" s="82"/>
      <c r="O6" s="82"/>
    </row>
    <row r="7" spans="1:15" ht="15.75" customHeight="1">
      <c r="A7" s="4"/>
      <c r="B7" s="88" t="s">
        <v>34</v>
      </c>
      <c r="C7" s="88"/>
      <c r="D7" s="88"/>
      <c r="E7" s="88"/>
      <c r="F7" s="88"/>
      <c r="G7" s="88"/>
      <c r="H7" s="4">
        <v>5</v>
      </c>
      <c r="I7" s="67"/>
      <c r="J7" s="67"/>
      <c r="K7" s="82"/>
      <c r="L7" s="82"/>
      <c r="M7" s="82"/>
      <c r="N7" s="82"/>
      <c r="O7" s="82"/>
    </row>
    <row r="8" spans="1:15">
      <c r="A8" s="4"/>
      <c r="B8" s="88" t="s">
        <v>35</v>
      </c>
      <c r="C8" s="88"/>
      <c r="D8" s="88"/>
      <c r="E8" s="88"/>
      <c r="F8" s="88"/>
      <c r="G8" s="88"/>
      <c r="H8" s="4">
        <v>6</v>
      </c>
      <c r="I8" s="67"/>
      <c r="J8" s="67"/>
      <c r="K8" s="82"/>
      <c r="L8" s="82"/>
      <c r="M8" s="82"/>
      <c r="N8" s="82"/>
      <c r="O8" s="82"/>
    </row>
    <row r="9" spans="1:15">
      <c r="A9" s="4"/>
      <c r="B9" s="88" t="s">
        <v>36</v>
      </c>
      <c r="C9" s="88"/>
      <c r="D9" s="88"/>
      <c r="E9" s="88"/>
      <c r="F9" s="88"/>
      <c r="G9" s="88"/>
      <c r="H9" s="4">
        <v>7</v>
      </c>
      <c r="I9" s="67"/>
      <c r="J9" s="67"/>
      <c r="K9" s="67"/>
      <c r="L9" s="67"/>
      <c r="M9" s="67"/>
      <c r="N9" s="67"/>
      <c r="O9" s="67"/>
    </row>
    <row r="10" spans="1:15">
      <c r="A10" s="4"/>
      <c r="B10" s="88" t="s">
        <v>37</v>
      </c>
      <c r="C10" s="88"/>
      <c r="D10" s="88"/>
      <c r="E10" s="88"/>
      <c r="F10" s="88"/>
      <c r="G10" s="88"/>
      <c r="H10" s="4">
        <v>8</v>
      </c>
      <c r="I10" s="67"/>
      <c r="J10" s="67"/>
      <c r="K10" s="67"/>
      <c r="L10" s="67"/>
      <c r="M10" s="67"/>
      <c r="N10" s="67"/>
      <c r="O10" s="67"/>
    </row>
    <row r="11" spans="1:15">
      <c r="A11" s="4"/>
      <c r="B11" s="88" t="s">
        <v>38</v>
      </c>
      <c r="C11" s="88"/>
      <c r="D11" s="88"/>
      <c r="E11" s="88"/>
      <c r="F11" s="88"/>
      <c r="G11" s="88"/>
      <c r="H11" s="4">
        <v>9</v>
      </c>
      <c r="I11" s="67"/>
      <c r="J11" s="67"/>
      <c r="K11" s="67"/>
      <c r="L11" s="67"/>
      <c r="M11" s="67"/>
      <c r="N11" s="67"/>
      <c r="O11" s="67"/>
    </row>
    <row r="12" spans="1:15">
      <c r="A12" s="4"/>
      <c r="B12" s="88" t="s">
        <v>39</v>
      </c>
      <c r="C12" s="88"/>
      <c r="D12" s="88"/>
      <c r="E12" s="88"/>
      <c r="F12" s="88"/>
      <c r="G12" s="88"/>
      <c r="H12" s="4">
        <v>10</v>
      </c>
      <c r="I12" s="67"/>
      <c r="J12" s="67"/>
      <c r="K12" s="67"/>
      <c r="L12" s="67"/>
      <c r="M12" s="67"/>
      <c r="N12" s="67"/>
      <c r="O12" s="67"/>
    </row>
    <row r="13" spans="1:15">
      <c r="A13" s="4"/>
      <c r="B13" s="88" t="s">
        <v>40</v>
      </c>
      <c r="C13" s="88"/>
      <c r="D13" s="88"/>
      <c r="E13" s="88"/>
      <c r="F13" s="88"/>
      <c r="G13" s="88"/>
      <c r="H13" s="4">
        <v>11</v>
      </c>
      <c r="I13" s="67"/>
      <c r="J13" s="67"/>
      <c r="K13" s="67"/>
      <c r="L13" s="67"/>
      <c r="M13" s="67"/>
      <c r="N13" s="67"/>
      <c r="O13" s="67"/>
    </row>
    <row r="14" spans="1:15">
      <c r="A14" s="4"/>
      <c r="B14" s="91"/>
      <c r="C14" s="91"/>
      <c r="D14" s="91"/>
      <c r="E14" s="91"/>
      <c r="F14" s="91"/>
      <c r="G14" s="91"/>
      <c r="H14" s="4"/>
      <c r="I14" s="67"/>
      <c r="J14" s="67"/>
      <c r="K14" s="67"/>
      <c r="L14" s="67"/>
      <c r="M14" s="67"/>
      <c r="N14" s="67"/>
      <c r="O14" s="67"/>
    </row>
    <row r="16" spans="1:15">
      <c r="A16" s="51" t="s">
        <v>41</v>
      </c>
      <c r="B16" s="151"/>
      <c r="C16" s="151"/>
      <c r="D16" s="151"/>
      <c r="E16" s="151"/>
      <c r="F16" s="151"/>
      <c r="G16" s="151"/>
      <c r="H16" s="152"/>
      <c r="I16" s="67"/>
      <c r="J16" s="67"/>
      <c r="K16" s="67"/>
      <c r="L16" s="67"/>
      <c r="M16" s="67"/>
      <c r="N16" s="67"/>
      <c r="O16" s="67"/>
    </row>
    <row r="17" spans="1:8">
      <c r="A17" s="10" t="s">
        <v>27</v>
      </c>
      <c r="B17" s="92" t="s">
        <v>42</v>
      </c>
      <c r="C17" s="92"/>
      <c r="D17" s="92"/>
      <c r="E17" s="92"/>
      <c r="F17" s="92"/>
      <c r="G17" s="92"/>
      <c r="H17" s="11" t="s">
        <v>43</v>
      </c>
    </row>
    <row r="18" spans="1:8">
      <c r="A18" s="73"/>
      <c r="B18" s="93" t="s">
        <v>44</v>
      </c>
      <c r="C18" s="93"/>
      <c r="D18" s="93"/>
      <c r="E18" s="93"/>
      <c r="F18" s="93"/>
      <c r="G18" s="93"/>
      <c r="H18" s="73" t="s">
        <v>25</v>
      </c>
    </row>
    <row r="19" spans="1:8">
      <c r="A19" s="73"/>
      <c r="B19" s="93" t="s">
        <v>45</v>
      </c>
      <c r="C19" s="93"/>
      <c r="D19" s="93"/>
      <c r="E19" s="93"/>
      <c r="F19" s="93"/>
      <c r="G19" s="93"/>
      <c r="H19" s="73" t="s">
        <v>25</v>
      </c>
    </row>
    <row r="20" spans="1:8">
      <c r="A20" s="73"/>
      <c r="B20" s="93"/>
      <c r="C20" s="93"/>
      <c r="D20" s="93"/>
      <c r="E20" s="93"/>
      <c r="F20" s="93"/>
      <c r="G20" s="93"/>
      <c r="H20" s="73"/>
    </row>
    <row r="21" spans="1:8">
      <c r="A21" s="73"/>
      <c r="B21" s="93"/>
      <c r="C21" s="93"/>
      <c r="D21" s="93"/>
      <c r="E21" s="93"/>
      <c r="F21" s="93"/>
      <c r="G21" s="93"/>
      <c r="H21" s="73"/>
    </row>
    <row r="22" spans="1:8">
      <c r="A22" s="73"/>
      <c r="B22" s="93"/>
      <c r="C22" s="93"/>
      <c r="D22" s="93"/>
      <c r="E22" s="93"/>
      <c r="F22" s="93"/>
      <c r="G22" s="93"/>
      <c r="H22" s="73"/>
    </row>
    <row r="24" spans="1:8" ht="14.25" customHeight="1">
      <c r="A24" s="51" t="s">
        <v>46</v>
      </c>
      <c r="B24" s="151"/>
      <c r="C24" s="151"/>
      <c r="D24" s="151"/>
      <c r="E24" s="151"/>
      <c r="F24" s="151"/>
      <c r="G24" s="151"/>
      <c r="H24" s="152"/>
    </row>
    <row r="25" spans="1:8">
      <c r="A25" s="13" t="s">
        <v>47</v>
      </c>
      <c r="B25" s="94" t="s">
        <v>48</v>
      </c>
      <c r="C25" s="94"/>
      <c r="D25" s="94"/>
      <c r="E25" s="94"/>
      <c r="F25" s="94"/>
      <c r="G25" s="94"/>
      <c r="H25" s="14" t="s">
        <v>49</v>
      </c>
    </row>
    <row r="26" spans="1:8">
      <c r="A26" s="79"/>
      <c r="B26" s="90" t="s">
        <v>50</v>
      </c>
      <c r="C26" s="90"/>
      <c r="D26" s="90"/>
      <c r="E26" s="90"/>
      <c r="F26" s="90"/>
      <c r="G26" s="90"/>
      <c r="H26" s="79" t="s">
        <v>51</v>
      </c>
    </row>
    <row r="27" spans="1:8">
      <c r="A27" s="79"/>
      <c r="B27" s="90" t="s">
        <v>52</v>
      </c>
      <c r="C27" s="90"/>
      <c r="D27" s="90"/>
      <c r="E27" s="90"/>
      <c r="F27" s="90"/>
      <c r="G27" s="90"/>
      <c r="H27" s="79" t="s">
        <v>51</v>
      </c>
    </row>
    <row r="28" spans="1:8">
      <c r="A28" s="79"/>
      <c r="B28" s="90" t="s">
        <v>53</v>
      </c>
      <c r="C28" s="90"/>
      <c r="D28" s="90"/>
      <c r="E28" s="90"/>
      <c r="F28" s="90"/>
      <c r="G28" s="90"/>
      <c r="H28" s="79" t="s">
        <v>51</v>
      </c>
    </row>
    <row r="29" spans="1:8">
      <c r="A29" s="79"/>
      <c r="B29" s="90" t="s">
        <v>50</v>
      </c>
      <c r="C29" s="90"/>
      <c r="D29" s="90"/>
      <c r="E29" s="90"/>
      <c r="F29" s="90"/>
      <c r="G29" s="90"/>
      <c r="H29" s="79" t="s">
        <v>23</v>
      </c>
    </row>
    <row r="30" spans="1:8">
      <c r="A30" s="79"/>
      <c r="B30" s="90"/>
      <c r="C30" s="90"/>
      <c r="D30" s="90"/>
      <c r="E30" s="90"/>
      <c r="F30" s="90"/>
      <c r="G30" s="90"/>
      <c r="H30" s="79"/>
    </row>
    <row r="31" spans="1:8">
      <c r="A31" s="79"/>
      <c r="B31" s="90"/>
      <c r="C31" s="90"/>
      <c r="D31" s="90"/>
      <c r="E31" s="90"/>
      <c r="F31" s="90"/>
      <c r="G31" s="90"/>
      <c r="H31" s="79"/>
    </row>
    <row r="32" spans="1:8">
      <c r="A32" s="79"/>
      <c r="B32" s="90"/>
      <c r="C32" s="90"/>
      <c r="D32" s="90"/>
      <c r="E32" s="90"/>
      <c r="F32" s="90"/>
      <c r="G32" s="90"/>
      <c r="H32" s="79"/>
    </row>
    <row r="34" spans="1:10">
      <c r="A34" s="153" t="s">
        <v>54</v>
      </c>
      <c r="B34" s="154"/>
      <c r="C34" s="154"/>
      <c r="D34" s="154"/>
      <c r="E34" s="154"/>
      <c r="F34" s="154"/>
      <c r="G34" s="154"/>
      <c r="H34" s="154"/>
      <c r="I34" s="154"/>
      <c r="J34" s="155"/>
    </row>
    <row r="35" spans="1:10">
      <c r="A35" s="156"/>
      <c r="B35" s="157"/>
      <c r="C35" s="157"/>
      <c r="D35" s="157"/>
      <c r="E35" s="157"/>
      <c r="F35" s="157"/>
      <c r="G35" s="157"/>
      <c r="H35" s="157"/>
      <c r="I35" s="157"/>
      <c r="J35" s="158"/>
    </row>
    <row r="36" spans="1:10">
      <c r="A36" s="156"/>
      <c r="B36" s="157"/>
      <c r="C36" s="157"/>
      <c r="D36" s="157"/>
      <c r="E36" s="157"/>
      <c r="F36" s="157"/>
      <c r="G36" s="157"/>
      <c r="H36" s="157"/>
      <c r="I36" s="157"/>
      <c r="J36" s="158"/>
    </row>
    <row r="37" spans="1:10">
      <c r="A37" s="159"/>
      <c r="B37" s="160"/>
      <c r="C37" s="160"/>
      <c r="D37" s="160"/>
      <c r="E37" s="160"/>
      <c r="F37" s="160"/>
      <c r="G37" s="160"/>
      <c r="H37" s="160"/>
      <c r="I37" s="160"/>
      <c r="J37" s="161"/>
    </row>
    <row r="55" spans="6:6">
      <c r="F55" s="3"/>
    </row>
  </sheetData>
  <mergeCells count="27">
    <mergeCell ref="A34:J37"/>
    <mergeCell ref="B27:G27"/>
    <mergeCell ref="B28:G28"/>
    <mergeCell ref="B29:G29"/>
    <mergeCell ref="B30:G30"/>
    <mergeCell ref="B31:G31"/>
    <mergeCell ref="B32:G32"/>
    <mergeCell ref="B10:G10"/>
    <mergeCell ref="B11:G11"/>
    <mergeCell ref="B12:G12"/>
    <mergeCell ref="B13:G13"/>
    <mergeCell ref="B26:G26"/>
    <mergeCell ref="B14:G14"/>
    <mergeCell ref="B17:G17"/>
    <mergeCell ref="B18:G18"/>
    <mergeCell ref="B19:G19"/>
    <mergeCell ref="B20:G20"/>
    <mergeCell ref="B21:G21"/>
    <mergeCell ref="B22:G22"/>
    <mergeCell ref="B25:G25"/>
    <mergeCell ref="K5:O8"/>
    <mergeCell ref="B9:G9"/>
    <mergeCell ref="B4:G4"/>
    <mergeCell ref="B5:G5"/>
    <mergeCell ref="B6:G6"/>
    <mergeCell ref="B7:G7"/>
    <mergeCell ref="B8:G8"/>
  </mergeCells>
  <phoneticPr fontId="20" type="noConversion"/>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M40" sqref="M40"/>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67" t="str">
        <f>+'Cover Page'!$B$29</f>
        <v>Annual Performance Report 2023</v>
      </c>
      <c r="B1" s="67"/>
      <c r="C1" s="67"/>
      <c r="D1" s="67"/>
      <c r="E1" s="67" t="str">
        <f>+'Cover Page'!$B$33</f>
        <v>Clay Lake Bank</v>
      </c>
      <c r="F1" s="67"/>
      <c r="G1" s="67"/>
      <c r="H1" s="67"/>
      <c r="I1" s="67"/>
      <c r="J1" s="67"/>
      <c r="K1" s="67"/>
      <c r="L1" s="67"/>
      <c r="M1" s="67"/>
      <c r="N1" s="67"/>
    </row>
    <row r="3" spans="1:14" ht="15.6">
      <c r="A3" s="50" t="s">
        <v>55</v>
      </c>
      <c r="B3" s="162"/>
      <c r="C3" s="162"/>
      <c r="D3" s="162"/>
      <c r="E3" s="162"/>
      <c r="F3" s="162"/>
      <c r="G3" s="162"/>
      <c r="H3" s="162"/>
      <c r="I3" s="163"/>
      <c r="J3" s="67"/>
      <c r="K3" s="58" t="s">
        <v>2</v>
      </c>
      <c r="L3" s="67"/>
      <c r="M3" s="67"/>
      <c r="N3" s="67"/>
    </row>
    <row r="4" spans="1:14">
      <c r="A4" s="164"/>
      <c r="B4" s="165"/>
      <c r="C4" s="165"/>
      <c r="D4" s="165"/>
      <c r="E4" s="165"/>
      <c r="F4" s="165"/>
      <c r="G4" s="165"/>
      <c r="H4" s="165"/>
      <c r="I4" s="166"/>
      <c r="J4" s="67"/>
      <c r="K4" s="67"/>
      <c r="L4" s="67"/>
      <c r="M4" s="67"/>
      <c r="N4" s="67"/>
    </row>
    <row r="5" spans="1:14" ht="15.75" customHeight="1">
      <c r="A5" s="95" t="s">
        <v>56</v>
      </c>
      <c r="B5" s="143"/>
      <c r="C5" s="143"/>
      <c r="D5" s="143"/>
      <c r="E5" s="143"/>
      <c r="F5" s="143"/>
      <c r="G5" s="143"/>
      <c r="H5" s="143"/>
      <c r="I5" s="144"/>
      <c r="J5" s="67"/>
      <c r="K5" s="167" t="s">
        <v>57</v>
      </c>
      <c r="L5" s="167"/>
      <c r="M5" s="167"/>
      <c r="N5" s="167"/>
    </row>
    <row r="6" spans="1:14">
      <c r="A6" s="168"/>
      <c r="B6" s="169"/>
      <c r="C6" s="169"/>
      <c r="D6" s="169"/>
      <c r="E6" s="169"/>
      <c r="F6" s="169"/>
      <c r="G6" s="169"/>
      <c r="H6" s="169"/>
      <c r="I6" s="170"/>
      <c r="J6" s="67"/>
      <c r="K6" s="167"/>
      <c r="L6" s="167"/>
      <c r="M6" s="167"/>
      <c r="N6" s="167"/>
    </row>
    <row r="7" spans="1:14">
      <c r="A7" s="168"/>
      <c r="B7" s="169"/>
      <c r="C7" s="169"/>
      <c r="D7" s="169"/>
      <c r="E7" s="169"/>
      <c r="F7" s="169"/>
      <c r="G7" s="169"/>
      <c r="H7" s="169"/>
      <c r="I7" s="170"/>
      <c r="J7" s="67"/>
      <c r="K7" s="167"/>
      <c r="L7" s="167"/>
      <c r="M7" s="167"/>
      <c r="N7" s="167"/>
    </row>
    <row r="8" spans="1:14" ht="15.75" customHeight="1">
      <c r="A8" s="168"/>
      <c r="B8" s="169"/>
      <c r="C8" s="169"/>
      <c r="D8" s="169"/>
      <c r="E8" s="169"/>
      <c r="F8" s="169"/>
      <c r="G8" s="169"/>
      <c r="H8" s="169"/>
      <c r="I8" s="170"/>
      <c r="J8" s="67"/>
      <c r="K8" s="167"/>
      <c r="L8" s="167"/>
      <c r="M8" s="167"/>
      <c r="N8" s="167"/>
    </row>
    <row r="9" spans="1:14">
      <c r="A9" s="168"/>
      <c r="B9" s="169"/>
      <c r="C9" s="169"/>
      <c r="D9" s="169"/>
      <c r="E9" s="169"/>
      <c r="F9" s="169"/>
      <c r="G9" s="169"/>
      <c r="H9" s="169"/>
      <c r="I9" s="170"/>
      <c r="J9" s="67"/>
      <c r="K9" s="167"/>
      <c r="L9" s="167"/>
      <c r="M9" s="167"/>
      <c r="N9" s="167"/>
    </row>
    <row r="10" spans="1:14">
      <c r="A10" s="168"/>
      <c r="B10" s="169"/>
      <c r="C10" s="169"/>
      <c r="D10" s="169"/>
      <c r="E10" s="169"/>
      <c r="F10" s="169"/>
      <c r="G10" s="169"/>
      <c r="H10" s="169"/>
      <c r="I10" s="170"/>
      <c r="J10" s="67"/>
      <c r="K10" s="167"/>
      <c r="L10" s="167"/>
      <c r="M10" s="167"/>
      <c r="N10" s="167"/>
    </row>
    <row r="11" spans="1:14">
      <c r="A11" s="168"/>
      <c r="B11" s="169"/>
      <c r="C11" s="169"/>
      <c r="D11" s="169"/>
      <c r="E11" s="169"/>
      <c r="F11" s="169"/>
      <c r="G11" s="169"/>
      <c r="H11" s="169"/>
      <c r="I11" s="170"/>
      <c r="J11" s="67"/>
      <c r="K11" s="167"/>
      <c r="L11" s="167"/>
      <c r="M11" s="167"/>
      <c r="N11" s="167"/>
    </row>
    <row r="12" spans="1:14">
      <c r="A12" s="168"/>
      <c r="B12" s="169"/>
      <c r="C12" s="169"/>
      <c r="D12" s="169"/>
      <c r="E12" s="169"/>
      <c r="F12" s="169"/>
      <c r="G12" s="169"/>
      <c r="H12" s="169"/>
      <c r="I12" s="170"/>
      <c r="J12" s="67"/>
      <c r="K12" s="167"/>
      <c r="L12" s="167"/>
      <c r="M12" s="167"/>
      <c r="N12" s="167"/>
    </row>
    <row r="13" spans="1:14">
      <c r="A13" s="168"/>
      <c r="B13" s="169"/>
      <c r="C13" s="169"/>
      <c r="D13" s="169"/>
      <c r="E13" s="169"/>
      <c r="F13" s="169"/>
      <c r="G13" s="169"/>
      <c r="H13" s="169"/>
      <c r="I13" s="170"/>
      <c r="J13" s="67"/>
      <c r="K13" s="167"/>
      <c r="L13" s="167"/>
      <c r="M13" s="167"/>
      <c r="N13" s="167"/>
    </row>
    <row r="14" spans="1:14">
      <c r="A14" s="168"/>
      <c r="B14" s="169"/>
      <c r="C14" s="169"/>
      <c r="D14" s="169"/>
      <c r="E14" s="169"/>
      <c r="F14" s="169"/>
      <c r="G14" s="169"/>
      <c r="H14" s="169"/>
      <c r="I14" s="170"/>
      <c r="J14" s="67"/>
      <c r="K14" s="167"/>
      <c r="L14" s="167"/>
      <c r="M14" s="167"/>
      <c r="N14" s="167"/>
    </row>
    <row r="15" spans="1:14">
      <c r="A15" s="168"/>
      <c r="B15" s="169"/>
      <c r="C15" s="169"/>
      <c r="D15" s="169"/>
      <c r="E15" s="169"/>
      <c r="F15" s="169"/>
      <c r="G15" s="169"/>
      <c r="H15" s="169"/>
      <c r="I15" s="170"/>
      <c r="J15" s="67"/>
      <c r="K15" s="67"/>
      <c r="L15" s="67"/>
      <c r="M15" s="67"/>
      <c r="N15" s="67"/>
    </row>
    <row r="16" spans="1:14">
      <c r="A16" s="168"/>
      <c r="B16" s="169"/>
      <c r="C16" s="169"/>
      <c r="D16" s="169"/>
      <c r="E16" s="169"/>
      <c r="F16" s="169"/>
      <c r="G16" s="169"/>
      <c r="H16" s="169"/>
      <c r="I16" s="170"/>
      <c r="J16" s="67"/>
      <c r="K16" s="67"/>
      <c r="L16" s="67"/>
      <c r="M16" s="67"/>
      <c r="N16" s="67"/>
    </row>
    <row r="17" spans="1:14">
      <c r="A17" s="168"/>
      <c r="B17" s="169"/>
      <c r="C17" s="169"/>
      <c r="D17" s="169"/>
      <c r="E17" s="169"/>
      <c r="F17" s="169"/>
      <c r="G17" s="169"/>
      <c r="H17" s="169"/>
      <c r="I17" s="170"/>
      <c r="J17" s="67"/>
      <c r="K17" s="67"/>
      <c r="L17" s="67"/>
      <c r="M17" s="67"/>
      <c r="N17" s="67"/>
    </row>
    <row r="18" spans="1:14">
      <c r="A18" s="145"/>
      <c r="B18" s="146"/>
      <c r="C18" s="146"/>
      <c r="D18" s="146"/>
      <c r="E18" s="146"/>
      <c r="F18" s="146"/>
      <c r="G18" s="146"/>
      <c r="H18" s="146"/>
      <c r="I18" s="147"/>
      <c r="J18" s="67"/>
      <c r="K18" s="67"/>
      <c r="L18" s="67"/>
      <c r="M18" s="67"/>
      <c r="N18" s="67"/>
    </row>
    <row r="20" spans="1:14">
      <c r="A20" s="50" t="s">
        <v>58</v>
      </c>
      <c r="B20" s="162"/>
      <c r="C20" s="162"/>
      <c r="D20" s="162"/>
      <c r="E20" s="162"/>
      <c r="F20" s="162"/>
      <c r="G20" s="162"/>
      <c r="H20" s="162"/>
      <c r="I20" s="163"/>
      <c r="J20" s="67"/>
      <c r="K20" s="67"/>
      <c r="L20" s="67"/>
      <c r="M20" s="67"/>
      <c r="N20" s="67"/>
    </row>
    <row r="21" spans="1:14">
      <c r="A21" s="164"/>
      <c r="B21" s="165"/>
      <c r="C21" s="165"/>
      <c r="D21" s="165"/>
      <c r="E21" s="165"/>
      <c r="F21" s="165"/>
      <c r="G21" s="165"/>
      <c r="H21" s="165"/>
      <c r="I21" s="166"/>
      <c r="J21" s="67"/>
      <c r="K21" s="67"/>
      <c r="L21" s="67"/>
      <c r="M21" s="67"/>
      <c r="N21" s="67"/>
    </row>
    <row r="22" spans="1:14">
      <c r="A22" s="95" t="s">
        <v>59</v>
      </c>
      <c r="B22" s="171"/>
      <c r="C22" s="171"/>
      <c r="D22" s="171"/>
      <c r="E22" s="171"/>
      <c r="F22" s="171"/>
      <c r="G22" s="171"/>
      <c r="H22" s="171"/>
      <c r="I22" s="172"/>
      <c r="J22" s="67"/>
      <c r="K22" s="167" t="s">
        <v>60</v>
      </c>
      <c r="L22" s="167"/>
      <c r="M22" s="167"/>
      <c r="N22" s="167"/>
    </row>
    <row r="23" spans="1:14">
      <c r="A23" s="173"/>
      <c r="B23" s="174"/>
      <c r="C23" s="174"/>
      <c r="D23" s="174"/>
      <c r="E23" s="174"/>
      <c r="F23" s="174"/>
      <c r="G23" s="174"/>
      <c r="H23" s="174"/>
      <c r="I23" s="175"/>
      <c r="J23" s="67"/>
      <c r="K23" s="167"/>
      <c r="L23" s="167"/>
      <c r="M23" s="167"/>
      <c r="N23" s="167"/>
    </row>
    <row r="24" spans="1:14">
      <c r="A24" s="173"/>
      <c r="B24" s="174"/>
      <c r="C24" s="174"/>
      <c r="D24" s="174"/>
      <c r="E24" s="174"/>
      <c r="F24" s="174"/>
      <c r="G24" s="174"/>
      <c r="H24" s="174"/>
      <c r="I24" s="175"/>
      <c r="J24" s="67"/>
      <c r="K24" s="167"/>
      <c r="L24" s="167"/>
      <c r="M24" s="167"/>
      <c r="N24" s="167"/>
    </row>
    <row r="25" spans="1:14">
      <c r="A25" s="173"/>
      <c r="B25" s="174"/>
      <c r="C25" s="174"/>
      <c r="D25" s="174"/>
      <c r="E25" s="174"/>
      <c r="F25" s="174"/>
      <c r="G25" s="174"/>
      <c r="H25" s="174"/>
      <c r="I25" s="175"/>
      <c r="J25" s="67"/>
      <c r="K25" s="167"/>
      <c r="L25" s="167"/>
      <c r="M25" s="167"/>
      <c r="N25" s="167"/>
    </row>
    <row r="26" spans="1:14">
      <c r="A26" s="173"/>
      <c r="B26" s="174"/>
      <c r="C26" s="174"/>
      <c r="D26" s="174"/>
      <c r="E26" s="174"/>
      <c r="F26" s="174"/>
      <c r="G26" s="174"/>
      <c r="H26" s="174"/>
      <c r="I26" s="175"/>
      <c r="J26" s="67"/>
      <c r="K26" s="167"/>
      <c r="L26" s="167"/>
      <c r="M26" s="167"/>
      <c r="N26" s="167"/>
    </row>
    <row r="27" spans="1:14">
      <c r="A27" s="173"/>
      <c r="B27" s="174"/>
      <c r="C27" s="174"/>
      <c r="D27" s="174"/>
      <c r="E27" s="174"/>
      <c r="F27" s="174"/>
      <c r="G27" s="174"/>
      <c r="H27" s="174"/>
      <c r="I27" s="175"/>
      <c r="J27" s="67"/>
      <c r="K27" s="167"/>
      <c r="L27" s="167"/>
      <c r="M27" s="167"/>
      <c r="N27" s="167"/>
    </row>
    <row r="28" spans="1:14">
      <c r="A28" s="173"/>
      <c r="B28" s="174"/>
      <c r="C28" s="174"/>
      <c r="D28" s="174"/>
      <c r="E28" s="174"/>
      <c r="F28" s="174"/>
      <c r="G28" s="174"/>
      <c r="H28" s="174"/>
      <c r="I28" s="175"/>
      <c r="J28" s="67"/>
      <c r="K28" s="167"/>
      <c r="L28" s="167"/>
      <c r="M28" s="167"/>
      <c r="N28" s="167"/>
    </row>
    <row r="29" spans="1:14">
      <c r="A29" s="173"/>
      <c r="B29" s="174"/>
      <c r="C29" s="174"/>
      <c r="D29" s="174"/>
      <c r="E29" s="174"/>
      <c r="F29" s="174"/>
      <c r="G29" s="174"/>
      <c r="H29" s="174"/>
      <c r="I29" s="175"/>
      <c r="J29" s="67"/>
      <c r="K29" s="167"/>
      <c r="L29" s="167"/>
      <c r="M29" s="167"/>
      <c r="N29" s="167"/>
    </row>
    <row r="30" spans="1:14">
      <c r="A30" s="173"/>
      <c r="B30" s="174"/>
      <c r="C30" s="174"/>
      <c r="D30" s="174"/>
      <c r="E30" s="174"/>
      <c r="F30" s="174"/>
      <c r="G30" s="174"/>
      <c r="H30" s="174"/>
      <c r="I30" s="175"/>
      <c r="J30" s="67"/>
      <c r="K30" s="167"/>
      <c r="L30" s="167"/>
      <c r="M30" s="167"/>
      <c r="N30" s="167"/>
    </row>
    <row r="31" spans="1:14">
      <c r="A31" s="173"/>
      <c r="B31" s="174"/>
      <c r="C31" s="174"/>
      <c r="D31" s="174"/>
      <c r="E31" s="174"/>
      <c r="F31" s="174"/>
      <c r="G31" s="174"/>
      <c r="H31" s="174"/>
      <c r="I31" s="175"/>
      <c r="J31" s="67"/>
      <c r="K31" s="167"/>
      <c r="L31" s="167"/>
      <c r="M31" s="167"/>
      <c r="N31" s="167"/>
    </row>
    <row r="32" spans="1:14">
      <c r="A32" s="173"/>
      <c r="B32" s="174"/>
      <c r="C32" s="174"/>
      <c r="D32" s="174"/>
      <c r="E32" s="174"/>
      <c r="F32" s="174"/>
      <c r="G32" s="174"/>
      <c r="H32" s="174"/>
      <c r="I32" s="175"/>
      <c r="J32" s="67"/>
      <c r="K32" s="67"/>
      <c r="L32" s="67"/>
      <c r="M32" s="67"/>
      <c r="N32" s="67"/>
    </row>
    <row r="33" spans="1:9">
      <c r="A33" s="173"/>
      <c r="B33" s="174"/>
      <c r="C33" s="174"/>
      <c r="D33" s="174"/>
      <c r="E33" s="174"/>
      <c r="F33" s="174"/>
      <c r="G33" s="174"/>
      <c r="H33" s="174"/>
      <c r="I33" s="175"/>
    </row>
    <row r="34" spans="1:9">
      <c r="A34" s="173"/>
      <c r="B34" s="174"/>
      <c r="C34" s="174"/>
      <c r="D34" s="174"/>
      <c r="E34" s="174"/>
      <c r="F34" s="174"/>
      <c r="G34" s="174"/>
      <c r="H34" s="174"/>
      <c r="I34" s="175"/>
    </row>
    <row r="35" spans="1:9">
      <c r="A35" s="173"/>
      <c r="B35" s="174"/>
      <c r="C35" s="174"/>
      <c r="D35" s="174"/>
      <c r="E35" s="174"/>
      <c r="F35" s="174"/>
      <c r="G35" s="174"/>
      <c r="H35" s="174"/>
      <c r="I35" s="175"/>
    </row>
    <row r="36" spans="1:9">
      <c r="A36" s="173"/>
      <c r="B36" s="174"/>
      <c r="C36" s="174"/>
      <c r="D36" s="174"/>
      <c r="E36" s="174"/>
      <c r="F36" s="174"/>
      <c r="G36" s="174"/>
      <c r="H36" s="174"/>
      <c r="I36" s="175"/>
    </row>
    <row r="37" spans="1:9">
      <c r="A37" s="173"/>
      <c r="B37" s="174"/>
      <c r="C37" s="174"/>
      <c r="D37" s="174"/>
      <c r="E37" s="174"/>
      <c r="F37" s="174"/>
      <c r="G37" s="174"/>
      <c r="H37" s="174"/>
      <c r="I37" s="175"/>
    </row>
    <row r="38" spans="1:9">
      <c r="A38" s="173"/>
      <c r="B38" s="174"/>
      <c r="C38" s="174"/>
      <c r="D38" s="174"/>
      <c r="E38" s="174"/>
      <c r="F38" s="174"/>
      <c r="G38" s="174"/>
      <c r="H38" s="174"/>
      <c r="I38" s="175"/>
    </row>
    <row r="39" spans="1:9">
      <c r="A39" s="173"/>
      <c r="B39" s="174"/>
      <c r="C39" s="174"/>
      <c r="D39" s="174"/>
      <c r="E39" s="174"/>
      <c r="F39" s="174"/>
      <c r="G39" s="174"/>
      <c r="H39" s="174"/>
      <c r="I39" s="175"/>
    </row>
    <row r="40" spans="1:9" ht="14.25" customHeight="1">
      <c r="A40" s="173"/>
      <c r="B40" s="174"/>
      <c r="C40" s="174"/>
      <c r="D40" s="174"/>
      <c r="E40" s="174"/>
      <c r="F40" s="174"/>
      <c r="G40" s="174"/>
      <c r="H40" s="174"/>
      <c r="I40" s="175"/>
    </row>
    <row r="41" spans="1:9">
      <c r="A41" s="173"/>
      <c r="B41" s="174"/>
      <c r="C41" s="174"/>
      <c r="D41" s="174"/>
      <c r="E41" s="174"/>
      <c r="F41" s="174"/>
      <c r="G41" s="174"/>
      <c r="H41" s="174"/>
      <c r="I41" s="175"/>
    </row>
    <row r="42" spans="1:9">
      <c r="A42" s="173"/>
      <c r="B42" s="174"/>
      <c r="C42" s="174"/>
      <c r="D42" s="174"/>
      <c r="E42" s="174"/>
      <c r="F42" s="174"/>
      <c r="G42" s="174"/>
      <c r="H42" s="174"/>
      <c r="I42" s="175"/>
    </row>
    <row r="43" spans="1:9">
      <c r="A43" s="173"/>
      <c r="B43" s="174"/>
      <c r="C43" s="174"/>
      <c r="D43" s="174"/>
      <c r="E43" s="174"/>
      <c r="F43" s="174"/>
      <c r="G43" s="174"/>
      <c r="H43" s="174"/>
      <c r="I43" s="175"/>
    </row>
    <row r="44" spans="1:9">
      <c r="A44" s="173"/>
      <c r="B44" s="174"/>
      <c r="C44" s="174"/>
      <c r="D44" s="174"/>
      <c r="E44" s="174"/>
      <c r="F44" s="174"/>
      <c r="G44" s="174"/>
      <c r="H44" s="174"/>
      <c r="I44" s="175"/>
    </row>
    <row r="45" spans="1:9">
      <c r="A45" s="173"/>
      <c r="B45" s="174"/>
      <c r="C45" s="174"/>
      <c r="D45" s="174"/>
      <c r="E45" s="174"/>
      <c r="F45" s="174"/>
      <c r="G45" s="174"/>
      <c r="H45" s="174"/>
      <c r="I45" s="175"/>
    </row>
    <row r="46" spans="1:9">
      <c r="A46" s="173"/>
      <c r="B46" s="174"/>
      <c r="C46" s="174"/>
      <c r="D46" s="174"/>
      <c r="E46" s="174"/>
      <c r="F46" s="174"/>
      <c r="G46" s="174"/>
      <c r="H46" s="174"/>
      <c r="I46" s="175"/>
    </row>
    <row r="47" spans="1:9">
      <c r="A47" s="173"/>
      <c r="B47" s="174"/>
      <c r="C47" s="174"/>
      <c r="D47" s="174"/>
      <c r="E47" s="174"/>
      <c r="F47" s="174"/>
      <c r="G47" s="174"/>
      <c r="H47" s="174"/>
      <c r="I47" s="175"/>
    </row>
    <row r="48" spans="1:9">
      <c r="A48" s="173"/>
      <c r="B48" s="174"/>
      <c r="C48" s="174"/>
      <c r="D48" s="174"/>
      <c r="E48" s="174"/>
      <c r="F48" s="174"/>
      <c r="G48" s="174"/>
      <c r="H48" s="174"/>
      <c r="I48" s="175"/>
    </row>
    <row r="49" spans="1:9">
      <c r="A49" s="173"/>
      <c r="B49" s="174"/>
      <c r="C49" s="174"/>
      <c r="D49" s="174"/>
      <c r="E49" s="174"/>
      <c r="F49" s="174"/>
      <c r="G49" s="174"/>
      <c r="H49" s="174"/>
      <c r="I49" s="175"/>
    </row>
    <row r="50" spans="1:9">
      <c r="A50" s="173"/>
      <c r="B50" s="174"/>
      <c r="C50" s="174"/>
      <c r="D50" s="174"/>
      <c r="E50" s="174"/>
      <c r="F50" s="174"/>
      <c r="G50" s="174"/>
      <c r="H50" s="174"/>
      <c r="I50" s="175"/>
    </row>
    <row r="51" spans="1:9">
      <c r="A51" s="173"/>
      <c r="B51" s="174"/>
      <c r="C51" s="174"/>
      <c r="D51" s="174"/>
      <c r="E51" s="174"/>
      <c r="F51" s="174"/>
      <c r="G51" s="174"/>
      <c r="H51" s="174"/>
      <c r="I51" s="175"/>
    </row>
    <row r="52" spans="1:9">
      <c r="A52" s="173"/>
      <c r="B52" s="174"/>
      <c r="C52" s="174"/>
      <c r="D52" s="174"/>
      <c r="E52" s="174"/>
      <c r="F52" s="174"/>
      <c r="G52" s="174"/>
      <c r="H52" s="174"/>
      <c r="I52" s="175"/>
    </row>
    <row r="53" spans="1:9">
      <c r="A53" s="173"/>
      <c r="B53" s="174"/>
      <c r="C53" s="174"/>
      <c r="D53" s="174"/>
      <c r="E53" s="174"/>
      <c r="F53" s="174"/>
      <c r="G53" s="174"/>
      <c r="H53" s="174"/>
      <c r="I53" s="175"/>
    </row>
    <row r="54" spans="1:9">
      <c r="A54" s="176"/>
      <c r="B54" s="177"/>
      <c r="C54" s="177"/>
      <c r="D54" s="177"/>
      <c r="E54" s="177"/>
      <c r="F54" s="177"/>
      <c r="G54" s="177"/>
      <c r="H54" s="177"/>
      <c r="I54" s="178"/>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50"/>
  <sheetViews>
    <sheetView showGridLines="0" zoomScaleNormal="100" workbookViewId="0">
      <selection activeCell="J30" sqref="J30"/>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67" t="str">
        <f>+'Cover Page'!$B$29</f>
        <v>Annual Performance Report 2023</v>
      </c>
      <c r="B1" s="67"/>
      <c r="C1" s="67"/>
      <c r="D1" s="67"/>
      <c r="E1" s="67" t="str">
        <f>+'Cover Page'!$B$33</f>
        <v>Clay Lake Bank</v>
      </c>
      <c r="F1" s="67"/>
      <c r="G1" s="67"/>
      <c r="H1" s="67"/>
      <c r="I1" s="67"/>
      <c r="J1" s="67"/>
      <c r="K1" s="67"/>
    </row>
    <row r="3" spans="1:11" ht="15.6">
      <c r="A3" s="1" t="s">
        <v>33</v>
      </c>
      <c r="B3" s="179"/>
      <c r="C3" s="179"/>
      <c r="D3" s="179"/>
      <c r="E3" s="179"/>
      <c r="F3" s="179"/>
      <c r="H3" s="180"/>
      <c r="I3" s="67"/>
      <c r="J3" s="67"/>
      <c r="K3" s="58" t="s">
        <v>2</v>
      </c>
    </row>
    <row r="4" spans="1:11">
      <c r="A4" s="18" t="s">
        <v>61</v>
      </c>
      <c r="B4" s="181"/>
      <c r="C4" s="181"/>
      <c r="D4" s="20" t="s">
        <v>62</v>
      </c>
      <c r="E4" s="19">
        <v>8</v>
      </c>
      <c r="F4" s="20" t="s">
        <v>63</v>
      </c>
      <c r="G4" s="19">
        <v>0</v>
      </c>
      <c r="H4" s="53" t="s">
        <v>64</v>
      </c>
      <c r="I4" s="67"/>
      <c r="J4" s="67"/>
      <c r="K4" s="17" t="s">
        <v>65</v>
      </c>
    </row>
    <row r="5" spans="1:11">
      <c r="A5" s="21" t="s">
        <v>66</v>
      </c>
      <c r="B5" s="22">
        <v>3</v>
      </c>
      <c r="C5" s="23"/>
      <c r="D5" s="23" t="s">
        <v>67</v>
      </c>
      <c r="E5" s="23"/>
      <c r="F5" s="24">
        <v>0</v>
      </c>
      <c r="G5" s="25"/>
      <c r="H5" s="26"/>
      <c r="I5" s="67"/>
      <c r="J5" s="67"/>
      <c r="K5" s="17" t="s">
        <v>68</v>
      </c>
    </row>
    <row r="6" spans="1:11">
      <c r="A6" s="3"/>
      <c r="B6" s="179"/>
      <c r="C6" s="179"/>
      <c r="D6" s="179"/>
      <c r="E6" s="179"/>
      <c r="F6" s="179"/>
      <c r="H6" s="180"/>
      <c r="I6" s="67"/>
      <c r="J6" s="67"/>
      <c r="K6" s="96" t="s">
        <v>69</v>
      </c>
    </row>
    <row r="7" spans="1:11">
      <c r="A7" s="9" t="s">
        <v>70</v>
      </c>
      <c r="B7" s="182" t="s">
        <v>71</v>
      </c>
      <c r="C7" s="69" t="s">
        <v>72</v>
      </c>
      <c r="D7" s="69" t="s">
        <v>73</v>
      </c>
      <c r="E7" s="69" t="s">
        <v>74</v>
      </c>
      <c r="F7" s="69" t="s">
        <v>75</v>
      </c>
      <c r="G7" s="27" t="s">
        <v>76</v>
      </c>
      <c r="H7" s="183" t="s">
        <v>77</v>
      </c>
      <c r="I7" s="67"/>
      <c r="J7" s="67"/>
      <c r="K7" s="96"/>
    </row>
    <row r="8" spans="1:11">
      <c r="A8" s="70" t="s">
        <v>78</v>
      </c>
      <c r="B8" s="98" t="s">
        <v>79</v>
      </c>
      <c r="C8" s="74">
        <v>1964</v>
      </c>
      <c r="D8" s="74">
        <v>1658</v>
      </c>
      <c r="E8" s="74">
        <v>6114</v>
      </c>
      <c r="F8" s="74">
        <v>3619</v>
      </c>
      <c r="G8" s="63">
        <f t="shared" ref="G8:G9" si="0">SUM(C8:F8)</f>
        <v>13355</v>
      </c>
      <c r="H8" s="184">
        <f>IF(G8&gt;0,G8/$G$10,"-")</f>
        <v>1</v>
      </c>
      <c r="I8" s="67"/>
      <c r="J8" s="67"/>
      <c r="K8" s="97"/>
    </row>
    <row r="9" spans="1:11">
      <c r="A9" s="70" t="s">
        <v>80</v>
      </c>
      <c r="B9" s="98"/>
      <c r="C9" s="74"/>
      <c r="D9" s="74"/>
      <c r="E9" s="74">
        <v>0</v>
      </c>
      <c r="F9" s="74"/>
      <c r="G9" s="63">
        <f t="shared" si="0"/>
        <v>0</v>
      </c>
      <c r="H9" s="184" t="str">
        <f>IF(G9&gt;0,G9/$G$10,"-")</f>
        <v>-</v>
      </c>
      <c r="I9" s="67"/>
      <c r="J9" s="67"/>
      <c r="K9" s="97"/>
    </row>
    <row r="10" spans="1:11">
      <c r="A10" s="65" t="s">
        <v>81</v>
      </c>
      <c r="B10" s="98"/>
      <c r="C10" s="63">
        <f>SUM(C8:C9)</f>
        <v>1964</v>
      </c>
      <c r="D10" s="63">
        <f>SUM(D8:D9)</f>
        <v>1658</v>
      </c>
      <c r="E10" s="63">
        <f>SUM(E8:E9)</f>
        <v>6114</v>
      </c>
      <c r="F10" s="63">
        <f>SUM(F8:F9)</f>
        <v>3619</v>
      </c>
      <c r="G10" s="63">
        <f>SUM(G8:G9)</f>
        <v>13355</v>
      </c>
      <c r="H10" s="185">
        <v>1</v>
      </c>
      <c r="I10" s="67"/>
      <c r="J10" s="67"/>
      <c r="K10" s="97"/>
    </row>
    <row r="11" spans="1:11">
      <c r="A11" s="70" t="s">
        <v>82</v>
      </c>
      <c r="B11" s="98"/>
      <c r="C11" s="74">
        <v>0</v>
      </c>
      <c r="D11" s="74">
        <v>0</v>
      </c>
      <c r="E11" s="74" t="s">
        <v>83</v>
      </c>
      <c r="F11" s="74" t="s">
        <v>83</v>
      </c>
      <c r="G11" s="63">
        <f t="shared" ref="G11" si="1">SUM(C11:F11)</f>
        <v>0</v>
      </c>
      <c r="H11" s="184" t="str">
        <f t="shared" ref="H11" si="2">IF(G11&gt;0,G11/$G$10,"-")</f>
        <v>-</v>
      </c>
      <c r="I11" s="67"/>
      <c r="J11" s="67"/>
      <c r="K11" s="97"/>
    </row>
    <row r="12" spans="1:11" ht="23.45">
      <c r="A12" s="66" t="s">
        <v>84</v>
      </c>
      <c r="B12" s="77" t="s">
        <v>79</v>
      </c>
      <c r="C12" s="64">
        <f>C10-SUM(C11:C11)</f>
        <v>1964</v>
      </c>
      <c r="D12" s="64">
        <f>D10-SUM(D11:D11)</f>
        <v>1658</v>
      </c>
      <c r="E12" s="64">
        <f>E10-SUM(E11:E11)</f>
        <v>6114</v>
      </c>
      <c r="F12" s="64">
        <f>F10-SUM(F11:F11)</f>
        <v>3619</v>
      </c>
      <c r="G12" s="30">
        <f>SUM(C12:F12)</f>
        <v>13355</v>
      </c>
      <c r="H12" s="186">
        <f>IF(G12&gt;0,G12/$G$10,"-")</f>
        <v>1</v>
      </c>
      <c r="I12" s="67"/>
      <c r="J12" s="67"/>
      <c r="K12" s="67"/>
    </row>
    <row r="13" spans="1:11">
      <c r="A13" s="3"/>
      <c r="B13" s="179"/>
      <c r="C13" s="180"/>
      <c r="D13" s="180"/>
      <c r="E13" s="180"/>
      <c r="F13" s="180"/>
      <c r="G13" s="31"/>
      <c r="H13" s="180"/>
      <c r="I13" s="67"/>
      <c r="J13" s="67"/>
      <c r="K13" s="67"/>
    </row>
    <row r="14" spans="1:11">
      <c r="A14" s="9" t="s">
        <v>85</v>
      </c>
      <c r="B14" s="182" t="s">
        <v>71</v>
      </c>
      <c r="C14" s="69" t="s">
        <v>72</v>
      </c>
      <c r="D14" s="69" t="s">
        <v>73</v>
      </c>
      <c r="E14" s="69" t="s">
        <v>74</v>
      </c>
      <c r="F14" s="69" t="s">
        <v>75</v>
      </c>
      <c r="G14" s="32" t="s">
        <v>76</v>
      </c>
      <c r="H14" s="187" t="s">
        <v>86</v>
      </c>
      <c r="I14" s="67"/>
      <c r="J14" s="67"/>
      <c r="K14" s="67"/>
    </row>
    <row r="15" spans="1:11" ht="15" customHeight="1">
      <c r="A15" s="71" t="s">
        <v>87</v>
      </c>
      <c r="B15" s="188" t="s">
        <v>88</v>
      </c>
      <c r="C15" s="189">
        <v>8605</v>
      </c>
      <c r="D15" s="189">
        <v>5176</v>
      </c>
      <c r="E15" s="189">
        <v>21438</v>
      </c>
      <c r="F15" s="189">
        <v>11088</v>
      </c>
      <c r="G15" s="28">
        <f t="shared" ref="G15" si="3">SUM(C15:F15)</f>
        <v>46307</v>
      </c>
      <c r="H15" s="190">
        <f>IF(G15&gt;0,G15*1000/$G$12,"-")</f>
        <v>3467.3904904530136</v>
      </c>
      <c r="I15" s="67"/>
      <c r="J15" s="67"/>
      <c r="K15" s="67"/>
    </row>
    <row r="16" spans="1:11">
      <c r="A16" s="72" t="s">
        <v>89</v>
      </c>
      <c r="B16" s="98"/>
      <c r="C16" s="189">
        <v>8605</v>
      </c>
      <c r="D16" s="189">
        <v>5176</v>
      </c>
      <c r="E16" s="189">
        <v>21438</v>
      </c>
      <c r="F16" s="189">
        <v>11088</v>
      </c>
      <c r="G16" s="29">
        <f>SUM(C16:F16)</f>
        <v>46307</v>
      </c>
      <c r="H16" s="191">
        <f>IF(G16&gt;0,G16*1000/$G$12,"-")</f>
        <v>3467.3904904530136</v>
      </c>
      <c r="I16" s="67"/>
      <c r="J16" s="67"/>
      <c r="K16" s="67"/>
    </row>
    <row r="17" spans="1:12">
      <c r="A17" s="3"/>
      <c r="B17" s="179"/>
      <c r="C17" s="180"/>
      <c r="D17" s="180"/>
      <c r="E17" s="180"/>
      <c r="F17" s="180"/>
      <c r="G17" s="31"/>
      <c r="H17" s="180"/>
      <c r="I17" s="67"/>
      <c r="J17" s="67"/>
      <c r="K17" s="67"/>
      <c r="L17" s="17"/>
    </row>
    <row r="18" spans="1:12">
      <c r="A18" s="9" t="s">
        <v>90</v>
      </c>
      <c r="B18" s="192" t="s">
        <v>71</v>
      </c>
      <c r="C18" s="69" t="s">
        <v>72</v>
      </c>
      <c r="D18" s="69" t="s">
        <v>73</v>
      </c>
      <c r="E18" s="69" t="s">
        <v>74</v>
      </c>
      <c r="F18" s="69" t="s">
        <v>75</v>
      </c>
      <c r="G18" s="27" t="s">
        <v>76</v>
      </c>
      <c r="H18" s="193" t="s">
        <v>91</v>
      </c>
      <c r="I18" s="67"/>
      <c r="J18" s="67"/>
      <c r="K18" s="67"/>
      <c r="L18" s="17"/>
    </row>
    <row r="19" spans="1:12">
      <c r="A19" s="72" t="s">
        <v>92</v>
      </c>
      <c r="B19" s="98" t="s">
        <v>79</v>
      </c>
      <c r="C19" s="194">
        <v>46</v>
      </c>
      <c r="D19" s="194">
        <v>21</v>
      </c>
      <c r="E19" s="194">
        <v>140</v>
      </c>
      <c r="F19" s="194">
        <v>97</v>
      </c>
      <c r="G19" s="29">
        <f>SUM(C19:F19)</f>
        <v>304</v>
      </c>
      <c r="H19" s="184">
        <f>IF(G19&gt;0,G19/$G$10,"-")</f>
        <v>2.2763010108573567E-2</v>
      </c>
      <c r="I19" s="67"/>
      <c r="J19" s="67"/>
      <c r="K19" s="67"/>
      <c r="L19" s="67"/>
    </row>
    <row r="20" spans="1:12">
      <c r="A20" s="195" t="s">
        <v>93</v>
      </c>
      <c r="B20" s="98"/>
      <c r="C20" s="194">
        <v>0</v>
      </c>
      <c r="D20" s="194">
        <v>0</v>
      </c>
      <c r="E20" s="194">
        <v>0</v>
      </c>
      <c r="F20" s="194">
        <v>0</v>
      </c>
      <c r="G20" s="29">
        <f t="shared" ref="G20:G21" si="4">SUM(C20:F20)</f>
        <v>0</v>
      </c>
      <c r="H20" s="184" t="str">
        <f>IF(G20&gt;0,G20/$G$10,"-")</f>
        <v>-</v>
      </c>
      <c r="I20" s="67"/>
      <c r="J20" s="67"/>
      <c r="K20" s="67"/>
      <c r="L20" s="67"/>
    </row>
    <row r="21" spans="1:12">
      <c r="A21" s="196" t="s">
        <v>93</v>
      </c>
      <c r="B21" s="197"/>
      <c r="C21" s="198">
        <v>0</v>
      </c>
      <c r="D21" s="198">
        <v>0</v>
      </c>
      <c r="E21" s="198">
        <v>0</v>
      </c>
      <c r="F21" s="198">
        <v>0</v>
      </c>
      <c r="G21" s="30">
        <f t="shared" si="4"/>
        <v>0</v>
      </c>
      <c r="H21" s="186" t="str">
        <f t="shared" ref="H21" si="5">IF(G21&gt;0,G21/$G$10,"-")</f>
        <v>-</v>
      </c>
      <c r="I21" s="67"/>
      <c r="J21" s="67"/>
      <c r="K21" s="67"/>
      <c r="L21" s="67"/>
    </row>
    <row r="22" spans="1:12">
      <c r="A22" s="179"/>
      <c r="B22" s="179"/>
      <c r="C22" s="180"/>
      <c r="D22" s="180"/>
      <c r="E22" s="180"/>
      <c r="F22" s="180"/>
      <c r="G22" s="31"/>
      <c r="H22" s="180"/>
      <c r="I22" s="67"/>
      <c r="J22" s="67"/>
      <c r="K22" s="67"/>
      <c r="L22" s="67"/>
    </row>
    <row r="23" spans="1:12">
      <c r="A23" s="9" t="s">
        <v>94</v>
      </c>
      <c r="B23" s="192" t="s">
        <v>71</v>
      </c>
      <c r="C23" s="69" t="s">
        <v>72</v>
      </c>
      <c r="D23" s="69" t="s">
        <v>73</v>
      </c>
      <c r="E23" s="69" t="s">
        <v>74</v>
      </c>
      <c r="F23" s="69" t="s">
        <v>75</v>
      </c>
      <c r="G23" s="27" t="s">
        <v>76</v>
      </c>
      <c r="H23" s="183" t="s">
        <v>95</v>
      </c>
      <c r="I23" s="67"/>
      <c r="J23" s="67"/>
      <c r="K23" s="67"/>
      <c r="L23" s="67"/>
    </row>
    <row r="24" spans="1:12" ht="15.6" customHeight="1">
      <c r="A24" s="71" t="s">
        <v>96</v>
      </c>
      <c r="B24" s="199" t="s">
        <v>97</v>
      </c>
      <c r="C24" s="74">
        <v>0</v>
      </c>
      <c r="D24" s="74">
        <v>0</v>
      </c>
      <c r="E24" s="74">
        <v>0</v>
      </c>
      <c r="F24" s="74">
        <v>0</v>
      </c>
      <c r="G24" s="63">
        <f t="shared" ref="G24:G27" si="6">SUM(C24:F24)</f>
        <v>0</v>
      </c>
      <c r="H24" s="200" t="str">
        <f>IF(G24&gt;0,G24/$G$10,"-")</f>
        <v>-</v>
      </c>
      <c r="I24" s="67"/>
      <c r="J24" s="67"/>
      <c r="K24" s="67"/>
      <c r="L24" s="67"/>
    </row>
    <row r="25" spans="1:12" ht="15.6" customHeight="1">
      <c r="A25" s="72" t="s">
        <v>98</v>
      </c>
      <c r="B25" s="199" t="s">
        <v>99</v>
      </c>
      <c r="C25" s="194">
        <v>0</v>
      </c>
      <c r="D25" s="194">
        <v>0</v>
      </c>
      <c r="E25" s="194">
        <v>0</v>
      </c>
      <c r="F25" s="194">
        <v>0</v>
      </c>
      <c r="G25" s="29">
        <f t="shared" ref="G25" si="7">SUM(C25:F25)</f>
        <v>0</v>
      </c>
      <c r="H25" s="200" t="str">
        <f>IF(G25&gt;0,G25/$G$10,"-")</f>
        <v>-</v>
      </c>
      <c r="I25" s="67"/>
      <c r="J25" s="67"/>
      <c r="K25" s="67"/>
      <c r="L25" s="67"/>
    </row>
    <row r="26" spans="1:12">
      <c r="A26" s="72" t="s">
        <v>100</v>
      </c>
      <c r="B26" s="199" t="s">
        <v>97</v>
      </c>
      <c r="C26" s="194">
        <v>14040</v>
      </c>
      <c r="D26" s="194">
        <v>9720</v>
      </c>
      <c r="E26" s="194">
        <v>1080</v>
      </c>
      <c r="F26" s="194">
        <v>0</v>
      </c>
      <c r="G26" s="29">
        <f t="shared" si="6"/>
        <v>24840</v>
      </c>
      <c r="H26" s="200">
        <f>IF(G26&gt;0,G26/$G$10,"-")</f>
        <v>1.8599775365031823</v>
      </c>
      <c r="I26" s="67"/>
      <c r="J26" s="67"/>
      <c r="K26" s="67"/>
      <c r="L26" s="67"/>
    </row>
    <row r="27" spans="1:12">
      <c r="A27" s="201" t="s">
        <v>93</v>
      </c>
      <c r="B27" s="202"/>
      <c r="C27" s="198">
        <v>0</v>
      </c>
      <c r="D27" s="198">
        <v>0</v>
      </c>
      <c r="E27" s="198">
        <v>0</v>
      </c>
      <c r="F27" s="198">
        <v>0</v>
      </c>
      <c r="G27" s="30">
        <f t="shared" si="6"/>
        <v>0</v>
      </c>
      <c r="H27" s="203"/>
      <c r="I27" s="67"/>
      <c r="J27" s="67"/>
      <c r="K27" s="67"/>
      <c r="L27" s="67"/>
    </row>
    <row r="28" spans="1:12">
      <c r="A28" s="179"/>
      <c r="B28" s="179"/>
      <c r="C28" s="180"/>
      <c r="D28" s="180"/>
      <c r="E28" s="180"/>
      <c r="F28" s="180"/>
      <c r="G28" s="31"/>
      <c r="H28" s="180"/>
      <c r="I28" s="67"/>
      <c r="J28" s="67"/>
      <c r="K28" s="67"/>
      <c r="L28" s="67"/>
    </row>
    <row r="29" spans="1:12">
      <c r="A29" s="9" t="s">
        <v>101</v>
      </c>
      <c r="B29" s="204" t="s">
        <v>102</v>
      </c>
      <c r="C29" s="78" t="s">
        <v>103</v>
      </c>
      <c r="D29" s="78"/>
      <c r="E29" s="78"/>
      <c r="F29" s="78"/>
      <c r="G29" s="32" t="s">
        <v>76</v>
      </c>
      <c r="H29" s="187"/>
      <c r="I29" s="67"/>
      <c r="J29" s="60" t="s">
        <v>104</v>
      </c>
      <c r="K29" s="67"/>
      <c r="L29" s="67"/>
    </row>
    <row r="30" spans="1:12" ht="14.25" customHeight="1">
      <c r="A30" s="205" t="s">
        <v>105</v>
      </c>
      <c r="B30" s="206">
        <v>1</v>
      </c>
      <c r="C30" s="189">
        <v>8088</v>
      </c>
      <c r="D30" s="189"/>
      <c r="E30" s="189"/>
      <c r="F30" s="189"/>
      <c r="G30" s="28">
        <f t="shared" ref="G30:G37" si="8">SUM(C30:F30)</f>
        <v>8088</v>
      </c>
      <c r="H30" s="75">
        <v>1</v>
      </c>
      <c r="I30" s="67"/>
      <c r="J30" s="62">
        <v>8088</v>
      </c>
      <c r="K30" s="67"/>
      <c r="L30" s="67"/>
    </row>
    <row r="31" spans="1:12" ht="14.25" customHeight="1">
      <c r="A31" s="207"/>
      <c r="B31" s="180">
        <v>2</v>
      </c>
      <c r="C31" s="74">
        <v>8088</v>
      </c>
      <c r="D31" s="74"/>
      <c r="E31" s="74"/>
      <c r="F31" s="74"/>
      <c r="G31" s="29">
        <f t="shared" si="8"/>
        <v>8088</v>
      </c>
      <c r="H31" s="184">
        <v>1</v>
      </c>
      <c r="I31" s="67"/>
      <c r="J31" s="67"/>
      <c r="K31" s="67"/>
      <c r="L31" s="67"/>
    </row>
    <row r="32" spans="1:12" ht="14.25" customHeight="1">
      <c r="A32" s="207"/>
      <c r="B32" s="180">
        <v>3</v>
      </c>
      <c r="C32" s="74">
        <v>8088</v>
      </c>
      <c r="D32" s="74"/>
      <c r="E32" s="74"/>
      <c r="F32" s="74"/>
      <c r="G32" s="29">
        <f t="shared" si="8"/>
        <v>8088</v>
      </c>
      <c r="H32" s="184">
        <f>C32/8088</f>
        <v>1</v>
      </c>
      <c r="I32" s="67"/>
      <c r="J32" s="67"/>
      <c r="K32" s="67"/>
      <c r="L32" s="67"/>
    </row>
    <row r="33" spans="1:8" ht="14.25" customHeight="1">
      <c r="A33" s="72" t="s">
        <v>106</v>
      </c>
      <c r="B33" s="180"/>
      <c r="C33" s="74"/>
      <c r="D33" s="74"/>
      <c r="E33" s="74"/>
      <c r="F33" s="74"/>
      <c r="G33" s="29">
        <f>AVERAGE(G30:G32)</f>
        <v>8088</v>
      </c>
      <c r="H33" s="61">
        <f>AVERAGE(H30:H32)</f>
        <v>1</v>
      </c>
    </row>
    <row r="34" spans="1:8">
      <c r="A34" s="72" t="s">
        <v>107</v>
      </c>
      <c r="B34" s="180" t="s">
        <v>108</v>
      </c>
      <c r="C34" s="194">
        <v>14959</v>
      </c>
      <c r="D34" s="194"/>
      <c r="E34" s="194"/>
      <c r="F34" s="194"/>
      <c r="G34" s="29"/>
      <c r="H34" s="208" t="s">
        <v>83</v>
      </c>
    </row>
    <row r="35" spans="1:8">
      <c r="A35" s="72" t="s">
        <v>109</v>
      </c>
      <c r="B35" s="180" t="s">
        <v>110</v>
      </c>
      <c r="C35" s="194">
        <v>0</v>
      </c>
      <c r="D35" s="194"/>
      <c r="E35" s="194"/>
      <c r="F35" s="194"/>
      <c r="G35" s="29">
        <f t="shared" si="8"/>
        <v>0</v>
      </c>
      <c r="H35" s="191" t="str">
        <f>IF(G35&gt;0,"yes","no")</f>
        <v>no</v>
      </c>
    </row>
    <row r="36" spans="1:8">
      <c r="A36" s="72" t="s">
        <v>111</v>
      </c>
      <c r="B36" s="180" t="s">
        <v>112</v>
      </c>
      <c r="C36" s="194">
        <v>0</v>
      </c>
      <c r="D36" s="194"/>
      <c r="E36" s="194"/>
      <c r="F36" s="194"/>
      <c r="G36" s="29">
        <f t="shared" si="8"/>
        <v>0</v>
      </c>
      <c r="H36" s="209">
        <f>+(G36)/J30</f>
        <v>0</v>
      </c>
    </row>
    <row r="37" spans="1:8">
      <c r="A37" s="201" t="s">
        <v>113</v>
      </c>
      <c r="B37" s="210" t="s">
        <v>110</v>
      </c>
      <c r="C37" s="198">
        <v>0</v>
      </c>
      <c r="D37" s="198"/>
      <c r="E37" s="198"/>
      <c r="F37" s="198"/>
      <c r="G37" s="30">
        <f t="shared" si="8"/>
        <v>0</v>
      </c>
      <c r="H37" s="211" t="str">
        <f>IF(G37&gt;0,"yes","no")</f>
        <v>no</v>
      </c>
    </row>
    <row r="50" spans="6:6">
      <c r="F50" s="3"/>
    </row>
  </sheetData>
  <mergeCells count="7">
    <mergeCell ref="A30:A32"/>
    <mergeCell ref="K6:K7"/>
    <mergeCell ref="K8:K11"/>
    <mergeCell ref="B19:B21"/>
    <mergeCell ref="B4:C4"/>
    <mergeCell ref="B8:B11"/>
    <mergeCell ref="B15:B16"/>
  </mergeCells>
  <phoneticPr fontId="20" type="noConversion"/>
  <pageMargins left="0.7" right="0.7" top="0.75" bottom="0.75" header="0.3" footer="0.3"/>
  <pageSetup paperSize="9" scale="87" orientation="portrait" r:id="rId1"/>
  <headerFooter scaleWithDoc="0">
    <oddFooter>&amp;C&amp;"Arial,Regular"Page &amp;P</oddFooter>
  </headerFooter>
  <ignoredErrors>
    <ignoredError sqref="G31:G32"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M17" sqref="M17"/>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67" t="str">
        <f>+'Cover Page'!$B$29</f>
        <v>Annual Performance Report 2023</v>
      </c>
      <c r="B1" s="67"/>
      <c r="C1" s="67"/>
      <c r="D1" s="67"/>
      <c r="E1" s="67" t="str">
        <f>+'Cover Page'!$B$33</f>
        <v>Clay Lake Bank</v>
      </c>
      <c r="F1" s="67"/>
      <c r="G1" s="67"/>
      <c r="H1" s="67"/>
      <c r="I1" s="67"/>
      <c r="J1" s="67"/>
      <c r="K1" s="67"/>
      <c r="L1" s="67"/>
      <c r="M1" s="67"/>
      <c r="N1" s="67"/>
    </row>
    <row r="3" spans="1:14" ht="15.6">
      <c r="A3" s="50" t="s">
        <v>114</v>
      </c>
      <c r="B3" s="162"/>
      <c r="C3" s="162"/>
      <c r="D3" s="162"/>
      <c r="E3" s="162"/>
      <c r="F3" s="162"/>
      <c r="G3" s="162"/>
      <c r="H3" s="162"/>
      <c r="I3" s="163"/>
      <c r="J3" s="67"/>
      <c r="K3" s="58" t="s">
        <v>2</v>
      </c>
      <c r="L3" s="67"/>
      <c r="M3" s="67"/>
      <c r="N3" s="67"/>
    </row>
    <row r="4" spans="1:14">
      <c r="A4" s="164"/>
      <c r="B4" s="165"/>
      <c r="C4" s="165"/>
      <c r="D4" s="165"/>
      <c r="E4" s="165"/>
      <c r="F4" s="165"/>
      <c r="G4" s="165"/>
      <c r="H4" s="165"/>
      <c r="I4" s="166"/>
      <c r="J4" s="67"/>
      <c r="K4" s="67"/>
      <c r="L4" s="67"/>
      <c r="M4" s="67"/>
      <c r="N4" s="67"/>
    </row>
    <row r="5" spans="1:14" ht="15.75" customHeight="1">
      <c r="A5" s="95" t="s">
        <v>115</v>
      </c>
      <c r="B5" s="143"/>
      <c r="C5" s="143"/>
      <c r="D5" s="143"/>
      <c r="E5" s="143"/>
      <c r="F5" s="143"/>
      <c r="G5" s="143"/>
      <c r="H5" s="143"/>
      <c r="I5" s="144"/>
      <c r="J5" s="67"/>
      <c r="K5" s="167" t="s">
        <v>116</v>
      </c>
      <c r="L5" s="167"/>
      <c r="M5" s="167"/>
      <c r="N5" s="167"/>
    </row>
    <row r="6" spans="1:14">
      <c r="A6" s="168"/>
      <c r="B6" s="169"/>
      <c r="C6" s="169"/>
      <c r="D6" s="169"/>
      <c r="E6" s="169"/>
      <c r="F6" s="169"/>
      <c r="G6" s="169"/>
      <c r="H6" s="169"/>
      <c r="I6" s="170"/>
      <c r="J6" s="67"/>
      <c r="K6" s="167"/>
      <c r="L6" s="167"/>
      <c r="M6" s="167"/>
      <c r="N6" s="167"/>
    </row>
    <row r="7" spans="1:14">
      <c r="A7" s="168"/>
      <c r="B7" s="169"/>
      <c r="C7" s="169"/>
      <c r="D7" s="169"/>
      <c r="E7" s="169"/>
      <c r="F7" s="169"/>
      <c r="G7" s="169"/>
      <c r="H7" s="169"/>
      <c r="I7" s="170"/>
      <c r="J7" s="67"/>
      <c r="K7" s="167"/>
      <c r="L7" s="167"/>
      <c r="M7" s="167"/>
      <c r="N7" s="167"/>
    </row>
    <row r="8" spans="1:14" ht="15.75" customHeight="1">
      <c r="A8" s="168"/>
      <c r="B8" s="169"/>
      <c r="C8" s="169"/>
      <c r="D8" s="169"/>
      <c r="E8" s="169"/>
      <c r="F8" s="169"/>
      <c r="G8" s="169"/>
      <c r="H8" s="169"/>
      <c r="I8" s="170"/>
      <c r="J8" s="67"/>
      <c r="K8" s="167"/>
      <c r="L8" s="167"/>
      <c r="M8" s="167"/>
      <c r="N8" s="167"/>
    </row>
    <row r="9" spans="1:14" ht="15.75" customHeight="1">
      <c r="A9" s="168"/>
      <c r="B9" s="169"/>
      <c r="C9" s="169"/>
      <c r="D9" s="169"/>
      <c r="E9" s="169"/>
      <c r="F9" s="169"/>
      <c r="G9" s="169"/>
      <c r="H9" s="169"/>
      <c r="I9" s="170"/>
      <c r="J9" s="67"/>
      <c r="K9" s="167"/>
      <c r="L9" s="167"/>
      <c r="M9" s="167"/>
      <c r="N9" s="167"/>
    </row>
    <row r="10" spans="1:14" ht="15.75" customHeight="1">
      <c r="A10" s="168"/>
      <c r="B10" s="169"/>
      <c r="C10" s="169"/>
      <c r="D10" s="169"/>
      <c r="E10" s="169"/>
      <c r="F10" s="169"/>
      <c r="G10" s="169"/>
      <c r="H10" s="169"/>
      <c r="I10" s="170"/>
      <c r="J10" s="67"/>
      <c r="K10" s="167"/>
      <c r="L10" s="167"/>
      <c r="M10" s="167"/>
      <c r="N10" s="167"/>
    </row>
    <row r="11" spans="1:14" ht="15.75" customHeight="1">
      <c r="A11" s="168"/>
      <c r="B11" s="169"/>
      <c r="C11" s="169"/>
      <c r="D11" s="169"/>
      <c r="E11" s="169"/>
      <c r="F11" s="169"/>
      <c r="G11" s="169"/>
      <c r="H11" s="169"/>
      <c r="I11" s="170"/>
      <c r="J11" s="67"/>
      <c r="K11" s="167"/>
      <c r="L11" s="167"/>
      <c r="M11" s="167"/>
      <c r="N11" s="167"/>
    </row>
    <row r="12" spans="1:14" ht="15.75" customHeight="1">
      <c r="A12" s="168"/>
      <c r="B12" s="169"/>
      <c r="C12" s="169"/>
      <c r="D12" s="169"/>
      <c r="E12" s="169"/>
      <c r="F12" s="169"/>
      <c r="G12" s="169"/>
      <c r="H12" s="169"/>
      <c r="I12" s="170"/>
      <c r="J12" s="67"/>
      <c r="K12" s="167"/>
      <c r="L12" s="167"/>
      <c r="M12" s="167"/>
      <c r="N12" s="167"/>
    </row>
    <row r="13" spans="1:14" ht="15.75" customHeight="1">
      <c r="A13" s="168"/>
      <c r="B13" s="169"/>
      <c r="C13" s="169"/>
      <c r="D13" s="169"/>
      <c r="E13" s="169"/>
      <c r="F13" s="169"/>
      <c r="G13" s="169"/>
      <c r="H13" s="169"/>
      <c r="I13" s="170"/>
      <c r="J13" s="67"/>
      <c r="K13" s="167"/>
      <c r="L13" s="167"/>
      <c r="M13" s="167"/>
      <c r="N13" s="167"/>
    </row>
    <row r="14" spans="1:14" ht="15.75" customHeight="1">
      <c r="A14" s="168"/>
      <c r="B14" s="169"/>
      <c r="C14" s="169"/>
      <c r="D14" s="169"/>
      <c r="E14" s="169"/>
      <c r="F14" s="169"/>
      <c r="G14" s="169"/>
      <c r="H14" s="169"/>
      <c r="I14" s="170"/>
      <c r="J14" s="67"/>
      <c r="K14" s="167"/>
      <c r="L14" s="167"/>
      <c r="M14" s="167"/>
      <c r="N14" s="167"/>
    </row>
    <row r="15" spans="1:14" ht="15.75" customHeight="1">
      <c r="A15" s="168"/>
      <c r="B15" s="169"/>
      <c r="C15" s="169"/>
      <c r="D15" s="169"/>
      <c r="E15" s="169"/>
      <c r="F15" s="169"/>
      <c r="G15" s="169"/>
      <c r="H15" s="169"/>
      <c r="I15" s="170"/>
      <c r="J15" s="67"/>
      <c r="K15" s="67"/>
      <c r="L15" s="67"/>
      <c r="M15" s="67"/>
      <c r="N15" s="67"/>
    </row>
    <row r="16" spans="1:14" ht="15.75" customHeight="1">
      <c r="A16" s="168"/>
      <c r="B16" s="169"/>
      <c r="C16" s="169"/>
      <c r="D16" s="169"/>
      <c r="E16" s="169"/>
      <c r="F16" s="169"/>
      <c r="G16" s="169"/>
      <c r="H16" s="169"/>
      <c r="I16" s="170"/>
      <c r="J16" s="67"/>
      <c r="K16" s="67"/>
      <c r="L16" s="67"/>
      <c r="M16" s="67"/>
      <c r="N16" s="67"/>
    </row>
    <row r="17" spans="1:14" ht="15.75" customHeight="1">
      <c r="A17" s="168"/>
      <c r="B17" s="169"/>
      <c r="C17" s="169"/>
      <c r="D17" s="169"/>
      <c r="E17" s="169"/>
      <c r="F17" s="169"/>
      <c r="G17" s="169"/>
      <c r="H17" s="169"/>
      <c r="I17" s="170"/>
      <c r="J17" s="67"/>
      <c r="K17" s="67"/>
      <c r="L17" s="67"/>
      <c r="M17" s="67"/>
      <c r="N17" s="67"/>
    </row>
    <row r="18" spans="1:14">
      <c r="A18" s="168"/>
      <c r="B18" s="169"/>
      <c r="C18" s="169"/>
      <c r="D18" s="169"/>
      <c r="E18" s="169"/>
      <c r="F18" s="169"/>
      <c r="G18" s="169"/>
      <c r="H18" s="169"/>
      <c r="I18" s="170"/>
      <c r="J18" s="67"/>
      <c r="K18" s="67"/>
      <c r="L18" s="67"/>
      <c r="M18" s="67"/>
      <c r="N18" s="67"/>
    </row>
    <row r="19" spans="1:14">
      <c r="A19" s="168"/>
      <c r="B19" s="169"/>
      <c r="C19" s="169"/>
      <c r="D19" s="169"/>
      <c r="E19" s="169"/>
      <c r="F19" s="169"/>
      <c r="G19" s="169"/>
      <c r="H19" s="169"/>
      <c r="I19" s="170"/>
      <c r="J19" s="67"/>
      <c r="K19" s="67"/>
      <c r="L19" s="67"/>
      <c r="M19" s="67"/>
      <c r="N19" s="67"/>
    </row>
    <row r="20" spans="1:14">
      <c r="A20" s="168"/>
      <c r="B20" s="169"/>
      <c r="C20" s="169"/>
      <c r="D20" s="169"/>
      <c r="E20" s="169"/>
      <c r="F20" s="169"/>
      <c r="G20" s="169"/>
      <c r="H20" s="169"/>
      <c r="I20" s="170"/>
      <c r="J20" s="67"/>
      <c r="K20" s="67"/>
      <c r="L20" s="67"/>
      <c r="M20" s="67"/>
      <c r="N20" s="67"/>
    </row>
    <row r="21" spans="1:14">
      <c r="A21" s="168"/>
      <c r="B21" s="169"/>
      <c r="C21" s="169"/>
      <c r="D21" s="169"/>
      <c r="E21" s="169"/>
      <c r="F21" s="169"/>
      <c r="G21" s="169"/>
      <c r="H21" s="169"/>
      <c r="I21" s="170"/>
      <c r="J21" s="67"/>
      <c r="K21" s="67"/>
      <c r="L21" s="67"/>
      <c r="M21" s="67"/>
      <c r="N21" s="67"/>
    </row>
    <row r="22" spans="1:14" ht="15.4" customHeight="1">
      <c r="A22" s="168"/>
      <c r="B22" s="169"/>
      <c r="C22" s="169"/>
      <c r="D22" s="169"/>
      <c r="E22" s="169"/>
      <c r="F22" s="169"/>
      <c r="G22" s="169"/>
      <c r="H22" s="169"/>
      <c r="I22" s="170"/>
      <c r="J22" s="67"/>
      <c r="K22" s="212"/>
      <c r="L22" s="212"/>
      <c r="M22" s="212"/>
      <c r="N22" s="212"/>
    </row>
    <row r="23" spans="1:14">
      <c r="A23" s="168"/>
      <c r="B23" s="169"/>
      <c r="C23" s="169"/>
      <c r="D23" s="169"/>
      <c r="E23" s="169"/>
      <c r="F23" s="169"/>
      <c r="G23" s="169"/>
      <c r="H23" s="169"/>
      <c r="I23" s="170"/>
      <c r="J23" s="67"/>
      <c r="K23" s="212"/>
      <c r="L23" s="212"/>
      <c r="M23" s="212"/>
      <c r="N23" s="212"/>
    </row>
    <row r="24" spans="1:14">
      <c r="A24" s="168"/>
      <c r="B24" s="169"/>
      <c r="C24" s="169"/>
      <c r="D24" s="169"/>
      <c r="E24" s="169"/>
      <c r="F24" s="169"/>
      <c r="G24" s="169"/>
      <c r="H24" s="169"/>
      <c r="I24" s="170"/>
      <c r="J24" s="67"/>
      <c r="K24" s="212"/>
      <c r="L24" s="212"/>
      <c r="M24" s="212"/>
      <c r="N24" s="212"/>
    </row>
    <row r="25" spans="1:14">
      <c r="A25" s="168"/>
      <c r="B25" s="169"/>
      <c r="C25" s="169"/>
      <c r="D25" s="169"/>
      <c r="E25" s="169"/>
      <c r="F25" s="169"/>
      <c r="G25" s="169"/>
      <c r="H25" s="169"/>
      <c r="I25" s="170"/>
      <c r="J25" s="67"/>
      <c r="K25" s="212"/>
      <c r="L25" s="212"/>
      <c r="M25" s="212"/>
      <c r="N25" s="212"/>
    </row>
    <row r="26" spans="1:14">
      <c r="A26" s="168"/>
      <c r="B26" s="169"/>
      <c r="C26" s="169"/>
      <c r="D26" s="169"/>
      <c r="E26" s="169"/>
      <c r="F26" s="169"/>
      <c r="G26" s="169"/>
      <c r="H26" s="169"/>
      <c r="I26" s="170"/>
      <c r="J26" s="67"/>
      <c r="K26" s="212"/>
      <c r="L26" s="212"/>
      <c r="M26" s="212"/>
      <c r="N26" s="212"/>
    </row>
    <row r="27" spans="1:14">
      <c r="A27" s="145"/>
      <c r="B27" s="146"/>
      <c r="C27" s="146"/>
      <c r="D27" s="146"/>
      <c r="E27" s="146"/>
      <c r="F27" s="146"/>
      <c r="G27" s="146"/>
      <c r="H27" s="146"/>
      <c r="I27" s="147"/>
      <c r="J27" s="67"/>
      <c r="K27" s="212"/>
      <c r="L27" s="212"/>
      <c r="M27" s="212"/>
      <c r="N27" s="212"/>
    </row>
    <row r="28" spans="1:14">
      <c r="A28" s="67"/>
      <c r="B28" s="67"/>
      <c r="C28" s="67"/>
      <c r="D28" s="67"/>
      <c r="E28" s="67"/>
      <c r="F28" s="67"/>
      <c r="G28" s="67"/>
      <c r="H28" s="67"/>
      <c r="I28" s="67"/>
      <c r="J28" s="67"/>
      <c r="K28" s="212"/>
      <c r="L28" s="212"/>
      <c r="M28" s="212"/>
      <c r="N28" s="212"/>
    </row>
    <row r="29" spans="1:14">
      <c r="A29" s="50" t="s">
        <v>117</v>
      </c>
      <c r="B29" s="162"/>
      <c r="C29" s="162"/>
      <c r="D29" s="162"/>
      <c r="E29" s="162"/>
      <c r="F29" s="162"/>
      <c r="G29" s="162"/>
      <c r="H29" s="162"/>
      <c r="I29" s="163"/>
      <c r="J29" s="67"/>
      <c r="K29" s="212"/>
      <c r="L29" s="212"/>
      <c r="M29" s="212"/>
      <c r="N29" s="212"/>
    </row>
    <row r="30" spans="1:14">
      <c r="A30" s="164"/>
      <c r="B30" s="165"/>
      <c r="C30" s="165"/>
      <c r="D30" s="165"/>
      <c r="E30" s="165"/>
      <c r="F30" s="165"/>
      <c r="G30" s="165"/>
      <c r="H30" s="165"/>
      <c r="I30" s="166"/>
      <c r="J30" s="67"/>
      <c r="K30" s="212"/>
      <c r="L30" s="212"/>
      <c r="M30" s="212"/>
      <c r="N30" s="212"/>
    </row>
    <row r="31" spans="1:14">
      <c r="A31" s="95" t="s">
        <v>118</v>
      </c>
      <c r="B31" s="171"/>
      <c r="C31" s="171"/>
      <c r="D31" s="171"/>
      <c r="E31" s="171"/>
      <c r="F31" s="171"/>
      <c r="G31" s="171"/>
      <c r="H31" s="171"/>
      <c r="I31" s="172"/>
      <c r="J31" s="67"/>
      <c r="K31" s="167" t="s">
        <v>119</v>
      </c>
      <c r="L31" s="167"/>
      <c r="M31" s="167"/>
      <c r="N31" s="167"/>
    </row>
    <row r="32" spans="1:14">
      <c r="A32" s="173"/>
      <c r="B32" s="174"/>
      <c r="C32" s="174"/>
      <c r="D32" s="174"/>
      <c r="E32" s="174"/>
      <c r="F32" s="174"/>
      <c r="G32" s="174"/>
      <c r="H32" s="174"/>
      <c r="I32" s="175"/>
      <c r="J32" s="67"/>
      <c r="K32" s="167"/>
      <c r="L32" s="167"/>
      <c r="M32" s="167"/>
      <c r="N32" s="167"/>
    </row>
    <row r="33" spans="1:14">
      <c r="A33" s="173"/>
      <c r="B33" s="174"/>
      <c r="C33" s="174"/>
      <c r="D33" s="174"/>
      <c r="E33" s="174"/>
      <c r="F33" s="174"/>
      <c r="G33" s="174"/>
      <c r="H33" s="174"/>
      <c r="I33" s="175"/>
      <c r="J33" s="67"/>
      <c r="K33" s="167"/>
      <c r="L33" s="167"/>
      <c r="M33" s="167"/>
      <c r="N33" s="167"/>
    </row>
    <row r="34" spans="1:14">
      <c r="A34" s="173"/>
      <c r="B34" s="174"/>
      <c r="C34" s="174"/>
      <c r="D34" s="174"/>
      <c r="E34" s="174"/>
      <c r="F34" s="174"/>
      <c r="G34" s="174"/>
      <c r="H34" s="174"/>
      <c r="I34" s="175"/>
      <c r="J34" s="67"/>
      <c r="K34" s="167"/>
      <c r="L34" s="167"/>
      <c r="M34" s="167"/>
      <c r="N34" s="167"/>
    </row>
    <row r="35" spans="1:14">
      <c r="A35" s="173"/>
      <c r="B35" s="174"/>
      <c r="C35" s="174"/>
      <c r="D35" s="174"/>
      <c r="E35" s="174"/>
      <c r="F35" s="174"/>
      <c r="G35" s="174"/>
      <c r="H35" s="174"/>
      <c r="I35" s="175"/>
      <c r="J35" s="67"/>
      <c r="K35" s="167"/>
      <c r="L35" s="167"/>
      <c r="M35" s="167"/>
      <c r="N35" s="167"/>
    </row>
    <row r="36" spans="1:14">
      <c r="A36" s="173"/>
      <c r="B36" s="174"/>
      <c r="C36" s="174"/>
      <c r="D36" s="174"/>
      <c r="E36" s="174"/>
      <c r="F36" s="174"/>
      <c r="G36" s="174"/>
      <c r="H36" s="174"/>
      <c r="I36" s="175"/>
      <c r="J36" s="67"/>
      <c r="K36" s="167"/>
      <c r="L36" s="167"/>
      <c r="M36" s="167"/>
      <c r="N36" s="167"/>
    </row>
    <row r="37" spans="1:14">
      <c r="A37" s="173"/>
      <c r="B37" s="174"/>
      <c r="C37" s="174"/>
      <c r="D37" s="174"/>
      <c r="E37" s="174"/>
      <c r="F37" s="174"/>
      <c r="G37" s="174"/>
      <c r="H37" s="174"/>
      <c r="I37" s="175"/>
      <c r="J37" s="67"/>
      <c r="K37" s="167"/>
      <c r="L37" s="167"/>
      <c r="M37" s="167"/>
      <c r="N37" s="167"/>
    </row>
    <row r="38" spans="1:14" ht="14.25" customHeight="1">
      <c r="A38" s="173"/>
      <c r="B38" s="174"/>
      <c r="C38" s="174"/>
      <c r="D38" s="174"/>
      <c r="E38" s="174"/>
      <c r="F38" s="174"/>
      <c r="G38" s="174"/>
      <c r="H38" s="174"/>
      <c r="I38" s="175"/>
      <c r="J38" s="67"/>
      <c r="K38" s="167"/>
      <c r="L38" s="167"/>
      <c r="M38" s="167"/>
      <c r="N38" s="167"/>
    </row>
    <row r="39" spans="1:14">
      <c r="A39" s="173"/>
      <c r="B39" s="174"/>
      <c r="C39" s="174"/>
      <c r="D39" s="174"/>
      <c r="E39" s="174"/>
      <c r="F39" s="174"/>
      <c r="G39" s="174"/>
      <c r="H39" s="174"/>
      <c r="I39" s="175"/>
      <c r="J39" s="67"/>
      <c r="K39" s="167"/>
      <c r="L39" s="167"/>
      <c r="M39" s="167"/>
      <c r="N39" s="167"/>
    </row>
    <row r="40" spans="1:14">
      <c r="A40" s="173"/>
      <c r="B40" s="174"/>
      <c r="C40" s="174"/>
      <c r="D40" s="174"/>
      <c r="E40" s="174"/>
      <c r="F40" s="174"/>
      <c r="G40" s="174"/>
      <c r="H40" s="174"/>
      <c r="I40" s="175"/>
      <c r="J40" s="67"/>
      <c r="K40" s="167"/>
      <c r="L40" s="167"/>
      <c r="M40" s="167"/>
      <c r="N40" s="167"/>
    </row>
    <row r="41" spans="1:14">
      <c r="A41" s="173"/>
      <c r="B41" s="174"/>
      <c r="C41" s="174"/>
      <c r="D41" s="174"/>
      <c r="E41" s="174"/>
      <c r="F41" s="174"/>
      <c r="G41" s="174"/>
      <c r="H41" s="174"/>
      <c r="I41" s="175"/>
      <c r="J41" s="67"/>
      <c r="K41" s="67"/>
      <c r="L41" s="67"/>
      <c r="M41" s="67"/>
      <c r="N41" s="67"/>
    </row>
    <row r="42" spans="1:14">
      <c r="A42" s="173"/>
      <c r="B42" s="174"/>
      <c r="C42" s="174"/>
      <c r="D42" s="174"/>
      <c r="E42" s="174"/>
      <c r="F42" s="174"/>
      <c r="G42" s="174"/>
      <c r="H42" s="174"/>
      <c r="I42" s="175"/>
      <c r="J42" s="67"/>
      <c r="K42" s="67"/>
      <c r="L42" s="67"/>
      <c r="M42" s="67"/>
      <c r="N42" s="67"/>
    </row>
    <row r="43" spans="1:14">
      <c r="A43" s="173"/>
      <c r="B43" s="174"/>
      <c r="C43" s="174"/>
      <c r="D43" s="174"/>
      <c r="E43" s="174"/>
      <c r="F43" s="174"/>
      <c r="G43" s="174"/>
      <c r="H43" s="174"/>
      <c r="I43" s="175"/>
      <c r="J43" s="67"/>
      <c r="K43" s="67"/>
      <c r="L43" s="67"/>
      <c r="M43" s="67"/>
      <c r="N43" s="67"/>
    </row>
    <row r="44" spans="1:14">
      <c r="A44" s="173"/>
      <c r="B44" s="174"/>
      <c r="C44" s="174"/>
      <c r="D44" s="174"/>
      <c r="E44" s="174"/>
      <c r="F44" s="174"/>
      <c r="G44" s="174"/>
      <c r="H44" s="174"/>
      <c r="I44" s="175"/>
      <c r="J44" s="67"/>
      <c r="K44" s="67"/>
      <c r="L44" s="67"/>
      <c r="M44" s="67"/>
      <c r="N44" s="67"/>
    </row>
    <row r="45" spans="1:14">
      <c r="A45" s="173"/>
      <c r="B45" s="174"/>
      <c r="C45" s="174"/>
      <c r="D45" s="174"/>
      <c r="E45" s="174"/>
      <c r="F45" s="174"/>
      <c r="G45" s="174"/>
      <c r="H45" s="174"/>
      <c r="I45" s="175"/>
      <c r="J45" s="67"/>
      <c r="K45" s="67"/>
      <c r="L45" s="67"/>
      <c r="M45" s="67"/>
      <c r="N45" s="67"/>
    </row>
    <row r="46" spans="1:14">
      <c r="A46" s="173"/>
      <c r="B46" s="174"/>
      <c r="C46" s="174"/>
      <c r="D46" s="174"/>
      <c r="E46" s="174"/>
      <c r="F46" s="174"/>
      <c r="G46" s="174"/>
      <c r="H46" s="174"/>
      <c r="I46" s="175"/>
      <c r="J46" s="67"/>
      <c r="K46" s="67"/>
      <c r="L46" s="67"/>
      <c r="M46" s="67"/>
      <c r="N46" s="67"/>
    </row>
    <row r="47" spans="1:14">
      <c r="A47" s="173"/>
      <c r="B47" s="174"/>
      <c r="C47" s="174"/>
      <c r="D47" s="174"/>
      <c r="E47" s="174"/>
      <c r="F47" s="174"/>
      <c r="G47" s="174"/>
      <c r="H47" s="174"/>
      <c r="I47" s="175"/>
      <c r="J47" s="67"/>
      <c r="K47" s="67"/>
      <c r="L47" s="67"/>
      <c r="M47" s="67"/>
      <c r="N47" s="67"/>
    </row>
    <row r="48" spans="1:14">
      <c r="A48" s="173"/>
      <c r="B48" s="174"/>
      <c r="C48" s="174"/>
      <c r="D48" s="174"/>
      <c r="E48" s="174"/>
      <c r="F48" s="174"/>
      <c r="G48" s="174"/>
      <c r="H48" s="174"/>
      <c r="I48" s="175"/>
      <c r="J48" s="67"/>
      <c r="K48" s="67"/>
      <c r="L48" s="67"/>
      <c r="M48" s="67"/>
      <c r="N48" s="67"/>
    </row>
    <row r="49" spans="1:9">
      <c r="A49" s="173"/>
      <c r="B49" s="174"/>
      <c r="C49" s="174"/>
      <c r="D49" s="174"/>
      <c r="E49" s="174"/>
      <c r="F49" s="174"/>
      <c r="G49" s="174"/>
      <c r="H49" s="174"/>
      <c r="I49" s="175"/>
    </row>
    <row r="50" spans="1:9">
      <c r="A50" s="173"/>
      <c r="B50" s="174"/>
      <c r="C50" s="174"/>
      <c r="D50" s="174"/>
      <c r="E50" s="174"/>
      <c r="F50" s="174"/>
      <c r="G50" s="174"/>
      <c r="H50" s="174"/>
      <c r="I50" s="175"/>
    </row>
    <row r="51" spans="1:9">
      <c r="A51" s="173"/>
      <c r="B51" s="174"/>
      <c r="C51" s="174"/>
      <c r="D51" s="174"/>
      <c r="E51" s="174"/>
      <c r="F51" s="174"/>
      <c r="G51" s="174"/>
      <c r="H51" s="174"/>
      <c r="I51" s="175"/>
    </row>
    <row r="52" spans="1:9">
      <c r="A52" s="176"/>
      <c r="B52" s="177"/>
      <c r="C52" s="177"/>
      <c r="D52" s="177"/>
      <c r="E52" s="177"/>
      <c r="F52" s="177"/>
      <c r="G52" s="177"/>
      <c r="H52" s="177"/>
      <c r="I52" s="178"/>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17" zoomScaleNormal="100" workbookViewId="0">
      <selection activeCell="H55" sqref="H55"/>
    </sheetView>
  </sheetViews>
  <sheetFormatPr defaultColWidth="9.28515625" defaultRowHeight="15"/>
  <cols>
    <col min="1" max="16384" width="9.28515625" style="2"/>
  </cols>
  <sheetData>
    <row r="1" spans="1:10" ht="15.6">
      <c r="A1" s="33">
        <f>+'Cover Page'!C39</f>
        <v>2023</v>
      </c>
      <c r="B1" s="34" t="s">
        <v>120</v>
      </c>
      <c r="C1" s="34"/>
      <c r="D1" s="34"/>
      <c r="E1" s="34"/>
      <c r="F1" s="34"/>
      <c r="G1" s="34"/>
      <c r="H1" s="34"/>
      <c r="I1" s="34"/>
      <c r="J1" s="34"/>
    </row>
    <row r="2" spans="1:10" ht="8.25" customHeight="1">
      <c r="A2" s="67"/>
      <c r="B2" s="67"/>
      <c r="C2" s="67"/>
      <c r="D2" s="67"/>
      <c r="E2" s="67"/>
      <c r="F2" s="67"/>
      <c r="G2" s="67"/>
      <c r="H2" s="67"/>
      <c r="I2" s="67"/>
      <c r="J2" s="67"/>
    </row>
    <row r="3" spans="1:10" s="3" customFormat="1" ht="13.9">
      <c r="A3" s="99" t="str">
        <f>+'Cover Page'!B31</f>
        <v>Permit EPR/UP3205PX</v>
      </c>
      <c r="B3" s="99"/>
      <c r="C3" s="99"/>
      <c r="D3" s="99"/>
      <c r="E3" s="99"/>
      <c r="G3" s="100"/>
      <c r="H3" s="100"/>
      <c r="I3" s="100"/>
    </row>
    <row r="4" spans="1:10" s="3" customFormat="1" ht="13.9">
      <c r="A4" s="3" t="s">
        <v>121</v>
      </c>
      <c r="B4" s="99" t="str">
        <f>+'Cover Page'!B33:I33</f>
        <v>Clay Lake Bank</v>
      </c>
      <c r="C4" s="99"/>
      <c r="D4" s="99"/>
      <c r="E4" s="99"/>
      <c r="F4" s="3" t="s">
        <v>122</v>
      </c>
      <c r="G4" s="3" t="s">
        <v>35</v>
      </c>
    </row>
    <row r="5" spans="1:10" s="3" customFormat="1" ht="6.75" customHeight="1"/>
    <row r="6" spans="1:10" s="3" customFormat="1" ht="15.75" customHeight="1">
      <c r="A6" s="3" t="s">
        <v>123</v>
      </c>
      <c r="D6" s="101" t="s">
        <v>124</v>
      </c>
      <c r="E6" s="101"/>
      <c r="F6" s="35" t="s">
        <v>125</v>
      </c>
      <c r="G6" s="101" t="s">
        <v>126</v>
      </c>
      <c r="H6" s="101"/>
    </row>
    <row r="7" spans="1:10" s="3" customFormat="1" ht="7.5" customHeight="1"/>
    <row r="8" spans="1:10" s="3" customFormat="1" ht="15.6">
      <c r="A8" s="9">
        <f>+A1</f>
        <v>2023</v>
      </c>
      <c r="B8" s="34" t="s">
        <v>127</v>
      </c>
      <c r="C8"/>
      <c r="D8"/>
      <c r="E8"/>
      <c r="F8"/>
      <c r="G8"/>
    </row>
    <row r="9" spans="1:10" s="3" customFormat="1" ht="28.5" customHeight="1">
      <c r="A9" s="102" t="s">
        <v>128</v>
      </c>
      <c r="B9" s="102"/>
      <c r="C9" s="102" t="s">
        <v>129</v>
      </c>
      <c r="D9" s="102"/>
      <c r="E9" s="102" t="s">
        <v>130</v>
      </c>
      <c r="F9" s="102"/>
      <c r="G9" s="102" t="s">
        <v>131</v>
      </c>
      <c r="H9" s="102"/>
      <c r="I9" s="102" t="s">
        <v>132</v>
      </c>
      <c r="J9" s="102"/>
    </row>
    <row r="10" spans="1:10" s="3" customFormat="1" ht="14.25" customHeight="1">
      <c r="A10" s="213" t="s">
        <v>133</v>
      </c>
      <c r="B10" s="213"/>
      <c r="C10" s="213"/>
      <c r="D10" s="213"/>
      <c r="E10" s="213"/>
      <c r="F10" s="213"/>
      <c r="G10" s="213"/>
      <c r="H10" s="213"/>
      <c r="I10" s="213"/>
      <c r="J10" s="213"/>
    </row>
    <row r="11" spans="1:10" s="3" customFormat="1" ht="14.25" customHeight="1">
      <c r="A11" s="213" t="s">
        <v>134</v>
      </c>
      <c r="B11" s="213"/>
      <c r="C11" s="103"/>
      <c r="D11" s="103"/>
      <c r="E11" s="214"/>
      <c r="F11" s="214"/>
      <c r="G11" s="214"/>
      <c r="H11" s="214"/>
      <c r="I11" s="215" t="str">
        <f>IF((E11+G11)&gt;0,(E11+G11)/'Operational Data'!$G$12, "-")</f>
        <v>-</v>
      </c>
      <c r="J11" s="215"/>
    </row>
    <row r="12" spans="1:10" s="3" customFormat="1" ht="14.25" customHeight="1">
      <c r="A12" s="213" t="s">
        <v>135</v>
      </c>
      <c r="B12" s="213"/>
      <c r="C12" s="103"/>
      <c r="D12" s="103"/>
      <c r="E12" s="214"/>
      <c r="F12" s="214"/>
      <c r="G12" s="214"/>
      <c r="H12" s="214"/>
      <c r="I12" s="215" t="str">
        <f>IF((E12+G12)&gt;0,(E12+G12)/'Operational Data'!$G$12, "-")</f>
        <v>-</v>
      </c>
      <c r="J12" s="215"/>
    </row>
    <row r="13" spans="1:10" s="3" customFormat="1" ht="14.25" customHeight="1">
      <c r="A13" s="216"/>
      <c r="B13" s="216"/>
      <c r="C13" s="103"/>
      <c r="D13" s="103"/>
      <c r="E13" s="214"/>
      <c r="F13" s="214"/>
      <c r="G13" s="214"/>
      <c r="H13" s="214"/>
      <c r="I13" s="215" t="str">
        <f>IF((E13+G13)&gt;0,(E13+G13)/'Operational Data'!$G$12, "-")</f>
        <v>-</v>
      </c>
      <c r="J13" s="215"/>
    </row>
    <row r="14" spans="1:10" s="3" customFormat="1" ht="14.25" customHeight="1">
      <c r="A14" s="216"/>
      <c r="B14" s="216"/>
      <c r="C14" s="103"/>
      <c r="D14" s="103"/>
      <c r="E14" s="214"/>
      <c r="F14" s="214"/>
      <c r="G14" s="214"/>
      <c r="H14" s="214"/>
      <c r="I14" s="215" t="str">
        <f>IF((E14+G14)&gt;0,(E14+G14)/'Operational Data'!$G$12, "-")</f>
        <v>-</v>
      </c>
      <c r="J14" s="215"/>
    </row>
    <row r="15" spans="1:10" s="3" customFormat="1" ht="14.25" customHeight="1">
      <c r="A15" s="217" t="s">
        <v>136</v>
      </c>
      <c r="B15" s="217"/>
      <c r="C15" s="217"/>
      <c r="D15" s="217"/>
      <c r="E15" s="218">
        <f>SUM(E11:F14)</f>
        <v>0</v>
      </c>
      <c r="F15" s="218"/>
      <c r="G15" s="218">
        <f>SUM(G11:H14)</f>
        <v>0</v>
      </c>
      <c r="H15" s="218"/>
      <c r="I15" s="215" t="str">
        <f>IF((E15+G15)&gt;0,(E15+G15)/'Operational Data'!$G$12, "-")</f>
        <v>-</v>
      </c>
      <c r="J15" s="215"/>
    </row>
    <row r="16" spans="1:10" s="3" customFormat="1" ht="14.25" customHeight="1">
      <c r="A16" s="219"/>
      <c r="B16" s="220"/>
      <c r="C16" s="220"/>
      <c r="D16" s="220"/>
      <c r="E16" s="221"/>
      <c r="F16" s="221"/>
      <c r="G16" s="221"/>
      <c r="H16" s="221"/>
      <c r="I16" s="222"/>
      <c r="J16" s="223"/>
    </row>
    <row r="17" spans="1:10" s="3" customFormat="1" ht="14.25" customHeight="1">
      <c r="A17" s="224" t="s">
        <v>137</v>
      </c>
      <c r="B17" s="224"/>
      <c r="C17" s="224"/>
      <c r="D17" s="224"/>
      <c r="E17" s="224"/>
      <c r="F17" s="224"/>
      <c r="G17" s="224"/>
      <c r="H17" s="224"/>
      <c r="I17" s="224"/>
      <c r="J17" s="224"/>
    </row>
    <row r="18" spans="1:10" ht="14.25" customHeight="1">
      <c r="A18" s="213" t="s">
        <v>135</v>
      </c>
      <c r="B18" s="213"/>
      <c r="C18" s="103"/>
      <c r="D18" s="103"/>
      <c r="E18" s="214"/>
      <c r="F18" s="214"/>
      <c r="G18" s="214"/>
      <c r="H18" s="214"/>
      <c r="I18" s="215" t="str">
        <f>IF((E18+G18)&gt;0,(E18+G18)/'Operational Data'!$G$12, "-")</f>
        <v>-</v>
      </c>
      <c r="J18" s="215"/>
    </row>
    <row r="19" spans="1:10" s="3" customFormat="1" ht="14.25" customHeight="1">
      <c r="A19" s="213" t="s">
        <v>138</v>
      </c>
      <c r="B19" s="213"/>
      <c r="C19" s="103"/>
      <c r="D19" s="103"/>
      <c r="E19" s="214"/>
      <c r="F19" s="214"/>
      <c r="G19" s="214"/>
      <c r="H19" s="214"/>
      <c r="I19" s="215" t="str">
        <f>IF((E19+G19)&gt;0,(E19+G19)/'Operational Data'!$G$12, "-")</f>
        <v>-</v>
      </c>
      <c r="J19" s="215"/>
    </row>
    <row r="20" spans="1:10" s="3" customFormat="1" ht="14.25" customHeight="1">
      <c r="A20" s="213" t="s">
        <v>139</v>
      </c>
      <c r="B20" s="213"/>
      <c r="C20" s="103"/>
      <c r="D20" s="103"/>
      <c r="E20" s="214"/>
      <c r="F20" s="214"/>
      <c r="G20" s="214"/>
      <c r="H20" s="214"/>
      <c r="I20" s="215" t="str">
        <f>IF((E20+G20)&gt;0,(E20+G20)/'Operational Data'!$G$12, "-")</f>
        <v>-</v>
      </c>
      <c r="J20" s="215"/>
    </row>
    <row r="21" spans="1:10" s="3" customFormat="1" ht="14.25" customHeight="1">
      <c r="A21" s="213" t="s">
        <v>140</v>
      </c>
      <c r="B21" s="213"/>
      <c r="C21" s="103" t="s">
        <v>141</v>
      </c>
      <c r="D21" s="103"/>
      <c r="E21" s="214">
        <v>304</v>
      </c>
      <c r="F21" s="214"/>
      <c r="G21" s="214">
        <v>0</v>
      </c>
      <c r="H21" s="214"/>
      <c r="I21" s="215">
        <f>IF((E21+G21)&gt;0,(E21+G21)/'Operational Data'!$G$12, "-")</f>
        <v>2.2763010108573567E-2</v>
      </c>
      <c r="J21" s="215"/>
    </row>
    <row r="22" spans="1:10" s="3" customFormat="1" ht="14.25" customHeight="1">
      <c r="A22" s="225"/>
      <c r="B22" s="225"/>
      <c r="C22" s="103"/>
      <c r="D22" s="103"/>
      <c r="E22" s="214"/>
      <c r="F22" s="214"/>
      <c r="G22" s="214"/>
      <c r="H22" s="214"/>
      <c r="I22" s="215" t="str">
        <f>IF((E22+G22)&gt;0,(E22+G22)/'Operational Data'!$G$12, "-")</f>
        <v>-</v>
      </c>
      <c r="J22" s="215"/>
    </row>
    <row r="23" spans="1:10" s="3" customFormat="1" ht="14.25" customHeight="1">
      <c r="A23" s="226" t="s">
        <v>142</v>
      </c>
      <c r="B23" s="226"/>
      <c r="C23" s="226"/>
      <c r="D23" s="226"/>
      <c r="E23" s="218">
        <f>SUM(E18:F22)</f>
        <v>304</v>
      </c>
      <c r="F23" s="218"/>
      <c r="G23" s="218">
        <f>SUM(G18:H22)</f>
        <v>0</v>
      </c>
      <c r="H23" s="218"/>
      <c r="I23" s="215">
        <f>IF((E23+G23)&gt;0,(E23+G23)/'Operational Data'!$G$12, "-")</f>
        <v>2.2763010108573567E-2</v>
      </c>
      <c r="J23" s="215"/>
    </row>
    <row r="24" spans="1:10" s="3" customFormat="1" ht="14.25" customHeight="1">
      <c r="A24" s="109" t="s">
        <v>143</v>
      </c>
      <c r="B24" s="109"/>
      <c r="C24" s="109"/>
      <c r="D24" s="109"/>
      <c r="E24" s="110">
        <f>+E23+E15</f>
        <v>304</v>
      </c>
      <c r="F24" s="110"/>
      <c r="G24" s="110">
        <f>+G23+G15</f>
        <v>0</v>
      </c>
      <c r="H24" s="110"/>
      <c r="I24" s="227">
        <f>IF((E24+G24)&gt;0,(E24+G24)/'Operational Data'!$G$12, "-")</f>
        <v>2.2763010108573567E-2</v>
      </c>
      <c r="J24" s="227"/>
    </row>
    <row r="25" spans="1:10" s="3" customFormat="1" ht="8.25" customHeight="1">
      <c r="A25" s="228"/>
      <c r="B25"/>
      <c r="C25"/>
      <c r="D25"/>
      <c r="E25"/>
      <c r="F25"/>
      <c r="G25"/>
    </row>
    <row r="26" spans="1:10" s="3" customFormat="1" ht="14.25" customHeight="1">
      <c r="A26" s="111" t="s">
        <v>144</v>
      </c>
      <c r="B26" s="111"/>
      <c r="C26" s="111"/>
      <c r="D26" s="111"/>
      <c r="E26" s="111"/>
      <c r="F26" s="111"/>
      <c r="G26" s="111"/>
      <c r="H26" s="111"/>
      <c r="I26" s="111"/>
      <c r="J26" s="111"/>
    </row>
    <row r="27" spans="1:10" s="3" customFormat="1" ht="14.25" customHeight="1">
      <c r="A27" s="112" t="s">
        <v>145</v>
      </c>
      <c r="B27" s="112"/>
      <c r="C27" s="112"/>
      <c r="D27" s="112"/>
      <c r="E27" s="112"/>
      <c r="F27" s="112"/>
      <c r="G27" s="112"/>
      <c r="H27" s="112"/>
      <c r="I27" s="112"/>
      <c r="J27" s="112"/>
    </row>
    <row r="28" spans="1:10" s="3" customFormat="1" ht="14.25" customHeight="1">
      <c r="A28" s="112"/>
      <c r="B28" s="112"/>
      <c r="C28" s="112"/>
      <c r="D28" s="112"/>
      <c r="E28" s="112"/>
      <c r="F28" s="112"/>
      <c r="G28" s="112"/>
      <c r="H28" s="112"/>
      <c r="I28" s="112"/>
      <c r="J28" s="112"/>
    </row>
    <row r="29" spans="1:10" s="3" customFormat="1" ht="14.25" customHeight="1">
      <c r="A29" s="112"/>
      <c r="B29" s="112"/>
      <c r="C29" s="112"/>
      <c r="D29" s="112"/>
      <c r="E29" s="112"/>
      <c r="F29" s="112"/>
      <c r="G29" s="112"/>
      <c r="H29" s="112"/>
      <c r="I29" s="112"/>
      <c r="J29" s="112"/>
    </row>
    <row r="30" spans="1:10" s="3" customFormat="1" ht="14.25" customHeight="1">
      <c r="A30" s="228"/>
      <c r="B30"/>
      <c r="C30"/>
      <c r="D30"/>
      <c r="E30"/>
      <c r="F30"/>
      <c r="G30"/>
    </row>
    <row r="31" spans="1:10" s="3" customFormat="1" ht="14.25" customHeight="1">
      <c r="A31" s="1">
        <f>+A1</f>
        <v>2023</v>
      </c>
      <c r="B31" s="34" t="s">
        <v>146</v>
      </c>
      <c r="C31" s="34"/>
      <c r="D31" s="34"/>
      <c r="E31" s="34"/>
      <c r="F31" s="34"/>
    </row>
    <row r="32" spans="1:10" s="3" customFormat="1" ht="24.75" customHeight="1">
      <c r="A32" s="104" t="s">
        <v>147</v>
      </c>
      <c r="B32" s="105"/>
      <c r="C32" s="105"/>
      <c r="D32" s="106"/>
      <c r="E32" s="37" t="s">
        <v>148</v>
      </c>
      <c r="F32" s="38"/>
      <c r="G32" s="39" t="s">
        <v>71</v>
      </c>
      <c r="H32" s="107" t="s">
        <v>149</v>
      </c>
      <c r="I32" s="108"/>
      <c r="J32" s="40" t="s">
        <v>71</v>
      </c>
    </row>
    <row r="33" spans="1:10" s="3" customFormat="1" ht="14.25" customHeight="1">
      <c r="A33" s="219" t="s">
        <v>96</v>
      </c>
      <c r="B33" s="220"/>
      <c r="C33" s="220"/>
      <c r="D33" s="229"/>
      <c r="E33" s="230">
        <f>+'Operational Data'!G24</f>
        <v>0</v>
      </c>
      <c r="F33" s="223"/>
      <c r="G33" s="231" t="s">
        <v>150</v>
      </c>
      <c r="H33" s="232" t="str">
        <f>IF(E33&gt;0,E33/'Operational Data'!$G$12,"-")</f>
        <v>-</v>
      </c>
      <c r="I33" s="233"/>
      <c r="J33" s="231" t="s">
        <v>151</v>
      </c>
    </row>
    <row r="34" spans="1:10" s="3" customFormat="1" ht="14.25" customHeight="1">
      <c r="A34" s="219" t="s">
        <v>152</v>
      </c>
      <c r="B34" s="220"/>
      <c r="C34" s="220"/>
      <c r="D34" s="229"/>
      <c r="E34" s="230">
        <v>0</v>
      </c>
      <c r="F34" s="223"/>
      <c r="G34" s="231" t="s">
        <v>150</v>
      </c>
      <c r="H34" s="232" t="str">
        <f>IF(E34&gt;0,E34/'Operational Data'!$G$12,"-")</f>
        <v>-</v>
      </c>
      <c r="I34" s="233"/>
      <c r="J34" s="231" t="s">
        <v>151</v>
      </c>
    </row>
    <row r="35" spans="1:10" s="3" customFormat="1" ht="14.25" customHeight="1">
      <c r="A35" s="219" t="s">
        <v>153</v>
      </c>
      <c r="B35" s="220"/>
      <c r="C35" s="220"/>
      <c r="D35" s="229"/>
      <c r="E35" s="230">
        <v>0</v>
      </c>
      <c r="F35" s="223"/>
      <c r="G35" s="231" t="s">
        <v>154</v>
      </c>
      <c r="H35" s="232" t="str">
        <f>IF(E35&gt;0,E35/'Operational Data'!$G$12,"-")</f>
        <v>-</v>
      </c>
      <c r="I35" s="233"/>
      <c r="J35" s="231" t="s">
        <v>155</v>
      </c>
    </row>
    <row r="36" spans="1:10" s="3" customFormat="1" ht="14.25" customHeight="1">
      <c r="A36" s="219" t="s">
        <v>156</v>
      </c>
      <c r="B36" s="220"/>
      <c r="C36" s="220"/>
      <c r="D36" s="229"/>
      <c r="E36" s="230">
        <v>0</v>
      </c>
      <c r="F36" s="223"/>
      <c r="G36" s="231" t="s">
        <v>154</v>
      </c>
      <c r="H36" s="232" t="str">
        <f>IF(E36&gt;0,E36/'Operational Data'!$G$12,"-")</f>
        <v>-</v>
      </c>
      <c r="I36" s="233"/>
      <c r="J36" s="231" t="s">
        <v>155</v>
      </c>
    </row>
    <row r="37" spans="1:10" s="3" customFormat="1" ht="14.25" customHeight="1">
      <c r="A37" s="219" t="s">
        <v>157</v>
      </c>
      <c r="B37" s="220"/>
      <c r="C37" s="220"/>
      <c r="D37" s="229"/>
      <c r="E37" s="230">
        <v>0</v>
      </c>
      <c r="F37" s="223"/>
      <c r="G37" s="231" t="s">
        <v>154</v>
      </c>
      <c r="H37" s="232" t="str">
        <f>IF(E37&gt;0,E37/'Operational Data'!$G$12,"-")</f>
        <v>-</v>
      </c>
      <c r="I37" s="233"/>
      <c r="J37" s="231" t="s">
        <v>155</v>
      </c>
    </row>
    <row r="38" spans="1:10" s="3" customFormat="1" ht="14.25" customHeight="1">
      <c r="A38" s="234"/>
      <c r="B38" s="235"/>
      <c r="C38" s="235"/>
      <c r="D38" s="236"/>
      <c r="E38" s="237"/>
      <c r="F38" s="238"/>
      <c r="G38" s="239"/>
      <c r="H38" s="240"/>
      <c r="I38" s="241"/>
      <c r="J38" s="239"/>
    </row>
    <row r="39" spans="1:10" s="3" customFormat="1" ht="14.25" customHeight="1">
      <c r="A39" s="111" t="s">
        <v>144</v>
      </c>
      <c r="B39" s="111"/>
      <c r="C39" s="111"/>
      <c r="D39" s="111"/>
      <c r="E39" s="111"/>
      <c r="F39" s="111"/>
      <c r="G39" s="111"/>
      <c r="H39" s="111"/>
      <c r="I39" s="111"/>
      <c r="J39" s="111"/>
    </row>
    <row r="40" spans="1:10" s="3" customFormat="1" ht="14.25" customHeight="1">
      <c r="A40" s="112" t="s">
        <v>158</v>
      </c>
      <c r="B40" s="112"/>
      <c r="C40" s="112"/>
      <c r="D40" s="112"/>
      <c r="E40" s="112"/>
      <c r="F40" s="112"/>
      <c r="G40" s="112"/>
      <c r="H40" s="112"/>
      <c r="I40" s="112"/>
      <c r="J40" s="112"/>
    </row>
    <row r="41" spans="1:10" s="3" customFormat="1" ht="14.25" customHeight="1">
      <c r="A41" s="112"/>
      <c r="B41" s="112"/>
      <c r="C41" s="112"/>
      <c r="D41" s="112"/>
      <c r="E41" s="112"/>
      <c r="F41" s="112"/>
      <c r="G41" s="112"/>
      <c r="H41" s="112"/>
      <c r="I41" s="112"/>
      <c r="J41" s="112"/>
    </row>
    <row r="42" spans="1:10" s="3" customFormat="1" ht="14.25" customHeight="1">
      <c r="A42" s="41"/>
      <c r="B42" s="41"/>
      <c r="C42" s="41"/>
      <c r="D42" s="41"/>
      <c r="E42" s="41"/>
      <c r="F42" s="41"/>
      <c r="G42" s="41"/>
      <c r="H42" s="41"/>
      <c r="I42" s="41"/>
      <c r="J42" s="41"/>
    </row>
    <row r="43" spans="1:10" s="3" customFormat="1" ht="14.25" customHeight="1">
      <c r="A43" s="34">
        <f>+A31</f>
        <v>2023</v>
      </c>
      <c r="B43" s="34" t="s">
        <v>159</v>
      </c>
      <c r="C43" s="34"/>
      <c r="D43" s="34"/>
      <c r="E43" s="34"/>
      <c r="F43" s="34"/>
      <c r="G43" s="67"/>
    </row>
    <row r="44" spans="1:10" ht="14.25" customHeight="1">
      <c r="A44" s="113" t="s">
        <v>160</v>
      </c>
      <c r="B44" s="113"/>
      <c r="C44" s="113" t="s">
        <v>161</v>
      </c>
      <c r="D44" s="113"/>
      <c r="E44" s="113"/>
      <c r="F44" s="113"/>
      <c r="G44" s="113"/>
      <c r="H44" s="113"/>
      <c r="I44" s="113"/>
      <c r="J44" s="113"/>
    </row>
    <row r="45" spans="1:10" ht="14.25" customHeight="1">
      <c r="A45" s="42"/>
      <c r="B45" s="42"/>
      <c r="C45" s="36">
        <v>1</v>
      </c>
      <c r="D45" s="36">
        <v>2</v>
      </c>
      <c r="E45" s="36">
        <v>3</v>
      </c>
      <c r="F45" s="36"/>
      <c r="G45" s="36"/>
      <c r="H45" s="36"/>
      <c r="I45" s="36" t="s">
        <v>162</v>
      </c>
      <c r="J45" s="36" t="s">
        <v>163</v>
      </c>
    </row>
    <row r="46" spans="1:10" ht="31.5" customHeight="1">
      <c r="A46" s="213" t="s">
        <v>164</v>
      </c>
      <c r="B46" s="213"/>
      <c r="C46" s="242">
        <v>8088</v>
      </c>
      <c r="D46" s="242">
        <v>8088</v>
      </c>
      <c r="E46" s="242">
        <v>8088</v>
      </c>
      <c r="F46" s="243"/>
      <c r="G46" s="243"/>
      <c r="H46" s="243"/>
      <c r="I46" s="243"/>
      <c r="J46" s="243"/>
    </row>
    <row r="47" spans="1:10" ht="43.5" customHeight="1">
      <c r="A47" s="213" t="s">
        <v>165</v>
      </c>
      <c r="B47" s="213"/>
      <c r="C47" s="242">
        <v>0</v>
      </c>
      <c r="D47" s="242">
        <v>0</v>
      </c>
      <c r="E47" s="242">
        <v>0</v>
      </c>
      <c r="F47" s="243"/>
      <c r="G47" s="243"/>
      <c r="H47" s="243"/>
      <c r="I47" s="243"/>
      <c r="J47" s="243"/>
    </row>
    <row r="48" spans="1:10" ht="42.75" customHeight="1">
      <c r="A48" s="213" t="s">
        <v>166</v>
      </c>
      <c r="B48" s="213"/>
      <c r="C48" s="242">
        <v>0</v>
      </c>
      <c r="D48" s="242">
        <v>0</v>
      </c>
      <c r="E48" s="242">
        <v>0</v>
      </c>
      <c r="F48" s="243"/>
      <c r="G48" s="243"/>
      <c r="H48" s="243"/>
      <c r="I48" s="243"/>
      <c r="J48" s="243"/>
    </row>
    <row r="49" spans="1:10" ht="8.25" customHeight="1">
      <c r="A49" s="67"/>
      <c r="B49" s="67"/>
      <c r="C49" s="67"/>
      <c r="D49" s="67"/>
      <c r="E49" s="67"/>
      <c r="F49" s="67"/>
      <c r="G49" s="67"/>
      <c r="H49" s="67"/>
      <c r="I49" s="67"/>
      <c r="J49" s="67"/>
    </row>
    <row r="50" spans="1:10">
      <c r="A50" s="111" t="s">
        <v>144</v>
      </c>
      <c r="B50" s="111"/>
      <c r="C50" s="111"/>
      <c r="D50" s="111"/>
      <c r="E50" s="111"/>
      <c r="F50" s="111"/>
      <c r="G50" s="111"/>
      <c r="H50" s="111"/>
      <c r="I50" s="111"/>
      <c r="J50" s="111"/>
    </row>
    <row r="51" spans="1:10">
      <c r="A51" s="112" t="s">
        <v>167</v>
      </c>
      <c r="B51" s="112"/>
      <c r="C51" s="112"/>
      <c r="D51" s="112"/>
      <c r="E51" s="112"/>
      <c r="F51" s="112"/>
      <c r="G51" s="112"/>
      <c r="H51" s="112"/>
      <c r="I51" s="112"/>
      <c r="J51" s="112"/>
    </row>
    <row r="52" spans="1:10">
      <c r="A52" s="112"/>
      <c r="B52" s="112"/>
      <c r="C52" s="112"/>
      <c r="D52" s="112"/>
      <c r="E52" s="112"/>
      <c r="F52" s="112"/>
      <c r="G52" s="112"/>
      <c r="H52" s="112"/>
      <c r="I52" s="112"/>
      <c r="J52" s="112"/>
    </row>
    <row r="54" spans="1:10">
      <c r="A54" s="3" t="s">
        <v>168</v>
      </c>
      <c r="B54" s="43" t="s">
        <v>16</v>
      </c>
      <c r="C54" s="43"/>
      <c r="D54" s="43"/>
      <c r="E54" s="43"/>
      <c r="F54" s="3"/>
      <c r="G54" s="3" t="s">
        <v>169</v>
      </c>
      <c r="H54" s="43" t="s">
        <v>25</v>
      </c>
      <c r="I54" s="43"/>
      <c r="J54" s="67"/>
    </row>
    <row r="62" spans="1:10">
      <c r="A62" s="67"/>
      <c r="B62" s="67"/>
      <c r="C62" s="67"/>
      <c r="D62" s="67"/>
      <c r="E62" s="67"/>
      <c r="F62" s="3"/>
      <c r="G62" s="67"/>
      <c r="H62" s="67"/>
      <c r="I62" s="67"/>
      <c r="J62" s="67"/>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Normal="100" workbookViewId="0">
      <selection activeCell="H30" sqref="H30"/>
    </sheetView>
  </sheetViews>
  <sheetFormatPr defaultColWidth="9.28515625" defaultRowHeight="15"/>
  <cols>
    <col min="1" max="1" width="9.42578125" style="2" bestFit="1" customWidth="1"/>
    <col min="2" max="16384" width="9.28515625" style="2"/>
  </cols>
  <sheetData>
    <row r="1" spans="1:10" ht="15.6">
      <c r="A1" s="33">
        <f>+'Cover Page'!C39</f>
        <v>2023</v>
      </c>
      <c r="B1" s="34" t="s">
        <v>170</v>
      </c>
      <c r="C1" s="34"/>
      <c r="D1" s="34"/>
      <c r="E1" s="34"/>
      <c r="F1" s="34"/>
      <c r="G1" s="34"/>
      <c r="H1" s="34"/>
      <c r="I1" s="34"/>
      <c r="J1" s="34"/>
    </row>
    <row r="3" spans="1:10" s="3" customFormat="1" ht="15" customHeight="1">
      <c r="A3" s="3" t="str">
        <f>+'Cover Page'!B31</f>
        <v>Permit EPR/UP3205PX</v>
      </c>
      <c r="G3" s="114"/>
      <c r="H3" s="114"/>
      <c r="I3" s="114"/>
    </row>
    <row r="4" spans="1:10" s="3" customFormat="1" ht="13.9"/>
    <row r="5" spans="1:10" s="3" customFormat="1" ht="13.9">
      <c r="A5" s="3" t="s">
        <v>121</v>
      </c>
      <c r="B5" s="99" t="str">
        <f>+'Cover Page'!B33:I33</f>
        <v>Clay Lake Bank</v>
      </c>
      <c r="C5" s="99"/>
      <c r="D5" s="99"/>
      <c r="E5" s="99"/>
      <c r="F5" s="3" t="s">
        <v>122</v>
      </c>
      <c r="G5" s="3" t="s">
        <v>171</v>
      </c>
    </row>
    <row r="6" spans="1:10" s="3" customFormat="1" ht="13.9"/>
    <row r="7" spans="1:10" s="3" customFormat="1" ht="15.75" customHeight="1">
      <c r="A7" s="3" t="s">
        <v>123</v>
      </c>
      <c r="D7" s="101" t="s">
        <v>124</v>
      </c>
      <c r="E7" s="101"/>
      <c r="F7" s="35" t="s">
        <v>125</v>
      </c>
      <c r="G7" s="101" t="s">
        <v>126</v>
      </c>
      <c r="H7" s="101"/>
    </row>
    <row r="8" spans="1:10" s="3" customFormat="1" ht="14.45">
      <c r="B8"/>
      <c r="C8"/>
      <c r="D8"/>
    </row>
    <row r="9" spans="1:10" s="3" customFormat="1" ht="37.5" customHeight="1">
      <c r="A9" s="113" t="s">
        <v>172</v>
      </c>
      <c r="B9" s="113"/>
      <c r="C9" s="113"/>
      <c r="D9" s="102" t="s">
        <v>173</v>
      </c>
      <c r="E9" s="102"/>
      <c r="F9" s="36" t="s">
        <v>71</v>
      </c>
      <c r="G9" s="113" t="s">
        <v>174</v>
      </c>
      <c r="H9" s="113"/>
      <c r="I9" s="113"/>
    </row>
    <row r="10" spans="1:10" s="3" customFormat="1" ht="24.75" customHeight="1">
      <c r="A10" s="213" t="s">
        <v>175</v>
      </c>
      <c r="B10" s="213"/>
      <c r="C10" s="213"/>
      <c r="D10" s="115">
        <v>0</v>
      </c>
      <c r="E10" s="115"/>
      <c r="F10" s="68" t="s">
        <v>88</v>
      </c>
      <c r="G10" s="116">
        <v>0</v>
      </c>
      <c r="H10" s="116"/>
      <c r="I10" s="116"/>
    </row>
    <row r="11" spans="1:10" s="3" customFormat="1" ht="24.75" customHeight="1">
      <c r="A11" s="213" t="s">
        <v>176</v>
      </c>
      <c r="B11" s="213"/>
      <c r="C11" s="213"/>
      <c r="D11" s="115">
        <v>0</v>
      </c>
      <c r="E11" s="115"/>
      <c r="F11" s="68" t="s">
        <v>88</v>
      </c>
      <c r="G11" s="116">
        <v>0</v>
      </c>
      <c r="H11" s="116"/>
      <c r="I11" s="116"/>
    </row>
    <row r="12" spans="1:10" s="3" customFormat="1" ht="24.75" customHeight="1">
      <c r="A12" s="213" t="s">
        <v>177</v>
      </c>
      <c r="B12" s="213"/>
      <c r="C12" s="213"/>
      <c r="D12" s="115">
        <v>0</v>
      </c>
      <c r="E12" s="115"/>
      <c r="F12" s="68" t="s">
        <v>88</v>
      </c>
      <c r="G12" s="116">
        <v>0</v>
      </c>
      <c r="H12" s="116"/>
      <c r="I12" s="116"/>
    </row>
    <row r="13" spans="1:10" s="3" customFormat="1" ht="24.75" customHeight="1">
      <c r="A13" s="213" t="s">
        <v>178</v>
      </c>
      <c r="B13" s="213"/>
      <c r="C13" s="213"/>
      <c r="D13" s="244">
        <v>27631</v>
      </c>
      <c r="E13" s="245"/>
      <c r="F13" s="68" t="s">
        <v>179</v>
      </c>
      <c r="G13" s="116" t="s">
        <v>180</v>
      </c>
      <c r="H13" s="116"/>
      <c r="I13" s="116"/>
    </row>
    <row r="14" spans="1:10" s="3" customFormat="1" ht="24.75" customHeight="1">
      <c r="A14" s="213" t="s">
        <v>181</v>
      </c>
      <c r="B14" s="213"/>
      <c r="C14" s="213"/>
      <c r="D14" s="115" t="s">
        <v>180</v>
      </c>
      <c r="E14" s="115"/>
      <c r="F14" s="68" t="s">
        <v>182</v>
      </c>
      <c r="G14" s="116">
        <v>0</v>
      </c>
      <c r="H14" s="116"/>
      <c r="I14" s="116"/>
    </row>
    <row r="15" spans="1:10" s="3" customFormat="1" ht="24.75" customHeight="1">
      <c r="A15" s="216"/>
      <c r="B15" s="216"/>
      <c r="C15" s="216"/>
      <c r="D15" s="216"/>
      <c r="E15" s="216"/>
      <c r="F15" s="81"/>
      <c r="G15" s="93"/>
      <c r="H15" s="93"/>
      <c r="I15" s="93"/>
    </row>
    <row r="16" spans="1:10" s="3" customFormat="1" ht="24.75" customHeight="1">
      <c r="A16" s="216"/>
      <c r="B16" s="216"/>
      <c r="C16" s="216"/>
      <c r="D16" s="216"/>
      <c r="E16" s="216"/>
      <c r="F16" s="81"/>
      <c r="G16" s="93"/>
      <c r="H16" s="93"/>
      <c r="I16" s="93"/>
    </row>
    <row r="17" spans="1:9" s="3" customFormat="1" ht="14.45">
      <c r="A17" s="44"/>
      <c r="B17"/>
      <c r="C17"/>
      <c r="D17"/>
    </row>
    <row r="18" spans="1:9" s="3" customFormat="1" ht="24" customHeight="1">
      <c r="A18" s="111" t="s">
        <v>144</v>
      </c>
      <c r="B18" s="111"/>
      <c r="C18" s="111"/>
      <c r="D18" s="111"/>
      <c r="E18" s="111"/>
      <c r="F18" s="111"/>
      <c r="G18" s="111"/>
      <c r="H18" s="111"/>
      <c r="I18" s="111"/>
    </row>
    <row r="19" spans="1:9" s="3" customFormat="1" ht="13.9">
      <c r="A19" s="117" t="s">
        <v>183</v>
      </c>
      <c r="B19" s="117"/>
      <c r="C19" s="117"/>
      <c r="D19" s="117"/>
      <c r="E19" s="117"/>
      <c r="F19" s="117"/>
      <c r="G19" s="117"/>
      <c r="H19" s="117"/>
      <c r="I19" s="117"/>
    </row>
    <row r="20" spans="1:9" s="3" customFormat="1" ht="13.9">
      <c r="A20" s="117"/>
      <c r="B20" s="117"/>
      <c r="C20" s="117"/>
      <c r="D20" s="117"/>
      <c r="E20" s="117"/>
      <c r="F20" s="117"/>
      <c r="G20" s="117"/>
      <c r="H20" s="117"/>
      <c r="I20" s="117"/>
    </row>
    <row r="21" spans="1:9" s="3" customFormat="1" ht="13.9">
      <c r="A21" s="117"/>
      <c r="B21" s="117"/>
      <c r="C21" s="117"/>
      <c r="D21" s="117"/>
      <c r="E21" s="117"/>
      <c r="F21" s="117"/>
      <c r="G21" s="117"/>
      <c r="H21" s="117"/>
      <c r="I21" s="117"/>
    </row>
    <row r="22" spans="1:9" s="3" customFormat="1" ht="13.9">
      <c r="A22" s="117"/>
      <c r="B22" s="117"/>
      <c r="C22" s="117"/>
      <c r="D22" s="117"/>
      <c r="E22" s="117"/>
      <c r="F22" s="117"/>
      <c r="G22" s="117"/>
      <c r="H22" s="117"/>
      <c r="I22" s="117"/>
    </row>
    <row r="23" spans="1:9" s="3" customFormat="1" ht="13.9">
      <c r="A23" s="117"/>
      <c r="B23" s="117"/>
      <c r="C23" s="117"/>
      <c r="D23" s="117"/>
      <c r="E23" s="117"/>
      <c r="F23" s="117"/>
      <c r="G23" s="117"/>
      <c r="H23" s="117"/>
      <c r="I23" s="117"/>
    </row>
    <row r="24" spans="1:9" s="3" customFormat="1" ht="13.9">
      <c r="A24" s="117"/>
      <c r="B24" s="117"/>
      <c r="C24" s="117"/>
      <c r="D24" s="117"/>
      <c r="E24" s="117"/>
      <c r="F24" s="117"/>
      <c r="G24" s="117"/>
      <c r="H24" s="117"/>
      <c r="I24" s="117"/>
    </row>
    <row r="25" spans="1:9" s="3" customFormat="1" ht="13.9">
      <c r="A25" s="117"/>
      <c r="B25" s="117"/>
      <c r="C25" s="117"/>
      <c r="D25" s="117"/>
      <c r="E25" s="117"/>
      <c r="F25" s="117"/>
      <c r="G25" s="117"/>
      <c r="H25" s="117"/>
      <c r="I25" s="117"/>
    </row>
    <row r="26" spans="1:9" s="3" customFormat="1" ht="13.9">
      <c r="A26" s="41"/>
      <c r="B26" s="41"/>
      <c r="C26" s="41"/>
      <c r="D26" s="41"/>
      <c r="E26" s="41"/>
      <c r="F26" s="41"/>
      <c r="G26" s="41"/>
      <c r="H26" s="41"/>
      <c r="I26" s="41"/>
    </row>
    <row r="27" spans="1:9" s="3" customFormat="1" ht="13.9"/>
    <row r="28" spans="1:9" s="3" customFormat="1" ht="13.9"/>
    <row r="29" spans="1:9" s="3" customFormat="1" ht="13.9">
      <c r="A29" s="3" t="s">
        <v>168</v>
      </c>
      <c r="B29" s="43" t="s">
        <v>16</v>
      </c>
      <c r="C29" s="43"/>
      <c r="D29" s="43"/>
      <c r="E29" s="43"/>
      <c r="G29" s="3" t="s">
        <v>169</v>
      </c>
      <c r="H29" s="43" t="s">
        <v>25</v>
      </c>
      <c r="I29" s="43"/>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67"/>
      <c r="B34" s="67"/>
      <c r="C34" s="67"/>
      <c r="D34" s="67"/>
      <c r="E34" s="67"/>
      <c r="F34" s="67"/>
      <c r="G34" s="67"/>
      <c r="H34" s="67"/>
      <c r="I34" s="67"/>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56"/>
  <sheetViews>
    <sheetView showGridLines="0" zoomScaleNormal="100" workbookViewId="0">
      <selection activeCell="F6" sqref="F6"/>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67" t="str">
        <f>+'Cover Page'!$B$29</f>
        <v>Annual Performance Report 2023</v>
      </c>
      <c r="B1" s="67"/>
      <c r="C1" s="67"/>
      <c r="D1" s="67"/>
      <c r="E1" s="67" t="str">
        <f>+'Cover Page'!$B$33</f>
        <v>Clay Lake Bank</v>
      </c>
      <c r="F1" s="67"/>
      <c r="G1" s="67"/>
      <c r="H1" s="67"/>
      <c r="I1" s="67"/>
      <c r="J1" s="67"/>
      <c r="K1" s="67"/>
      <c r="L1" s="67"/>
      <c r="M1" s="67"/>
      <c r="N1" s="67"/>
      <c r="O1" s="67"/>
    </row>
    <row r="3" spans="1:15" ht="15.6">
      <c r="A3" s="1" t="s">
        <v>184</v>
      </c>
      <c r="B3" s="67"/>
      <c r="C3" s="67"/>
      <c r="D3" s="67"/>
      <c r="E3" s="67"/>
      <c r="F3" s="67"/>
      <c r="G3" s="67"/>
      <c r="H3" s="67"/>
      <c r="I3" s="67"/>
      <c r="J3" s="67"/>
      <c r="K3" s="67"/>
      <c r="L3" s="67"/>
      <c r="M3" s="67"/>
      <c r="N3" s="67"/>
      <c r="O3" s="67"/>
    </row>
    <row r="4" spans="1:15" ht="15.6">
      <c r="A4" s="1"/>
      <c r="B4" s="67"/>
      <c r="C4" s="67"/>
      <c r="D4" s="67"/>
      <c r="E4" s="67"/>
      <c r="F4" s="67"/>
      <c r="G4" s="67"/>
      <c r="H4" s="67"/>
      <c r="I4" s="67"/>
      <c r="J4" s="67"/>
      <c r="K4" s="67"/>
      <c r="L4" s="67"/>
      <c r="M4" s="67"/>
      <c r="N4" s="67"/>
      <c r="O4" s="67"/>
    </row>
    <row r="5" spans="1:15">
      <c r="A5" s="9" t="s">
        <v>185</v>
      </c>
      <c r="B5" s="67"/>
      <c r="C5" s="67"/>
      <c r="D5" s="67"/>
      <c r="E5" s="67"/>
      <c r="F5" s="67"/>
      <c r="G5" s="67"/>
      <c r="H5" s="67"/>
      <c r="I5" s="67"/>
      <c r="J5" s="67"/>
      <c r="K5" s="67"/>
      <c r="L5" s="67"/>
      <c r="M5" s="67"/>
      <c r="N5" s="67"/>
      <c r="O5" s="67"/>
    </row>
    <row r="6" spans="1:15">
      <c r="A6" s="9"/>
      <c r="B6" s="67"/>
      <c r="C6" s="67"/>
      <c r="D6" s="67"/>
      <c r="E6" s="67"/>
      <c r="F6" s="67"/>
      <c r="G6" s="67"/>
      <c r="H6" s="67"/>
      <c r="I6" s="67"/>
      <c r="J6" s="67"/>
      <c r="K6" s="67"/>
      <c r="L6" s="67"/>
      <c r="M6" s="67"/>
      <c r="N6" s="67"/>
      <c r="O6" s="67"/>
    </row>
    <row r="7" spans="1:15" s="3" customFormat="1">
      <c r="L7" s="167"/>
      <c r="M7" s="167"/>
      <c r="N7" s="167"/>
      <c r="O7" s="167"/>
    </row>
    <row r="8" spans="1:15" s="44" customFormat="1" ht="21.75" customHeight="1">
      <c r="A8" s="121" t="s">
        <v>186</v>
      </c>
      <c r="B8" s="122"/>
      <c r="C8" s="122"/>
      <c r="D8" s="122"/>
      <c r="E8" s="122"/>
      <c r="F8" s="122"/>
      <c r="G8" s="122"/>
      <c r="H8" s="122"/>
      <c r="I8" s="122"/>
      <c r="J8" s="122"/>
      <c r="K8" s="123"/>
    </row>
    <row r="9" spans="1:15" s="3" customFormat="1" ht="38.25" customHeight="1">
      <c r="A9" s="45" t="s">
        <v>43</v>
      </c>
      <c r="B9" s="119" t="s">
        <v>187</v>
      </c>
      <c r="C9" s="119"/>
      <c r="D9" s="119"/>
      <c r="E9" s="119" t="s">
        <v>188</v>
      </c>
      <c r="F9" s="119"/>
      <c r="G9" s="119"/>
      <c r="H9" s="119" t="s">
        <v>189</v>
      </c>
      <c r="I9" s="119"/>
      <c r="J9" s="120"/>
      <c r="K9" s="55"/>
    </row>
    <row r="10" spans="1:15" s="3" customFormat="1" ht="13.9">
      <c r="A10" s="246"/>
      <c r="B10" s="93" t="s">
        <v>180</v>
      </c>
      <c r="C10" s="93"/>
      <c r="D10" s="93"/>
      <c r="E10" s="93"/>
      <c r="F10" s="93"/>
      <c r="G10" s="93"/>
      <c r="H10" s="93"/>
      <c r="I10" s="93"/>
      <c r="J10" s="247"/>
      <c r="K10" s="55"/>
    </row>
    <row r="11" spans="1:15" s="3" customFormat="1" ht="13.9">
      <c r="A11" s="80"/>
      <c r="B11" s="93"/>
      <c r="C11" s="93"/>
      <c r="D11" s="93"/>
      <c r="E11" s="93"/>
      <c r="F11" s="93"/>
      <c r="G11" s="93"/>
      <c r="H11" s="93"/>
      <c r="I11" s="93"/>
      <c r="J11" s="247"/>
      <c r="K11" s="55"/>
    </row>
    <row r="12" spans="1:15" s="3" customFormat="1" ht="13.9">
      <c r="A12" s="80"/>
      <c r="B12" s="93"/>
      <c r="C12" s="93"/>
      <c r="D12" s="93"/>
      <c r="E12" s="93"/>
      <c r="F12" s="93"/>
      <c r="G12" s="93"/>
      <c r="H12" s="93"/>
      <c r="I12" s="93"/>
      <c r="J12" s="247"/>
      <c r="K12" s="55"/>
    </row>
    <row r="13" spans="1:15" s="3" customFormat="1" ht="13.9">
      <c r="A13" s="80"/>
      <c r="B13" s="93"/>
      <c r="C13" s="93"/>
      <c r="D13" s="93"/>
      <c r="E13" s="93"/>
      <c r="F13" s="93"/>
      <c r="G13" s="93"/>
      <c r="H13" s="93"/>
      <c r="I13" s="93"/>
      <c r="J13" s="247"/>
      <c r="K13" s="55"/>
    </row>
    <row r="14" spans="1:15" s="3" customFormat="1" ht="13.9">
      <c r="A14" s="80"/>
      <c r="B14" s="93"/>
      <c r="C14" s="93"/>
      <c r="D14" s="93"/>
      <c r="E14" s="93"/>
      <c r="F14" s="93"/>
      <c r="G14" s="93"/>
      <c r="H14" s="93"/>
      <c r="I14" s="93"/>
      <c r="J14" s="247"/>
      <c r="K14" s="55"/>
    </row>
    <row r="15" spans="1:15" s="3" customFormat="1" ht="13.9"/>
    <row r="16" spans="1:15" s="44" customFormat="1" ht="22.5" customHeight="1">
      <c r="A16" s="121" t="s">
        <v>190</v>
      </c>
      <c r="B16" s="122"/>
      <c r="C16" s="122"/>
      <c r="D16" s="122"/>
      <c r="E16" s="122"/>
      <c r="F16" s="122"/>
      <c r="G16" s="122"/>
      <c r="H16" s="122"/>
      <c r="I16" s="122"/>
      <c r="J16" s="122"/>
      <c r="K16" s="123"/>
    </row>
    <row r="17" spans="1:11" s="3" customFormat="1" ht="39" customHeight="1">
      <c r="A17" s="45" t="s">
        <v>43</v>
      </c>
      <c r="B17" s="119" t="s">
        <v>191</v>
      </c>
      <c r="C17" s="119"/>
      <c r="D17" s="119"/>
      <c r="E17" s="119" t="s">
        <v>192</v>
      </c>
      <c r="F17" s="119"/>
      <c r="G17" s="119"/>
      <c r="H17" s="119" t="s">
        <v>189</v>
      </c>
      <c r="I17" s="119"/>
      <c r="J17" s="120"/>
      <c r="K17" s="55"/>
    </row>
    <row r="18" spans="1:11" s="3" customFormat="1" ht="13.9">
      <c r="A18" s="80"/>
      <c r="B18" s="93" t="s">
        <v>180</v>
      </c>
      <c r="C18" s="93"/>
      <c r="D18" s="93"/>
      <c r="E18" s="93"/>
      <c r="F18" s="93"/>
      <c r="G18" s="93"/>
      <c r="H18" s="93"/>
      <c r="I18" s="93"/>
      <c r="J18" s="247"/>
      <c r="K18" s="55"/>
    </row>
    <row r="19" spans="1:11" s="3" customFormat="1" ht="13.9">
      <c r="A19" s="80"/>
      <c r="B19" s="93"/>
      <c r="C19" s="93"/>
      <c r="D19" s="93"/>
      <c r="E19" s="93"/>
      <c r="F19" s="93"/>
      <c r="G19" s="93"/>
      <c r="H19" s="93"/>
      <c r="I19" s="93"/>
      <c r="J19" s="247"/>
      <c r="K19" s="55"/>
    </row>
    <row r="20" spans="1:11" ht="14.25" customHeight="1">
      <c r="A20" s="80"/>
      <c r="B20" s="93"/>
      <c r="C20" s="93"/>
      <c r="D20" s="93"/>
      <c r="E20" s="93"/>
      <c r="F20" s="93"/>
      <c r="G20" s="93"/>
      <c r="H20" s="93"/>
      <c r="I20" s="93"/>
      <c r="J20" s="247"/>
      <c r="K20" s="55"/>
    </row>
    <row r="21" spans="1:11" s="3" customFormat="1" ht="13.9">
      <c r="A21" s="80"/>
      <c r="B21" s="93"/>
      <c r="C21" s="93"/>
      <c r="D21" s="93"/>
      <c r="E21" s="93"/>
      <c r="F21" s="93"/>
      <c r="G21" s="93"/>
      <c r="H21" s="93"/>
      <c r="I21" s="93"/>
      <c r="J21" s="247"/>
      <c r="K21" s="55"/>
    </row>
    <row r="22" spans="1:11" s="3" customFormat="1" ht="13.9">
      <c r="A22" s="80"/>
      <c r="B22" s="93"/>
      <c r="C22" s="93"/>
      <c r="D22" s="93"/>
      <c r="E22" s="93"/>
      <c r="F22" s="93"/>
      <c r="G22" s="93"/>
      <c r="H22" s="93"/>
      <c r="I22" s="93"/>
      <c r="J22" s="247"/>
      <c r="K22" s="55"/>
    </row>
    <row r="23" spans="1:11" s="3" customFormat="1" ht="29.25" customHeight="1">
      <c r="A23" s="179"/>
      <c r="E23" s="118" t="s">
        <v>193</v>
      </c>
      <c r="F23" s="118"/>
      <c r="G23" s="118"/>
      <c r="H23" s="118"/>
      <c r="I23" s="118"/>
      <c r="J23" s="179"/>
    </row>
    <row r="56" spans="6:6">
      <c r="F56" s="3"/>
    </row>
  </sheetData>
  <mergeCells count="40">
    <mergeCell ref="A16:K16"/>
    <mergeCell ref="A8:K8"/>
    <mergeCell ref="B21:D21"/>
    <mergeCell ref="E21:G21"/>
    <mergeCell ref="H21:J21"/>
    <mergeCell ref="B17:D17"/>
    <mergeCell ref="E17:G17"/>
    <mergeCell ref="H17:J17"/>
    <mergeCell ref="B18:D18"/>
    <mergeCell ref="E18:G18"/>
    <mergeCell ref="H18:J18"/>
    <mergeCell ref="B13:D13"/>
    <mergeCell ref="E13:G13"/>
    <mergeCell ref="H13:J13"/>
    <mergeCell ref="B14:D14"/>
    <mergeCell ref="E14:G14"/>
    <mergeCell ref="E22:G22"/>
    <mergeCell ref="H22:J22"/>
    <mergeCell ref="B19:D19"/>
    <mergeCell ref="E19:G19"/>
    <mergeCell ref="H19:J19"/>
    <mergeCell ref="B20:D20"/>
    <mergeCell ref="E20:G20"/>
    <mergeCell ref="H20:J20"/>
    <mergeCell ref="L7:O7"/>
    <mergeCell ref="E23:I23"/>
    <mergeCell ref="B9:D9"/>
    <mergeCell ref="E9:G9"/>
    <mergeCell ref="H9:J9"/>
    <mergeCell ref="B10:D10"/>
    <mergeCell ref="E10:G10"/>
    <mergeCell ref="H10:J10"/>
    <mergeCell ref="H14:J14"/>
    <mergeCell ref="B11:D11"/>
    <mergeCell ref="E11:G11"/>
    <mergeCell ref="H11:J11"/>
    <mergeCell ref="B12:D12"/>
    <mergeCell ref="E12:G12"/>
    <mergeCell ref="H12:J12"/>
    <mergeCell ref="B22:D22"/>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zoomScaleNormal="100" workbookViewId="0">
      <selection activeCell="A39" sqref="A39:J4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67" t="str">
        <f>+'Cover Page'!$B$29</f>
        <v>Annual Performance Report 2023</v>
      </c>
      <c r="B1" s="67"/>
      <c r="C1" s="67"/>
      <c r="D1" s="67"/>
      <c r="E1" s="67" t="str">
        <f>+'Cover Page'!$B$33</f>
        <v>Clay Lake Bank</v>
      </c>
      <c r="F1" s="67"/>
      <c r="G1" s="67"/>
      <c r="H1" s="67"/>
      <c r="I1" s="67"/>
      <c r="J1" s="67"/>
    </row>
    <row r="3" spans="1:10" ht="15.6">
      <c r="A3" s="1" t="s">
        <v>194</v>
      </c>
      <c r="B3" s="67"/>
      <c r="C3" s="67"/>
      <c r="D3" s="67"/>
      <c r="E3" s="67"/>
      <c r="F3" s="67"/>
      <c r="G3" s="67"/>
      <c r="H3" s="67"/>
      <c r="I3" s="67"/>
      <c r="J3" s="67"/>
    </row>
    <row r="4" spans="1:10" ht="15.6">
      <c r="A4" s="1"/>
      <c r="B4" s="67"/>
      <c r="C4" s="67"/>
      <c r="D4" s="67"/>
      <c r="E4" s="67"/>
      <c r="F4" s="67"/>
      <c r="G4" s="67"/>
      <c r="H4" s="67"/>
      <c r="I4" s="67"/>
      <c r="J4" s="67"/>
    </row>
    <row r="5" spans="1:10" s="3" customFormat="1" ht="13.9">
      <c r="A5" s="127" t="s">
        <v>195</v>
      </c>
      <c r="B5" s="128"/>
      <c r="C5" s="128"/>
      <c r="D5" s="128"/>
      <c r="E5" s="128"/>
      <c r="F5" s="128"/>
      <c r="G5" s="128"/>
      <c r="H5" s="128"/>
      <c r="I5" s="128"/>
      <c r="J5" s="129"/>
    </row>
    <row r="6" spans="1:10" s="3" customFormat="1" ht="15.75" customHeight="1">
      <c r="A6" s="95" t="s">
        <v>196</v>
      </c>
      <c r="B6" s="143"/>
      <c r="C6" s="143"/>
      <c r="D6" s="143"/>
      <c r="E6" s="143"/>
      <c r="F6" s="143"/>
      <c r="G6" s="143"/>
      <c r="H6" s="143"/>
      <c r="I6" s="143"/>
      <c r="J6" s="144"/>
    </row>
    <row r="7" spans="1:10" s="3" customFormat="1" ht="15.75" customHeight="1">
      <c r="A7" s="168"/>
      <c r="B7" s="169"/>
      <c r="C7" s="169"/>
      <c r="D7" s="169"/>
      <c r="E7" s="169"/>
      <c r="F7" s="169"/>
      <c r="G7" s="169"/>
      <c r="H7" s="169"/>
      <c r="I7" s="169"/>
      <c r="J7" s="170"/>
    </row>
    <row r="8" spans="1:10" s="3" customFormat="1" ht="15.75" customHeight="1">
      <c r="A8" s="168"/>
      <c r="B8" s="169"/>
      <c r="C8" s="169"/>
      <c r="D8" s="169"/>
      <c r="E8" s="169"/>
      <c r="F8" s="169"/>
      <c r="G8" s="169"/>
      <c r="H8" s="169"/>
      <c r="I8" s="169"/>
      <c r="J8" s="170"/>
    </row>
    <row r="9" spans="1:10" s="3" customFormat="1" ht="15.75" customHeight="1">
      <c r="A9" s="168"/>
      <c r="B9" s="169"/>
      <c r="C9" s="169"/>
      <c r="D9" s="169"/>
      <c r="E9" s="169"/>
      <c r="F9" s="169"/>
      <c r="G9" s="169"/>
      <c r="H9" s="169"/>
      <c r="I9" s="169"/>
      <c r="J9" s="170"/>
    </row>
    <row r="10" spans="1:10" s="3" customFormat="1" ht="15.75" customHeight="1">
      <c r="A10" s="168"/>
      <c r="B10" s="169"/>
      <c r="C10" s="169"/>
      <c r="D10" s="169"/>
      <c r="E10" s="169"/>
      <c r="F10" s="169"/>
      <c r="G10" s="169"/>
      <c r="H10" s="169"/>
      <c r="I10" s="169"/>
      <c r="J10" s="170"/>
    </row>
    <row r="11" spans="1:10" s="3" customFormat="1" ht="15.75" customHeight="1">
      <c r="A11" s="168"/>
      <c r="B11" s="169"/>
      <c r="C11" s="169"/>
      <c r="D11" s="169"/>
      <c r="E11" s="169"/>
      <c r="F11" s="169"/>
      <c r="G11" s="169"/>
      <c r="H11" s="169"/>
      <c r="I11" s="169"/>
      <c r="J11" s="170"/>
    </row>
    <row r="12" spans="1:10" s="3" customFormat="1" ht="15.75" customHeight="1">
      <c r="A12" s="168"/>
      <c r="B12" s="169"/>
      <c r="C12" s="169"/>
      <c r="D12" s="169"/>
      <c r="E12" s="169"/>
      <c r="F12" s="169"/>
      <c r="G12" s="169"/>
      <c r="H12" s="169"/>
      <c r="I12" s="169"/>
      <c r="J12" s="170"/>
    </row>
    <row r="13" spans="1:10" s="3" customFormat="1" ht="15.75" customHeight="1">
      <c r="A13" s="168"/>
      <c r="B13" s="169"/>
      <c r="C13" s="169"/>
      <c r="D13" s="169"/>
      <c r="E13" s="169"/>
      <c r="F13" s="169"/>
      <c r="G13" s="169"/>
      <c r="H13" s="169"/>
      <c r="I13" s="169"/>
      <c r="J13" s="170"/>
    </row>
    <row r="14" spans="1:10" s="3" customFormat="1" ht="15.75" customHeight="1">
      <c r="A14" s="145"/>
      <c r="B14" s="146"/>
      <c r="C14" s="146"/>
      <c r="D14" s="146"/>
      <c r="E14" s="146"/>
      <c r="F14" s="146"/>
      <c r="G14" s="146"/>
      <c r="H14" s="146"/>
      <c r="I14" s="146"/>
      <c r="J14" s="147"/>
    </row>
    <row r="15" spans="1:10" s="3" customFormat="1" ht="13.9"/>
    <row r="16" spans="1:10" s="46" customFormat="1" ht="33.75" customHeight="1">
      <c r="A16" s="124" t="s">
        <v>197</v>
      </c>
      <c r="B16" s="125"/>
      <c r="C16" s="125"/>
      <c r="D16" s="125"/>
      <c r="E16" s="125"/>
      <c r="F16" s="125"/>
      <c r="G16" s="125"/>
      <c r="H16" s="125"/>
      <c r="I16" s="125"/>
      <c r="J16" s="126"/>
    </row>
    <row r="17" spans="1:10" ht="15.75" customHeight="1">
      <c r="A17" s="95" t="s">
        <v>198</v>
      </c>
      <c r="B17" s="143"/>
      <c r="C17" s="143"/>
      <c r="D17" s="143"/>
      <c r="E17" s="143"/>
      <c r="F17" s="143"/>
      <c r="G17" s="143"/>
      <c r="H17" s="143"/>
      <c r="I17" s="143"/>
      <c r="J17" s="144"/>
    </row>
    <row r="18" spans="1:10" ht="15.75" customHeight="1">
      <c r="A18" s="168"/>
      <c r="B18" s="169"/>
      <c r="C18" s="169"/>
      <c r="D18" s="169"/>
      <c r="E18" s="169"/>
      <c r="F18" s="169"/>
      <c r="G18" s="169"/>
      <c r="H18" s="169"/>
      <c r="I18" s="169"/>
      <c r="J18" s="170"/>
    </row>
    <row r="19" spans="1:10" ht="15.75" customHeight="1">
      <c r="A19" s="168"/>
      <c r="B19" s="169"/>
      <c r="C19" s="169"/>
      <c r="D19" s="169"/>
      <c r="E19" s="169"/>
      <c r="F19" s="169"/>
      <c r="G19" s="169"/>
      <c r="H19" s="169"/>
      <c r="I19" s="169"/>
      <c r="J19" s="170"/>
    </row>
    <row r="20" spans="1:10" ht="15.75" customHeight="1">
      <c r="A20" s="168"/>
      <c r="B20" s="169"/>
      <c r="C20" s="169"/>
      <c r="D20" s="169"/>
      <c r="E20" s="169"/>
      <c r="F20" s="169"/>
      <c r="G20" s="169"/>
      <c r="H20" s="169"/>
      <c r="I20" s="169"/>
      <c r="J20" s="170"/>
    </row>
    <row r="21" spans="1:10" ht="15.75" customHeight="1">
      <c r="A21" s="168"/>
      <c r="B21" s="169"/>
      <c r="C21" s="169"/>
      <c r="D21" s="169"/>
      <c r="E21" s="169"/>
      <c r="F21" s="169"/>
      <c r="G21" s="169"/>
      <c r="H21" s="169"/>
      <c r="I21" s="169"/>
      <c r="J21" s="170"/>
    </row>
    <row r="22" spans="1:10" ht="15.75" customHeight="1">
      <c r="A22" s="168"/>
      <c r="B22" s="169"/>
      <c r="C22" s="169"/>
      <c r="D22" s="169"/>
      <c r="E22" s="169"/>
      <c r="F22" s="169"/>
      <c r="G22" s="169"/>
      <c r="H22" s="169"/>
      <c r="I22" s="169"/>
      <c r="J22" s="170"/>
    </row>
    <row r="23" spans="1:10" ht="15.75" customHeight="1">
      <c r="A23" s="168"/>
      <c r="B23" s="169"/>
      <c r="C23" s="169"/>
      <c r="D23" s="169"/>
      <c r="E23" s="169"/>
      <c r="F23" s="169"/>
      <c r="G23" s="169"/>
      <c r="H23" s="169"/>
      <c r="I23" s="169"/>
      <c r="J23" s="170"/>
    </row>
    <row r="24" spans="1:10" ht="15.75" customHeight="1">
      <c r="A24" s="168"/>
      <c r="B24" s="169"/>
      <c r="C24" s="169"/>
      <c r="D24" s="169"/>
      <c r="E24" s="169"/>
      <c r="F24" s="169"/>
      <c r="G24" s="169"/>
      <c r="H24" s="169"/>
      <c r="I24" s="169"/>
      <c r="J24" s="170"/>
    </row>
    <row r="25" spans="1:10" ht="15.75" customHeight="1">
      <c r="A25" s="145"/>
      <c r="B25" s="146"/>
      <c r="C25" s="146"/>
      <c r="D25" s="146"/>
      <c r="E25" s="146"/>
      <c r="F25" s="146"/>
      <c r="G25" s="146"/>
      <c r="H25" s="146"/>
      <c r="I25" s="146"/>
      <c r="J25" s="147"/>
    </row>
    <row r="26" spans="1:10" ht="15.6">
      <c r="A26" s="1"/>
      <c r="B26" s="67"/>
      <c r="C26" s="67"/>
      <c r="D26" s="67"/>
      <c r="E26" s="67"/>
      <c r="F26" s="67"/>
      <c r="G26" s="67"/>
      <c r="H26" s="67"/>
      <c r="I26" s="67"/>
      <c r="J26" s="67"/>
    </row>
    <row r="27" spans="1:10" ht="36.75" customHeight="1">
      <c r="A27" s="124" t="s">
        <v>199</v>
      </c>
      <c r="B27" s="125"/>
      <c r="C27" s="125"/>
      <c r="D27" s="125"/>
      <c r="E27" s="125"/>
      <c r="F27" s="125"/>
      <c r="G27" s="125"/>
      <c r="H27" s="125"/>
      <c r="I27" s="125"/>
      <c r="J27" s="126"/>
    </row>
    <row r="28" spans="1:10" ht="15.75" customHeight="1">
      <c r="A28" s="130" t="s">
        <v>180</v>
      </c>
      <c r="B28" s="171"/>
      <c r="C28" s="171"/>
      <c r="D28" s="171"/>
      <c r="E28" s="171"/>
      <c r="F28" s="171"/>
      <c r="G28" s="171"/>
      <c r="H28" s="171"/>
      <c r="I28" s="171"/>
      <c r="J28" s="172"/>
    </row>
    <row r="29" spans="1:10" ht="15.75" customHeight="1">
      <c r="A29" s="173"/>
      <c r="B29" s="174"/>
      <c r="C29" s="174"/>
      <c r="D29" s="174"/>
      <c r="E29" s="174"/>
      <c r="F29" s="174"/>
      <c r="G29" s="174"/>
      <c r="H29" s="174"/>
      <c r="I29" s="174"/>
      <c r="J29" s="175"/>
    </row>
    <row r="30" spans="1:10" ht="15.75" customHeight="1">
      <c r="A30" s="173"/>
      <c r="B30" s="174"/>
      <c r="C30" s="174"/>
      <c r="D30" s="174"/>
      <c r="E30" s="174"/>
      <c r="F30" s="174"/>
      <c r="G30" s="174"/>
      <c r="H30" s="174"/>
      <c r="I30" s="174"/>
      <c r="J30" s="175"/>
    </row>
    <row r="31" spans="1:10" ht="15.75" customHeight="1">
      <c r="A31" s="173"/>
      <c r="B31" s="174"/>
      <c r="C31" s="174"/>
      <c r="D31" s="174"/>
      <c r="E31" s="174"/>
      <c r="F31" s="174"/>
      <c r="G31" s="174"/>
      <c r="H31" s="174"/>
      <c r="I31" s="174"/>
      <c r="J31" s="175"/>
    </row>
    <row r="32" spans="1:10" ht="15.75" customHeight="1">
      <c r="A32" s="173"/>
      <c r="B32" s="174"/>
      <c r="C32" s="174"/>
      <c r="D32" s="174"/>
      <c r="E32" s="174"/>
      <c r="F32" s="174"/>
      <c r="G32" s="174"/>
      <c r="H32" s="174"/>
      <c r="I32" s="174"/>
      <c r="J32" s="175"/>
    </row>
    <row r="33" spans="1:10" ht="15.75" customHeight="1">
      <c r="A33" s="173"/>
      <c r="B33" s="174"/>
      <c r="C33" s="174"/>
      <c r="D33" s="174"/>
      <c r="E33" s="174"/>
      <c r="F33" s="174"/>
      <c r="G33" s="174"/>
      <c r="H33" s="174"/>
      <c r="I33" s="174"/>
      <c r="J33" s="175"/>
    </row>
    <row r="34" spans="1:10" ht="15.75" customHeight="1">
      <c r="A34" s="173"/>
      <c r="B34" s="174"/>
      <c r="C34" s="174"/>
      <c r="D34" s="174"/>
      <c r="E34" s="174"/>
      <c r="F34" s="174"/>
      <c r="G34" s="174"/>
      <c r="H34" s="174"/>
      <c r="I34" s="174"/>
      <c r="J34" s="175"/>
    </row>
    <row r="35" spans="1:10" ht="15.75" customHeight="1">
      <c r="A35" s="173"/>
      <c r="B35" s="174"/>
      <c r="C35" s="174"/>
      <c r="D35" s="174"/>
      <c r="E35" s="174"/>
      <c r="F35" s="174"/>
      <c r="G35" s="174"/>
      <c r="H35" s="174"/>
      <c r="I35" s="174"/>
      <c r="J35" s="175"/>
    </row>
    <row r="36" spans="1:10" ht="15.75" customHeight="1">
      <c r="A36" s="176"/>
      <c r="B36" s="177"/>
      <c r="C36" s="177"/>
      <c r="D36" s="177"/>
      <c r="E36" s="177"/>
      <c r="F36" s="177"/>
      <c r="G36" s="177"/>
      <c r="H36" s="177"/>
      <c r="I36" s="177"/>
      <c r="J36" s="178"/>
    </row>
    <row r="38" spans="1:10" ht="33" customHeight="1">
      <c r="A38" s="124" t="s">
        <v>200</v>
      </c>
      <c r="B38" s="125"/>
      <c r="C38" s="125"/>
      <c r="D38" s="125"/>
      <c r="E38" s="125"/>
      <c r="F38" s="125"/>
      <c r="G38" s="125"/>
      <c r="H38" s="125"/>
      <c r="I38" s="125"/>
      <c r="J38" s="126"/>
    </row>
    <row r="39" spans="1:10" ht="15.75" customHeight="1">
      <c r="A39" s="95" t="s">
        <v>201</v>
      </c>
      <c r="B39" s="143"/>
      <c r="C39" s="143"/>
      <c r="D39" s="143"/>
      <c r="E39" s="143"/>
      <c r="F39" s="143"/>
      <c r="G39" s="143"/>
      <c r="H39" s="143"/>
      <c r="I39" s="143"/>
      <c r="J39" s="144"/>
    </row>
    <row r="40" spans="1:10" ht="15.75" customHeight="1">
      <c r="A40" s="168"/>
      <c r="B40" s="169"/>
      <c r="C40" s="169"/>
      <c r="D40" s="169"/>
      <c r="E40" s="169"/>
      <c r="F40" s="169"/>
      <c r="G40" s="169"/>
      <c r="H40" s="169"/>
      <c r="I40" s="169"/>
      <c r="J40" s="170"/>
    </row>
    <row r="41" spans="1:10" ht="15.75" customHeight="1">
      <c r="A41" s="168"/>
      <c r="B41" s="169"/>
      <c r="C41" s="169"/>
      <c r="D41" s="169"/>
      <c r="E41" s="169"/>
      <c r="F41" s="169"/>
      <c r="G41" s="169"/>
      <c r="H41" s="169"/>
      <c r="I41" s="169"/>
      <c r="J41" s="170"/>
    </row>
    <row r="42" spans="1:10" ht="15.75" customHeight="1">
      <c r="A42" s="168"/>
      <c r="B42" s="169"/>
      <c r="C42" s="169"/>
      <c r="D42" s="169"/>
      <c r="E42" s="169"/>
      <c r="F42" s="169"/>
      <c r="G42" s="169"/>
      <c r="H42" s="169"/>
      <c r="I42" s="169"/>
      <c r="J42" s="170"/>
    </row>
    <row r="43" spans="1:10" ht="15.75" customHeight="1">
      <c r="A43" s="168"/>
      <c r="B43" s="169"/>
      <c r="C43" s="169"/>
      <c r="D43" s="169"/>
      <c r="E43" s="169"/>
      <c r="F43" s="169"/>
      <c r="G43" s="169"/>
      <c r="H43" s="169"/>
      <c r="I43" s="169"/>
      <c r="J43" s="170"/>
    </row>
    <row r="44" spans="1:10" ht="15.75" customHeight="1">
      <c r="A44" s="168"/>
      <c r="B44" s="169"/>
      <c r="C44" s="169"/>
      <c r="D44" s="169"/>
      <c r="E44" s="169"/>
      <c r="F44" s="169"/>
      <c r="G44" s="169"/>
      <c r="H44" s="169"/>
      <c r="I44" s="169"/>
      <c r="J44" s="170"/>
    </row>
    <row r="45" spans="1:10" ht="15.75" customHeight="1">
      <c r="A45" s="168"/>
      <c r="B45" s="169"/>
      <c r="C45" s="169"/>
      <c r="D45" s="169"/>
      <c r="E45" s="169"/>
      <c r="F45" s="169"/>
      <c r="G45" s="169"/>
      <c r="H45" s="169"/>
      <c r="I45" s="169"/>
      <c r="J45" s="170"/>
    </row>
    <row r="46" spans="1:10" ht="15.75" customHeight="1">
      <c r="A46" s="168"/>
      <c r="B46" s="169"/>
      <c r="C46" s="169"/>
      <c r="D46" s="169"/>
      <c r="E46" s="169"/>
      <c r="F46" s="169"/>
      <c r="G46" s="169"/>
      <c r="H46" s="169"/>
      <c r="I46" s="169"/>
      <c r="J46" s="170"/>
    </row>
    <row r="47" spans="1:10" ht="15.75" customHeight="1">
      <c r="A47" s="168"/>
      <c r="B47" s="169"/>
      <c r="C47" s="169"/>
      <c r="D47" s="169"/>
      <c r="E47" s="169"/>
      <c r="F47" s="169"/>
      <c r="G47" s="169"/>
      <c r="H47" s="169"/>
      <c r="I47" s="169"/>
      <c r="J47" s="170"/>
    </row>
    <row r="48" spans="1:10" ht="15.75" customHeight="1">
      <c r="A48" s="145"/>
      <c r="B48" s="146"/>
      <c r="C48" s="146"/>
      <c r="D48" s="146"/>
      <c r="E48" s="146"/>
      <c r="F48" s="146"/>
      <c r="G48" s="146"/>
      <c r="H48" s="146"/>
      <c r="I48" s="146"/>
      <c r="J48" s="147"/>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M24" sqref="M2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67" t="str">
        <f>+'Cover Page'!$B$29</f>
        <v>Annual Performance Report 2023</v>
      </c>
      <c r="B1" s="67"/>
      <c r="C1" s="67"/>
      <c r="D1" s="67"/>
      <c r="E1" s="67" t="str">
        <f>+'Cover Page'!$B$33</f>
        <v>Clay Lake Bank</v>
      </c>
      <c r="F1" s="67"/>
      <c r="G1" s="67"/>
      <c r="H1" s="67"/>
      <c r="I1" s="67"/>
      <c r="J1" s="67"/>
    </row>
    <row r="3" spans="1:10" ht="15.6">
      <c r="A3" s="1" t="s">
        <v>202</v>
      </c>
      <c r="B3" s="67"/>
      <c r="C3" s="67"/>
      <c r="D3" s="67"/>
      <c r="E3" s="67"/>
      <c r="F3" s="67"/>
      <c r="G3" s="67"/>
      <c r="H3" s="67"/>
      <c r="I3" s="67"/>
      <c r="J3" s="67"/>
    </row>
    <row r="4" spans="1:10" ht="15.6">
      <c r="A4" s="1"/>
      <c r="B4" s="67"/>
      <c r="C4" s="67"/>
      <c r="D4" s="67"/>
      <c r="E4" s="67"/>
      <c r="F4" s="67"/>
      <c r="G4" s="67"/>
      <c r="H4" s="67"/>
      <c r="I4" s="67"/>
      <c r="J4" s="67"/>
    </row>
    <row r="5" spans="1:10" s="3" customFormat="1" ht="28.5" customHeight="1">
      <c r="A5" s="47" t="s">
        <v>203</v>
      </c>
      <c r="B5" s="48"/>
      <c r="C5" s="48"/>
      <c r="D5" s="48"/>
      <c r="E5" s="48"/>
      <c r="F5" s="48"/>
      <c r="G5" s="48"/>
      <c r="H5" s="48"/>
      <c r="I5" s="48"/>
      <c r="J5" s="49"/>
    </row>
    <row r="6" spans="1:10" s="3" customFormat="1" ht="15.75" customHeight="1">
      <c r="A6" s="127" t="s">
        <v>43</v>
      </c>
      <c r="B6" s="129"/>
      <c r="C6" s="127" t="s">
        <v>204</v>
      </c>
      <c r="D6" s="128"/>
      <c r="E6" s="128"/>
      <c r="F6" s="128"/>
      <c r="G6" s="128"/>
      <c r="H6" s="128"/>
      <c r="I6" s="128"/>
      <c r="J6" s="129"/>
    </row>
    <row r="7" spans="1:10" s="3" customFormat="1" ht="15.75" customHeight="1">
      <c r="A7" s="130"/>
      <c r="B7" s="172"/>
      <c r="C7" s="95" t="s">
        <v>205</v>
      </c>
      <c r="D7" s="143"/>
      <c r="E7" s="143"/>
      <c r="F7" s="143"/>
      <c r="G7" s="143"/>
      <c r="H7" s="143"/>
      <c r="I7" s="143"/>
      <c r="J7" s="144"/>
    </row>
    <row r="8" spans="1:10" s="3" customFormat="1" ht="23.25" customHeight="1">
      <c r="A8" s="176"/>
      <c r="B8" s="178"/>
      <c r="C8" s="145"/>
      <c r="D8" s="146"/>
      <c r="E8" s="146"/>
      <c r="F8" s="146"/>
      <c r="G8" s="146"/>
      <c r="H8" s="146"/>
      <c r="I8" s="146"/>
      <c r="J8" s="147"/>
    </row>
    <row r="9" spans="1:10" s="3" customFormat="1" ht="15.75" customHeight="1">
      <c r="A9" s="130"/>
      <c r="B9" s="172"/>
      <c r="C9" s="95"/>
      <c r="D9" s="143"/>
      <c r="E9" s="143"/>
      <c r="F9" s="143"/>
      <c r="G9" s="143"/>
      <c r="H9" s="143"/>
      <c r="I9" s="143"/>
      <c r="J9" s="144"/>
    </row>
    <row r="10" spans="1:10" s="3" customFormat="1" ht="15.75" customHeight="1">
      <c r="A10" s="176"/>
      <c r="B10" s="178"/>
      <c r="C10" s="145"/>
      <c r="D10" s="146"/>
      <c r="E10" s="146"/>
      <c r="F10" s="146"/>
      <c r="G10" s="146"/>
      <c r="H10" s="146"/>
      <c r="I10" s="146"/>
      <c r="J10" s="147"/>
    </row>
    <row r="11" spans="1:10" s="3" customFormat="1" ht="15.75" customHeight="1">
      <c r="A11" s="130"/>
      <c r="B11" s="172"/>
      <c r="C11" s="130"/>
      <c r="D11" s="171"/>
      <c r="E11" s="171"/>
      <c r="F11" s="171"/>
      <c r="G11" s="171"/>
      <c r="H11" s="171"/>
      <c r="I11" s="171"/>
      <c r="J11" s="172"/>
    </row>
    <row r="12" spans="1:10" s="3" customFormat="1" ht="15.75" customHeight="1">
      <c r="A12" s="176"/>
      <c r="B12" s="178"/>
      <c r="C12" s="176"/>
      <c r="D12" s="177"/>
      <c r="E12" s="177"/>
      <c r="F12" s="177"/>
      <c r="G12" s="177"/>
      <c r="H12" s="177"/>
      <c r="I12" s="177"/>
      <c r="J12" s="178"/>
    </row>
    <row r="13" spans="1:10" s="3" customFormat="1" ht="15.75" customHeight="1">
      <c r="A13" s="130"/>
      <c r="B13" s="172"/>
      <c r="C13" s="130"/>
      <c r="D13" s="171"/>
      <c r="E13" s="171"/>
      <c r="F13" s="171"/>
      <c r="G13" s="171"/>
      <c r="H13" s="171"/>
      <c r="I13" s="171"/>
      <c r="J13" s="172"/>
    </row>
    <row r="14" spans="1:10" s="3" customFormat="1" ht="15.75" customHeight="1">
      <c r="A14" s="176"/>
      <c r="B14" s="178"/>
      <c r="C14" s="176"/>
      <c r="D14" s="177"/>
      <c r="E14" s="177"/>
      <c r="F14" s="177"/>
      <c r="G14" s="177"/>
      <c r="H14" s="177"/>
      <c r="I14" s="177"/>
      <c r="J14" s="178"/>
    </row>
    <row r="15" spans="1:10" s="3" customFormat="1" ht="13.9"/>
    <row r="16" spans="1:10" s="46" customFormat="1" ht="33.75" customHeight="1">
      <c r="A16" s="124" t="s">
        <v>206</v>
      </c>
      <c r="B16" s="125"/>
      <c r="C16" s="125"/>
      <c r="D16" s="125"/>
      <c r="E16" s="125"/>
      <c r="F16" s="125"/>
      <c r="G16" s="125"/>
      <c r="H16" s="125"/>
      <c r="I16" s="125"/>
      <c r="J16" s="126"/>
    </row>
    <row r="17" spans="1:10" ht="15.75" customHeight="1">
      <c r="A17" s="127" t="s">
        <v>43</v>
      </c>
      <c r="B17" s="129"/>
      <c r="C17" s="127" t="s">
        <v>204</v>
      </c>
      <c r="D17" s="128"/>
      <c r="E17" s="128"/>
      <c r="F17" s="128"/>
      <c r="G17" s="128"/>
      <c r="H17" s="128"/>
      <c r="I17" s="128"/>
      <c r="J17" s="128"/>
    </row>
    <row r="18" spans="1:10" ht="15.75" customHeight="1">
      <c r="A18" s="130"/>
      <c r="B18" s="172"/>
      <c r="C18" s="95" t="s">
        <v>207</v>
      </c>
      <c r="D18" s="143"/>
      <c r="E18" s="143"/>
      <c r="F18" s="143"/>
      <c r="G18" s="143"/>
      <c r="H18" s="143"/>
      <c r="I18" s="143"/>
      <c r="J18" s="144"/>
    </row>
    <row r="19" spans="1:10" ht="15.75" customHeight="1">
      <c r="A19" s="176"/>
      <c r="B19" s="178"/>
      <c r="C19" s="145"/>
      <c r="D19" s="146"/>
      <c r="E19" s="146"/>
      <c r="F19" s="146"/>
      <c r="G19" s="146"/>
      <c r="H19" s="146"/>
      <c r="I19" s="146"/>
      <c r="J19" s="147"/>
    </row>
    <row r="20" spans="1:10" ht="15.75" customHeight="1">
      <c r="A20" s="130"/>
      <c r="B20" s="172"/>
      <c r="C20" s="130"/>
      <c r="D20" s="171"/>
      <c r="E20" s="171"/>
      <c r="F20" s="171"/>
      <c r="G20" s="171"/>
      <c r="H20" s="171"/>
      <c r="I20" s="171"/>
      <c r="J20" s="172"/>
    </row>
    <row r="21" spans="1:10" ht="15.75" customHeight="1">
      <c r="A21" s="176"/>
      <c r="B21" s="178"/>
      <c r="C21" s="176"/>
      <c r="D21" s="177"/>
      <c r="E21" s="177"/>
      <c r="F21" s="177"/>
      <c r="G21" s="177"/>
      <c r="H21" s="177"/>
      <c r="I21" s="177"/>
      <c r="J21" s="178"/>
    </row>
    <row r="22" spans="1:10" ht="15.75" customHeight="1">
      <c r="A22" s="130"/>
      <c r="B22" s="172"/>
      <c r="C22" s="130"/>
      <c r="D22" s="171"/>
      <c r="E22" s="171"/>
      <c r="F22" s="171"/>
      <c r="G22" s="171"/>
      <c r="H22" s="171"/>
      <c r="I22" s="171"/>
      <c r="J22" s="172"/>
    </row>
    <row r="23" spans="1:10" ht="15.75" customHeight="1">
      <c r="A23" s="176"/>
      <c r="B23" s="178"/>
      <c r="C23" s="176"/>
      <c r="D23" s="177"/>
      <c r="E23" s="177"/>
      <c r="F23" s="177"/>
      <c r="G23" s="177"/>
      <c r="H23" s="177"/>
      <c r="I23" s="177"/>
      <c r="J23" s="178"/>
    </row>
    <row r="24" spans="1:10" ht="15.75" customHeight="1">
      <c r="A24" s="130"/>
      <c r="B24" s="172"/>
      <c r="C24" s="130"/>
      <c r="D24" s="171"/>
      <c r="E24" s="171"/>
      <c r="F24" s="171"/>
      <c r="G24" s="171"/>
      <c r="H24" s="171"/>
      <c r="I24" s="171"/>
      <c r="J24" s="172"/>
    </row>
    <row r="25" spans="1:10" ht="15.75" customHeight="1">
      <c r="A25" s="176"/>
      <c r="B25" s="178"/>
      <c r="C25" s="176"/>
      <c r="D25" s="177"/>
      <c r="E25" s="177"/>
      <c r="F25" s="177"/>
      <c r="G25" s="177"/>
      <c r="H25" s="177"/>
      <c r="I25" s="177"/>
      <c r="J25" s="178"/>
    </row>
    <row r="26" spans="1:10" ht="15.75" customHeight="1">
      <c r="A26" s="130"/>
      <c r="B26" s="172"/>
      <c r="C26" s="130"/>
      <c r="D26" s="171"/>
      <c r="E26" s="171"/>
      <c r="F26" s="171"/>
      <c r="G26" s="171"/>
      <c r="H26" s="171"/>
      <c r="I26" s="171"/>
      <c r="J26" s="172"/>
    </row>
    <row r="27" spans="1:10" ht="15.75" customHeight="1">
      <c r="A27" s="176"/>
      <c r="B27" s="178"/>
      <c r="C27" s="176"/>
      <c r="D27" s="177"/>
      <c r="E27" s="177"/>
      <c r="F27" s="177"/>
      <c r="G27" s="177"/>
      <c r="H27" s="177"/>
      <c r="I27" s="177"/>
      <c r="J27" s="178"/>
    </row>
    <row r="28" spans="1:10" ht="15.6">
      <c r="A28" s="1"/>
      <c r="B28" s="67"/>
      <c r="C28" s="67"/>
      <c r="D28" s="67"/>
      <c r="E28" s="67"/>
      <c r="F28" s="67"/>
      <c r="G28" s="67"/>
      <c r="H28" s="67"/>
      <c r="I28" s="67"/>
      <c r="J28" s="67"/>
    </row>
    <row r="29" spans="1:10" ht="36.75" customHeight="1">
      <c r="A29" s="124" t="s">
        <v>208</v>
      </c>
      <c r="B29" s="125"/>
      <c r="C29" s="125"/>
      <c r="D29" s="125"/>
      <c r="E29" s="125"/>
      <c r="F29" s="125"/>
      <c r="G29" s="125"/>
      <c r="H29" s="125"/>
      <c r="I29" s="125"/>
      <c r="J29" s="126"/>
    </row>
    <row r="66" spans="6:6">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98"/>
  <sheetViews>
    <sheetView showGridLines="0" zoomScaleNormal="100" workbookViewId="0">
      <selection activeCell="M99" sqref="M99"/>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3">
      <c r="A1" s="67" t="str">
        <f>+'Cover Page'!$B$29</f>
        <v>Annual Performance Report 2023</v>
      </c>
      <c r="B1" s="67"/>
      <c r="C1" s="67"/>
      <c r="D1" s="67"/>
      <c r="E1" s="67" t="str">
        <f>+'Cover Page'!$B$33</f>
        <v>Clay Lake Bank</v>
      </c>
      <c r="F1" s="67"/>
      <c r="G1" s="67"/>
      <c r="H1" s="67"/>
      <c r="I1" s="67"/>
      <c r="J1" s="67"/>
      <c r="K1" s="67"/>
      <c r="L1" s="67"/>
      <c r="M1" s="67"/>
    </row>
    <row r="2" spans="1:13" ht="7.5" customHeight="1">
      <c r="A2" s="67"/>
      <c r="B2" s="67"/>
      <c r="C2" s="67"/>
      <c r="D2" s="67"/>
      <c r="E2" s="67"/>
      <c r="F2" s="67"/>
      <c r="G2" s="67"/>
      <c r="H2" s="67"/>
      <c r="I2" s="67"/>
      <c r="J2" s="67"/>
      <c r="K2" s="67"/>
      <c r="L2" s="67"/>
      <c r="M2" s="67"/>
    </row>
    <row r="3" spans="1:13" ht="15.6">
      <c r="A3" s="1" t="s">
        <v>40</v>
      </c>
      <c r="B3" s="67"/>
      <c r="C3" s="67"/>
      <c r="D3" s="67"/>
      <c r="E3" s="67"/>
      <c r="F3" s="67"/>
      <c r="G3" s="67"/>
      <c r="H3" s="67"/>
      <c r="I3" s="67"/>
      <c r="J3" s="67"/>
      <c r="K3" s="67"/>
      <c r="L3" s="67"/>
      <c r="M3" s="67"/>
    </row>
    <row r="4" spans="1:13" ht="9.75" customHeight="1">
      <c r="A4" s="1"/>
      <c r="B4" s="67"/>
      <c r="C4" s="67"/>
      <c r="D4" s="67"/>
      <c r="E4" s="67"/>
      <c r="F4" s="67"/>
      <c r="G4" s="67"/>
      <c r="H4" s="67"/>
      <c r="I4" s="67"/>
      <c r="J4" s="67"/>
      <c r="K4" s="67"/>
      <c r="L4" s="67"/>
      <c r="M4" s="67"/>
    </row>
    <row r="5" spans="1:13" s="3" customFormat="1" ht="21.75" customHeight="1">
      <c r="A5" s="47" t="s">
        <v>209</v>
      </c>
      <c r="B5" s="48"/>
      <c r="C5" s="48"/>
      <c r="D5" s="48"/>
      <c r="E5" s="48"/>
      <c r="F5" s="48"/>
      <c r="G5" s="48"/>
      <c r="H5" s="48"/>
      <c r="I5" s="48"/>
      <c r="J5" s="49"/>
      <c r="M5" s="59" t="s">
        <v>2</v>
      </c>
    </row>
    <row r="6" spans="1:13">
      <c r="A6" s="95" t="s">
        <v>210</v>
      </c>
      <c r="B6" s="143"/>
      <c r="C6" s="143"/>
      <c r="D6" s="143"/>
      <c r="E6" s="143"/>
      <c r="F6" s="143"/>
      <c r="G6" s="143"/>
      <c r="H6" s="143"/>
      <c r="I6" s="143"/>
      <c r="J6" s="144"/>
      <c r="K6" s="67"/>
      <c r="L6" s="67"/>
      <c r="M6" s="67"/>
    </row>
    <row r="7" spans="1:13">
      <c r="A7" s="145"/>
      <c r="B7" s="146"/>
      <c r="C7" s="146"/>
      <c r="D7" s="146"/>
      <c r="E7" s="146"/>
      <c r="F7" s="146"/>
      <c r="G7" s="146"/>
      <c r="H7" s="146"/>
      <c r="I7" s="146"/>
      <c r="J7" s="147"/>
      <c r="K7" s="67"/>
      <c r="L7" s="67"/>
      <c r="M7" s="67"/>
    </row>
    <row r="23" spans="6:6">
      <c r="F23" s="3"/>
    </row>
    <row r="67" spans="1:16" hidden="1">
      <c r="A67" s="132" t="s">
        <v>211</v>
      </c>
      <c r="B67" s="133"/>
      <c r="C67" s="140" t="s">
        <v>212</v>
      </c>
      <c r="D67" s="136" t="s">
        <v>213</v>
      </c>
      <c r="E67" s="137"/>
      <c r="F67" s="67"/>
      <c r="G67" s="67"/>
      <c r="H67" s="67"/>
      <c r="I67" s="67"/>
      <c r="J67" s="67"/>
      <c r="K67" s="67"/>
      <c r="L67" s="67"/>
      <c r="M67" s="131" t="s">
        <v>214</v>
      </c>
      <c r="N67" s="131"/>
      <c r="O67" s="131"/>
      <c r="P67" s="131"/>
    </row>
    <row r="68" spans="1:16" s="12" customFormat="1" ht="17.25" hidden="1" customHeight="1">
      <c r="A68" s="134"/>
      <c r="B68" s="135"/>
      <c r="C68" s="141"/>
      <c r="D68" s="138"/>
      <c r="E68" s="139"/>
      <c r="F68" s="45" t="s">
        <v>215</v>
      </c>
      <c r="G68" s="45" t="s">
        <v>216</v>
      </c>
      <c r="H68" s="45" t="s">
        <v>217</v>
      </c>
      <c r="I68" s="45" t="s">
        <v>218</v>
      </c>
      <c r="J68" s="45" t="s">
        <v>219</v>
      </c>
      <c r="K68" s="179"/>
      <c r="L68" s="179"/>
      <c r="M68" s="131"/>
      <c r="N68" s="131"/>
      <c r="O68" s="131"/>
      <c r="P68" s="131"/>
    </row>
    <row r="69" spans="1:16" s="12" customFormat="1" ht="23.25" hidden="1" customHeight="1">
      <c r="A69" s="213" t="s">
        <v>220</v>
      </c>
      <c r="B69" s="213"/>
      <c r="C69" s="248" t="s">
        <v>221</v>
      </c>
      <c r="D69" s="249" t="s">
        <v>222</v>
      </c>
      <c r="E69" s="249"/>
      <c r="F69" s="250"/>
      <c r="G69" s="250"/>
      <c r="H69" s="250"/>
      <c r="I69" s="250"/>
      <c r="J69" s="250"/>
      <c r="K69" s="179"/>
      <c r="L69" s="179"/>
      <c r="M69" s="131"/>
      <c r="N69" s="131"/>
      <c r="O69" s="131"/>
      <c r="P69" s="131"/>
    </row>
    <row r="70" spans="1:16" s="12" customFormat="1" ht="23.25" hidden="1" customHeight="1">
      <c r="A70" s="213" t="s">
        <v>223</v>
      </c>
      <c r="B70" s="213"/>
      <c r="C70" s="248" t="s">
        <v>224</v>
      </c>
      <c r="D70" s="249" t="s">
        <v>225</v>
      </c>
      <c r="E70" s="249"/>
      <c r="F70" s="250"/>
      <c r="G70" s="250"/>
      <c r="H70" s="250"/>
      <c r="I70" s="250"/>
      <c r="J70" s="250"/>
      <c r="K70" s="179"/>
      <c r="L70" s="179"/>
      <c r="M70" s="179"/>
      <c r="N70" s="179"/>
      <c r="O70" s="179"/>
      <c r="P70" s="179"/>
    </row>
    <row r="71" spans="1:16" s="12" customFormat="1" ht="23.25" hidden="1" customHeight="1">
      <c r="A71" s="213" t="s">
        <v>226</v>
      </c>
      <c r="B71" s="213"/>
      <c r="C71" s="248" t="s">
        <v>224</v>
      </c>
      <c r="D71" s="249" t="s">
        <v>225</v>
      </c>
      <c r="E71" s="249"/>
      <c r="F71" s="250"/>
      <c r="G71" s="250"/>
      <c r="H71" s="250"/>
      <c r="I71" s="250"/>
      <c r="J71" s="250"/>
      <c r="K71" s="179"/>
      <c r="L71" s="179"/>
      <c r="M71" s="179"/>
      <c r="N71" s="179"/>
      <c r="O71" s="179"/>
      <c r="P71" s="179"/>
    </row>
    <row r="72" spans="1:16" s="12" customFormat="1" ht="23.25" hidden="1" customHeight="1">
      <c r="A72" s="213" t="s">
        <v>227</v>
      </c>
      <c r="B72" s="213"/>
      <c r="C72" s="248" t="s">
        <v>224</v>
      </c>
      <c r="D72" s="249" t="s">
        <v>228</v>
      </c>
      <c r="E72" s="249"/>
      <c r="F72" s="250"/>
      <c r="G72" s="250"/>
      <c r="H72" s="250"/>
      <c r="I72" s="250"/>
      <c r="J72" s="250"/>
      <c r="K72" s="179"/>
      <c r="L72" s="179"/>
      <c r="M72" s="179"/>
      <c r="N72" s="179"/>
      <c r="O72" s="179"/>
      <c r="P72" s="179"/>
    </row>
    <row r="73" spans="1:16" s="12" customFormat="1" ht="23.25" hidden="1" customHeight="1">
      <c r="A73" s="213" t="s">
        <v>229</v>
      </c>
      <c r="B73" s="213"/>
      <c r="C73" s="248" t="s">
        <v>224</v>
      </c>
      <c r="D73" s="249" t="s">
        <v>230</v>
      </c>
      <c r="E73" s="249"/>
      <c r="F73" s="250"/>
      <c r="G73" s="250"/>
      <c r="H73" s="250"/>
      <c r="I73" s="250"/>
      <c r="J73" s="250"/>
      <c r="K73" s="179"/>
      <c r="L73" s="179"/>
      <c r="M73" s="179"/>
      <c r="N73" s="179"/>
      <c r="O73" s="179"/>
      <c r="P73" s="179"/>
    </row>
    <row r="74" spans="1:16" s="12" customFormat="1" ht="23.25" hidden="1" customHeight="1">
      <c r="A74" s="213" t="s">
        <v>231</v>
      </c>
      <c r="B74" s="213"/>
      <c r="C74" s="248" t="s">
        <v>224</v>
      </c>
      <c r="D74" s="249" t="s">
        <v>232</v>
      </c>
      <c r="E74" s="249"/>
      <c r="F74" s="250"/>
      <c r="G74" s="250"/>
      <c r="H74" s="250"/>
      <c r="I74" s="250"/>
      <c r="J74" s="250"/>
      <c r="K74" s="179"/>
      <c r="L74" s="179"/>
      <c r="M74" s="179"/>
      <c r="N74" s="179"/>
      <c r="O74" s="179"/>
      <c r="P74" s="179"/>
    </row>
    <row r="75" spans="1:16" s="12" customFormat="1" ht="23.25" hidden="1" customHeight="1">
      <c r="A75" s="213" t="s">
        <v>233</v>
      </c>
      <c r="B75" s="213"/>
      <c r="C75" s="248" t="s">
        <v>224</v>
      </c>
      <c r="D75" s="249" t="s">
        <v>232</v>
      </c>
      <c r="E75" s="249"/>
      <c r="F75" s="250"/>
      <c r="G75" s="250"/>
      <c r="H75" s="250"/>
      <c r="I75" s="250"/>
      <c r="J75" s="250"/>
      <c r="K75" s="179"/>
      <c r="L75" s="179"/>
      <c r="M75" s="179"/>
      <c r="N75" s="179"/>
      <c r="O75" s="179"/>
      <c r="P75" s="179"/>
    </row>
    <row r="76" spans="1:16" s="12" customFormat="1" ht="23.25" hidden="1" customHeight="1">
      <c r="A76" s="213" t="s">
        <v>234</v>
      </c>
      <c r="B76" s="213"/>
      <c r="C76" s="248" t="s">
        <v>224</v>
      </c>
      <c r="D76" s="249" t="s">
        <v>232</v>
      </c>
      <c r="E76" s="249"/>
      <c r="F76" s="250"/>
      <c r="G76" s="250"/>
      <c r="H76" s="250"/>
      <c r="I76" s="250"/>
      <c r="J76" s="250"/>
      <c r="K76" s="179"/>
      <c r="L76" s="179"/>
      <c r="M76" s="179"/>
      <c r="N76" s="179"/>
      <c r="O76" s="179"/>
      <c r="P76" s="179"/>
    </row>
    <row r="77" spans="1:16" s="12" customFormat="1" ht="23.25" hidden="1" customHeight="1">
      <c r="A77" s="213" t="s">
        <v>235</v>
      </c>
      <c r="B77" s="213"/>
      <c r="C77" s="248" t="s">
        <v>224</v>
      </c>
      <c r="D77" s="249" t="s">
        <v>232</v>
      </c>
      <c r="E77" s="249"/>
      <c r="F77" s="250"/>
      <c r="G77" s="250"/>
      <c r="H77" s="250"/>
      <c r="I77" s="250"/>
      <c r="J77" s="250"/>
      <c r="K77" s="179"/>
      <c r="L77" s="179"/>
      <c r="M77" s="179"/>
      <c r="N77" s="179"/>
      <c r="O77" s="179"/>
      <c r="P77" s="179"/>
    </row>
    <row r="78" spans="1:16" s="12" customFormat="1" ht="23.25" hidden="1" customHeight="1">
      <c r="A78" s="213" t="s">
        <v>236</v>
      </c>
      <c r="B78" s="213"/>
      <c r="C78" s="248" t="s">
        <v>224</v>
      </c>
      <c r="D78" s="249" t="s">
        <v>232</v>
      </c>
      <c r="E78" s="249"/>
      <c r="F78" s="250"/>
      <c r="G78" s="250"/>
      <c r="H78" s="250"/>
      <c r="I78" s="250"/>
      <c r="J78" s="250"/>
      <c r="K78" s="179"/>
      <c r="L78" s="179"/>
      <c r="M78" s="179"/>
      <c r="N78" s="179"/>
      <c r="O78" s="179"/>
      <c r="P78" s="179"/>
    </row>
    <row r="79" spans="1:16" s="12" customFormat="1" ht="23.25" hidden="1" customHeight="1">
      <c r="A79" s="213" t="s">
        <v>237</v>
      </c>
      <c r="B79" s="213"/>
      <c r="C79" s="248" t="s">
        <v>224</v>
      </c>
      <c r="D79" s="249" t="s">
        <v>232</v>
      </c>
      <c r="E79" s="249"/>
      <c r="F79" s="250"/>
      <c r="G79" s="250"/>
      <c r="H79" s="250"/>
      <c r="I79" s="250"/>
      <c r="J79" s="250"/>
      <c r="K79" s="179"/>
      <c r="L79" s="179"/>
      <c r="M79" s="179"/>
      <c r="N79" s="179"/>
      <c r="O79" s="179"/>
      <c r="P79" s="179"/>
    </row>
    <row r="80" spans="1:16" s="12" customFormat="1" ht="23.25" hidden="1" customHeight="1">
      <c r="A80" s="213" t="s">
        <v>238</v>
      </c>
      <c r="B80" s="213"/>
      <c r="C80" s="248" t="s">
        <v>224</v>
      </c>
      <c r="D80" s="249" t="s">
        <v>239</v>
      </c>
      <c r="E80" s="249"/>
      <c r="F80" s="250"/>
      <c r="G80" s="250"/>
      <c r="H80" s="250"/>
      <c r="I80" s="250"/>
      <c r="J80" s="250"/>
      <c r="K80" s="179"/>
      <c r="L80" s="179"/>
      <c r="M80" s="179"/>
      <c r="N80" s="179"/>
      <c r="O80" s="179"/>
      <c r="P80" s="179"/>
    </row>
    <row r="81" spans="1:10" s="12" customFormat="1" ht="23.25" hidden="1" customHeight="1">
      <c r="A81" s="213" t="s">
        <v>240</v>
      </c>
      <c r="B81" s="213"/>
      <c r="C81" s="248" t="s">
        <v>224</v>
      </c>
      <c r="D81" s="249" t="s">
        <v>239</v>
      </c>
      <c r="E81" s="249"/>
      <c r="F81" s="250"/>
      <c r="G81" s="250"/>
      <c r="H81" s="250"/>
      <c r="I81" s="250"/>
      <c r="J81" s="250"/>
    </row>
    <row r="82" spans="1:10" s="12" customFormat="1" ht="23.25" hidden="1" customHeight="1">
      <c r="A82" s="213" t="s">
        <v>241</v>
      </c>
      <c r="B82" s="213"/>
      <c r="C82" s="248" t="s">
        <v>224</v>
      </c>
      <c r="D82" s="249" t="s">
        <v>239</v>
      </c>
      <c r="E82" s="249"/>
      <c r="F82" s="250"/>
      <c r="G82" s="250"/>
      <c r="H82" s="250"/>
      <c r="I82" s="250"/>
      <c r="J82" s="250"/>
    </row>
    <row r="83" spans="1:10" s="12" customFormat="1" ht="23.25" hidden="1" customHeight="1">
      <c r="A83" s="213" t="s">
        <v>242</v>
      </c>
      <c r="B83" s="213"/>
      <c r="C83" s="248" t="s">
        <v>224</v>
      </c>
      <c r="D83" s="249" t="s">
        <v>239</v>
      </c>
      <c r="E83" s="249"/>
      <c r="F83" s="250"/>
      <c r="G83" s="250"/>
      <c r="H83" s="250"/>
      <c r="I83" s="250"/>
      <c r="J83" s="250"/>
    </row>
    <row r="84" spans="1:10" s="12" customFormat="1" ht="23.25" hidden="1" customHeight="1">
      <c r="A84" s="213" t="s">
        <v>243</v>
      </c>
      <c r="B84" s="213"/>
      <c r="C84" s="248" t="s">
        <v>224</v>
      </c>
      <c r="D84" s="249" t="s">
        <v>239</v>
      </c>
      <c r="E84" s="249"/>
      <c r="F84" s="250"/>
      <c r="G84" s="250"/>
      <c r="H84" s="250"/>
      <c r="I84" s="250"/>
      <c r="J84" s="250"/>
    </row>
    <row r="85" spans="1:10" s="12" customFormat="1" ht="23.25" hidden="1" customHeight="1">
      <c r="A85" s="213" t="s">
        <v>244</v>
      </c>
      <c r="B85" s="213"/>
      <c r="C85" s="248" t="s">
        <v>224</v>
      </c>
      <c r="D85" s="249" t="s">
        <v>239</v>
      </c>
      <c r="E85" s="249"/>
      <c r="F85" s="250"/>
      <c r="G85" s="250"/>
      <c r="H85" s="250"/>
      <c r="I85" s="250"/>
      <c r="J85" s="250"/>
    </row>
    <row r="86" spans="1:10" s="12" customFormat="1" ht="23.25" hidden="1" customHeight="1">
      <c r="A86" s="213" t="s">
        <v>245</v>
      </c>
      <c r="B86" s="213"/>
      <c r="C86" s="248" t="s">
        <v>224</v>
      </c>
      <c r="D86" s="249" t="s">
        <v>239</v>
      </c>
      <c r="E86" s="249"/>
      <c r="F86" s="250"/>
      <c r="G86" s="250"/>
      <c r="H86" s="250"/>
      <c r="I86" s="250"/>
      <c r="J86" s="250"/>
    </row>
    <row r="87" spans="1:10" s="12" customFormat="1" ht="23.25" hidden="1" customHeight="1">
      <c r="A87" s="213" t="s">
        <v>246</v>
      </c>
      <c r="B87" s="213"/>
      <c r="C87" s="248" t="s">
        <v>224</v>
      </c>
      <c r="D87" s="249" t="s">
        <v>239</v>
      </c>
      <c r="E87" s="249"/>
      <c r="F87" s="250"/>
      <c r="G87" s="250"/>
      <c r="H87" s="250"/>
      <c r="I87" s="250"/>
      <c r="J87" s="250"/>
    </row>
    <row r="88" spans="1:10" s="12" customFormat="1" ht="23.25" hidden="1" customHeight="1">
      <c r="A88" s="213" t="s">
        <v>247</v>
      </c>
      <c r="B88" s="213"/>
      <c r="C88" s="248" t="s">
        <v>224</v>
      </c>
      <c r="D88" s="249" t="s">
        <v>239</v>
      </c>
      <c r="E88" s="249"/>
      <c r="F88" s="250"/>
      <c r="G88" s="250"/>
      <c r="H88" s="250"/>
      <c r="I88" s="250"/>
      <c r="J88" s="250"/>
    </row>
    <row r="89" spans="1:10" s="12" customFormat="1" ht="23.25" hidden="1" customHeight="1">
      <c r="A89" s="213" t="s">
        <v>248</v>
      </c>
      <c r="B89" s="213"/>
      <c r="C89" s="248" t="s">
        <v>224</v>
      </c>
      <c r="D89" s="249" t="s">
        <v>239</v>
      </c>
      <c r="E89" s="249"/>
      <c r="F89" s="250"/>
      <c r="G89" s="250"/>
      <c r="H89" s="250"/>
      <c r="I89" s="250"/>
      <c r="J89" s="250"/>
    </row>
    <row r="90" spans="1:10" s="12" customFormat="1" ht="23.25" hidden="1" customHeight="1">
      <c r="A90" s="213" t="s">
        <v>249</v>
      </c>
      <c r="B90" s="213"/>
      <c r="C90" s="248" t="s">
        <v>224</v>
      </c>
      <c r="D90" s="249" t="s">
        <v>239</v>
      </c>
      <c r="E90" s="249"/>
      <c r="F90" s="250"/>
      <c r="G90" s="250"/>
      <c r="H90" s="250"/>
      <c r="I90" s="250"/>
      <c r="J90" s="250"/>
    </row>
    <row r="91" spans="1:10" s="12" customFormat="1" ht="23.25" hidden="1" customHeight="1">
      <c r="A91" s="213" t="s">
        <v>250</v>
      </c>
      <c r="B91" s="213"/>
      <c r="C91" s="248" t="s">
        <v>224</v>
      </c>
      <c r="D91" s="249" t="s">
        <v>239</v>
      </c>
      <c r="E91" s="249"/>
      <c r="F91" s="250"/>
      <c r="G91" s="250"/>
      <c r="H91" s="250"/>
      <c r="I91" s="250"/>
      <c r="J91" s="250"/>
    </row>
    <row r="92" spans="1:10" s="12" customFormat="1" ht="23.25" hidden="1" customHeight="1">
      <c r="A92" s="213" t="s">
        <v>251</v>
      </c>
      <c r="B92" s="213"/>
      <c r="C92" s="248" t="s">
        <v>224</v>
      </c>
      <c r="D92" s="249" t="s">
        <v>239</v>
      </c>
      <c r="E92" s="249"/>
      <c r="F92" s="250"/>
      <c r="G92" s="250"/>
      <c r="H92" s="250"/>
      <c r="I92" s="250"/>
      <c r="J92" s="250"/>
    </row>
    <row r="93" spans="1:10" s="12" customFormat="1" ht="23.25" hidden="1" customHeight="1">
      <c r="A93" s="213" t="s">
        <v>252</v>
      </c>
      <c r="B93" s="213"/>
      <c r="C93" s="248" t="s">
        <v>224</v>
      </c>
      <c r="D93" s="249" t="s">
        <v>239</v>
      </c>
      <c r="E93" s="249"/>
      <c r="F93" s="250"/>
      <c r="G93" s="250"/>
      <c r="H93" s="250"/>
      <c r="I93" s="250"/>
      <c r="J93" s="250"/>
    </row>
    <row r="94" spans="1:10" s="12" customFormat="1" ht="23.25" hidden="1" customHeight="1">
      <c r="A94" s="213" t="s">
        <v>253</v>
      </c>
      <c r="B94" s="213"/>
      <c r="C94" s="248" t="s">
        <v>224</v>
      </c>
      <c r="D94" s="249" t="s">
        <v>239</v>
      </c>
      <c r="E94" s="249"/>
      <c r="F94" s="250"/>
      <c r="G94" s="250"/>
      <c r="H94" s="250"/>
      <c r="I94" s="250"/>
      <c r="J94" s="250"/>
    </row>
    <row r="95" spans="1:10" s="12" customFormat="1" ht="23.25" hidden="1" customHeight="1">
      <c r="A95" s="213" t="s">
        <v>254</v>
      </c>
      <c r="B95" s="213"/>
      <c r="C95" s="248" t="s">
        <v>224</v>
      </c>
      <c r="D95" s="249" t="s">
        <v>239</v>
      </c>
      <c r="E95" s="249"/>
      <c r="F95" s="250"/>
      <c r="G95" s="250"/>
      <c r="H95" s="250"/>
      <c r="I95" s="250"/>
      <c r="J95" s="250"/>
    </row>
    <row r="96" spans="1:10">
      <c r="A96" s="111" t="s">
        <v>255</v>
      </c>
      <c r="B96" s="111"/>
      <c r="C96" s="111"/>
      <c r="D96" s="111"/>
      <c r="E96" s="111"/>
      <c r="F96" s="111"/>
      <c r="G96" s="111"/>
      <c r="H96" s="111"/>
      <c r="I96" s="111"/>
      <c r="J96" s="111"/>
    </row>
    <row r="97" spans="1:10">
      <c r="A97" s="142"/>
      <c r="B97" s="142"/>
      <c r="C97" s="142"/>
      <c r="D97" s="142"/>
      <c r="E97" s="142"/>
      <c r="F97" s="142"/>
      <c r="G97" s="142"/>
      <c r="H97" s="142"/>
      <c r="I97" s="142"/>
      <c r="J97" s="142"/>
    </row>
    <row r="98" spans="1:10">
      <c r="A98" s="142"/>
      <c r="B98" s="142"/>
      <c r="C98" s="142"/>
      <c r="D98" s="142"/>
      <c r="E98" s="142"/>
      <c r="F98" s="142"/>
      <c r="G98" s="142"/>
      <c r="H98" s="142"/>
      <c r="I98" s="142"/>
      <c r="J98" s="142"/>
    </row>
  </sheetData>
  <mergeCells count="61">
    <mergeCell ref="A6:J7"/>
    <mergeCell ref="D76:E76"/>
    <mergeCell ref="D85:E85"/>
    <mergeCell ref="D91:E91"/>
    <mergeCell ref="D77:E77"/>
    <mergeCell ref="D78:E78"/>
    <mergeCell ref="D79:E79"/>
    <mergeCell ref="D80:E80"/>
    <mergeCell ref="D81:E81"/>
    <mergeCell ref="D82:E82"/>
    <mergeCell ref="D89:E89"/>
    <mergeCell ref="D83:E83"/>
    <mergeCell ref="D84:E84"/>
    <mergeCell ref="D86:E86"/>
    <mergeCell ref="D71:E71"/>
    <mergeCell ref="D72:E72"/>
    <mergeCell ref="D73:E73"/>
    <mergeCell ref="D74:E74"/>
    <mergeCell ref="D75:E75"/>
    <mergeCell ref="A96:J96"/>
    <mergeCell ref="A77:B77"/>
    <mergeCell ref="A78:B78"/>
    <mergeCell ref="A79:B79"/>
    <mergeCell ref="D92:E92"/>
    <mergeCell ref="D93:E93"/>
    <mergeCell ref="A91:B91"/>
    <mergeCell ref="A92:B92"/>
    <mergeCell ref="A93:B93"/>
    <mergeCell ref="A94:B94"/>
    <mergeCell ref="A82:B82"/>
    <mergeCell ref="D90:E90"/>
    <mergeCell ref="A74:B74"/>
    <mergeCell ref="A97:J98"/>
    <mergeCell ref="A83:B83"/>
    <mergeCell ref="A84:B84"/>
    <mergeCell ref="A80:B80"/>
    <mergeCell ref="A81:B81"/>
    <mergeCell ref="A95:B95"/>
    <mergeCell ref="A85:B85"/>
    <mergeCell ref="A86:B86"/>
    <mergeCell ref="A87:B87"/>
    <mergeCell ref="A88:B88"/>
    <mergeCell ref="A89:B89"/>
    <mergeCell ref="A90:B90"/>
    <mergeCell ref="D95:E95"/>
    <mergeCell ref="D87:E87"/>
    <mergeCell ref="D88:E88"/>
    <mergeCell ref="D94:E94"/>
    <mergeCell ref="A75:B75"/>
    <mergeCell ref="A76:B76"/>
    <mergeCell ref="A71:B71"/>
    <mergeCell ref="A72:B72"/>
    <mergeCell ref="A73:B73"/>
    <mergeCell ref="M67:P69"/>
    <mergeCell ref="A69:B69"/>
    <mergeCell ref="A70:B70"/>
    <mergeCell ref="D69:E69"/>
    <mergeCell ref="D70:E70"/>
    <mergeCell ref="A67:B68"/>
    <mergeCell ref="D67:E68"/>
    <mergeCell ref="C67:C68"/>
  </mergeCells>
  <pageMargins left="0.7" right="0.7" top="0.75" bottom="0.75" header="0.3" footer="0.3"/>
  <pageSetup paperSize="9" scale="87"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0E79B3-286C-4594-AC93-4243D3FE78E7}"/>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A332452B-820F-482B-965A-9F795178515A}"/>
</file>

<file path=customXml/itemProps4.xml><?xml version="1.0" encoding="utf-8"?>
<ds:datastoreItem xmlns:ds="http://schemas.openxmlformats.org/officeDocument/2006/customXml" ds:itemID="{8C403DCD-48BF-4D87-8837-FAE4EFC5B68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2023-02-28T09:23:18Z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