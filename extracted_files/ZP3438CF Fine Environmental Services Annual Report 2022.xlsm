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2" codeName="{00000000-0000-0000-0000-000000000000}"/>
  <workbookPr codeName="ThisWorkbook" defaultThemeVersion="166925"/>
  <mc:AlternateContent xmlns:mc="http://schemas.openxmlformats.org/markup-compatibility/2006">
    <mc:Choice Requires="x15">
      <x15ac:absPath xmlns:x15ac="http://schemas.microsoft.com/office/spreadsheetml/2010/11/ac" url="G:\Fine Environmental Services\Compliance\Reporting\2022 Q4\"/>
    </mc:Choice>
  </mc:AlternateContent>
  <xr:revisionPtr revIDLastSave="0" documentId="13_ncr:1_{DC018B13-7713-473E-879B-84BFFF0CDDEA}" xr6:coauthVersionLast="47" xr6:coauthVersionMax="47" xr10:uidLastSave="{00000000-0000-0000-0000-000000000000}"/>
  <bookViews>
    <workbookView xWindow="-120" yWindow="-120" windowWidth="29040" windowHeight="15840" tabRatio="960" firstSheet="7" activeTab="7"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Residue Quality " sheetId="21" r:id="rId11"/>
    <sheet name="Water" sheetId="22" r:id="rId12"/>
    <sheet name="Air (periodic)" sheetId="23" r:id="rId13"/>
    <sheet name="Air (CEMS)" sheetId="24" r:id="rId14"/>
    <sheet name="HCl" sheetId="13" r:id="rId15"/>
    <sheet name="SO2" sheetId="25" r:id="rId16"/>
    <sheet name="NOx" sheetId="26" r:id="rId17"/>
    <sheet name="TOC" sheetId="27" r:id="rId18"/>
    <sheet name="Particulates" sheetId="28" r:id="rId19"/>
    <sheet name="CO half-hourly" sheetId="29" r:id="rId20"/>
    <sheet name="CO 95% 10 min" sheetId="30" r:id="rId21"/>
    <sheet name="NH3" sheetId="31" r:id="rId22"/>
  </sheets>
  <definedNames>
    <definedName name="_xlnm.Print_Area" localSheetId="13">'Air (CEMS)'!$A$1:$M$29</definedName>
    <definedName name="_xlnm.Print_Area" localSheetId="12">'Air (periodic)'!$A$1:$J$41</definedName>
    <definedName name="_xlnm.Print_Area" localSheetId="20">'CO 95% 10 min'!$A$1:$H$52</definedName>
    <definedName name="_xlnm.Print_Area" localSheetId="19">'CO half-hourly'!$A$1:$G$52</definedName>
    <definedName name="_xlnm.Print_Area" localSheetId="1">Contents!$A$1:$J$47</definedName>
    <definedName name="_xlnm.Print_Area" localSheetId="0">'Cover Page'!$A$1:$J$55</definedName>
    <definedName name="_xlnm.Print_Area" localSheetId="6">'Energy Form 1'!$A$1:$I$29</definedName>
    <definedName name="_xlnm.Print_Area" localSheetId="2">'Facility Info'!$A$1:$I$54</definedName>
    <definedName name="_xlnm.Print_Area" localSheetId="14">HCl!$A$1:$G$52</definedName>
    <definedName name="_xlnm.Print_Area" localSheetId="8">Improvements!$A$1:$J$48</definedName>
    <definedName name="_xlnm.Print_Area" localSheetId="21">'NH3'!$A$1:$G$52</definedName>
    <definedName name="_xlnm.Print_Area" localSheetId="16">NOx!$A$1:$G$52</definedName>
    <definedName name="_xlnm.Print_Area" localSheetId="3">'Operational Data'!$A$1:$H$60</definedName>
    <definedName name="_xlnm.Print_Area" localSheetId="4">'Operational Summary'!$A$1:$I$52</definedName>
    <definedName name="_xlnm.Print_Area" localSheetId="18">Particulates!$A$1:$G$52</definedName>
    <definedName name="_xlnm.Print_Area" localSheetId="5">'Perf. Form 1'!$A$1:$J$55</definedName>
    <definedName name="_xlnm.Print_Area" localSheetId="7">'Permit Compliance'!$A$1:$J$34</definedName>
    <definedName name="_xlnm.Print_Area" localSheetId="9">'Public Liasion'!$A$1:$J$29</definedName>
    <definedName name="_xlnm.Print_Area" localSheetId="10">'Residue Quality '!$A$1:$G$42</definedName>
    <definedName name="_xlnm.Print_Area" localSheetId="15">'SO2'!$A$1:$G$52</definedName>
    <definedName name="_xlnm.Print_Area" localSheetId="17">TOC!$A$1:$G$52</definedName>
    <definedName name="_xlnm.Print_Area" localSheetId="11">Water!$A$1:$J$30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9" l="1"/>
  <c r="H50" i="6"/>
  <c r="F46" i="6"/>
  <c r="E46" i="6"/>
  <c r="D46" i="6"/>
  <c r="C46" i="6"/>
  <c r="F40" i="6"/>
  <c r="E40" i="6"/>
  <c r="D40" i="6"/>
  <c r="C40" i="6"/>
  <c r="G54" i="6" l="1"/>
  <c r="G55" i="6" l="1"/>
  <c r="G60" i="6"/>
  <c r="G59" i="6"/>
  <c r="G58" i="6"/>
  <c r="G57" i="6"/>
  <c r="G50" i="6"/>
  <c r="G51" i="6"/>
  <c r="G52" i="6"/>
  <c r="G53" i="6"/>
  <c r="G56" i="6"/>
  <c r="D18" i="6" l="1"/>
  <c r="E18" i="6"/>
  <c r="F18" i="6"/>
  <c r="C18" i="6"/>
  <c r="E1" i="31" l="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J5" i="3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K5" i="30"/>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J5" i="29"/>
  <c r="O79" i="28"/>
  <c r="N79" i="28"/>
  <c r="M79" i="28"/>
  <c r="L79" i="28"/>
  <c r="O64" i="28"/>
  <c r="N64" i="28"/>
  <c r="M64" i="28"/>
  <c r="L64" i="28"/>
  <c r="O49" i="28"/>
  <c r="N49" i="28"/>
  <c r="M49" i="28"/>
  <c r="L49" i="28"/>
  <c r="O34" i="28"/>
  <c r="N34" i="28"/>
  <c r="M34" i="28"/>
  <c r="L34" i="28"/>
  <c r="O19" i="28"/>
  <c r="N19" i="28"/>
  <c r="M19" i="28"/>
  <c r="L19" i="28"/>
  <c r="A6" i="28"/>
  <c r="J66" i="28" s="1"/>
  <c r="J5" i="28"/>
  <c r="O79" i="27"/>
  <c r="N79" i="27"/>
  <c r="M79" i="27"/>
  <c r="L79" i="27"/>
  <c r="O64" i="27"/>
  <c r="N64" i="27"/>
  <c r="M64" i="27"/>
  <c r="L64" i="27"/>
  <c r="O49" i="27"/>
  <c r="N49" i="27"/>
  <c r="M49" i="27"/>
  <c r="L49" i="27"/>
  <c r="O34" i="27"/>
  <c r="N34" i="27"/>
  <c r="M34" i="27"/>
  <c r="L34" i="27"/>
  <c r="O19" i="27"/>
  <c r="N19" i="27"/>
  <c r="M19" i="27"/>
  <c r="L19" i="27"/>
  <c r="A6" i="27"/>
  <c r="J66" i="27" s="1"/>
  <c r="J5" i="27"/>
  <c r="O79" i="26"/>
  <c r="N79" i="26"/>
  <c r="M79" i="26"/>
  <c r="L79" i="26"/>
  <c r="O64" i="26"/>
  <c r="N64" i="26"/>
  <c r="M64" i="26"/>
  <c r="L64" i="26"/>
  <c r="O49" i="26"/>
  <c r="N49" i="26"/>
  <c r="M49" i="26"/>
  <c r="L49" i="26"/>
  <c r="O34" i="26"/>
  <c r="N34" i="26"/>
  <c r="M34" i="26"/>
  <c r="L34" i="26"/>
  <c r="O19" i="26"/>
  <c r="N19" i="26"/>
  <c r="M19" i="26"/>
  <c r="L19" i="26"/>
  <c r="A6" i="26"/>
  <c r="J66" i="26" s="1"/>
  <c r="J5" i="26"/>
  <c r="O79" i="25"/>
  <c r="N79" i="25"/>
  <c r="M79" i="25"/>
  <c r="L79" i="25"/>
  <c r="O64" i="25"/>
  <c r="N64" i="25"/>
  <c r="M64" i="25"/>
  <c r="L64" i="25"/>
  <c r="O49" i="25"/>
  <c r="N49" i="25"/>
  <c r="M49" i="25"/>
  <c r="L49" i="25"/>
  <c r="O34" i="25"/>
  <c r="N34" i="25"/>
  <c r="M34" i="25"/>
  <c r="L34" i="25"/>
  <c r="O19" i="25"/>
  <c r="N19" i="25"/>
  <c r="M19" i="25"/>
  <c r="L19" i="25"/>
  <c r="A6" i="25"/>
  <c r="J66" i="25" s="1"/>
  <c r="J5" i="25"/>
  <c r="J5" i="13"/>
  <c r="O79" i="13"/>
  <c r="N79" i="13"/>
  <c r="M79" i="13"/>
  <c r="L79" i="13"/>
  <c r="O64" i="13"/>
  <c r="N64" i="13"/>
  <c r="M64" i="13"/>
  <c r="L64" i="13"/>
  <c r="O49" i="13"/>
  <c r="N49" i="13"/>
  <c r="M49" i="13"/>
  <c r="L49" i="13"/>
  <c r="O34" i="13"/>
  <c r="N34" i="13"/>
  <c r="M34" i="13"/>
  <c r="L34" i="13"/>
  <c r="O19" i="13"/>
  <c r="N19" i="13"/>
  <c r="M19" i="13"/>
  <c r="L19" i="13"/>
  <c r="A6" i="13"/>
  <c r="J66" i="13" s="1"/>
  <c r="J36" i="27" l="1"/>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I22" i="7"/>
  <c r="I21" i="7"/>
  <c r="I20" i="7"/>
  <c r="I19" i="7"/>
  <c r="I18" i="7"/>
  <c r="I12" i="7"/>
  <c r="I13" i="7"/>
  <c r="I14" i="7"/>
  <c r="I11" i="7"/>
  <c r="D26" i="6"/>
  <c r="E26" i="6"/>
  <c r="F26" i="6"/>
  <c r="C26" i="6"/>
  <c r="G7" i="8"/>
  <c r="D7" i="8"/>
  <c r="B5" i="8"/>
  <c r="G3" i="8"/>
  <c r="A3" i="8"/>
  <c r="A1" i="8"/>
  <c r="G23" i="7"/>
  <c r="E23" i="7"/>
  <c r="G15" i="7"/>
  <c r="E15" i="7"/>
  <c r="I15" i="7" s="1"/>
  <c r="B4" i="7"/>
  <c r="G3" i="7"/>
  <c r="A3" i="7"/>
  <c r="A1" i="7"/>
  <c r="A8" i="7" s="1"/>
  <c r="H60" i="6"/>
  <c r="H59" i="6"/>
  <c r="H58" i="6"/>
  <c r="H57" i="6"/>
  <c r="B50" i="6"/>
  <c r="G47" i="6"/>
  <c r="H47" i="6" s="1"/>
  <c r="G46" i="6"/>
  <c r="H46" i="6" s="1"/>
  <c r="G45" i="6"/>
  <c r="H45" i="6" s="1"/>
  <c r="G44" i="6"/>
  <c r="E37" i="7" s="1"/>
  <c r="H37" i="7" s="1"/>
  <c r="G43" i="6"/>
  <c r="E36" i="7" s="1"/>
  <c r="H36" i="7" s="1"/>
  <c r="G42" i="6"/>
  <c r="E35" i="7" s="1"/>
  <c r="H35" i="7" s="1"/>
  <c r="G41" i="6"/>
  <c r="H41" i="6" s="1"/>
  <c r="G40" i="6"/>
  <c r="E33" i="7" s="1"/>
  <c r="H33" i="7" s="1"/>
  <c r="G37" i="6"/>
  <c r="H37" i="6" s="1"/>
  <c r="G36" i="6"/>
  <c r="H36" i="6" s="1"/>
  <c r="G35" i="6"/>
  <c r="H35" i="6" s="1"/>
  <c r="G34" i="6"/>
  <c r="G33" i="6"/>
  <c r="G32" i="6"/>
  <c r="G28" i="6"/>
  <c r="D14" i="8" s="1"/>
  <c r="G27" i="6"/>
  <c r="H27" i="6" s="1"/>
  <c r="G25" i="6"/>
  <c r="D11" i="8" s="1"/>
  <c r="G24" i="6"/>
  <c r="H24" i="6" s="1"/>
  <c r="G23" i="6"/>
  <c r="D12" i="8" s="1"/>
  <c r="G22" i="6"/>
  <c r="H22" i="6" s="1"/>
  <c r="G19" i="6"/>
  <c r="H19" i="6" s="1"/>
  <c r="G15" i="6"/>
  <c r="H15" i="6" s="1"/>
  <c r="G14" i="6"/>
  <c r="H14" i="6" s="1"/>
  <c r="G13" i="6"/>
  <c r="G12" i="6"/>
  <c r="H12" i="6" s="1"/>
  <c r="G11" i="6"/>
  <c r="G10" i="6"/>
  <c r="G9" i="6"/>
  <c r="G8" i="6"/>
  <c r="I23" i="7" l="1"/>
  <c r="H44" i="6"/>
  <c r="H23" i="6"/>
  <c r="H40" i="6"/>
  <c r="G24" i="7"/>
  <c r="G18" i="6"/>
  <c r="H18" i="6" s="1"/>
  <c r="H43" i="6"/>
  <c r="H25" i="6"/>
  <c r="H28" i="6"/>
  <c r="G26" i="6"/>
  <c r="H42" i="6"/>
  <c r="E24" i="7"/>
  <c r="E34" i="7"/>
  <c r="H34" i="7" s="1"/>
  <c r="H8" i="6"/>
  <c r="D10" i="8"/>
  <c r="G10" i="8"/>
  <c r="A31" i="7"/>
  <c r="A43" i="7" s="1"/>
  <c r="I24" i="7" l="1"/>
  <c r="H34" i="6"/>
  <c r="H32" i="6"/>
  <c r="H10" i="6"/>
  <c r="G11" i="8"/>
  <c r="G12" i="8"/>
  <c r="H13" i="6"/>
  <c r="G14" i="8"/>
  <c r="H11" i="6"/>
  <c r="H9" i="6"/>
  <c r="H33" i="6"/>
</calcChain>
</file>

<file path=xl/sharedStrings.xml><?xml version="1.0" encoding="utf-8"?>
<sst xmlns="http://schemas.openxmlformats.org/spreadsheetml/2006/main" count="1516" uniqueCount="408">
  <si>
    <t>Add company logo</t>
  </si>
  <si>
    <t>Add photo</t>
  </si>
  <si>
    <t>Annual Performance Report 2022</t>
  </si>
  <si>
    <t>Permit EPR/ZP3438CF</t>
  </si>
  <si>
    <t>Fine Environmental Services</t>
  </si>
  <si>
    <t>other name of facility (if applicable)</t>
  </si>
  <si>
    <t>Lianhetech</t>
  </si>
  <si>
    <t>Year:</t>
  </si>
  <si>
    <t>Address:</t>
  </si>
  <si>
    <t>Seal Sands Road, Middlesbrough TS2 1UB</t>
  </si>
  <si>
    <t xml:space="preserve">Tel: </t>
  </si>
  <si>
    <t>01642 694 287</t>
  </si>
  <si>
    <t xml:space="preserve">Email: </t>
  </si>
  <si>
    <t>Kurtis.Beba@Lianhetech-Europe.com</t>
  </si>
  <si>
    <t>Prepared by:</t>
  </si>
  <si>
    <t>Kurtis Beba</t>
  </si>
  <si>
    <t>Position:</t>
  </si>
  <si>
    <t>Sustainability Engineer</t>
  </si>
  <si>
    <t>Approved by:</t>
  </si>
  <si>
    <t>Version:</t>
  </si>
  <si>
    <t>Issue Date:</t>
  </si>
  <si>
    <t>Contents</t>
  </si>
  <si>
    <t>Section</t>
  </si>
  <si>
    <t>Subject</t>
  </si>
  <si>
    <t xml:space="preserve">Page </t>
  </si>
  <si>
    <t>Facility Information</t>
  </si>
  <si>
    <t>Operational Summary</t>
  </si>
  <si>
    <t>Operational Data</t>
  </si>
  <si>
    <t>Performance Form 1</t>
  </si>
  <si>
    <t>Energy Form 1</t>
  </si>
  <si>
    <t>Permit Compliance</t>
  </si>
  <si>
    <t>Improvements</t>
  </si>
  <si>
    <t>Public Liasion</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</si>
  <si>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</si>
  <si>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</si>
  <si>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</si>
  <si>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</si>
  <si>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</si>
  <si>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</si>
  <si>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</si>
  <si>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</si>
  <si>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</si>
  <si>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</si>
  <si>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</si>
  <si>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</si>
  <si>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</si>
  <si>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</si>
  <si>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</si>
  <si>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</si>
  <si>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</si>
  <si>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</si>
  <si>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</si>
  <si>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</si>
  <si>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This facility is a hazardous liquid waste incinerator in the configuration of a down-fired thermal oxidiser with downstream gas clean up assets.</t>
  </si>
  <si>
    <t>Summary of Operational Processes and Procedures</t>
  </si>
  <si>
    <t xml:space="preserve">The assessment of hazardous liquid waste for suitibility for treatment. The treatment of hazardous liquid waste by thermal oxidaiton. Rapid quench of gases with no energy recovery. </t>
  </si>
  <si>
    <t>Plant Size</t>
  </si>
  <si>
    <t>tonnes pa</t>
  </si>
  <si>
    <t>MWth</t>
  </si>
  <si>
    <t>MWe</t>
  </si>
  <si>
    <t>No. of combustion lines</t>
  </si>
  <si>
    <t>No. of Turbines:</t>
  </si>
  <si>
    <t>Waste types received</t>
  </si>
  <si>
    <t>Unit</t>
  </si>
  <si>
    <t>Q1</t>
  </si>
  <si>
    <t>Q2</t>
  </si>
  <si>
    <t>Q3</t>
  </si>
  <si>
    <t>Q4</t>
  </si>
  <si>
    <t>Year Total</t>
  </si>
  <si>
    <t>%</t>
  </si>
  <si>
    <t>Household / Local Authority</t>
  </si>
  <si>
    <t>tonnes</t>
  </si>
  <si>
    <t xml:space="preserve">Commercial &amp; Industrial </t>
  </si>
  <si>
    <t xml:space="preserve">Hazardous </t>
  </si>
  <si>
    <t>Clinical</t>
  </si>
  <si>
    <t xml:space="preserve">Waste wood (biomass) </t>
  </si>
  <si>
    <t xml:space="preserve">Refuse derived fuel </t>
  </si>
  <si>
    <t xml:space="preserve">Solid recovered fuel </t>
  </si>
  <si>
    <t>Other [Please specify]</t>
  </si>
  <si>
    <t>Total waste received</t>
  </si>
  <si>
    <t xml:space="preserve">Rejected Waste </t>
  </si>
  <si>
    <t>Energy Useage / Export</t>
  </si>
  <si>
    <t>KWh/te</t>
  </si>
  <si>
    <t>Power Generated</t>
  </si>
  <si>
    <t>MWh</t>
  </si>
  <si>
    <t>Power Exported</t>
  </si>
  <si>
    <t>Power Used on site</t>
  </si>
  <si>
    <t>Power Imported</t>
  </si>
  <si>
    <t>Parasitic Load</t>
  </si>
  <si>
    <t>Thermal Energy Produced</t>
  </si>
  <si>
    <t>GWh</t>
  </si>
  <si>
    <t>Thermal Energy Exported</t>
  </si>
  <si>
    <t>R1 value</t>
  </si>
  <si>
    <t>Design / Operational / n/a</t>
  </si>
  <si>
    <t>Waste Disposal &amp; Recovery</t>
  </si>
  <si>
    <t>% inputs</t>
  </si>
  <si>
    <t>APC Residues - produced</t>
  </si>
  <si>
    <t>IBA - produced</t>
  </si>
  <si>
    <t>Metals recycling</t>
  </si>
  <si>
    <t>Other</t>
  </si>
  <si>
    <t>Raw Material Usage</t>
  </si>
  <si>
    <t>kg or Ltr /te</t>
  </si>
  <si>
    <t>Mains Water</t>
  </si>
  <si>
    <r>
      <t>m</t>
    </r>
    <r>
      <rPr>
        <vertAlign val="superscript"/>
        <sz val="10"/>
        <color theme="1"/>
        <rFont val="Arial"/>
        <family val="2"/>
      </rPr>
      <t>3</t>
    </r>
  </si>
  <si>
    <t>Other Water</t>
  </si>
  <si>
    <t>Ammonia / Urea</t>
  </si>
  <si>
    <t>kgs</t>
  </si>
  <si>
    <t>Activated Carbon</t>
  </si>
  <si>
    <t>Lime / hydrated lime</t>
  </si>
  <si>
    <t>Fuel oil</t>
  </si>
  <si>
    <t>ltrs</t>
  </si>
  <si>
    <t>Gas</t>
  </si>
  <si>
    <t>cf</t>
  </si>
  <si>
    <t>Summary of Hours</t>
  </si>
  <si>
    <t>Line/Unit</t>
  </si>
  <si>
    <t>Hours of waste combustion, total</t>
  </si>
  <si>
    <t>x %</t>
  </si>
  <si>
    <t>Hours of turbine operations, total</t>
  </si>
  <si>
    <t>Hours of heat / steam export</t>
  </si>
  <si>
    <t>Abnormal Events</t>
  </si>
  <si>
    <t>qty.</t>
  </si>
  <si>
    <t>Abnormal operation</t>
  </si>
  <si>
    <t>hours</t>
  </si>
  <si>
    <t>Permit Breaches</t>
  </si>
  <si>
    <t>Summary of Plant Operations and Maintenance during the reporting year</t>
  </si>
  <si>
    <t>The facility was offfline in January for a planned annual outage. The facility was taken offline in August and again in November due to high energy prices.</t>
  </si>
  <si>
    <t>Summary of Residue Handling for the reporting year</t>
  </si>
  <si>
    <t>Refractory fragments fall into the quench pot which has aquoues medium at 85°C. Every 8 to 10 weeks, the process is taken offline to remove brick debris.</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</si>
  <si>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</si>
  <si>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</si>
  <si>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</si>
  <si>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</si>
  <si>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</si>
  <si>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</si>
  <si>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</si>
  <si>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</si>
  <si>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</si>
  <si>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</si>
  <si>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</si>
  <si>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</si>
  <si>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</si>
  <si>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</si>
  <si>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</si>
  <si>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</si>
  <si>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</si>
  <si>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</si>
  <si>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</si>
  <si>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</si>
  <si>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Brick residue</t>
  </si>
  <si>
    <t>R05</t>
  </si>
  <si>
    <t>D05</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</si>
  <si>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</si>
  <si>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</si>
  <si>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</si>
  <si>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</si>
  <si>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</si>
  <si>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</si>
  <si>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</si>
  <si>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</si>
  <si>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</si>
  <si>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</si>
  <si>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</si>
  <si>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</si>
  <si>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</si>
  <si>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Wet scrubbing system uses aqueous sodium hydroxide solution, which is not listed</t>
  </si>
  <si>
    <t xml:space="preserve">Annual Reporting of other performance indicators </t>
  </si>
  <si>
    <t>Parameter</t>
  </si>
  <si>
    <t>Results</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</si>
  <si>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</si>
  <si>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</si>
  <si>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</si>
  <si>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</si>
  <si>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</si>
  <si>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</si>
  <si>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</si>
  <si>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</si>
  <si>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</si>
  <si>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</si>
  <si>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</si>
  <si>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</si>
  <si>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</si>
  <si>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</si>
  <si>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</si>
  <si>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</si>
  <si>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</si>
  <si>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</si>
  <si>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</si>
  <si>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</si>
  <si>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</si>
  <si>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</si>
  <si>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This facility does not operate a boiler or a turbine</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</si>
  <si>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</si>
  <si>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</si>
  <si>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</si>
  <si>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</si>
  <si>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</si>
  <si>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</si>
  <si>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</si>
  <si>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</si>
  <si>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</si>
  <si>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N/A</t>
  </si>
  <si>
    <t>Sulphur dioxide</t>
  </si>
  <si>
    <t>Carbon monoxide</t>
  </si>
  <si>
    <t>Total organic carbon</t>
  </si>
  <si>
    <t>Hydrogen chloride</t>
  </si>
  <si>
    <t>Hydrogen fluoride</t>
  </si>
  <si>
    <t>(periodic)</t>
  </si>
  <si>
    <t>Summary of any notifications or non-compliances under the permit</t>
  </si>
  <si>
    <t>Summary of notification or non-compliance [including Line/Reference]</t>
  </si>
  <si>
    <t xml:space="preserve">Reason </t>
  </si>
  <si>
    <t>Measures taken to prevent reoccurrence</t>
  </si>
  <si>
    <t>CCS Score</t>
  </si>
  <si>
    <t>Breach of 30-minute ELV for Carbon Monoxide</t>
  </si>
  <si>
    <t>Physical properties of the waste</t>
  </si>
  <si>
    <t>That waste no longer accpeted</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</si>
  <si>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</si>
  <si>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</si>
  <si>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</si>
  <si>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</si>
  <si>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</si>
  <si>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</si>
  <si>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</si>
  <si>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</si>
  <si>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</si>
  <si>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</si>
  <si>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</si>
  <si>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</si>
  <si>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</si>
  <si>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If you wish to be involved in the public liasion programme, please contact _________________</t>
  </si>
  <si>
    <t>Residue Quality Monitoring Requirements</t>
  </si>
  <si>
    <t>Summary of monitoring undertaken and compliance</t>
  </si>
  <si>
    <t>Brick residues fall into the quench pot water, which is linked to the eventual blow down to off-site waste water
treatment. The flow-proportionate sample from this is analysed periodically as per Table S3.3 of the permit.</t>
  </si>
  <si>
    <t>The brick residues are therefore constantly washed and solid debris removed from the process are typically 
consigned as non hazardous waste</t>
  </si>
  <si>
    <t>Commentary on any specific events</t>
  </si>
  <si>
    <t>Date &amp; Event</t>
  </si>
  <si>
    <t>Residue Quality Monitoring Results</t>
  </si>
  <si>
    <t xml:space="preserve">Parameter (unit) </t>
  </si>
  <si>
    <t>Limit</t>
  </si>
  <si>
    <t xml:space="preserve">Normal Operation </t>
  </si>
  <si>
    <t xml:space="preserve">Bottom ash  </t>
  </si>
  <si>
    <t xml:space="preserve">Composite </t>
  </si>
  <si>
    <t>Composite</t>
  </si>
  <si>
    <t>Loss on Ignition (%)</t>
  </si>
  <si>
    <t>&lt;5%</t>
  </si>
  <si>
    <t>ToC (%)</t>
  </si>
  <si>
    <t>&lt;3%</t>
  </si>
  <si>
    <t>No. of Assessments Undertaken</t>
  </si>
  <si>
    <t>---</t>
  </si>
  <si>
    <t>No. of Hazardous Assessments</t>
  </si>
  <si>
    <t>Comments :</t>
  </si>
  <si>
    <t>Waste water from the process is taken to a common site waste water tank. 
The water within is destined for off-site treatment prior to discharge to the Tees estuary</t>
  </si>
  <si>
    <t>An in-line, flow-proportionate sampler takes aliquots of the waste water of the incinerator prior to reaching the common tank
Portions of this sampled water are sent off site to in independent laboratory for analysis.</t>
  </si>
  <si>
    <t>Monitoring Frequency</t>
  </si>
  <si>
    <t>Target</t>
  </si>
  <si>
    <t>Max.</t>
  </si>
  <si>
    <t>Average</t>
  </si>
  <si>
    <t>pH</t>
  </si>
  <si>
    <t>Continuous</t>
  </si>
  <si>
    <t>5 to 10</t>
  </si>
  <si>
    <t>Solids</t>
  </si>
  <si>
    <t>Daily (mg/L)</t>
  </si>
  <si>
    <t>Mercury</t>
  </si>
  <si>
    <t>Monthly (mg/L)</t>
  </si>
  <si>
    <t>Arsenic</t>
  </si>
  <si>
    <t>Cadmium</t>
  </si>
  <si>
    <t>Chromium</t>
  </si>
  <si>
    <t>Copper</t>
  </si>
  <si>
    <t>Lead</t>
  </si>
  <si>
    <t>Nickel</t>
  </si>
  <si>
    <t>Monthly(mg/L)</t>
  </si>
  <si>
    <t>Thallium</t>
  </si>
  <si>
    <t>Zinc</t>
  </si>
  <si>
    <t>POPs: NATO/CCMS ITEQ</t>
  </si>
  <si>
    <t>6-Monthly (pg/L)</t>
  </si>
  <si>
    <t>POPs: WHO(1998) Humans TEQ</t>
  </si>
  <si>
    <t>POPs: WHO (2005) Humans TEQ</t>
  </si>
  <si>
    <t>POPs: WHO (1998) Fish TEQ</t>
  </si>
  <si>
    <t>POPs: WHO (1998) Birds TEQ</t>
  </si>
  <si>
    <t>Temperature</t>
  </si>
  <si>
    <t>Continuous (°C)</t>
  </si>
  <si>
    <t>Flow</t>
  </si>
  <si>
    <t>Continuous (m3/day)</t>
  </si>
  <si>
    <t>Summary of monitoring undertaken, standards used and compliance</t>
  </si>
  <si>
    <t>Results of emissions to air that are periodically monitored</t>
  </si>
  <si>
    <t>Ref. Period</t>
  </si>
  <si>
    <t>Emission Limit Value</t>
  </si>
  <si>
    <t>1 hr</t>
  </si>
  <si>
    <r>
      <t>2 mg/m</t>
    </r>
    <r>
      <rPr>
        <vertAlign val="superscript"/>
        <sz val="10"/>
        <color theme="1"/>
        <rFont val="Arial"/>
        <family val="2"/>
      </rPr>
      <t>3</t>
    </r>
  </si>
  <si>
    <t>0..41</t>
  </si>
  <si>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</si>
  <si>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</si>
  <si>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</si>
  <si>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</si>
  <si>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</si>
  <si>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</si>
  <si>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</si>
  <si>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</si>
  <si>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</si>
  <si>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</si>
  <si>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</si>
  <si>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</si>
  <si>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</si>
  <si>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</si>
  <si>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</si>
  <si>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</si>
  <si>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</si>
  <si>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&lt;0.0043</t>
  </si>
  <si>
    <t>&lt;0.0035</t>
  </si>
  <si>
    <t>Benzo(a)anthracene</t>
  </si>
  <si>
    <t>Benzo(a)pyrene</t>
  </si>
  <si>
    <r>
      <t>None set µg/m</t>
    </r>
    <r>
      <rPr>
        <vertAlign val="superscript"/>
        <sz val="10"/>
        <color theme="1"/>
        <rFont val="Arial"/>
        <family val="2"/>
      </rPr>
      <t>4</t>
    </r>
    <r>
      <rPr>
        <sz val="11"/>
        <color theme="1"/>
        <rFont val="Calibri"/>
        <family val="2"/>
        <scheme val="minor"/>
      </rPr>
      <t/>
    </r>
  </si>
  <si>
    <t>Benzo(b)fluoranthene</t>
  </si>
  <si>
    <r>
      <t>None set µg/m</t>
    </r>
    <r>
      <rPr>
        <vertAlign val="superscript"/>
        <sz val="10"/>
        <color theme="1"/>
        <rFont val="Arial"/>
        <family val="2"/>
      </rPr>
      <t>5</t>
    </r>
    <r>
      <rPr>
        <sz val="11"/>
        <color theme="1"/>
        <rFont val="Calibri"/>
        <family val="2"/>
        <scheme val="minor"/>
      </rPr>
      <t/>
    </r>
  </si>
  <si>
    <t>Benzo(b)naptho(2,1-d) thiophene</t>
  </si>
  <si>
    <r>
      <t>None set µg/m</t>
    </r>
    <r>
      <rPr>
        <vertAlign val="superscript"/>
        <sz val="10"/>
        <color theme="1"/>
        <rFont val="Arial"/>
        <family val="2"/>
      </rPr>
      <t>6</t>
    </r>
    <r>
      <rPr>
        <sz val="11"/>
        <color theme="1"/>
        <rFont val="Calibri"/>
        <family val="2"/>
        <scheme val="minor"/>
      </rPr>
      <t/>
    </r>
  </si>
  <si>
    <t>Benzo(c)phenanthrene</t>
  </si>
  <si>
    <r>
      <t>None set µg/m</t>
    </r>
    <r>
      <rPr>
        <vertAlign val="superscript"/>
        <sz val="10"/>
        <color theme="1"/>
        <rFont val="Arial"/>
        <family val="2"/>
      </rPr>
      <t>7</t>
    </r>
    <r>
      <rPr>
        <sz val="11"/>
        <color theme="1"/>
        <rFont val="Calibri"/>
        <family val="2"/>
        <scheme val="minor"/>
      </rPr>
      <t/>
    </r>
  </si>
  <si>
    <t>Benzo(ghi)perylene</t>
  </si>
  <si>
    <r>
      <t>None set µg/m</t>
    </r>
    <r>
      <rPr>
        <vertAlign val="superscript"/>
        <sz val="10"/>
        <color theme="1"/>
        <rFont val="Arial"/>
        <family val="2"/>
      </rPr>
      <t>8</t>
    </r>
    <r>
      <rPr>
        <sz val="11"/>
        <color theme="1"/>
        <rFont val="Calibri"/>
        <family val="2"/>
        <scheme val="minor"/>
      </rPr>
      <t/>
    </r>
  </si>
  <si>
    <t>Benzo(k)fluoranthene</t>
  </si>
  <si>
    <r>
      <t>None set µg/m</t>
    </r>
    <r>
      <rPr>
        <vertAlign val="superscript"/>
        <sz val="10"/>
        <color theme="1"/>
        <rFont val="Arial"/>
        <family val="2"/>
      </rPr>
      <t>9</t>
    </r>
    <r>
      <rPr>
        <sz val="11"/>
        <color theme="1"/>
        <rFont val="Calibri"/>
        <family val="2"/>
        <scheme val="minor"/>
      </rPr>
      <t/>
    </r>
  </si>
  <si>
    <t>Cholanthrene</t>
  </si>
  <si>
    <r>
      <t>None set µg/m</t>
    </r>
    <r>
      <rPr>
        <vertAlign val="superscript"/>
        <sz val="10"/>
        <color theme="1"/>
        <rFont val="Arial"/>
        <family val="2"/>
      </rPr>
      <t>10</t>
    </r>
    <r>
      <rPr>
        <sz val="11"/>
        <color theme="1"/>
        <rFont val="Calibri"/>
        <family val="2"/>
        <scheme val="minor"/>
      </rPr>
      <t/>
    </r>
  </si>
  <si>
    <t>Chrysene</t>
  </si>
  <si>
    <r>
      <t>None set µg/m</t>
    </r>
    <r>
      <rPr>
        <vertAlign val="superscript"/>
        <sz val="10"/>
        <color theme="1"/>
        <rFont val="Arial"/>
        <family val="2"/>
      </rPr>
      <t>11</t>
    </r>
    <r>
      <rPr>
        <sz val="11"/>
        <color theme="1"/>
        <rFont val="Calibri"/>
        <family val="2"/>
        <scheme val="minor"/>
      </rPr>
      <t/>
    </r>
  </si>
  <si>
    <t>Cyclopenta(cd)pyrene</t>
  </si>
  <si>
    <r>
      <t>None set µg/m</t>
    </r>
    <r>
      <rPr>
        <vertAlign val="superscript"/>
        <sz val="10"/>
        <color theme="1"/>
        <rFont val="Arial"/>
        <family val="2"/>
      </rPr>
      <t>12</t>
    </r>
    <r>
      <rPr>
        <sz val="11"/>
        <color theme="1"/>
        <rFont val="Calibri"/>
        <family val="2"/>
        <scheme val="minor"/>
      </rPr>
      <t/>
    </r>
  </si>
  <si>
    <t>Dibenzo(ai)pyrene</t>
  </si>
  <si>
    <r>
      <t>None set µg/m</t>
    </r>
    <r>
      <rPr>
        <vertAlign val="superscript"/>
        <sz val="10"/>
        <color theme="1"/>
        <rFont val="Arial"/>
        <family val="2"/>
      </rPr>
      <t>13</t>
    </r>
    <r>
      <rPr>
        <sz val="11"/>
        <color theme="1"/>
        <rFont val="Calibri"/>
        <family val="2"/>
        <scheme val="minor"/>
      </rPr>
      <t/>
    </r>
  </si>
  <si>
    <t>Dibenzo(ah)anthracene</t>
  </si>
  <si>
    <r>
      <t>None set µg/m</t>
    </r>
    <r>
      <rPr>
        <vertAlign val="superscript"/>
        <sz val="10"/>
        <color theme="1"/>
        <rFont val="Arial"/>
        <family val="2"/>
      </rPr>
      <t>14</t>
    </r>
    <r>
      <rPr>
        <sz val="11"/>
        <color theme="1"/>
        <rFont val="Calibri"/>
        <family val="2"/>
        <scheme val="minor"/>
      </rPr>
      <t/>
    </r>
  </si>
  <si>
    <t>Fluoranthene</t>
  </si>
  <si>
    <r>
      <t>None set µg/m</t>
    </r>
    <r>
      <rPr>
        <vertAlign val="superscript"/>
        <sz val="10"/>
        <color theme="1"/>
        <rFont val="Arial"/>
        <family val="2"/>
      </rPr>
      <t>15</t>
    </r>
    <r>
      <rPr>
        <sz val="11"/>
        <color theme="1"/>
        <rFont val="Calibri"/>
        <family val="2"/>
        <scheme val="minor"/>
      </rPr>
      <t/>
    </r>
  </si>
  <si>
    <t>Indeno(123-cd) pyrene</t>
  </si>
  <si>
    <r>
      <t>None set µg/m</t>
    </r>
    <r>
      <rPr>
        <vertAlign val="superscript"/>
        <sz val="10"/>
        <color theme="1"/>
        <rFont val="Arial"/>
        <family val="2"/>
      </rPr>
      <t>16</t>
    </r>
    <r>
      <rPr>
        <sz val="11"/>
        <color theme="1"/>
        <rFont val="Calibri"/>
        <family val="2"/>
        <scheme val="minor"/>
      </rPr>
      <t/>
    </r>
  </si>
  <si>
    <t>Naphthalene</t>
  </si>
  <si>
    <r>
      <t>None set µg/m</t>
    </r>
    <r>
      <rPr>
        <vertAlign val="superscript"/>
        <sz val="10"/>
        <color theme="1"/>
        <rFont val="Arial"/>
        <family val="2"/>
      </rPr>
      <t>17</t>
    </r>
    <r>
      <rPr>
        <sz val="11"/>
        <color theme="1"/>
        <rFont val="Calibri"/>
        <family val="2"/>
        <scheme val="minor"/>
      </rPr>
      <t/>
    </r>
  </si>
  <si>
    <t>The term "average" taken to mean the results of monitoring using the SRM. Results for 2022 H1 and 2022 H2 shown for the single line in operation</t>
  </si>
  <si>
    <t>Emissions to Air (continously monitored)</t>
  </si>
  <si>
    <t>The CEMS IR, FID and scattered light devices used monitor the continuous paramters listed in Table S3.1 of the permit.
The systems were specified and are maintainted to MCERTS standards.</t>
  </si>
  <si>
    <t>The permit stipulates a daily mean of 400mg/m3 and no limit set for 30-minute average</t>
  </si>
  <si>
    <t>Results of emissions to air that are continuously monitored</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</si>
  <si>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</si>
  <si>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</si>
  <si>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</si>
  <si>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</si>
  <si>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</si>
  <si>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</si>
  <si>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</si>
  <si>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</si>
  <si>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</si>
  <si>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</si>
  <si>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</si>
  <si>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</si>
  <si>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</si>
  <si>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</si>
  <si>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</si>
  <si>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r>
      <t>100 mg/m</t>
    </r>
    <r>
      <rPr>
        <vertAlign val="superscript"/>
        <sz val="10"/>
        <color theme="1"/>
        <rFont val="Arial"/>
        <family val="2"/>
      </rPr>
      <t>3</t>
    </r>
    <r>
      <rPr>
        <sz val="10"/>
        <color theme="1"/>
        <rFont val="Arial"/>
        <family val="2"/>
      </rPr>
      <t xml:space="preserve"> </t>
    </r>
  </si>
  <si>
    <t xml:space="preserve"> Ammonia</t>
  </si>
  <si>
    <t>No limit set</t>
  </si>
  <si>
    <t>Monitoring of Hydrogen chloride emissions</t>
  </si>
  <si>
    <r>
      <t>mg/Nm</t>
    </r>
    <r>
      <rPr>
        <b/>
        <vertAlign val="superscript"/>
        <sz val="11"/>
        <color theme="1"/>
        <rFont val="Arial"/>
        <family val="2"/>
      </rPr>
      <t>3</t>
    </r>
  </si>
  <si>
    <t>1/2 Hourly Reference Periods</t>
  </si>
  <si>
    <t>Daily Reference Periods</t>
  </si>
  <si>
    <t>1/2 hourly HCl ELV</t>
  </si>
  <si>
    <t>Monthly 1/2 hourly mean</t>
  </si>
  <si>
    <t>Monthly 1/2 hourly maximum</t>
  </si>
  <si>
    <t>Daily HCl ELV</t>
  </si>
  <si>
    <t>Monthly daily mean</t>
  </si>
  <si>
    <t>Monthly daily maximum</t>
  </si>
  <si>
    <t>mg/Nm3</t>
  </si>
  <si>
    <t>Jan</t>
  </si>
  <si>
    <t>Feb</t>
  </si>
  <si>
    <t>Mar</t>
  </si>
  <si>
    <t>Apr</t>
  </si>
  <si>
    <t>May</t>
  </si>
  <si>
    <t>Jun</t>
  </si>
  <si>
    <t>Jul</t>
  </si>
  <si>
    <t>Aug</t>
  </si>
  <si>
    <t>Sep</t>
  </si>
  <si>
    <t>Oct</t>
  </si>
  <si>
    <t>Nov</t>
  </si>
  <si>
    <t>Dec</t>
  </si>
  <si>
    <t>Annual</t>
  </si>
  <si>
    <t>Unit offline from 4/11/22</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</si>
  <si>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</si>
  <si>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</si>
  <si>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</si>
  <si>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</si>
  <si>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</si>
  <si>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</si>
  <si>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</si>
  <si>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</si>
  <si>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</si>
  <si>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</si>
  <si>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</si>
  <si>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</si>
  <si>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emissions (half hourly)</t>
  </si>
  <si>
    <t>1/2 hourly CO ELV</t>
  </si>
  <si>
    <t>Daily CO ELV</t>
  </si>
  <si>
    <t>Monitoring of Carbon Monoxide emissions (10 minute)</t>
  </si>
  <si>
    <t>10 minute Reference Periods</t>
  </si>
  <si>
    <t>Monthly CO 10  min. mean</t>
  </si>
  <si>
    <t>Monthly 95% 10 minute maximum</t>
  </si>
  <si>
    <t>Monthly 10 min. maximum</t>
  </si>
  <si>
    <t xml:space="preserve">Monitoring of Ammnonia emissions </t>
  </si>
  <si>
    <t>1/2 hourly NH3 ELV</t>
  </si>
  <si>
    <t>Daily NH3 ELV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</si>
</sst>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22">
    <font>
      <sz val="11"/>
      <color theme="1"/>
      <name val="Calibri"/>
      <family val="2"/>
      <scheme val="minor"/>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u/>
      <sz val="11"/>
      <color theme="10"/>
      <name val="Calibri"/>
      <family val="2"/>
      <scheme val="minor"/>
    </font>
    <font>
      <sz val="8"/>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20" fillId="0" borderId="0" applyNumberFormat="0" applyFill="0" applyBorder="0" applyAlignment="0" applyProtection="0"/>
  </cellStyleXfs>
  <cellXfs count="314">
    <xf numFmtId="0" fontId="0" fillId="0" borderId="0" xfId="0"/>
    <xf numFmtId="0" fontId="2" fillId="0" borderId="0" xfId="0" applyFont="1"/>
    <xf numFmtId="0" fontId="3" fillId="0" borderId="0" xfId="0" applyFont="1"/>
    <xf numFmtId="0" fontId="4" fillId="0" borderId="0" xfId="0" applyFont="1"/>
    <xf numFmtId="0" fontId="4" fillId="2" borderId="2" xfId="0" applyFont="1" applyFill="1" applyBorder="1" applyAlignment="1">
      <alignment horizontal="center"/>
    </xf>
    <xf numFmtId="0" fontId="5" fillId="0" borderId="2" xfId="0" applyFont="1" applyBorder="1" applyAlignment="1">
      <alignment horizontal="center"/>
    </xf>
    <xf numFmtId="0" fontId="5" fillId="0" borderId="2" xfId="0" applyFont="1" applyBorder="1"/>
    <xf numFmtId="0" fontId="6" fillId="0" borderId="0" xfId="0" applyFont="1"/>
    <xf numFmtId="0" fontId="7" fillId="0" borderId="0" xfId="0" applyFont="1"/>
    <xf numFmtId="0" fontId="3" fillId="2" borderId="0" xfId="0" applyFont="1" applyFill="1"/>
    <xf numFmtId="0" fontId="3" fillId="0" borderId="0" xfId="0" applyFont="1" applyAlignment="1">
      <alignment horizontal="left"/>
    </xf>
    <xf numFmtId="0" fontId="5" fillId="0" borderId="0" xfId="0" applyFont="1"/>
    <xf numFmtId="0" fontId="8" fillId="0" borderId="2" xfId="0" applyFont="1" applyBorder="1" applyAlignment="1">
      <alignment horizontal="center"/>
    </xf>
    <xf numFmtId="0" fontId="8" fillId="0" borderId="2" xfId="0" applyFont="1" applyBorder="1"/>
    <xf numFmtId="0" fontId="9" fillId="2" borderId="2" xfId="0" applyFont="1" applyFill="1" applyBorder="1" applyAlignment="1">
      <alignment horizontal="center"/>
    </xf>
    <xf numFmtId="0" fontId="9" fillId="2" borderId="2" xfId="0" applyFont="1" applyFill="1" applyBorder="1" applyAlignment="1">
      <alignment horizontal="left"/>
    </xf>
    <xf numFmtId="0" fontId="9" fillId="0" borderId="0" xfId="0" applyFont="1"/>
    <xf numFmtId="0" fontId="8" fillId="0" borderId="2" xfId="0" applyFont="1" applyBorder="1" applyAlignment="1">
      <alignment horizontal="center" vertical="top"/>
    </xf>
    <xf numFmtId="0" fontId="8" fillId="0" borderId="2" xfId="0" applyFont="1" applyBorder="1" applyAlignment="1">
      <alignment vertical="top"/>
    </xf>
    <xf numFmtId="0" fontId="9" fillId="2" borderId="2" xfId="0" applyFont="1" applyFill="1" applyBorder="1" applyAlignment="1">
      <alignment horizontal="center" vertical="top"/>
    </xf>
    <xf numFmtId="0" fontId="8" fillId="0" borderId="0" xfId="0" applyFont="1"/>
    <xf numFmtId="0" fontId="9" fillId="0" borderId="0" xfId="0" applyFont="1" applyAlignment="1">
      <alignment horizontal="center"/>
    </xf>
    <xf numFmtId="0" fontId="10" fillId="0" borderId="0" xfId="0" applyFont="1"/>
    <xf numFmtId="0" fontId="4" fillId="0" borderId="6" xfId="0" applyFont="1" applyBorder="1"/>
    <xf numFmtId="164" fontId="4" fillId="2" borderId="7" xfId="1" applyNumberFormat="1" applyFont="1" applyFill="1" applyBorder="1"/>
    <xf numFmtId="0" fontId="4" fillId="3" borderId="7" xfId="0" applyFont="1" applyFill="1" applyBorder="1" applyAlignment="1">
      <alignment vertical="center"/>
    </xf>
    <xf numFmtId="0" fontId="4" fillId="0" borderId="11" xfId="0" applyFont="1" applyBorder="1"/>
    <xf numFmtId="0" fontId="4" fillId="2" borderId="12" xfId="0" applyFont="1" applyFill="1" applyBorder="1" applyAlignment="1">
      <alignment horizontal="center" vertical="center"/>
    </xf>
    <xf numFmtId="0" fontId="4" fillId="0" borderId="12" xfId="0" applyFont="1" applyBorder="1"/>
    <xf numFmtId="0" fontId="4" fillId="2" borderId="12" xfId="0" applyFont="1" applyFill="1" applyBorder="1" applyAlignment="1">
      <alignment horizontal="center"/>
    </xf>
    <xf numFmtId="0" fontId="5" fillId="0" borderId="12" xfId="0" applyFont="1" applyBorder="1"/>
    <xf numFmtId="0" fontId="4" fillId="0" borderId="13" xfId="0" applyFont="1" applyBorder="1" applyAlignment="1">
      <alignment horizontal="center"/>
    </xf>
    <xf numFmtId="0" fontId="9" fillId="0" borderId="3" xfId="0" applyFont="1" applyBorder="1"/>
    <xf numFmtId="0" fontId="9" fillId="0" borderId="4" xfId="0" applyFont="1" applyBorder="1" applyAlignment="1">
      <alignment horizontal="center"/>
    </xf>
    <xf numFmtId="0" fontId="8" fillId="0" borderId="4" xfId="0" applyFont="1" applyBorder="1" applyAlignment="1">
      <alignment horizontal="center"/>
    </xf>
    <xf numFmtId="0" fontId="9" fillId="0" borderId="5" xfId="0" applyFont="1" applyBorder="1" applyAlignment="1">
      <alignment horizontal="center"/>
    </xf>
    <xf numFmtId="0" fontId="9" fillId="0" borderId="6" xfId="0" applyFont="1" applyBorder="1" applyAlignment="1">
      <alignment vertical="center"/>
    </xf>
    <xf numFmtId="164" fontId="9" fillId="2" borderId="7" xfId="1" applyNumberFormat="1" applyFont="1" applyFill="1" applyBorder="1" applyAlignment="1">
      <alignment horizontal="center"/>
    </xf>
    <xf numFmtId="164" fontId="8" fillId="0" borderId="7" xfId="1" applyNumberFormat="1" applyFont="1" applyBorder="1" applyAlignment="1">
      <alignment horizontal="center"/>
    </xf>
    <xf numFmtId="165" fontId="9" fillId="0" borderId="10" xfId="2" applyNumberFormat="1" applyFont="1" applyBorder="1" applyAlignment="1">
      <alignment horizontal="center"/>
    </xf>
    <xf numFmtId="0" fontId="9" fillId="0" borderId="9" xfId="0" applyFont="1" applyBorder="1" applyAlignment="1">
      <alignment vertical="center"/>
    </xf>
    <xf numFmtId="164" fontId="9" fillId="2" borderId="0" xfId="1" applyNumberFormat="1" applyFont="1" applyFill="1" applyAlignment="1">
      <alignment horizontal="center"/>
    </xf>
    <xf numFmtId="164" fontId="8" fillId="0" borderId="0" xfId="1" applyNumberFormat="1" applyFont="1" applyAlignment="1">
      <alignment horizontal="center"/>
    </xf>
    <xf numFmtId="0" fontId="8" fillId="0" borderId="9" xfId="0" applyFont="1" applyBorder="1" applyAlignment="1">
      <alignment vertical="center"/>
    </xf>
    <xf numFmtId="0" fontId="9" fillId="0" borderId="11" xfId="0" applyFont="1" applyBorder="1" applyAlignment="1">
      <alignment vertical="center"/>
    </xf>
    <xf numFmtId="164" fontId="9" fillId="2" borderId="12" xfId="1" applyNumberFormat="1" applyFont="1" applyFill="1" applyBorder="1" applyAlignment="1">
      <alignment horizontal="center"/>
    </xf>
    <xf numFmtId="164" fontId="8" fillId="0" borderId="12" xfId="1" applyNumberFormat="1" applyFont="1" applyBorder="1" applyAlignment="1">
      <alignment horizontal="center"/>
    </xf>
    <xf numFmtId="0" fontId="8" fillId="0" borderId="0" xfId="0" applyFont="1" applyAlignment="1">
      <alignment horizontal="center"/>
    </xf>
    <xf numFmtId="0" fontId="9" fillId="0" borderId="7" xfId="0" applyFont="1" applyBorder="1" applyAlignment="1">
      <alignment horizontal="center"/>
    </xf>
    <xf numFmtId="0" fontId="8" fillId="0" borderId="7" xfId="0" applyFont="1" applyBorder="1" applyAlignment="1">
      <alignment horizontal="center"/>
    </xf>
    <xf numFmtId="0" fontId="9" fillId="0" borderId="8" xfId="0" applyFont="1" applyBorder="1" applyAlignment="1">
      <alignment horizontal="center"/>
    </xf>
    <xf numFmtId="0" fontId="9" fillId="0" borderId="6" xfId="0" applyFont="1" applyBorder="1"/>
    <xf numFmtId="164" fontId="9" fillId="0" borderId="8" xfId="0" applyNumberFormat="1" applyFont="1" applyBorder="1" applyAlignment="1">
      <alignment horizontal="center"/>
    </xf>
    <xf numFmtId="0" fontId="9" fillId="0" borderId="9" xfId="0" applyFont="1" applyBorder="1"/>
    <xf numFmtId="164" fontId="9" fillId="0" borderId="10" xfId="0" applyNumberFormat="1" applyFont="1" applyBorder="1" applyAlignment="1">
      <alignment horizontal="center"/>
    </xf>
    <xf numFmtId="0" fontId="9" fillId="0" borderId="0" xfId="0" applyFont="1" applyAlignment="1">
      <alignment horizontal="center" vertical="center"/>
    </xf>
    <xf numFmtId="165" fontId="9" fillId="0" borderId="0" xfId="2" applyNumberFormat="1" applyFont="1" applyAlignment="1">
      <alignment horizontal="center" vertical="center"/>
    </xf>
    <xf numFmtId="0" fontId="9" fillId="0" borderId="11" xfId="0" applyFont="1" applyBorder="1"/>
    <xf numFmtId="0" fontId="9" fillId="0" borderId="12" xfId="0" applyFont="1" applyBorder="1"/>
    <xf numFmtId="43" fontId="8" fillId="2" borderId="12" xfId="1" applyFont="1" applyFill="1" applyBorder="1" applyAlignment="1">
      <alignment horizontal="center"/>
    </xf>
    <xf numFmtId="166" fontId="9" fillId="2" borderId="13" xfId="0" applyNumberFormat="1" applyFont="1" applyFill="1" applyBorder="1" applyAlignment="1">
      <alignment horizontal="right"/>
    </xf>
    <xf numFmtId="0" fontId="9" fillId="0" borderId="6" xfId="0" applyFont="1" applyBorder="1" applyAlignment="1">
      <alignment horizontal="center" vertical="center"/>
    </xf>
    <xf numFmtId="0" fontId="9" fillId="0" borderId="8" xfId="0" quotePrefix="1" applyFont="1" applyBorder="1" applyAlignment="1">
      <alignment horizontal="center"/>
    </xf>
    <xf numFmtId="165" fontId="9" fillId="0" borderId="8" xfId="2" applyNumberFormat="1" applyFont="1" applyBorder="1" applyAlignment="1">
      <alignment horizontal="center"/>
    </xf>
    <xf numFmtId="0" fontId="9" fillId="2" borderId="9" xfId="0" applyFont="1" applyFill="1" applyBorder="1"/>
    <xf numFmtId="0" fontId="9" fillId="2" borderId="11" xfId="0" applyFont="1" applyFill="1" applyBorder="1"/>
    <xf numFmtId="165" fontId="9" fillId="0" borderId="13" xfId="2" applyNumberFormat="1" applyFont="1" applyBorder="1" applyAlignment="1">
      <alignment horizontal="center"/>
    </xf>
    <xf numFmtId="0" fontId="9" fillId="0" borderId="3" xfId="0" applyFont="1" applyBorder="1" applyAlignment="1">
      <alignment horizontal="center" vertical="center"/>
    </xf>
    <xf numFmtId="43" fontId="9" fillId="0" borderId="10" xfId="0" applyNumberFormat="1" applyFont="1" applyBorder="1" applyAlignment="1">
      <alignment horizontal="center" vertical="center"/>
    </xf>
    <xf numFmtId="0" fontId="9" fillId="2" borderId="12" xfId="0" applyFont="1" applyFill="1" applyBorder="1" applyAlignment="1">
      <alignment horizontal="center" vertical="center"/>
    </xf>
    <xf numFmtId="43" fontId="9" fillId="0" borderId="13" xfId="0" applyNumberFormat="1" applyFont="1" applyBorder="1" applyAlignment="1">
      <alignment horizontal="center" vertical="center"/>
    </xf>
    <xf numFmtId="0" fontId="9" fillId="0" borderId="6" xfId="0" applyFont="1" applyBorder="1" applyAlignment="1">
      <alignment horizontal="center"/>
    </xf>
    <xf numFmtId="10" fontId="9" fillId="0" borderId="10" xfId="2" applyNumberFormat="1" applyFont="1" applyBorder="1" applyAlignment="1">
      <alignment horizontal="center"/>
    </xf>
    <xf numFmtId="0" fontId="9" fillId="0" borderId="12" xfId="0" applyFont="1" applyBorder="1" applyAlignment="1">
      <alignment horizontal="center"/>
    </xf>
    <xf numFmtId="164" fontId="9" fillId="0" borderId="13" xfId="0" applyNumberFormat="1" applyFont="1" applyBorder="1" applyAlignment="1">
      <alignment horizontal="center"/>
    </xf>
    <xf numFmtId="0" fontId="2" fillId="0" borderId="0" xfId="0" applyFont="1" applyAlignment="1">
      <alignment horizontal="right"/>
    </xf>
    <xf numFmtId="0" fontId="2" fillId="0" borderId="0" xfId="0" applyFont="1" applyAlignment="1">
      <alignment vertical="center"/>
    </xf>
    <xf numFmtId="0" fontId="4" fillId="0" borderId="0" xfId="0" applyFont="1" applyAlignment="1">
      <alignment horizontal="center"/>
    </xf>
    <xf numFmtId="0" fontId="12" fillId="4" borderId="2" xfId="0" applyFont="1" applyFill="1" applyBorder="1" applyAlignment="1">
      <alignment horizontal="center" vertical="center" wrapText="1"/>
    </xf>
    <xf numFmtId="0" fontId="9" fillId="0" borderId="2" xfId="0" applyFont="1" applyBorder="1" applyAlignment="1">
      <alignment horizontal="left" vertical="center" wrapText="1"/>
    </xf>
    <xf numFmtId="0" fontId="9" fillId="2" borderId="2" xfId="0" applyFont="1" applyFill="1" applyBorder="1" applyAlignment="1">
      <alignment horizontal="center" vertical="center" wrapText="1"/>
    </xf>
    <xf numFmtId="0" fontId="9" fillId="2" borderId="2" xfId="0" applyFont="1" applyFill="1" applyBorder="1" applyAlignment="1">
      <alignment vertical="center" wrapText="1"/>
    </xf>
    <xf numFmtId="0" fontId="9" fillId="0" borderId="2" xfId="0" applyFont="1" applyBorder="1" applyAlignment="1">
      <alignment vertical="center" wrapText="1"/>
    </xf>
    <xf numFmtId="0" fontId="9" fillId="0" borderId="0" xfId="0" applyFont="1" applyAlignment="1">
      <alignment vertical="center"/>
    </xf>
    <xf numFmtId="0" fontId="12" fillId="4" borderId="6" xfId="0" applyFont="1" applyFill="1" applyBorder="1" applyAlignment="1">
      <alignment vertical="center" wrapText="1"/>
    </xf>
    <xf numFmtId="0" fontId="12" fillId="4" borderId="8" xfId="0" applyFont="1" applyFill="1" applyBorder="1" applyAlignment="1">
      <alignment vertical="center" wrapText="1"/>
    </xf>
    <xf numFmtId="0" fontId="12" fillId="4" borderId="1" xfId="0" applyFont="1" applyFill="1" applyBorder="1" applyAlignment="1">
      <alignment horizontal="center" vertical="center" wrapText="1"/>
    </xf>
    <xf numFmtId="0" fontId="12" fillId="4" borderId="1" xfId="0" applyFont="1" applyFill="1" applyBorder="1" applyAlignment="1">
      <alignment vertical="center" wrapText="1"/>
    </xf>
    <xf numFmtId="4" fontId="9" fillId="0" borderId="2" xfId="0" applyNumberFormat="1" applyFont="1" applyBorder="1" applyAlignment="1">
      <alignment horizontal="center" vertical="center" wrapText="1"/>
    </xf>
    <xf numFmtId="4" fontId="9" fillId="2" borderId="2" xfId="0" applyNumberFormat="1" applyFont="1" applyFill="1" applyBorder="1" applyAlignment="1">
      <alignment horizontal="center" vertical="center" wrapText="1"/>
    </xf>
    <xf numFmtId="0" fontId="4" fillId="0" borderId="0" xfId="0" applyFont="1" applyAlignment="1">
      <alignment horizontal="left" vertical="top" wrapText="1"/>
    </xf>
    <xf numFmtId="0" fontId="12" fillId="4" borderId="2" xfId="0" applyFont="1" applyFill="1" applyBorder="1" applyAlignment="1">
      <alignment vertical="center" wrapText="1"/>
    </xf>
    <xf numFmtId="0" fontId="3" fillId="2" borderId="2" xfId="0" applyFont="1" applyFill="1" applyBorder="1"/>
    <xf numFmtId="0" fontId="13" fillId="0" borderId="12" xfId="0" applyFont="1" applyBorder="1"/>
    <xf numFmtId="0" fontId="4" fillId="0" borderId="0" xfId="0" applyFont="1" applyAlignment="1">
      <alignment vertical="center"/>
    </xf>
    <xf numFmtId="0" fontId="8" fillId="0" borderId="2" xfId="0" applyFont="1" applyBorder="1" applyAlignment="1">
      <alignment horizontal="center" vertical="center" wrapText="1"/>
    </xf>
    <xf numFmtId="14" fontId="9" fillId="2" borderId="2" xfId="0" applyNumberFormat="1" applyFont="1" applyFill="1" applyBorder="1" applyAlignment="1">
      <alignment horizontal="left"/>
    </xf>
    <xf numFmtId="0" fontId="3" fillId="0" borderId="0" xfId="0" applyFont="1" applyAlignment="1">
      <alignment horizontal="left" vertical="center" wrapText="1"/>
    </xf>
    <xf numFmtId="0" fontId="5" fillId="0" borderId="3" xfId="0" applyFont="1" applyBorder="1" applyAlignment="1">
      <alignment vertical="center"/>
    </xf>
    <xf numFmtId="0" fontId="5" fillId="0" borderId="4" xfId="0" applyFont="1" applyBorder="1" applyAlignment="1">
      <alignment vertical="center"/>
    </xf>
    <xf numFmtId="0" fontId="5" fillId="0" borderId="5" xfId="0" applyFont="1" applyBorder="1" applyAlignment="1">
      <alignment vertical="center"/>
    </xf>
    <xf numFmtId="0" fontId="5" fillId="0" borderId="6" xfId="0" applyFont="1" applyBorder="1"/>
    <xf numFmtId="0" fontId="3" fillId="0" borderId="7" xfId="0" applyFont="1" applyBorder="1"/>
    <xf numFmtId="0" fontId="3" fillId="0" borderId="8" xfId="0" applyFont="1" applyBorder="1"/>
    <xf numFmtId="0" fontId="3" fillId="0" borderId="11" xfId="0" applyFont="1" applyBorder="1"/>
    <xf numFmtId="0" fontId="3" fillId="0" borderId="12" xfId="0" applyFont="1" applyBorder="1"/>
    <xf numFmtId="0" fontId="3" fillId="0" borderId="13" xfId="0" applyFont="1" applyBorder="1"/>
    <xf numFmtId="0" fontId="5" fillId="0" borderId="3" xfId="0" applyFont="1" applyBorder="1"/>
    <xf numFmtId="0" fontId="3" fillId="0" borderId="4" xfId="0" applyFont="1" applyBorder="1"/>
    <xf numFmtId="0" fontId="3" fillId="0" borderId="5" xfId="0" applyFont="1" applyBorder="1"/>
    <xf numFmtId="0" fontId="2" fillId="0" borderId="3" xfId="0" applyFont="1" applyBorder="1"/>
    <xf numFmtId="0" fontId="9" fillId="0" borderId="2" xfId="0" applyFont="1" applyBorder="1" applyAlignment="1">
      <alignment horizontal="center"/>
    </xf>
    <xf numFmtId="0" fontId="8" fillId="0" borderId="2" xfId="0" applyFont="1" applyBorder="1" applyAlignment="1">
      <alignment horizontal="center" vertical="center"/>
    </xf>
    <xf numFmtId="0" fontId="9" fillId="0" borderId="2" xfId="0" applyFont="1" applyBorder="1" applyAlignment="1">
      <alignment horizontal="center" vertical="center" wrapText="1"/>
    </xf>
    <xf numFmtId="0" fontId="9" fillId="5" borderId="2" xfId="0" applyFont="1" applyFill="1" applyBorder="1" applyAlignment="1">
      <alignment horizontal="center" vertical="center" wrapText="1"/>
    </xf>
    <xf numFmtId="0" fontId="5" fillId="0" borderId="2" xfId="0" applyFont="1" applyBorder="1" applyAlignment="1">
      <alignment horizontal="center" vertical="center" wrapText="1"/>
    </xf>
    <xf numFmtId="0" fontId="14" fillId="0" borderId="0" xfId="0" applyFont="1"/>
    <xf numFmtId="9" fontId="9" fillId="0" borderId="2" xfId="0" applyNumberFormat="1" applyFont="1" applyBorder="1" applyAlignment="1">
      <alignment horizontal="center" vertical="center" wrapText="1"/>
    </xf>
    <xf numFmtId="0" fontId="15" fillId="0" borderId="2" xfId="0" applyFont="1" applyBorder="1" applyAlignment="1">
      <alignment horizontal="center" vertical="center" wrapText="1"/>
    </xf>
    <xf numFmtId="0" fontId="4" fillId="0" borderId="0" xfId="0" applyFont="1" applyAlignment="1">
      <alignment horizontal="center" vertical="center"/>
    </xf>
    <xf numFmtId="0" fontId="4" fillId="0" borderId="0" xfId="0" applyFont="1" applyAlignment="1">
      <alignment horizontal="center" vertical="center" wrapText="1"/>
    </xf>
    <xf numFmtId="0" fontId="5" fillId="0" borderId="0" xfId="0" applyFont="1" applyAlignment="1">
      <alignment vertical="top"/>
    </xf>
    <xf numFmtId="0" fontId="5" fillId="0" borderId="2" xfId="0" applyFont="1" applyBorder="1" applyAlignment="1">
      <alignment horizontal="center" vertical="center"/>
    </xf>
    <xf numFmtId="0" fontId="4" fillId="0" borderId="2" xfId="0" applyFont="1" applyBorder="1"/>
    <xf numFmtId="0" fontId="17" fillId="0" borderId="2" xfId="0" applyFont="1" applyBorder="1" applyAlignment="1">
      <alignment horizontal="center"/>
    </xf>
    <xf numFmtId="0" fontId="4" fillId="5" borderId="2" xfId="0" applyFont="1" applyFill="1" applyBorder="1" applyAlignment="1">
      <alignment horizontal="center"/>
    </xf>
    <xf numFmtId="0" fontId="5" fillId="0" borderId="2" xfId="0" applyFont="1" applyBorder="1" applyAlignment="1">
      <alignment horizontal="left" vertical="center"/>
    </xf>
    <xf numFmtId="0" fontId="4" fillId="0" borderId="2" xfId="0" applyFont="1" applyBorder="1" applyAlignment="1">
      <alignment horizontal="left"/>
    </xf>
    <xf numFmtId="0" fontId="5" fillId="0" borderId="1" xfId="0" applyFont="1" applyBorder="1" applyAlignment="1">
      <alignment horizontal="center" vertical="center" wrapText="1"/>
    </xf>
    <xf numFmtId="0" fontId="5" fillId="0" borderId="0" xfId="0" applyFont="1" applyAlignment="1">
      <alignment vertical="center"/>
    </xf>
    <xf numFmtId="0" fontId="17" fillId="5" borderId="2" xfId="0" applyFont="1" applyFill="1" applyBorder="1" applyAlignment="1">
      <alignment horizontal="center"/>
    </xf>
    <xf numFmtId="0" fontId="4" fillId="0" borderId="8" xfId="0" applyFont="1" applyBorder="1" applyAlignment="1">
      <alignment horizontal="left"/>
    </xf>
    <xf numFmtId="0" fontId="19" fillId="0" borderId="0" xfId="0" applyFont="1"/>
    <xf numFmtId="0" fontId="9" fillId="2" borderId="2" xfId="0" applyFont="1" applyFill="1" applyBorder="1"/>
    <xf numFmtId="164" fontId="9" fillId="2" borderId="0" xfId="1" applyNumberFormat="1" applyFont="1" applyFill="1" applyBorder="1" applyAlignment="1">
      <alignment horizontal="center"/>
    </xf>
    <xf numFmtId="43" fontId="9" fillId="0" borderId="8" xfId="0" applyNumberFormat="1" applyFont="1" applyBorder="1" applyAlignment="1">
      <alignment horizontal="center" vertical="center"/>
    </xf>
    <xf numFmtId="0" fontId="9" fillId="7" borderId="9" xfId="0" applyFont="1" applyFill="1" applyBorder="1" applyAlignment="1">
      <alignment vertical="center"/>
    </xf>
    <xf numFmtId="2" fontId="9" fillId="5" borderId="2" xfId="0" applyNumberFormat="1" applyFont="1" applyFill="1" applyBorder="1" applyAlignment="1">
      <alignment horizontal="center" vertical="center" wrapText="1"/>
    </xf>
    <xf numFmtId="0" fontId="6" fillId="2" borderId="0" xfId="0" applyFont="1" applyFill="1" applyAlignment="1">
      <alignment horizontal="center"/>
    </xf>
    <xf numFmtId="0" fontId="3" fillId="2" borderId="0" xfId="0" applyFont="1" applyFill="1" applyAlignment="1">
      <alignment horizontal="center" vertical="center"/>
    </xf>
    <xf numFmtId="0" fontId="3" fillId="2" borderId="0" xfId="0" applyFont="1" applyFill="1" applyAlignment="1">
      <alignment horizontal="center"/>
    </xf>
    <xf numFmtId="0" fontId="20" fillId="2" borderId="0" xfId="3" applyFill="1" applyAlignment="1">
      <alignment horizontal="center"/>
    </xf>
    <xf numFmtId="0" fontId="4" fillId="2" borderId="2" xfId="0" applyFont="1" applyFill="1" applyBorder="1" applyAlignment="1">
      <alignment horizontal="left"/>
    </xf>
    <xf numFmtId="0" fontId="5" fillId="0" borderId="2" xfId="0" applyFont="1" applyBorder="1" applyAlignment="1">
      <alignment horizontal="left"/>
    </xf>
    <xf numFmtId="0" fontId="9" fillId="2" borderId="2" xfId="0" applyFont="1" applyFill="1" applyBorder="1" applyAlignment="1">
      <alignment horizontal="left" vertical="top"/>
    </xf>
    <xf numFmtId="0" fontId="4" fillId="2" borderId="3" xfId="0" applyFont="1" applyFill="1" applyBorder="1" applyAlignment="1">
      <alignment horizontal="left"/>
    </xf>
    <xf numFmtId="0" fontId="4" fillId="2" borderId="4" xfId="0" applyFont="1" applyFill="1" applyBorder="1" applyAlignment="1">
      <alignment horizontal="left"/>
    </xf>
    <xf numFmtId="0" fontId="4" fillId="2" borderId="5" xfId="0" applyFont="1" applyFill="1" applyBorder="1" applyAlignment="1">
      <alignment horizontal="left"/>
    </xf>
    <xf numFmtId="0" fontId="8" fillId="0" borderId="2" xfId="0" applyFont="1" applyBorder="1" applyAlignment="1">
      <alignment horizontal="left"/>
    </xf>
    <xf numFmtId="0" fontId="9" fillId="2" borderId="2" xfId="0" applyFont="1" applyFill="1" applyBorder="1" applyAlignment="1">
      <alignment horizontal="left"/>
    </xf>
    <xf numFmtId="0" fontId="8" fillId="0" borderId="2" xfId="0" applyFont="1" applyBorder="1" applyAlignment="1">
      <alignment horizontal="left" vertical="top"/>
    </xf>
    <xf numFmtId="0" fontId="9" fillId="0" borderId="6" xfId="0" applyFont="1" applyBorder="1" applyAlignment="1">
      <alignment horizontal="left" vertical="top" wrapText="1"/>
    </xf>
    <xf numFmtId="0" fontId="9" fillId="0" borderId="7" xfId="0" applyFont="1" applyBorder="1" applyAlignment="1">
      <alignment horizontal="left" vertical="top" wrapText="1"/>
    </xf>
    <xf numFmtId="0" fontId="9" fillId="0" borderId="8" xfId="0" applyFont="1" applyBorder="1" applyAlignment="1">
      <alignment horizontal="left" vertical="top" wrapText="1"/>
    </xf>
    <xf numFmtId="0" fontId="9" fillId="0" borderId="9" xfId="0" applyFont="1" applyBorder="1" applyAlignment="1">
      <alignment horizontal="left" vertical="top" wrapText="1"/>
    </xf>
    <xf numFmtId="0" fontId="9" fillId="0" borderId="0" xfId="0" applyFont="1" applyAlignment="1">
      <alignment horizontal="left" vertical="top" wrapText="1"/>
    </xf>
    <xf numFmtId="0" fontId="9" fillId="0" borderId="10" xfId="0" applyFont="1" applyBorder="1" applyAlignment="1">
      <alignment horizontal="left" vertical="top" wrapText="1"/>
    </xf>
    <xf numFmtId="0" fontId="9" fillId="0" borderId="11" xfId="0" applyFont="1" applyBorder="1" applyAlignment="1">
      <alignment horizontal="left" vertical="top" wrapText="1"/>
    </xf>
    <xf numFmtId="0" fontId="9" fillId="0" borderId="12" xfId="0" applyFont="1" applyBorder="1" applyAlignment="1">
      <alignment horizontal="left" vertical="top" wrapText="1"/>
    </xf>
    <xf numFmtId="0" fontId="9" fillId="0" borderId="13" xfId="0" applyFont="1" applyBorder="1" applyAlignment="1">
      <alignment horizontal="left" vertical="top" wrapText="1"/>
    </xf>
    <xf numFmtId="0" fontId="9" fillId="2" borderId="6" xfId="0" applyFont="1" applyFill="1" applyBorder="1" applyAlignment="1">
      <alignment horizontal="left" vertical="top" wrapText="1"/>
    </xf>
    <xf numFmtId="0" fontId="9" fillId="2" borderId="7" xfId="0" applyFont="1" applyFill="1" applyBorder="1" applyAlignment="1">
      <alignment horizontal="left" vertical="top" wrapText="1"/>
    </xf>
    <xf numFmtId="0" fontId="9" fillId="2" borderId="8" xfId="0" applyFont="1" applyFill="1" applyBorder="1" applyAlignment="1">
      <alignment horizontal="left" vertical="top" wrapText="1"/>
    </xf>
    <xf numFmtId="0" fontId="9" fillId="2" borderId="9" xfId="0" applyFont="1" applyFill="1" applyBorder="1" applyAlignment="1">
      <alignment horizontal="left" vertical="top" wrapText="1"/>
    </xf>
    <xf numFmtId="0" fontId="9" fillId="2" borderId="0" xfId="0" applyFont="1" applyFill="1" applyAlignment="1">
      <alignment horizontal="left" vertical="top" wrapText="1"/>
    </xf>
    <xf numFmtId="0" fontId="9" fillId="2" borderId="10" xfId="0" applyFont="1" applyFill="1" applyBorder="1" applyAlignment="1">
      <alignment horizontal="left" vertical="top" wrapText="1"/>
    </xf>
    <xf numFmtId="0" fontId="9" fillId="2" borderId="11" xfId="0" applyFont="1" applyFill="1" applyBorder="1" applyAlignment="1">
      <alignment horizontal="left" vertical="top" wrapText="1"/>
    </xf>
    <xf numFmtId="0" fontId="9" fillId="2" borderId="12" xfId="0" applyFont="1" applyFill="1" applyBorder="1" applyAlignment="1">
      <alignment horizontal="left" vertical="top" wrapText="1"/>
    </xf>
    <xf numFmtId="0" fontId="9" fillId="2" borderId="13" xfId="0" applyFont="1" applyFill="1" applyBorder="1" applyAlignment="1">
      <alignment horizontal="left" vertical="top" wrapText="1"/>
    </xf>
    <xf numFmtId="0" fontId="9" fillId="2" borderId="7" xfId="0" applyFont="1" applyFill="1" applyBorder="1" applyAlignment="1">
      <alignment horizontal="left" vertical="top"/>
    </xf>
    <xf numFmtId="0" fontId="9" fillId="2" borderId="8" xfId="0" applyFont="1" applyFill="1" applyBorder="1" applyAlignment="1">
      <alignment horizontal="left" vertical="top"/>
    </xf>
    <xf numFmtId="0" fontId="9" fillId="2" borderId="9" xfId="0" applyFont="1" applyFill="1" applyBorder="1" applyAlignment="1">
      <alignment horizontal="left" vertical="top"/>
    </xf>
    <xf numFmtId="0" fontId="9" fillId="2" borderId="0" xfId="0" applyFont="1" applyFill="1" applyAlignment="1">
      <alignment horizontal="left" vertical="top"/>
    </xf>
    <xf numFmtId="0" fontId="9" fillId="2" borderId="10" xfId="0" applyFont="1" applyFill="1" applyBorder="1" applyAlignment="1">
      <alignment horizontal="left" vertical="top"/>
    </xf>
    <xf numFmtId="0" fontId="9" fillId="2" borderId="11" xfId="0" applyFont="1" applyFill="1" applyBorder="1" applyAlignment="1">
      <alignment horizontal="left" vertical="top"/>
    </xf>
    <xf numFmtId="0" fontId="9" fillId="2" borderId="12" xfId="0" applyFont="1" applyFill="1" applyBorder="1" applyAlignment="1">
      <alignment horizontal="left" vertical="top"/>
    </xf>
    <xf numFmtId="0" fontId="9" fillId="2" borderId="13" xfId="0" applyFont="1" applyFill="1" applyBorder="1" applyAlignment="1">
      <alignment horizontal="left" vertical="top"/>
    </xf>
    <xf numFmtId="0" fontId="9" fillId="0" borderId="0" xfId="0" applyFont="1" applyAlignment="1">
      <alignment horizontal="center" vertical="center" textRotation="90"/>
    </xf>
    <xf numFmtId="0" fontId="9" fillId="0" borderId="7" xfId="0" applyFont="1" applyBorder="1" applyAlignment="1">
      <alignment horizontal="center" vertical="center" textRotation="90"/>
    </xf>
    <xf numFmtId="0" fontId="9" fillId="0" borderId="12" xfId="0" applyFont="1" applyBorder="1" applyAlignment="1">
      <alignment horizontal="center" vertical="center" textRotation="90"/>
    </xf>
    <xf numFmtId="0" fontId="9" fillId="0" borderId="0" xfId="0" applyFont="1" applyAlignment="1">
      <alignment horizontal="center" textRotation="90"/>
    </xf>
    <xf numFmtId="43" fontId="9" fillId="2" borderId="12" xfId="1" applyFont="1" applyFill="1" applyBorder="1" applyAlignment="1">
      <alignment horizontal="center"/>
    </xf>
    <xf numFmtId="0" fontId="9" fillId="0" borderId="2" xfId="0" applyFont="1" applyBorder="1" applyAlignment="1">
      <alignment horizontal="left" vertical="center" wrapText="1"/>
    </xf>
    <xf numFmtId="0" fontId="9" fillId="2" borderId="2" xfId="0" applyFont="1" applyFill="1" applyBorder="1" applyAlignment="1">
      <alignment horizontal="center" vertical="center" wrapText="1"/>
    </xf>
    <xf numFmtId="168" fontId="9" fillId="2" borderId="1" xfId="0" applyNumberFormat="1" applyFont="1" applyFill="1" applyBorder="1" applyAlignment="1">
      <alignment horizontal="center" vertical="center" wrapText="1"/>
    </xf>
    <xf numFmtId="165" fontId="9" fillId="0" borderId="1" xfId="2" applyNumberFormat="1" applyFont="1" applyBorder="1" applyAlignment="1">
      <alignment horizontal="center" vertical="center" wrapText="1"/>
    </xf>
    <xf numFmtId="0" fontId="4" fillId="0" borderId="0" xfId="0" applyFont="1" applyAlignment="1">
      <alignment horizontal="left"/>
    </xf>
    <xf numFmtId="0" fontId="4" fillId="0" borderId="0" xfId="0" applyFont="1" applyAlignment="1">
      <alignment horizontal="left" vertical="top"/>
    </xf>
    <xf numFmtId="167" fontId="4" fillId="2" borderId="0" xfId="0" applyNumberFormat="1" applyFont="1" applyFill="1" applyAlignment="1">
      <alignment horizontal="center" vertical="top"/>
    </xf>
    <xf numFmtId="0" fontId="12" fillId="4" borderId="2" xfId="0" applyFont="1" applyFill="1" applyBorder="1" applyAlignment="1">
      <alignment horizontal="center" vertical="center" wrapText="1"/>
    </xf>
    <xf numFmtId="0" fontId="9" fillId="2" borderId="2" xfId="0" applyFont="1" applyFill="1" applyBorder="1" applyAlignment="1">
      <alignment horizontal="left" vertical="center" wrapText="1"/>
    </xf>
    <xf numFmtId="0" fontId="9" fillId="0" borderId="3" xfId="0" applyFont="1" applyBorder="1" applyAlignment="1">
      <alignment horizontal="left" vertical="center" wrapText="1"/>
    </xf>
    <xf numFmtId="0" fontId="9" fillId="0" borderId="4" xfId="0" applyFont="1" applyBorder="1" applyAlignment="1">
      <alignment horizontal="left" vertical="center" wrapText="1"/>
    </xf>
    <xf numFmtId="4" fontId="9" fillId="0" borderId="4" xfId="0" applyNumberFormat="1" applyFont="1" applyBorder="1" applyAlignment="1">
      <alignment horizontal="center" vertical="center" wrapText="1"/>
    </xf>
    <xf numFmtId="0" fontId="9" fillId="0" borderId="4" xfId="0" applyFont="1" applyBorder="1" applyAlignment="1">
      <alignment horizontal="center" vertical="center" wrapText="1"/>
    </xf>
    <xf numFmtId="0" fontId="9" fillId="0" borderId="5" xfId="0" applyFont="1" applyBorder="1" applyAlignment="1">
      <alignment horizontal="center" vertical="center" wrapText="1"/>
    </xf>
    <xf numFmtId="0" fontId="9" fillId="0" borderId="14" xfId="0" applyFont="1" applyBorder="1" applyAlignment="1">
      <alignment vertical="center" wrapText="1"/>
    </xf>
    <xf numFmtId="0" fontId="9" fillId="0" borderId="1" xfId="0" applyFont="1" applyBorder="1" applyAlignment="1">
      <alignment vertical="center" wrapText="1"/>
    </xf>
    <xf numFmtId="168" fontId="9" fillId="0" borderId="1" xfId="0" applyNumberFormat="1" applyFont="1" applyBorder="1" applyAlignment="1">
      <alignment horizontal="center" vertical="center" wrapText="1"/>
    </xf>
    <xf numFmtId="0" fontId="9" fillId="2" borderId="2" xfId="0" applyFont="1" applyFill="1" applyBorder="1" applyAlignment="1">
      <alignment vertical="center" wrapText="1"/>
    </xf>
    <xf numFmtId="0" fontId="9" fillId="0" borderId="2" xfId="0" applyFont="1" applyBorder="1" applyAlignment="1">
      <alignment vertical="center" wrapText="1"/>
    </xf>
    <xf numFmtId="0" fontId="12" fillId="4" borderId="9" xfId="0" applyFont="1" applyFill="1" applyBorder="1" applyAlignment="1">
      <alignment horizontal="center" vertical="center" wrapText="1"/>
    </xf>
    <xf numFmtId="0" fontId="12" fillId="4" borderId="0" xfId="0" applyFont="1" applyFill="1" applyAlignment="1">
      <alignment horizontal="center" vertical="center" wrapText="1"/>
    </xf>
    <xf numFmtId="0" fontId="12" fillId="4" borderId="10" xfId="0" applyFont="1" applyFill="1" applyBorder="1" applyAlignment="1">
      <alignment horizontal="center" vertical="center" wrapText="1"/>
    </xf>
    <xf numFmtId="0" fontId="12" fillId="4" borderId="6"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9" fillId="0" borderId="5" xfId="0" applyFont="1" applyBorder="1" applyAlignment="1">
      <alignment horizontal="left" vertical="center" wrapText="1"/>
    </xf>
    <xf numFmtId="0" fontId="9" fillId="0" borderId="3" xfId="0" applyFont="1" applyBorder="1" applyAlignment="1">
      <alignment horizontal="center" vertical="center" wrapText="1"/>
    </xf>
    <xf numFmtId="4" fontId="9" fillId="0" borderId="3" xfId="0" applyNumberFormat="1" applyFont="1" applyBorder="1" applyAlignment="1">
      <alignment horizontal="center" vertical="center" wrapText="1"/>
    </xf>
    <xf numFmtId="4" fontId="9" fillId="0" borderId="5" xfId="0" applyNumberFormat="1" applyFont="1" applyBorder="1" applyAlignment="1">
      <alignment horizontal="center" vertical="center" wrapText="1"/>
    </xf>
    <xf numFmtId="0" fontId="8" fillId="0" borderId="2" xfId="0" applyFont="1" applyBorder="1" applyAlignment="1">
      <alignment vertical="center" wrapText="1"/>
    </xf>
    <xf numFmtId="168" fontId="8" fillId="0" borderId="2" xfId="0" applyNumberFormat="1" applyFont="1" applyBorder="1" applyAlignment="1">
      <alignment horizontal="center" vertical="center" wrapText="1"/>
    </xf>
    <xf numFmtId="165" fontId="9" fillId="0" borderId="2" xfId="2" applyNumberFormat="1" applyFont="1" applyBorder="1" applyAlignment="1">
      <alignment horizontal="center" vertical="center" wrapText="1"/>
    </xf>
    <xf numFmtId="0" fontId="5" fillId="0" borderId="2" xfId="0" applyFont="1" applyBorder="1" applyAlignment="1">
      <alignment horizontal="left" vertical="top" wrapText="1"/>
    </xf>
    <xf numFmtId="0" fontId="4" fillId="2" borderId="2" xfId="0" applyFont="1" applyFill="1" applyBorder="1" applyAlignment="1">
      <alignment horizontal="left" vertical="top" wrapText="1"/>
    </xf>
    <xf numFmtId="0" fontId="9" fillId="2" borderId="3" xfId="0" applyFont="1" applyFill="1" applyBorder="1" applyAlignment="1">
      <alignment horizontal="left" vertical="center" wrapText="1"/>
    </xf>
    <xf numFmtId="0" fontId="9" fillId="2" borderId="4" xfId="0" applyFont="1" applyFill="1" applyBorder="1" applyAlignment="1">
      <alignment horizontal="left" vertical="center" wrapText="1"/>
    </xf>
    <xf numFmtId="0" fontId="9" fillId="2" borderId="5" xfId="0" applyFont="1" applyFill="1" applyBorder="1" applyAlignment="1">
      <alignment horizontal="left" vertical="center" wrapText="1"/>
    </xf>
    <xf numFmtId="0" fontId="9" fillId="2" borderId="3" xfId="0" applyFont="1" applyFill="1" applyBorder="1" applyAlignment="1">
      <alignment horizontal="center" vertical="center" wrapText="1"/>
    </xf>
    <xf numFmtId="0" fontId="9" fillId="2" borderId="5" xfId="0" applyFont="1" applyFill="1" applyBorder="1" applyAlignment="1">
      <alignment horizontal="center" vertical="center" wrapText="1"/>
    </xf>
    <xf numFmtId="4" fontId="9" fillId="2" borderId="3" xfId="0" applyNumberFormat="1" applyFont="1" applyFill="1" applyBorder="1" applyAlignment="1">
      <alignment horizontal="center" vertical="center" wrapText="1"/>
    </xf>
    <xf numFmtId="4" fontId="9" fillId="2" borderId="5" xfId="0" applyNumberFormat="1" applyFont="1" applyFill="1" applyBorder="1" applyAlignment="1">
      <alignment horizontal="center" vertical="center" wrapText="1"/>
    </xf>
    <xf numFmtId="0" fontId="12" fillId="4" borderId="2" xfId="0" applyFont="1" applyFill="1" applyBorder="1" applyAlignment="1">
      <alignment horizontal="left" vertical="center" wrapText="1"/>
    </xf>
    <xf numFmtId="0" fontId="4" fillId="0" borderId="0" xfId="0" applyFont="1" applyAlignment="1">
      <alignment horizontal="center" vertical="top"/>
    </xf>
    <xf numFmtId="167" fontId="4" fillId="0" borderId="0" xfId="0" applyNumberFormat="1" applyFont="1" applyAlignment="1">
      <alignment horizontal="center" vertical="top"/>
    </xf>
    <xf numFmtId="3" fontId="9" fillId="0" borderId="2" xfId="0" applyNumberFormat="1" applyFont="1" applyBorder="1" applyAlignment="1">
      <alignment horizontal="center" vertical="center" wrapText="1"/>
    </xf>
    <xf numFmtId="1" fontId="9" fillId="0" borderId="2" xfId="0" applyNumberFormat="1" applyFont="1" applyBorder="1" applyAlignment="1">
      <alignment horizontal="center" vertical="center"/>
    </xf>
    <xf numFmtId="0" fontId="9" fillId="0" borderId="2" xfId="0" applyFont="1" applyBorder="1" applyAlignment="1">
      <alignment horizontal="center" vertical="center" wrapText="1"/>
    </xf>
    <xf numFmtId="0" fontId="9" fillId="5" borderId="2" xfId="0" applyFont="1" applyFill="1" applyBorder="1" applyAlignment="1">
      <alignment horizontal="center" vertical="center" wrapText="1"/>
    </xf>
    <xf numFmtId="0" fontId="9" fillId="0" borderId="2" xfId="0" applyFont="1" applyBorder="1" applyAlignment="1">
      <alignment horizontal="left"/>
    </xf>
    <xf numFmtId="0" fontId="9" fillId="2" borderId="2" xfId="0" applyFont="1" applyFill="1" applyBorder="1" applyAlignment="1">
      <alignment horizontal="left" vertical="top" wrapText="1"/>
    </xf>
    <xf numFmtId="0" fontId="5" fillId="0" borderId="2" xfId="0" applyFont="1" applyBorder="1" applyAlignment="1">
      <alignment horizontal="left" vertical="center" wrapText="1"/>
    </xf>
    <xf numFmtId="0" fontId="9" fillId="2"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5" xfId="0" applyFont="1" applyFill="1" applyBorder="1" applyAlignment="1">
      <alignment horizontal="center" vertical="center"/>
    </xf>
    <xf numFmtId="0" fontId="5" fillId="3" borderId="2" xfId="0" applyFont="1" applyFill="1" applyBorder="1" applyAlignment="1">
      <alignment horizontal="center" vertical="center"/>
    </xf>
    <xf numFmtId="0" fontId="8" fillId="0" borderId="2" xfId="0" applyFont="1" applyBorder="1" applyAlignment="1">
      <alignment horizontal="center" vertical="center" wrapText="1"/>
    </xf>
    <xf numFmtId="0" fontId="5" fillId="0" borderId="11" xfId="0" applyFont="1" applyBorder="1" applyAlignment="1">
      <alignment horizontal="center" vertical="center"/>
    </xf>
    <xf numFmtId="0" fontId="5" fillId="0" borderId="12" xfId="0" applyFont="1" applyBorder="1" applyAlignment="1">
      <alignment horizontal="center" vertical="center"/>
    </xf>
    <xf numFmtId="0" fontId="5" fillId="0" borderId="3" xfId="0" applyFont="1" applyBorder="1" applyAlignment="1">
      <alignment horizontal="left" vertical="center" wrapText="1"/>
    </xf>
    <xf numFmtId="0" fontId="5" fillId="0" borderId="4" xfId="0" applyFont="1" applyBorder="1" applyAlignment="1">
      <alignment horizontal="left" vertical="center" wrapText="1"/>
    </xf>
    <xf numFmtId="0" fontId="5" fillId="0" borderId="5" xfId="0" applyFont="1" applyBorder="1" applyAlignment="1">
      <alignment horizontal="left" vertical="center" wrapText="1"/>
    </xf>
    <xf numFmtId="0" fontId="9" fillId="2" borderId="6" xfId="0" applyFont="1" applyFill="1" applyBorder="1" applyAlignment="1">
      <alignment horizontal="left"/>
    </xf>
    <xf numFmtId="0" fontId="9" fillId="2" borderId="7" xfId="0" applyFont="1" applyFill="1" applyBorder="1" applyAlignment="1">
      <alignment horizontal="left"/>
    </xf>
    <xf numFmtId="0" fontId="9" fillId="2" borderId="8" xfId="0" applyFont="1" applyFill="1" applyBorder="1" applyAlignment="1">
      <alignment horizontal="left"/>
    </xf>
    <xf numFmtId="0" fontId="9" fillId="2" borderId="9" xfId="0" applyFont="1" applyFill="1" applyBorder="1" applyAlignment="1">
      <alignment horizontal="left"/>
    </xf>
    <xf numFmtId="0" fontId="9" fillId="2" borderId="0" xfId="0" applyFont="1" applyFill="1" applyAlignment="1">
      <alignment horizontal="left"/>
    </xf>
    <xf numFmtId="0" fontId="9" fillId="2" borderId="10" xfId="0" applyFont="1" applyFill="1" applyBorder="1" applyAlignment="1">
      <alignment horizontal="left"/>
    </xf>
    <xf numFmtId="0" fontId="9" fillId="2" borderId="11" xfId="0" applyFont="1" applyFill="1" applyBorder="1" applyAlignment="1">
      <alignment horizontal="left"/>
    </xf>
    <xf numFmtId="0" fontId="9" fillId="2" borderId="12" xfId="0" applyFont="1" applyFill="1" applyBorder="1" applyAlignment="1">
      <alignment horizontal="left"/>
    </xf>
    <xf numFmtId="0" fontId="9" fillId="2" borderId="13" xfId="0" applyFont="1" applyFill="1" applyBorder="1" applyAlignment="1">
      <alignment horizontal="left"/>
    </xf>
    <xf numFmtId="0" fontId="5" fillId="0" borderId="3" xfId="0" applyFont="1" applyBorder="1" applyAlignment="1">
      <alignment horizontal="left" vertical="center"/>
    </xf>
    <xf numFmtId="0" fontId="5" fillId="0" borderId="4" xfId="0" applyFont="1" applyBorder="1" applyAlignment="1">
      <alignment horizontal="left" vertical="center"/>
    </xf>
    <xf numFmtId="0" fontId="5" fillId="0" borderId="5" xfId="0" applyFont="1" applyBorder="1" applyAlignment="1">
      <alignment horizontal="left" vertical="center"/>
    </xf>
    <xf numFmtId="0" fontId="9" fillId="2" borderId="6" xfId="0" applyFont="1" applyFill="1" applyBorder="1" applyAlignment="1">
      <alignment horizontal="left" vertical="top"/>
    </xf>
    <xf numFmtId="0" fontId="16" fillId="0" borderId="2" xfId="0" applyFont="1" applyBorder="1" applyAlignment="1">
      <alignment horizontal="left" vertical="center" wrapText="1"/>
    </xf>
    <xf numFmtId="0" fontId="4" fillId="2" borderId="2" xfId="0" applyFont="1" applyFill="1" applyBorder="1" applyAlignment="1">
      <alignment horizontal="left" vertical="top"/>
    </xf>
    <xf numFmtId="0" fontId="8" fillId="3" borderId="2" xfId="0" applyFont="1" applyFill="1" applyBorder="1" applyAlignment="1">
      <alignment horizontal="left" vertical="center" wrapText="1"/>
    </xf>
    <xf numFmtId="0" fontId="8" fillId="0" borderId="3" xfId="0" applyFont="1" applyBorder="1" applyAlignment="1">
      <alignment horizontal="center" vertical="center" wrapText="1"/>
    </xf>
    <xf numFmtId="0" fontId="8" fillId="0" borderId="5" xfId="0" applyFont="1" applyBorder="1" applyAlignment="1">
      <alignment horizontal="center" vertical="center" wrapText="1"/>
    </xf>
    <xf numFmtId="0" fontId="9" fillId="5" borderId="3" xfId="0" applyFont="1" applyFill="1" applyBorder="1" applyAlignment="1">
      <alignment horizontal="center" vertical="center" wrapText="1"/>
    </xf>
    <xf numFmtId="0" fontId="9" fillId="5" borderId="5" xfId="0" applyFont="1" applyFill="1" applyBorder="1" applyAlignment="1">
      <alignment horizontal="center" vertical="center" wrapText="1"/>
    </xf>
    <xf numFmtId="0" fontId="9" fillId="6" borderId="16" xfId="0" applyFont="1" applyFill="1" applyBorder="1" applyAlignment="1">
      <alignment horizontal="center" vertical="center" wrapText="1"/>
    </xf>
    <xf numFmtId="0" fontId="9" fillId="6" borderId="17" xfId="0" applyFont="1" applyFill="1" applyBorder="1" applyAlignment="1">
      <alignment horizontal="center" vertical="center" wrapText="1"/>
    </xf>
    <xf numFmtId="0" fontId="9" fillId="5" borderId="6" xfId="0" applyFont="1" applyFill="1" applyBorder="1" applyAlignment="1">
      <alignment horizontal="left" vertical="center" wrapText="1"/>
    </xf>
    <xf numFmtId="0" fontId="9" fillId="5" borderId="7" xfId="0" applyFont="1" applyFill="1" applyBorder="1" applyAlignment="1">
      <alignment horizontal="left" vertical="center" wrapText="1"/>
    </xf>
    <xf numFmtId="0" fontId="9" fillId="5" borderId="8" xfId="0" applyFont="1" applyFill="1" applyBorder="1" applyAlignment="1">
      <alignment horizontal="left" vertical="center" wrapText="1"/>
    </xf>
    <xf numFmtId="0" fontId="9" fillId="5" borderId="3" xfId="0" applyFont="1" applyFill="1" applyBorder="1" applyAlignment="1">
      <alignment horizontal="left" vertical="center" wrapText="1"/>
    </xf>
    <xf numFmtId="0" fontId="9" fillId="5" borderId="4" xfId="0" applyFont="1" applyFill="1" applyBorder="1" applyAlignment="1">
      <alignment horizontal="left" vertical="center" wrapText="1"/>
    </xf>
    <xf numFmtId="0" fontId="9" fillId="5" borderId="5" xfId="0" applyFont="1" applyFill="1" applyBorder="1" applyAlignment="1">
      <alignment horizontal="left" vertical="center" wrapText="1"/>
    </xf>
    <xf numFmtId="0" fontId="5" fillId="0" borderId="11" xfId="0" applyFont="1" applyBorder="1" applyAlignment="1">
      <alignment horizontal="left" vertical="center" wrapText="1"/>
    </xf>
    <xf numFmtId="0" fontId="5" fillId="0" borderId="12" xfId="0" applyFont="1" applyBorder="1" applyAlignment="1">
      <alignment horizontal="left" vertical="center" wrapText="1"/>
    </xf>
    <xf numFmtId="0" fontId="8" fillId="0" borderId="6" xfId="0" applyFont="1" applyBorder="1" applyAlignment="1">
      <alignment horizontal="left" vertical="center"/>
    </xf>
    <xf numFmtId="0" fontId="8" fillId="0" borderId="7" xfId="0" applyFont="1" applyBorder="1" applyAlignment="1">
      <alignment horizontal="left" vertical="center"/>
    </xf>
    <xf numFmtId="0" fontId="8" fillId="0" borderId="8" xfId="0" applyFont="1" applyBorder="1" applyAlignment="1">
      <alignment horizontal="left" vertical="center"/>
    </xf>
    <xf numFmtId="0" fontId="8" fillId="0" borderId="3" xfId="0" applyFont="1" applyBorder="1" applyAlignment="1">
      <alignment horizontal="center" vertical="center"/>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9" fillId="5" borderId="2" xfId="0" applyFont="1" applyFill="1" applyBorder="1" applyAlignment="1">
      <alignment horizontal="left" vertical="center" wrapText="1"/>
    </xf>
    <xf numFmtId="0" fontId="8" fillId="0" borderId="6" xfId="0" applyFont="1" applyBorder="1" applyAlignment="1">
      <alignment horizontal="left" vertical="center" wrapText="1"/>
    </xf>
    <xf numFmtId="0" fontId="8" fillId="0" borderId="8" xfId="0" applyFont="1" applyBorder="1" applyAlignment="1">
      <alignment horizontal="left" vertical="center" wrapText="1"/>
    </xf>
    <xf numFmtId="0" fontId="8" fillId="0" borderId="9" xfId="0" applyFont="1" applyBorder="1" applyAlignment="1">
      <alignment horizontal="left" vertical="center" wrapText="1"/>
    </xf>
    <xf numFmtId="0" fontId="8" fillId="0" borderId="10" xfId="0" applyFont="1" applyBorder="1" applyAlignment="1">
      <alignment horizontal="left" vertical="center" wrapText="1"/>
    </xf>
    <xf numFmtId="0" fontId="16" fillId="0" borderId="3" xfId="0" applyFont="1" applyBorder="1" applyAlignment="1">
      <alignment horizontal="center" vertical="center" wrapText="1"/>
    </xf>
    <xf numFmtId="0" fontId="16" fillId="0" borderId="4" xfId="0" applyFont="1" applyBorder="1" applyAlignment="1">
      <alignment horizontal="center" vertical="center" wrapText="1"/>
    </xf>
    <xf numFmtId="0" fontId="16" fillId="0" borderId="5" xfId="0" applyFont="1" applyBorder="1" applyAlignment="1">
      <alignment horizontal="center" vertical="center" wrapText="1"/>
    </xf>
    <xf numFmtId="0" fontId="8" fillId="0" borderId="6" xfId="0" applyFont="1" applyBorder="1" applyAlignment="1">
      <alignment horizontal="center" vertical="center" wrapText="1"/>
    </xf>
    <xf numFmtId="0" fontId="8" fillId="0" borderId="8" xfId="0" applyFont="1" applyBorder="1" applyAlignment="1">
      <alignment horizontal="center" vertical="center" wrapText="1"/>
    </xf>
    <xf numFmtId="0" fontId="8" fillId="0" borderId="9"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 xfId="0" applyFont="1" applyBorder="1" applyAlignment="1">
      <alignment horizontal="center" vertical="center" wrapText="1"/>
    </xf>
    <xf numFmtId="0" fontId="8" fillId="0" borderId="15" xfId="0" applyFont="1" applyBorder="1" applyAlignment="1">
      <alignment horizontal="center" vertical="center" wrapText="1"/>
    </xf>
    <xf numFmtId="0" fontId="5" fillId="0" borderId="14" xfId="0" applyFont="1" applyBorder="1" applyAlignment="1">
      <alignment horizontal="left" vertical="top" wrapText="1"/>
    </xf>
    <xf numFmtId="0" fontId="8" fillId="0" borderId="2" xfId="0" applyFont="1" applyBorder="1" applyAlignment="1">
      <alignment horizontal="left" vertical="center" wrapText="1"/>
    </xf>
    <xf numFmtId="0" fontId="8" fillId="0" borderId="14" xfId="0" applyFont="1" applyBorder="1" applyAlignment="1">
      <alignment horizontal="center" vertical="center" wrapText="1"/>
    </xf>
    <xf numFmtId="0" fontId="4" fillId="0" borderId="2" xfId="0" applyFont="1" applyBorder="1" applyAlignment="1">
      <alignment horizontal="center" vertical="center"/>
    </xf>
    <xf numFmtId="0" fontId="5" fillId="0" borderId="12" xfId="0" applyFont="1" applyBorder="1" applyAlignment="1">
      <alignment horizontal="center"/>
    </xf>
    <xf numFmtId="0" fontId="5" fillId="0" borderId="2" xfId="0" applyFont="1" applyBorder="1" applyAlignment="1">
      <alignment horizontal="center"/>
    </xf>
    <xf numFmtId="0" fontId="4" fillId="2" borderId="6" xfId="0" applyFont="1" applyFill="1" applyBorder="1" applyAlignment="1">
      <alignment horizontal="left" vertical="top"/>
    </xf>
    <xf numFmtId="0" fontId="4" fillId="2" borderId="7" xfId="0" applyFont="1" applyFill="1" applyBorder="1" applyAlignment="1">
      <alignment horizontal="left" vertical="top"/>
    </xf>
    <xf numFmtId="0" fontId="4" fillId="2" borderId="8" xfId="0" applyFont="1" applyFill="1" applyBorder="1" applyAlignment="1">
      <alignment horizontal="left" vertical="top"/>
    </xf>
    <xf numFmtId="0" fontId="4" fillId="2" borderId="9" xfId="0" applyFont="1" applyFill="1" applyBorder="1" applyAlignment="1">
      <alignment horizontal="left" vertical="top"/>
    </xf>
    <xf numFmtId="0" fontId="4" fillId="2" borderId="0" xfId="0" applyFont="1" applyFill="1" applyAlignment="1">
      <alignment horizontal="left" vertical="top"/>
    </xf>
    <xf numFmtId="0" fontId="4" fillId="2" borderId="10" xfId="0" applyFont="1" applyFill="1" applyBorder="1" applyAlignment="1">
      <alignment horizontal="left" vertical="top"/>
    </xf>
    <xf numFmtId="0" fontId="4" fillId="2" borderId="11" xfId="0" applyFont="1" applyFill="1" applyBorder="1" applyAlignment="1">
      <alignment horizontal="left" vertical="top"/>
    </xf>
    <xf numFmtId="0" fontId="4" fillId="2" borderId="12" xfId="0" applyFont="1" applyFill="1" applyBorder="1" applyAlignment="1">
      <alignment horizontal="left" vertical="top"/>
    </xf>
    <xf numFmtId="0" fontId="4" fillId="2" borderId="13" xfId="0" applyFont="1" applyFill="1" applyBorder="1" applyAlignment="1">
      <alignment horizontal="left" vertical="top"/>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5" fillId="0" borderId="5" xfId="0" applyFont="1" applyBorder="1" applyAlignment="1">
      <alignment horizontal="left" vertical="top" wrapText="1"/>
    </xf>
    <xf numFmtId="164" fontId="4" fillId="2" borderId="7" xfId="1" applyNumberFormat="1" applyFont="1" applyFill="1" applyBorder="1" applyAlignment="1"/>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0.04</c:v>
                </c:pt>
                <c:pt idx="1">
                  <c:v>0.1</c:v>
                </c:pt>
                <c:pt idx="2">
                  <c:v>0.05</c:v>
                </c:pt>
                <c:pt idx="3">
                  <c:v>0.04</c:v>
                </c:pt>
                <c:pt idx="4">
                  <c:v>0.01</c:v>
                </c:pt>
                <c:pt idx="5">
                  <c:v>0.05</c:v>
                </c:pt>
                <c:pt idx="6">
                  <c:v>0</c:v>
                </c:pt>
                <c:pt idx="7">
                  <c:v>0.01</c:v>
                </c:pt>
                <c:pt idx="8">
                  <c:v>0.01</c:v>
                </c:pt>
                <c:pt idx="9">
                  <c:v>0.02</c:v>
                </c:pt>
                <c:pt idx="10">
                  <c:v>0.22</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Monthly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0.09</c:v>
                </c:pt>
                <c:pt idx="1">
                  <c:v>0.4</c:v>
                </c:pt>
                <c:pt idx="2">
                  <c:v>0.41</c:v>
                </c:pt>
                <c:pt idx="3">
                  <c:v>0.48</c:v>
                </c:pt>
                <c:pt idx="4">
                  <c:v>0.2</c:v>
                </c:pt>
                <c:pt idx="5">
                  <c:v>0.73</c:v>
                </c:pt>
                <c:pt idx="6">
                  <c:v>0.1</c:v>
                </c:pt>
                <c:pt idx="7">
                  <c:v>0.31</c:v>
                </c:pt>
                <c:pt idx="8">
                  <c:v>0.28999999999999998</c:v>
                </c:pt>
                <c:pt idx="9">
                  <c:v>0.17</c:v>
                </c:pt>
                <c:pt idx="10">
                  <c:v>0.66</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0.01</c:v>
                </c:pt>
                <c:pt idx="1">
                  <c:v>0.1</c:v>
                </c:pt>
                <c:pt idx="2">
                  <c:v>0.05</c:v>
                </c:pt>
                <c:pt idx="3">
                  <c:v>0.1</c:v>
                </c:pt>
                <c:pt idx="4">
                  <c:v>0.01</c:v>
                </c:pt>
                <c:pt idx="5">
                  <c:v>0.05</c:v>
                </c:pt>
                <c:pt idx="6">
                  <c:v>0</c:v>
                </c:pt>
                <c:pt idx="7">
                  <c:v>0.01</c:v>
                </c:pt>
                <c:pt idx="8">
                  <c:v>0.01</c:v>
                </c:pt>
                <c:pt idx="9">
                  <c:v>0.03</c:v>
                </c:pt>
                <c:pt idx="10">
                  <c:v>0.21</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Monthly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0.02</c:v>
                </c:pt>
                <c:pt idx="1">
                  <c:v>0.2</c:v>
                </c:pt>
                <c:pt idx="2">
                  <c:v>0.16</c:v>
                </c:pt>
                <c:pt idx="3">
                  <c:v>0.2</c:v>
                </c:pt>
                <c:pt idx="4">
                  <c:v>0.08</c:v>
                </c:pt>
                <c:pt idx="5">
                  <c:v>0.33</c:v>
                </c:pt>
                <c:pt idx="6">
                  <c:v>0.03</c:v>
                </c:pt>
                <c:pt idx="7">
                  <c:v>0.13</c:v>
                </c:pt>
                <c:pt idx="8">
                  <c:v>0.08</c:v>
                </c:pt>
                <c:pt idx="9">
                  <c:v>0.13</c:v>
                </c:pt>
                <c:pt idx="10">
                  <c:v>0.37</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288970936"/>
        <c:axId val="288971328"/>
      </c:lineChart>
      <c:catAx>
        <c:axId val="288970936"/>
        <c:scaling>
          <c:orientation val="minMax"/>
        </c:scaling>
        <c:delete val="0"/>
        <c:axPos val="b"/>
        <c:numFmt formatCode="General" sourceLinked="1"/>
        <c:majorTickMark val="out"/>
        <c:minorTickMark val="none"/>
        <c:tickLblPos val="nextTo"/>
        <c:crossAx val="288971328"/>
        <c:crosses val="autoZero"/>
        <c:auto val="1"/>
        <c:lblAlgn val="ctr"/>
        <c:lblOffset val="100"/>
        <c:noMultiLvlLbl val="0"/>
      </c:catAx>
      <c:valAx>
        <c:axId val="28897132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8897093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0.08</c:v>
                </c:pt>
                <c:pt idx="1">
                  <c:v>0.4</c:v>
                </c:pt>
                <c:pt idx="2">
                  <c:v>0.31</c:v>
                </c:pt>
                <c:pt idx="3">
                  <c:v>0.44</c:v>
                </c:pt>
                <c:pt idx="4">
                  <c:v>0.5</c:v>
                </c:pt>
                <c:pt idx="5">
                  <c:v>0.48</c:v>
                </c:pt>
                <c:pt idx="6">
                  <c:v>0.39</c:v>
                </c:pt>
                <c:pt idx="7">
                  <c:v>0.81</c:v>
                </c:pt>
                <c:pt idx="8">
                  <c:v>0.54</c:v>
                </c:pt>
                <c:pt idx="9">
                  <c:v>0.64</c:v>
                </c:pt>
                <c:pt idx="10">
                  <c:v>0.38</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Monthly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0.61</c:v>
                </c:pt>
                <c:pt idx="1">
                  <c:v>1.8</c:v>
                </c:pt>
                <c:pt idx="2">
                  <c:v>1.45</c:v>
                </c:pt>
                <c:pt idx="3">
                  <c:v>2.2599999999999998</c:v>
                </c:pt>
                <c:pt idx="4">
                  <c:v>2.17</c:v>
                </c:pt>
                <c:pt idx="5">
                  <c:v>2.13</c:v>
                </c:pt>
                <c:pt idx="6">
                  <c:v>1.85</c:v>
                </c:pt>
                <c:pt idx="7">
                  <c:v>4.99</c:v>
                </c:pt>
                <c:pt idx="8">
                  <c:v>2.2400000000000002</c:v>
                </c:pt>
                <c:pt idx="9">
                  <c:v>2.88</c:v>
                </c:pt>
                <c:pt idx="10">
                  <c:v>0.97</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0.06</c:v>
                </c:pt>
                <c:pt idx="1">
                  <c:v>0.3</c:v>
                </c:pt>
                <c:pt idx="2">
                  <c:v>0.3</c:v>
                </c:pt>
                <c:pt idx="3">
                  <c:v>0.4</c:v>
                </c:pt>
                <c:pt idx="4">
                  <c:v>0.5</c:v>
                </c:pt>
                <c:pt idx="5">
                  <c:v>0.47</c:v>
                </c:pt>
                <c:pt idx="6">
                  <c:v>0.39</c:v>
                </c:pt>
                <c:pt idx="7">
                  <c:v>0.81</c:v>
                </c:pt>
                <c:pt idx="8">
                  <c:v>0.61</c:v>
                </c:pt>
                <c:pt idx="9">
                  <c:v>0.61</c:v>
                </c:pt>
                <c:pt idx="10">
                  <c:v>0.39</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Monthly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0.16</c:v>
                </c:pt>
                <c:pt idx="1">
                  <c:v>0.9</c:v>
                </c:pt>
                <c:pt idx="2">
                  <c:v>0.73</c:v>
                </c:pt>
                <c:pt idx="3">
                  <c:v>1.59</c:v>
                </c:pt>
                <c:pt idx="4">
                  <c:v>1.24</c:v>
                </c:pt>
                <c:pt idx="5">
                  <c:v>1.41</c:v>
                </c:pt>
                <c:pt idx="6">
                  <c:v>0.95</c:v>
                </c:pt>
                <c:pt idx="7">
                  <c:v>3.51</c:v>
                </c:pt>
                <c:pt idx="8">
                  <c:v>1.42</c:v>
                </c:pt>
                <c:pt idx="9">
                  <c:v>1.17</c:v>
                </c:pt>
                <c:pt idx="10">
                  <c:v>0.66</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288972504"/>
        <c:axId val="288972896"/>
      </c:lineChart>
      <c:catAx>
        <c:axId val="288972504"/>
        <c:scaling>
          <c:orientation val="minMax"/>
        </c:scaling>
        <c:delete val="0"/>
        <c:axPos val="b"/>
        <c:numFmt formatCode="General" sourceLinked="1"/>
        <c:majorTickMark val="out"/>
        <c:minorTickMark val="none"/>
        <c:tickLblPos val="nextTo"/>
        <c:crossAx val="288972896"/>
        <c:crosses val="autoZero"/>
        <c:auto val="1"/>
        <c:lblAlgn val="ctr"/>
        <c:lblOffset val="100"/>
        <c:noMultiLvlLbl val="0"/>
      </c:catAx>
      <c:valAx>
        <c:axId val="2889728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889725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277</c:v>
                </c:pt>
                <c:pt idx="1">
                  <c:v>274</c:v>
                </c:pt>
                <c:pt idx="2">
                  <c:v>245</c:v>
                </c:pt>
                <c:pt idx="3">
                  <c:v>218</c:v>
                </c:pt>
                <c:pt idx="4">
                  <c:v>239</c:v>
                </c:pt>
                <c:pt idx="5">
                  <c:v>296</c:v>
                </c:pt>
                <c:pt idx="6">
                  <c:v>254</c:v>
                </c:pt>
                <c:pt idx="7">
                  <c:v>257</c:v>
                </c:pt>
                <c:pt idx="8">
                  <c:v>261</c:v>
                </c:pt>
                <c:pt idx="9">
                  <c:v>216</c:v>
                </c:pt>
                <c:pt idx="10">
                  <c:v>155</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Monthly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433</c:v>
                </c:pt>
                <c:pt idx="1">
                  <c:v>511</c:v>
                </c:pt>
                <c:pt idx="2">
                  <c:v>576</c:v>
                </c:pt>
                <c:pt idx="3">
                  <c:v>406</c:v>
                </c:pt>
                <c:pt idx="4">
                  <c:v>383</c:v>
                </c:pt>
                <c:pt idx="5">
                  <c:v>448</c:v>
                </c:pt>
                <c:pt idx="6">
                  <c:v>383</c:v>
                </c:pt>
                <c:pt idx="7">
                  <c:v>558</c:v>
                </c:pt>
                <c:pt idx="8">
                  <c:v>416</c:v>
                </c:pt>
                <c:pt idx="9">
                  <c:v>280</c:v>
                </c:pt>
                <c:pt idx="10">
                  <c:v>263</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283</c:v>
                </c:pt>
                <c:pt idx="1">
                  <c:v>282</c:v>
                </c:pt>
                <c:pt idx="2">
                  <c:v>246</c:v>
                </c:pt>
                <c:pt idx="3">
                  <c:v>218</c:v>
                </c:pt>
                <c:pt idx="4">
                  <c:v>241</c:v>
                </c:pt>
                <c:pt idx="5">
                  <c:v>296</c:v>
                </c:pt>
                <c:pt idx="6">
                  <c:v>250</c:v>
                </c:pt>
                <c:pt idx="7">
                  <c:v>258</c:v>
                </c:pt>
                <c:pt idx="8">
                  <c:v>264</c:v>
                </c:pt>
                <c:pt idx="9">
                  <c:v>214</c:v>
                </c:pt>
                <c:pt idx="10">
                  <c:v>155</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Monthly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302</c:v>
                </c:pt>
                <c:pt idx="1">
                  <c:v>373</c:v>
                </c:pt>
                <c:pt idx="2">
                  <c:v>369</c:v>
                </c:pt>
                <c:pt idx="3">
                  <c:v>260</c:v>
                </c:pt>
                <c:pt idx="4">
                  <c:v>297</c:v>
                </c:pt>
                <c:pt idx="5">
                  <c:v>351</c:v>
                </c:pt>
                <c:pt idx="6">
                  <c:v>326</c:v>
                </c:pt>
                <c:pt idx="7">
                  <c:v>333</c:v>
                </c:pt>
                <c:pt idx="8">
                  <c:v>296</c:v>
                </c:pt>
                <c:pt idx="9">
                  <c:v>235</c:v>
                </c:pt>
                <c:pt idx="10">
                  <c:v>185</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285387880"/>
        <c:axId val="285388272"/>
      </c:lineChart>
      <c:catAx>
        <c:axId val="285387880"/>
        <c:scaling>
          <c:orientation val="minMax"/>
        </c:scaling>
        <c:delete val="0"/>
        <c:axPos val="b"/>
        <c:numFmt formatCode="General" sourceLinked="1"/>
        <c:majorTickMark val="out"/>
        <c:minorTickMark val="none"/>
        <c:tickLblPos val="nextTo"/>
        <c:crossAx val="285388272"/>
        <c:crosses val="autoZero"/>
        <c:auto val="1"/>
        <c:lblAlgn val="ctr"/>
        <c:lblOffset val="100"/>
        <c:noMultiLvlLbl val="0"/>
      </c:catAx>
      <c:valAx>
        <c:axId val="28538827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8538788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2.25</c:v>
                </c:pt>
                <c:pt idx="1">
                  <c:v>2</c:v>
                </c:pt>
                <c:pt idx="2">
                  <c:v>2</c:v>
                </c:pt>
                <c:pt idx="3">
                  <c:v>1.81</c:v>
                </c:pt>
                <c:pt idx="4">
                  <c:v>2.27</c:v>
                </c:pt>
                <c:pt idx="5">
                  <c:v>1.77</c:v>
                </c:pt>
                <c:pt idx="6">
                  <c:v>1.82</c:v>
                </c:pt>
                <c:pt idx="7">
                  <c:v>1.8</c:v>
                </c:pt>
                <c:pt idx="8">
                  <c:v>1.57</c:v>
                </c:pt>
                <c:pt idx="9">
                  <c:v>2.0699999999999998</c:v>
                </c:pt>
                <c:pt idx="10">
                  <c:v>1.87</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Monthly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2.92</c:v>
                </c:pt>
                <c:pt idx="1">
                  <c:v>5.4</c:v>
                </c:pt>
                <c:pt idx="2">
                  <c:v>9.84</c:v>
                </c:pt>
                <c:pt idx="3">
                  <c:v>5.43</c:v>
                </c:pt>
                <c:pt idx="4">
                  <c:v>12.5</c:v>
                </c:pt>
                <c:pt idx="5">
                  <c:v>5.7</c:v>
                </c:pt>
                <c:pt idx="6">
                  <c:v>9.43</c:v>
                </c:pt>
                <c:pt idx="7">
                  <c:v>9.51</c:v>
                </c:pt>
                <c:pt idx="8">
                  <c:v>5.41</c:v>
                </c:pt>
                <c:pt idx="9">
                  <c:v>8.57</c:v>
                </c:pt>
                <c:pt idx="10">
                  <c:v>5.15</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2.17</c:v>
                </c:pt>
                <c:pt idx="1">
                  <c:v>2.1</c:v>
                </c:pt>
                <c:pt idx="2">
                  <c:v>2.0299999999999998</c:v>
                </c:pt>
                <c:pt idx="3">
                  <c:v>1.82</c:v>
                </c:pt>
                <c:pt idx="4">
                  <c:v>2.2799999999999998</c:v>
                </c:pt>
                <c:pt idx="5">
                  <c:v>1.81</c:v>
                </c:pt>
                <c:pt idx="6">
                  <c:v>1.92</c:v>
                </c:pt>
                <c:pt idx="7">
                  <c:v>1.81</c:v>
                </c:pt>
                <c:pt idx="8">
                  <c:v>1.57</c:v>
                </c:pt>
                <c:pt idx="9">
                  <c:v>2.0499999999999998</c:v>
                </c:pt>
                <c:pt idx="10">
                  <c:v>1.87</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Monthly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2.35</c:v>
                </c:pt>
                <c:pt idx="1">
                  <c:v>3.1</c:v>
                </c:pt>
                <c:pt idx="2">
                  <c:v>2.86</c:v>
                </c:pt>
                <c:pt idx="3">
                  <c:v>2.59</c:v>
                </c:pt>
                <c:pt idx="4">
                  <c:v>6.07</c:v>
                </c:pt>
                <c:pt idx="5">
                  <c:v>2.66</c:v>
                </c:pt>
                <c:pt idx="6">
                  <c:v>5.77</c:v>
                </c:pt>
                <c:pt idx="7">
                  <c:v>3.04</c:v>
                </c:pt>
                <c:pt idx="8">
                  <c:v>2.16</c:v>
                </c:pt>
                <c:pt idx="9">
                  <c:v>2.92</c:v>
                </c:pt>
                <c:pt idx="10">
                  <c:v>2.1</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285391016"/>
        <c:axId val="286375832"/>
      </c:lineChart>
      <c:catAx>
        <c:axId val="285391016"/>
        <c:scaling>
          <c:orientation val="minMax"/>
        </c:scaling>
        <c:delete val="0"/>
        <c:axPos val="b"/>
        <c:numFmt formatCode="General" sourceLinked="1"/>
        <c:majorTickMark val="out"/>
        <c:minorTickMark val="none"/>
        <c:tickLblPos val="nextTo"/>
        <c:crossAx val="286375832"/>
        <c:crosses val="autoZero"/>
        <c:auto val="1"/>
        <c:lblAlgn val="ctr"/>
        <c:lblOffset val="100"/>
        <c:noMultiLvlLbl val="0"/>
      </c:catAx>
      <c:valAx>
        <c:axId val="2863758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85391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3.59</c:v>
                </c:pt>
                <c:pt idx="1">
                  <c:v>1.96</c:v>
                </c:pt>
                <c:pt idx="2">
                  <c:v>1.8</c:v>
                </c:pt>
                <c:pt idx="3">
                  <c:v>1.78</c:v>
                </c:pt>
                <c:pt idx="4">
                  <c:v>1.1399999999999999</c:v>
                </c:pt>
                <c:pt idx="5">
                  <c:v>1.54</c:v>
                </c:pt>
                <c:pt idx="6">
                  <c:v>1.54</c:v>
                </c:pt>
                <c:pt idx="7">
                  <c:v>1.02</c:v>
                </c:pt>
                <c:pt idx="8">
                  <c:v>0.28999999999999998</c:v>
                </c:pt>
                <c:pt idx="9">
                  <c:v>0.55000000000000004</c:v>
                </c:pt>
                <c:pt idx="10">
                  <c:v>0.44</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Monthly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5.86</c:v>
                </c:pt>
                <c:pt idx="1">
                  <c:v>12.7</c:v>
                </c:pt>
                <c:pt idx="2">
                  <c:v>14</c:v>
                </c:pt>
                <c:pt idx="3">
                  <c:v>13.25</c:v>
                </c:pt>
                <c:pt idx="4">
                  <c:v>15.98</c:v>
                </c:pt>
                <c:pt idx="5">
                  <c:v>14.41</c:v>
                </c:pt>
                <c:pt idx="6">
                  <c:v>9.6</c:v>
                </c:pt>
                <c:pt idx="7">
                  <c:v>9.86</c:v>
                </c:pt>
                <c:pt idx="8">
                  <c:v>0.43</c:v>
                </c:pt>
                <c:pt idx="9">
                  <c:v>2.4300000000000002</c:v>
                </c:pt>
                <c:pt idx="10">
                  <c:v>0.67</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3.56</c:v>
                </c:pt>
                <c:pt idx="1">
                  <c:v>2.1</c:v>
                </c:pt>
                <c:pt idx="2">
                  <c:v>1.8</c:v>
                </c:pt>
                <c:pt idx="3">
                  <c:v>1.78</c:v>
                </c:pt>
                <c:pt idx="4">
                  <c:v>1.23</c:v>
                </c:pt>
                <c:pt idx="5">
                  <c:v>1.66</c:v>
                </c:pt>
                <c:pt idx="6">
                  <c:v>1.61</c:v>
                </c:pt>
                <c:pt idx="7">
                  <c:v>0.99</c:v>
                </c:pt>
                <c:pt idx="8">
                  <c:v>0.28999999999999998</c:v>
                </c:pt>
                <c:pt idx="9">
                  <c:v>0.55000000000000004</c:v>
                </c:pt>
                <c:pt idx="10">
                  <c:v>0.44</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Monthly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3.83</c:v>
                </c:pt>
                <c:pt idx="1">
                  <c:v>5.3</c:v>
                </c:pt>
                <c:pt idx="2">
                  <c:v>3.59</c:v>
                </c:pt>
                <c:pt idx="3">
                  <c:v>3.36</c:v>
                </c:pt>
                <c:pt idx="4">
                  <c:v>4.95</c:v>
                </c:pt>
                <c:pt idx="5">
                  <c:v>9.0500000000000007</c:v>
                </c:pt>
                <c:pt idx="6">
                  <c:v>4.66</c:v>
                </c:pt>
                <c:pt idx="7">
                  <c:v>4</c:v>
                </c:pt>
                <c:pt idx="8">
                  <c:v>0.31</c:v>
                </c:pt>
                <c:pt idx="9">
                  <c:v>1.1499999999999999</c:v>
                </c:pt>
                <c:pt idx="10">
                  <c:v>0.55000000000000004</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286377400"/>
        <c:axId val="286377792"/>
      </c:lineChart>
      <c:catAx>
        <c:axId val="286377400"/>
        <c:scaling>
          <c:orientation val="minMax"/>
        </c:scaling>
        <c:delete val="0"/>
        <c:axPos val="b"/>
        <c:numFmt formatCode="General" sourceLinked="1"/>
        <c:majorTickMark val="out"/>
        <c:minorTickMark val="none"/>
        <c:tickLblPos val="nextTo"/>
        <c:crossAx val="286377792"/>
        <c:crosses val="autoZero"/>
        <c:auto val="1"/>
        <c:lblAlgn val="ctr"/>
        <c:lblOffset val="100"/>
        <c:noMultiLvlLbl val="0"/>
      </c:catAx>
      <c:valAx>
        <c:axId val="28637779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8637740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half-hourly'!$B$6</c:f>
              <c:strCache>
                <c:ptCount val="1"/>
                <c:pt idx="0">
                  <c:v>1/2 hourly CO ELV</c:v>
                </c:pt>
              </c:strCache>
            </c:strRef>
          </c:tx>
          <c:spPr>
            <a:ln>
              <a:prstDash val="dash"/>
            </a:ln>
          </c:spPr>
          <c:marker>
            <c:symbol val="none"/>
          </c:marker>
          <c:cat>
            <c:strRef>
              <c:f>'CO half-hourly'!$A$7:$A$18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half-hourly'!$B$7:$B$18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half-hourly'!$C$6</c:f>
              <c:strCache>
                <c:ptCount val="1"/>
                <c:pt idx="0">
                  <c:v>Monthly 1/2 hourly mean</c:v>
                </c:pt>
              </c:strCache>
            </c:strRef>
          </c:tx>
          <c:spPr>
            <a:ln w="15875"/>
          </c:spPr>
          <c:marker>
            <c:symbol val="none"/>
          </c:marker>
          <c:cat>
            <c:strRef>
              <c:f>'CO half-hourly'!$A$7:$A$18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half-hourly'!$C$7:$C$18</c:f>
              <c:numCache>
                <c:formatCode>General</c:formatCode>
                <c:ptCount val="12"/>
                <c:pt idx="0">
                  <c:v>0.39</c:v>
                </c:pt>
                <c:pt idx="1">
                  <c:v>5.5</c:v>
                </c:pt>
                <c:pt idx="2">
                  <c:v>4.87</c:v>
                </c:pt>
                <c:pt idx="3">
                  <c:v>3.43</c:v>
                </c:pt>
                <c:pt idx="4">
                  <c:v>2.2000000000000002</c:v>
                </c:pt>
                <c:pt idx="5">
                  <c:v>0.91</c:v>
                </c:pt>
                <c:pt idx="6">
                  <c:v>0.89</c:v>
                </c:pt>
                <c:pt idx="7">
                  <c:v>1.23</c:v>
                </c:pt>
                <c:pt idx="8">
                  <c:v>0.86</c:v>
                </c:pt>
                <c:pt idx="9">
                  <c:v>2.42</c:v>
                </c:pt>
                <c:pt idx="10">
                  <c:v>1.5</c:v>
                </c:pt>
              </c:numCache>
            </c:numRef>
          </c:val>
          <c:smooth val="0"/>
          <c:extLst>
            <c:ext xmlns:c16="http://schemas.microsoft.com/office/drawing/2014/chart" uri="{C3380CC4-5D6E-409C-BE32-E72D297353CC}">
              <c16:uniqueId val="{00000001-DF93-4E57-BFCF-EC3D33E6D8F9}"/>
            </c:ext>
          </c:extLst>
        </c:ser>
        <c:ser>
          <c:idx val="2"/>
          <c:order val="2"/>
          <c:tx>
            <c:strRef>
              <c:f>'CO half-hourly'!$D$6</c:f>
              <c:strCache>
                <c:ptCount val="1"/>
                <c:pt idx="0">
                  <c:v>Monthly 1/2 hourly maximum</c:v>
                </c:pt>
              </c:strCache>
            </c:strRef>
          </c:tx>
          <c:spPr>
            <a:ln>
              <a:noFill/>
            </a:ln>
          </c:spPr>
          <c:marker>
            <c:symbol val="square"/>
            <c:size val="5"/>
          </c:marker>
          <c:cat>
            <c:strRef>
              <c:f>'CO half-hourly'!$A$7:$A$18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half-hourly'!$D$7:$D$18</c:f>
              <c:numCache>
                <c:formatCode>General</c:formatCode>
                <c:ptCount val="12"/>
                <c:pt idx="0">
                  <c:v>13.78</c:v>
                </c:pt>
                <c:pt idx="1">
                  <c:v>75.2</c:v>
                </c:pt>
                <c:pt idx="2">
                  <c:v>101.6</c:v>
                </c:pt>
                <c:pt idx="3">
                  <c:v>66.599999999999994</c:v>
                </c:pt>
                <c:pt idx="4">
                  <c:v>92.9</c:v>
                </c:pt>
                <c:pt idx="5">
                  <c:v>53.6</c:v>
                </c:pt>
                <c:pt idx="6">
                  <c:v>72.3</c:v>
                </c:pt>
                <c:pt idx="7">
                  <c:v>60.4</c:v>
                </c:pt>
                <c:pt idx="8">
                  <c:v>26.5</c:v>
                </c:pt>
                <c:pt idx="9">
                  <c:v>38.6</c:v>
                </c:pt>
                <c:pt idx="10">
                  <c:v>30.4</c:v>
                </c:pt>
              </c:numCache>
            </c:numRef>
          </c:val>
          <c:smooth val="0"/>
          <c:extLst>
            <c:ext xmlns:c16="http://schemas.microsoft.com/office/drawing/2014/chart" uri="{C3380CC4-5D6E-409C-BE32-E72D297353CC}">
              <c16:uniqueId val="{00000002-DF93-4E57-BFCF-EC3D33E6D8F9}"/>
            </c:ext>
          </c:extLst>
        </c:ser>
        <c:ser>
          <c:idx val="3"/>
          <c:order val="3"/>
          <c:tx>
            <c:strRef>
              <c:f>'CO half-hourly'!$E$6</c:f>
              <c:strCache>
                <c:ptCount val="1"/>
                <c:pt idx="0">
                  <c:v>Daily CO ELV</c:v>
                </c:pt>
              </c:strCache>
            </c:strRef>
          </c:tx>
          <c:spPr>
            <a:ln>
              <a:prstDash val="dash"/>
            </a:ln>
          </c:spPr>
          <c:marker>
            <c:symbol val="none"/>
          </c:marker>
          <c:cat>
            <c:strRef>
              <c:f>'CO half-hourly'!$A$7:$A$18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half-hourly'!$E$7:$E$18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half-hourly'!$F$6</c:f>
              <c:strCache>
                <c:ptCount val="1"/>
                <c:pt idx="0">
                  <c:v>Monthly daily mean</c:v>
                </c:pt>
              </c:strCache>
            </c:strRef>
          </c:tx>
          <c:spPr>
            <a:ln w="15875">
              <a:prstDash val="dash"/>
            </a:ln>
          </c:spPr>
          <c:marker>
            <c:symbol val="none"/>
          </c:marker>
          <c:cat>
            <c:strRef>
              <c:f>'CO half-hourly'!$A$7:$A$18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half-hourly'!$F$7:$F$18</c:f>
              <c:numCache>
                <c:formatCode>General</c:formatCode>
                <c:ptCount val="12"/>
                <c:pt idx="0">
                  <c:v>0.35</c:v>
                </c:pt>
                <c:pt idx="1">
                  <c:v>5.0999999999999996</c:v>
                </c:pt>
                <c:pt idx="2">
                  <c:v>4.78</c:v>
                </c:pt>
                <c:pt idx="3">
                  <c:v>3.43</c:v>
                </c:pt>
                <c:pt idx="4">
                  <c:v>2.2999999999999998</c:v>
                </c:pt>
                <c:pt idx="5">
                  <c:v>0.93</c:v>
                </c:pt>
                <c:pt idx="6">
                  <c:v>0.92</c:v>
                </c:pt>
                <c:pt idx="7">
                  <c:v>1.23</c:v>
                </c:pt>
                <c:pt idx="8">
                  <c:v>0.8</c:v>
                </c:pt>
                <c:pt idx="9">
                  <c:v>2.36</c:v>
                </c:pt>
                <c:pt idx="10">
                  <c:v>1.5</c:v>
                </c:pt>
              </c:numCache>
            </c:numRef>
          </c:val>
          <c:smooth val="0"/>
          <c:extLst>
            <c:ext xmlns:c16="http://schemas.microsoft.com/office/drawing/2014/chart" uri="{C3380CC4-5D6E-409C-BE32-E72D297353CC}">
              <c16:uniqueId val="{00000004-DF93-4E57-BFCF-EC3D33E6D8F9}"/>
            </c:ext>
          </c:extLst>
        </c:ser>
        <c:ser>
          <c:idx val="5"/>
          <c:order val="5"/>
          <c:tx>
            <c:strRef>
              <c:f>'CO half-hourly'!$G$6</c:f>
              <c:strCache>
                <c:ptCount val="1"/>
                <c:pt idx="0">
                  <c:v>Monthly daily maximum</c:v>
                </c:pt>
              </c:strCache>
            </c:strRef>
          </c:tx>
          <c:spPr>
            <a:ln w="12700">
              <a:noFill/>
              <a:prstDash val="solid"/>
            </a:ln>
          </c:spPr>
          <c:marker>
            <c:symbol val="triangle"/>
            <c:size val="5"/>
          </c:marker>
          <c:cat>
            <c:strRef>
              <c:f>'CO half-hourly'!$A$7:$A$18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half-hourly'!$G$7:$G$18</c:f>
              <c:numCache>
                <c:formatCode>General</c:formatCode>
                <c:ptCount val="12"/>
                <c:pt idx="0">
                  <c:v>0.55000000000000004</c:v>
                </c:pt>
                <c:pt idx="1">
                  <c:v>8.6999999999999993</c:v>
                </c:pt>
                <c:pt idx="2">
                  <c:v>11.41</c:v>
                </c:pt>
                <c:pt idx="3">
                  <c:v>8.06</c:v>
                </c:pt>
                <c:pt idx="4">
                  <c:v>8.9</c:v>
                </c:pt>
                <c:pt idx="5">
                  <c:v>2.4300000000000002</c:v>
                </c:pt>
                <c:pt idx="6">
                  <c:v>3.42</c:v>
                </c:pt>
                <c:pt idx="7">
                  <c:v>3.86</c:v>
                </c:pt>
                <c:pt idx="8">
                  <c:v>1.7</c:v>
                </c:pt>
                <c:pt idx="9">
                  <c:v>4.5</c:v>
                </c:pt>
                <c:pt idx="10">
                  <c:v>1.8</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286378968"/>
        <c:axId val="286379360"/>
      </c:lineChart>
      <c:catAx>
        <c:axId val="286378968"/>
        <c:scaling>
          <c:orientation val="minMax"/>
        </c:scaling>
        <c:delete val="0"/>
        <c:axPos val="b"/>
        <c:numFmt formatCode="General" sourceLinked="1"/>
        <c:majorTickMark val="out"/>
        <c:minorTickMark val="none"/>
        <c:tickLblPos val="nextTo"/>
        <c:crossAx val="286379360"/>
        <c:crosses val="autoZero"/>
        <c:auto val="1"/>
        <c:lblAlgn val="ctr"/>
        <c:lblOffset val="100"/>
        <c:noMultiLvlLbl val="0"/>
      </c:catAx>
      <c:valAx>
        <c:axId val="2863793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8637896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1/2 hourly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Monthly CO 10  min. mean</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Monthly 10 min.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Monthly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286640888"/>
        <c:axId val="286641280"/>
      </c:lineChart>
      <c:catAx>
        <c:axId val="286640888"/>
        <c:scaling>
          <c:orientation val="minMax"/>
        </c:scaling>
        <c:delete val="0"/>
        <c:axPos val="b"/>
        <c:numFmt formatCode="General" sourceLinked="1"/>
        <c:majorTickMark val="out"/>
        <c:minorTickMark val="none"/>
        <c:tickLblPos val="nextTo"/>
        <c:crossAx val="286641280"/>
        <c:crosses val="autoZero"/>
        <c:auto val="1"/>
        <c:lblAlgn val="ctr"/>
        <c:lblOffset val="100"/>
        <c:noMultiLvlLbl val="0"/>
      </c:catAx>
      <c:valAx>
        <c:axId val="28664128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8664088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0.3</c:v>
                </c:pt>
                <c:pt idx="1">
                  <c:v>0.45</c:v>
                </c:pt>
                <c:pt idx="2">
                  <c:v>0.02</c:v>
                </c:pt>
                <c:pt idx="3">
                  <c:v>3.5999999999999997E-2</c:v>
                </c:pt>
                <c:pt idx="4">
                  <c:v>0.12</c:v>
                </c:pt>
                <c:pt idx="5">
                  <c:v>0.15</c:v>
                </c:pt>
                <c:pt idx="6">
                  <c:v>7.0000000000000007E-2</c:v>
                </c:pt>
                <c:pt idx="7">
                  <c:v>0.03</c:v>
                </c:pt>
                <c:pt idx="8">
                  <c:v>0.2</c:v>
                </c:pt>
                <c:pt idx="9">
                  <c:v>0.23</c:v>
                </c:pt>
                <c:pt idx="10">
                  <c:v>0.23</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Monthly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3.23</c:v>
                </c:pt>
                <c:pt idx="1">
                  <c:v>5.0999999999999996</c:v>
                </c:pt>
                <c:pt idx="2">
                  <c:v>0.9</c:v>
                </c:pt>
                <c:pt idx="3">
                  <c:v>0.6</c:v>
                </c:pt>
                <c:pt idx="4">
                  <c:v>1.9</c:v>
                </c:pt>
                <c:pt idx="5">
                  <c:v>2.2000000000000002</c:v>
                </c:pt>
                <c:pt idx="6">
                  <c:v>3.1</c:v>
                </c:pt>
                <c:pt idx="7">
                  <c:v>1.2</c:v>
                </c:pt>
                <c:pt idx="8">
                  <c:v>3.6</c:v>
                </c:pt>
                <c:pt idx="9">
                  <c:v>2.1</c:v>
                </c:pt>
                <c:pt idx="10">
                  <c:v>3.4</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0.3</c:v>
                </c:pt>
                <c:pt idx="1">
                  <c:v>0.45</c:v>
                </c:pt>
                <c:pt idx="2">
                  <c:v>1.7000000000000001E-2</c:v>
                </c:pt>
                <c:pt idx="3">
                  <c:v>3.6999999999999998E-2</c:v>
                </c:pt>
                <c:pt idx="4">
                  <c:v>0.12</c:v>
                </c:pt>
                <c:pt idx="5">
                  <c:v>0.15</c:v>
                </c:pt>
                <c:pt idx="6">
                  <c:v>7.0000000000000007E-2</c:v>
                </c:pt>
                <c:pt idx="7">
                  <c:v>0.03</c:v>
                </c:pt>
                <c:pt idx="8">
                  <c:v>0.19</c:v>
                </c:pt>
                <c:pt idx="9">
                  <c:v>0.22</c:v>
                </c:pt>
                <c:pt idx="10">
                  <c:v>0.24</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Monthly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1.17</c:v>
                </c:pt>
                <c:pt idx="1">
                  <c:v>3.01</c:v>
                </c:pt>
                <c:pt idx="2">
                  <c:v>0.06</c:v>
                </c:pt>
                <c:pt idx="3">
                  <c:v>0.18</c:v>
                </c:pt>
                <c:pt idx="4">
                  <c:v>0.69</c:v>
                </c:pt>
                <c:pt idx="5">
                  <c:v>0.97</c:v>
                </c:pt>
                <c:pt idx="6">
                  <c:v>0.9</c:v>
                </c:pt>
                <c:pt idx="7">
                  <c:v>0.21</c:v>
                </c:pt>
                <c:pt idx="8">
                  <c:v>1.47</c:v>
                </c:pt>
                <c:pt idx="9">
                  <c:v>1.08</c:v>
                </c:pt>
                <c:pt idx="10">
                  <c:v>1.0900000000000001</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286642456"/>
        <c:axId val="286642848"/>
      </c:lineChart>
      <c:catAx>
        <c:axId val="286642456"/>
        <c:scaling>
          <c:orientation val="minMax"/>
        </c:scaling>
        <c:delete val="0"/>
        <c:axPos val="b"/>
        <c:numFmt formatCode="General" sourceLinked="1"/>
        <c:majorTickMark val="out"/>
        <c:minorTickMark val="none"/>
        <c:tickLblPos val="nextTo"/>
        <c:crossAx val="286642848"/>
        <c:crosses val="autoZero"/>
        <c:auto val="1"/>
        <c:lblAlgn val="ctr"/>
        <c:lblOffset val="100"/>
        <c:noMultiLvlLbl val="0"/>
      </c:catAx>
      <c:valAx>
        <c:axId val="28664284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8664245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xdr:twoCellAnchor editAs="oneCell">
    <xdr:from>
      <xdr:col>3</xdr:col>
      <xdr:colOff>57150</xdr:colOff>
      <xdr:row>1</xdr:row>
      <xdr:rowOff>114300</xdr:rowOff>
    </xdr:from>
    <xdr:to>
      <xdr:col>6</xdr:col>
      <xdr:colOff>542925</xdr:colOff>
      <xdr:row>3</xdr:row>
      <xdr:rowOff>90540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7900" y="304800"/>
          <a:ext cx="2314575" cy="3572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Kurtis.Beba@Lianhetech-Europe.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N53"/>
  <sheetViews>
    <sheetView showGridLines="0" topLeftCell="A12" zoomScaleNormal="100" workbookViewId="0">
      <selection activeCell="B30" sqref="B30"/>
    </sheetView>
  </sheetViews>
  <sheetFormatPr defaultColWidth="9.140625" defaultRowHeight="15"/>
  <cols>
    <col min="1" max="1" width="9.140625" style="2" customWidth="1"/>
    <col min="2" max="2" width="14.5703125" style="2" bestFit="1" customWidth="1"/>
    <col min="3" max="9" width="9.140625" style="2"/>
    <col min="10" max="10" width="11.5703125" style="2" customWidth="1"/>
    <col min="11" max="16384" width="9.140625" style="2"/>
  </cols>
  <sheetData>
    <row r="1" spans="2:14">
      <c r="D1" s="139" t="s">
        <v>0</v>
      </c>
      <c r="E1" s="139"/>
      <c r="F1" s="139"/>
      <c r="G1" s="139"/>
    </row>
    <row r="2" spans="2:14">
      <c r="D2" s="139"/>
      <c r="E2" s="139"/>
      <c r="F2" s="139"/>
      <c r="G2" s="139"/>
    </row>
    <row r="3" spans="2:14">
      <c r="D3" s="139"/>
      <c r="E3" s="139"/>
      <c r="F3" s="139"/>
      <c r="G3" s="139"/>
    </row>
    <row r="4" spans="2:14">
      <c r="D4" s="139"/>
      <c r="E4" s="139"/>
      <c r="F4" s="139"/>
      <c r="G4" s="139"/>
    </row>
    <row r="5" spans="2:14">
      <c r="D5" s="139"/>
      <c r="E5" s="139"/>
      <c r="F5" s="139"/>
      <c r="G5" s="139"/>
    </row>
    <row r="6" spans="2:14">
      <c r="D6" s="139"/>
      <c r="E6" s="139"/>
      <c r="F6" s="139"/>
      <c r="G6" s="139"/>
    </row>
    <row r="8" spans="2:14" ht="15.75" customHeight="1">
      <c r="B8" s="139" t="s">
        <v>1</v>
      </c>
      <c r="C8" s="139"/>
      <c r="D8" s="139"/>
      <c r="E8" s="139"/>
      <c r="F8" s="139"/>
      <c r="G8" s="139"/>
      <c r="H8" s="139"/>
      <c r="I8" s="139"/>
      <c r="N8" s="132"/>
    </row>
    <row r="9" spans="2:14">
      <c r="B9" s="139"/>
      <c r="C9" s="139"/>
      <c r="D9" s="139"/>
      <c r="E9" s="139"/>
      <c r="F9" s="139"/>
      <c r="G9" s="139"/>
      <c r="H9" s="139"/>
      <c r="I9" s="139"/>
    </row>
    <row r="10" spans="2:14">
      <c r="B10" s="139"/>
      <c r="C10" s="139"/>
      <c r="D10" s="139"/>
      <c r="E10" s="139"/>
      <c r="F10" s="139"/>
      <c r="G10" s="139"/>
      <c r="H10" s="139"/>
      <c r="I10" s="139"/>
    </row>
    <row r="11" spans="2:14">
      <c r="B11" s="139"/>
      <c r="C11" s="139"/>
      <c r="D11" s="139"/>
      <c r="E11" s="139"/>
      <c r="F11" s="139"/>
      <c r="G11" s="139"/>
      <c r="H11" s="139"/>
      <c r="I11" s="139"/>
    </row>
    <row r="12" spans="2:14">
      <c r="B12" s="139"/>
      <c r="C12" s="139"/>
      <c r="D12" s="139"/>
      <c r="E12" s="139"/>
      <c r="F12" s="139"/>
      <c r="G12" s="139"/>
      <c r="H12" s="139"/>
      <c r="I12" s="139"/>
    </row>
    <row r="13" spans="2:14">
      <c r="B13" s="139"/>
      <c r="C13" s="139"/>
      <c r="D13" s="139"/>
      <c r="E13" s="139"/>
      <c r="F13" s="139"/>
      <c r="G13" s="139"/>
      <c r="H13" s="139"/>
      <c r="I13" s="139"/>
    </row>
    <row r="14" spans="2:14">
      <c r="B14" s="139"/>
      <c r="C14" s="139"/>
      <c r="D14" s="139"/>
      <c r="E14" s="139"/>
      <c r="F14" s="139"/>
      <c r="G14" s="139"/>
      <c r="H14" s="139"/>
      <c r="I14" s="139"/>
    </row>
    <row r="15" spans="2:14">
      <c r="B15" s="139"/>
      <c r="C15" s="139"/>
      <c r="D15" s="139"/>
      <c r="E15" s="139"/>
      <c r="F15" s="139"/>
      <c r="G15" s="139"/>
      <c r="H15" s="139"/>
      <c r="I15" s="139"/>
    </row>
    <row r="16" spans="2:14">
      <c r="B16" s="139"/>
      <c r="C16" s="139"/>
      <c r="D16" s="139"/>
      <c r="E16" s="139"/>
      <c r="F16" s="139"/>
      <c r="G16" s="139"/>
      <c r="H16" s="139"/>
      <c r="I16" s="139"/>
    </row>
    <row r="17" spans="2:9">
      <c r="B17" s="139"/>
      <c r="C17" s="139"/>
      <c r="D17" s="139"/>
      <c r="E17" s="139"/>
      <c r="F17" s="139"/>
      <c r="G17" s="139"/>
      <c r="H17" s="139"/>
      <c r="I17" s="139"/>
    </row>
    <row r="18" spans="2:9">
      <c r="B18" s="139"/>
      <c r="C18" s="139"/>
      <c r="D18" s="139"/>
      <c r="E18" s="139"/>
      <c r="F18" s="139"/>
      <c r="G18" s="139"/>
      <c r="H18" s="139"/>
      <c r="I18" s="139"/>
    </row>
    <row r="19" spans="2:9">
      <c r="B19" s="139"/>
      <c r="C19" s="139"/>
      <c r="D19" s="139"/>
      <c r="E19" s="139"/>
      <c r="F19" s="139"/>
      <c r="G19" s="139"/>
      <c r="H19" s="139"/>
      <c r="I19" s="139"/>
    </row>
    <row r="20" spans="2:9">
      <c r="B20" s="139"/>
      <c r="C20" s="139"/>
      <c r="D20" s="139"/>
      <c r="E20" s="139"/>
      <c r="F20" s="139"/>
      <c r="G20" s="139"/>
      <c r="H20" s="139"/>
      <c r="I20" s="139"/>
    </row>
    <row r="21" spans="2:9">
      <c r="B21" s="139"/>
      <c r="C21" s="139"/>
      <c r="D21" s="139"/>
      <c r="E21" s="139"/>
      <c r="F21" s="139"/>
      <c r="G21" s="139"/>
      <c r="H21" s="139"/>
      <c r="I21" s="139"/>
    </row>
    <row r="22" spans="2:9">
      <c r="B22" s="139"/>
      <c r="C22" s="139"/>
      <c r="D22" s="139"/>
      <c r="E22" s="139"/>
      <c r="F22" s="139"/>
      <c r="G22" s="139"/>
      <c r="H22" s="139"/>
      <c r="I22" s="139"/>
    </row>
    <row r="23" spans="2:9">
      <c r="B23" s="139"/>
      <c r="C23" s="139"/>
      <c r="D23" s="139"/>
      <c r="E23" s="139"/>
      <c r="F23" s="139"/>
      <c r="G23" s="139"/>
      <c r="H23" s="139"/>
      <c r="I23" s="139"/>
    </row>
    <row r="24" spans="2:9">
      <c r="B24" s="139"/>
      <c r="C24" s="139"/>
      <c r="D24" s="139"/>
      <c r="E24" s="139"/>
      <c r="F24" s="139"/>
      <c r="G24" s="139"/>
      <c r="H24" s="139"/>
      <c r="I24" s="139"/>
    </row>
    <row r="29" spans="2:9" ht="18">
      <c r="B29" s="138" t="s">
        <v>2</v>
      </c>
      <c r="C29" s="138"/>
      <c r="D29" s="138"/>
      <c r="E29" s="138"/>
      <c r="F29" s="138"/>
      <c r="G29" s="138"/>
      <c r="H29" s="138"/>
      <c r="I29" s="138"/>
    </row>
    <row r="30" spans="2:9" ht="18">
      <c r="C30" s="7"/>
      <c r="D30" s="8"/>
      <c r="E30" s="8"/>
      <c r="F30" s="8"/>
      <c r="G30" s="8"/>
      <c r="H30" s="8"/>
      <c r="I30" s="8"/>
    </row>
    <row r="31" spans="2:9" ht="18">
      <c r="B31" s="138" t="s">
        <v>3</v>
      </c>
      <c r="C31" s="138"/>
      <c r="D31" s="138"/>
      <c r="E31" s="138"/>
      <c r="F31" s="138"/>
      <c r="G31" s="138"/>
      <c r="H31" s="138"/>
      <c r="I31" s="138"/>
    </row>
    <row r="32" spans="2:9" ht="18">
      <c r="C32" s="7"/>
      <c r="D32" s="8"/>
      <c r="E32" s="8"/>
      <c r="F32" s="8"/>
      <c r="G32" s="8"/>
      <c r="H32" s="8"/>
      <c r="I32" s="8"/>
    </row>
    <row r="33" spans="2:9" ht="18">
      <c r="B33" s="138" t="s">
        <v>4</v>
      </c>
      <c r="C33" s="138"/>
      <c r="D33" s="138"/>
      <c r="E33" s="138"/>
      <c r="F33" s="138"/>
      <c r="G33" s="138"/>
      <c r="H33" s="138"/>
      <c r="I33" s="138"/>
    </row>
    <row r="34" spans="2:9" ht="18">
      <c r="C34" s="7"/>
      <c r="D34" s="8"/>
      <c r="E34" s="8"/>
      <c r="F34" s="8"/>
      <c r="G34" s="8"/>
      <c r="H34" s="8"/>
      <c r="I34" s="8"/>
    </row>
    <row r="35" spans="2:9" ht="18">
      <c r="B35" s="138" t="s">
        <v>5</v>
      </c>
      <c r="C35" s="138"/>
      <c r="D35" s="138"/>
      <c r="E35" s="138"/>
      <c r="F35" s="138"/>
      <c r="G35" s="138"/>
      <c r="H35" s="138"/>
      <c r="I35" s="138"/>
    </row>
    <row r="37" spans="2:9" ht="18">
      <c r="B37" s="138" t="s">
        <v>6</v>
      </c>
      <c r="C37" s="138"/>
      <c r="D37" s="138"/>
      <c r="E37" s="138"/>
      <c r="F37" s="138"/>
      <c r="G37" s="138"/>
      <c r="H37" s="138"/>
      <c r="I37" s="138"/>
    </row>
    <row r="39" spans="2:9">
      <c r="B39" s="2" t="s">
        <v>7</v>
      </c>
      <c r="C39" s="9">
        <v>2022</v>
      </c>
    </row>
    <row r="40" spans="2:9" ht="14.25" customHeight="1"/>
    <row r="41" spans="2:9">
      <c r="B41" s="10" t="s">
        <v>8</v>
      </c>
      <c r="C41" s="140" t="s">
        <v>9</v>
      </c>
      <c r="D41" s="140"/>
      <c r="E41" s="140"/>
      <c r="F41" s="140"/>
      <c r="G41" s="140"/>
      <c r="H41" s="140"/>
      <c r="I41" s="140"/>
    </row>
    <row r="42" spans="2:9">
      <c r="B42" s="10"/>
    </row>
    <row r="43" spans="2:9">
      <c r="B43" s="10" t="s">
        <v>10</v>
      </c>
      <c r="C43" s="140" t="s">
        <v>11</v>
      </c>
      <c r="D43" s="140"/>
      <c r="E43" s="140"/>
    </row>
    <row r="44" spans="2:9">
      <c r="B44" s="10"/>
    </row>
    <row r="45" spans="2:9" ht="15.75">
      <c r="B45" s="10" t="s">
        <v>12</v>
      </c>
      <c r="C45" s="141" t="s">
        <v>13</v>
      </c>
      <c r="D45" s="140"/>
      <c r="E45" s="140"/>
    </row>
    <row r="46" spans="2:9">
      <c r="B46" s="10"/>
    </row>
    <row r="47" spans="2:9">
      <c r="B47" s="10" t="s">
        <v>14</v>
      </c>
      <c r="C47" s="140" t="s">
        <v>15</v>
      </c>
      <c r="D47" s="140"/>
      <c r="F47" s="2" t="s">
        <v>16</v>
      </c>
      <c r="G47" s="140" t="s">
        <v>17</v>
      </c>
      <c r="H47" s="140"/>
      <c r="I47" s="140"/>
    </row>
    <row r="48" spans="2:9">
      <c r="B48" s="10"/>
    </row>
    <row r="49" spans="2:9">
      <c r="B49" s="10" t="s">
        <v>18</v>
      </c>
      <c r="C49" s="140"/>
      <c r="D49" s="140"/>
      <c r="F49" s="2" t="s">
        <v>16</v>
      </c>
      <c r="G49" s="140"/>
      <c r="H49" s="140"/>
      <c r="I49" s="140"/>
    </row>
    <row r="50" spans="2:9">
      <c r="B50" s="10"/>
    </row>
    <row r="51" spans="2:9">
      <c r="B51" s="10" t="s">
        <v>19</v>
      </c>
      <c r="C51" s="9"/>
    </row>
    <row r="52" spans="2:9">
      <c r="B52" s="10"/>
    </row>
    <row r="53" spans="2:9">
      <c r="B53" s="10" t="s">
        <v>20</v>
      </c>
      <c r="C53" s="140"/>
      <c r="D53" s="140"/>
    </row>
  </sheetData>
  <mergeCells count="15">
    <mergeCell ref="C49:D49"/>
    <mergeCell ref="G49:I49"/>
    <mergeCell ref="C53:D53"/>
    <mergeCell ref="B37:I37"/>
    <mergeCell ref="C41:I41"/>
    <mergeCell ref="C43:E43"/>
    <mergeCell ref="C45:E45"/>
    <mergeCell ref="C47:D47"/>
    <mergeCell ref="G47:I47"/>
    <mergeCell ref="B35:I35"/>
    <mergeCell ref="D1:G6"/>
    <mergeCell ref="B8:I24"/>
    <mergeCell ref="B29:I29"/>
    <mergeCell ref="B31:I31"/>
    <mergeCell ref="B33:I33"/>
  </mergeCells>
  <hyperlinks>
    <hyperlink ref="C45" r:id="rId1" xr:uid="{F82BE49F-32CA-4FFC-B775-823867F55D1C}"/>
  </hyperlinks>
  <pageMargins left="0.7" right="0.7" top="0.75" bottom="0.75" header="0.3" footer="0.3"/>
  <pageSetup paperSize="9" scale="87"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J65"/>
  <sheetViews>
    <sheetView showGridLines="0" zoomScaleNormal="100" workbookViewId="0">
      <selection activeCell="K27" sqref="K27"/>
    </sheetView>
  </sheetViews>
  <sheetFormatPr defaultColWidth="9.140625" defaultRowHeight="15"/>
  <cols>
    <col min="1" max="1" width="9.140625" style="2" customWidth="1"/>
    <col min="2" max="2" width="14.5703125" style="2" bestFit="1" customWidth="1"/>
    <col min="3" max="9" width="9.140625" style="2"/>
    <col min="10" max="10" width="11.5703125" style="2" customWidth="1"/>
    <col min="11" max="16384" width="9.140625" style="2"/>
  </cols>
  <sheetData>
    <row r="1" spans="1:8">
      <c r="A1" s="2" t="str">
        <f>+'Cover Page'!$B$29</f>
        <v>Annual Performance Report 2022</v>
      </c>
      <c r="E1" s="2" t="str">
        <f>+'Cover Page'!$B$33</f>
        <v>Fine Environmental Services</v>
      </c>
    </row>
    <row r="3" spans="1:8" ht="15.75">
      <c r="A3" s="110" t="s">
        <v>21</v>
      </c>
      <c r="B3" s="108"/>
      <c r="C3" s="108"/>
      <c r="D3" s="108"/>
      <c r="E3" s="108"/>
      <c r="F3" s="108"/>
      <c r="G3" s="108"/>
      <c r="H3" s="109"/>
    </row>
    <row r="4" spans="1:8" ht="15.75">
      <c r="A4" s="5" t="s">
        <v>22</v>
      </c>
      <c r="B4" s="143" t="s">
        <v>23</v>
      </c>
      <c r="C4" s="143"/>
      <c r="D4" s="143"/>
      <c r="E4" s="143"/>
      <c r="F4" s="143"/>
      <c r="G4" s="143"/>
      <c r="H4" s="6" t="s">
        <v>24</v>
      </c>
    </row>
    <row r="5" spans="1:8">
      <c r="A5" s="4"/>
      <c r="B5" s="142" t="s">
        <v>25</v>
      </c>
      <c r="C5" s="142"/>
      <c r="D5" s="142"/>
      <c r="E5" s="142"/>
      <c r="F5" s="142"/>
      <c r="G5" s="142"/>
      <c r="H5" s="4"/>
    </row>
    <row r="6" spans="1:8">
      <c r="A6" s="4"/>
      <c r="B6" s="142" t="s">
        <v>26</v>
      </c>
      <c r="C6" s="142"/>
      <c r="D6" s="142"/>
      <c r="E6" s="142"/>
      <c r="F6" s="142"/>
      <c r="G6" s="142"/>
      <c r="H6" s="4"/>
    </row>
    <row r="7" spans="1:8" ht="15.75" customHeight="1">
      <c r="A7" s="4"/>
      <c r="B7" s="142" t="s">
        <v>27</v>
      </c>
      <c r="C7" s="142"/>
      <c r="D7" s="142"/>
      <c r="E7" s="142"/>
      <c r="F7" s="142"/>
      <c r="G7" s="142"/>
      <c r="H7" s="4"/>
    </row>
    <row r="8" spans="1:8">
      <c r="A8" s="4"/>
      <c r="B8" s="142" t="s">
        <v>28</v>
      </c>
      <c r="C8" s="142"/>
      <c r="D8" s="142"/>
      <c r="E8" s="142"/>
      <c r="F8" s="142"/>
      <c r="G8" s="142"/>
      <c r="H8" s="4"/>
    </row>
    <row r="9" spans="1:8">
      <c r="A9" s="4"/>
      <c r="B9" s="142" t="s">
        <v>29</v>
      </c>
      <c r="C9" s="142"/>
      <c r="D9" s="142"/>
      <c r="E9" s="142"/>
      <c r="F9" s="142"/>
      <c r="G9" s="142"/>
      <c r="H9" s="4"/>
    </row>
    <row r="10" spans="1:8">
      <c r="A10" s="4"/>
      <c r="B10" s="142" t="s">
        <v>30</v>
      </c>
      <c r="C10" s="142"/>
      <c r="D10" s="142"/>
      <c r="E10" s="142"/>
      <c r="F10" s="142"/>
      <c r="G10" s="142"/>
      <c r="H10" s="4"/>
    </row>
    <row r="11" spans="1:8">
      <c r="A11" s="4"/>
      <c r="B11" s="142" t="s">
        <v>31</v>
      </c>
      <c r="C11" s="142"/>
      <c r="D11" s="142"/>
      <c r="E11" s="142"/>
      <c r="F11" s="142"/>
      <c r="G11" s="142"/>
      <c r="H11" s="4"/>
    </row>
    <row r="12" spans="1:8">
      <c r="A12" s="4"/>
      <c r="B12" s="142" t="s">
        <v>32</v>
      </c>
      <c r="C12" s="142"/>
      <c r="D12" s="142"/>
      <c r="E12" s="142"/>
      <c r="F12" s="142"/>
      <c r="G12" s="142"/>
      <c r="H12" s="4"/>
    </row>
    <row r="13" spans="1:8">
      <c r="A13" s="4"/>
      <c r="B13" s="142" t="s">
        <v>33</v>
      </c>
      <c r="C13" s="142"/>
      <c r="D13" s="142"/>
      <c r="E13" s="142"/>
      <c r="F13" s="142"/>
      <c r="G13" s="142"/>
      <c r="H13" s="4"/>
    </row>
    <row r="14" spans="1:8">
      <c r="A14" s="4"/>
      <c r="B14" s="142" t="s">
        <v>34</v>
      </c>
      <c r="C14" s="142"/>
      <c r="D14" s="142"/>
      <c r="E14" s="142"/>
      <c r="F14" s="142"/>
      <c r="G14" s="142"/>
      <c r="H14" s="4"/>
    </row>
    <row r="15" spans="1:8">
      <c r="A15" s="4"/>
      <c r="B15" s="142" t="s">
        <v>35</v>
      </c>
      <c r="C15" s="142"/>
      <c r="D15" s="142"/>
      <c r="E15" s="142"/>
      <c r="F15" s="142"/>
      <c r="G15" s="142"/>
      <c r="H15" s="4"/>
    </row>
    <row r="16" spans="1:8">
      <c r="A16" s="4"/>
      <c r="B16" s="142" t="s">
        <v>36</v>
      </c>
      <c r="C16" s="142"/>
      <c r="D16" s="142"/>
      <c r="E16" s="142"/>
      <c r="F16" s="142"/>
      <c r="G16" s="142"/>
      <c r="H16" s="4"/>
    </row>
    <row r="17" spans="1:8">
      <c r="A17" s="4"/>
      <c r="B17" s="142" t="s">
        <v>37</v>
      </c>
      <c r="C17" s="142"/>
      <c r="D17" s="142"/>
      <c r="E17" s="142"/>
      <c r="F17" s="142"/>
      <c r="G17" s="142"/>
      <c r="H17" s="4"/>
    </row>
    <row r="18" spans="1:8">
      <c r="A18" s="4"/>
      <c r="B18" s="142" t="s">
        <v>38</v>
      </c>
      <c r="C18" s="142"/>
      <c r="D18" s="142"/>
      <c r="E18" s="142"/>
      <c r="F18" s="142"/>
      <c r="G18" s="142"/>
      <c r="H18" s="4"/>
    </row>
    <row r="19" spans="1:8">
      <c r="A19" s="4"/>
      <c r="B19" s="142" t="s">
        <v>39</v>
      </c>
      <c r="C19" s="142"/>
      <c r="D19" s="142"/>
      <c r="E19" s="142"/>
      <c r="F19" s="142"/>
      <c r="G19" s="142"/>
      <c r="H19" s="4"/>
    </row>
    <row r="20" spans="1:8">
      <c r="A20" s="4"/>
      <c r="B20" s="142" t="s">
        <v>40</v>
      </c>
      <c r="C20" s="142"/>
      <c r="D20" s="142"/>
      <c r="E20" s="142"/>
      <c r="F20" s="142"/>
      <c r="G20" s="142"/>
      <c r="H20" s="4"/>
    </row>
    <row r="21" spans="1:8">
      <c r="A21" s="4"/>
      <c r="B21" s="142" t="s">
        <v>41</v>
      </c>
      <c r="C21" s="142"/>
      <c r="D21" s="142"/>
      <c r="E21" s="142"/>
      <c r="F21" s="142"/>
      <c r="G21" s="142"/>
      <c r="H21" s="4"/>
    </row>
    <row r="22" spans="1:8">
      <c r="A22" s="4"/>
      <c r="B22" s="145" t="s">
        <v>42</v>
      </c>
      <c r="C22" s="146"/>
      <c r="D22" s="146"/>
      <c r="E22" s="146"/>
      <c r="F22" s="146"/>
      <c r="G22" s="147"/>
      <c r="H22" s="4"/>
    </row>
    <row r="23" spans="1:8">
      <c r="A23" s="4"/>
      <c r="B23" s="145" t="s">
        <v>43</v>
      </c>
      <c r="C23" s="146"/>
      <c r="D23" s="146"/>
      <c r="E23" s="146"/>
      <c r="F23" s="146"/>
      <c r="G23" s="147"/>
      <c r="H23" s="4"/>
    </row>
    <row r="24" spans="1:8">
      <c r="A24" s="4"/>
      <c r="B24" s="142"/>
      <c r="C24" s="142"/>
      <c r="D24" s="142"/>
      <c r="E24" s="142"/>
      <c r="F24" s="142"/>
      <c r="G24" s="142"/>
      <c r="H24" s="4"/>
    </row>
    <row r="26" spans="1:8" ht="15.75">
      <c r="A26" s="107" t="s">
        <v>44</v>
      </c>
      <c r="B26" s="108"/>
      <c r="C26" s="108"/>
      <c r="D26" s="108"/>
      <c r="E26" s="108"/>
      <c r="F26" s="108"/>
      <c r="G26" s="108"/>
      <c r="H26" s="109"/>
    </row>
    <row r="27" spans="1:8">
      <c r="A27" s="12" t="s">
        <v>22</v>
      </c>
      <c r="B27" s="148" t="s">
        <v>45</v>
      </c>
      <c r="C27" s="148"/>
      <c r="D27" s="148"/>
      <c r="E27" s="148"/>
      <c r="F27" s="148"/>
      <c r="G27" s="148"/>
      <c r="H27" s="13" t="s">
        <v>46</v>
      </c>
    </row>
    <row r="28" spans="1:8">
      <c r="A28" s="14"/>
      <c r="B28" s="149"/>
      <c r="C28" s="149"/>
      <c r="D28" s="149"/>
      <c r="E28" s="149"/>
      <c r="F28" s="149"/>
      <c r="G28" s="149"/>
      <c r="H28" s="14"/>
    </row>
    <row r="29" spans="1:8">
      <c r="A29" s="14"/>
      <c r="B29" s="149"/>
      <c r="C29" s="149"/>
      <c r="D29" s="149"/>
      <c r="E29" s="149"/>
      <c r="F29" s="149"/>
      <c r="G29" s="149"/>
      <c r="H29" s="14"/>
    </row>
    <row r="30" spans="1:8">
      <c r="A30" s="14"/>
      <c r="B30" s="149"/>
      <c r="C30" s="149"/>
      <c r="D30" s="149"/>
      <c r="E30" s="149"/>
      <c r="F30" s="149"/>
      <c r="G30" s="149"/>
      <c r="H30" s="14"/>
    </row>
    <row r="31" spans="1:8">
      <c r="A31" s="14"/>
      <c r="B31" s="149"/>
      <c r="C31" s="149"/>
      <c r="D31" s="149"/>
      <c r="E31" s="149"/>
      <c r="F31" s="149"/>
      <c r="G31" s="149"/>
      <c r="H31" s="14"/>
    </row>
    <row r="32" spans="1:8">
      <c r="A32" s="14"/>
      <c r="B32" s="149"/>
      <c r="C32" s="149"/>
      <c r="D32" s="149"/>
      <c r="E32" s="149"/>
      <c r="F32" s="149"/>
      <c r="G32" s="149"/>
      <c r="H32" s="14"/>
    </row>
    <row r="34" spans="1:10" ht="14.25" customHeight="1">
      <c r="A34" s="107" t="s">
        <v>47</v>
      </c>
      <c r="B34" s="108"/>
      <c r="C34" s="108"/>
      <c r="D34" s="108"/>
      <c r="E34" s="108"/>
      <c r="F34" s="108"/>
      <c r="G34" s="108"/>
      <c r="H34" s="109"/>
    </row>
    <row r="35" spans="1:10">
      <c r="A35" s="17" t="s">
        <v>48</v>
      </c>
      <c r="B35" s="150" t="s">
        <v>49</v>
      </c>
      <c r="C35" s="150"/>
      <c r="D35" s="150"/>
      <c r="E35" s="150"/>
      <c r="F35" s="150"/>
      <c r="G35" s="150"/>
      <c r="H35" s="18" t="s">
        <v>50</v>
      </c>
    </row>
    <row r="36" spans="1:10">
      <c r="A36" s="19"/>
      <c r="B36" s="144"/>
      <c r="C36" s="144"/>
      <c r="D36" s="144"/>
      <c r="E36" s="144"/>
      <c r="F36" s="144"/>
      <c r="G36" s="144"/>
      <c r="H36" s="19"/>
    </row>
    <row r="37" spans="1:10">
      <c r="A37" s="19"/>
      <c r="B37" s="144"/>
      <c r="C37" s="144"/>
      <c r="D37" s="144"/>
      <c r="E37" s="144"/>
      <c r="F37" s="144"/>
      <c r="G37" s="144"/>
      <c r="H37" s="19"/>
    </row>
    <row r="38" spans="1:10">
      <c r="A38" s="19"/>
      <c r="B38" s="144"/>
      <c r="C38" s="144"/>
      <c r="D38" s="144"/>
      <c r="E38" s="144"/>
      <c r="F38" s="144"/>
      <c r="G38" s="144"/>
      <c r="H38" s="19"/>
    </row>
    <row r="39" spans="1:10">
      <c r="A39" s="19"/>
      <c r="B39" s="144"/>
      <c r="C39" s="144"/>
      <c r="D39" s="144"/>
      <c r="E39" s="144"/>
      <c r="F39" s="144"/>
      <c r="G39" s="144"/>
      <c r="H39" s="19"/>
    </row>
    <row r="40" spans="1:10">
      <c r="A40" s="19"/>
      <c r="B40" s="144"/>
      <c r="C40" s="144"/>
      <c r="D40" s="144"/>
      <c r="E40" s="144"/>
      <c r="F40" s="144"/>
      <c r="G40" s="144"/>
      <c r="H40" s="19"/>
    </row>
    <row r="41" spans="1:10">
      <c r="A41" s="19"/>
      <c r="B41" s="144"/>
      <c r="C41" s="144"/>
      <c r="D41" s="144"/>
      <c r="E41" s="144"/>
      <c r="F41" s="144"/>
      <c r="G41" s="144"/>
      <c r="H41" s="19"/>
    </row>
    <row r="42" spans="1:10">
      <c r="A42" s="19"/>
      <c r="B42" s="144"/>
      <c r="C42" s="144"/>
      <c r="D42" s="144"/>
      <c r="E42" s="144"/>
      <c r="F42" s="144"/>
      <c r="G42" s="144"/>
      <c r="H42" s="19"/>
    </row>
    <row r="44" spans="1:10">
      <c r="A44" s="151" t="s">
        <v>51</v>
      </c>
      <c r="B44" s="152"/>
      <c r="C44" s="152"/>
      <c r="D44" s="152"/>
      <c r="E44" s="152"/>
      <c r="F44" s="152"/>
      <c r="G44" s="152"/>
      <c r="H44" s="152"/>
      <c r="I44" s="152"/>
      <c r="J44" s="153"/>
    </row>
    <row r="45" spans="1:10">
      <c r="A45" s="154"/>
      <c r="B45" s="155"/>
      <c r="C45" s="155"/>
      <c r="D45" s="155"/>
      <c r="E45" s="155"/>
      <c r="F45" s="155"/>
      <c r="G45" s="155"/>
      <c r="H45" s="155"/>
      <c r="I45" s="155"/>
      <c r="J45" s="156"/>
    </row>
    <row r="46" spans="1:10">
      <c r="A46" s="154"/>
      <c r="B46" s="155"/>
      <c r="C46" s="155"/>
      <c r="D46" s="155"/>
      <c r="E46" s="155"/>
      <c r="F46" s="155"/>
      <c r="G46" s="155"/>
      <c r="H46" s="155"/>
      <c r="I46" s="155"/>
      <c r="J46" s="156"/>
    </row>
    <row r="47" spans="1:10">
      <c r="A47" s="157"/>
      <c r="B47" s="158"/>
      <c r="C47" s="158"/>
      <c r="D47" s="158"/>
      <c r="E47" s="158"/>
      <c r="F47" s="158"/>
      <c r="G47" s="158"/>
      <c r="H47" s="158"/>
      <c r="I47" s="158"/>
      <c r="J47" s="159"/>
    </row>
    <row r="65" spans="6:6">
      <c r="F65" s="3"/>
    </row>
  </sheetData>
  <mergeCells count="36">
    <mergeCell ref="A44:J47"/>
    <mergeCell ref="B37:G37"/>
    <mergeCell ref="B38:G38"/>
    <mergeCell ref="B39:G39"/>
    <mergeCell ref="B40:G40"/>
    <mergeCell ref="B41:G41"/>
    <mergeCell ref="B42:G42"/>
    <mergeCell ref="B36:G36"/>
    <mergeCell ref="B22:G22"/>
    <mergeCell ref="B23:G23"/>
    <mergeCell ref="B24:G24"/>
    <mergeCell ref="B27:G27"/>
    <mergeCell ref="B28:G28"/>
    <mergeCell ref="B29:G29"/>
    <mergeCell ref="B30:G30"/>
    <mergeCell ref="B31:G31"/>
    <mergeCell ref="B32:G32"/>
    <mergeCell ref="B35:G35"/>
    <mergeCell ref="B21:G21"/>
    <mergeCell ref="B10:G10"/>
    <mergeCell ref="B11:G11"/>
    <mergeCell ref="B12:G12"/>
    <mergeCell ref="B13:G13"/>
    <mergeCell ref="B14:G14"/>
    <mergeCell ref="B15:G15"/>
    <mergeCell ref="B16:G16"/>
    <mergeCell ref="B17:G17"/>
    <mergeCell ref="B18:G18"/>
    <mergeCell ref="B19:G19"/>
    <mergeCell ref="B20:G20"/>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I66"/>
  <sheetViews>
    <sheetView showGridLines="0" zoomScaleNormal="100" workbookViewId="0">
      <selection activeCell="A22" sqref="A22:I54"/>
    </sheetView>
  </sheetViews>
  <sheetFormatPr defaultColWidth="9.140625" defaultRowHeight="15"/>
  <cols>
    <col min="1" max="1" width="9.140625" style="2" customWidth="1"/>
    <col min="2" max="2" width="14.5703125" style="2" bestFit="1" customWidth="1"/>
    <col min="3" max="9" width="9.140625" style="2"/>
    <col min="10" max="10" width="11.5703125" style="2" customWidth="1"/>
    <col min="11" max="16384" width="9.140625" style="2"/>
  </cols>
  <sheetData>
    <row r="1" spans="1:9">
      <c r="A1" s="2" t="str">
        <f>+'Cover Page'!$B$29</f>
        <v>Annual Performance Report 2022</v>
      </c>
      <c r="E1" s="2" t="str">
        <f>+'Cover Page'!$B$33</f>
        <v>Fine Environmental Services</v>
      </c>
    </row>
    <row r="3" spans="1:9" ht="15.75">
      <c r="A3" s="101" t="s">
        <v>52</v>
      </c>
      <c r="B3" s="102"/>
      <c r="C3" s="102"/>
      <c r="D3" s="102"/>
      <c r="E3" s="102"/>
      <c r="F3" s="102"/>
      <c r="G3" s="102"/>
      <c r="H3" s="102"/>
      <c r="I3" s="103"/>
    </row>
    <row r="4" spans="1:9">
      <c r="A4" s="104"/>
      <c r="B4" s="105"/>
      <c r="C4" s="105"/>
      <c r="D4" s="105"/>
      <c r="E4" s="105"/>
      <c r="F4" s="105"/>
      <c r="G4" s="105"/>
      <c r="H4" s="105"/>
      <c r="I4" s="106"/>
    </row>
    <row r="5" spans="1:9" ht="15.75" customHeight="1">
      <c r="A5" s="160" t="s">
        <v>53</v>
      </c>
      <c r="B5" s="161"/>
      <c r="C5" s="161"/>
      <c r="D5" s="161"/>
      <c r="E5" s="161"/>
      <c r="F5" s="161"/>
      <c r="G5" s="161"/>
      <c r="H5" s="161"/>
      <c r="I5" s="162"/>
    </row>
    <row r="6" spans="1:9">
      <c r="A6" s="163"/>
      <c r="B6" s="164"/>
      <c r="C6" s="164"/>
      <c r="D6" s="164"/>
      <c r="E6" s="164"/>
      <c r="F6" s="164"/>
      <c r="G6" s="164"/>
      <c r="H6" s="164"/>
      <c r="I6" s="165"/>
    </row>
    <row r="7" spans="1:9">
      <c r="A7" s="163"/>
      <c r="B7" s="164"/>
      <c r="C7" s="164"/>
      <c r="D7" s="164"/>
      <c r="E7" s="164"/>
      <c r="F7" s="164"/>
      <c r="G7" s="164"/>
      <c r="H7" s="164"/>
      <c r="I7" s="165"/>
    </row>
    <row r="8" spans="1:9" ht="15.75" customHeight="1">
      <c r="A8" s="163"/>
      <c r="B8" s="164"/>
      <c r="C8" s="164"/>
      <c r="D8" s="164"/>
      <c r="E8" s="164"/>
      <c r="F8" s="164"/>
      <c r="G8" s="164"/>
      <c r="H8" s="164"/>
      <c r="I8" s="165"/>
    </row>
    <row r="9" spans="1:9">
      <c r="A9" s="163"/>
      <c r="B9" s="164"/>
      <c r="C9" s="164"/>
      <c r="D9" s="164"/>
      <c r="E9" s="164"/>
      <c r="F9" s="164"/>
      <c r="G9" s="164"/>
      <c r="H9" s="164"/>
      <c r="I9" s="165"/>
    </row>
    <row r="10" spans="1:9">
      <c r="A10" s="163"/>
      <c r="B10" s="164"/>
      <c r="C10" s="164"/>
      <c r="D10" s="164"/>
      <c r="E10" s="164"/>
      <c r="F10" s="164"/>
      <c r="G10" s="164"/>
      <c r="H10" s="164"/>
      <c r="I10" s="165"/>
    </row>
    <row r="11" spans="1:9">
      <c r="A11" s="163"/>
      <c r="B11" s="164"/>
      <c r="C11" s="164"/>
      <c r="D11" s="164"/>
      <c r="E11" s="164"/>
      <c r="F11" s="164"/>
      <c r="G11" s="164"/>
      <c r="H11" s="164"/>
      <c r="I11" s="165"/>
    </row>
    <row r="12" spans="1:9">
      <c r="A12" s="163"/>
      <c r="B12" s="164"/>
      <c r="C12" s="164"/>
      <c r="D12" s="164"/>
      <c r="E12" s="164"/>
      <c r="F12" s="164"/>
      <c r="G12" s="164"/>
      <c r="H12" s="164"/>
      <c r="I12" s="165"/>
    </row>
    <row r="13" spans="1:9">
      <c r="A13" s="163"/>
      <c r="B13" s="164"/>
      <c r="C13" s="164"/>
      <c r="D13" s="164"/>
      <c r="E13" s="164"/>
      <c r="F13" s="164"/>
      <c r="G13" s="164"/>
      <c r="H13" s="164"/>
      <c r="I13" s="165"/>
    </row>
    <row r="14" spans="1:9">
      <c r="A14" s="163"/>
      <c r="B14" s="164"/>
      <c r="C14" s="164"/>
      <c r="D14" s="164"/>
      <c r="E14" s="164"/>
      <c r="F14" s="164"/>
      <c r="G14" s="164"/>
      <c r="H14" s="164"/>
      <c r="I14" s="165"/>
    </row>
    <row r="15" spans="1:9">
      <c r="A15" s="163"/>
      <c r="B15" s="164"/>
      <c r="C15" s="164"/>
      <c r="D15" s="164"/>
      <c r="E15" s="164"/>
      <c r="F15" s="164"/>
      <c r="G15" s="164"/>
      <c r="H15" s="164"/>
      <c r="I15" s="165"/>
    </row>
    <row r="16" spans="1:9">
      <c r="A16" s="163"/>
      <c r="B16" s="164"/>
      <c r="C16" s="164"/>
      <c r="D16" s="164"/>
      <c r="E16" s="164"/>
      <c r="F16" s="164"/>
      <c r="G16" s="164"/>
      <c r="H16" s="164"/>
      <c r="I16" s="165"/>
    </row>
    <row r="17" spans="1:9">
      <c r="A17" s="163"/>
      <c r="B17" s="164"/>
      <c r="C17" s="164"/>
      <c r="D17" s="164"/>
      <c r="E17" s="164"/>
      <c r="F17" s="164"/>
      <c r="G17" s="164"/>
      <c r="H17" s="164"/>
      <c r="I17" s="165"/>
    </row>
    <row r="18" spans="1:9">
      <c r="A18" s="166"/>
      <c r="B18" s="167"/>
      <c r="C18" s="167"/>
      <c r="D18" s="167"/>
      <c r="E18" s="167"/>
      <c r="F18" s="167"/>
      <c r="G18" s="167"/>
      <c r="H18" s="167"/>
      <c r="I18" s="168"/>
    </row>
    <row r="20" spans="1:9" ht="15.75">
      <c r="A20" s="101" t="s">
        <v>54</v>
      </c>
      <c r="B20" s="102"/>
      <c r="C20" s="102"/>
      <c r="D20" s="102"/>
      <c r="E20" s="102"/>
      <c r="F20" s="102"/>
      <c r="G20" s="102"/>
      <c r="H20" s="102"/>
      <c r="I20" s="103"/>
    </row>
    <row r="21" spans="1:9">
      <c r="A21" s="104"/>
      <c r="B21" s="105"/>
      <c r="C21" s="105"/>
      <c r="D21" s="105"/>
      <c r="E21" s="105"/>
      <c r="F21" s="105"/>
      <c r="G21" s="105"/>
      <c r="H21" s="105"/>
      <c r="I21" s="106"/>
    </row>
    <row r="22" spans="1:9" ht="15" customHeight="1">
      <c r="A22" s="160" t="s">
        <v>55</v>
      </c>
      <c r="B22" s="169"/>
      <c r="C22" s="169"/>
      <c r="D22" s="169"/>
      <c r="E22" s="169"/>
      <c r="F22" s="169"/>
      <c r="G22" s="169"/>
      <c r="H22" s="169"/>
      <c r="I22" s="170"/>
    </row>
    <row r="23" spans="1:9">
      <c r="A23" s="171"/>
      <c r="B23" s="172"/>
      <c r="C23" s="172"/>
      <c r="D23" s="172"/>
      <c r="E23" s="172"/>
      <c r="F23" s="172"/>
      <c r="G23" s="172"/>
      <c r="H23" s="172"/>
      <c r="I23" s="173"/>
    </row>
    <row r="24" spans="1:9">
      <c r="A24" s="171"/>
      <c r="B24" s="172"/>
      <c r="C24" s="172"/>
      <c r="D24" s="172"/>
      <c r="E24" s="172"/>
      <c r="F24" s="172"/>
      <c r="G24" s="172"/>
      <c r="H24" s="172"/>
      <c r="I24" s="173"/>
    </row>
    <row r="25" spans="1:9">
      <c r="A25" s="171"/>
      <c r="B25" s="172"/>
      <c r="C25" s="172"/>
      <c r="D25" s="172"/>
      <c r="E25" s="172"/>
      <c r="F25" s="172"/>
      <c r="G25" s="172"/>
      <c r="H25" s="172"/>
      <c r="I25" s="173"/>
    </row>
    <row r="26" spans="1:9">
      <c r="A26" s="171"/>
      <c r="B26" s="172"/>
      <c r="C26" s="172"/>
      <c r="D26" s="172"/>
      <c r="E26" s="172"/>
      <c r="F26" s="172"/>
      <c r="G26" s="172"/>
      <c r="H26" s="172"/>
      <c r="I26" s="173"/>
    </row>
    <row r="27" spans="1:9">
      <c r="A27" s="171"/>
      <c r="B27" s="172"/>
      <c r="C27" s="172"/>
      <c r="D27" s="172"/>
      <c r="E27" s="172"/>
      <c r="F27" s="172"/>
      <c r="G27" s="172"/>
      <c r="H27" s="172"/>
      <c r="I27" s="173"/>
    </row>
    <row r="28" spans="1:9">
      <c r="A28" s="171"/>
      <c r="B28" s="172"/>
      <c r="C28" s="172"/>
      <c r="D28" s="172"/>
      <c r="E28" s="172"/>
      <c r="F28" s="172"/>
      <c r="G28" s="172"/>
      <c r="H28" s="172"/>
      <c r="I28" s="173"/>
    </row>
    <row r="29" spans="1:9">
      <c r="A29" s="171"/>
      <c r="B29" s="172"/>
      <c r="C29" s="172"/>
      <c r="D29" s="172"/>
      <c r="E29" s="172"/>
      <c r="F29" s="172"/>
      <c r="G29" s="172"/>
      <c r="H29" s="172"/>
      <c r="I29" s="173"/>
    </row>
    <row r="30" spans="1:9">
      <c r="A30" s="171"/>
      <c r="B30" s="172"/>
      <c r="C30" s="172"/>
      <c r="D30" s="172"/>
      <c r="E30" s="172"/>
      <c r="F30" s="172"/>
      <c r="G30" s="172"/>
      <c r="H30" s="172"/>
      <c r="I30" s="173"/>
    </row>
    <row r="31" spans="1:9">
      <c r="A31" s="171"/>
      <c r="B31" s="172"/>
      <c r="C31" s="172"/>
      <c r="D31" s="172"/>
      <c r="E31" s="172"/>
      <c r="F31" s="172"/>
      <c r="G31" s="172"/>
      <c r="H31" s="172"/>
      <c r="I31" s="173"/>
    </row>
    <row r="32" spans="1:9">
      <c r="A32" s="171"/>
      <c r="B32" s="172"/>
      <c r="C32" s="172"/>
      <c r="D32" s="172"/>
      <c r="E32" s="172"/>
      <c r="F32" s="172"/>
      <c r="G32" s="172"/>
      <c r="H32" s="172"/>
      <c r="I32" s="173"/>
    </row>
    <row r="33" spans="1:9">
      <c r="A33" s="171"/>
      <c r="B33" s="172"/>
      <c r="C33" s="172"/>
      <c r="D33" s="172"/>
      <c r="E33" s="172"/>
      <c r="F33" s="172"/>
      <c r="G33" s="172"/>
      <c r="H33" s="172"/>
      <c r="I33" s="173"/>
    </row>
    <row r="34" spans="1:9">
      <c r="A34" s="171"/>
      <c r="B34" s="172"/>
      <c r="C34" s="172"/>
      <c r="D34" s="172"/>
      <c r="E34" s="172"/>
      <c r="F34" s="172"/>
      <c r="G34" s="172"/>
      <c r="H34" s="172"/>
      <c r="I34" s="173"/>
    </row>
    <row r="35" spans="1:9">
      <c r="A35" s="171"/>
      <c r="B35" s="172"/>
      <c r="C35" s="172"/>
      <c r="D35" s="172"/>
      <c r="E35" s="172"/>
      <c r="F35" s="172"/>
      <c r="G35" s="172"/>
      <c r="H35" s="172"/>
      <c r="I35" s="173"/>
    </row>
    <row r="36" spans="1:9">
      <c r="A36" s="171"/>
      <c r="B36" s="172"/>
      <c r="C36" s="172"/>
      <c r="D36" s="172"/>
      <c r="E36" s="172"/>
      <c r="F36" s="172"/>
      <c r="G36" s="172"/>
      <c r="H36" s="172"/>
      <c r="I36" s="173"/>
    </row>
    <row r="37" spans="1:9">
      <c r="A37" s="171"/>
      <c r="B37" s="172"/>
      <c r="C37" s="172"/>
      <c r="D37" s="172"/>
      <c r="E37" s="172"/>
      <c r="F37" s="172"/>
      <c r="G37" s="172"/>
      <c r="H37" s="172"/>
      <c r="I37" s="173"/>
    </row>
    <row r="38" spans="1:9">
      <c r="A38" s="171"/>
      <c r="B38" s="172"/>
      <c r="C38" s="172"/>
      <c r="D38" s="172"/>
      <c r="E38" s="172"/>
      <c r="F38" s="172"/>
      <c r="G38" s="172"/>
      <c r="H38" s="172"/>
      <c r="I38" s="173"/>
    </row>
    <row r="39" spans="1:9">
      <c r="A39" s="171"/>
      <c r="B39" s="172"/>
      <c r="C39" s="172"/>
      <c r="D39" s="172"/>
      <c r="E39" s="172"/>
      <c r="F39" s="172"/>
      <c r="G39" s="172"/>
      <c r="H39" s="172"/>
      <c r="I39" s="173"/>
    </row>
    <row r="40" spans="1:9" ht="14.25" customHeight="1">
      <c r="A40" s="171"/>
      <c r="B40" s="172"/>
      <c r="C40" s="172"/>
      <c r="D40" s="172"/>
      <c r="E40" s="172"/>
      <c r="F40" s="172"/>
      <c r="G40" s="172"/>
      <c r="H40" s="172"/>
      <c r="I40" s="173"/>
    </row>
    <row r="41" spans="1:9">
      <c r="A41" s="171"/>
      <c r="B41" s="172"/>
      <c r="C41" s="172"/>
      <c r="D41" s="172"/>
      <c r="E41" s="172"/>
      <c r="F41" s="172"/>
      <c r="G41" s="172"/>
      <c r="H41" s="172"/>
      <c r="I41" s="173"/>
    </row>
    <row r="42" spans="1:9">
      <c r="A42" s="171"/>
      <c r="B42" s="172"/>
      <c r="C42" s="172"/>
      <c r="D42" s="172"/>
      <c r="E42" s="172"/>
      <c r="F42" s="172"/>
      <c r="G42" s="172"/>
      <c r="H42" s="172"/>
      <c r="I42" s="173"/>
    </row>
    <row r="43" spans="1:9">
      <c r="A43" s="171"/>
      <c r="B43" s="172"/>
      <c r="C43" s="172"/>
      <c r="D43" s="172"/>
      <c r="E43" s="172"/>
      <c r="F43" s="172"/>
      <c r="G43" s="172"/>
      <c r="H43" s="172"/>
      <c r="I43" s="173"/>
    </row>
    <row r="44" spans="1:9">
      <c r="A44" s="171"/>
      <c r="B44" s="172"/>
      <c r="C44" s="172"/>
      <c r="D44" s="172"/>
      <c r="E44" s="172"/>
      <c r="F44" s="172"/>
      <c r="G44" s="172"/>
      <c r="H44" s="172"/>
      <c r="I44" s="173"/>
    </row>
    <row r="45" spans="1:9">
      <c r="A45" s="171"/>
      <c r="B45" s="172"/>
      <c r="C45" s="172"/>
      <c r="D45" s="172"/>
      <c r="E45" s="172"/>
      <c r="F45" s="172"/>
      <c r="G45" s="172"/>
      <c r="H45" s="172"/>
      <c r="I45" s="173"/>
    </row>
    <row r="46" spans="1:9">
      <c r="A46" s="171"/>
      <c r="B46" s="172"/>
      <c r="C46" s="172"/>
      <c r="D46" s="172"/>
      <c r="E46" s="172"/>
      <c r="F46" s="172"/>
      <c r="G46" s="172"/>
      <c r="H46" s="172"/>
      <c r="I46" s="173"/>
    </row>
    <row r="47" spans="1:9">
      <c r="A47" s="171"/>
      <c r="B47" s="172"/>
      <c r="C47" s="172"/>
      <c r="D47" s="172"/>
      <c r="E47" s="172"/>
      <c r="F47" s="172"/>
      <c r="G47" s="172"/>
      <c r="H47" s="172"/>
      <c r="I47" s="173"/>
    </row>
    <row r="48" spans="1:9">
      <c r="A48" s="171"/>
      <c r="B48" s="172"/>
      <c r="C48" s="172"/>
      <c r="D48" s="172"/>
      <c r="E48" s="172"/>
      <c r="F48" s="172"/>
      <c r="G48" s="172"/>
      <c r="H48" s="172"/>
      <c r="I48" s="173"/>
    </row>
    <row r="49" spans="1:9">
      <c r="A49" s="171"/>
      <c r="B49" s="172"/>
      <c r="C49" s="172"/>
      <c r="D49" s="172"/>
      <c r="E49" s="172"/>
      <c r="F49" s="172"/>
      <c r="G49" s="172"/>
      <c r="H49" s="172"/>
      <c r="I49" s="173"/>
    </row>
    <row r="50" spans="1:9">
      <c r="A50" s="171"/>
      <c r="B50" s="172"/>
      <c r="C50" s="172"/>
      <c r="D50" s="172"/>
      <c r="E50" s="172"/>
      <c r="F50" s="172"/>
      <c r="G50" s="172"/>
      <c r="H50" s="172"/>
      <c r="I50" s="173"/>
    </row>
    <row r="51" spans="1:9">
      <c r="A51" s="171"/>
      <c r="B51" s="172"/>
      <c r="C51" s="172"/>
      <c r="D51" s="172"/>
      <c r="E51" s="172"/>
      <c r="F51" s="172"/>
      <c r="G51" s="172"/>
      <c r="H51" s="172"/>
      <c r="I51" s="173"/>
    </row>
    <row r="52" spans="1:9">
      <c r="A52" s="171"/>
      <c r="B52" s="172"/>
      <c r="C52" s="172"/>
      <c r="D52" s="172"/>
      <c r="E52" s="172"/>
      <c r="F52" s="172"/>
      <c r="G52" s="172"/>
      <c r="H52" s="172"/>
      <c r="I52" s="173"/>
    </row>
    <row r="53" spans="1:9">
      <c r="A53" s="171"/>
      <c r="B53" s="172"/>
      <c r="C53" s="172"/>
      <c r="D53" s="172"/>
      <c r="E53" s="172"/>
      <c r="F53" s="172"/>
      <c r="G53" s="172"/>
      <c r="H53" s="172"/>
      <c r="I53" s="173"/>
    </row>
    <row r="54" spans="1:9">
      <c r="A54" s="174"/>
      <c r="B54" s="175"/>
      <c r="C54" s="175"/>
      <c r="D54" s="175"/>
      <c r="E54" s="175"/>
      <c r="F54" s="175"/>
      <c r="G54" s="175"/>
      <c r="H54" s="175"/>
      <c r="I54" s="176"/>
    </row>
    <row r="66" spans="6:6">
      <c r="F66" s="3"/>
    </row>
  </sheetData>
  <mergeCells count="2">
    <mergeCell ref="A5:I18"/>
    <mergeCell ref="A22:I54"/>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3"/>
  <sheetViews>
    <sheetView showGridLines="0" topLeftCell="A30" zoomScaleNormal="100" workbookViewId="0">
      <selection activeCell="F56" sqref="F56"/>
    </sheetView>
  </sheetViews>
  <sheetFormatPr defaultColWidth="9.140625" defaultRowHeight="15"/>
  <cols>
    <col min="1" max="1" width="28.42578125" style="2" customWidth="1"/>
    <col min="2" max="2" width="8.140625" style="16" customWidth="1"/>
    <col min="3" max="3" width="11.28515625" style="16" bestFit="1" customWidth="1"/>
    <col min="4" max="4" width="15.85546875" style="16" bestFit="1" customWidth="1"/>
    <col min="5" max="5" width="9.85546875" style="16" customWidth="1"/>
    <col min="6" max="6" width="10.5703125" style="16" customWidth="1"/>
    <col min="7" max="7" width="11.28515625" style="20" customWidth="1"/>
    <col min="8" max="8" width="11.5703125" style="21" customWidth="1"/>
    <col min="9" max="16384" width="9.140625" style="2"/>
  </cols>
  <sheetData>
    <row r="1" spans="1:11">
      <c r="A1" s="2" t="str">
        <f>+'Cover Page'!$B$29</f>
        <v>Annual Performance Report 2022</v>
      </c>
      <c r="B1" s="2"/>
      <c r="C1" s="2"/>
      <c r="D1" s="2"/>
      <c r="E1" s="2" t="str">
        <f>+'Cover Page'!$B$33</f>
        <v>Fine Environmental Services</v>
      </c>
      <c r="F1" s="2"/>
      <c r="G1" s="2"/>
      <c r="H1" s="2"/>
    </row>
    <row r="3" spans="1:11" ht="15.75">
      <c r="A3" s="1" t="s">
        <v>26</v>
      </c>
      <c r="K3" s="22"/>
    </row>
    <row r="4" spans="1:11">
      <c r="A4" s="23" t="s">
        <v>56</v>
      </c>
      <c r="B4" s="313">
        <v>48000</v>
      </c>
      <c r="C4" s="313"/>
      <c r="D4" s="25" t="s">
        <v>57</v>
      </c>
      <c r="E4" s="24">
        <v>15</v>
      </c>
      <c r="F4" s="25" t="s">
        <v>58</v>
      </c>
      <c r="G4" s="24"/>
      <c r="H4" s="131" t="s">
        <v>59</v>
      </c>
      <c r="K4" s="22"/>
    </row>
    <row r="5" spans="1:11" ht="15.75">
      <c r="A5" s="26" t="s">
        <v>60</v>
      </c>
      <c r="B5" s="27">
        <v>1</v>
      </c>
      <c r="C5" s="28"/>
      <c r="D5" s="28" t="s">
        <v>61</v>
      </c>
      <c r="E5" s="28"/>
      <c r="F5" s="29">
        <v>0</v>
      </c>
      <c r="G5" s="30"/>
      <c r="H5" s="31"/>
      <c r="K5" s="22"/>
    </row>
    <row r="6" spans="1:11">
      <c r="A6" s="3"/>
    </row>
    <row r="7" spans="1:11" ht="15.75">
      <c r="A7" s="11" t="s">
        <v>62</v>
      </c>
      <c r="B7" s="32" t="s">
        <v>63</v>
      </c>
      <c r="C7" s="33" t="s">
        <v>64</v>
      </c>
      <c r="D7" s="33" t="s">
        <v>65</v>
      </c>
      <c r="E7" s="33" t="s">
        <v>66</v>
      </c>
      <c r="F7" s="33" t="s">
        <v>67</v>
      </c>
      <c r="G7" s="34" t="s">
        <v>68</v>
      </c>
      <c r="H7" s="35" t="s">
        <v>69</v>
      </c>
    </row>
    <row r="8" spans="1:11" ht="15.75" customHeight="1">
      <c r="A8" s="36" t="s">
        <v>70</v>
      </c>
      <c r="B8" s="178" t="s">
        <v>71</v>
      </c>
      <c r="C8" s="37"/>
      <c r="D8" s="37"/>
      <c r="E8" s="37"/>
      <c r="F8" s="37"/>
      <c r="G8" s="38">
        <f>SUM(C8:F8)</f>
        <v>0</v>
      </c>
      <c r="H8" s="39" t="str">
        <f t="shared" ref="H8:H15" si="0">IF(G8&gt;0,G8/$G$18,"-")</f>
        <v>-</v>
      </c>
    </row>
    <row r="9" spans="1:11">
      <c r="A9" s="40" t="s">
        <v>72</v>
      </c>
      <c r="B9" s="177"/>
      <c r="C9" s="41"/>
      <c r="D9" s="41"/>
      <c r="E9" s="41"/>
      <c r="F9" s="41"/>
      <c r="G9" s="42">
        <f t="shared" ref="G9:G15" si="1">SUM(C9:F9)</f>
        <v>0</v>
      </c>
      <c r="H9" s="39" t="str">
        <f t="shared" si="0"/>
        <v>-</v>
      </c>
    </row>
    <row r="10" spans="1:11">
      <c r="A10" s="40" t="s">
        <v>73</v>
      </c>
      <c r="B10" s="177"/>
      <c r="C10" s="41">
        <v>3324</v>
      </c>
      <c r="D10" s="41">
        <v>4791</v>
      </c>
      <c r="E10" s="41">
        <v>2578</v>
      </c>
      <c r="F10" s="41">
        <v>477</v>
      </c>
      <c r="G10" s="42">
        <f t="shared" si="1"/>
        <v>11170</v>
      </c>
      <c r="H10" s="39">
        <f t="shared" si="0"/>
        <v>1</v>
      </c>
    </row>
    <row r="11" spans="1:11">
      <c r="A11" s="40" t="s">
        <v>74</v>
      </c>
      <c r="B11" s="177"/>
      <c r="C11" s="41"/>
      <c r="D11" s="41"/>
      <c r="E11" s="41"/>
      <c r="F11" s="41"/>
      <c r="G11" s="42">
        <f t="shared" si="1"/>
        <v>0</v>
      </c>
      <c r="H11" s="39" t="str">
        <f t="shared" si="0"/>
        <v>-</v>
      </c>
    </row>
    <row r="12" spans="1:11">
      <c r="A12" s="40" t="s">
        <v>75</v>
      </c>
      <c r="B12" s="177"/>
      <c r="C12" s="41"/>
      <c r="D12" s="41"/>
      <c r="E12" s="41"/>
      <c r="F12" s="41"/>
      <c r="G12" s="42">
        <f t="shared" si="1"/>
        <v>0</v>
      </c>
      <c r="H12" s="39" t="str">
        <f t="shared" si="0"/>
        <v>-</v>
      </c>
    </row>
    <row r="13" spans="1:11">
      <c r="A13" s="40" t="s">
        <v>76</v>
      </c>
      <c r="B13" s="177"/>
      <c r="C13" s="41"/>
      <c r="D13" s="41"/>
      <c r="E13" s="41"/>
      <c r="F13" s="41"/>
      <c r="G13" s="42">
        <f t="shared" si="1"/>
        <v>0</v>
      </c>
      <c r="H13" s="39" t="str">
        <f t="shared" si="0"/>
        <v>-</v>
      </c>
    </row>
    <row r="14" spans="1:11">
      <c r="A14" s="40" t="s">
        <v>77</v>
      </c>
      <c r="B14" s="177"/>
      <c r="C14" s="41"/>
      <c r="D14" s="41"/>
      <c r="E14" s="41"/>
      <c r="F14" s="41"/>
      <c r="G14" s="42">
        <f t="shared" si="1"/>
        <v>0</v>
      </c>
      <c r="H14" s="39" t="str">
        <f t="shared" si="0"/>
        <v>-</v>
      </c>
    </row>
    <row r="15" spans="1:11">
      <c r="A15" s="136" t="s">
        <v>78</v>
      </c>
      <c r="B15" s="177"/>
      <c r="C15" s="41"/>
      <c r="D15" s="41"/>
      <c r="E15" s="41"/>
      <c r="F15" s="41"/>
      <c r="G15" s="42">
        <f t="shared" si="1"/>
        <v>0</v>
      </c>
      <c r="H15" s="39" t="str">
        <f t="shared" si="0"/>
        <v>-</v>
      </c>
    </row>
    <row r="16" spans="1:11">
      <c r="A16" s="136" t="s">
        <v>78</v>
      </c>
      <c r="B16" s="177"/>
      <c r="C16" s="41"/>
      <c r="D16" s="41"/>
      <c r="E16" s="41"/>
      <c r="F16" s="41"/>
      <c r="G16" s="42"/>
      <c r="H16" s="39"/>
    </row>
    <row r="17" spans="1:12">
      <c r="A17" s="136" t="s">
        <v>78</v>
      </c>
      <c r="B17" s="177"/>
      <c r="C17" s="41"/>
      <c r="D17" s="41"/>
      <c r="E17" s="41"/>
      <c r="F17" s="41"/>
      <c r="G17" s="42"/>
      <c r="H17" s="39"/>
    </row>
    <row r="18" spans="1:12">
      <c r="A18" s="43" t="s">
        <v>79</v>
      </c>
      <c r="B18" s="177"/>
      <c r="C18" s="42">
        <f>SUM(C8:C17)</f>
        <v>3324</v>
      </c>
      <c r="D18" s="42">
        <f>SUM(D8:D17)</f>
        <v>4791</v>
      </c>
      <c r="E18" s="42">
        <f>SUM(E8:E17)</f>
        <v>2578</v>
      </c>
      <c r="F18" s="42">
        <f>SUM(F8:F17)</f>
        <v>477</v>
      </c>
      <c r="G18" s="42">
        <f>SUM(G8:G17)</f>
        <v>11170</v>
      </c>
      <c r="H18" s="39">
        <f>IF(G18&gt;0,G18/$G$18,"-")</f>
        <v>1</v>
      </c>
    </row>
    <row r="19" spans="1:12">
      <c r="A19" s="44" t="s">
        <v>80</v>
      </c>
      <c r="B19" s="179"/>
      <c r="C19" s="45">
        <v>0.01</v>
      </c>
      <c r="D19" s="45"/>
      <c r="E19" s="45"/>
      <c r="F19" s="45"/>
      <c r="G19" s="46">
        <f t="shared" ref="G19" si="2">SUM(C19:F19)</f>
        <v>0.01</v>
      </c>
      <c r="H19" s="66">
        <f>IF(G19&gt;0,G19/$G$18,"-")</f>
        <v>8.9525514771709943E-7</v>
      </c>
    </row>
    <row r="20" spans="1:12">
      <c r="A20" s="3"/>
      <c r="C20" s="21"/>
      <c r="D20" s="21"/>
      <c r="E20" s="21"/>
      <c r="F20" s="21"/>
      <c r="G20" s="47"/>
    </row>
    <row r="21" spans="1:12" ht="15.75">
      <c r="A21" s="11" t="s">
        <v>81</v>
      </c>
      <c r="B21" s="32" t="s">
        <v>63</v>
      </c>
      <c r="C21" s="48" t="s">
        <v>64</v>
      </c>
      <c r="D21" s="48" t="s">
        <v>65</v>
      </c>
      <c r="E21" s="48" t="s">
        <v>66</v>
      </c>
      <c r="F21" s="48" t="s">
        <v>67</v>
      </c>
      <c r="G21" s="49" t="s">
        <v>68</v>
      </c>
      <c r="H21" s="50" t="s">
        <v>82</v>
      </c>
    </row>
    <row r="22" spans="1:12" ht="15" customHeight="1">
      <c r="A22" s="51" t="s">
        <v>83</v>
      </c>
      <c r="B22" s="178" t="s">
        <v>84</v>
      </c>
      <c r="C22" s="37"/>
      <c r="D22" s="37"/>
      <c r="E22" s="37"/>
      <c r="F22" s="37"/>
      <c r="G22" s="38">
        <f t="shared" ref="G22:G25" si="3">SUM(C22:F22)</f>
        <v>0</v>
      </c>
      <c r="H22" s="52" t="str">
        <f>IF(G22&gt;0,G22*1000/$G$18,"-")</f>
        <v>-</v>
      </c>
    </row>
    <row r="23" spans="1:12">
      <c r="A23" s="53" t="s">
        <v>85</v>
      </c>
      <c r="B23" s="177"/>
      <c r="C23" s="41"/>
      <c r="D23" s="41"/>
      <c r="E23" s="41"/>
      <c r="F23" s="41"/>
      <c r="G23" s="42">
        <f>SUM(C23:F23)</f>
        <v>0</v>
      </c>
      <c r="H23" s="54" t="str">
        <f t="shared" ref="H23:H28" si="4">IF(G23&gt;0,G23*1000/$G$18,"-")</f>
        <v>-</v>
      </c>
    </row>
    <row r="24" spans="1:12">
      <c r="A24" s="53" t="s">
        <v>86</v>
      </c>
      <c r="B24" s="177"/>
      <c r="C24" s="41"/>
      <c r="D24" s="41"/>
      <c r="E24" s="41"/>
      <c r="F24" s="41"/>
      <c r="G24" s="42">
        <f>SUM(C24:F24)</f>
        <v>0</v>
      </c>
      <c r="H24" s="54" t="str">
        <f t="shared" si="4"/>
        <v>-</v>
      </c>
    </row>
    <row r="25" spans="1:12">
      <c r="A25" s="53" t="s">
        <v>87</v>
      </c>
      <c r="B25" s="177"/>
      <c r="C25" s="41"/>
      <c r="D25" s="41"/>
      <c r="E25" s="41"/>
      <c r="F25" s="41"/>
      <c r="G25" s="42">
        <f t="shared" si="3"/>
        <v>0</v>
      </c>
      <c r="H25" s="54" t="str">
        <f t="shared" si="4"/>
        <v>-</v>
      </c>
    </row>
    <row r="26" spans="1:12">
      <c r="A26" s="53" t="s">
        <v>88</v>
      </c>
      <c r="B26" s="55" t="s">
        <v>69</v>
      </c>
      <c r="C26" s="56" t="str">
        <f>IF(C22&gt;0,1-C23/(C22+C25),"-")</f>
        <v>-</v>
      </c>
      <c r="D26" s="56" t="str">
        <f t="shared" ref="D26:G26" si="5">IF(D22&gt;0,1-D23/(D22+D25),"-")</f>
        <v>-</v>
      </c>
      <c r="E26" s="56" t="str">
        <f t="shared" si="5"/>
        <v>-</v>
      </c>
      <c r="F26" s="56" t="str">
        <f t="shared" si="5"/>
        <v>-</v>
      </c>
      <c r="G26" s="56" t="str">
        <f t="shared" si="5"/>
        <v>-</v>
      </c>
      <c r="H26" s="54"/>
    </row>
    <row r="27" spans="1:12">
      <c r="A27" s="53" t="s">
        <v>89</v>
      </c>
      <c r="B27" s="180" t="s">
        <v>90</v>
      </c>
      <c r="C27" s="41"/>
      <c r="D27" s="41"/>
      <c r="E27" s="41"/>
      <c r="F27" s="41"/>
      <c r="G27" s="42">
        <f t="shared" ref="G27:G28" si="6">SUM(C27:F27)</f>
        <v>0</v>
      </c>
      <c r="H27" s="54" t="str">
        <f t="shared" si="4"/>
        <v>-</v>
      </c>
    </row>
    <row r="28" spans="1:12">
      <c r="A28" s="53" t="s">
        <v>91</v>
      </c>
      <c r="B28" s="180"/>
      <c r="C28" s="41"/>
      <c r="D28" s="41"/>
      <c r="E28" s="41"/>
      <c r="F28" s="41"/>
      <c r="G28" s="42">
        <f t="shared" si="6"/>
        <v>0</v>
      </c>
      <c r="H28" s="54" t="str">
        <f t="shared" si="4"/>
        <v>-</v>
      </c>
      <c r="K28" s="22"/>
      <c r="L28" s="22"/>
    </row>
    <row r="29" spans="1:12">
      <c r="A29" s="57" t="s">
        <v>92</v>
      </c>
      <c r="B29" s="58"/>
      <c r="C29" s="181"/>
      <c r="D29" s="181"/>
      <c r="E29" s="181"/>
      <c r="F29" s="181"/>
      <c r="G29" s="59"/>
      <c r="H29" s="60" t="s">
        <v>93</v>
      </c>
      <c r="L29" s="22"/>
    </row>
    <row r="30" spans="1:12">
      <c r="A30" s="3"/>
      <c r="C30" s="21"/>
      <c r="D30" s="21"/>
      <c r="E30" s="21"/>
      <c r="F30" s="21"/>
      <c r="G30" s="47"/>
      <c r="L30" s="22"/>
    </row>
    <row r="31" spans="1:12" ht="15.75">
      <c r="A31" s="11" t="s">
        <v>94</v>
      </c>
      <c r="B31" s="61" t="s">
        <v>63</v>
      </c>
      <c r="C31" s="48" t="s">
        <v>64</v>
      </c>
      <c r="D31" s="48" t="s">
        <v>65</v>
      </c>
      <c r="E31" s="48" t="s">
        <v>66</v>
      </c>
      <c r="F31" s="48" t="s">
        <v>67</v>
      </c>
      <c r="G31" s="49" t="s">
        <v>68</v>
      </c>
      <c r="H31" s="62" t="s">
        <v>95</v>
      </c>
      <c r="L31" s="22"/>
    </row>
    <row r="32" spans="1:12" ht="15" customHeight="1">
      <c r="A32" s="51" t="s">
        <v>96</v>
      </c>
      <c r="B32" s="178" t="s">
        <v>71</v>
      </c>
      <c r="C32" s="37"/>
      <c r="D32" s="37"/>
      <c r="E32" s="37"/>
      <c r="F32" s="37"/>
      <c r="G32" s="38">
        <f t="shared" ref="G32:G33" si="7">SUM(C32:F32)</f>
        <v>0</v>
      </c>
      <c r="H32" s="63" t="str">
        <f>IF(G32&gt;0,G32/$G$18,"-")</f>
        <v>-</v>
      </c>
      <c r="K32" s="22"/>
      <c r="L32" s="22"/>
    </row>
    <row r="33" spans="1:12" ht="15" customHeight="1">
      <c r="A33" s="53" t="s">
        <v>97</v>
      </c>
      <c r="B33" s="177"/>
      <c r="C33" s="41"/>
      <c r="D33" s="41"/>
      <c r="E33" s="41"/>
      <c r="F33" s="41"/>
      <c r="G33" s="42">
        <f t="shared" si="7"/>
        <v>0</v>
      </c>
      <c r="H33" s="39" t="str">
        <f>IF(G33&gt;0,G33/$G$18,"-")</f>
        <v>-</v>
      </c>
      <c r="K33" s="22"/>
      <c r="L33" s="22"/>
    </row>
    <row r="34" spans="1:12" ht="15" customHeight="1">
      <c r="A34" s="53" t="s">
        <v>98</v>
      </c>
      <c r="B34" s="177"/>
      <c r="C34" s="41"/>
      <c r="D34" s="41"/>
      <c r="E34" s="41"/>
      <c r="F34" s="41"/>
      <c r="G34" s="42">
        <f t="shared" ref="G34:G37" si="8">SUM(C34:F34)</f>
        <v>0</v>
      </c>
      <c r="H34" s="39" t="str">
        <f>IF(G34&gt;0,G34/$G$18,"-")</f>
        <v>-</v>
      </c>
    </row>
    <row r="35" spans="1:12">
      <c r="A35" s="64" t="s">
        <v>99</v>
      </c>
      <c r="B35" s="177"/>
      <c r="C35" s="41">
        <v>0</v>
      </c>
      <c r="D35" s="41">
        <v>0</v>
      </c>
      <c r="E35" s="41">
        <v>0</v>
      </c>
      <c r="F35" s="41">
        <v>0</v>
      </c>
      <c r="G35" s="42">
        <f t="shared" ref="G35" si="9">SUM(C35:F35)</f>
        <v>0</v>
      </c>
      <c r="H35" s="39" t="str">
        <f>IF(G35&gt;0,G35/$G$18,"-")</f>
        <v>-</v>
      </c>
    </row>
    <row r="36" spans="1:12">
      <c r="A36" s="64" t="s">
        <v>99</v>
      </c>
      <c r="B36" s="177"/>
      <c r="C36" s="41">
        <v>0</v>
      </c>
      <c r="D36" s="41">
        <v>0</v>
      </c>
      <c r="E36" s="41">
        <v>0</v>
      </c>
      <c r="F36" s="41">
        <v>0</v>
      </c>
      <c r="G36" s="42">
        <f t="shared" si="8"/>
        <v>0</v>
      </c>
      <c r="H36" s="39" t="str">
        <f>IF(G36&gt;0,G36/$G$18,"-")</f>
        <v>-</v>
      </c>
    </row>
    <row r="37" spans="1:12">
      <c r="A37" s="65" t="s">
        <v>99</v>
      </c>
      <c r="B37" s="179"/>
      <c r="C37" s="45">
        <v>0</v>
      </c>
      <c r="D37" s="45">
        <v>0</v>
      </c>
      <c r="E37" s="45">
        <v>0</v>
      </c>
      <c r="F37" s="45">
        <v>0</v>
      </c>
      <c r="G37" s="46">
        <f t="shared" si="8"/>
        <v>0</v>
      </c>
      <c r="H37" s="66" t="str">
        <f t="shared" ref="H37" si="10">IF(G37&gt;0,G37/$G$18,"-")</f>
        <v>-</v>
      </c>
    </row>
    <row r="38" spans="1:12">
      <c r="A38" s="16"/>
      <c r="C38" s="21"/>
      <c r="D38" s="21"/>
      <c r="E38" s="21"/>
      <c r="F38" s="21"/>
      <c r="G38" s="47"/>
    </row>
    <row r="39" spans="1:12" ht="15.75">
      <c r="A39" s="11" t="s">
        <v>100</v>
      </c>
      <c r="B39" s="67" t="s">
        <v>63</v>
      </c>
      <c r="C39" s="33" t="s">
        <v>64</v>
      </c>
      <c r="D39" s="33" t="s">
        <v>65</v>
      </c>
      <c r="E39" s="33" t="s">
        <v>66</v>
      </c>
      <c r="F39" s="33" t="s">
        <v>67</v>
      </c>
      <c r="G39" s="34" t="s">
        <v>68</v>
      </c>
      <c r="H39" s="50" t="s">
        <v>101</v>
      </c>
    </row>
    <row r="40" spans="1:12">
      <c r="A40" s="51" t="s">
        <v>102</v>
      </c>
      <c r="B40" s="178" t="s">
        <v>103</v>
      </c>
      <c r="C40" s="37">
        <f>11157+976</f>
        <v>12133</v>
      </c>
      <c r="D40" s="37">
        <f>21293+1652</f>
        <v>22945</v>
      </c>
      <c r="E40" s="37">
        <f>13668+1480</f>
        <v>15148</v>
      </c>
      <c r="F40" s="37">
        <f>3073+325</f>
        <v>3398</v>
      </c>
      <c r="G40" s="38">
        <f t="shared" ref="G40:G47" si="11">SUM(C40:F40)</f>
        <v>53624</v>
      </c>
      <c r="H40" s="135">
        <f>IF(G40&gt;0,G40*1000/$G$18,"-")</f>
        <v>4800.7162041181737</v>
      </c>
    </row>
    <row r="41" spans="1:12">
      <c r="A41" s="53" t="s">
        <v>104</v>
      </c>
      <c r="B41" s="177"/>
      <c r="C41" s="41">
        <v>7808</v>
      </c>
      <c r="D41" s="41">
        <v>16520</v>
      </c>
      <c r="E41" s="41">
        <v>14800</v>
      </c>
      <c r="F41" s="41">
        <v>3250</v>
      </c>
      <c r="G41" s="42">
        <f t="shared" si="11"/>
        <v>42378</v>
      </c>
      <c r="H41" s="68">
        <f t="shared" ref="H41:H47" si="12">IF(G41&gt;0,G41*1000/$G$18,"-")</f>
        <v>3793.9122649955239</v>
      </c>
    </row>
    <row r="42" spans="1:12">
      <c r="A42" s="53" t="s">
        <v>105</v>
      </c>
      <c r="B42" s="177" t="s">
        <v>106</v>
      </c>
      <c r="C42" s="41"/>
      <c r="D42" s="41"/>
      <c r="E42" s="41"/>
      <c r="F42" s="41"/>
      <c r="G42" s="42">
        <f t="shared" si="11"/>
        <v>0</v>
      </c>
      <c r="H42" s="68" t="str">
        <f t="shared" si="12"/>
        <v>-</v>
      </c>
    </row>
    <row r="43" spans="1:12">
      <c r="A43" s="53" t="s">
        <v>107</v>
      </c>
      <c r="B43" s="177"/>
      <c r="C43" s="41"/>
      <c r="D43" s="41"/>
      <c r="E43" s="41"/>
      <c r="F43" s="41"/>
      <c r="G43" s="42">
        <f t="shared" si="11"/>
        <v>0</v>
      </c>
      <c r="H43" s="68" t="str">
        <f t="shared" si="12"/>
        <v>-</v>
      </c>
    </row>
    <row r="44" spans="1:12">
      <c r="A44" s="53" t="s">
        <v>108</v>
      </c>
      <c r="B44" s="177"/>
      <c r="C44" s="41"/>
      <c r="D44" s="41"/>
      <c r="E44" s="41"/>
      <c r="F44" s="41"/>
      <c r="G44" s="42">
        <f t="shared" si="11"/>
        <v>0</v>
      </c>
      <c r="H44" s="68" t="str">
        <f t="shared" si="12"/>
        <v>-</v>
      </c>
    </row>
    <row r="45" spans="1:12">
      <c r="A45" s="53" t="s">
        <v>109</v>
      </c>
      <c r="B45" s="55" t="s">
        <v>110</v>
      </c>
      <c r="C45" s="41"/>
      <c r="D45" s="41"/>
      <c r="E45" s="41"/>
      <c r="F45" s="41"/>
      <c r="G45" s="42">
        <f t="shared" si="11"/>
        <v>0</v>
      </c>
      <c r="H45" s="68" t="str">
        <f t="shared" si="12"/>
        <v>-</v>
      </c>
    </row>
    <row r="46" spans="1:12">
      <c r="A46" s="53" t="s">
        <v>111</v>
      </c>
      <c r="B46" s="55" t="s">
        <v>112</v>
      </c>
      <c r="C46" s="41">
        <f>507954*35.3</f>
        <v>17930776.199999999</v>
      </c>
      <c r="D46" s="41">
        <f>882344*35.3</f>
        <v>31146743.199999999</v>
      </c>
      <c r="E46" s="41">
        <f>574348*35.3</f>
        <v>20274484.399999999</v>
      </c>
      <c r="F46" s="41">
        <f>178275*35.3</f>
        <v>6293107.4999999991</v>
      </c>
      <c r="G46" s="42">
        <f t="shared" si="11"/>
        <v>75645111.299999997</v>
      </c>
      <c r="H46" s="68">
        <f t="shared" si="12"/>
        <v>6772167.5290957922</v>
      </c>
    </row>
    <row r="47" spans="1:12">
      <c r="A47" s="57" t="s">
        <v>99</v>
      </c>
      <c r="B47" s="69"/>
      <c r="C47" s="45">
        <v>0</v>
      </c>
      <c r="D47" s="45">
        <v>0</v>
      </c>
      <c r="E47" s="45">
        <v>0</v>
      </c>
      <c r="F47" s="45">
        <v>0</v>
      </c>
      <c r="G47" s="46">
        <f t="shared" si="11"/>
        <v>0</v>
      </c>
      <c r="H47" s="70" t="str">
        <f t="shared" si="12"/>
        <v>-</v>
      </c>
    </row>
    <row r="48" spans="1:12">
      <c r="A48" s="16"/>
      <c r="C48" s="21"/>
      <c r="D48" s="21"/>
      <c r="E48" s="21"/>
      <c r="F48" s="21"/>
      <c r="G48" s="47"/>
    </row>
    <row r="49" spans="1:8" ht="15.75">
      <c r="A49" s="11" t="s">
        <v>113</v>
      </c>
      <c r="B49" s="71" t="s">
        <v>114</v>
      </c>
      <c r="C49" s="48" t="s">
        <v>64</v>
      </c>
      <c r="D49" s="48" t="s">
        <v>65</v>
      </c>
      <c r="E49" s="48" t="s">
        <v>66</v>
      </c>
      <c r="F49" s="48" t="s">
        <v>67</v>
      </c>
      <c r="G49" s="49" t="s">
        <v>68</v>
      </c>
      <c r="H49" s="50"/>
    </row>
    <row r="50" spans="1:8" ht="14.25" customHeight="1">
      <c r="A50" s="51" t="s">
        <v>115</v>
      </c>
      <c r="B50" s="48">
        <f>+B5</f>
        <v>1</v>
      </c>
      <c r="C50" s="37">
        <v>976</v>
      </c>
      <c r="D50" s="37">
        <v>1652</v>
      </c>
      <c r="E50" s="37">
        <v>1480</v>
      </c>
      <c r="F50" s="37">
        <v>325</v>
      </c>
      <c r="G50" s="38">
        <f t="shared" ref="G50:G60" si="13">SUM(C50:F50)</f>
        <v>4433</v>
      </c>
      <c r="H50" s="63">
        <f>G50/8760</f>
        <v>0.50605022831050228</v>
      </c>
    </row>
    <row r="51" spans="1:8" ht="14.25" customHeight="1">
      <c r="A51" s="53" t="s">
        <v>115</v>
      </c>
      <c r="B51" s="21">
        <v>2</v>
      </c>
      <c r="C51" s="134"/>
      <c r="D51" s="134"/>
      <c r="E51" s="134"/>
      <c r="F51" s="134"/>
      <c r="G51" s="42">
        <f t="shared" si="13"/>
        <v>0</v>
      </c>
      <c r="H51" s="39" t="s">
        <v>116</v>
      </c>
    </row>
    <row r="52" spans="1:8" ht="14.25" customHeight="1">
      <c r="A52" s="53" t="s">
        <v>115</v>
      </c>
      <c r="B52" s="21">
        <v>3</v>
      </c>
      <c r="C52" s="134"/>
      <c r="D52" s="134"/>
      <c r="E52" s="134"/>
      <c r="F52" s="134"/>
      <c r="G52" s="42">
        <f t="shared" si="13"/>
        <v>0</v>
      </c>
      <c r="H52" s="39" t="s">
        <v>116</v>
      </c>
    </row>
    <row r="53" spans="1:8" ht="14.25" customHeight="1">
      <c r="A53" s="53" t="s">
        <v>115</v>
      </c>
      <c r="B53" s="21">
        <v>4</v>
      </c>
      <c r="C53" s="134"/>
      <c r="D53" s="134"/>
      <c r="E53" s="134"/>
      <c r="F53" s="134"/>
      <c r="G53" s="42">
        <f t="shared" si="13"/>
        <v>0</v>
      </c>
      <c r="H53" s="39" t="s">
        <v>116</v>
      </c>
    </row>
    <row r="54" spans="1:8" ht="14.25" customHeight="1">
      <c r="A54" s="53" t="s">
        <v>115</v>
      </c>
      <c r="B54" s="21">
        <v>5</v>
      </c>
      <c r="C54" s="134"/>
      <c r="D54" s="134"/>
      <c r="E54" s="134"/>
      <c r="F54" s="134"/>
      <c r="G54" s="42">
        <f t="shared" ref="G54" si="14">SUM(C54:F54)</f>
        <v>0</v>
      </c>
      <c r="H54" s="39" t="s">
        <v>116</v>
      </c>
    </row>
    <row r="55" spans="1:8" ht="14.25" customHeight="1">
      <c r="A55" s="53" t="s">
        <v>117</v>
      </c>
      <c r="B55" s="21">
        <v>1</v>
      </c>
      <c r="C55" s="134"/>
      <c r="D55" s="134"/>
      <c r="E55" s="134"/>
      <c r="F55" s="134"/>
      <c r="G55" s="42">
        <f t="shared" si="13"/>
        <v>0</v>
      </c>
      <c r="H55" s="39" t="s">
        <v>116</v>
      </c>
    </row>
    <row r="56" spans="1:8">
      <c r="A56" s="53" t="s">
        <v>117</v>
      </c>
      <c r="B56" s="21">
        <v>2</v>
      </c>
      <c r="C56" s="41"/>
      <c r="D56" s="41"/>
      <c r="E56" s="41"/>
      <c r="F56" s="41"/>
      <c r="G56" s="42">
        <f t="shared" si="13"/>
        <v>0</v>
      </c>
      <c r="H56" s="39" t="s">
        <v>116</v>
      </c>
    </row>
    <row r="57" spans="1:8">
      <c r="A57" s="53" t="s">
        <v>118</v>
      </c>
      <c r="B57" s="21"/>
      <c r="C57" s="41">
        <v>0</v>
      </c>
      <c r="D57" s="41">
        <v>0</v>
      </c>
      <c r="E57" s="41">
        <v>0</v>
      </c>
      <c r="F57" s="41">
        <v>0</v>
      </c>
      <c r="G57" s="42">
        <f t="shared" si="13"/>
        <v>0</v>
      </c>
      <c r="H57" s="39" t="str">
        <f>IF(B57&gt;0,G56/8760,"n/a")</f>
        <v>n/a</v>
      </c>
    </row>
    <row r="58" spans="1:8">
      <c r="A58" s="53" t="s">
        <v>119</v>
      </c>
      <c r="B58" s="21" t="s">
        <v>120</v>
      </c>
      <c r="C58" s="41">
        <v>0</v>
      </c>
      <c r="D58" s="41">
        <v>0</v>
      </c>
      <c r="E58" s="41">
        <v>0</v>
      </c>
      <c r="F58" s="41">
        <v>0</v>
      </c>
      <c r="G58" s="42">
        <f t="shared" si="13"/>
        <v>0</v>
      </c>
      <c r="H58" s="54" t="str">
        <f>IF(G58&gt;0,"yes","no")</f>
        <v>no</v>
      </c>
    </row>
    <row r="59" spans="1:8">
      <c r="A59" s="53" t="s">
        <v>121</v>
      </c>
      <c r="B59" s="21" t="s">
        <v>122</v>
      </c>
      <c r="C59" s="41"/>
      <c r="D59" s="41">
        <v>0</v>
      </c>
      <c r="E59" s="41">
        <v>0</v>
      </c>
      <c r="F59" s="41">
        <v>0</v>
      </c>
      <c r="G59" s="42">
        <f t="shared" si="13"/>
        <v>0</v>
      </c>
      <c r="H59" s="72">
        <f>+(G59)/8760</f>
        <v>0</v>
      </c>
    </row>
    <row r="60" spans="1:8">
      <c r="A60" s="57" t="s">
        <v>123</v>
      </c>
      <c r="B60" s="73" t="s">
        <v>120</v>
      </c>
      <c r="C60" s="45"/>
      <c r="D60" s="45">
        <v>0</v>
      </c>
      <c r="E60" s="45">
        <v>0</v>
      </c>
      <c r="F60" s="45">
        <v>0</v>
      </c>
      <c r="G60" s="46">
        <f t="shared" si="13"/>
        <v>0</v>
      </c>
      <c r="H60" s="74" t="str">
        <f>IF(G60&gt;0,"yes","no")</f>
        <v>no</v>
      </c>
    </row>
    <row r="73" spans="6:6">
      <c r="F73" s="3"/>
    </row>
  </sheetData>
  <mergeCells count="8">
    <mergeCell ref="B42:B44"/>
    <mergeCell ref="B4:C4"/>
    <mergeCell ref="B8:B19"/>
    <mergeCell ref="B22:B25"/>
    <mergeCell ref="B27:B28"/>
    <mergeCell ref="B32:B37"/>
    <mergeCell ref="B40:B41"/>
    <mergeCell ref="C29:F29"/>
  </mergeCells>
  <pageMargins left="0.7" right="0.7" top="0.75" bottom="0.75" header="0.3" footer="0.3"/>
  <pageSetup paperSize="9" scale="87" orientation="portrait" r:id="rId1"/>
  <headerFooter scaleWithDoc="0">
    <oddFooter>&amp;C&amp;"Arial,Regular"Page &amp;P</oddFooter>
  </headerFooter>
  <ignoredErrors>
    <ignoredError sqref="G55:G56 G51:G53"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I66"/>
  <sheetViews>
    <sheetView showGridLines="0" topLeftCell="A6" zoomScaleNormal="100" workbookViewId="0">
      <selection activeCell="A31" sqref="A31:I52"/>
    </sheetView>
  </sheetViews>
  <sheetFormatPr defaultColWidth="9.140625" defaultRowHeight="15"/>
  <cols>
    <col min="1" max="1" width="9.140625" style="2" customWidth="1"/>
    <col min="2" max="2" width="14.5703125" style="2" bestFit="1" customWidth="1"/>
    <col min="3" max="9" width="9.140625" style="2"/>
    <col min="10" max="10" width="11.5703125" style="2" customWidth="1"/>
    <col min="11" max="16384" width="9.140625" style="2"/>
  </cols>
  <sheetData>
    <row r="1" spans="1:9">
      <c r="A1" s="2" t="str">
        <f>+'Cover Page'!$B$29</f>
        <v>Annual Performance Report 2022</v>
      </c>
      <c r="E1" s="2" t="str">
        <f>+'Cover Page'!$B$33</f>
        <v>Fine Environmental Services</v>
      </c>
    </row>
    <row r="3" spans="1:9" ht="15.75">
      <c r="A3" s="101" t="s">
        <v>124</v>
      </c>
      <c r="B3" s="102"/>
      <c r="C3" s="102"/>
      <c r="D3" s="102"/>
      <c r="E3" s="102"/>
      <c r="F3" s="102"/>
      <c r="G3" s="102"/>
      <c r="H3" s="102"/>
      <c r="I3" s="103"/>
    </row>
    <row r="4" spans="1:9">
      <c r="A4" s="104"/>
      <c r="B4" s="105"/>
      <c r="C4" s="105"/>
      <c r="D4" s="105"/>
      <c r="E4" s="105"/>
      <c r="F4" s="105"/>
      <c r="G4" s="105"/>
      <c r="H4" s="105"/>
      <c r="I4" s="106"/>
    </row>
    <row r="5" spans="1:9" ht="15.75" customHeight="1">
      <c r="A5" s="160" t="s">
        <v>125</v>
      </c>
      <c r="B5" s="161"/>
      <c r="C5" s="161"/>
      <c r="D5" s="161"/>
      <c r="E5" s="161"/>
      <c r="F5" s="161"/>
      <c r="G5" s="161"/>
      <c r="H5" s="161"/>
      <c r="I5" s="162"/>
    </row>
    <row r="6" spans="1:9">
      <c r="A6" s="163"/>
      <c r="B6" s="164"/>
      <c r="C6" s="164"/>
      <c r="D6" s="164"/>
      <c r="E6" s="164"/>
      <c r="F6" s="164"/>
      <c r="G6" s="164"/>
      <c r="H6" s="164"/>
      <c r="I6" s="165"/>
    </row>
    <row r="7" spans="1:9">
      <c r="A7" s="163"/>
      <c r="B7" s="164"/>
      <c r="C7" s="164"/>
      <c r="D7" s="164"/>
      <c r="E7" s="164"/>
      <c r="F7" s="164"/>
      <c r="G7" s="164"/>
      <c r="H7" s="164"/>
      <c r="I7" s="165"/>
    </row>
    <row r="8" spans="1:9" ht="15.75" customHeight="1">
      <c r="A8" s="163"/>
      <c r="B8" s="164"/>
      <c r="C8" s="164"/>
      <c r="D8" s="164"/>
      <c r="E8" s="164"/>
      <c r="F8" s="164"/>
      <c r="G8" s="164"/>
      <c r="H8" s="164"/>
      <c r="I8" s="165"/>
    </row>
    <row r="9" spans="1:9" ht="15.75" customHeight="1">
      <c r="A9" s="163"/>
      <c r="B9" s="164"/>
      <c r="C9" s="164"/>
      <c r="D9" s="164"/>
      <c r="E9" s="164"/>
      <c r="F9" s="164"/>
      <c r="G9" s="164"/>
      <c r="H9" s="164"/>
      <c r="I9" s="165"/>
    </row>
    <row r="10" spans="1:9" ht="15.75" customHeight="1">
      <c r="A10" s="163"/>
      <c r="B10" s="164"/>
      <c r="C10" s="164"/>
      <c r="D10" s="164"/>
      <c r="E10" s="164"/>
      <c r="F10" s="164"/>
      <c r="G10" s="164"/>
      <c r="H10" s="164"/>
      <c r="I10" s="165"/>
    </row>
    <row r="11" spans="1:9" ht="15.75" customHeight="1">
      <c r="A11" s="163"/>
      <c r="B11" s="164"/>
      <c r="C11" s="164"/>
      <c r="D11" s="164"/>
      <c r="E11" s="164"/>
      <c r="F11" s="164"/>
      <c r="G11" s="164"/>
      <c r="H11" s="164"/>
      <c r="I11" s="165"/>
    </row>
    <row r="12" spans="1:9" ht="15.75" customHeight="1">
      <c r="A12" s="163"/>
      <c r="B12" s="164"/>
      <c r="C12" s="164"/>
      <c r="D12" s="164"/>
      <c r="E12" s="164"/>
      <c r="F12" s="164"/>
      <c r="G12" s="164"/>
      <c r="H12" s="164"/>
      <c r="I12" s="165"/>
    </row>
    <row r="13" spans="1:9" ht="15.75" customHeight="1">
      <c r="A13" s="163"/>
      <c r="B13" s="164"/>
      <c r="C13" s="164"/>
      <c r="D13" s="164"/>
      <c r="E13" s="164"/>
      <c r="F13" s="164"/>
      <c r="G13" s="164"/>
      <c r="H13" s="164"/>
      <c r="I13" s="165"/>
    </row>
    <row r="14" spans="1:9" ht="15.75" customHeight="1">
      <c r="A14" s="163"/>
      <c r="B14" s="164"/>
      <c r="C14" s="164"/>
      <c r="D14" s="164"/>
      <c r="E14" s="164"/>
      <c r="F14" s="164"/>
      <c r="G14" s="164"/>
      <c r="H14" s="164"/>
      <c r="I14" s="165"/>
    </row>
    <row r="15" spans="1:9" ht="15.75" customHeight="1">
      <c r="A15" s="163"/>
      <c r="B15" s="164"/>
      <c r="C15" s="164"/>
      <c r="D15" s="164"/>
      <c r="E15" s="164"/>
      <c r="F15" s="164"/>
      <c r="G15" s="164"/>
      <c r="H15" s="164"/>
      <c r="I15" s="165"/>
    </row>
    <row r="16" spans="1:9" ht="15.75" customHeight="1">
      <c r="A16" s="163"/>
      <c r="B16" s="164"/>
      <c r="C16" s="164"/>
      <c r="D16" s="164"/>
      <c r="E16" s="164"/>
      <c r="F16" s="164"/>
      <c r="G16" s="164"/>
      <c r="H16" s="164"/>
      <c r="I16" s="165"/>
    </row>
    <row r="17" spans="1:9" ht="15.75" customHeight="1">
      <c r="A17" s="163"/>
      <c r="B17" s="164"/>
      <c r="C17" s="164"/>
      <c r="D17" s="164"/>
      <c r="E17" s="164"/>
      <c r="F17" s="164"/>
      <c r="G17" s="164"/>
      <c r="H17" s="164"/>
      <c r="I17" s="165"/>
    </row>
    <row r="18" spans="1:9">
      <c r="A18" s="163"/>
      <c r="B18" s="164"/>
      <c r="C18" s="164"/>
      <c r="D18" s="164"/>
      <c r="E18" s="164"/>
      <c r="F18" s="164"/>
      <c r="G18" s="164"/>
      <c r="H18" s="164"/>
      <c r="I18" s="165"/>
    </row>
    <row r="19" spans="1:9">
      <c r="A19" s="163"/>
      <c r="B19" s="164"/>
      <c r="C19" s="164"/>
      <c r="D19" s="164"/>
      <c r="E19" s="164"/>
      <c r="F19" s="164"/>
      <c r="G19" s="164"/>
      <c r="H19" s="164"/>
      <c r="I19" s="165"/>
    </row>
    <row r="20" spans="1:9">
      <c r="A20" s="163"/>
      <c r="B20" s="164"/>
      <c r="C20" s="164"/>
      <c r="D20" s="164"/>
      <c r="E20" s="164"/>
      <c r="F20" s="164"/>
      <c r="G20" s="164"/>
      <c r="H20" s="164"/>
      <c r="I20" s="165"/>
    </row>
    <row r="21" spans="1:9">
      <c r="A21" s="163"/>
      <c r="B21" s="164"/>
      <c r="C21" s="164"/>
      <c r="D21" s="164"/>
      <c r="E21" s="164"/>
      <c r="F21" s="164"/>
      <c r="G21" s="164"/>
      <c r="H21" s="164"/>
      <c r="I21" s="165"/>
    </row>
    <row r="22" spans="1:9">
      <c r="A22" s="163"/>
      <c r="B22" s="164"/>
      <c r="C22" s="164"/>
      <c r="D22" s="164"/>
      <c r="E22" s="164"/>
      <c r="F22" s="164"/>
      <c r="G22" s="164"/>
      <c r="H22" s="164"/>
      <c r="I22" s="165"/>
    </row>
    <row r="23" spans="1:9">
      <c r="A23" s="163"/>
      <c r="B23" s="164"/>
      <c r="C23" s="164"/>
      <c r="D23" s="164"/>
      <c r="E23" s="164"/>
      <c r="F23" s="164"/>
      <c r="G23" s="164"/>
      <c r="H23" s="164"/>
      <c r="I23" s="165"/>
    </row>
    <row r="24" spans="1:9">
      <c r="A24" s="163"/>
      <c r="B24" s="164"/>
      <c r="C24" s="164"/>
      <c r="D24" s="164"/>
      <c r="E24" s="164"/>
      <c r="F24" s="164"/>
      <c r="G24" s="164"/>
      <c r="H24" s="164"/>
      <c r="I24" s="165"/>
    </row>
    <row r="25" spans="1:9">
      <c r="A25" s="163"/>
      <c r="B25" s="164"/>
      <c r="C25" s="164"/>
      <c r="D25" s="164"/>
      <c r="E25" s="164"/>
      <c r="F25" s="164"/>
      <c r="G25" s="164"/>
      <c r="H25" s="164"/>
      <c r="I25" s="165"/>
    </row>
    <row r="26" spans="1:9">
      <c r="A26" s="163"/>
      <c r="B26" s="164"/>
      <c r="C26" s="164"/>
      <c r="D26" s="164"/>
      <c r="E26" s="164"/>
      <c r="F26" s="164"/>
      <c r="G26" s="164"/>
      <c r="H26" s="164"/>
      <c r="I26" s="165"/>
    </row>
    <row r="27" spans="1:9">
      <c r="A27" s="166"/>
      <c r="B27" s="167"/>
      <c r="C27" s="167"/>
      <c r="D27" s="167"/>
      <c r="E27" s="167"/>
      <c r="F27" s="167"/>
      <c r="G27" s="167"/>
      <c r="H27" s="167"/>
      <c r="I27" s="168"/>
    </row>
    <row r="29" spans="1:9" ht="15.75">
      <c r="A29" s="101" t="s">
        <v>126</v>
      </c>
      <c r="B29" s="102"/>
      <c r="C29" s="102"/>
      <c r="D29" s="102"/>
      <c r="E29" s="102"/>
      <c r="F29" s="102"/>
      <c r="G29" s="102"/>
      <c r="H29" s="102"/>
      <c r="I29" s="103"/>
    </row>
    <row r="30" spans="1:9">
      <c r="A30" s="104"/>
      <c r="B30" s="105"/>
      <c r="C30" s="105"/>
      <c r="D30" s="105"/>
      <c r="E30" s="105"/>
      <c r="F30" s="105"/>
      <c r="G30" s="105"/>
      <c r="H30" s="105"/>
      <c r="I30" s="106"/>
    </row>
    <row r="31" spans="1:9" ht="15" customHeight="1">
      <c r="A31" s="160" t="s">
        <v>127</v>
      </c>
      <c r="B31" s="169"/>
      <c r="C31" s="169"/>
      <c r="D31" s="169"/>
      <c r="E31" s="169"/>
      <c r="F31" s="169"/>
      <c r="G31" s="169"/>
      <c r="H31" s="169"/>
      <c r="I31" s="170"/>
    </row>
    <row r="32" spans="1:9">
      <c r="A32" s="171"/>
      <c r="B32" s="172"/>
      <c r="C32" s="172"/>
      <c r="D32" s="172"/>
      <c r="E32" s="172"/>
      <c r="F32" s="172"/>
      <c r="G32" s="172"/>
      <c r="H32" s="172"/>
      <c r="I32" s="173"/>
    </row>
    <row r="33" spans="1:9">
      <c r="A33" s="171"/>
      <c r="B33" s="172"/>
      <c r="C33" s="172"/>
      <c r="D33" s="172"/>
      <c r="E33" s="172"/>
      <c r="F33" s="172"/>
      <c r="G33" s="172"/>
      <c r="H33" s="172"/>
      <c r="I33" s="173"/>
    </row>
    <row r="34" spans="1:9">
      <c r="A34" s="171"/>
      <c r="B34" s="172"/>
      <c r="C34" s="172"/>
      <c r="D34" s="172"/>
      <c r="E34" s="172"/>
      <c r="F34" s="172"/>
      <c r="G34" s="172"/>
      <c r="H34" s="172"/>
      <c r="I34" s="173"/>
    </row>
    <row r="35" spans="1:9">
      <c r="A35" s="171"/>
      <c r="B35" s="172"/>
      <c r="C35" s="172"/>
      <c r="D35" s="172"/>
      <c r="E35" s="172"/>
      <c r="F35" s="172"/>
      <c r="G35" s="172"/>
      <c r="H35" s="172"/>
      <c r="I35" s="173"/>
    </row>
    <row r="36" spans="1:9">
      <c r="A36" s="171"/>
      <c r="B36" s="172"/>
      <c r="C36" s="172"/>
      <c r="D36" s="172"/>
      <c r="E36" s="172"/>
      <c r="F36" s="172"/>
      <c r="G36" s="172"/>
      <c r="H36" s="172"/>
      <c r="I36" s="173"/>
    </row>
    <row r="37" spans="1:9">
      <c r="A37" s="171"/>
      <c r="B37" s="172"/>
      <c r="C37" s="172"/>
      <c r="D37" s="172"/>
      <c r="E37" s="172"/>
      <c r="F37" s="172"/>
      <c r="G37" s="172"/>
      <c r="H37" s="172"/>
      <c r="I37" s="173"/>
    </row>
    <row r="38" spans="1:9" ht="14.25" customHeight="1">
      <c r="A38" s="171"/>
      <c r="B38" s="172"/>
      <c r="C38" s="172"/>
      <c r="D38" s="172"/>
      <c r="E38" s="172"/>
      <c r="F38" s="172"/>
      <c r="G38" s="172"/>
      <c r="H38" s="172"/>
      <c r="I38" s="173"/>
    </row>
    <row r="39" spans="1:9">
      <c r="A39" s="171"/>
      <c r="B39" s="172"/>
      <c r="C39" s="172"/>
      <c r="D39" s="172"/>
      <c r="E39" s="172"/>
      <c r="F39" s="172"/>
      <c r="G39" s="172"/>
      <c r="H39" s="172"/>
      <c r="I39" s="173"/>
    </row>
    <row r="40" spans="1:9">
      <c r="A40" s="171"/>
      <c r="B40" s="172"/>
      <c r="C40" s="172"/>
      <c r="D40" s="172"/>
      <c r="E40" s="172"/>
      <c r="F40" s="172"/>
      <c r="G40" s="172"/>
      <c r="H40" s="172"/>
      <c r="I40" s="173"/>
    </row>
    <row r="41" spans="1:9">
      <c r="A41" s="171"/>
      <c r="B41" s="172"/>
      <c r="C41" s="172"/>
      <c r="D41" s="172"/>
      <c r="E41" s="172"/>
      <c r="F41" s="172"/>
      <c r="G41" s="172"/>
      <c r="H41" s="172"/>
      <c r="I41" s="173"/>
    </row>
    <row r="42" spans="1:9">
      <c r="A42" s="171"/>
      <c r="B42" s="172"/>
      <c r="C42" s="172"/>
      <c r="D42" s="172"/>
      <c r="E42" s="172"/>
      <c r="F42" s="172"/>
      <c r="G42" s="172"/>
      <c r="H42" s="172"/>
      <c r="I42" s="173"/>
    </row>
    <row r="43" spans="1:9">
      <c r="A43" s="171"/>
      <c r="B43" s="172"/>
      <c r="C43" s="172"/>
      <c r="D43" s="172"/>
      <c r="E43" s="172"/>
      <c r="F43" s="172"/>
      <c r="G43" s="172"/>
      <c r="H43" s="172"/>
      <c r="I43" s="173"/>
    </row>
    <row r="44" spans="1:9">
      <c r="A44" s="171"/>
      <c r="B44" s="172"/>
      <c r="C44" s="172"/>
      <c r="D44" s="172"/>
      <c r="E44" s="172"/>
      <c r="F44" s="172"/>
      <c r="G44" s="172"/>
      <c r="H44" s="172"/>
      <c r="I44" s="173"/>
    </row>
    <row r="45" spans="1:9">
      <c r="A45" s="171"/>
      <c r="B45" s="172"/>
      <c r="C45" s="172"/>
      <c r="D45" s="172"/>
      <c r="E45" s="172"/>
      <c r="F45" s="172"/>
      <c r="G45" s="172"/>
      <c r="H45" s="172"/>
      <c r="I45" s="173"/>
    </row>
    <row r="46" spans="1:9">
      <c r="A46" s="171"/>
      <c r="B46" s="172"/>
      <c r="C46" s="172"/>
      <c r="D46" s="172"/>
      <c r="E46" s="172"/>
      <c r="F46" s="172"/>
      <c r="G46" s="172"/>
      <c r="H46" s="172"/>
      <c r="I46" s="173"/>
    </row>
    <row r="47" spans="1:9">
      <c r="A47" s="171"/>
      <c r="B47" s="172"/>
      <c r="C47" s="172"/>
      <c r="D47" s="172"/>
      <c r="E47" s="172"/>
      <c r="F47" s="172"/>
      <c r="G47" s="172"/>
      <c r="H47" s="172"/>
      <c r="I47" s="173"/>
    </row>
    <row r="48" spans="1:9">
      <c r="A48" s="171"/>
      <c r="B48" s="172"/>
      <c r="C48" s="172"/>
      <c r="D48" s="172"/>
      <c r="E48" s="172"/>
      <c r="F48" s="172"/>
      <c r="G48" s="172"/>
      <c r="H48" s="172"/>
      <c r="I48" s="173"/>
    </row>
    <row r="49" spans="1:9">
      <c r="A49" s="171"/>
      <c r="B49" s="172"/>
      <c r="C49" s="172"/>
      <c r="D49" s="172"/>
      <c r="E49" s="172"/>
      <c r="F49" s="172"/>
      <c r="G49" s="172"/>
      <c r="H49" s="172"/>
      <c r="I49" s="173"/>
    </row>
    <row r="50" spans="1:9">
      <c r="A50" s="171"/>
      <c r="B50" s="172"/>
      <c r="C50" s="172"/>
      <c r="D50" s="172"/>
      <c r="E50" s="172"/>
      <c r="F50" s="172"/>
      <c r="G50" s="172"/>
      <c r="H50" s="172"/>
      <c r="I50" s="173"/>
    </row>
    <row r="51" spans="1:9">
      <c r="A51" s="171"/>
      <c r="B51" s="172"/>
      <c r="C51" s="172"/>
      <c r="D51" s="172"/>
      <c r="E51" s="172"/>
      <c r="F51" s="172"/>
      <c r="G51" s="172"/>
      <c r="H51" s="172"/>
      <c r="I51" s="173"/>
    </row>
    <row r="52" spans="1:9">
      <c r="A52" s="174"/>
      <c r="B52" s="175"/>
      <c r="C52" s="175"/>
      <c r="D52" s="175"/>
      <c r="E52" s="175"/>
      <c r="F52" s="175"/>
      <c r="G52" s="175"/>
      <c r="H52" s="175"/>
      <c r="I52" s="176"/>
    </row>
    <row r="66" spans="6:6">
      <c r="F66" s="3"/>
    </row>
  </sheetData>
  <mergeCells count="2">
    <mergeCell ref="A5:I27"/>
    <mergeCell ref="A31:I52"/>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showGridLines="0" topLeftCell="A29" zoomScaleNormal="100" workbookViewId="0">
      <selection activeCell="A23" sqref="A23:D23"/>
    </sheetView>
  </sheetViews>
  <sheetFormatPr defaultColWidth="9.140625" defaultRowHeight="15"/>
  <cols>
    <col min="1" max="6" width="9.140625" style="2"/>
    <col min="7" max="7" width="15" style="2" bestFit="1" customWidth="1"/>
    <col min="8" max="16384" width="9.140625" style="2"/>
  </cols>
  <sheetData>
    <row r="1" spans="1:10" ht="15.75">
      <c r="A1" s="75">
        <f>+'Cover Page'!C39</f>
        <v>2022</v>
      </c>
      <c r="B1" s="76" t="s">
        <v>128</v>
      </c>
      <c r="C1" s="76"/>
      <c r="D1" s="76"/>
      <c r="E1" s="76"/>
      <c r="F1" s="76"/>
      <c r="G1" s="76"/>
      <c r="H1" s="76"/>
      <c r="I1" s="76"/>
      <c r="J1" s="76"/>
    </row>
    <row r="2" spans="1:10" ht="8.25" customHeight="1"/>
    <row r="3" spans="1:10" s="3" customFormat="1" ht="14.25">
      <c r="A3" s="186" t="str">
        <f>+'Cover Page'!B31</f>
        <v>Permit EPR/ZP3438CF</v>
      </c>
      <c r="B3" s="186"/>
      <c r="C3" s="186"/>
      <c r="D3" s="186"/>
      <c r="E3" s="186"/>
      <c r="F3" s="3" t="s">
        <v>129</v>
      </c>
      <c r="G3" s="187">
        <f>+'Cover Page'!B37:I37</f>
        <v>0</v>
      </c>
      <c r="H3" s="187"/>
      <c r="I3" s="187"/>
    </row>
    <row r="4" spans="1:10" s="3" customFormat="1" ht="14.25">
      <c r="A4" s="3" t="s">
        <v>130</v>
      </c>
      <c r="B4" s="186" t="str">
        <f>+'Cover Page'!B33:I33</f>
        <v>Fine Environmental Services</v>
      </c>
      <c r="C4" s="186"/>
      <c r="D4" s="186"/>
      <c r="E4" s="186"/>
      <c r="F4" s="3" t="s">
        <v>131</v>
      </c>
      <c r="G4" s="3" t="s">
        <v>132</v>
      </c>
    </row>
    <row r="5" spans="1:10" s="3" customFormat="1" ht="6.75" customHeight="1"/>
    <row r="6" spans="1:10" s="3" customFormat="1" ht="15.75" customHeight="1">
      <c r="A6" s="3" t="s">
        <v>133</v>
      </c>
      <c r="D6" s="188">
        <v>44562</v>
      </c>
      <c r="E6" s="188"/>
      <c r="F6" s="77" t="s">
        <v>134</v>
      </c>
      <c r="G6" s="188">
        <v>44926</v>
      </c>
      <c r="H6" s="188"/>
    </row>
    <row r="7" spans="1:10" s="3" customFormat="1" ht="7.5" customHeight="1"/>
    <row r="8" spans="1:10" s="3" customFormat="1" ht="15.75">
      <c r="A8" s="11">
        <f>+A1</f>
        <v>2022</v>
      </c>
      <c r="B8" s="76" t="s">
        <v>135</v>
      </c>
      <c r="C8"/>
      <c r="D8"/>
      <c r="E8"/>
      <c r="F8"/>
      <c r="G8"/>
    </row>
    <row r="9" spans="1:10" s="3" customFormat="1" ht="28.5" customHeight="1">
      <c r="A9" s="189" t="s">
        <v>136</v>
      </c>
      <c r="B9" s="189"/>
      <c r="C9" s="189" t="s">
        <v>137</v>
      </c>
      <c r="D9" s="189"/>
      <c r="E9" s="189" t="s">
        <v>138</v>
      </c>
      <c r="F9" s="189"/>
      <c r="G9" s="189" t="s">
        <v>139</v>
      </c>
      <c r="H9" s="189"/>
      <c r="I9" s="189" t="s">
        <v>140</v>
      </c>
      <c r="J9" s="189"/>
    </row>
    <row r="10" spans="1:10" s="3" customFormat="1" ht="14.25" customHeight="1">
      <c r="A10" s="182" t="s">
        <v>141</v>
      </c>
      <c r="B10" s="182"/>
      <c r="C10" s="182"/>
      <c r="D10" s="182"/>
      <c r="E10" s="182"/>
      <c r="F10" s="182"/>
      <c r="G10" s="182"/>
      <c r="H10" s="182"/>
      <c r="I10" s="182"/>
      <c r="J10" s="182"/>
    </row>
    <row r="11" spans="1:10" s="3" customFormat="1" ht="14.25" customHeight="1">
      <c r="A11" s="182" t="s">
        <v>142</v>
      </c>
      <c r="B11" s="182"/>
      <c r="C11" s="183"/>
      <c r="D11" s="183"/>
      <c r="E11" s="184"/>
      <c r="F11" s="184"/>
      <c r="G11" s="184"/>
      <c r="H11" s="184"/>
      <c r="I11" s="185" t="str">
        <f>IF((E11+G11)&gt;0,(E11+G11)/'Operational Data'!$G$18, "-")</f>
        <v>-</v>
      </c>
      <c r="J11" s="185"/>
    </row>
    <row r="12" spans="1:10" s="3" customFormat="1" ht="14.25" customHeight="1">
      <c r="A12" s="182" t="s">
        <v>143</v>
      </c>
      <c r="B12" s="182"/>
      <c r="C12" s="183"/>
      <c r="D12" s="183"/>
      <c r="E12" s="184"/>
      <c r="F12" s="184"/>
      <c r="G12" s="184"/>
      <c r="H12" s="184"/>
      <c r="I12" s="185" t="str">
        <f>IF((E12+G12)&gt;0,(E12+G12)/'Operational Data'!$G$18, "-")</f>
        <v>-</v>
      </c>
      <c r="J12" s="185"/>
    </row>
    <row r="13" spans="1:10" s="3" customFormat="1" ht="14.25" customHeight="1">
      <c r="A13" s="190"/>
      <c r="B13" s="190"/>
      <c r="C13" s="183"/>
      <c r="D13" s="183"/>
      <c r="E13" s="184"/>
      <c r="F13" s="184"/>
      <c r="G13" s="184"/>
      <c r="H13" s="184"/>
      <c r="I13" s="185" t="str">
        <f>IF((E13+G13)&gt;0,(E13+G13)/'Operational Data'!$G$18, "-")</f>
        <v>-</v>
      </c>
      <c r="J13" s="185"/>
    </row>
    <row r="14" spans="1:10" s="3" customFormat="1" ht="14.25" customHeight="1">
      <c r="A14" s="190"/>
      <c r="B14" s="190"/>
      <c r="C14" s="183"/>
      <c r="D14" s="183"/>
      <c r="E14" s="184"/>
      <c r="F14" s="184"/>
      <c r="G14" s="184"/>
      <c r="H14" s="184"/>
      <c r="I14" s="185" t="str">
        <f>IF((E14+G14)&gt;0,(E14+G14)/'Operational Data'!$G$18, "-")</f>
        <v>-</v>
      </c>
      <c r="J14" s="185"/>
    </row>
    <row r="15" spans="1:10" s="3" customFormat="1" ht="14.25" customHeight="1">
      <c r="A15" s="197" t="s">
        <v>144</v>
      </c>
      <c r="B15" s="197"/>
      <c r="C15" s="197"/>
      <c r="D15" s="197"/>
      <c r="E15" s="198">
        <f>SUM(E11:F14)</f>
        <v>0</v>
      </c>
      <c r="F15" s="198"/>
      <c r="G15" s="198">
        <f>SUM(G11:H14)</f>
        <v>0</v>
      </c>
      <c r="H15" s="198"/>
      <c r="I15" s="185" t="str">
        <f>IF((E15+G15)&gt;0,(E15+G15)/'Operational Data'!$G$18, "-")</f>
        <v>-</v>
      </c>
      <c r="J15" s="185"/>
    </row>
    <row r="16" spans="1:10" s="3" customFormat="1" ht="14.25" customHeight="1">
      <c r="A16" s="191"/>
      <c r="B16" s="192"/>
      <c r="C16" s="192"/>
      <c r="D16" s="192"/>
      <c r="E16" s="193"/>
      <c r="F16" s="193"/>
      <c r="G16" s="193"/>
      <c r="H16" s="193"/>
      <c r="I16" s="194"/>
      <c r="J16" s="195"/>
    </row>
    <row r="17" spans="1:10" s="3" customFormat="1" ht="14.25" customHeight="1">
      <c r="A17" s="196" t="s">
        <v>145</v>
      </c>
      <c r="B17" s="196"/>
      <c r="C17" s="196"/>
      <c r="D17" s="196"/>
      <c r="E17" s="196"/>
      <c r="F17" s="196"/>
      <c r="G17" s="196"/>
      <c r="H17" s="196"/>
      <c r="I17" s="196"/>
      <c r="J17" s="196"/>
    </row>
    <row r="18" spans="1:10" ht="14.25" customHeight="1">
      <c r="A18" s="182" t="s">
        <v>143</v>
      </c>
      <c r="B18" s="182"/>
      <c r="C18" s="183"/>
      <c r="D18" s="183"/>
      <c r="E18" s="184"/>
      <c r="F18" s="184"/>
      <c r="G18" s="184"/>
      <c r="H18" s="184"/>
      <c r="I18" s="185" t="str">
        <f>IF((E18+G18)&gt;0,(E18+G18)/'Operational Data'!$G$18, "-")</f>
        <v>-</v>
      </c>
      <c r="J18" s="185"/>
    </row>
    <row r="19" spans="1:10" s="3" customFormat="1" ht="14.25" customHeight="1">
      <c r="A19" s="182" t="s">
        <v>146</v>
      </c>
      <c r="B19" s="182"/>
      <c r="C19" s="183"/>
      <c r="D19" s="183"/>
      <c r="E19" s="184"/>
      <c r="F19" s="184"/>
      <c r="G19" s="184"/>
      <c r="H19" s="184"/>
      <c r="I19" s="185" t="str">
        <f>IF((E19+G19)&gt;0,(E19+G19)/'Operational Data'!$G$18, "-")</f>
        <v>-</v>
      </c>
      <c r="J19" s="185"/>
    </row>
    <row r="20" spans="1:10" s="3" customFormat="1" ht="14.25" customHeight="1">
      <c r="A20" s="182" t="s">
        <v>147</v>
      </c>
      <c r="B20" s="182"/>
      <c r="C20" s="183"/>
      <c r="D20" s="183"/>
      <c r="E20" s="184"/>
      <c r="F20" s="184"/>
      <c r="G20" s="184"/>
      <c r="H20" s="184"/>
      <c r="I20" s="185" t="str">
        <f>IF((E20+G20)&gt;0,(E20+G20)/'Operational Data'!$G$18, "-")</f>
        <v>-</v>
      </c>
      <c r="J20" s="185"/>
    </row>
    <row r="21" spans="1:10" s="3" customFormat="1" ht="14.25" customHeight="1">
      <c r="A21" s="199" t="s">
        <v>148</v>
      </c>
      <c r="B21" s="199"/>
      <c r="C21" s="183" t="s">
        <v>149</v>
      </c>
      <c r="D21" s="183"/>
      <c r="E21" s="184">
        <v>33.22</v>
      </c>
      <c r="F21" s="184"/>
      <c r="G21" s="184"/>
      <c r="H21" s="184"/>
      <c r="I21" s="185">
        <f>IF((E21+G21)&gt;0,(E21+G21)/'Operational Data'!$G$18, "-")</f>
        <v>2.9740376007162039E-3</v>
      </c>
      <c r="J21" s="185"/>
    </row>
    <row r="22" spans="1:10" s="3" customFormat="1" ht="14.25" customHeight="1">
      <c r="A22" s="199" t="s">
        <v>148</v>
      </c>
      <c r="B22" s="199"/>
      <c r="C22" s="183" t="s">
        <v>150</v>
      </c>
      <c r="D22" s="183"/>
      <c r="E22" s="184">
        <v>14.78</v>
      </c>
      <c r="F22" s="184"/>
      <c r="G22" s="184"/>
      <c r="H22" s="184"/>
      <c r="I22" s="185">
        <f>IF((E22+G22)&gt;0,(E22+G22)/'Operational Data'!$G$18, "-")</f>
        <v>1.3231871083258728E-3</v>
      </c>
      <c r="J22" s="185"/>
    </row>
    <row r="23" spans="1:10" s="3" customFormat="1" ht="14.25" customHeight="1">
      <c r="A23" s="200" t="s">
        <v>151</v>
      </c>
      <c r="B23" s="200"/>
      <c r="C23" s="200"/>
      <c r="D23" s="200"/>
      <c r="E23" s="198">
        <f>SUM(E18:F22)</f>
        <v>48</v>
      </c>
      <c r="F23" s="198"/>
      <c r="G23" s="198">
        <f>SUM(G18:H22)</f>
        <v>0</v>
      </c>
      <c r="H23" s="198"/>
      <c r="I23" s="185">
        <f>IF((E23+G23)&gt;0,(E23+G23)/'Operational Data'!$G$18, "-")</f>
        <v>4.2972247090420773E-3</v>
      </c>
      <c r="J23" s="185"/>
    </row>
    <row r="24" spans="1:10" s="3" customFormat="1" ht="14.25" customHeight="1">
      <c r="A24" s="210" t="s">
        <v>152</v>
      </c>
      <c r="B24" s="210"/>
      <c r="C24" s="210"/>
      <c r="D24" s="210"/>
      <c r="E24" s="211">
        <f>+E23+E15</f>
        <v>48</v>
      </c>
      <c r="F24" s="211"/>
      <c r="G24" s="211">
        <f>+G23+G15</f>
        <v>0</v>
      </c>
      <c r="H24" s="211"/>
      <c r="I24" s="212">
        <f>IF((E24+G24)&gt;0,(E24+G24)/'Operational Data'!$G$18, "-")</f>
        <v>4.2972247090420773E-3</v>
      </c>
      <c r="J24" s="212"/>
    </row>
    <row r="25" spans="1:10" s="3" customFormat="1" ht="8.25" customHeight="1">
      <c r="A25" s="83"/>
      <c r="B25"/>
      <c r="C25"/>
      <c r="D25"/>
      <c r="E25"/>
      <c r="F25"/>
      <c r="G25"/>
    </row>
    <row r="26" spans="1:10" s="3" customFormat="1" ht="14.25" customHeight="1">
      <c r="A26" s="213" t="s">
        <v>153</v>
      </c>
      <c r="B26" s="213"/>
      <c r="C26" s="213"/>
      <c r="D26" s="213"/>
      <c r="E26" s="213"/>
      <c r="F26" s="213"/>
      <c r="G26" s="213"/>
      <c r="H26" s="213"/>
      <c r="I26" s="213"/>
      <c r="J26" s="213"/>
    </row>
    <row r="27" spans="1:10" s="3" customFormat="1" ht="14.25" customHeight="1">
      <c r="A27" s="214"/>
      <c r="B27" s="214"/>
      <c r="C27" s="214"/>
      <c r="D27" s="214"/>
      <c r="E27" s="214"/>
      <c r="F27" s="214"/>
      <c r="G27" s="214"/>
      <c r="H27" s="214"/>
      <c r="I27" s="214"/>
      <c r="J27" s="214"/>
    </row>
    <row r="28" spans="1:10" s="3" customFormat="1" ht="14.25" customHeight="1">
      <c r="A28" s="214"/>
      <c r="B28" s="214"/>
      <c r="C28" s="214"/>
      <c r="D28" s="214"/>
      <c r="E28" s="214"/>
      <c r="F28" s="214"/>
      <c r="G28" s="214"/>
      <c r="H28" s="214"/>
      <c r="I28" s="214"/>
      <c r="J28" s="214"/>
    </row>
    <row r="29" spans="1:10" s="3" customFormat="1" ht="14.25" customHeight="1">
      <c r="A29" s="214"/>
      <c r="B29" s="214"/>
      <c r="C29" s="214"/>
      <c r="D29" s="214"/>
      <c r="E29" s="214"/>
      <c r="F29" s="214"/>
      <c r="G29" s="214"/>
      <c r="H29" s="214"/>
      <c r="I29" s="214"/>
      <c r="J29" s="214"/>
    </row>
    <row r="30" spans="1:10" s="3" customFormat="1" ht="14.25" customHeight="1">
      <c r="A30" s="83"/>
      <c r="B30"/>
      <c r="C30"/>
      <c r="D30"/>
      <c r="E30"/>
      <c r="F30"/>
      <c r="G30"/>
    </row>
    <row r="31" spans="1:10" s="3" customFormat="1" ht="14.25" customHeight="1">
      <c r="A31" s="1">
        <f>+A1</f>
        <v>2022</v>
      </c>
      <c r="B31" s="76" t="s">
        <v>154</v>
      </c>
      <c r="C31" s="76"/>
      <c r="D31" s="76"/>
      <c r="E31" s="76"/>
      <c r="F31" s="76"/>
    </row>
    <row r="32" spans="1:10" s="3" customFormat="1" ht="24.75" customHeight="1">
      <c r="A32" s="201" t="s">
        <v>155</v>
      </c>
      <c r="B32" s="202"/>
      <c r="C32" s="202"/>
      <c r="D32" s="203"/>
      <c r="E32" s="84" t="s">
        <v>156</v>
      </c>
      <c r="F32" s="85"/>
      <c r="G32" s="86" t="s">
        <v>63</v>
      </c>
      <c r="H32" s="204" t="s">
        <v>157</v>
      </c>
      <c r="I32" s="205"/>
      <c r="J32" s="87" t="s">
        <v>63</v>
      </c>
    </row>
    <row r="33" spans="1:10" s="3" customFormat="1" ht="14.25" customHeight="1">
      <c r="A33" s="191" t="s">
        <v>102</v>
      </c>
      <c r="B33" s="192"/>
      <c r="C33" s="192"/>
      <c r="D33" s="206"/>
      <c r="E33" s="207">
        <f>+'Operational Data'!G40</f>
        <v>53624</v>
      </c>
      <c r="F33" s="195"/>
      <c r="G33" s="88" t="s">
        <v>103</v>
      </c>
      <c r="H33" s="208">
        <f>IF(E33&gt;0,E33/'Operational Data'!$G$18,"-")</f>
        <v>4.8007162041181735</v>
      </c>
      <c r="I33" s="209"/>
      <c r="J33" s="88" t="s">
        <v>158</v>
      </c>
    </row>
    <row r="34" spans="1:10" s="3" customFormat="1" ht="14.25" customHeight="1">
      <c r="A34" s="191" t="s">
        <v>159</v>
      </c>
      <c r="B34" s="192"/>
      <c r="C34" s="192"/>
      <c r="D34" s="206"/>
      <c r="E34" s="207">
        <f>+'Operational Data'!G41+'Operational Data'!G40</f>
        <v>96002</v>
      </c>
      <c r="F34" s="195"/>
      <c r="G34" s="88" t="s">
        <v>103</v>
      </c>
      <c r="H34" s="208">
        <f>IF(E34&gt;0,E34/'Operational Data'!$G$18,"-")</f>
        <v>8.5946284691136974</v>
      </c>
      <c r="I34" s="209"/>
      <c r="J34" s="88" t="s">
        <v>158</v>
      </c>
    </row>
    <row r="35" spans="1:10" s="3" customFormat="1" ht="14.25" customHeight="1">
      <c r="A35" s="191" t="s">
        <v>160</v>
      </c>
      <c r="B35" s="192"/>
      <c r="C35" s="192"/>
      <c r="D35" s="206"/>
      <c r="E35" s="207">
        <f>+'Operational Data'!G42</f>
        <v>0</v>
      </c>
      <c r="F35" s="195"/>
      <c r="G35" s="88" t="s">
        <v>161</v>
      </c>
      <c r="H35" s="208" t="str">
        <f>IF(E35&gt;0,E35/'Operational Data'!$G$18,"-")</f>
        <v>-</v>
      </c>
      <c r="I35" s="209"/>
      <c r="J35" s="88" t="s">
        <v>162</v>
      </c>
    </row>
    <row r="36" spans="1:10" s="3" customFormat="1" ht="14.25" customHeight="1">
      <c r="A36" s="191" t="s">
        <v>107</v>
      </c>
      <c r="B36" s="192"/>
      <c r="C36" s="192"/>
      <c r="D36" s="206"/>
      <c r="E36" s="207">
        <f>+'Operational Data'!G43</f>
        <v>0</v>
      </c>
      <c r="F36" s="195"/>
      <c r="G36" s="88" t="s">
        <v>161</v>
      </c>
      <c r="H36" s="208" t="str">
        <f>IF(E36&gt;0,E36/'Operational Data'!$G$18,"-")</f>
        <v>-</v>
      </c>
      <c r="I36" s="209"/>
      <c r="J36" s="88" t="s">
        <v>162</v>
      </c>
    </row>
    <row r="37" spans="1:10" s="3" customFormat="1" ht="14.25" customHeight="1">
      <c r="A37" s="191" t="s">
        <v>163</v>
      </c>
      <c r="B37" s="192"/>
      <c r="C37" s="192"/>
      <c r="D37" s="206"/>
      <c r="E37" s="207">
        <f>+'Operational Data'!G44</f>
        <v>0</v>
      </c>
      <c r="F37" s="195"/>
      <c r="G37" s="88" t="s">
        <v>161</v>
      </c>
      <c r="H37" s="208" t="str">
        <f>IF(E37&gt;0,E37/'Operational Data'!$G$18,"-")</f>
        <v>-</v>
      </c>
      <c r="I37" s="209"/>
      <c r="J37" s="88" t="s">
        <v>162</v>
      </c>
    </row>
    <row r="38" spans="1:10" s="3" customFormat="1" ht="14.25" customHeight="1">
      <c r="A38" s="215"/>
      <c r="B38" s="216"/>
      <c r="C38" s="216"/>
      <c r="D38" s="217"/>
      <c r="E38" s="218"/>
      <c r="F38" s="219"/>
      <c r="G38" s="89"/>
      <c r="H38" s="220"/>
      <c r="I38" s="221"/>
      <c r="J38" s="89"/>
    </row>
    <row r="39" spans="1:10" s="3" customFormat="1" ht="14.25" customHeight="1">
      <c r="A39" s="213" t="s">
        <v>153</v>
      </c>
      <c r="B39" s="213"/>
      <c r="C39" s="213"/>
      <c r="D39" s="213"/>
      <c r="E39" s="213"/>
      <c r="F39" s="213"/>
      <c r="G39" s="213"/>
      <c r="H39" s="213"/>
      <c r="I39" s="213"/>
      <c r="J39" s="213"/>
    </row>
    <row r="40" spans="1:10" s="3" customFormat="1" ht="14.25" customHeight="1">
      <c r="A40" s="214" t="s">
        <v>164</v>
      </c>
      <c r="B40" s="214"/>
      <c r="C40" s="214"/>
      <c r="D40" s="214"/>
      <c r="E40" s="214"/>
      <c r="F40" s="214"/>
      <c r="G40" s="214"/>
      <c r="H40" s="214"/>
      <c r="I40" s="214"/>
      <c r="J40" s="214"/>
    </row>
    <row r="41" spans="1:10" s="3" customFormat="1" ht="14.25" customHeight="1">
      <c r="A41" s="214"/>
      <c r="B41" s="214"/>
      <c r="C41" s="214"/>
      <c r="D41" s="214"/>
      <c r="E41" s="214"/>
      <c r="F41" s="214"/>
      <c r="G41" s="214"/>
      <c r="H41" s="214"/>
      <c r="I41" s="214"/>
      <c r="J41" s="214"/>
    </row>
    <row r="42" spans="1:10" s="3" customFormat="1" ht="14.25" customHeight="1">
      <c r="A42" s="90"/>
      <c r="B42" s="90"/>
      <c r="C42" s="90"/>
      <c r="D42" s="90"/>
      <c r="E42" s="90"/>
      <c r="F42" s="90"/>
      <c r="G42" s="90"/>
      <c r="H42" s="90"/>
      <c r="I42" s="90"/>
      <c r="J42" s="90"/>
    </row>
    <row r="43" spans="1:10" s="3" customFormat="1" ht="14.25" customHeight="1">
      <c r="A43" s="76">
        <f>+A31</f>
        <v>2022</v>
      </c>
      <c r="B43" s="76" t="s">
        <v>165</v>
      </c>
      <c r="C43" s="76"/>
      <c r="D43" s="76"/>
      <c r="E43" s="76"/>
      <c r="F43" s="76"/>
      <c r="G43" s="2"/>
    </row>
    <row r="44" spans="1:10" ht="14.25" customHeight="1">
      <c r="A44" s="222" t="s">
        <v>166</v>
      </c>
      <c r="B44" s="222"/>
      <c r="C44" s="189" t="s">
        <v>167</v>
      </c>
      <c r="D44" s="189"/>
      <c r="E44" s="189"/>
      <c r="F44" s="189"/>
      <c r="G44" s="189"/>
      <c r="H44" s="189"/>
      <c r="I44" s="189"/>
      <c r="J44" s="189"/>
    </row>
    <row r="45" spans="1:10" ht="14.25" customHeight="1">
      <c r="A45" s="91"/>
      <c r="B45" s="91"/>
      <c r="C45" s="78" t="s">
        <v>168</v>
      </c>
      <c r="D45" s="78" t="s">
        <v>169</v>
      </c>
      <c r="E45" s="78" t="s">
        <v>170</v>
      </c>
      <c r="F45" s="78" t="s">
        <v>171</v>
      </c>
      <c r="G45" s="78" t="s">
        <v>172</v>
      </c>
      <c r="H45" s="78"/>
      <c r="I45" s="78" t="s">
        <v>173</v>
      </c>
      <c r="J45" s="78" t="s">
        <v>174</v>
      </c>
    </row>
    <row r="46" spans="1:10" ht="31.5" customHeight="1">
      <c r="A46" s="182" t="s">
        <v>175</v>
      </c>
      <c r="B46" s="182"/>
      <c r="C46" s="81"/>
      <c r="D46" s="81"/>
      <c r="E46" s="81"/>
      <c r="F46" s="92"/>
      <c r="G46" s="92"/>
      <c r="H46" s="92"/>
      <c r="I46" s="92"/>
      <c r="J46" s="92"/>
    </row>
    <row r="47" spans="1:10" ht="43.5" customHeight="1">
      <c r="A47" s="182" t="s">
        <v>176</v>
      </c>
      <c r="B47" s="182"/>
      <c r="C47" s="81"/>
      <c r="D47" s="81"/>
      <c r="E47" s="81"/>
      <c r="F47" s="92"/>
      <c r="G47" s="92"/>
      <c r="H47" s="92"/>
      <c r="I47" s="92"/>
      <c r="J47" s="92"/>
    </row>
    <row r="48" spans="1:10" ht="42.75" customHeight="1">
      <c r="A48" s="182" t="s">
        <v>177</v>
      </c>
      <c r="B48" s="182"/>
      <c r="C48" s="81"/>
      <c r="D48" s="81"/>
      <c r="E48" s="81"/>
      <c r="F48" s="92"/>
      <c r="G48" s="92"/>
      <c r="H48" s="92"/>
      <c r="I48" s="92"/>
      <c r="J48" s="92"/>
    </row>
    <row r="49" spans="1:10" ht="8.25" customHeight="1"/>
    <row r="50" spans="1:10">
      <c r="A50" s="213" t="s">
        <v>153</v>
      </c>
      <c r="B50" s="213"/>
      <c r="C50" s="213"/>
      <c r="D50" s="213"/>
      <c r="E50" s="213"/>
      <c r="F50" s="213"/>
      <c r="G50" s="213"/>
      <c r="H50" s="213"/>
      <c r="I50" s="213"/>
      <c r="J50" s="213"/>
    </row>
    <row r="51" spans="1:10">
      <c r="A51" s="214"/>
      <c r="B51" s="214"/>
      <c r="C51" s="214"/>
      <c r="D51" s="214"/>
      <c r="E51" s="214"/>
      <c r="F51" s="214"/>
      <c r="G51" s="214"/>
      <c r="H51" s="214"/>
      <c r="I51" s="214"/>
      <c r="J51" s="214"/>
    </row>
    <row r="52" spans="1:10">
      <c r="A52" s="214"/>
      <c r="B52" s="214"/>
      <c r="C52" s="214"/>
      <c r="D52" s="214"/>
      <c r="E52" s="214"/>
      <c r="F52" s="214"/>
      <c r="G52" s="214"/>
      <c r="H52" s="214"/>
      <c r="I52" s="214"/>
      <c r="J52" s="214"/>
    </row>
    <row r="54" spans="1:10">
      <c r="A54" s="3" t="s">
        <v>178</v>
      </c>
      <c r="B54" s="93"/>
      <c r="C54" s="93"/>
      <c r="D54" s="93"/>
      <c r="E54" s="93"/>
      <c r="F54" s="3"/>
      <c r="G54" s="3" t="s">
        <v>179</v>
      </c>
      <c r="H54" s="93"/>
      <c r="I54" s="93"/>
    </row>
    <row r="62" spans="1:10">
      <c r="F62" s="3"/>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7" right="0.7"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zoomScaleNormal="100" workbookViewId="0">
      <selection activeCell="J19" sqref="J19"/>
    </sheetView>
  </sheetViews>
  <sheetFormatPr defaultColWidth="9.140625" defaultRowHeight="15"/>
  <cols>
    <col min="1" max="1" width="9.42578125" style="2" bestFit="1" customWidth="1"/>
    <col min="2" max="16384" width="9.140625" style="2"/>
  </cols>
  <sheetData>
    <row r="1" spans="1:10" ht="15.75">
      <c r="A1" s="75">
        <f>+'Cover Page'!C39</f>
        <v>2022</v>
      </c>
      <c r="B1" s="76" t="s">
        <v>180</v>
      </c>
      <c r="C1" s="76"/>
      <c r="D1" s="76"/>
      <c r="E1" s="76"/>
      <c r="F1" s="76"/>
      <c r="G1" s="76"/>
      <c r="H1" s="76"/>
      <c r="I1" s="76"/>
      <c r="J1" s="76"/>
    </row>
    <row r="3" spans="1:10" s="3" customFormat="1" ht="15" customHeight="1">
      <c r="A3" s="3" t="str">
        <f>+'Cover Page'!B31</f>
        <v>Permit EPR/ZP3438CF</v>
      </c>
      <c r="F3" s="3" t="s">
        <v>129</v>
      </c>
      <c r="G3" s="223">
        <f>+'Cover Page'!B37:I37</f>
        <v>0</v>
      </c>
      <c r="H3" s="223"/>
      <c r="I3" s="223"/>
    </row>
    <row r="4" spans="1:10" s="3" customFormat="1" ht="14.25"/>
    <row r="5" spans="1:10" s="3" customFormat="1" ht="14.25">
      <c r="A5" s="3" t="s">
        <v>130</v>
      </c>
      <c r="B5" s="186" t="str">
        <f>+'Cover Page'!B33:I33</f>
        <v>Fine Environmental Services</v>
      </c>
      <c r="C5" s="186"/>
      <c r="D5" s="186"/>
      <c r="E5" s="186"/>
      <c r="F5" s="3" t="s">
        <v>131</v>
      </c>
      <c r="G5" s="3" t="s">
        <v>181</v>
      </c>
    </row>
    <row r="6" spans="1:10" s="3" customFormat="1" ht="14.25"/>
    <row r="7" spans="1:10" s="3" customFormat="1" ht="15.75" customHeight="1">
      <c r="A7" s="3" t="s">
        <v>133</v>
      </c>
      <c r="D7" s="224">
        <f>+'Perf. Form 1'!D6:E6</f>
        <v>44562</v>
      </c>
      <c r="E7" s="224"/>
      <c r="F7" s="77" t="s">
        <v>134</v>
      </c>
      <c r="G7" s="224">
        <f>+'Perf. Form 1'!G6:H6</f>
        <v>44926</v>
      </c>
      <c r="H7" s="224"/>
    </row>
    <row r="8" spans="1:10" s="3" customFormat="1">
      <c r="B8"/>
      <c r="C8"/>
      <c r="D8"/>
    </row>
    <row r="9" spans="1:10" s="3" customFormat="1" ht="37.5" customHeight="1">
      <c r="A9" s="222" t="s">
        <v>182</v>
      </c>
      <c r="B9" s="222"/>
      <c r="C9" s="222"/>
      <c r="D9" s="189" t="s">
        <v>183</v>
      </c>
      <c r="E9" s="189"/>
      <c r="F9" s="78" t="s">
        <v>63</v>
      </c>
      <c r="G9" s="222" t="s">
        <v>184</v>
      </c>
      <c r="H9" s="222"/>
      <c r="I9" s="222"/>
    </row>
    <row r="10" spans="1:10" s="3" customFormat="1" ht="24.75" customHeight="1">
      <c r="A10" s="182" t="s">
        <v>185</v>
      </c>
      <c r="B10" s="182"/>
      <c r="C10" s="182"/>
      <c r="D10" s="225">
        <f>+'Operational Data'!G22</f>
        <v>0</v>
      </c>
      <c r="E10" s="225"/>
      <c r="F10" s="113" t="s">
        <v>84</v>
      </c>
      <c r="G10" s="226" t="str">
        <f>+'Operational Data'!H22</f>
        <v>-</v>
      </c>
      <c r="H10" s="226"/>
      <c r="I10" s="226"/>
    </row>
    <row r="11" spans="1:10" s="3" customFormat="1" ht="24.75" customHeight="1">
      <c r="A11" s="182" t="s">
        <v>186</v>
      </c>
      <c r="B11" s="182"/>
      <c r="C11" s="182"/>
      <c r="D11" s="227">
        <f>+'Operational Data'!G25</f>
        <v>0</v>
      </c>
      <c r="E11" s="227"/>
      <c r="F11" s="113" t="s">
        <v>84</v>
      </c>
      <c r="G11" s="226" t="str">
        <f>+'Operational Data'!H25</f>
        <v>-</v>
      </c>
      <c r="H11" s="226"/>
      <c r="I11" s="226"/>
    </row>
    <row r="12" spans="1:10" s="3" customFormat="1" ht="24.75" customHeight="1">
      <c r="A12" s="182" t="s">
        <v>187</v>
      </c>
      <c r="B12" s="182"/>
      <c r="C12" s="182"/>
      <c r="D12" s="225">
        <f>+'Operational Data'!G23</f>
        <v>0</v>
      </c>
      <c r="E12" s="225"/>
      <c r="F12" s="113" t="s">
        <v>84</v>
      </c>
      <c r="G12" s="226" t="str">
        <f>+'Operational Data'!H23</f>
        <v>-</v>
      </c>
      <c r="H12" s="226"/>
      <c r="I12" s="226"/>
    </row>
    <row r="13" spans="1:10" s="3" customFormat="1" ht="24.75" customHeight="1">
      <c r="A13" s="182" t="s">
        <v>188</v>
      </c>
      <c r="B13" s="182"/>
      <c r="C13" s="182"/>
      <c r="D13" s="228"/>
      <c r="E13" s="228"/>
      <c r="F13" s="113" t="s">
        <v>71</v>
      </c>
      <c r="G13" s="229"/>
      <c r="H13" s="229"/>
      <c r="I13" s="229"/>
    </row>
    <row r="14" spans="1:10" s="3" customFormat="1" ht="24.75" customHeight="1">
      <c r="A14" s="182" t="s">
        <v>189</v>
      </c>
      <c r="B14" s="182"/>
      <c r="C14" s="182"/>
      <c r="D14" s="225">
        <f>+'Operational Data'!G28</f>
        <v>0</v>
      </c>
      <c r="E14" s="225"/>
      <c r="F14" s="113" t="s">
        <v>90</v>
      </c>
      <c r="G14" s="226" t="str">
        <f>+'Operational Data'!H28</f>
        <v>-</v>
      </c>
      <c r="H14" s="226"/>
      <c r="I14" s="226"/>
    </row>
    <row r="15" spans="1:10" s="3" customFormat="1" ht="24.75" customHeight="1">
      <c r="A15" s="190"/>
      <c r="B15" s="190"/>
      <c r="C15" s="190"/>
      <c r="D15" s="190"/>
      <c r="E15" s="190"/>
      <c r="F15" s="80"/>
      <c r="G15" s="149"/>
      <c r="H15" s="149"/>
      <c r="I15" s="149"/>
    </row>
    <row r="16" spans="1:10" s="3" customFormat="1" ht="24.75" customHeight="1">
      <c r="A16" s="190"/>
      <c r="B16" s="190"/>
      <c r="C16" s="190"/>
      <c r="D16" s="190"/>
      <c r="E16" s="190"/>
      <c r="F16" s="80"/>
      <c r="G16" s="149"/>
      <c r="H16" s="149"/>
      <c r="I16" s="149"/>
    </row>
    <row r="17" spans="1:9" s="3" customFormat="1">
      <c r="A17" s="94"/>
      <c r="B17"/>
      <c r="C17"/>
      <c r="D17"/>
    </row>
    <row r="18" spans="1:9" s="3" customFormat="1" ht="24" customHeight="1">
      <c r="A18" s="213" t="s">
        <v>153</v>
      </c>
      <c r="B18" s="213"/>
      <c r="C18" s="213"/>
      <c r="D18" s="213"/>
      <c r="E18" s="213"/>
      <c r="F18" s="213"/>
      <c r="G18" s="213"/>
      <c r="H18" s="213"/>
      <c r="I18" s="213"/>
    </row>
    <row r="19" spans="1:9" s="3" customFormat="1" ht="14.25">
      <c r="A19" s="230" t="s">
        <v>190</v>
      </c>
      <c r="B19" s="230"/>
      <c r="C19" s="230"/>
      <c r="D19" s="230"/>
      <c r="E19" s="230"/>
      <c r="F19" s="230"/>
      <c r="G19" s="230"/>
      <c r="H19" s="230"/>
      <c r="I19" s="230"/>
    </row>
    <row r="20" spans="1:9" s="3" customFormat="1" ht="14.25">
      <c r="A20" s="230"/>
      <c r="B20" s="230"/>
      <c r="C20" s="230"/>
      <c r="D20" s="230"/>
      <c r="E20" s="230"/>
      <c r="F20" s="230"/>
      <c r="G20" s="230"/>
      <c r="H20" s="230"/>
      <c r="I20" s="230"/>
    </row>
    <row r="21" spans="1:9" s="3" customFormat="1" ht="14.25">
      <c r="A21" s="230"/>
      <c r="B21" s="230"/>
      <c r="C21" s="230"/>
      <c r="D21" s="230"/>
      <c r="E21" s="230"/>
      <c r="F21" s="230"/>
      <c r="G21" s="230"/>
      <c r="H21" s="230"/>
      <c r="I21" s="230"/>
    </row>
    <row r="22" spans="1:9" s="3" customFormat="1" ht="14.25">
      <c r="A22" s="230"/>
      <c r="B22" s="230"/>
      <c r="C22" s="230"/>
      <c r="D22" s="230"/>
      <c r="E22" s="230"/>
      <c r="F22" s="230"/>
      <c r="G22" s="230"/>
      <c r="H22" s="230"/>
      <c r="I22" s="230"/>
    </row>
    <row r="23" spans="1:9" s="3" customFormat="1" ht="14.25">
      <c r="A23" s="230"/>
      <c r="B23" s="230"/>
      <c r="C23" s="230"/>
      <c r="D23" s="230"/>
      <c r="E23" s="230"/>
      <c r="F23" s="230"/>
      <c r="G23" s="230"/>
      <c r="H23" s="230"/>
      <c r="I23" s="230"/>
    </row>
    <row r="24" spans="1:9" s="3" customFormat="1" ht="14.25">
      <c r="A24" s="230"/>
      <c r="B24" s="230"/>
      <c r="C24" s="230"/>
      <c r="D24" s="230"/>
      <c r="E24" s="230"/>
      <c r="F24" s="230"/>
      <c r="G24" s="230"/>
      <c r="H24" s="230"/>
      <c r="I24" s="230"/>
    </row>
    <row r="25" spans="1:9" s="3" customFormat="1" ht="14.25">
      <c r="A25" s="230"/>
      <c r="B25" s="230"/>
      <c r="C25" s="230"/>
      <c r="D25" s="230"/>
      <c r="E25" s="230"/>
      <c r="F25" s="230"/>
      <c r="G25" s="230"/>
      <c r="H25" s="230"/>
      <c r="I25" s="230"/>
    </row>
    <row r="26" spans="1:9" s="3" customFormat="1" ht="14.25">
      <c r="A26" s="90"/>
      <c r="B26" s="90"/>
      <c r="C26" s="90"/>
      <c r="D26" s="90"/>
      <c r="E26" s="90"/>
      <c r="F26" s="90"/>
      <c r="G26" s="90"/>
      <c r="H26" s="90"/>
      <c r="I26" s="90"/>
    </row>
    <row r="27" spans="1:9" s="3" customFormat="1" ht="14.25"/>
    <row r="28" spans="1:9" s="3" customFormat="1" ht="14.25"/>
    <row r="29" spans="1:9" s="3" customFormat="1" ht="14.25">
      <c r="A29" s="3" t="s">
        <v>178</v>
      </c>
      <c r="B29" s="93"/>
      <c r="C29" s="93"/>
      <c r="D29" s="93"/>
      <c r="E29" s="93"/>
      <c r="G29" s="3" t="s">
        <v>179</v>
      </c>
      <c r="H29" s="93"/>
      <c r="I29" s="93"/>
    </row>
    <row r="30" spans="1:9" s="3" customFormat="1" ht="14.25"/>
    <row r="31" spans="1:9" ht="14.25" customHeight="1">
      <c r="A31" s="3"/>
      <c r="B31" s="3"/>
      <c r="C31" s="3"/>
      <c r="D31" s="3"/>
      <c r="E31" s="3"/>
      <c r="F31" s="3"/>
      <c r="G31" s="3"/>
      <c r="H31" s="3"/>
      <c r="I31" s="3"/>
    </row>
    <row r="32" spans="1:9" s="3" customFormat="1" ht="14.25"/>
    <row r="33" spans="1:9" s="3" customFormat="1" ht="14.25"/>
    <row r="34" spans="1:9" s="3" customFormat="1">
      <c r="A34" s="2"/>
      <c r="B34" s="2"/>
      <c r="C34" s="2"/>
      <c r="D34" s="2"/>
      <c r="E34" s="2"/>
      <c r="F34" s="2"/>
      <c r="G34" s="2"/>
      <c r="H34" s="2"/>
      <c r="I34" s="2"/>
    </row>
    <row r="35" spans="1:9" s="3" customFormat="1" ht="14.25"/>
    <row r="36" spans="1:9" s="3" customFormat="1" ht="14.25"/>
    <row r="37" spans="1:9" s="3" customFormat="1" ht="14.25"/>
    <row r="38" spans="1:9" s="3" customFormat="1" ht="14.25"/>
    <row r="39" spans="1:9" s="3" customFormat="1" ht="14.25"/>
    <row r="40" spans="1:9" s="3" customFormat="1" ht="14.25"/>
    <row r="41" spans="1:9" s="3" customFormat="1" ht="14.25"/>
    <row r="42" spans="1:9" s="3" customFormat="1" ht="14.25"/>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K66"/>
  <sheetViews>
    <sheetView showGridLines="0" tabSelected="1" topLeftCell="A9" zoomScaleNormal="100" workbookViewId="0">
      <selection activeCell="B23" sqref="B23:D23"/>
    </sheetView>
  </sheetViews>
  <sheetFormatPr defaultColWidth="9.140625" defaultRowHeight="15"/>
  <cols>
    <col min="1" max="1" width="12.28515625" style="2" customWidth="1"/>
    <col min="2" max="2" width="11.7109375" style="2" customWidth="1"/>
    <col min="3" max="3" width="18.140625" style="2" bestFit="1" customWidth="1"/>
    <col min="4" max="4" width="12.5703125" style="2" bestFit="1" customWidth="1"/>
    <col min="5" max="5" width="10.85546875" style="2" customWidth="1"/>
    <col min="6" max="10" width="9.140625" style="2"/>
    <col min="11" max="11" width="10.7109375" style="2" bestFit="1" customWidth="1"/>
    <col min="12" max="16384" width="9.140625" style="2"/>
  </cols>
  <sheetData>
    <row r="1" spans="1:9">
      <c r="A1" s="2" t="str">
        <f>+'Cover Page'!$B$29</f>
        <v>Annual Performance Report 2022</v>
      </c>
      <c r="E1" s="2" t="str">
        <f>+'Cover Page'!$B$33</f>
        <v>Fine Environmental Services</v>
      </c>
    </row>
    <row r="3" spans="1:9" ht="15.75">
      <c r="A3" s="1" t="s">
        <v>191</v>
      </c>
    </row>
    <row r="4" spans="1:9" ht="15.75">
      <c r="A4" s="1"/>
    </row>
    <row r="5" spans="1:9" ht="15.75">
      <c r="A5" s="11" t="s">
        <v>192</v>
      </c>
    </row>
    <row r="6" spans="1:9" ht="15.75">
      <c r="A6" s="11"/>
    </row>
    <row r="7" spans="1:9">
      <c r="A7" s="16" t="s">
        <v>193</v>
      </c>
    </row>
    <row r="8" spans="1:9" s="3" customFormat="1" ht="25.5" customHeight="1">
      <c r="A8" s="233" t="s">
        <v>194</v>
      </c>
      <c r="B8" s="234"/>
      <c r="C8" s="233" t="s">
        <v>195</v>
      </c>
      <c r="D8" s="235"/>
      <c r="E8" s="235"/>
      <c r="F8" s="235"/>
      <c r="G8" s="235"/>
      <c r="H8" s="235"/>
      <c r="I8" s="234"/>
    </row>
    <row r="9" spans="1:9" s="3" customFormat="1" ht="22.5" customHeight="1">
      <c r="A9" s="236"/>
      <c r="B9" s="237"/>
      <c r="C9" s="238" t="s">
        <v>196</v>
      </c>
      <c r="D9" s="238"/>
      <c r="E9" s="238"/>
      <c r="F9" s="238" t="s">
        <v>197</v>
      </c>
      <c r="G9" s="238"/>
      <c r="H9" s="238"/>
      <c r="I9" s="238"/>
    </row>
    <row r="10" spans="1:9" s="3" customFormat="1" ht="22.5" customHeight="1">
      <c r="A10" s="231" t="s">
        <v>198</v>
      </c>
      <c r="B10" s="231"/>
      <c r="C10" s="232">
        <v>100</v>
      </c>
      <c r="D10" s="232"/>
      <c r="E10" s="232"/>
      <c r="F10" s="232">
        <v>100</v>
      </c>
      <c r="G10" s="232"/>
      <c r="H10" s="232"/>
      <c r="I10" s="232"/>
    </row>
    <row r="11" spans="1:9" s="3" customFormat="1" ht="22.5" customHeight="1">
      <c r="A11" s="231" t="s">
        <v>199</v>
      </c>
      <c r="B11" s="231"/>
      <c r="C11" s="232" t="s">
        <v>200</v>
      </c>
      <c r="D11" s="232"/>
      <c r="E11" s="232"/>
      <c r="F11" s="232">
        <v>100</v>
      </c>
      <c r="G11" s="232"/>
      <c r="H11" s="232"/>
      <c r="I11" s="232"/>
    </row>
    <row r="12" spans="1:9" s="3" customFormat="1" ht="22.5" customHeight="1">
      <c r="A12" s="231" t="s">
        <v>201</v>
      </c>
      <c r="B12" s="231"/>
      <c r="C12" s="232">
        <v>100</v>
      </c>
      <c r="D12" s="232"/>
      <c r="E12" s="232"/>
      <c r="F12" s="232">
        <v>100</v>
      </c>
      <c r="G12" s="232"/>
      <c r="H12" s="232"/>
      <c r="I12" s="232"/>
    </row>
    <row r="13" spans="1:9" s="3" customFormat="1" ht="22.5" customHeight="1">
      <c r="A13" s="231" t="s">
        <v>202</v>
      </c>
      <c r="B13" s="231"/>
      <c r="C13" s="183">
        <v>99.99</v>
      </c>
      <c r="D13" s="232"/>
      <c r="E13" s="232"/>
      <c r="F13" s="232">
        <v>100</v>
      </c>
      <c r="G13" s="232"/>
      <c r="H13" s="232"/>
      <c r="I13" s="232"/>
    </row>
    <row r="14" spans="1:9" s="3" customFormat="1" ht="22.5" customHeight="1">
      <c r="A14" s="231" t="s">
        <v>203</v>
      </c>
      <c r="B14" s="231"/>
      <c r="C14" s="232">
        <v>100</v>
      </c>
      <c r="D14" s="232"/>
      <c r="E14" s="232"/>
      <c r="F14" s="232">
        <v>100</v>
      </c>
      <c r="G14" s="232"/>
      <c r="H14" s="232"/>
      <c r="I14" s="232"/>
    </row>
    <row r="15" spans="1:9" s="3" customFormat="1" ht="22.5" customHeight="1">
      <c r="A15" s="231" t="s">
        <v>204</v>
      </c>
      <c r="B15" s="231"/>
      <c r="C15" s="232">
        <v>100</v>
      </c>
      <c r="D15" s="232"/>
      <c r="E15" s="232"/>
      <c r="F15" s="232">
        <v>100</v>
      </c>
      <c r="G15" s="232"/>
      <c r="H15" s="232"/>
      <c r="I15" s="232"/>
    </row>
    <row r="16" spans="1:9" s="3" customFormat="1" ht="22.5" customHeight="1">
      <c r="A16" s="231" t="s">
        <v>205</v>
      </c>
      <c r="B16" s="231"/>
      <c r="C16" s="232" t="s">
        <v>206</v>
      </c>
      <c r="D16" s="232"/>
      <c r="E16" s="232"/>
      <c r="F16" s="232" t="s">
        <v>206</v>
      </c>
      <c r="G16" s="232"/>
      <c r="H16" s="232"/>
      <c r="I16" s="232"/>
    </row>
    <row r="17" spans="1:11" s="3" customFormat="1" ht="14.25"/>
    <row r="18" spans="1:11" s="94" customFormat="1" ht="21.75" customHeight="1">
      <c r="A18" s="240" t="s">
        <v>207</v>
      </c>
      <c r="B18" s="241"/>
      <c r="C18" s="241"/>
      <c r="D18" s="241"/>
      <c r="E18" s="241"/>
      <c r="F18" s="241"/>
      <c r="G18" s="241"/>
      <c r="H18" s="241"/>
      <c r="I18" s="241"/>
      <c r="J18" s="241"/>
      <c r="K18" s="241"/>
    </row>
    <row r="19" spans="1:11" s="3" customFormat="1" ht="30" customHeight="1">
      <c r="A19" s="95" t="s">
        <v>46</v>
      </c>
      <c r="B19" s="239" t="s">
        <v>208</v>
      </c>
      <c r="C19" s="239"/>
      <c r="D19" s="239"/>
      <c r="E19" s="239" t="s">
        <v>209</v>
      </c>
      <c r="F19" s="239"/>
      <c r="G19" s="239"/>
      <c r="H19" s="239" t="s">
        <v>210</v>
      </c>
      <c r="I19" s="239"/>
      <c r="J19" s="239"/>
      <c r="K19" s="95" t="s">
        <v>211</v>
      </c>
    </row>
    <row r="20" spans="1:11" s="3" customFormat="1" ht="14.25">
      <c r="A20" s="96">
        <v>44986</v>
      </c>
      <c r="B20" s="149" t="s">
        <v>212</v>
      </c>
      <c r="C20" s="149"/>
      <c r="D20" s="149"/>
      <c r="E20" s="149" t="s">
        <v>213</v>
      </c>
      <c r="F20" s="149"/>
      <c r="G20" s="149"/>
      <c r="H20" s="149" t="s">
        <v>214</v>
      </c>
      <c r="I20" s="149"/>
      <c r="J20" s="149"/>
      <c r="K20" s="133">
        <v>0.1</v>
      </c>
    </row>
    <row r="21" spans="1:11" s="3" customFormat="1" ht="14.25">
      <c r="A21" s="15"/>
      <c r="B21" s="149"/>
      <c r="C21" s="149"/>
      <c r="D21" s="149"/>
      <c r="E21" s="149"/>
      <c r="F21" s="149"/>
      <c r="G21" s="149"/>
      <c r="H21" s="149"/>
      <c r="I21" s="149"/>
      <c r="J21" s="149"/>
      <c r="K21" s="133"/>
    </row>
    <row r="22" spans="1:11" s="3" customFormat="1" ht="14.25">
      <c r="A22" s="15"/>
      <c r="B22" s="149"/>
      <c r="C22" s="149"/>
      <c r="D22" s="149"/>
      <c r="E22" s="149"/>
      <c r="F22" s="149"/>
      <c r="G22" s="149"/>
      <c r="H22" s="149"/>
      <c r="I22" s="149"/>
      <c r="J22" s="149"/>
      <c r="K22" s="133"/>
    </row>
    <row r="23" spans="1:11" s="3" customFormat="1" ht="14.25">
      <c r="A23" s="15"/>
      <c r="B23" s="149"/>
      <c r="C23" s="149"/>
      <c r="D23" s="149"/>
      <c r="E23" s="149"/>
      <c r="F23" s="149"/>
      <c r="G23" s="149"/>
      <c r="H23" s="149"/>
      <c r="I23" s="149"/>
      <c r="J23" s="149"/>
      <c r="K23" s="133"/>
    </row>
    <row r="24" spans="1:11" s="3" customFormat="1" ht="14.25">
      <c r="A24" s="15"/>
      <c r="B24" s="149"/>
      <c r="C24" s="149"/>
      <c r="D24" s="149"/>
      <c r="E24" s="149"/>
      <c r="F24" s="149"/>
      <c r="G24" s="149"/>
      <c r="H24" s="149"/>
      <c r="I24" s="149"/>
      <c r="J24" s="149"/>
      <c r="K24" s="133"/>
    </row>
    <row r="25" spans="1:11" s="3" customFormat="1" ht="14.25"/>
    <row r="26" spans="1:11" s="94" customFormat="1" ht="22.5" customHeight="1">
      <c r="A26" s="240" t="s">
        <v>215</v>
      </c>
      <c r="B26" s="241"/>
      <c r="C26" s="241"/>
      <c r="D26" s="241"/>
      <c r="E26" s="241"/>
      <c r="F26" s="241"/>
      <c r="G26" s="241"/>
      <c r="H26" s="241"/>
      <c r="I26" s="241"/>
      <c r="J26" s="241"/>
      <c r="K26" s="241"/>
    </row>
    <row r="27" spans="1:11" s="3" customFormat="1" ht="28.5" customHeight="1">
      <c r="A27" s="95" t="s">
        <v>46</v>
      </c>
      <c r="B27" s="239" t="s">
        <v>216</v>
      </c>
      <c r="C27" s="239"/>
      <c r="D27" s="239"/>
      <c r="E27" s="239" t="s">
        <v>217</v>
      </c>
      <c r="F27" s="239"/>
      <c r="G27" s="239"/>
      <c r="H27" s="239" t="s">
        <v>210</v>
      </c>
      <c r="I27" s="239"/>
      <c r="J27" s="239"/>
      <c r="K27" s="95" t="s">
        <v>211</v>
      </c>
    </row>
    <row r="28" spans="1:11" s="3" customFormat="1" ht="14.25">
      <c r="A28" s="15"/>
      <c r="B28" s="149"/>
      <c r="C28" s="149"/>
      <c r="D28" s="149"/>
      <c r="E28" s="149"/>
      <c r="F28" s="149"/>
      <c r="G28" s="149"/>
      <c r="H28" s="149"/>
      <c r="I28" s="149"/>
      <c r="J28" s="149"/>
      <c r="K28" s="133"/>
    </row>
    <row r="29" spans="1:11" s="3" customFormat="1" ht="14.25">
      <c r="A29" s="15"/>
      <c r="B29" s="149"/>
      <c r="C29" s="149"/>
      <c r="D29" s="149"/>
      <c r="E29" s="149"/>
      <c r="F29" s="149"/>
      <c r="G29" s="149"/>
      <c r="H29" s="149"/>
      <c r="I29" s="149"/>
      <c r="J29" s="149"/>
      <c r="K29" s="133"/>
    </row>
    <row r="30" spans="1:11" ht="14.25" customHeight="1">
      <c r="A30" s="15"/>
      <c r="B30" s="149"/>
      <c r="C30" s="149"/>
      <c r="D30" s="149"/>
      <c r="E30" s="149"/>
      <c r="F30" s="149"/>
      <c r="G30" s="149"/>
      <c r="H30" s="149"/>
      <c r="I30" s="149"/>
      <c r="J30" s="149"/>
      <c r="K30" s="133"/>
    </row>
    <row r="31" spans="1:11" s="3" customFormat="1" ht="14.25">
      <c r="A31" s="15"/>
      <c r="B31" s="149"/>
      <c r="C31" s="149"/>
      <c r="D31" s="149"/>
      <c r="E31" s="149"/>
      <c r="F31" s="149"/>
      <c r="G31" s="149"/>
      <c r="H31" s="149"/>
      <c r="I31" s="149"/>
      <c r="J31" s="149"/>
      <c r="K31" s="133"/>
    </row>
    <row r="32" spans="1:11" s="3" customFormat="1" ht="14.25">
      <c r="A32" s="15"/>
      <c r="B32" s="149"/>
      <c r="C32" s="149"/>
      <c r="D32" s="149"/>
      <c r="E32" s="149"/>
      <c r="F32" s="149"/>
      <c r="G32" s="149"/>
      <c r="H32" s="149"/>
      <c r="I32" s="149"/>
      <c r="J32" s="149"/>
      <c r="K32" s="133"/>
    </row>
    <row r="33" spans="1:10" s="3" customFormat="1" ht="14.25">
      <c r="A33" s="16"/>
      <c r="E33" s="20" t="s">
        <v>218</v>
      </c>
      <c r="F33" s="16"/>
      <c r="G33" s="16"/>
      <c r="H33" s="16"/>
      <c r="I33" s="16"/>
      <c r="J33" s="16"/>
    </row>
    <row r="66" spans="6:6">
      <c r="F66" s="3"/>
    </row>
  </sheetData>
  <mergeCells count="64">
    <mergeCell ref="A26:K26"/>
    <mergeCell ref="A18:K18"/>
    <mergeCell ref="B31:D31"/>
    <mergeCell ref="E31:G31"/>
    <mergeCell ref="H31:J31"/>
    <mergeCell ref="B27:D27"/>
    <mergeCell ref="E27:G27"/>
    <mergeCell ref="H27:J27"/>
    <mergeCell ref="B28:D28"/>
    <mergeCell ref="E28:G28"/>
    <mergeCell ref="H28:J28"/>
    <mergeCell ref="B23:D23"/>
    <mergeCell ref="E23:G23"/>
    <mergeCell ref="H23:J23"/>
    <mergeCell ref="B24:D24"/>
    <mergeCell ref="E24:G24"/>
    <mergeCell ref="B32:D32"/>
    <mergeCell ref="E32:G32"/>
    <mergeCell ref="H32:J32"/>
    <mergeCell ref="B29:D29"/>
    <mergeCell ref="E29:G29"/>
    <mergeCell ref="H29:J29"/>
    <mergeCell ref="B30:D30"/>
    <mergeCell ref="E30:G30"/>
    <mergeCell ref="H30:J30"/>
    <mergeCell ref="H24:J24"/>
    <mergeCell ref="B21:D21"/>
    <mergeCell ref="E21:G21"/>
    <mergeCell ref="H21:J21"/>
    <mergeCell ref="B22:D22"/>
    <mergeCell ref="E22:G22"/>
    <mergeCell ref="H22:J22"/>
    <mergeCell ref="B19:D19"/>
    <mergeCell ref="E19:G19"/>
    <mergeCell ref="H19:J19"/>
    <mergeCell ref="B20:D20"/>
    <mergeCell ref="E20:G20"/>
    <mergeCell ref="H20:J20"/>
    <mergeCell ref="A15:B15"/>
    <mergeCell ref="C15:E15"/>
    <mergeCell ref="F15:I15"/>
    <mergeCell ref="A16:B16"/>
    <mergeCell ref="C16:E16"/>
    <mergeCell ref="F16:I16"/>
    <mergeCell ref="A13:B13"/>
    <mergeCell ref="C13:E13"/>
    <mergeCell ref="F13:I13"/>
    <mergeCell ref="A14:B14"/>
    <mergeCell ref="C14:E14"/>
    <mergeCell ref="F14:I14"/>
    <mergeCell ref="A11:B11"/>
    <mergeCell ref="C11:E11"/>
    <mergeCell ref="F11:I11"/>
    <mergeCell ref="A12:B12"/>
    <mergeCell ref="C12:E12"/>
    <mergeCell ref="F12:I12"/>
    <mergeCell ref="A10:B10"/>
    <mergeCell ref="C10:E10"/>
    <mergeCell ref="F10:I10"/>
    <mergeCell ref="A8:B8"/>
    <mergeCell ref="C8:I8"/>
    <mergeCell ref="A9:B9"/>
    <mergeCell ref="C9:E9"/>
    <mergeCell ref="F9:I9"/>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topLeftCell="A12" zoomScaleNormal="100" workbookViewId="0">
      <selection activeCell="A28" sqref="A28:J36"/>
    </sheetView>
  </sheetViews>
  <sheetFormatPr defaultColWidth="9.140625" defaultRowHeight="15"/>
  <cols>
    <col min="1" max="1" width="9.140625" style="2" customWidth="1"/>
    <col min="2" max="2" width="14.5703125" style="2" bestFit="1" customWidth="1"/>
    <col min="3" max="9" width="9.140625" style="2"/>
    <col min="10" max="10" width="11.5703125" style="2" customWidth="1"/>
    <col min="11" max="16384" width="9.140625" style="2"/>
  </cols>
  <sheetData>
    <row r="1" spans="1:10">
      <c r="A1" s="2" t="str">
        <f>+'Cover Page'!$B$29</f>
        <v>Annual Performance Report 2022</v>
      </c>
      <c r="E1" s="2" t="str">
        <f>+'Cover Page'!$B$33</f>
        <v>Fine Environmental Services</v>
      </c>
    </row>
    <row r="3" spans="1:10" ht="15.75">
      <c r="A3" s="1" t="s">
        <v>219</v>
      </c>
    </row>
    <row r="4" spans="1:10" ht="15.75">
      <c r="A4" s="1"/>
    </row>
    <row r="5" spans="1:10" s="3" customFormat="1">
      <c r="A5" s="254" t="s">
        <v>220</v>
      </c>
      <c r="B5" s="255"/>
      <c r="C5" s="255"/>
      <c r="D5" s="255"/>
      <c r="E5" s="255"/>
      <c r="F5" s="255"/>
      <c r="G5" s="255"/>
      <c r="H5" s="255"/>
      <c r="I5" s="255"/>
      <c r="J5" s="256"/>
    </row>
    <row r="6" spans="1:10" s="3" customFormat="1" ht="15.75" customHeight="1">
      <c r="A6" s="257"/>
      <c r="B6" s="169"/>
      <c r="C6" s="169"/>
      <c r="D6" s="169"/>
      <c r="E6" s="169"/>
      <c r="F6" s="169"/>
      <c r="G6" s="169"/>
      <c r="H6" s="169"/>
      <c r="I6" s="169"/>
      <c r="J6" s="170"/>
    </row>
    <row r="7" spans="1:10" s="3" customFormat="1" ht="15.75" customHeight="1">
      <c r="A7" s="171"/>
      <c r="B7" s="172"/>
      <c r="C7" s="172"/>
      <c r="D7" s="172"/>
      <c r="E7" s="172"/>
      <c r="F7" s="172"/>
      <c r="G7" s="172"/>
      <c r="H7" s="172"/>
      <c r="I7" s="172"/>
      <c r="J7" s="173"/>
    </row>
    <row r="8" spans="1:10" s="3" customFormat="1" ht="15.75" customHeight="1">
      <c r="A8" s="171"/>
      <c r="B8" s="172"/>
      <c r="C8" s="172"/>
      <c r="D8" s="172"/>
      <c r="E8" s="172"/>
      <c r="F8" s="172"/>
      <c r="G8" s="172"/>
      <c r="H8" s="172"/>
      <c r="I8" s="172"/>
      <c r="J8" s="173"/>
    </row>
    <row r="9" spans="1:10" s="3" customFormat="1" ht="15.75" customHeight="1">
      <c r="A9" s="171"/>
      <c r="B9" s="172"/>
      <c r="C9" s="172"/>
      <c r="D9" s="172"/>
      <c r="E9" s="172"/>
      <c r="F9" s="172"/>
      <c r="G9" s="172"/>
      <c r="H9" s="172"/>
      <c r="I9" s="172"/>
      <c r="J9" s="173"/>
    </row>
    <row r="10" spans="1:10" s="3" customFormat="1" ht="15.75" customHeight="1">
      <c r="A10" s="171"/>
      <c r="B10" s="172"/>
      <c r="C10" s="172"/>
      <c r="D10" s="172"/>
      <c r="E10" s="172"/>
      <c r="F10" s="172"/>
      <c r="G10" s="172"/>
      <c r="H10" s="172"/>
      <c r="I10" s="172"/>
      <c r="J10" s="173"/>
    </row>
    <row r="11" spans="1:10" s="3" customFormat="1" ht="15.75" customHeight="1">
      <c r="A11" s="171"/>
      <c r="B11" s="172"/>
      <c r="C11" s="172"/>
      <c r="D11" s="172"/>
      <c r="E11" s="172"/>
      <c r="F11" s="172"/>
      <c r="G11" s="172"/>
      <c r="H11" s="172"/>
      <c r="I11" s="172"/>
      <c r="J11" s="173"/>
    </row>
    <row r="12" spans="1:10" s="3" customFormat="1" ht="15.75" customHeight="1">
      <c r="A12" s="171"/>
      <c r="B12" s="172"/>
      <c r="C12" s="172"/>
      <c r="D12" s="172"/>
      <c r="E12" s="172"/>
      <c r="F12" s="172"/>
      <c r="G12" s="172"/>
      <c r="H12" s="172"/>
      <c r="I12" s="172"/>
      <c r="J12" s="173"/>
    </row>
    <row r="13" spans="1:10" s="3" customFormat="1" ht="15.75" customHeight="1">
      <c r="A13" s="171"/>
      <c r="B13" s="172"/>
      <c r="C13" s="172"/>
      <c r="D13" s="172"/>
      <c r="E13" s="172"/>
      <c r="F13" s="172"/>
      <c r="G13" s="172"/>
      <c r="H13" s="172"/>
      <c r="I13" s="172"/>
      <c r="J13" s="173"/>
    </row>
    <row r="14" spans="1:10" s="3" customFormat="1" ht="15.75" customHeight="1">
      <c r="A14" s="174"/>
      <c r="B14" s="175"/>
      <c r="C14" s="175"/>
      <c r="D14" s="175"/>
      <c r="E14" s="175"/>
      <c r="F14" s="175"/>
      <c r="G14" s="175"/>
      <c r="H14" s="175"/>
      <c r="I14" s="175"/>
      <c r="J14" s="176"/>
    </row>
    <row r="15" spans="1:10" s="3" customFormat="1" ht="14.25"/>
    <row r="16" spans="1:10" s="97" customFormat="1" ht="33.75" customHeight="1">
      <c r="A16" s="242" t="s">
        <v>221</v>
      </c>
      <c r="B16" s="243"/>
      <c r="C16" s="243"/>
      <c r="D16" s="243"/>
      <c r="E16" s="243"/>
      <c r="F16" s="243"/>
      <c r="G16" s="243"/>
      <c r="H16" s="243"/>
      <c r="I16" s="243"/>
      <c r="J16" s="244"/>
    </row>
    <row r="17" spans="1:10" ht="15.75" customHeight="1">
      <c r="A17" s="257"/>
      <c r="B17" s="169"/>
      <c r="C17" s="169"/>
      <c r="D17" s="169"/>
      <c r="E17" s="169"/>
      <c r="F17" s="169"/>
      <c r="G17" s="169"/>
      <c r="H17" s="169"/>
      <c r="I17" s="169"/>
      <c r="J17" s="170"/>
    </row>
    <row r="18" spans="1:10" ht="15.75" customHeight="1">
      <c r="A18" s="171"/>
      <c r="B18" s="172"/>
      <c r="C18" s="172"/>
      <c r="D18" s="172"/>
      <c r="E18" s="172"/>
      <c r="F18" s="172"/>
      <c r="G18" s="172"/>
      <c r="H18" s="172"/>
      <c r="I18" s="172"/>
      <c r="J18" s="173"/>
    </row>
    <row r="19" spans="1:10" ht="15.75" customHeight="1">
      <c r="A19" s="171"/>
      <c r="B19" s="172"/>
      <c r="C19" s="172"/>
      <c r="D19" s="172"/>
      <c r="E19" s="172"/>
      <c r="F19" s="172"/>
      <c r="G19" s="172"/>
      <c r="H19" s="172"/>
      <c r="I19" s="172"/>
      <c r="J19" s="173"/>
    </row>
    <row r="20" spans="1:10" ht="15.75" customHeight="1">
      <c r="A20" s="171"/>
      <c r="B20" s="172"/>
      <c r="C20" s="172"/>
      <c r="D20" s="172"/>
      <c r="E20" s="172"/>
      <c r="F20" s="172"/>
      <c r="G20" s="172"/>
      <c r="H20" s="172"/>
      <c r="I20" s="172"/>
      <c r="J20" s="173"/>
    </row>
    <row r="21" spans="1:10" ht="15.75" customHeight="1">
      <c r="A21" s="171"/>
      <c r="B21" s="172"/>
      <c r="C21" s="172"/>
      <c r="D21" s="172"/>
      <c r="E21" s="172"/>
      <c r="F21" s="172"/>
      <c r="G21" s="172"/>
      <c r="H21" s="172"/>
      <c r="I21" s="172"/>
      <c r="J21" s="173"/>
    </row>
    <row r="22" spans="1:10" ht="15.75" customHeight="1">
      <c r="A22" s="171"/>
      <c r="B22" s="172"/>
      <c r="C22" s="172"/>
      <c r="D22" s="172"/>
      <c r="E22" s="172"/>
      <c r="F22" s="172"/>
      <c r="G22" s="172"/>
      <c r="H22" s="172"/>
      <c r="I22" s="172"/>
      <c r="J22" s="173"/>
    </row>
    <row r="23" spans="1:10" ht="15.75" customHeight="1">
      <c r="A23" s="171"/>
      <c r="B23" s="172"/>
      <c r="C23" s="172"/>
      <c r="D23" s="172"/>
      <c r="E23" s="172"/>
      <c r="F23" s="172"/>
      <c r="G23" s="172"/>
      <c r="H23" s="172"/>
      <c r="I23" s="172"/>
      <c r="J23" s="173"/>
    </row>
    <row r="24" spans="1:10" ht="15.75" customHeight="1">
      <c r="A24" s="171"/>
      <c r="B24" s="172"/>
      <c r="C24" s="172"/>
      <c r="D24" s="172"/>
      <c r="E24" s="172"/>
      <c r="F24" s="172"/>
      <c r="G24" s="172"/>
      <c r="H24" s="172"/>
      <c r="I24" s="172"/>
      <c r="J24" s="173"/>
    </row>
    <row r="25" spans="1:10" ht="15.75" customHeight="1">
      <c r="A25" s="174"/>
      <c r="B25" s="175"/>
      <c r="C25" s="175"/>
      <c r="D25" s="175"/>
      <c r="E25" s="175"/>
      <c r="F25" s="175"/>
      <c r="G25" s="175"/>
      <c r="H25" s="175"/>
      <c r="I25" s="175"/>
      <c r="J25" s="176"/>
    </row>
    <row r="26" spans="1:10" ht="15.75">
      <c r="A26" s="1"/>
    </row>
    <row r="27" spans="1:10" ht="36.75" customHeight="1">
      <c r="A27" s="242" t="s">
        <v>222</v>
      </c>
      <c r="B27" s="243"/>
      <c r="C27" s="243"/>
      <c r="D27" s="243"/>
      <c r="E27" s="243"/>
      <c r="F27" s="243"/>
      <c r="G27" s="243"/>
      <c r="H27" s="243"/>
      <c r="I27" s="243"/>
      <c r="J27" s="244"/>
    </row>
    <row r="28" spans="1:10" ht="15.75" customHeight="1">
      <c r="A28" s="257"/>
      <c r="B28" s="169"/>
      <c r="C28" s="169"/>
      <c r="D28" s="169"/>
      <c r="E28" s="169"/>
      <c r="F28" s="169"/>
      <c r="G28" s="169"/>
      <c r="H28" s="169"/>
      <c r="I28" s="169"/>
      <c r="J28" s="170"/>
    </row>
    <row r="29" spans="1:10" ht="15.75" customHeight="1">
      <c r="A29" s="171"/>
      <c r="B29" s="172"/>
      <c r="C29" s="172"/>
      <c r="D29" s="172"/>
      <c r="E29" s="172"/>
      <c r="F29" s="172"/>
      <c r="G29" s="172"/>
      <c r="H29" s="172"/>
      <c r="I29" s="172"/>
      <c r="J29" s="173"/>
    </row>
    <row r="30" spans="1:10" ht="15.75" customHeight="1">
      <c r="A30" s="171"/>
      <c r="B30" s="172"/>
      <c r="C30" s="172"/>
      <c r="D30" s="172"/>
      <c r="E30" s="172"/>
      <c r="F30" s="172"/>
      <c r="G30" s="172"/>
      <c r="H30" s="172"/>
      <c r="I30" s="172"/>
      <c r="J30" s="173"/>
    </row>
    <row r="31" spans="1:10" ht="15.75" customHeight="1">
      <c r="A31" s="171"/>
      <c r="B31" s="172"/>
      <c r="C31" s="172"/>
      <c r="D31" s="172"/>
      <c r="E31" s="172"/>
      <c r="F31" s="172"/>
      <c r="G31" s="172"/>
      <c r="H31" s="172"/>
      <c r="I31" s="172"/>
      <c r="J31" s="173"/>
    </row>
    <row r="32" spans="1:10" ht="15.75" customHeight="1">
      <c r="A32" s="171"/>
      <c r="B32" s="172"/>
      <c r="C32" s="172"/>
      <c r="D32" s="172"/>
      <c r="E32" s="172"/>
      <c r="F32" s="172"/>
      <c r="G32" s="172"/>
      <c r="H32" s="172"/>
      <c r="I32" s="172"/>
      <c r="J32" s="173"/>
    </row>
    <row r="33" spans="1:10" ht="15.75" customHeight="1">
      <c r="A33" s="171"/>
      <c r="B33" s="172"/>
      <c r="C33" s="172"/>
      <c r="D33" s="172"/>
      <c r="E33" s="172"/>
      <c r="F33" s="172"/>
      <c r="G33" s="172"/>
      <c r="H33" s="172"/>
      <c r="I33" s="172"/>
      <c r="J33" s="173"/>
    </row>
    <row r="34" spans="1:10" ht="15.75" customHeight="1">
      <c r="A34" s="171"/>
      <c r="B34" s="172"/>
      <c r="C34" s="172"/>
      <c r="D34" s="172"/>
      <c r="E34" s="172"/>
      <c r="F34" s="172"/>
      <c r="G34" s="172"/>
      <c r="H34" s="172"/>
      <c r="I34" s="172"/>
      <c r="J34" s="173"/>
    </row>
    <row r="35" spans="1:10" ht="15.75" customHeight="1">
      <c r="A35" s="171"/>
      <c r="B35" s="172"/>
      <c r="C35" s="172"/>
      <c r="D35" s="172"/>
      <c r="E35" s="172"/>
      <c r="F35" s="172"/>
      <c r="G35" s="172"/>
      <c r="H35" s="172"/>
      <c r="I35" s="172"/>
      <c r="J35" s="173"/>
    </row>
    <row r="36" spans="1:10" ht="15.75" customHeight="1">
      <c r="A36" s="174"/>
      <c r="B36" s="175"/>
      <c r="C36" s="175"/>
      <c r="D36" s="175"/>
      <c r="E36" s="175"/>
      <c r="F36" s="175"/>
      <c r="G36" s="175"/>
      <c r="H36" s="175"/>
      <c r="I36" s="175"/>
      <c r="J36" s="176"/>
    </row>
    <row r="38" spans="1:10" ht="33" customHeight="1">
      <c r="A38" s="242" t="s">
        <v>223</v>
      </c>
      <c r="B38" s="243"/>
      <c r="C38" s="243"/>
      <c r="D38" s="243"/>
      <c r="E38" s="243"/>
      <c r="F38" s="243"/>
      <c r="G38" s="243"/>
      <c r="H38" s="243"/>
      <c r="I38" s="243"/>
      <c r="J38" s="244"/>
    </row>
    <row r="39" spans="1:10" ht="15.75" customHeight="1">
      <c r="A39" s="245"/>
      <c r="B39" s="246"/>
      <c r="C39" s="246"/>
      <c r="D39" s="246"/>
      <c r="E39" s="246"/>
      <c r="F39" s="246"/>
      <c r="G39" s="246"/>
      <c r="H39" s="246"/>
      <c r="I39" s="246"/>
      <c r="J39" s="247"/>
    </row>
    <row r="40" spans="1:10" ht="15.75" customHeight="1">
      <c r="A40" s="248"/>
      <c r="B40" s="249"/>
      <c r="C40" s="249"/>
      <c r="D40" s="249"/>
      <c r="E40" s="249"/>
      <c r="F40" s="249"/>
      <c r="G40" s="249"/>
      <c r="H40" s="249"/>
      <c r="I40" s="249"/>
      <c r="J40" s="250"/>
    </row>
    <row r="41" spans="1:10" ht="15.75" customHeight="1">
      <c r="A41" s="248"/>
      <c r="B41" s="249"/>
      <c r="C41" s="249"/>
      <c r="D41" s="249"/>
      <c r="E41" s="249"/>
      <c r="F41" s="249"/>
      <c r="G41" s="249"/>
      <c r="H41" s="249"/>
      <c r="I41" s="249"/>
      <c r="J41" s="250"/>
    </row>
    <row r="42" spans="1:10" ht="15.75" customHeight="1">
      <c r="A42" s="248"/>
      <c r="B42" s="249"/>
      <c r="C42" s="249"/>
      <c r="D42" s="249"/>
      <c r="E42" s="249"/>
      <c r="F42" s="249"/>
      <c r="G42" s="249"/>
      <c r="H42" s="249"/>
      <c r="I42" s="249"/>
      <c r="J42" s="250"/>
    </row>
    <row r="43" spans="1:10" ht="15.75" customHeight="1">
      <c r="A43" s="248"/>
      <c r="B43" s="249"/>
      <c r="C43" s="249"/>
      <c r="D43" s="249"/>
      <c r="E43" s="249"/>
      <c r="F43" s="249"/>
      <c r="G43" s="249"/>
      <c r="H43" s="249"/>
      <c r="I43" s="249"/>
      <c r="J43" s="250"/>
    </row>
    <row r="44" spans="1:10" ht="15.75" customHeight="1">
      <c r="A44" s="248"/>
      <c r="B44" s="249"/>
      <c r="C44" s="249"/>
      <c r="D44" s="249"/>
      <c r="E44" s="249"/>
      <c r="F44" s="249"/>
      <c r="G44" s="249"/>
      <c r="H44" s="249"/>
      <c r="I44" s="249"/>
      <c r="J44" s="250"/>
    </row>
    <row r="45" spans="1:10" ht="15.75" customHeight="1">
      <c r="A45" s="248"/>
      <c r="B45" s="249"/>
      <c r="C45" s="249"/>
      <c r="D45" s="249"/>
      <c r="E45" s="249"/>
      <c r="F45" s="249"/>
      <c r="G45" s="249"/>
      <c r="H45" s="249"/>
      <c r="I45" s="249"/>
      <c r="J45" s="250"/>
    </row>
    <row r="46" spans="1:10" ht="15.75" customHeight="1">
      <c r="A46" s="248"/>
      <c r="B46" s="249"/>
      <c r="C46" s="249"/>
      <c r="D46" s="249"/>
      <c r="E46" s="249"/>
      <c r="F46" s="249"/>
      <c r="G46" s="249"/>
      <c r="H46" s="249"/>
      <c r="I46" s="249"/>
      <c r="J46" s="250"/>
    </row>
    <row r="47" spans="1:10" ht="15.75" customHeight="1">
      <c r="A47" s="248"/>
      <c r="B47" s="249"/>
      <c r="C47" s="249"/>
      <c r="D47" s="249"/>
      <c r="E47" s="249"/>
      <c r="F47" s="249"/>
      <c r="G47" s="249"/>
      <c r="H47" s="249"/>
      <c r="I47" s="249"/>
      <c r="J47" s="250"/>
    </row>
    <row r="48" spans="1:10" ht="15.75" customHeight="1">
      <c r="A48" s="251"/>
      <c r="B48" s="252"/>
      <c r="C48" s="252"/>
      <c r="D48" s="252"/>
      <c r="E48" s="252"/>
      <c r="F48" s="252"/>
      <c r="G48" s="252"/>
      <c r="H48" s="252"/>
      <c r="I48" s="252"/>
      <c r="J48" s="253"/>
    </row>
    <row r="66" spans="6:6">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zoomScaleNormal="100" workbookViewId="0">
      <selection activeCell="A32" sqref="A32"/>
    </sheetView>
  </sheetViews>
  <sheetFormatPr defaultColWidth="9.140625" defaultRowHeight="15"/>
  <cols>
    <col min="1" max="1" width="9.140625" style="2" customWidth="1"/>
    <col min="2" max="2" width="14.5703125" style="2" bestFit="1" customWidth="1"/>
    <col min="3" max="9" width="9.140625" style="2"/>
    <col min="10" max="10" width="11.5703125" style="2" customWidth="1"/>
    <col min="11" max="16384" width="9.140625" style="2"/>
  </cols>
  <sheetData>
    <row r="1" spans="1:10">
      <c r="A1" s="2" t="str">
        <f>+'Cover Page'!$B$29</f>
        <v>Annual Performance Report 2022</v>
      </c>
      <c r="E1" s="2" t="str">
        <f>+'Cover Page'!$B$33</f>
        <v>Fine Environmental Services</v>
      </c>
    </row>
    <row r="3" spans="1:10" ht="15.75">
      <c r="A3" s="1" t="s">
        <v>224</v>
      </c>
    </row>
    <row r="4" spans="1:10" ht="15.75">
      <c r="A4" s="1"/>
    </row>
    <row r="5" spans="1:10" s="3" customFormat="1" ht="28.5" customHeight="1">
      <c r="A5" s="98" t="s">
        <v>225</v>
      </c>
      <c r="B5" s="99"/>
      <c r="C5" s="99"/>
      <c r="D5" s="99"/>
      <c r="E5" s="99"/>
      <c r="F5" s="99"/>
      <c r="G5" s="99"/>
      <c r="H5" s="99"/>
      <c r="I5" s="99"/>
      <c r="J5" s="100"/>
    </row>
    <row r="6" spans="1:10" s="3" customFormat="1" ht="15.75" customHeight="1">
      <c r="A6" s="254" t="s">
        <v>46</v>
      </c>
      <c r="B6" s="256"/>
      <c r="C6" s="254" t="s">
        <v>226</v>
      </c>
      <c r="D6" s="255"/>
      <c r="E6" s="255"/>
      <c r="F6" s="255"/>
      <c r="G6" s="255"/>
      <c r="H6" s="255"/>
      <c r="I6" s="255"/>
      <c r="J6" s="256"/>
    </row>
    <row r="7" spans="1:10" s="3" customFormat="1" ht="15.75" customHeight="1">
      <c r="A7" s="257"/>
      <c r="B7" s="170"/>
      <c r="C7" s="257"/>
      <c r="D7" s="169"/>
      <c r="E7" s="169"/>
      <c r="F7" s="169"/>
      <c r="G7" s="169"/>
      <c r="H7" s="169"/>
      <c r="I7" s="169"/>
      <c r="J7" s="170"/>
    </row>
    <row r="8" spans="1:10" s="3" customFormat="1" ht="15.75" customHeight="1">
      <c r="A8" s="174"/>
      <c r="B8" s="176"/>
      <c r="C8" s="174"/>
      <c r="D8" s="175"/>
      <c r="E8" s="175"/>
      <c r="F8" s="175"/>
      <c r="G8" s="175"/>
      <c r="H8" s="175"/>
      <c r="I8" s="175"/>
      <c r="J8" s="176"/>
    </row>
    <row r="9" spans="1:10" s="3" customFormat="1" ht="15.75" customHeight="1">
      <c r="A9" s="257"/>
      <c r="B9" s="170"/>
      <c r="C9" s="257"/>
      <c r="D9" s="169"/>
      <c r="E9" s="169"/>
      <c r="F9" s="169"/>
      <c r="G9" s="169"/>
      <c r="H9" s="169"/>
      <c r="I9" s="169"/>
      <c r="J9" s="170"/>
    </row>
    <row r="10" spans="1:10" s="3" customFormat="1" ht="15.75" customHeight="1">
      <c r="A10" s="174"/>
      <c r="B10" s="176"/>
      <c r="C10" s="174"/>
      <c r="D10" s="175"/>
      <c r="E10" s="175"/>
      <c r="F10" s="175"/>
      <c r="G10" s="175"/>
      <c r="H10" s="175"/>
      <c r="I10" s="175"/>
      <c r="J10" s="176"/>
    </row>
    <row r="11" spans="1:10" s="3" customFormat="1" ht="15.75" customHeight="1">
      <c r="A11" s="257"/>
      <c r="B11" s="170"/>
      <c r="C11" s="257"/>
      <c r="D11" s="169"/>
      <c r="E11" s="169"/>
      <c r="F11" s="169"/>
      <c r="G11" s="169"/>
      <c r="H11" s="169"/>
      <c r="I11" s="169"/>
      <c r="J11" s="170"/>
    </row>
    <row r="12" spans="1:10" s="3" customFormat="1" ht="15.75" customHeight="1">
      <c r="A12" s="174"/>
      <c r="B12" s="176"/>
      <c r="C12" s="174"/>
      <c r="D12" s="175"/>
      <c r="E12" s="175"/>
      <c r="F12" s="175"/>
      <c r="G12" s="175"/>
      <c r="H12" s="175"/>
      <c r="I12" s="175"/>
      <c r="J12" s="176"/>
    </row>
    <row r="13" spans="1:10" s="3" customFormat="1" ht="15.75" customHeight="1">
      <c r="A13" s="257"/>
      <c r="B13" s="170"/>
      <c r="C13" s="257"/>
      <c r="D13" s="169"/>
      <c r="E13" s="169"/>
      <c r="F13" s="169"/>
      <c r="G13" s="169"/>
      <c r="H13" s="169"/>
      <c r="I13" s="169"/>
      <c r="J13" s="170"/>
    </row>
    <row r="14" spans="1:10" s="3" customFormat="1" ht="15.75" customHeight="1">
      <c r="A14" s="174"/>
      <c r="B14" s="176"/>
      <c r="C14" s="174"/>
      <c r="D14" s="175"/>
      <c r="E14" s="175"/>
      <c r="F14" s="175"/>
      <c r="G14" s="175"/>
      <c r="H14" s="175"/>
      <c r="I14" s="175"/>
      <c r="J14" s="176"/>
    </row>
    <row r="15" spans="1:10" s="3" customFormat="1" ht="14.25"/>
    <row r="16" spans="1:10" s="97" customFormat="1" ht="33.75" customHeight="1">
      <c r="A16" s="242" t="s">
        <v>227</v>
      </c>
      <c r="B16" s="243"/>
      <c r="C16" s="243"/>
      <c r="D16" s="243"/>
      <c r="E16" s="243"/>
      <c r="F16" s="243"/>
      <c r="G16" s="243"/>
      <c r="H16" s="243"/>
      <c r="I16" s="243"/>
      <c r="J16" s="244"/>
    </row>
    <row r="17" spans="1:10" ht="15.75" customHeight="1">
      <c r="A17" s="254" t="s">
        <v>46</v>
      </c>
      <c r="B17" s="256"/>
      <c r="C17" s="254" t="s">
        <v>226</v>
      </c>
      <c r="D17" s="255"/>
      <c r="E17" s="255"/>
      <c r="F17" s="255"/>
      <c r="G17" s="255"/>
      <c r="H17" s="255"/>
      <c r="I17" s="255"/>
      <c r="J17" s="255"/>
    </row>
    <row r="18" spans="1:10" ht="15.75" customHeight="1">
      <c r="A18" s="257"/>
      <c r="B18" s="170"/>
      <c r="C18" s="257"/>
      <c r="D18" s="169"/>
      <c r="E18" s="169"/>
      <c r="F18" s="169"/>
      <c r="G18" s="169"/>
      <c r="H18" s="169"/>
      <c r="I18" s="169"/>
      <c r="J18" s="170"/>
    </row>
    <row r="19" spans="1:10" ht="15.75" customHeight="1">
      <c r="A19" s="174"/>
      <c r="B19" s="176"/>
      <c r="C19" s="174"/>
      <c r="D19" s="175"/>
      <c r="E19" s="175"/>
      <c r="F19" s="175"/>
      <c r="G19" s="175"/>
      <c r="H19" s="175"/>
      <c r="I19" s="175"/>
      <c r="J19" s="176"/>
    </row>
    <row r="20" spans="1:10" ht="15.75" customHeight="1">
      <c r="A20" s="257"/>
      <c r="B20" s="170"/>
      <c r="C20" s="257"/>
      <c r="D20" s="169"/>
      <c r="E20" s="169"/>
      <c r="F20" s="169"/>
      <c r="G20" s="169"/>
      <c r="H20" s="169"/>
      <c r="I20" s="169"/>
      <c r="J20" s="170"/>
    </row>
    <row r="21" spans="1:10" ht="15.75" customHeight="1">
      <c r="A21" s="174"/>
      <c r="B21" s="176"/>
      <c r="C21" s="174"/>
      <c r="D21" s="175"/>
      <c r="E21" s="175"/>
      <c r="F21" s="175"/>
      <c r="G21" s="175"/>
      <c r="H21" s="175"/>
      <c r="I21" s="175"/>
      <c r="J21" s="176"/>
    </row>
    <row r="22" spans="1:10" ht="15.75" customHeight="1">
      <c r="A22" s="257"/>
      <c r="B22" s="170"/>
      <c r="C22" s="257"/>
      <c r="D22" s="169"/>
      <c r="E22" s="169"/>
      <c r="F22" s="169"/>
      <c r="G22" s="169"/>
      <c r="H22" s="169"/>
      <c r="I22" s="169"/>
      <c r="J22" s="170"/>
    </row>
    <row r="23" spans="1:10" ht="15.75" customHeight="1">
      <c r="A23" s="174"/>
      <c r="B23" s="176"/>
      <c r="C23" s="174"/>
      <c r="D23" s="175"/>
      <c r="E23" s="175"/>
      <c r="F23" s="175"/>
      <c r="G23" s="175"/>
      <c r="H23" s="175"/>
      <c r="I23" s="175"/>
      <c r="J23" s="176"/>
    </row>
    <row r="24" spans="1:10" ht="15.75" customHeight="1">
      <c r="A24" s="257"/>
      <c r="B24" s="170"/>
      <c r="C24" s="257"/>
      <c r="D24" s="169"/>
      <c r="E24" s="169"/>
      <c r="F24" s="169"/>
      <c r="G24" s="169"/>
      <c r="H24" s="169"/>
      <c r="I24" s="169"/>
      <c r="J24" s="170"/>
    </row>
    <row r="25" spans="1:10" ht="15.75" customHeight="1">
      <c r="A25" s="174"/>
      <c r="B25" s="176"/>
      <c r="C25" s="174"/>
      <c r="D25" s="175"/>
      <c r="E25" s="175"/>
      <c r="F25" s="175"/>
      <c r="G25" s="175"/>
      <c r="H25" s="175"/>
      <c r="I25" s="175"/>
      <c r="J25" s="176"/>
    </row>
    <row r="26" spans="1:10" ht="15.75" customHeight="1">
      <c r="A26" s="257"/>
      <c r="B26" s="170"/>
      <c r="C26" s="257"/>
      <c r="D26" s="169"/>
      <c r="E26" s="169"/>
      <c r="F26" s="169"/>
      <c r="G26" s="169"/>
      <c r="H26" s="169"/>
      <c r="I26" s="169"/>
      <c r="J26" s="170"/>
    </row>
    <row r="27" spans="1:10" ht="15.75" customHeight="1">
      <c r="A27" s="174"/>
      <c r="B27" s="176"/>
      <c r="C27" s="174"/>
      <c r="D27" s="175"/>
      <c r="E27" s="175"/>
      <c r="F27" s="175"/>
      <c r="G27" s="175"/>
      <c r="H27" s="175"/>
      <c r="I27" s="175"/>
      <c r="J27" s="176"/>
    </row>
    <row r="28" spans="1:10" ht="15.75">
      <c r="A28" s="1"/>
    </row>
    <row r="29" spans="1:10" ht="36.75" customHeight="1">
      <c r="A29" s="242" t="s">
        <v>228</v>
      </c>
      <c r="B29" s="243"/>
      <c r="C29" s="243"/>
      <c r="D29" s="243"/>
      <c r="E29" s="243"/>
      <c r="F29" s="243"/>
      <c r="G29" s="243"/>
      <c r="H29" s="243"/>
      <c r="I29" s="243"/>
      <c r="J29" s="244"/>
    </row>
    <row r="66" spans="6:6">
      <c r="F66" s="3"/>
    </row>
  </sheetData>
  <mergeCells count="24">
    <mergeCell ref="A24:B25"/>
    <mergeCell ref="C24:J25"/>
    <mergeCell ref="A26:B27"/>
    <mergeCell ref="C26:J27"/>
    <mergeCell ref="A29:J29"/>
    <mergeCell ref="A18:B19"/>
    <mergeCell ref="C18:J19"/>
    <mergeCell ref="A20:B21"/>
    <mergeCell ref="C20:J21"/>
    <mergeCell ref="A22:B23"/>
    <mergeCell ref="C22:J23"/>
    <mergeCell ref="A17:B17"/>
    <mergeCell ref="C17:J17"/>
    <mergeCell ref="A6:B6"/>
    <mergeCell ref="C6:J6"/>
    <mergeCell ref="A7:B8"/>
    <mergeCell ref="C7:J8"/>
    <mergeCell ref="A9:B10"/>
    <mergeCell ref="C9:J10"/>
    <mergeCell ref="A11:B12"/>
    <mergeCell ref="C11:J12"/>
    <mergeCell ref="A13:B14"/>
    <mergeCell ref="C13:J14"/>
    <mergeCell ref="A16:J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7"/>
  <sheetViews>
    <sheetView showGridLines="0" zoomScaleNormal="100" workbookViewId="0">
      <selection activeCell="J19" sqref="J19"/>
    </sheetView>
  </sheetViews>
  <sheetFormatPr defaultColWidth="9.140625" defaultRowHeight="15"/>
  <cols>
    <col min="1" max="1" width="9.140625" style="2" customWidth="1"/>
    <col min="2" max="2" width="14.5703125" style="2" bestFit="1" customWidth="1"/>
    <col min="3" max="3" width="9.140625" style="2"/>
    <col min="4" max="4" width="17.5703125" style="2" customWidth="1"/>
    <col min="5" max="5" width="9.140625" style="2" customWidth="1"/>
    <col min="6" max="6" width="21.5703125" style="2" customWidth="1"/>
    <col min="7" max="7" width="10.42578125" style="2" customWidth="1"/>
    <col min="8" max="16384" width="9.140625" style="2"/>
  </cols>
  <sheetData>
    <row r="1" spans="1:7">
      <c r="A1" s="2" t="str">
        <f>+'Cover Page'!$B$29</f>
        <v>Annual Performance Report 2022</v>
      </c>
      <c r="E1" s="2" t="str">
        <f>+'Cover Page'!$B$33</f>
        <v>Fine Environmental Services</v>
      </c>
    </row>
    <row r="3" spans="1:7" ht="15.75">
      <c r="A3" s="1" t="s">
        <v>229</v>
      </c>
    </row>
    <row r="4" spans="1:7" ht="15.75">
      <c r="A4" s="1"/>
    </row>
    <row r="5" spans="1:7" s="3" customFormat="1" ht="21.75" customHeight="1">
      <c r="A5" s="98" t="s">
        <v>230</v>
      </c>
      <c r="B5" s="99"/>
      <c r="C5" s="99"/>
      <c r="D5" s="99"/>
      <c r="E5" s="99"/>
      <c r="F5" s="99"/>
      <c r="G5" s="100"/>
    </row>
    <row r="6" spans="1:7" s="3" customFormat="1" ht="15.75" customHeight="1">
      <c r="A6" s="160" t="s">
        <v>231</v>
      </c>
      <c r="B6" s="169"/>
      <c r="C6" s="169"/>
      <c r="D6" s="169"/>
      <c r="E6" s="169"/>
      <c r="F6" s="169"/>
      <c r="G6" s="170"/>
    </row>
    <row r="7" spans="1:7" s="3" customFormat="1" ht="15.75" customHeight="1">
      <c r="A7" s="174"/>
      <c r="B7" s="175"/>
      <c r="C7" s="175"/>
      <c r="D7" s="175"/>
      <c r="E7" s="175"/>
      <c r="F7" s="175"/>
      <c r="G7" s="176"/>
    </row>
    <row r="8" spans="1:7" s="3" customFormat="1" ht="15.75" customHeight="1">
      <c r="A8" s="160" t="s">
        <v>232</v>
      </c>
      <c r="B8" s="161"/>
      <c r="C8" s="161"/>
      <c r="D8" s="161"/>
      <c r="E8" s="161"/>
      <c r="F8" s="161"/>
      <c r="G8" s="162"/>
    </row>
    <row r="9" spans="1:7" s="3" customFormat="1" ht="15.75" customHeight="1">
      <c r="A9" s="166"/>
      <c r="B9" s="167"/>
      <c r="C9" s="167"/>
      <c r="D9" s="167"/>
      <c r="E9" s="167"/>
      <c r="F9" s="167"/>
      <c r="G9" s="168"/>
    </row>
    <row r="10" spans="1:7" s="3" customFormat="1" ht="15.75" customHeight="1">
      <c r="A10" s="160"/>
      <c r="B10" s="161"/>
      <c r="C10" s="161"/>
      <c r="D10" s="161"/>
      <c r="E10" s="161"/>
      <c r="F10" s="161"/>
      <c r="G10" s="162"/>
    </row>
    <row r="11" spans="1:7" s="3" customFormat="1" ht="15.75" customHeight="1">
      <c r="A11" s="166"/>
      <c r="B11" s="167"/>
      <c r="C11" s="167"/>
      <c r="D11" s="167"/>
      <c r="E11" s="167"/>
      <c r="F11" s="167"/>
      <c r="G11" s="168"/>
    </row>
    <row r="12" spans="1:7" s="3" customFormat="1" ht="14.25"/>
    <row r="13" spans="1:7" s="97" customFormat="1" ht="33.75" customHeight="1">
      <c r="A13" s="242" t="s">
        <v>233</v>
      </c>
      <c r="B13" s="243"/>
      <c r="C13" s="243"/>
      <c r="D13" s="243"/>
      <c r="E13" s="243"/>
      <c r="F13" s="243"/>
      <c r="G13" s="244"/>
    </row>
    <row r="14" spans="1:7" ht="15.75" customHeight="1">
      <c r="A14" s="254" t="s">
        <v>234</v>
      </c>
      <c r="B14" s="256"/>
      <c r="C14" s="254" t="s">
        <v>226</v>
      </c>
      <c r="D14" s="255"/>
      <c r="E14" s="255"/>
      <c r="F14" s="255"/>
      <c r="G14" s="255"/>
    </row>
    <row r="15" spans="1:7" ht="15.75" customHeight="1">
      <c r="A15" s="160"/>
      <c r="B15" s="162"/>
      <c r="C15" s="257"/>
      <c r="D15" s="169"/>
      <c r="E15" s="169"/>
      <c r="F15" s="169"/>
      <c r="G15" s="170"/>
    </row>
    <row r="16" spans="1:7" ht="15.75" customHeight="1">
      <c r="A16" s="166"/>
      <c r="B16" s="168"/>
      <c r="C16" s="174"/>
      <c r="D16" s="175"/>
      <c r="E16" s="175"/>
      <c r="F16" s="175"/>
      <c r="G16" s="176"/>
    </row>
    <row r="17" spans="1:11" ht="15.75" customHeight="1">
      <c r="A17" s="257"/>
      <c r="B17" s="170"/>
      <c r="C17" s="257"/>
      <c r="D17" s="169"/>
      <c r="E17" s="169"/>
      <c r="F17" s="169"/>
      <c r="G17" s="170"/>
    </row>
    <row r="18" spans="1:11" ht="15.75" customHeight="1">
      <c r="A18" s="174"/>
      <c r="B18" s="176"/>
      <c r="C18" s="174"/>
      <c r="D18" s="175"/>
      <c r="E18" s="175"/>
      <c r="F18" s="175"/>
      <c r="G18" s="176"/>
    </row>
    <row r="19" spans="1:11" ht="15.75" customHeight="1">
      <c r="A19" s="257"/>
      <c r="B19" s="170"/>
      <c r="C19" s="257"/>
      <c r="D19" s="169"/>
      <c r="E19" s="169"/>
      <c r="F19" s="169"/>
      <c r="G19" s="170"/>
    </row>
    <row r="20" spans="1:11" ht="15.75" customHeight="1">
      <c r="A20" s="174"/>
      <c r="B20" s="176"/>
      <c r="C20" s="174"/>
      <c r="D20" s="175"/>
      <c r="E20" s="175"/>
      <c r="F20" s="175"/>
      <c r="G20" s="176"/>
    </row>
    <row r="21" spans="1:11" ht="15.75" customHeight="1">
      <c r="A21" s="257"/>
      <c r="B21" s="170"/>
      <c r="C21" s="257"/>
      <c r="D21" s="169"/>
      <c r="E21" s="169"/>
      <c r="F21" s="169"/>
      <c r="G21" s="170"/>
    </row>
    <row r="22" spans="1:11" ht="15.75" customHeight="1">
      <c r="A22" s="174"/>
      <c r="B22" s="176"/>
      <c r="C22" s="174"/>
      <c r="D22" s="175"/>
      <c r="E22" s="175"/>
      <c r="F22" s="175"/>
      <c r="G22" s="176"/>
    </row>
    <row r="23" spans="1:11" ht="15.75" customHeight="1">
      <c r="A23" s="257"/>
      <c r="B23" s="170"/>
      <c r="C23" s="257"/>
      <c r="D23" s="169"/>
      <c r="E23" s="169"/>
      <c r="F23" s="169"/>
      <c r="G23" s="170"/>
    </row>
    <row r="24" spans="1:11" ht="15.75" customHeight="1">
      <c r="A24" s="174"/>
      <c r="B24" s="176"/>
      <c r="C24" s="174"/>
      <c r="D24" s="175"/>
      <c r="E24" s="175"/>
      <c r="F24" s="175"/>
      <c r="G24" s="176"/>
    </row>
    <row r="26" spans="1:11">
      <c r="A26" s="16"/>
      <c r="B26" s="16"/>
      <c r="C26" s="16"/>
      <c r="D26" s="16"/>
      <c r="E26" s="16"/>
      <c r="F26" s="16"/>
      <c r="G26" s="16"/>
    </row>
    <row r="27" spans="1:11" s="116" customFormat="1" ht="16.5" customHeight="1">
      <c r="A27" s="258" t="s">
        <v>235</v>
      </c>
      <c r="B27" s="258"/>
      <c r="C27" s="258"/>
      <c r="D27" s="258"/>
      <c r="E27" s="258"/>
      <c r="F27" s="258"/>
      <c r="G27" s="258"/>
    </row>
    <row r="28" spans="1:11" s="16" customFormat="1" ht="17.25" customHeight="1">
      <c r="A28" s="260" t="s">
        <v>236</v>
      </c>
      <c r="B28" s="260"/>
      <c r="C28" s="239" t="s">
        <v>237</v>
      </c>
      <c r="D28" s="239" t="s">
        <v>238</v>
      </c>
      <c r="E28" s="239"/>
      <c r="F28" s="239"/>
      <c r="G28" s="239"/>
    </row>
    <row r="29" spans="1:11" s="16" customFormat="1" ht="17.25" customHeight="1">
      <c r="A29" s="260"/>
      <c r="B29" s="260"/>
      <c r="C29" s="239"/>
      <c r="D29" s="239" t="s">
        <v>239</v>
      </c>
      <c r="E29" s="239"/>
      <c r="F29" s="239" t="s">
        <v>142</v>
      </c>
      <c r="G29" s="239"/>
    </row>
    <row r="30" spans="1:11" s="16" customFormat="1" ht="17.25" customHeight="1">
      <c r="A30" s="260"/>
      <c r="B30" s="260"/>
      <c r="C30" s="239"/>
      <c r="D30" s="239" t="s">
        <v>240</v>
      </c>
      <c r="E30" s="239"/>
      <c r="F30" s="261" t="s">
        <v>241</v>
      </c>
      <c r="G30" s="262"/>
    </row>
    <row r="31" spans="1:11" s="83" customFormat="1" ht="38.1" customHeight="1">
      <c r="A31" s="182" t="s">
        <v>242</v>
      </c>
      <c r="B31" s="182"/>
      <c r="C31" s="117" t="s">
        <v>243</v>
      </c>
      <c r="D31" s="228"/>
      <c r="E31" s="228"/>
      <c r="F31" s="228"/>
      <c r="G31" s="228"/>
      <c r="J31" s="16"/>
      <c r="K31" s="16"/>
    </row>
    <row r="32" spans="1:11" s="83" customFormat="1" ht="38.1" customHeight="1">
      <c r="A32" s="182" t="s">
        <v>244</v>
      </c>
      <c r="B32" s="182"/>
      <c r="C32" s="113" t="s">
        <v>245</v>
      </c>
      <c r="D32" s="228"/>
      <c r="E32" s="228"/>
      <c r="F32" s="263"/>
      <c r="G32" s="264"/>
      <c r="J32" s="16"/>
      <c r="K32" s="16"/>
    </row>
    <row r="33" spans="1:11" s="83" customFormat="1" ht="38.1" customHeight="1">
      <c r="A33" s="182" t="s">
        <v>246</v>
      </c>
      <c r="B33" s="182"/>
      <c r="C33" s="113" t="s">
        <v>247</v>
      </c>
      <c r="D33" s="228"/>
      <c r="E33" s="228"/>
      <c r="F33" s="263"/>
      <c r="G33" s="264"/>
      <c r="J33" s="16"/>
      <c r="K33" s="16"/>
    </row>
    <row r="34" spans="1:11" s="83" customFormat="1" ht="38.1" customHeight="1">
      <c r="A34" s="182" t="s">
        <v>248</v>
      </c>
      <c r="B34" s="182"/>
      <c r="C34" s="113" t="s">
        <v>247</v>
      </c>
      <c r="D34" s="228"/>
      <c r="E34" s="228"/>
      <c r="F34" s="265"/>
      <c r="G34" s="266"/>
    </row>
    <row r="36" spans="1:11">
      <c r="A36" s="213" t="s">
        <v>249</v>
      </c>
      <c r="B36" s="213"/>
      <c r="C36" s="213"/>
      <c r="D36" s="213"/>
      <c r="E36" s="213"/>
      <c r="F36" s="213"/>
      <c r="G36" s="213"/>
    </row>
    <row r="37" spans="1:11">
      <c r="A37" s="259"/>
      <c r="B37" s="259"/>
      <c r="C37" s="259"/>
      <c r="D37" s="259"/>
      <c r="E37" s="259"/>
      <c r="F37" s="259"/>
      <c r="G37" s="259"/>
    </row>
    <row r="38" spans="1:11">
      <c r="A38" s="259"/>
      <c r="B38" s="259"/>
      <c r="C38" s="259"/>
      <c r="D38" s="259"/>
      <c r="E38" s="259"/>
      <c r="F38" s="259"/>
      <c r="G38" s="259"/>
    </row>
    <row r="39" spans="1:11">
      <c r="A39" s="259"/>
      <c r="B39" s="259"/>
      <c r="C39" s="259"/>
      <c r="D39" s="259"/>
      <c r="E39" s="259"/>
      <c r="F39" s="259"/>
      <c r="G39" s="259"/>
    </row>
    <row r="40" spans="1:11">
      <c r="A40" s="259"/>
      <c r="B40" s="259"/>
      <c r="C40" s="259"/>
      <c r="D40" s="259"/>
      <c r="E40" s="259"/>
      <c r="F40" s="259"/>
      <c r="G40" s="259"/>
    </row>
    <row r="41" spans="1:11">
      <c r="A41" s="259"/>
      <c r="B41" s="259"/>
      <c r="C41" s="259"/>
      <c r="D41" s="259"/>
      <c r="E41" s="259"/>
      <c r="F41" s="259"/>
      <c r="G41" s="259"/>
    </row>
    <row r="42" spans="1:11">
      <c r="A42" s="259"/>
      <c r="B42" s="259"/>
      <c r="C42" s="259"/>
      <c r="D42" s="259"/>
      <c r="E42" s="259"/>
      <c r="F42" s="259"/>
      <c r="G42" s="259"/>
    </row>
    <row r="57" spans="6:6">
      <c r="F57" s="3"/>
    </row>
  </sheetData>
  <mergeCells count="38">
    <mergeCell ref="A37:G42"/>
    <mergeCell ref="D34:E34"/>
    <mergeCell ref="A36:G36"/>
    <mergeCell ref="A28:B30"/>
    <mergeCell ref="A31:B31"/>
    <mergeCell ref="A32:B32"/>
    <mergeCell ref="A33:B33"/>
    <mergeCell ref="A34:B34"/>
    <mergeCell ref="D31:E31"/>
    <mergeCell ref="D32:E32"/>
    <mergeCell ref="F30:G30"/>
    <mergeCell ref="F31:G31"/>
    <mergeCell ref="F32:G32"/>
    <mergeCell ref="F33:G33"/>
    <mergeCell ref="F34:G34"/>
    <mergeCell ref="A21:B22"/>
    <mergeCell ref="C21:G22"/>
    <mergeCell ref="A23:B24"/>
    <mergeCell ref="C23:G24"/>
    <mergeCell ref="D33:E33"/>
    <mergeCell ref="C28:C30"/>
    <mergeCell ref="D29:E29"/>
    <mergeCell ref="D30:E30"/>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6"/>
  <sheetViews>
    <sheetView showGridLines="0" topLeftCell="A12" zoomScaleNormal="100" workbookViewId="0">
      <selection activeCell="H41" sqref="H41"/>
    </sheetView>
  </sheetViews>
  <sheetFormatPr defaultColWidth="9.140625" defaultRowHeight="15"/>
  <cols>
    <col min="1" max="1" width="9.140625" style="2" customWidth="1"/>
    <col min="2" max="2" width="14.5703125" style="2" bestFit="1" customWidth="1"/>
    <col min="3" max="9" width="9.140625" style="2"/>
    <col min="10" max="10" width="11.5703125" style="2" customWidth="1"/>
    <col min="11" max="16384" width="9.140625" style="2"/>
  </cols>
  <sheetData>
    <row r="1" spans="1:10">
      <c r="A1" s="2" t="str">
        <f>+'Cover Page'!$B$29</f>
        <v>Annual Performance Report 2022</v>
      </c>
      <c r="E1" s="2" t="str">
        <f>+'Cover Page'!$B$33</f>
        <v>Fine Environmental Services</v>
      </c>
    </row>
    <row r="3" spans="1:10" ht="15.75">
      <c r="A3" s="1" t="s">
        <v>34</v>
      </c>
    </row>
    <row r="4" spans="1:10" ht="15.75">
      <c r="A4" s="1"/>
    </row>
    <row r="5" spans="1:10" s="3" customFormat="1" ht="21.75" customHeight="1">
      <c r="A5" s="98" t="s">
        <v>230</v>
      </c>
      <c r="B5" s="99"/>
      <c r="C5" s="99"/>
      <c r="D5" s="99"/>
      <c r="E5" s="99"/>
      <c r="F5" s="99"/>
      <c r="G5" s="99"/>
      <c r="H5" s="99"/>
      <c r="I5" s="99"/>
      <c r="J5" s="100"/>
    </row>
    <row r="6" spans="1:10" s="3" customFormat="1" ht="15.75" customHeight="1">
      <c r="A6" s="160" t="s">
        <v>250</v>
      </c>
      <c r="B6" s="169"/>
      <c r="C6" s="169"/>
      <c r="D6" s="169"/>
      <c r="E6" s="169"/>
      <c r="F6" s="169"/>
      <c r="G6" s="169"/>
      <c r="H6" s="169"/>
      <c r="I6" s="169"/>
      <c r="J6" s="170"/>
    </row>
    <row r="7" spans="1:10" s="3" customFormat="1" ht="15.75" customHeight="1">
      <c r="A7" s="174"/>
      <c r="B7" s="175"/>
      <c r="C7" s="175"/>
      <c r="D7" s="175"/>
      <c r="E7" s="175"/>
      <c r="F7" s="175"/>
      <c r="G7" s="175"/>
      <c r="H7" s="175"/>
      <c r="I7" s="175"/>
      <c r="J7" s="176"/>
    </row>
    <row r="8" spans="1:10" s="3" customFormat="1" ht="15.75" customHeight="1">
      <c r="A8" s="160" t="s">
        <v>251</v>
      </c>
      <c r="B8" s="161"/>
      <c r="C8" s="161"/>
      <c r="D8" s="161"/>
      <c r="E8" s="161"/>
      <c r="F8" s="161"/>
      <c r="G8" s="161"/>
      <c r="H8" s="161"/>
      <c r="I8" s="161"/>
      <c r="J8" s="162"/>
    </row>
    <row r="9" spans="1:10" s="3" customFormat="1" ht="15.75" customHeight="1">
      <c r="A9" s="166"/>
      <c r="B9" s="167"/>
      <c r="C9" s="167"/>
      <c r="D9" s="167"/>
      <c r="E9" s="167"/>
      <c r="F9" s="167"/>
      <c r="G9" s="167"/>
      <c r="H9" s="167"/>
      <c r="I9" s="167"/>
      <c r="J9" s="168"/>
    </row>
    <row r="10" spans="1:10" s="3" customFormat="1" ht="15.75" customHeight="1">
      <c r="A10" s="160"/>
      <c r="B10" s="161"/>
      <c r="C10" s="161"/>
      <c r="D10" s="161"/>
      <c r="E10" s="161"/>
      <c r="F10" s="161"/>
      <c r="G10" s="161"/>
      <c r="H10" s="161"/>
      <c r="I10" s="161"/>
      <c r="J10" s="162"/>
    </row>
    <row r="11" spans="1:10" s="3" customFormat="1" ht="15.75" customHeight="1">
      <c r="A11" s="166"/>
      <c r="B11" s="167"/>
      <c r="C11" s="167"/>
      <c r="D11" s="167"/>
      <c r="E11" s="167"/>
      <c r="F11" s="167"/>
      <c r="G11" s="167"/>
      <c r="H11" s="167"/>
      <c r="I11" s="167"/>
      <c r="J11" s="168"/>
    </row>
    <row r="12" spans="1:10" s="3" customFormat="1" ht="14.25"/>
    <row r="13" spans="1:10" s="97" customFormat="1" ht="33.75" customHeight="1">
      <c r="A13" s="242" t="s">
        <v>233</v>
      </c>
      <c r="B13" s="243"/>
      <c r="C13" s="243"/>
      <c r="D13" s="243"/>
      <c r="E13" s="243"/>
      <c r="F13" s="243"/>
      <c r="G13" s="243"/>
      <c r="H13" s="243"/>
      <c r="I13" s="243"/>
      <c r="J13" s="244"/>
    </row>
    <row r="14" spans="1:10" ht="15.75" customHeight="1">
      <c r="A14" s="254" t="s">
        <v>234</v>
      </c>
      <c r="B14" s="256"/>
      <c r="C14" s="254" t="s">
        <v>226</v>
      </c>
      <c r="D14" s="255"/>
      <c r="E14" s="255"/>
      <c r="F14" s="255"/>
      <c r="G14" s="255"/>
      <c r="H14" s="255"/>
      <c r="I14" s="255"/>
      <c r="J14" s="255"/>
    </row>
    <row r="15" spans="1:10" ht="15.75" customHeight="1">
      <c r="A15" s="160"/>
      <c r="B15" s="162"/>
      <c r="C15" s="257"/>
      <c r="D15" s="169"/>
      <c r="E15" s="169"/>
      <c r="F15" s="169"/>
      <c r="G15" s="169"/>
      <c r="H15" s="169"/>
      <c r="I15" s="169"/>
      <c r="J15" s="170"/>
    </row>
    <row r="16" spans="1:10" ht="15.75" customHeight="1">
      <c r="A16" s="166"/>
      <c r="B16" s="168"/>
      <c r="C16" s="174"/>
      <c r="D16" s="175"/>
      <c r="E16" s="175"/>
      <c r="F16" s="175"/>
      <c r="G16" s="175"/>
      <c r="H16" s="175"/>
      <c r="I16" s="175"/>
      <c r="J16" s="176"/>
    </row>
    <row r="17" spans="1:10" ht="15.75" customHeight="1">
      <c r="A17" s="257"/>
      <c r="B17" s="170"/>
      <c r="C17" s="257"/>
      <c r="D17" s="169"/>
      <c r="E17" s="169"/>
      <c r="F17" s="169"/>
      <c r="G17" s="169"/>
      <c r="H17" s="169"/>
      <c r="I17" s="169"/>
      <c r="J17" s="170"/>
    </row>
    <row r="18" spans="1:10" ht="15.75" customHeight="1">
      <c r="A18" s="174"/>
      <c r="B18" s="176"/>
      <c r="C18" s="174"/>
      <c r="D18" s="175"/>
      <c r="E18" s="175"/>
      <c r="F18" s="175"/>
      <c r="G18" s="175"/>
      <c r="H18" s="175"/>
      <c r="I18" s="175"/>
      <c r="J18" s="176"/>
    </row>
    <row r="19" spans="1:10" ht="15.75" customHeight="1">
      <c r="A19" s="257"/>
      <c r="B19" s="170"/>
      <c r="C19" s="257"/>
      <c r="D19" s="169"/>
      <c r="E19" s="169"/>
      <c r="F19" s="169"/>
      <c r="G19" s="169"/>
      <c r="H19" s="169"/>
      <c r="I19" s="169"/>
      <c r="J19" s="170"/>
    </row>
    <row r="20" spans="1:10" ht="15.75" customHeight="1">
      <c r="A20" s="174"/>
      <c r="B20" s="176"/>
      <c r="C20" s="174"/>
      <c r="D20" s="175"/>
      <c r="E20" s="175"/>
      <c r="F20" s="175"/>
      <c r="G20" s="175"/>
      <c r="H20" s="175"/>
      <c r="I20" s="175"/>
      <c r="J20" s="176"/>
    </row>
    <row r="22" spans="1:10" ht="22.5" customHeight="1">
      <c r="A22" s="273" t="s">
        <v>34</v>
      </c>
      <c r="B22" s="274"/>
      <c r="C22" s="274"/>
      <c r="D22" s="274"/>
      <c r="E22" s="274"/>
      <c r="F22" s="274"/>
      <c r="G22" s="274"/>
      <c r="H22" s="274"/>
      <c r="I22" s="274"/>
      <c r="J22" s="274"/>
    </row>
    <row r="23" spans="1:10" ht="19.5" customHeight="1">
      <c r="A23" s="275" t="s">
        <v>166</v>
      </c>
      <c r="B23" s="276"/>
      <c r="C23" s="277"/>
      <c r="D23" s="278" t="s">
        <v>252</v>
      </c>
      <c r="E23" s="279"/>
      <c r="F23" s="280"/>
      <c r="G23" s="112" t="s">
        <v>237</v>
      </c>
      <c r="H23" s="112" t="s">
        <v>253</v>
      </c>
      <c r="I23" s="112" t="s">
        <v>254</v>
      </c>
      <c r="J23" s="112" t="s">
        <v>255</v>
      </c>
    </row>
    <row r="24" spans="1:10">
      <c r="A24" s="267" t="s">
        <v>256</v>
      </c>
      <c r="B24" s="268"/>
      <c r="C24" s="269"/>
      <c r="D24" s="270" t="s">
        <v>257</v>
      </c>
      <c r="E24" s="271"/>
      <c r="F24" s="272"/>
      <c r="G24" s="114" t="s">
        <v>258</v>
      </c>
      <c r="H24" s="114"/>
      <c r="I24" s="114">
        <v>10</v>
      </c>
      <c r="J24" s="114">
        <v>9.3000000000000007</v>
      </c>
    </row>
    <row r="25" spans="1:10">
      <c r="A25" s="267" t="s">
        <v>259</v>
      </c>
      <c r="B25" s="268"/>
      <c r="C25" s="269"/>
      <c r="D25" s="270" t="s">
        <v>260</v>
      </c>
      <c r="E25" s="271"/>
      <c r="F25" s="272"/>
      <c r="G25" s="114">
        <v>500</v>
      </c>
      <c r="H25" s="114"/>
      <c r="I25" s="114">
        <v>443</v>
      </c>
      <c r="J25" s="114">
        <v>59.3</v>
      </c>
    </row>
    <row r="26" spans="1:10">
      <c r="A26" s="267" t="s">
        <v>261</v>
      </c>
      <c r="B26" s="268"/>
      <c r="C26" s="269"/>
      <c r="D26" s="270" t="s">
        <v>262</v>
      </c>
      <c r="E26" s="271"/>
      <c r="F26" s="272"/>
      <c r="G26" s="114">
        <v>0.03</v>
      </c>
      <c r="H26" s="114"/>
      <c r="I26" s="114">
        <v>2.5000000000000001E-4</v>
      </c>
      <c r="J26" s="114"/>
    </row>
    <row r="27" spans="1:10">
      <c r="A27" s="267" t="s">
        <v>263</v>
      </c>
      <c r="B27" s="268"/>
      <c r="C27" s="269"/>
      <c r="D27" s="270" t="s">
        <v>262</v>
      </c>
      <c r="E27" s="271"/>
      <c r="F27" s="272"/>
      <c r="G27" s="114">
        <v>0.15</v>
      </c>
      <c r="H27" s="114"/>
      <c r="I27" s="114">
        <v>1.1000000000000001E-3</v>
      </c>
      <c r="J27" s="114"/>
    </row>
    <row r="28" spans="1:10">
      <c r="A28" s="267" t="s">
        <v>264</v>
      </c>
      <c r="B28" s="268"/>
      <c r="C28" s="269"/>
      <c r="D28" s="270" t="s">
        <v>262</v>
      </c>
      <c r="E28" s="271"/>
      <c r="F28" s="272"/>
      <c r="G28" s="114">
        <v>0.05</v>
      </c>
      <c r="H28" s="114"/>
      <c r="I28" s="114">
        <v>5.0000000000000001E-4</v>
      </c>
      <c r="J28" s="114"/>
    </row>
    <row r="29" spans="1:10">
      <c r="A29" s="267" t="s">
        <v>265</v>
      </c>
      <c r="B29" s="268"/>
      <c r="C29" s="269"/>
      <c r="D29" s="270" t="s">
        <v>262</v>
      </c>
      <c r="E29" s="271"/>
      <c r="F29" s="272"/>
      <c r="G29" s="114">
        <v>0.5</v>
      </c>
      <c r="H29" s="114"/>
      <c r="I29" s="114">
        <v>9.5000000000000001E-2</v>
      </c>
      <c r="J29" s="114"/>
    </row>
    <row r="30" spans="1:10">
      <c r="A30" s="281" t="s">
        <v>266</v>
      </c>
      <c r="B30" s="281"/>
      <c r="C30" s="281"/>
      <c r="D30" s="270" t="s">
        <v>262</v>
      </c>
      <c r="E30" s="271"/>
      <c r="F30" s="272"/>
      <c r="G30" s="114">
        <v>0.5</v>
      </c>
      <c r="H30" s="114"/>
      <c r="I30" s="114">
        <v>1.0999999999999999E-2</v>
      </c>
      <c r="J30" s="114"/>
    </row>
    <row r="31" spans="1:10">
      <c r="A31" s="267" t="s">
        <v>267</v>
      </c>
      <c r="B31" s="268"/>
      <c r="C31" s="269"/>
      <c r="D31" s="270" t="s">
        <v>262</v>
      </c>
      <c r="E31" s="271"/>
      <c r="F31" s="272"/>
      <c r="G31" s="114">
        <v>0.2</v>
      </c>
      <c r="H31" s="114"/>
      <c r="I31" s="114">
        <v>5.7000000000000002E-3</v>
      </c>
      <c r="J31" s="114"/>
    </row>
    <row r="32" spans="1:10">
      <c r="A32" s="267" t="s">
        <v>268</v>
      </c>
      <c r="B32" s="268"/>
      <c r="C32" s="269"/>
      <c r="D32" s="270" t="s">
        <v>269</v>
      </c>
      <c r="E32" s="271"/>
      <c r="F32" s="272"/>
      <c r="G32" s="114">
        <v>0.5</v>
      </c>
      <c r="H32" s="114"/>
      <c r="I32" s="114">
        <v>0.13</v>
      </c>
      <c r="J32" s="114"/>
    </row>
    <row r="33" spans="1:10">
      <c r="A33" s="267" t="s">
        <v>270</v>
      </c>
      <c r="B33" s="268"/>
      <c r="C33" s="269"/>
      <c r="D33" s="270" t="s">
        <v>262</v>
      </c>
      <c r="E33" s="271"/>
      <c r="F33" s="272"/>
      <c r="G33" s="114">
        <v>0.05</v>
      </c>
      <c r="H33" s="114"/>
      <c r="I33" s="114">
        <v>2.0000000000000001E-4</v>
      </c>
      <c r="J33" s="114"/>
    </row>
    <row r="34" spans="1:10">
      <c r="A34" s="267" t="s">
        <v>271</v>
      </c>
      <c r="B34" s="268"/>
      <c r="C34" s="269"/>
      <c r="D34" s="270" t="s">
        <v>262</v>
      </c>
      <c r="E34" s="271"/>
      <c r="F34" s="272"/>
      <c r="G34" s="114">
        <v>1.5</v>
      </c>
      <c r="H34" s="114"/>
      <c r="I34" s="114">
        <v>0.78</v>
      </c>
      <c r="J34" s="114"/>
    </row>
    <row r="35" spans="1:10">
      <c r="A35" s="267" t="s">
        <v>272</v>
      </c>
      <c r="B35" s="268"/>
      <c r="C35" s="269"/>
      <c r="D35" s="270" t="s">
        <v>273</v>
      </c>
      <c r="E35" s="271"/>
      <c r="F35" s="272"/>
      <c r="G35" s="114"/>
      <c r="H35" s="114"/>
      <c r="I35" s="114">
        <v>9.2999999999999999E-2</v>
      </c>
      <c r="J35" s="114"/>
    </row>
    <row r="36" spans="1:10">
      <c r="A36" s="267" t="s">
        <v>274</v>
      </c>
      <c r="B36" s="268"/>
      <c r="C36" s="269"/>
      <c r="D36" s="270" t="s">
        <v>273</v>
      </c>
      <c r="E36" s="271"/>
      <c r="F36" s="272"/>
      <c r="G36" s="114"/>
      <c r="H36" s="114"/>
      <c r="I36" s="114">
        <v>9.2999999999999999E-2</v>
      </c>
      <c r="J36" s="114"/>
    </row>
    <row r="37" spans="1:10">
      <c r="A37" s="267" t="s">
        <v>275</v>
      </c>
      <c r="B37" s="268"/>
      <c r="C37" s="269"/>
      <c r="D37" s="270" t="s">
        <v>273</v>
      </c>
      <c r="E37" s="271"/>
      <c r="F37" s="272"/>
      <c r="G37" s="114"/>
      <c r="H37" s="114"/>
      <c r="I37" s="114">
        <v>9.2999999999999999E-2</v>
      </c>
      <c r="J37" s="114"/>
    </row>
    <row r="38" spans="1:10">
      <c r="A38" s="267" t="s">
        <v>276</v>
      </c>
      <c r="B38" s="268"/>
      <c r="C38" s="269"/>
      <c r="D38" s="270" t="s">
        <v>273</v>
      </c>
      <c r="E38" s="271"/>
      <c r="F38" s="272"/>
      <c r="G38" s="114"/>
      <c r="H38" s="114"/>
      <c r="I38" s="114">
        <v>4.8000000000000001E-2</v>
      </c>
      <c r="J38" s="114"/>
    </row>
    <row r="39" spans="1:10">
      <c r="A39" s="267" t="s">
        <v>277</v>
      </c>
      <c r="B39" s="268"/>
      <c r="C39" s="269"/>
      <c r="D39" s="270" t="s">
        <v>273</v>
      </c>
      <c r="E39" s="271"/>
      <c r="F39" s="272"/>
      <c r="G39" s="114"/>
      <c r="H39" s="114"/>
      <c r="I39" s="114">
        <v>9.2999999999999999E-2</v>
      </c>
      <c r="J39" s="114"/>
    </row>
    <row r="40" spans="1:10">
      <c r="A40" s="267" t="s">
        <v>278</v>
      </c>
      <c r="B40" s="268"/>
      <c r="C40" s="269"/>
      <c r="D40" s="270" t="s">
        <v>279</v>
      </c>
      <c r="E40" s="271"/>
      <c r="F40" s="272"/>
      <c r="G40" s="114">
        <v>85</v>
      </c>
      <c r="H40" s="114"/>
      <c r="I40" s="114">
        <v>85</v>
      </c>
      <c r="J40" s="114"/>
    </row>
    <row r="41" spans="1:10">
      <c r="A41" s="267" t="s">
        <v>280</v>
      </c>
      <c r="B41" s="268"/>
      <c r="C41" s="269"/>
      <c r="D41" s="270" t="s">
        <v>281</v>
      </c>
      <c r="E41" s="271"/>
      <c r="F41" s="272"/>
      <c r="G41" s="114">
        <v>420</v>
      </c>
      <c r="H41" s="114"/>
      <c r="I41" s="114"/>
      <c r="J41" s="114"/>
    </row>
    <row r="66" spans="6:6">
      <c r="F66" s="3"/>
    </row>
  </sheetData>
  <mergeCells count="51">
    <mergeCell ref="A30:C30"/>
    <mergeCell ref="D30:F30"/>
    <mergeCell ref="A27:C27"/>
    <mergeCell ref="D27:F27"/>
    <mergeCell ref="A28:C28"/>
    <mergeCell ref="D28:F28"/>
    <mergeCell ref="A29:C29"/>
    <mergeCell ref="D29:F29"/>
    <mergeCell ref="A24:C24"/>
    <mergeCell ref="D24:F24"/>
    <mergeCell ref="A25:C25"/>
    <mergeCell ref="D25:F25"/>
    <mergeCell ref="A26:C26"/>
    <mergeCell ref="D26:F26"/>
    <mergeCell ref="A22:J22"/>
    <mergeCell ref="A23:C23"/>
    <mergeCell ref="D23:F23"/>
    <mergeCell ref="A15:B16"/>
    <mergeCell ref="C15:J16"/>
    <mergeCell ref="A17:B18"/>
    <mergeCell ref="C17:J18"/>
    <mergeCell ref="A19:B20"/>
    <mergeCell ref="C19:J20"/>
    <mergeCell ref="A6:J7"/>
    <mergeCell ref="A8:J9"/>
    <mergeCell ref="A10:J11"/>
    <mergeCell ref="A13:J13"/>
    <mergeCell ref="A14:B14"/>
    <mergeCell ref="C14:J14"/>
    <mergeCell ref="A31:C31"/>
    <mergeCell ref="D31:F31"/>
    <mergeCell ref="A32:C32"/>
    <mergeCell ref="D32:F32"/>
    <mergeCell ref="A33:C33"/>
    <mergeCell ref="D33:F33"/>
    <mergeCell ref="A34:C34"/>
    <mergeCell ref="D34:F34"/>
    <mergeCell ref="A35:C35"/>
    <mergeCell ref="D35:F35"/>
    <mergeCell ref="A36:C36"/>
    <mergeCell ref="D36:F36"/>
    <mergeCell ref="A40:C40"/>
    <mergeCell ref="D40:F40"/>
    <mergeCell ref="A41:C41"/>
    <mergeCell ref="D41:F41"/>
    <mergeCell ref="A37:C37"/>
    <mergeCell ref="D37:F37"/>
    <mergeCell ref="A38:C38"/>
    <mergeCell ref="D38:F38"/>
    <mergeCell ref="A39:C39"/>
    <mergeCell ref="D39:F39"/>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J64"/>
  <sheetViews>
    <sheetView showGridLines="0" topLeftCell="A6" zoomScaleNormal="100" workbookViewId="0">
      <selection activeCell="H34" sqref="H34"/>
    </sheetView>
  </sheetViews>
  <sheetFormatPr defaultColWidth="9.140625" defaultRowHeight="15"/>
  <cols>
    <col min="1" max="1" width="9.140625" style="2" customWidth="1"/>
    <col min="2" max="2" width="14.5703125" style="2" bestFit="1" customWidth="1"/>
    <col min="3" max="9" width="9.140625" style="2"/>
    <col min="10" max="10" width="10.42578125" style="2" customWidth="1"/>
    <col min="11" max="16384" width="9.140625" style="2"/>
  </cols>
  <sheetData>
    <row r="1" spans="1:10">
      <c r="A1" s="2" t="str">
        <f>+'Cover Page'!$B$29</f>
        <v>Annual Performance Report 2022</v>
      </c>
      <c r="E1" s="2" t="str">
        <f>+'Cover Page'!$B$33</f>
        <v>Fine Environmental Services</v>
      </c>
    </row>
    <row r="2" spans="1:10" ht="7.5" customHeight="1"/>
    <row r="3" spans="1:10" ht="15.75">
      <c r="A3" s="1" t="s">
        <v>35</v>
      </c>
    </row>
    <row r="4" spans="1:10" ht="9.75" customHeight="1">
      <c r="A4" s="1"/>
    </row>
    <row r="5" spans="1:10" s="3" customFormat="1" ht="21.75" customHeight="1">
      <c r="A5" s="98" t="s">
        <v>282</v>
      </c>
      <c r="B5" s="99"/>
      <c r="C5" s="99"/>
      <c r="D5" s="99"/>
      <c r="E5" s="99"/>
      <c r="F5" s="99"/>
      <c r="G5" s="99"/>
      <c r="H5" s="99"/>
      <c r="I5" s="99"/>
      <c r="J5" s="100"/>
    </row>
    <row r="6" spans="1:10" s="3" customFormat="1" ht="15.75" customHeight="1">
      <c r="A6" s="257"/>
      <c r="B6" s="169"/>
      <c r="C6" s="169"/>
      <c r="D6" s="169"/>
      <c r="E6" s="169"/>
      <c r="F6" s="169"/>
      <c r="G6" s="169"/>
      <c r="H6" s="169"/>
      <c r="I6" s="169"/>
      <c r="J6" s="170"/>
    </row>
    <row r="7" spans="1:10" s="3" customFormat="1" ht="15.75" customHeight="1">
      <c r="A7" s="174"/>
      <c r="B7" s="175"/>
      <c r="C7" s="175"/>
      <c r="D7" s="175"/>
      <c r="E7" s="175"/>
      <c r="F7" s="175"/>
      <c r="G7" s="175"/>
      <c r="H7" s="175"/>
      <c r="I7" s="175"/>
      <c r="J7" s="176"/>
    </row>
    <row r="8" spans="1:10" s="3" customFormat="1" ht="14.25"/>
    <row r="9" spans="1:10" s="116" customFormat="1" ht="16.5" customHeight="1">
      <c r="A9" s="258" t="s">
        <v>283</v>
      </c>
      <c r="B9" s="258"/>
      <c r="C9" s="258"/>
      <c r="D9" s="258"/>
      <c r="E9" s="258"/>
      <c r="F9" s="258"/>
      <c r="G9" s="258"/>
      <c r="H9" s="258"/>
      <c r="I9" s="258"/>
      <c r="J9" s="258"/>
    </row>
    <row r="10" spans="1:10" s="116" customFormat="1" ht="16.5" customHeight="1">
      <c r="A10" s="282" t="s">
        <v>194</v>
      </c>
      <c r="B10" s="283"/>
      <c r="C10" s="293" t="s">
        <v>284</v>
      </c>
      <c r="D10" s="289" t="s">
        <v>285</v>
      </c>
      <c r="E10" s="290"/>
      <c r="F10" s="286" t="s">
        <v>255</v>
      </c>
      <c r="G10" s="287"/>
      <c r="H10" s="287"/>
      <c r="I10" s="287"/>
      <c r="J10" s="288"/>
    </row>
    <row r="11" spans="1:10" s="16" customFormat="1" ht="17.25" customHeight="1">
      <c r="A11" s="284"/>
      <c r="B11" s="285"/>
      <c r="C11" s="294"/>
      <c r="D11" s="291"/>
      <c r="E11" s="292"/>
      <c r="F11" s="95" t="s">
        <v>168</v>
      </c>
      <c r="G11" s="95" t="s">
        <v>169</v>
      </c>
      <c r="H11" s="95" t="s">
        <v>170</v>
      </c>
      <c r="I11" s="95" t="s">
        <v>171</v>
      </c>
      <c r="J11" s="95" t="s">
        <v>172</v>
      </c>
    </row>
    <row r="12" spans="1:10" s="16" customFormat="1" ht="23.25" customHeight="1">
      <c r="A12" s="182" t="s">
        <v>205</v>
      </c>
      <c r="B12" s="182"/>
      <c r="C12" s="111" t="s">
        <v>286</v>
      </c>
      <c r="D12" s="227" t="s">
        <v>287</v>
      </c>
      <c r="E12" s="227"/>
      <c r="F12" s="114">
        <v>0.93</v>
      </c>
      <c r="G12" s="114" t="s">
        <v>288</v>
      </c>
      <c r="H12" s="114"/>
      <c r="I12" s="114"/>
      <c r="J12" s="114"/>
    </row>
    <row r="13" spans="1:10" s="16" customFormat="1" ht="23.25" customHeight="1">
      <c r="A13" s="182" t="s">
        <v>289</v>
      </c>
      <c r="B13" s="182"/>
      <c r="C13" s="111" t="s">
        <v>290</v>
      </c>
      <c r="D13" s="227" t="s">
        <v>291</v>
      </c>
      <c r="E13" s="227"/>
      <c r="F13" s="114">
        <v>4.4000000000000003E-3</v>
      </c>
      <c r="G13" s="114">
        <v>0.02</v>
      </c>
      <c r="H13" s="114"/>
      <c r="I13" s="114"/>
      <c r="J13" s="114"/>
    </row>
    <row r="14" spans="1:10" s="16" customFormat="1" ht="23.25" customHeight="1">
      <c r="A14" s="182" t="s">
        <v>292</v>
      </c>
      <c r="B14" s="182"/>
      <c r="C14" s="111" t="s">
        <v>290</v>
      </c>
      <c r="D14" s="227" t="s">
        <v>291</v>
      </c>
      <c r="E14" s="227"/>
      <c r="F14" s="114">
        <v>1.4E-3</v>
      </c>
      <c r="G14" s="114">
        <v>2E-3</v>
      </c>
      <c r="H14" s="114"/>
      <c r="I14" s="114"/>
      <c r="J14" s="114"/>
    </row>
    <row r="15" spans="1:10" s="16" customFormat="1" ht="23.25" customHeight="1">
      <c r="A15" s="182" t="s">
        <v>293</v>
      </c>
      <c r="B15" s="182"/>
      <c r="C15" s="111" t="s">
        <v>290</v>
      </c>
      <c r="D15" s="227" t="s">
        <v>294</v>
      </c>
      <c r="E15" s="227"/>
      <c r="F15" s="114">
        <v>3.5999999999999997E-2</v>
      </c>
      <c r="G15" s="114">
        <v>0.09</v>
      </c>
      <c r="H15" s="114"/>
      <c r="I15" s="114"/>
      <c r="J15" s="114"/>
    </row>
    <row r="16" spans="1:10" s="16" customFormat="1" ht="23.25" customHeight="1">
      <c r="A16" s="182" t="s">
        <v>295</v>
      </c>
      <c r="B16" s="182"/>
      <c r="C16" s="111" t="s">
        <v>290</v>
      </c>
      <c r="D16" s="227" t="s">
        <v>296</v>
      </c>
      <c r="E16" s="227"/>
      <c r="F16" s="114">
        <v>3.2000000000000002E-3</v>
      </c>
      <c r="G16" s="114">
        <v>3.0000000000000001E-3</v>
      </c>
      <c r="H16" s="114"/>
      <c r="I16" s="114"/>
      <c r="J16" s="114"/>
    </row>
    <row r="17" spans="1:10" s="16" customFormat="1" ht="23.25" customHeight="1">
      <c r="A17" s="182" t="s">
        <v>297</v>
      </c>
      <c r="B17" s="182"/>
      <c r="C17" s="111" t="s">
        <v>290</v>
      </c>
      <c r="D17" s="227" t="s">
        <v>298</v>
      </c>
      <c r="E17" s="227"/>
      <c r="F17" s="114">
        <v>4.2000000000000002E-4</v>
      </c>
      <c r="G17" s="114">
        <v>1E-4</v>
      </c>
      <c r="H17" s="114"/>
      <c r="I17" s="114"/>
      <c r="J17" s="114"/>
    </row>
    <row r="18" spans="1:10" s="16" customFormat="1" ht="23.25" customHeight="1">
      <c r="A18" s="182" t="s">
        <v>299</v>
      </c>
      <c r="B18" s="182"/>
      <c r="C18" s="111" t="s">
        <v>290</v>
      </c>
      <c r="D18" s="227" t="s">
        <v>298</v>
      </c>
      <c r="E18" s="227"/>
      <c r="F18" s="114">
        <v>4.3000000000000002E-5</v>
      </c>
      <c r="G18" s="114">
        <v>2.0000000000000002E-5</v>
      </c>
      <c r="H18" s="114"/>
      <c r="I18" s="114"/>
      <c r="J18" s="114"/>
    </row>
    <row r="19" spans="1:10" s="16" customFormat="1" ht="23.25" customHeight="1">
      <c r="A19" s="182" t="s">
        <v>300</v>
      </c>
      <c r="B19" s="182"/>
      <c r="C19" s="111" t="s">
        <v>290</v>
      </c>
      <c r="D19" s="227" t="s">
        <v>298</v>
      </c>
      <c r="E19" s="227"/>
      <c r="F19" s="114">
        <v>2.8999999999999998E-3</v>
      </c>
      <c r="G19" s="114">
        <v>1E-3</v>
      </c>
      <c r="H19" s="114"/>
      <c r="I19" s="114"/>
      <c r="J19" s="114"/>
    </row>
    <row r="20" spans="1:10" s="16" customFormat="1" ht="23.25" customHeight="1">
      <c r="A20" s="182" t="s">
        <v>301</v>
      </c>
      <c r="B20" s="182"/>
      <c r="C20" s="111" t="s">
        <v>290</v>
      </c>
      <c r="D20" s="227" t="s">
        <v>298</v>
      </c>
      <c r="E20" s="227"/>
      <c r="F20" s="114">
        <v>2.8E-3</v>
      </c>
      <c r="G20" s="114">
        <v>2.0000000000000001E-4</v>
      </c>
      <c r="H20" s="114"/>
      <c r="I20" s="114"/>
      <c r="J20" s="114"/>
    </row>
    <row r="21" spans="1:10" s="16" customFormat="1" ht="23.25" customHeight="1">
      <c r="A21" s="182" t="s">
        <v>302</v>
      </c>
      <c r="B21" s="182"/>
      <c r="C21" s="111" t="s">
        <v>290</v>
      </c>
      <c r="D21" s="227" t="s">
        <v>298</v>
      </c>
      <c r="E21" s="227"/>
      <c r="F21" s="114">
        <v>3.3999999999999998E-3</v>
      </c>
      <c r="G21" s="114">
        <v>2.0000000000000001E-4</v>
      </c>
      <c r="H21" s="114"/>
      <c r="I21" s="114"/>
      <c r="J21" s="114"/>
    </row>
    <row r="22" spans="1:10" s="16" customFormat="1" ht="23.25" customHeight="1">
      <c r="A22" s="182" t="s">
        <v>303</v>
      </c>
      <c r="B22" s="182"/>
      <c r="C22" s="111" t="s">
        <v>290</v>
      </c>
      <c r="D22" s="227" t="s">
        <v>298</v>
      </c>
      <c r="E22" s="227"/>
      <c r="F22" s="114">
        <v>7.9000000000000008E-3</v>
      </c>
      <c r="G22" s="114">
        <v>1E-3</v>
      </c>
      <c r="H22" s="114"/>
      <c r="I22" s="114"/>
      <c r="J22" s="114"/>
    </row>
    <row r="23" spans="1:10" s="16" customFormat="1" ht="23.25" customHeight="1">
      <c r="A23" s="182" t="s">
        <v>304</v>
      </c>
      <c r="B23" s="182"/>
      <c r="C23" s="111" t="s">
        <v>290</v>
      </c>
      <c r="D23" s="227" t="s">
        <v>305</v>
      </c>
      <c r="E23" s="227"/>
      <c r="F23" s="114" t="s">
        <v>306</v>
      </c>
      <c r="G23" s="114" t="s">
        <v>307</v>
      </c>
      <c r="H23" s="114"/>
      <c r="I23" s="114"/>
      <c r="J23" s="114"/>
    </row>
    <row r="24" spans="1:10" s="16" customFormat="1" ht="23.25" customHeight="1">
      <c r="A24" s="182" t="s">
        <v>308</v>
      </c>
      <c r="B24" s="182"/>
      <c r="C24" s="111" t="s">
        <v>290</v>
      </c>
      <c r="D24" s="227" t="s">
        <v>305</v>
      </c>
      <c r="E24" s="227"/>
      <c r="F24" s="114" t="s">
        <v>306</v>
      </c>
      <c r="G24" s="114" t="s">
        <v>307</v>
      </c>
      <c r="H24" s="114"/>
      <c r="I24" s="114"/>
      <c r="J24" s="114"/>
    </row>
    <row r="25" spans="1:10" s="16" customFormat="1" ht="23.25" customHeight="1">
      <c r="A25" s="182" t="s">
        <v>309</v>
      </c>
      <c r="B25" s="182"/>
      <c r="C25" s="111" t="s">
        <v>290</v>
      </c>
      <c r="D25" s="227" t="s">
        <v>310</v>
      </c>
      <c r="E25" s="227"/>
      <c r="F25" s="137">
        <v>0</v>
      </c>
      <c r="G25" s="114" t="s">
        <v>307</v>
      </c>
      <c r="H25" s="114"/>
      <c r="I25" s="114"/>
      <c r="J25" s="114"/>
    </row>
    <row r="26" spans="1:10" s="16" customFormat="1" ht="23.25" customHeight="1">
      <c r="A26" s="182" t="s">
        <v>311</v>
      </c>
      <c r="B26" s="182"/>
      <c r="C26" s="111" t="s">
        <v>290</v>
      </c>
      <c r="D26" s="227" t="s">
        <v>312</v>
      </c>
      <c r="E26" s="227"/>
      <c r="F26" s="137">
        <v>0</v>
      </c>
      <c r="G26" s="114" t="s">
        <v>307</v>
      </c>
      <c r="H26" s="114"/>
      <c r="I26" s="114"/>
      <c r="J26" s="114"/>
    </row>
    <row r="27" spans="1:10" s="16" customFormat="1" ht="23.25" customHeight="1">
      <c r="A27" s="182" t="s">
        <v>313</v>
      </c>
      <c r="B27" s="182"/>
      <c r="C27" s="111" t="s">
        <v>290</v>
      </c>
      <c r="D27" s="227" t="s">
        <v>314</v>
      </c>
      <c r="E27" s="227"/>
      <c r="F27" s="114" t="s">
        <v>306</v>
      </c>
      <c r="G27" s="114" t="s">
        <v>307</v>
      </c>
      <c r="H27" s="114"/>
      <c r="I27" s="114"/>
      <c r="J27" s="114"/>
    </row>
    <row r="28" spans="1:10" s="16" customFormat="1" ht="23.25" customHeight="1">
      <c r="A28" s="182" t="s">
        <v>315</v>
      </c>
      <c r="B28" s="182"/>
      <c r="C28" s="111" t="s">
        <v>290</v>
      </c>
      <c r="D28" s="227" t="s">
        <v>316</v>
      </c>
      <c r="E28" s="227"/>
      <c r="F28" s="114" t="s">
        <v>306</v>
      </c>
      <c r="G28" s="114" t="s">
        <v>307</v>
      </c>
      <c r="H28" s="114"/>
      <c r="I28" s="114"/>
      <c r="J28" s="114"/>
    </row>
    <row r="29" spans="1:10" s="16" customFormat="1" ht="23.25" customHeight="1">
      <c r="A29" s="182" t="s">
        <v>317</v>
      </c>
      <c r="B29" s="182"/>
      <c r="C29" s="111" t="s">
        <v>290</v>
      </c>
      <c r="D29" s="227" t="s">
        <v>318</v>
      </c>
      <c r="E29" s="227"/>
      <c r="F29" s="114">
        <v>0.01</v>
      </c>
      <c r="G29" s="114" t="s">
        <v>307</v>
      </c>
      <c r="H29" s="114"/>
      <c r="I29" s="114"/>
      <c r="J29" s="114"/>
    </row>
    <row r="30" spans="1:10" s="16" customFormat="1" ht="23.25" customHeight="1">
      <c r="A30" s="182" t="s">
        <v>319</v>
      </c>
      <c r="B30" s="182"/>
      <c r="C30" s="111" t="s">
        <v>290</v>
      </c>
      <c r="D30" s="227" t="s">
        <v>320</v>
      </c>
      <c r="E30" s="227"/>
      <c r="F30" s="114" t="s">
        <v>306</v>
      </c>
      <c r="G30" s="114" t="s">
        <v>307</v>
      </c>
      <c r="H30" s="114"/>
      <c r="I30" s="114"/>
      <c r="J30" s="114"/>
    </row>
    <row r="31" spans="1:10" s="16" customFormat="1" ht="23.25" customHeight="1">
      <c r="A31" s="182" t="s">
        <v>321</v>
      </c>
      <c r="B31" s="182"/>
      <c r="C31" s="111" t="s">
        <v>290</v>
      </c>
      <c r="D31" s="227" t="s">
        <v>322</v>
      </c>
      <c r="E31" s="227"/>
      <c r="F31" s="114" t="s">
        <v>306</v>
      </c>
      <c r="G31" s="114" t="s">
        <v>307</v>
      </c>
      <c r="H31" s="114"/>
      <c r="I31" s="114"/>
      <c r="J31" s="114"/>
    </row>
    <row r="32" spans="1:10" s="16" customFormat="1" ht="23.25" customHeight="1">
      <c r="A32" s="182" t="s">
        <v>323</v>
      </c>
      <c r="B32" s="182"/>
      <c r="C32" s="111" t="s">
        <v>290</v>
      </c>
      <c r="D32" s="227" t="s">
        <v>324</v>
      </c>
      <c r="E32" s="227"/>
      <c r="F32" s="114">
        <v>0.01</v>
      </c>
      <c r="G32" s="114" t="s">
        <v>307</v>
      </c>
      <c r="H32" s="114"/>
      <c r="I32" s="114"/>
      <c r="J32" s="114"/>
    </row>
    <row r="33" spans="1:10" s="16" customFormat="1" ht="23.25" customHeight="1">
      <c r="A33" s="182" t="s">
        <v>325</v>
      </c>
      <c r="B33" s="182"/>
      <c r="C33" s="111" t="s">
        <v>290</v>
      </c>
      <c r="D33" s="227" t="s">
        <v>326</v>
      </c>
      <c r="E33" s="227"/>
      <c r="F33" s="114">
        <v>0.01</v>
      </c>
      <c r="G33" s="114" t="s">
        <v>307</v>
      </c>
      <c r="H33" s="114"/>
      <c r="I33" s="114"/>
      <c r="J33" s="114"/>
    </row>
    <row r="34" spans="1:10" s="16" customFormat="1" ht="23.25" customHeight="1">
      <c r="A34" s="182" t="s">
        <v>327</v>
      </c>
      <c r="B34" s="182"/>
      <c r="C34" s="111" t="s">
        <v>290</v>
      </c>
      <c r="D34" s="227" t="s">
        <v>328</v>
      </c>
      <c r="E34" s="227"/>
      <c r="F34" s="114" t="s">
        <v>306</v>
      </c>
      <c r="G34" s="114" t="s">
        <v>307</v>
      </c>
      <c r="H34" s="114"/>
      <c r="I34" s="114"/>
      <c r="J34" s="114"/>
    </row>
    <row r="35" spans="1:10" s="16" customFormat="1" ht="23.25" customHeight="1">
      <c r="A35" s="182" t="s">
        <v>329</v>
      </c>
      <c r="B35" s="182"/>
      <c r="C35" s="111" t="s">
        <v>290</v>
      </c>
      <c r="D35" s="227" t="s">
        <v>330</v>
      </c>
      <c r="E35" s="227"/>
      <c r="F35" s="114">
        <v>0.01</v>
      </c>
      <c r="G35" s="114" t="s">
        <v>307</v>
      </c>
      <c r="H35" s="114"/>
      <c r="I35" s="114"/>
      <c r="J35" s="114"/>
    </row>
    <row r="36" spans="1:10" s="16" customFormat="1" ht="23.25" customHeight="1">
      <c r="A36" s="182" t="s">
        <v>331</v>
      </c>
      <c r="B36" s="182"/>
      <c r="C36" s="111" t="s">
        <v>290</v>
      </c>
      <c r="D36" s="227" t="s">
        <v>332</v>
      </c>
      <c r="E36" s="227"/>
      <c r="F36" s="114">
        <v>0.15</v>
      </c>
      <c r="G36" s="114">
        <v>0.01</v>
      </c>
      <c r="H36" s="114"/>
      <c r="I36" s="114"/>
      <c r="J36" s="114"/>
    </row>
    <row r="37" spans="1:10" s="16" customFormat="1" ht="23.25" customHeight="1">
      <c r="A37" s="182" t="s">
        <v>333</v>
      </c>
      <c r="B37" s="182"/>
      <c r="C37" s="111" t="s">
        <v>290</v>
      </c>
      <c r="D37" s="227" t="s">
        <v>334</v>
      </c>
      <c r="E37" s="227"/>
      <c r="F37" s="114">
        <v>0.01</v>
      </c>
      <c r="G37" s="114" t="s">
        <v>307</v>
      </c>
      <c r="H37" s="114"/>
      <c r="I37" s="114"/>
      <c r="J37" s="114"/>
    </row>
    <row r="38" spans="1:10" s="16" customFormat="1" ht="23.25" customHeight="1">
      <c r="A38" s="182" t="s">
        <v>335</v>
      </c>
      <c r="B38" s="182"/>
      <c r="C38" s="111" t="s">
        <v>290</v>
      </c>
      <c r="D38" s="227" t="s">
        <v>336</v>
      </c>
      <c r="E38" s="227"/>
      <c r="F38" s="114">
        <v>0.64</v>
      </c>
      <c r="G38" s="114">
        <v>0.25</v>
      </c>
      <c r="H38" s="114"/>
      <c r="I38" s="114"/>
      <c r="J38" s="114"/>
    </row>
    <row r="39" spans="1:10">
      <c r="A39" s="213" t="s">
        <v>249</v>
      </c>
      <c r="B39" s="213"/>
      <c r="C39" s="213"/>
      <c r="D39" s="213"/>
      <c r="E39" s="213"/>
      <c r="F39" s="213"/>
      <c r="G39" s="213"/>
      <c r="H39" s="213"/>
      <c r="I39" s="213"/>
      <c r="J39" s="213"/>
    </row>
    <row r="40" spans="1:10">
      <c r="A40" s="214" t="s">
        <v>337</v>
      </c>
      <c r="B40" s="214"/>
      <c r="C40" s="214"/>
      <c r="D40" s="214"/>
      <c r="E40" s="214"/>
      <c r="F40" s="214"/>
      <c r="G40" s="214"/>
      <c r="H40" s="214"/>
      <c r="I40" s="214"/>
      <c r="J40" s="214"/>
    </row>
    <row r="41" spans="1:10">
      <c r="A41" s="214"/>
      <c r="B41" s="214"/>
      <c r="C41" s="214"/>
      <c r="D41" s="214"/>
      <c r="E41" s="214"/>
      <c r="F41" s="214"/>
      <c r="G41" s="214"/>
      <c r="H41" s="214"/>
      <c r="I41" s="214"/>
      <c r="J41" s="214"/>
    </row>
    <row r="64" spans="6:6">
      <c r="F64" s="3"/>
    </row>
  </sheetData>
  <mergeCells count="62">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9:J9"/>
    <mergeCell ref="A6:J7"/>
    <mergeCell ref="A12:B12"/>
    <mergeCell ref="A13:B13"/>
    <mergeCell ref="D12:E12"/>
    <mergeCell ref="D13:E13"/>
    <mergeCell ref="A10:B11"/>
    <mergeCell ref="F10:J10"/>
    <mergeCell ref="D10:E11"/>
    <mergeCell ref="C10:C11"/>
  </mergeCells>
  <phoneticPr fontId="21" type="noConversion"/>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M66"/>
  <sheetViews>
    <sheetView showGridLines="0" zoomScaleNormal="100" workbookViewId="0">
      <selection activeCell="H21" sqref="H21"/>
    </sheetView>
  </sheetViews>
  <sheetFormatPr defaultColWidth="9.140625" defaultRowHeight="15"/>
  <cols>
    <col min="1" max="1" width="21.140625" style="2" customWidth="1"/>
    <col min="2" max="2" width="13.7109375" style="2" customWidth="1"/>
    <col min="3" max="3" width="16.140625" style="2" customWidth="1"/>
    <col min="4" max="12" width="9.140625" style="2"/>
    <col min="13" max="13" width="10.42578125" style="2" customWidth="1"/>
    <col min="14" max="16384" width="9.140625" style="2"/>
  </cols>
  <sheetData>
    <row r="1" spans="1:13">
      <c r="A1" s="2" t="str">
        <f>+'Cover Page'!$B$29</f>
        <v>Annual Performance Report 2022</v>
      </c>
      <c r="I1" s="2" t="str">
        <f>+'Cover Page'!$B$33</f>
        <v>Fine Environmental Services</v>
      </c>
    </row>
    <row r="3" spans="1:13" ht="15.75">
      <c r="A3" s="1" t="s">
        <v>338</v>
      </c>
    </row>
    <row r="4" spans="1:13" ht="15.75">
      <c r="A4" s="1"/>
    </row>
    <row r="5" spans="1:13" s="3" customFormat="1" ht="21.75" customHeight="1">
      <c r="A5" s="98" t="s">
        <v>282</v>
      </c>
      <c r="B5" s="99"/>
      <c r="C5" s="99"/>
      <c r="D5" s="99"/>
      <c r="E5" s="99"/>
      <c r="F5" s="99"/>
      <c r="G5" s="99"/>
      <c r="H5" s="99"/>
      <c r="I5" s="99"/>
      <c r="J5" s="99"/>
      <c r="K5" s="99"/>
      <c r="L5" s="99"/>
      <c r="M5" s="100"/>
    </row>
    <row r="6" spans="1:13" s="3" customFormat="1" ht="15.75" customHeight="1">
      <c r="A6" s="160" t="s">
        <v>339</v>
      </c>
      <c r="B6" s="169"/>
      <c r="C6" s="169"/>
      <c r="D6" s="169"/>
      <c r="E6" s="169"/>
      <c r="F6" s="169"/>
      <c r="G6" s="169"/>
      <c r="H6" s="169"/>
      <c r="I6" s="169"/>
      <c r="J6" s="169"/>
      <c r="K6" s="169"/>
      <c r="L6" s="169"/>
      <c r="M6" s="170"/>
    </row>
    <row r="7" spans="1:13" s="3" customFormat="1" ht="15.75" customHeight="1">
      <c r="A7" s="174"/>
      <c r="B7" s="175"/>
      <c r="C7" s="175"/>
      <c r="D7" s="175"/>
      <c r="E7" s="175"/>
      <c r="F7" s="175"/>
      <c r="G7" s="175"/>
      <c r="H7" s="175"/>
      <c r="I7" s="175"/>
      <c r="J7" s="175"/>
      <c r="K7" s="175"/>
      <c r="L7" s="175"/>
      <c r="M7" s="176"/>
    </row>
    <row r="8" spans="1:13" s="3" customFormat="1" ht="15.75" customHeight="1">
      <c r="A8" s="160" t="s">
        <v>340</v>
      </c>
      <c r="B8" s="161"/>
      <c r="C8" s="161"/>
      <c r="D8" s="161"/>
      <c r="E8" s="161"/>
      <c r="F8" s="161"/>
      <c r="G8" s="161"/>
      <c r="H8" s="161"/>
      <c r="I8" s="161"/>
      <c r="J8" s="161"/>
      <c r="K8" s="161"/>
      <c r="L8" s="161"/>
      <c r="M8" s="162"/>
    </row>
    <row r="9" spans="1:13" s="3" customFormat="1" ht="15.75" customHeight="1">
      <c r="A9" s="166"/>
      <c r="B9" s="167"/>
      <c r="C9" s="167"/>
      <c r="D9" s="167"/>
      <c r="E9" s="167"/>
      <c r="F9" s="167"/>
      <c r="G9" s="167"/>
      <c r="H9" s="167"/>
      <c r="I9" s="167"/>
      <c r="J9" s="167"/>
      <c r="K9" s="167"/>
      <c r="L9" s="167"/>
      <c r="M9" s="168"/>
    </row>
    <row r="10" spans="1:13" s="3" customFormat="1" ht="14.25"/>
    <row r="11" spans="1:13" s="116" customFormat="1" ht="16.5" customHeight="1">
      <c r="A11" s="258" t="s">
        <v>341</v>
      </c>
      <c r="B11" s="258"/>
      <c r="C11" s="258"/>
      <c r="D11" s="258"/>
      <c r="E11" s="258"/>
      <c r="F11" s="258"/>
      <c r="G11" s="258"/>
      <c r="H11" s="258"/>
      <c r="I11" s="258"/>
      <c r="J11" s="258"/>
      <c r="K11" s="258"/>
      <c r="L11" s="258"/>
      <c r="M11" s="258"/>
    </row>
    <row r="12" spans="1:13" s="116" customFormat="1" ht="16.5" customHeight="1">
      <c r="A12" s="296" t="s">
        <v>194</v>
      </c>
      <c r="B12" s="293" t="s">
        <v>342</v>
      </c>
      <c r="C12" s="239" t="s">
        <v>285</v>
      </c>
      <c r="D12" s="261" t="s">
        <v>168</v>
      </c>
      <c r="E12" s="262"/>
      <c r="F12" s="261" t="s">
        <v>169</v>
      </c>
      <c r="G12" s="262"/>
      <c r="H12" s="261" t="s">
        <v>170</v>
      </c>
      <c r="I12" s="262"/>
      <c r="J12" s="261" t="s">
        <v>171</v>
      </c>
      <c r="K12" s="262"/>
      <c r="L12" s="261" t="s">
        <v>172</v>
      </c>
      <c r="M12" s="262"/>
    </row>
    <row r="13" spans="1:13" s="16" customFormat="1" ht="17.25" customHeight="1">
      <c r="A13" s="296"/>
      <c r="B13" s="297"/>
      <c r="C13" s="239"/>
      <c r="D13" s="95" t="s">
        <v>254</v>
      </c>
      <c r="E13" s="118" t="s">
        <v>343</v>
      </c>
      <c r="F13" s="95" t="s">
        <v>254</v>
      </c>
      <c r="G13" s="118" t="s">
        <v>343</v>
      </c>
      <c r="H13" s="95" t="s">
        <v>254</v>
      </c>
      <c r="I13" s="118" t="s">
        <v>343</v>
      </c>
      <c r="J13" s="95" t="s">
        <v>254</v>
      </c>
      <c r="K13" s="118" t="s">
        <v>343</v>
      </c>
      <c r="L13" s="95" t="s">
        <v>254</v>
      </c>
      <c r="M13" s="118" t="s">
        <v>343</v>
      </c>
    </row>
    <row r="14" spans="1:13" s="16" customFormat="1" ht="23.25" customHeight="1">
      <c r="A14" s="182" t="s">
        <v>199</v>
      </c>
      <c r="B14" s="113" t="s">
        <v>344</v>
      </c>
      <c r="C14" s="113" t="s">
        <v>345</v>
      </c>
      <c r="D14" s="114">
        <v>368.7</v>
      </c>
      <c r="E14" s="114">
        <v>248.4</v>
      </c>
      <c r="F14" s="114"/>
      <c r="G14" s="114"/>
      <c r="H14" s="114"/>
      <c r="I14" s="114"/>
      <c r="J14" s="114"/>
      <c r="K14" s="114"/>
      <c r="L14" s="114"/>
      <c r="M14" s="114"/>
    </row>
    <row r="15" spans="1:13" s="16" customFormat="1" ht="23.25" customHeight="1">
      <c r="A15" s="182"/>
      <c r="B15" s="113" t="s">
        <v>346</v>
      </c>
      <c r="C15" s="113" t="s">
        <v>347</v>
      </c>
      <c r="D15" s="114"/>
      <c r="E15" s="114"/>
      <c r="F15" s="114"/>
      <c r="G15" s="114"/>
      <c r="H15" s="114"/>
      <c r="I15" s="114"/>
      <c r="J15" s="114"/>
      <c r="K15" s="114"/>
      <c r="L15" s="114"/>
      <c r="M15" s="114"/>
    </row>
    <row r="16" spans="1:13" s="16" customFormat="1" ht="23.25" customHeight="1">
      <c r="A16" s="79" t="s">
        <v>198</v>
      </c>
      <c r="B16" s="82" t="s">
        <v>344</v>
      </c>
      <c r="C16" s="113" t="s">
        <v>348</v>
      </c>
      <c r="D16" s="114">
        <v>9.0500000000000007</v>
      </c>
      <c r="E16" s="114">
        <v>1.42</v>
      </c>
      <c r="F16" s="114"/>
      <c r="G16" s="114"/>
      <c r="H16" s="114"/>
      <c r="I16" s="114"/>
      <c r="J16" s="114"/>
      <c r="K16" s="114"/>
      <c r="L16" s="114"/>
      <c r="M16" s="114"/>
    </row>
    <row r="17" spans="1:13" s="16" customFormat="1" ht="23.25" customHeight="1">
      <c r="A17" s="79"/>
      <c r="B17" s="113" t="s">
        <v>346</v>
      </c>
      <c r="C17" s="113" t="s">
        <v>349</v>
      </c>
      <c r="D17" s="114">
        <v>15.98</v>
      </c>
      <c r="E17" s="114">
        <v>3.09</v>
      </c>
      <c r="F17" s="114"/>
      <c r="G17" s="114"/>
      <c r="H17" s="114"/>
      <c r="I17" s="114"/>
      <c r="J17" s="114"/>
      <c r="K17" s="114"/>
      <c r="L17" s="114"/>
      <c r="M17" s="114"/>
    </row>
    <row r="18" spans="1:13" s="16" customFormat="1" ht="23.25" customHeight="1">
      <c r="A18" s="79" t="s">
        <v>350</v>
      </c>
      <c r="B18" s="113" t="s">
        <v>344</v>
      </c>
      <c r="C18" s="113" t="s">
        <v>351</v>
      </c>
      <c r="D18" s="114">
        <v>6.07</v>
      </c>
      <c r="E18" s="114">
        <v>1.94</v>
      </c>
      <c r="F18" s="114"/>
      <c r="G18" s="114"/>
      <c r="H18" s="114"/>
      <c r="I18" s="114"/>
      <c r="J18" s="114"/>
      <c r="K18" s="114"/>
      <c r="L18" s="114"/>
      <c r="M18" s="114"/>
    </row>
    <row r="19" spans="1:13" s="16" customFormat="1" ht="23.25" customHeight="1">
      <c r="A19" s="79"/>
      <c r="B19" s="113" t="s">
        <v>346</v>
      </c>
      <c r="C19" s="113" t="s">
        <v>352</v>
      </c>
      <c r="D19" s="114">
        <v>12.46</v>
      </c>
      <c r="E19" s="114">
        <v>3.33</v>
      </c>
      <c r="F19" s="114"/>
      <c r="G19" s="114"/>
      <c r="H19" s="114"/>
      <c r="I19" s="114"/>
      <c r="J19" s="114"/>
      <c r="K19" s="114"/>
      <c r="L19" s="114"/>
      <c r="M19" s="114"/>
    </row>
    <row r="20" spans="1:13" s="16" customFormat="1" ht="23.25" customHeight="1">
      <c r="A20" s="79" t="s">
        <v>353</v>
      </c>
      <c r="B20" s="113" t="s">
        <v>344</v>
      </c>
      <c r="C20" s="113" t="s">
        <v>351</v>
      </c>
      <c r="D20" s="114">
        <v>0.33</v>
      </c>
      <c r="E20" s="114">
        <v>0.03</v>
      </c>
      <c r="F20" s="114"/>
      <c r="G20" s="114"/>
      <c r="H20" s="114"/>
      <c r="I20" s="114"/>
      <c r="J20" s="114"/>
      <c r="K20" s="114"/>
      <c r="L20" s="114"/>
      <c r="M20" s="114"/>
    </row>
    <row r="21" spans="1:13" s="16" customFormat="1" ht="23.25" customHeight="1">
      <c r="A21" s="79"/>
      <c r="B21" s="113" t="s">
        <v>346</v>
      </c>
      <c r="C21" s="113" t="s">
        <v>354</v>
      </c>
      <c r="D21" s="114">
        <v>0.73</v>
      </c>
      <c r="E21" s="114">
        <v>0.08</v>
      </c>
      <c r="F21" s="114"/>
      <c r="G21" s="114"/>
      <c r="H21" s="114"/>
      <c r="I21" s="114"/>
      <c r="J21" s="114"/>
      <c r="K21" s="114"/>
      <c r="L21" s="114"/>
      <c r="M21" s="114"/>
    </row>
    <row r="22" spans="1:13" s="16" customFormat="1" ht="23.25" customHeight="1">
      <c r="A22" s="79" t="s">
        <v>201</v>
      </c>
      <c r="B22" s="113" t="s">
        <v>344</v>
      </c>
      <c r="C22" s="113" t="s">
        <v>355</v>
      </c>
      <c r="D22" s="114">
        <v>3.51</v>
      </c>
      <c r="E22" s="114">
        <v>0.49</v>
      </c>
      <c r="F22" s="114"/>
      <c r="G22" s="114"/>
      <c r="H22" s="114"/>
      <c r="I22" s="114"/>
      <c r="J22" s="114"/>
      <c r="K22" s="114"/>
      <c r="L22" s="114"/>
      <c r="M22" s="114"/>
    </row>
    <row r="23" spans="1:13" s="16" customFormat="1" ht="23.25" customHeight="1">
      <c r="A23" s="79"/>
      <c r="B23" s="113" t="s">
        <v>346</v>
      </c>
      <c r="C23" s="113" t="s">
        <v>345</v>
      </c>
      <c r="D23" s="114">
        <v>4.99</v>
      </c>
      <c r="E23" s="114">
        <v>1.03</v>
      </c>
      <c r="F23" s="114"/>
      <c r="G23" s="114"/>
      <c r="H23" s="114"/>
      <c r="I23" s="114"/>
      <c r="J23" s="114"/>
      <c r="K23" s="114"/>
      <c r="L23" s="114"/>
      <c r="M23" s="114"/>
    </row>
    <row r="24" spans="1:13" s="16" customFormat="1" ht="23.25" customHeight="1">
      <c r="A24" s="79" t="s">
        <v>356</v>
      </c>
      <c r="B24" s="113" t="s">
        <v>344</v>
      </c>
      <c r="C24" s="113" t="s">
        <v>355</v>
      </c>
      <c r="D24" s="114">
        <v>11.41</v>
      </c>
      <c r="E24" s="114">
        <v>2.2400000000000002</v>
      </c>
      <c r="F24" s="114"/>
      <c r="G24" s="114"/>
      <c r="H24" s="114"/>
      <c r="I24" s="114"/>
      <c r="J24" s="114"/>
      <c r="K24" s="114"/>
      <c r="L24" s="114"/>
      <c r="M24" s="114"/>
    </row>
    <row r="25" spans="1:13" s="16" customFormat="1" ht="23.25" customHeight="1">
      <c r="A25" s="79"/>
      <c r="B25" s="114" t="s">
        <v>346</v>
      </c>
      <c r="C25" s="114" t="s">
        <v>357</v>
      </c>
      <c r="D25" s="114">
        <v>101.6</v>
      </c>
      <c r="E25" s="114">
        <v>18.16</v>
      </c>
      <c r="F25" s="114"/>
      <c r="G25" s="114"/>
      <c r="H25" s="114"/>
      <c r="I25" s="114"/>
      <c r="J25" s="114"/>
      <c r="K25" s="114"/>
      <c r="L25" s="114"/>
      <c r="M25" s="114"/>
    </row>
    <row r="26" spans="1:13" s="16" customFormat="1" ht="23.25" customHeight="1">
      <c r="A26" s="79" t="s">
        <v>358</v>
      </c>
      <c r="B26" s="113" t="s">
        <v>344</v>
      </c>
      <c r="C26" s="113" t="s">
        <v>359</v>
      </c>
      <c r="D26" s="114">
        <v>3.03</v>
      </c>
      <c r="E26" s="114">
        <v>0.16</v>
      </c>
      <c r="F26" s="114"/>
      <c r="G26" s="114"/>
      <c r="H26" s="114"/>
      <c r="I26" s="114"/>
      <c r="J26" s="114"/>
      <c r="K26" s="114"/>
      <c r="L26" s="114"/>
      <c r="M26" s="114"/>
    </row>
    <row r="27" spans="1:13">
      <c r="A27" s="295" t="s">
        <v>249</v>
      </c>
      <c r="B27" s="295"/>
      <c r="C27" s="295"/>
      <c r="D27" s="295"/>
      <c r="E27" s="295"/>
      <c r="F27" s="295"/>
      <c r="G27" s="295"/>
      <c r="H27" s="295"/>
      <c r="I27" s="295"/>
      <c r="J27" s="295"/>
      <c r="K27" s="295"/>
      <c r="L27" s="295"/>
      <c r="M27" s="295"/>
    </row>
    <row r="28" spans="1:13">
      <c r="A28" s="259"/>
      <c r="B28" s="259"/>
      <c r="C28" s="259"/>
      <c r="D28" s="259"/>
      <c r="E28" s="259"/>
      <c r="F28" s="259"/>
      <c r="G28" s="259"/>
      <c r="H28" s="259"/>
      <c r="I28" s="259"/>
      <c r="J28" s="259"/>
      <c r="K28" s="259"/>
      <c r="L28" s="259"/>
      <c r="M28" s="259"/>
    </row>
    <row r="29" spans="1:13">
      <c r="A29" s="259"/>
      <c r="B29" s="259"/>
      <c r="C29" s="259"/>
      <c r="D29" s="259"/>
      <c r="E29" s="259"/>
      <c r="F29" s="259"/>
      <c r="G29" s="259"/>
      <c r="H29" s="259"/>
      <c r="I29" s="259"/>
      <c r="J29" s="259"/>
      <c r="K29" s="259"/>
      <c r="L29" s="259"/>
      <c r="M29" s="259"/>
    </row>
    <row r="66" spans="6:6">
      <c r="F66" s="3"/>
    </row>
  </sheetData>
  <mergeCells count="14">
    <mergeCell ref="A27:M27"/>
    <mergeCell ref="A28:M29"/>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O79"/>
  <sheetViews>
    <sheetView showGridLines="0" zoomScaleNormal="100" workbookViewId="0">
      <selection activeCell="N7" sqref="N7:O17"/>
    </sheetView>
  </sheetViews>
  <sheetFormatPr defaultRowHeight="14.25"/>
  <cols>
    <col min="1" max="1" width="14" style="3" customWidth="1"/>
    <col min="2" max="7" width="17" style="77" customWidth="1"/>
    <col min="8" max="11" width="9.140625" style="3"/>
    <col min="12" max="12" width="15.42578125" style="3" customWidth="1"/>
    <col min="13" max="13" width="17.42578125" style="3" bestFit="1" customWidth="1"/>
    <col min="14" max="14" width="13.85546875" style="3" customWidth="1"/>
    <col min="15" max="15" width="15" style="3" customWidth="1"/>
    <col min="16" max="256" width="9.140625" style="3"/>
    <col min="257" max="257" width="14" style="3" customWidth="1"/>
    <col min="258" max="263" width="10.140625" style="3" customWidth="1"/>
    <col min="264" max="512" width="9.140625" style="3"/>
    <col min="513" max="513" width="14" style="3" customWidth="1"/>
    <col min="514" max="519" width="10.140625" style="3" customWidth="1"/>
    <col min="520" max="768" width="9.140625" style="3"/>
    <col min="769" max="769" width="14" style="3" customWidth="1"/>
    <col min="770" max="775" width="10.140625" style="3" customWidth="1"/>
    <col min="776" max="1024" width="9.140625" style="3"/>
    <col min="1025" max="1025" width="14" style="3" customWidth="1"/>
    <col min="1026" max="1031" width="10.140625" style="3" customWidth="1"/>
    <col min="1032" max="1280" width="9.140625" style="3"/>
    <col min="1281" max="1281" width="14" style="3" customWidth="1"/>
    <col min="1282" max="1287" width="10.140625" style="3" customWidth="1"/>
    <col min="1288" max="1536" width="9.140625" style="3"/>
    <col min="1537" max="1537" width="14" style="3" customWidth="1"/>
    <col min="1538" max="1543" width="10.140625" style="3" customWidth="1"/>
    <col min="1544" max="1792" width="9.140625" style="3"/>
    <col min="1793" max="1793" width="14" style="3" customWidth="1"/>
    <col min="1794" max="1799" width="10.140625" style="3" customWidth="1"/>
    <col min="1800" max="2048" width="9.140625" style="3"/>
    <col min="2049" max="2049" width="14" style="3" customWidth="1"/>
    <col min="2050" max="2055" width="10.140625" style="3" customWidth="1"/>
    <col min="2056" max="2304" width="9.140625" style="3"/>
    <col min="2305" max="2305" width="14" style="3" customWidth="1"/>
    <col min="2306" max="2311" width="10.140625" style="3" customWidth="1"/>
    <col min="2312" max="2560" width="9.140625" style="3"/>
    <col min="2561" max="2561" width="14" style="3" customWidth="1"/>
    <col min="2562" max="2567" width="10.140625" style="3" customWidth="1"/>
    <col min="2568" max="2816" width="9.140625" style="3"/>
    <col min="2817" max="2817" width="14" style="3" customWidth="1"/>
    <col min="2818" max="2823" width="10.140625" style="3" customWidth="1"/>
    <col min="2824" max="3072" width="9.140625" style="3"/>
    <col min="3073" max="3073" width="14" style="3" customWidth="1"/>
    <col min="3074" max="3079" width="10.140625" style="3" customWidth="1"/>
    <col min="3080" max="3328" width="9.140625" style="3"/>
    <col min="3329" max="3329" width="14" style="3" customWidth="1"/>
    <col min="3330" max="3335" width="10.140625" style="3" customWidth="1"/>
    <col min="3336" max="3584" width="9.140625" style="3"/>
    <col min="3585" max="3585" width="14" style="3" customWidth="1"/>
    <col min="3586" max="3591" width="10.140625" style="3" customWidth="1"/>
    <col min="3592" max="3840" width="9.140625" style="3"/>
    <col min="3841" max="3841" width="14" style="3" customWidth="1"/>
    <col min="3842" max="3847" width="10.140625" style="3" customWidth="1"/>
    <col min="3848" max="4096" width="9.140625" style="3"/>
    <col min="4097" max="4097" width="14" style="3" customWidth="1"/>
    <col min="4098" max="4103" width="10.140625" style="3" customWidth="1"/>
    <col min="4104" max="4352" width="9.140625" style="3"/>
    <col min="4353" max="4353" width="14" style="3" customWidth="1"/>
    <col min="4354" max="4359" width="10.140625" style="3" customWidth="1"/>
    <col min="4360" max="4608" width="9.140625" style="3"/>
    <col min="4609" max="4609" width="14" style="3" customWidth="1"/>
    <col min="4610" max="4615" width="10.140625" style="3" customWidth="1"/>
    <col min="4616" max="4864" width="9.140625" style="3"/>
    <col min="4865" max="4865" width="14" style="3" customWidth="1"/>
    <col min="4866" max="4871" width="10.140625" style="3" customWidth="1"/>
    <col min="4872" max="5120" width="9.140625" style="3"/>
    <col min="5121" max="5121" width="14" style="3" customWidth="1"/>
    <col min="5122" max="5127" width="10.140625" style="3" customWidth="1"/>
    <col min="5128" max="5376" width="9.140625" style="3"/>
    <col min="5377" max="5377" width="14" style="3" customWidth="1"/>
    <col min="5378" max="5383" width="10.140625" style="3" customWidth="1"/>
    <col min="5384" max="5632" width="9.140625" style="3"/>
    <col min="5633" max="5633" width="14" style="3" customWidth="1"/>
    <col min="5634" max="5639" width="10.140625" style="3" customWidth="1"/>
    <col min="5640" max="5888" width="9.140625" style="3"/>
    <col min="5889" max="5889" width="14" style="3" customWidth="1"/>
    <col min="5890" max="5895" width="10.140625" style="3" customWidth="1"/>
    <col min="5896" max="6144" width="9.140625" style="3"/>
    <col min="6145" max="6145" width="14" style="3" customWidth="1"/>
    <col min="6146" max="6151" width="10.140625" style="3" customWidth="1"/>
    <col min="6152" max="6400" width="9.140625" style="3"/>
    <col min="6401" max="6401" width="14" style="3" customWidth="1"/>
    <col min="6402" max="6407" width="10.140625" style="3" customWidth="1"/>
    <col min="6408" max="6656" width="9.140625" style="3"/>
    <col min="6657" max="6657" width="14" style="3" customWidth="1"/>
    <col min="6658" max="6663" width="10.140625" style="3" customWidth="1"/>
    <col min="6664" max="6912" width="9.140625" style="3"/>
    <col min="6913" max="6913" width="14" style="3" customWidth="1"/>
    <col min="6914" max="6919" width="10.140625" style="3" customWidth="1"/>
    <col min="6920" max="7168" width="9.140625" style="3"/>
    <col min="7169" max="7169" width="14" style="3" customWidth="1"/>
    <col min="7170" max="7175" width="10.140625" style="3" customWidth="1"/>
    <col min="7176" max="7424" width="9.140625" style="3"/>
    <col min="7425" max="7425" width="14" style="3" customWidth="1"/>
    <col min="7426" max="7431" width="10.140625" style="3" customWidth="1"/>
    <col min="7432" max="7680" width="9.140625" style="3"/>
    <col min="7681" max="7681" width="14" style="3" customWidth="1"/>
    <col min="7682" max="7687" width="10.140625" style="3" customWidth="1"/>
    <col min="7688" max="7936" width="9.140625" style="3"/>
    <col min="7937" max="7937" width="14" style="3" customWidth="1"/>
    <col min="7938" max="7943" width="10.140625" style="3" customWidth="1"/>
    <col min="7944" max="8192" width="9.140625" style="3"/>
    <col min="8193" max="8193" width="14" style="3" customWidth="1"/>
    <col min="8194" max="8199" width="10.140625" style="3" customWidth="1"/>
    <col min="8200" max="8448" width="9.140625" style="3"/>
    <col min="8449" max="8449" width="14" style="3" customWidth="1"/>
    <col min="8450" max="8455" width="10.140625" style="3" customWidth="1"/>
    <col min="8456" max="8704" width="9.140625" style="3"/>
    <col min="8705" max="8705" width="14" style="3" customWidth="1"/>
    <col min="8706" max="8711" width="10.140625" style="3" customWidth="1"/>
    <col min="8712" max="8960" width="9.140625" style="3"/>
    <col min="8961" max="8961" width="14" style="3" customWidth="1"/>
    <col min="8962" max="8967" width="10.140625" style="3" customWidth="1"/>
    <col min="8968" max="9216" width="9.140625" style="3"/>
    <col min="9217" max="9217" width="14" style="3" customWidth="1"/>
    <col min="9218" max="9223" width="10.140625" style="3" customWidth="1"/>
    <col min="9224" max="9472" width="9.140625" style="3"/>
    <col min="9473" max="9473" width="14" style="3" customWidth="1"/>
    <col min="9474" max="9479" width="10.140625" style="3" customWidth="1"/>
    <col min="9480" max="9728" width="9.140625" style="3"/>
    <col min="9729" max="9729" width="14" style="3" customWidth="1"/>
    <col min="9730" max="9735" width="10.140625" style="3" customWidth="1"/>
    <col min="9736" max="9984" width="9.140625" style="3"/>
    <col min="9985" max="9985" width="14" style="3" customWidth="1"/>
    <col min="9986" max="9991" width="10.140625" style="3" customWidth="1"/>
    <col min="9992" max="10240" width="9.140625" style="3"/>
    <col min="10241" max="10241" width="14" style="3" customWidth="1"/>
    <col min="10242" max="10247" width="10.140625" style="3" customWidth="1"/>
    <col min="10248" max="10496" width="9.140625" style="3"/>
    <col min="10497" max="10497" width="14" style="3" customWidth="1"/>
    <col min="10498" max="10503" width="10.140625" style="3" customWidth="1"/>
    <col min="10504" max="10752" width="9.140625" style="3"/>
    <col min="10753" max="10753" width="14" style="3" customWidth="1"/>
    <col min="10754" max="10759" width="10.140625" style="3" customWidth="1"/>
    <col min="10760" max="11008" width="9.140625" style="3"/>
    <col min="11009" max="11009" width="14" style="3" customWidth="1"/>
    <col min="11010" max="11015" width="10.140625" style="3" customWidth="1"/>
    <col min="11016" max="11264" width="9.140625" style="3"/>
    <col min="11265" max="11265" width="14" style="3" customWidth="1"/>
    <col min="11266" max="11271" width="10.140625" style="3" customWidth="1"/>
    <col min="11272" max="11520" width="9.140625" style="3"/>
    <col min="11521" max="11521" width="14" style="3" customWidth="1"/>
    <col min="11522" max="11527" width="10.140625" style="3" customWidth="1"/>
    <col min="11528" max="11776" width="9.140625" style="3"/>
    <col min="11777" max="11777" width="14" style="3" customWidth="1"/>
    <col min="11778" max="11783" width="10.140625" style="3" customWidth="1"/>
    <col min="11784" max="12032" width="9.140625" style="3"/>
    <col min="12033" max="12033" width="14" style="3" customWidth="1"/>
    <col min="12034" max="12039" width="10.140625" style="3" customWidth="1"/>
    <col min="12040" max="12288" width="9.140625" style="3"/>
    <col min="12289" max="12289" width="14" style="3" customWidth="1"/>
    <col min="12290" max="12295" width="10.140625" style="3" customWidth="1"/>
    <col min="12296" max="12544" width="9.140625" style="3"/>
    <col min="12545" max="12545" width="14" style="3" customWidth="1"/>
    <col min="12546" max="12551" width="10.140625" style="3" customWidth="1"/>
    <col min="12552" max="12800" width="9.140625" style="3"/>
    <col min="12801" max="12801" width="14" style="3" customWidth="1"/>
    <col min="12802" max="12807" width="10.140625" style="3" customWidth="1"/>
    <col min="12808" max="13056" width="9.140625" style="3"/>
    <col min="13057" max="13057" width="14" style="3" customWidth="1"/>
    <col min="13058" max="13063" width="10.140625" style="3" customWidth="1"/>
    <col min="13064" max="13312" width="9.140625" style="3"/>
    <col min="13313" max="13313" width="14" style="3" customWidth="1"/>
    <col min="13314" max="13319" width="10.140625" style="3" customWidth="1"/>
    <col min="13320" max="13568" width="9.140625" style="3"/>
    <col min="13569" max="13569" width="14" style="3" customWidth="1"/>
    <col min="13570" max="13575" width="10.140625" style="3" customWidth="1"/>
    <col min="13576" max="13824" width="9.140625" style="3"/>
    <col min="13825" max="13825" width="14" style="3" customWidth="1"/>
    <col min="13826" max="13831" width="10.140625" style="3" customWidth="1"/>
    <col min="13832" max="14080" width="9.140625" style="3"/>
    <col min="14081" max="14081" width="14" style="3" customWidth="1"/>
    <col min="14082" max="14087" width="10.140625" style="3" customWidth="1"/>
    <col min="14088" max="14336" width="9.140625" style="3"/>
    <col min="14337" max="14337" width="14" style="3" customWidth="1"/>
    <col min="14338" max="14343" width="10.140625" style="3" customWidth="1"/>
    <col min="14344" max="14592" width="9.140625" style="3"/>
    <col min="14593" max="14593" width="14" style="3" customWidth="1"/>
    <col min="14594" max="14599" width="10.140625" style="3" customWidth="1"/>
    <col min="14600" max="14848" width="9.140625" style="3"/>
    <col min="14849" max="14849" width="14" style="3" customWidth="1"/>
    <col min="14850" max="14855" width="10.140625" style="3" customWidth="1"/>
    <col min="14856" max="15104" width="9.140625" style="3"/>
    <col min="15105" max="15105" width="14" style="3" customWidth="1"/>
    <col min="15106" max="15111" width="10.140625" style="3" customWidth="1"/>
    <col min="15112" max="15360" width="9.140625" style="3"/>
    <col min="15361" max="15361" width="14" style="3" customWidth="1"/>
    <col min="15362" max="15367" width="10.140625" style="3" customWidth="1"/>
    <col min="15368" max="15616" width="9.140625" style="3"/>
    <col min="15617" max="15617" width="14" style="3" customWidth="1"/>
    <col min="15618" max="15623" width="10.140625" style="3" customWidth="1"/>
    <col min="15624" max="15872" width="9.140625" style="3"/>
    <col min="15873" max="15873" width="14" style="3" customWidth="1"/>
    <col min="15874" max="15879" width="10.140625" style="3" customWidth="1"/>
    <col min="15880" max="16128" width="9.140625" style="3"/>
    <col min="16129" max="16129" width="14" style="3" customWidth="1"/>
    <col min="16130" max="16135" width="10.140625" style="3" customWidth="1"/>
    <col min="16136" max="16384" width="9.140625" style="3"/>
  </cols>
  <sheetData>
    <row r="1" spans="1:15" ht="15">
      <c r="A1" s="2" t="str">
        <f>+'Cover Page'!$B$29</f>
        <v>Annual Performance Report 2022</v>
      </c>
      <c r="B1" s="2"/>
      <c r="C1" s="2"/>
      <c r="D1" s="2"/>
      <c r="E1" s="2" t="str">
        <f>+'Cover Page'!$B$33</f>
        <v>Fine Environmental Services</v>
      </c>
      <c r="F1" s="2"/>
      <c r="G1" s="2"/>
    </row>
    <row r="3" spans="1:15" ht="15">
      <c r="A3" s="121" t="s">
        <v>360</v>
      </c>
    </row>
    <row r="5" spans="1:15" ht="17.25">
      <c r="A5" s="129" t="s">
        <v>361</v>
      </c>
      <c r="B5" s="300" t="s">
        <v>362</v>
      </c>
      <c r="C5" s="300"/>
      <c r="D5" s="300"/>
      <c r="E5" s="300" t="s">
        <v>363</v>
      </c>
      <c r="F5" s="300"/>
      <c r="G5" s="300"/>
      <c r="J5" s="299" t="str">
        <f>+A3</f>
        <v>Monitoring of Hydrogen chloride emissions</v>
      </c>
      <c r="K5" s="299"/>
      <c r="L5" s="299"/>
      <c r="M5" s="299"/>
      <c r="N5" s="299"/>
      <c r="O5" s="299"/>
    </row>
    <row r="6" spans="1:15" s="119" customFormat="1" ht="37.5" customHeight="1">
      <c r="A6" s="126">
        <f>+'Cover Page'!C39</f>
        <v>2022</v>
      </c>
      <c r="B6" s="115" t="s">
        <v>364</v>
      </c>
      <c r="C6" s="115" t="s">
        <v>365</v>
      </c>
      <c r="D6" s="115" t="s">
        <v>366</v>
      </c>
      <c r="E6" s="115" t="s">
        <v>367</v>
      </c>
      <c r="F6" s="115" t="s">
        <v>368</v>
      </c>
      <c r="G6" s="115" t="s">
        <v>369</v>
      </c>
      <c r="H6" s="120"/>
      <c r="J6" s="122">
        <f>+A6</f>
        <v>2022</v>
      </c>
      <c r="K6" s="122" t="s">
        <v>370</v>
      </c>
      <c r="L6" s="128" t="s">
        <v>365</v>
      </c>
      <c r="M6" s="128" t="s">
        <v>366</v>
      </c>
      <c r="N6" s="128" t="s">
        <v>368</v>
      </c>
      <c r="O6" s="128" t="s">
        <v>369</v>
      </c>
    </row>
    <row r="7" spans="1:15">
      <c r="A7" s="127" t="s">
        <v>371</v>
      </c>
      <c r="B7" s="124">
        <v>60</v>
      </c>
      <c r="C7" s="125">
        <v>0.04</v>
      </c>
      <c r="D7" s="125">
        <v>0.09</v>
      </c>
      <c r="E7" s="124">
        <v>10</v>
      </c>
      <c r="F7" s="125">
        <v>0.01</v>
      </c>
      <c r="G7" s="125">
        <v>0.02</v>
      </c>
      <c r="J7" s="298" t="s">
        <v>168</v>
      </c>
      <c r="K7" s="127" t="s">
        <v>371</v>
      </c>
      <c r="L7" s="125">
        <v>0.04</v>
      </c>
      <c r="M7" s="125">
        <v>0.09</v>
      </c>
      <c r="N7" s="125">
        <v>0.01</v>
      </c>
      <c r="O7" s="125">
        <v>0.02</v>
      </c>
    </row>
    <row r="8" spans="1:15">
      <c r="A8" s="127" t="s">
        <v>372</v>
      </c>
      <c r="B8" s="124">
        <v>60</v>
      </c>
      <c r="C8" s="125">
        <v>0.1</v>
      </c>
      <c r="D8" s="125">
        <v>0.4</v>
      </c>
      <c r="E8" s="124">
        <v>10</v>
      </c>
      <c r="F8" s="125">
        <v>0.1</v>
      </c>
      <c r="G8" s="125">
        <v>0.2</v>
      </c>
      <c r="J8" s="298"/>
      <c r="K8" s="127" t="s">
        <v>372</v>
      </c>
      <c r="L8" s="125">
        <v>0.1</v>
      </c>
      <c r="M8" s="125">
        <v>0.4</v>
      </c>
      <c r="N8" s="125">
        <v>0.1</v>
      </c>
      <c r="O8" s="125">
        <v>0.2</v>
      </c>
    </row>
    <row r="9" spans="1:15">
      <c r="A9" s="127" t="s">
        <v>373</v>
      </c>
      <c r="B9" s="124">
        <v>60</v>
      </c>
      <c r="C9" s="125">
        <v>0.05</v>
      </c>
      <c r="D9" s="125">
        <v>0.41</v>
      </c>
      <c r="E9" s="124">
        <v>10</v>
      </c>
      <c r="F9" s="125">
        <v>0.05</v>
      </c>
      <c r="G9" s="125">
        <v>0.16</v>
      </c>
      <c r="J9" s="298"/>
      <c r="K9" s="127" t="s">
        <v>373</v>
      </c>
      <c r="L9" s="125">
        <v>0.05</v>
      </c>
      <c r="M9" s="125">
        <v>0.41</v>
      </c>
      <c r="N9" s="125">
        <v>0.05</v>
      </c>
      <c r="O9" s="125">
        <v>0.16</v>
      </c>
    </row>
    <row r="10" spans="1:15">
      <c r="A10" s="127" t="s">
        <v>374</v>
      </c>
      <c r="B10" s="124">
        <v>60</v>
      </c>
      <c r="C10" s="125">
        <v>0.04</v>
      </c>
      <c r="D10" s="125">
        <v>0.48</v>
      </c>
      <c r="E10" s="124">
        <v>10</v>
      </c>
      <c r="F10" s="125">
        <v>0.1</v>
      </c>
      <c r="G10" s="125">
        <v>0.2</v>
      </c>
      <c r="J10" s="298"/>
      <c r="K10" s="127" t="s">
        <v>374</v>
      </c>
      <c r="L10" s="125">
        <v>0.04</v>
      </c>
      <c r="M10" s="125">
        <v>0.48</v>
      </c>
      <c r="N10" s="125">
        <v>0.1</v>
      </c>
      <c r="O10" s="125">
        <v>0.2</v>
      </c>
    </row>
    <row r="11" spans="1:15">
      <c r="A11" s="127" t="s">
        <v>375</v>
      </c>
      <c r="B11" s="124">
        <v>60</v>
      </c>
      <c r="C11" s="125">
        <v>0.01</v>
      </c>
      <c r="D11" s="125">
        <v>0.2</v>
      </c>
      <c r="E11" s="124">
        <v>10</v>
      </c>
      <c r="F11" s="125">
        <v>0.01</v>
      </c>
      <c r="G11" s="125">
        <v>0.08</v>
      </c>
      <c r="J11" s="298"/>
      <c r="K11" s="127" t="s">
        <v>375</v>
      </c>
      <c r="L11" s="125">
        <v>0.01</v>
      </c>
      <c r="M11" s="125">
        <v>0.2</v>
      </c>
      <c r="N11" s="125">
        <v>0.01</v>
      </c>
      <c r="O11" s="125">
        <v>0.08</v>
      </c>
    </row>
    <row r="12" spans="1:15">
      <c r="A12" s="127" t="s">
        <v>376</v>
      </c>
      <c r="B12" s="124">
        <v>60</v>
      </c>
      <c r="C12" s="125">
        <v>0.05</v>
      </c>
      <c r="D12" s="125">
        <v>0.73</v>
      </c>
      <c r="E12" s="124">
        <v>10</v>
      </c>
      <c r="F12" s="125">
        <v>0.05</v>
      </c>
      <c r="G12" s="125">
        <v>0.33</v>
      </c>
      <c r="J12" s="298"/>
      <c r="K12" s="127" t="s">
        <v>376</v>
      </c>
      <c r="L12" s="125">
        <v>0.05</v>
      </c>
      <c r="M12" s="125">
        <v>0.73</v>
      </c>
      <c r="N12" s="125">
        <v>0.05</v>
      </c>
      <c r="O12" s="125">
        <v>0.33</v>
      </c>
    </row>
    <row r="13" spans="1:15">
      <c r="A13" s="127" t="s">
        <v>377</v>
      </c>
      <c r="B13" s="124">
        <v>60</v>
      </c>
      <c r="C13" s="125">
        <v>0</v>
      </c>
      <c r="D13" s="125">
        <v>0.1</v>
      </c>
      <c r="E13" s="124">
        <v>10</v>
      </c>
      <c r="F13" s="125">
        <v>0</v>
      </c>
      <c r="G13" s="125">
        <v>0.03</v>
      </c>
      <c r="J13" s="298"/>
      <c r="K13" s="127" t="s">
        <v>377</v>
      </c>
      <c r="L13" s="125">
        <v>0</v>
      </c>
      <c r="M13" s="125">
        <v>0.1</v>
      </c>
      <c r="N13" s="125">
        <v>0</v>
      </c>
      <c r="O13" s="125">
        <v>0.03</v>
      </c>
    </row>
    <row r="14" spans="1:15">
      <c r="A14" s="127" t="s">
        <v>378</v>
      </c>
      <c r="B14" s="124">
        <v>60</v>
      </c>
      <c r="C14" s="125">
        <v>0.01</v>
      </c>
      <c r="D14" s="125">
        <v>0.31</v>
      </c>
      <c r="E14" s="124">
        <v>10</v>
      </c>
      <c r="F14" s="125">
        <v>0.01</v>
      </c>
      <c r="G14" s="125">
        <v>0.13</v>
      </c>
      <c r="J14" s="298"/>
      <c r="K14" s="127" t="s">
        <v>378</v>
      </c>
      <c r="L14" s="125">
        <v>0.01</v>
      </c>
      <c r="M14" s="125">
        <v>0.31</v>
      </c>
      <c r="N14" s="125">
        <v>0.01</v>
      </c>
      <c r="O14" s="125">
        <v>0.13</v>
      </c>
    </row>
    <row r="15" spans="1:15">
      <c r="A15" s="127" t="s">
        <v>379</v>
      </c>
      <c r="B15" s="124">
        <v>60</v>
      </c>
      <c r="C15" s="125">
        <v>0.01</v>
      </c>
      <c r="D15" s="125">
        <v>0.28999999999999998</v>
      </c>
      <c r="E15" s="124">
        <v>10</v>
      </c>
      <c r="F15" s="125">
        <v>0.01</v>
      </c>
      <c r="G15" s="125">
        <v>0.08</v>
      </c>
      <c r="J15" s="298"/>
      <c r="K15" s="127" t="s">
        <v>379</v>
      </c>
      <c r="L15" s="125">
        <v>0.01</v>
      </c>
      <c r="M15" s="125">
        <v>0.28999999999999998</v>
      </c>
      <c r="N15" s="125">
        <v>0.01</v>
      </c>
      <c r="O15" s="125">
        <v>0.08</v>
      </c>
    </row>
    <row r="16" spans="1:15">
      <c r="A16" s="127" t="s">
        <v>380</v>
      </c>
      <c r="B16" s="124">
        <v>60</v>
      </c>
      <c r="C16" s="125">
        <v>0.02</v>
      </c>
      <c r="D16" s="125">
        <v>0.17</v>
      </c>
      <c r="E16" s="124">
        <v>10</v>
      </c>
      <c r="F16" s="125">
        <v>0.03</v>
      </c>
      <c r="G16" s="125">
        <v>0.13</v>
      </c>
      <c r="J16" s="298"/>
      <c r="K16" s="127" t="s">
        <v>380</v>
      </c>
      <c r="L16" s="125">
        <v>0.02</v>
      </c>
      <c r="M16" s="125">
        <v>0.17</v>
      </c>
      <c r="N16" s="125">
        <v>0.03</v>
      </c>
      <c r="O16" s="125">
        <v>0.13</v>
      </c>
    </row>
    <row r="17" spans="1:15">
      <c r="A17" s="127" t="s">
        <v>381</v>
      </c>
      <c r="B17" s="124">
        <v>60</v>
      </c>
      <c r="C17" s="125">
        <v>0.22</v>
      </c>
      <c r="D17" s="125">
        <v>0.66</v>
      </c>
      <c r="E17" s="124">
        <v>10</v>
      </c>
      <c r="F17" s="125">
        <v>0.21</v>
      </c>
      <c r="G17" s="125">
        <v>0.37</v>
      </c>
      <c r="J17" s="298"/>
      <c r="K17" s="127" t="s">
        <v>381</v>
      </c>
      <c r="L17" s="125">
        <v>0.22</v>
      </c>
      <c r="M17" s="125">
        <v>0.66</v>
      </c>
      <c r="N17" s="125">
        <v>0.21</v>
      </c>
      <c r="O17" s="125">
        <v>0.37</v>
      </c>
    </row>
    <row r="18" spans="1:15">
      <c r="A18" s="127" t="s">
        <v>382</v>
      </c>
      <c r="B18" s="124">
        <v>60</v>
      </c>
      <c r="C18" s="125"/>
      <c r="D18" s="125"/>
      <c r="E18" s="124">
        <v>10</v>
      </c>
      <c r="F18" s="125"/>
      <c r="G18" s="125"/>
      <c r="J18" s="298"/>
      <c r="K18" s="127" t="s">
        <v>382</v>
      </c>
      <c r="L18" s="125"/>
      <c r="M18" s="125"/>
      <c r="N18" s="125"/>
      <c r="O18" s="125"/>
    </row>
    <row r="19" spans="1:15">
      <c r="J19" s="298"/>
      <c r="K19" s="123" t="s">
        <v>383</v>
      </c>
      <c r="L19" s="123">
        <f>AVERAGE(L7:L18)</f>
        <v>0.05</v>
      </c>
      <c r="M19" s="123">
        <f>MAX(M7:M18)</f>
        <v>0.73</v>
      </c>
      <c r="N19" s="123">
        <f>AVERAGE(N7:N18)</f>
        <v>5.2727272727272727E-2</v>
      </c>
      <c r="O19" s="123">
        <f>MAX(O7:O18)</f>
        <v>0.37</v>
      </c>
    </row>
    <row r="21" spans="1:15" ht="30">
      <c r="J21" s="122">
        <f>+A6</f>
        <v>2022</v>
      </c>
      <c r="K21" s="122" t="s">
        <v>370</v>
      </c>
      <c r="L21" s="128" t="s">
        <v>365</v>
      </c>
      <c r="M21" s="128" t="s">
        <v>366</v>
      </c>
      <c r="N21" s="128" t="s">
        <v>368</v>
      </c>
      <c r="O21" s="128" t="s">
        <v>369</v>
      </c>
    </row>
    <row r="22" spans="1:15">
      <c r="J22" s="298" t="s">
        <v>169</v>
      </c>
      <c r="K22" s="127" t="s">
        <v>371</v>
      </c>
      <c r="L22" s="125"/>
      <c r="M22" s="125"/>
      <c r="N22" s="125"/>
      <c r="O22" s="125"/>
    </row>
    <row r="23" spans="1:15">
      <c r="J23" s="298"/>
      <c r="K23" s="127" t="s">
        <v>372</v>
      </c>
      <c r="L23" s="125"/>
      <c r="M23" s="125"/>
      <c r="N23" s="125"/>
      <c r="O23" s="125"/>
    </row>
    <row r="24" spans="1:15">
      <c r="J24" s="298"/>
      <c r="K24" s="127" t="s">
        <v>373</v>
      </c>
      <c r="L24" s="125"/>
      <c r="M24" s="125"/>
      <c r="N24" s="125"/>
      <c r="O24" s="125"/>
    </row>
    <row r="25" spans="1:15">
      <c r="J25" s="298"/>
      <c r="K25" s="127" t="s">
        <v>374</v>
      </c>
      <c r="L25" s="125"/>
      <c r="M25" s="125"/>
      <c r="N25" s="125"/>
      <c r="O25" s="125"/>
    </row>
    <row r="26" spans="1:15">
      <c r="J26" s="298"/>
      <c r="K26" s="127" t="s">
        <v>375</v>
      </c>
      <c r="L26" s="125"/>
      <c r="M26" s="125"/>
      <c r="N26" s="125"/>
      <c r="O26" s="125"/>
    </row>
    <row r="27" spans="1:15">
      <c r="J27" s="298"/>
      <c r="K27" s="127" t="s">
        <v>376</v>
      </c>
      <c r="L27" s="125"/>
      <c r="M27" s="125"/>
      <c r="N27" s="125"/>
      <c r="O27" s="125"/>
    </row>
    <row r="28" spans="1:15">
      <c r="J28" s="298"/>
      <c r="K28" s="127" t="s">
        <v>377</v>
      </c>
      <c r="L28" s="125"/>
      <c r="M28" s="125"/>
      <c r="N28" s="125"/>
      <c r="O28" s="125"/>
    </row>
    <row r="29" spans="1:15">
      <c r="J29" s="298"/>
      <c r="K29" s="127" t="s">
        <v>378</v>
      </c>
      <c r="L29" s="125"/>
      <c r="M29" s="125"/>
      <c r="N29" s="125"/>
      <c r="O29" s="125"/>
    </row>
    <row r="30" spans="1:15">
      <c r="J30" s="298"/>
      <c r="K30" s="127" t="s">
        <v>379</v>
      </c>
      <c r="L30" s="125"/>
      <c r="M30" s="125"/>
      <c r="N30" s="125"/>
      <c r="O30" s="125"/>
    </row>
    <row r="31" spans="1:15">
      <c r="J31" s="298"/>
      <c r="K31" s="127" t="s">
        <v>380</v>
      </c>
      <c r="L31" s="125"/>
      <c r="M31" s="125"/>
      <c r="N31" s="125"/>
      <c r="O31" s="125"/>
    </row>
    <row r="32" spans="1:15">
      <c r="J32" s="298"/>
      <c r="K32" s="127" t="s">
        <v>381</v>
      </c>
      <c r="L32" s="125"/>
      <c r="M32" s="125"/>
      <c r="N32" s="125"/>
      <c r="O32" s="125"/>
    </row>
    <row r="33" spans="1:15">
      <c r="J33" s="298"/>
      <c r="K33" s="127" t="s">
        <v>382</v>
      </c>
      <c r="L33" s="125"/>
      <c r="M33" s="125"/>
      <c r="N33" s="125"/>
      <c r="O33" s="125"/>
    </row>
    <row r="34" spans="1:15">
      <c r="J34" s="298"/>
      <c r="K34" s="123" t="s">
        <v>383</v>
      </c>
      <c r="L34" s="123" t="e">
        <f>AVERAGE(L22:L33)</f>
        <v>#DIV/0!</v>
      </c>
      <c r="M34" s="123">
        <f>MAX(M22:M33)</f>
        <v>0</v>
      </c>
      <c r="N34" s="123" t="e">
        <f>AVERAGE(N22:N33)</f>
        <v>#DIV/0!</v>
      </c>
      <c r="O34" s="123">
        <f>MAX(O22:O33)</f>
        <v>0</v>
      </c>
    </row>
    <row r="36" spans="1:15" ht="30">
      <c r="J36" s="122">
        <f>+A6</f>
        <v>2022</v>
      </c>
      <c r="K36" s="122" t="s">
        <v>370</v>
      </c>
      <c r="L36" s="128" t="s">
        <v>365</v>
      </c>
      <c r="M36" s="128" t="s">
        <v>366</v>
      </c>
      <c r="N36" s="128" t="s">
        <v>368</v>
      </c>
      <c r="O36" s="128" t="s">
        <v>369</v>
      </c>
    </row>
    <row r="37" spans="1:15">
      <c r="J37" s="298" t="s">
        <v>170</v>
      </c>
      <c r="K37" s="127" t="s">
        <v>371</v>
      </c>
      <c r="L37" s="125"/>
      <c r="M37" s="125"/>
      <c r="N37" s="125"/>
      <c r="O37" s="125"/>
    </row>
    <row r="38" spans="1:15">
      <c r="J38" s="298"/>
      <c r="K38" s="127" t="s">
        <v>372</v>
      </c>
      <c r="L38" s="125"/>
      <c r="M38" s="125"/>
      <c r="N38" s="125"/>
      <c r="O38" s="125"/>
    </row>
    <row r="39" spans="1:15">
      <c r="J39" s="298"/>
      <c r="K39" s="127" t="s">
        <v>373</v>
      </c>
      <c r="L39" s="125"/>
      <c r="M39" s="125"/>
      <c r="N39" s="125"/>
      <c r="O39" s="125"/>
    </row>
    <row r="40" spans="1:15">
      <c r="J40" s="298"/>
      <c r="K40" s="127" t="s">
        <v>374</v>
      </c>
      <c r="L40" s="125"/>
      <c r="M40" s="125"/>
      <c r="N40" s="125"/>
      <c r="O40" s="125"/>
    </row>
    <row r="41" spans="1:15">
      <c r="J41" s="298"/>
      <c r="K41" s="127" t="s">
        <v>375</v>
      </c>
      <c r="L41" s="125"/>
      <c r="M41" s="125"/>
      <c r="N41" s="125"/>
      <c r="O41" s="125"/>
    </row>
    <row r="42" spans="1:15">
      <c r="J42" s="298"/>
      <c r="K42" s="127" t="s">
        <v>376</v>
      </c>
      <c r="L42" s="125"/>
      <c r="M42" s="125"/>
      <c r="N42" s="125"/>
      <c r="O42" s="125"/>
    </row>
    <row r="43" spans="1:15">
      <c r="J43" s="298"/>
      <c r="K43" s="127" t="s">
        <v>377</v>
      </c>
      <c r="L43" s="125"/>
      <c r="M43" s="125"/>
      <c r="N43" s="125"/>
      <c r="O43" s="125"/>
    </row>
    <row r="44" spans="1:15">
      <c r="J44" s="298"/>
      <c r="K44" s="127" t="s">
        <v>378</v>
      </c>
      <c r="L44" s="125"/>
      <c r="M44" s="125"/>
      <c r="N44" s="125"/>
      <c r="O44" s="125"/>
    </row>
    <row r="45" spans="1:15">
      <c r="J45" s="298"/>
      <c r="K45" s="127" t="s">
        <v>379</v>
      </c>
      <c r="L45" s="125"/>
      <c r="M45" s="125"/>
      <c r="N45" s="125"/>
      <c r="O45" s="125"/>
    </row>
    <row r="46" spans="1:15">
      <c r="J46" s="298"/>
      <c r="K46" s="127" t="s">
        <v>380</v>
      </c>
      <c r="L46" s="125"/>
      <c r="M46" s="125"/>
      <c r="N46" s="125"/>
      <c r="O46" s="125"/>
    </row>
    <row r="47" spans="1:15">
      <c r="J47" s="298"/>
      <c r="K47" s="127" t="s">
        <v>381</v>
      </c>
      <c r="L47" s="125"/>
      <c r="M47" s="125"/>
      <c r="N47" s="125"/>
      <c r="O47" s="125"/>
    </row>
    <row r="48" spans="1:15" ht="15">
      <c r="A48" s="310" t="s">
        <v>249</v>
      </c>
      <c r="B48" s="311"/>
      <c r="C48" s="311"/>
      <c r="D48" s="311"/>
      <c r="E48" s="311"/>
      <c r="F48" s="311"/>
      <c r="G48" s="312"/>
      <c r="J48" s="298"/>
      <c r="K48" s="127" t="s">
        <v>382</v>
      </c>
      <c r="L48" s="125"/>
      <c r="M48" s="125"/>
      <c r="N48" s="125"/>
      <c r="O48" s="125"/>
    </row>
    <row r="49" spans="1:15">
      <c r="A49" s="301" t="s">
        <v>384</v>
      </c>
      <c r="B49" s="302"/>
      <c r="C49" s="302"/>
      <c r="D49" s="302"/>
      <c r="E49" s="302"/>
      <c r="F49" s="302"/>
      <c r="G49" s="303"/>
      <c r="J49" s="298"/>
      <c r="K49" s="123" t="s">
        <v>383</v>
      </c>
      <c r="L49" s="123" t="e">
        <f>AVERAGE(L37:L48)</f>
        <v>#DIV/0!</v>
      </c>
      <c r="M49" s="123">
        <f>MAX(M37:M48)</f>
        <v>0</v>
      </c>
      <c r="N49" s="123" t="e">
        <f>AVERAGE(N37:N48)</f>
        <v>#DIV/0!</v>
      </c>
      <c r="O49" s="123">
        <f>MAX(O37:O48)</f>
        <v>0</v>
      </c>
    </row>
    <row r="50" spans="1:15">
      <c r="A50" s="304"/>
      <c r="B50" s="305"/>
      <c r="C50" s="305"/>
      <c r="D50" s="305"/>
      <c r="E50" s="305"/>
      <c r="F50" s="305"/>
      <c r="G50" s="306"/>
    </row>
    <row r="51" spans="1:15" ht="30">
      <c r="A51" s="304"/>
      <c r="B51" s="305"/>
      <c r="C51" s="305"/>
      <c r="D51" s="305"/>
      <c r="E51" s="305"/>
      <c r="F51" s="305"/>
      <c r="G51" s="306"/>
      <c r="J51" s="122">
        <f>+A6</f>
        <v>2022</v>
      </c>
      <c r="K51" s="122" t="s">
        <v>370</v>
      </c>
      <c r="L51" s="128" t="s">
        <v>365</v>
      </c>
      <c r="M51" s="128" t="s">
        <v>366</v>
      </c>
      <c r="N51" s="128" t="s">
        <v>368</v>
      </c>
      <c r="O51" s="128" t="s">
        <v>369</v>
      </c>
    </row>
    <row r="52" spans="1:15">
      <c r="A52" s="307"/>
      <c r="B52" s="308"/>
      <c r="C52" s="308"/>
      <c r="D52" s="308"/>
      <c r="E52" s="308"/>
      <c r="F52" s="308"/>
      <c r="G52" s="309"/>
      <c r="J52" s="298" t="s">
        <v>171</v>
      </c>
      <c r="K52" s="127" t="s">
        <v>371</v>
      </c>
      <c r="L52" s="125"/>
      <c r="M52" s="125"/>
      <c r="N52" s="125"/>
      <c r="O52" s="125"/>
    </row>
    <row r="53" spans="1:15">
      <c r="J53" s="298"/>
      <c r="K53" s="127" t="s">
        <v>372</v>
      </c>
      <c r="L53" s="125"/>
      <c r="M53" s="125"/>
      <c r="N53" s="125"/>
      <c r="O53" s="125"/>
    </row>
    <row r="54" spans="1:15">
      <c r="J54" s="298"/>
      <c r="K54" s="127" t="s">
        <v>373</v>
      </c>
      <c r="L54" s="125"/>
      <c r="M54" s="125"/>
      <c r="N54" s="125"/>
      <c r="O54" s="125"/>
    </row>
    <row r="55" spans="1:15">
      <c r="J55" s="298"/>
      <c r="K55" s="127" t="s">
        <v>374</v>
      </c>
      <c r="L55" s="125"/>
      <c r="M55" s="125"/>
      <c r="N55" s="125"/>
      <c r="O55" s="125"/>
    </row>
    <row r="56" spans="1:15">
      <c r="J56" s="298"/>
      <c r="K56" s="127" t="s">
        <v>375</v>
      </c>
      <c r="L56" s="125"/>
      <c r="M56" s="125"/>
      <c r="N56" s="125"/>
      <c r="O56" s="125"/>
    </row>
    <row r="57" spans="1:15">
      <c r="J57" s="298"/>
      <c r="K57" s="127" t="s">
        <v>376</v>
      </c>
      <c r="L57" s="125"/>
      <c r="M57" s="125"/>
      <c r="N57" s="125"/>
      <c r="O57" s="125"/>
    </row>
    <row r="58" spans="1:15">
      <c r="J58" s="298"/>
      <c r="K58" s="127" t="s">
        <v>377</v>
      </c>
      <c r="L58" s="125"/>
      <c r="M58" s="125"/>
      <c r="N58" s="125"/>
      <c r="O58" s="125"/>
    </row>
    <row r="59" spans="1:15">
      <c r="J59" s="298"/>
      <c r="K59" s="127" t="s">
        <v>378</v>
      </c>
      <c r="L59" s="125"/>
      <c r="M59" s="125"/>
      <c r="N59" s="125"/>
      <c r="O59" s="125"/>
    </row>
    <row r="60" spans="1:15">
      <c r="J60" s="298"/>
      <c r="K60" s="127" t="s">
        <v>379</v>
      </c>
      <c r="L60" s="125"/>
      <c r="M60" s="125"/>
      <c r="N60" s="125"/>
      <c r="O60" s="125"/>
    </row>
    <row r="61" spans="1:15">
      <c r="J61" s="298"/>
      <c r="K61" s="127" t="s">
        <v>380</v>
      </c>
      <c r="L61" s="125"/>
      <c r="M61" s="125"/>
      <c r="N61" s="125"/>
      <c r="O61" s="125"/>
    </row>
    <row r="62" spans="1:15">
      <c r="J62" s="298"/>
      <c r="K62" s="127" t="s">
        <v>381</v>
      </c>
      <c r="L62" s="125"/>
      <c r="M62" s="125"/>
      <c r="N62" s="125"/>
      <c r="O62" s="125"/>
    </row>
    <row r="63" spans="1:15">
      <c r="J63" s="298"/>
      <c r="K63" s="127" t="s">
        <v>382</v>
      </c>
      <c r="L63" s="125"/>
      <c r="M63" s="125"/>
      <c r="N63" s="125"/>
      <c r="O63" s="125"/>
    </row>
    <row r="64" spans="1:15">
      <c r="J64" s="298"/>
      <c r="K64" s="123" t="s">
        <v>383</v>
      </c>
      <c r="L64" s="123" t="e">
        <f>AVERAGE(L52:L63)</f>
        <v>#DIV/0!</v>
      </c>
      <c r="M64" s="123">
        <f>MAX(M52:M63)</f>
        <v>0</v>
      </c>
      <c r="N64" s="123" t="e">
        <f>AVERAGE(N52:N63)</f>
        <v>#DIV/0!</v>
      </c>
      <c r="O64" s="123">
        <f>MAX(O52:O63)</f>
        <v>0</v>
      </c>
    </row>
    <row r="66" spans="10:15" ht="30">
      <c r="J66" s="122">
        <f>+A6</f>
        <v>2022</v>
      </c>
      <c r="K66" s="122" t="s">
        <v>370</v>
      </c>
      <c r="L66" s="128" t="s">
        <v>365</v>
      </c>
      <c r="M66" s="128" t="s">
        <v>366</v>
      </c>
      <c r="N66" s="128" t="s">
        <v>368</v>
      </c>
      <c r="O66" s="128" t="s">
        <v>369</v>
      </c>
    </row>
    <row r="67" spans="10:15">
      <c r="J67" s="298" t="s">
        <v>172</v>
      </c>
      <c r="K67" s="127" t="s">
        <v>371</v>
      </c>
      <c r="L67" s="125"/>
      <c r="M67" s="125"/>
      <c r="N67" s="125"/>
      <c r="O67" s="125"/>
    </row>
    <row r="68" spans="10:15">
      <c r="J68" s="298"/>
      <c r="K68" s="127" t="s">
        <v>372</v>
      </c>
      <c r="L68" s="125"/>
      <c r="M68" s="125"/>
      <c r="N68" s="125"/>
      <c r="O68" s="125"/>
    </row>
    <row r="69" spans="10:15">
      <c r="J69" s="298"/>
      <c r="K69" s="127" t="s">
        <v>373</v>
      </c>
      <c r="L69" s="125"/>
      <c r="M69" s="125"/>
      <c r="N69" s="125"/>
      <c r="O69" s="125"/>
    </row>
    <row r="70" spans="10:15">
      <c r="J70" s="298"/>
      <c r="K70" s="127" t="s">
        <v>374</v>
      </c>
      <c r="L70" s="125"/>
      <c r="M70" s="125"/>
      <c r="N70" s="125"/>
      <c r="O70" s="125"/>
    </row>
    <row r="71" spans="10:15">
      <c r="J71" s="298"/>
      <c r="K71" s="127" t="s">
        <v>375</v>
      </c>
      <c r="L71" s="125"/>
      <c r="M71" s="125"/>
      <c r="N71" s="125"/>
      <c r="O71" s="125"/>
    </row>
    <row r="72" spans="10:15">
      <c r="J72" s="298"/>
      <c r="K72" s="127" t="s">
        <v>376</v>
      </c>
      <c r="L72" s="125"/>
      <c r="M72" s="125"/>
      <c r="N72" s="125"/>
      <c r="O72" s="125"/>
    </row>
    <row r="73" spans="10:15">
      <c r="J73" s="298"/>
      <c r="K73" s="127" t="s">
        <v>377</v>
      </c>
      <c r="L73" s="125"/>
      <c r="M73" s="125"/>
      <c r="N73" s="125"/>
      <c r="O73" s="125"/>
    </row>
    <row r="74" spans="10:15">
      <c r="J74" s="298"/>
      <c r="K74" s="127" t="s">
        <v>378</v>
      </c>
      <c r="L74" s="125"/>
      <c r="M74" s="125"/>
      <c r="N74" s="125"/>
      <c r="O74" s="125"/>
    </row>
    <row r="75" spans="10:15">
      <c r="J75" s="298"/>
      <c r="K75" s="127" t="s">
        <v>379</v>
      </c>
      <c r="L75" s="125"/>
      <c r="M75" s="125"/>
      <c r="N75" s="125"/>
      <c r="O75" s="125"/>
    </row>
    <row r="76" spans="10:15">
      <c r="J76" s="298"/>
      <c r="K76" s="127" t="s">
        <v>380</v>
      </c>
      <c r="L76" s="125"/>
      <c r="M76" s="125"/>
      <c r="N76" s="125"/>
      <c r="O76" s="125"/>
    </row>
    <row r="77" spans="10:15">
      <c r="J77" s="298"/>
      <c r="K77" s="127" t="s">
        <v>381</v>
      </c>
      <c r="L77" s="125"/>
      <c r="M77" s="125"/>
      <c r="N77" s="125"/>
      <c r="O77" s="125"/>
    </row>
    <row r="78" spans="10:15">
      <c r="J78" s="298"/>
      <c r="K78" s="127" t="s">
        <v>382</v>
      </c>
      <c r="L78" s="125"/>
      <c r="M78" s="125"/>
      <c r="N78" s="125"/>
      <c r="O78" s="125"/>
    </row>
    <row r="79" spans="10:15">
      <c r="J79" s="298"/>
      <c r="K79" s="123" t="s">
        <v>383</v>
      </c>
      <c r="L79" s="123" t="e">
        <f>AVERAGE(L67:L78)</f>
        <v>#DIV/0!</v>
      </c>
      <c r="M79" s="123">
        <f>MAX(M67:M78)</f>
        <v>0</v>
      </c>
      <c r="N79" s="123" t="e">
        <f>AVERAGE(N67:N78)</f>
        <v>#DIV/0!</v>
      </c>
      <c r="O79" s="123">
        <f>MAX(O67:O78)</f>
        <v>0</v>
      </c>
    </row>
  </sheetData>
  <mergeCells count="10">
    <mergeCell ref="J52:J64"/>
    <mergeCell ref="J67:J79"/>
    <mergeCell ref="J5:O5"/>
    <mergeCell ref="B5:D5"/>
    <mergeCell ref="E5:G5"/>
    <mergeCell ref="A49:G52"/>
    <mergeCell ref="A48:G48"/>
    <mergeCell ref="J7:J19"/>
    <mergeCell ref="J22:J34"/>
    <mergeCell ref="J37:J49"/>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O79"/>
  <sheetViews>
    <sheetView showGridLines="0" zoomScaleNormal="100" workbookViewId="0">
      <selection activeCell="N7" sqref="N7:O17"/>
    </sheetView>
  </sheetViews>
  <sheetFormatPr defaultRowHeight="14.25"/>
  <cols>
    <col min="1" max="1" width="14" style="3" customWidth="1"/>
    <col min="2" max="4" width="17" style="77" customWidth="1"/>
    <col min="5" max="5" width="14.85546875" style="77" customWidth="1"/>
    <col min="6" max="7" width="17" style="77" customWidth="1"/>
    <col min="8" max="11" width="9.140625" style="3"/>
    <col min="12" max="12" width="15.42578125" style="3" customWidth="1"/>
    <col min="13" max="13" width="17.42578125" style="3" bestFit="1" customWidth="1"/>
    <col min="14" max="14" width="13.85546875" style="3" customWidth="1"/>
    <col min="15" max="15" width="15" style="3" customWidth="1"/>
    <col min="16" max="256" width="9.140625" style="3"/>
    <col min="257" max="257" width="14" style="3" customWidth="1"/>
    <col min="258" max="263" width="10.140625" style="3" customWidth="1"/>
    <col min="264" max="512" width="9.140625" style="3"/>
    <col min="513" max="513" width="14" style="3" customWidth="1"/>
    <col min="514" max="519" width="10.140625" style="3" customWidth="1"/>
    <col min="520" max="768" width="9.140625" style="3"/>
    <col min="769" max="769" width="14" style="3" customWidth="1"/>
    <col min="770" max="775" width="10.140625" style="3" customWidth="1"/>
    <col min="776" max="1024" width="9.140625" style="3"/>
    <col min="1025" max="1025" width="14" style="3" customWidth="1"/>
    <col min="1026" max="1031" width="10.140625" style="3" customWidth="1"/>
    <col min="1032" max="1280" width="9.140625" style="3"/>
    <col min="1281" max="1281" width="14" style="3" customWidth="1"/>
    <col min="1282" max="1287" width="10.140625" style="3" customWidth="1"/>
    <col min="1288" max="1536" width="9.140625" style="3"/>
    <col min="1537" max="1537" width="14" style="3" customWidth="1"/>
    <col min="1538" max="1543" width="10.140625" style="3" customWidth="1"/>
    <col min="1544" max="1792" width="9.140625" style="3"/>
    <col min="1793" max="1793" width="14" style="3" customWidth="1"/>
    <col min="1794" max="1799" width="10.140625" style="3" customWidth="1"/>
    <col min="1800" max="2048" width="9.140625" style="3"/>
    <col min="2049" max="2049" width="14" style="3" customWidth="1"/>
    <col min="2050" max="2055" width="10.140625" style="3" customWidth="1"/>
    <col min="2056" max="2304" width="9.140625" style="3"/>
    <col min="2305" max="2305" width="14" style="3" customWidth="1"/>
    <col min="2306" max="2311" width="10.140625" style="3" customWidth="1"/>
    <col min="2312" max="2560" width="9.140625" style="3"/>
    <col min="2561" max="2561" width="14" style="3" customWidth="1"/>
    <col min="2562" max="2567" width="10.140625" style="3" customWidth="1"/>
    <col min="2568" max="2816" width="9.140625" style="3"/>
    <col min="2817" max="2817" width="14" style="3" customWidth="1"/>
    <col min="2818" max="2823" width="10.140625" style="3" customWidth="1"/>
    <col min="2824" max="3072" width="9.140625" style="3"/>
    <col min="3073" max="3073" width="14" style="3" customWidth="1"/>
    <col min="3074" max="3079" width="10.140625" style="3" customWidth="1"/>
    <col min="3080" max="3328" width="9.140625" style="3"/>
    <col min="3329" max="3329" width="14" style="3" customWidth="1"/>
    <col min="3330" max="3335" width="10.140625" style="3" customWidth="1"/>
    <col min="3336" max="3584" width="9.140625" style="3"/>
    <col min="3585" max="3585" width="14" style="3" customWidth="1"/>
    <col min="3586" max="3591" width="10.140625" style="3" customWidth="1"/>
    <col min="3592" max="3840" width="9.140625" style="3"/>
    <col min="3841" max="3841" width="14" style="3" customWidth="1"/>
    <col min="3842" max="3847" width="10.140625" style="3" customWidth="1"/>
    <col min="3848" max="4096" width="9.140625" style="3"/>
    <col min="4097" max="4097" width="14" style="3" customWidth="1"/>
    <col min="4098" max="4103" width="10.140625" style="3" customWidth="1"/>
    <col min="4104" max="4352" width="9.140625" style="3"/>
    <col min="4353" max="4353" width="14" style="3" customWidth="1"/>
    <col min="4354" max="4359" width="10.140625" style="3" customWidth="1"/>
    <col min="4360" max="4608" width="9.140625" style="3"/>
    <col min="4609" max="4609" width="14" style="3" customWidth="1"/>
    <col min="4610" max="4615" width="10.140625" style="3" customWidth="1"/>
    <col min="4616" max="4864" width="9.140625" style="3"/>
    <col min="4865" max="4865" width="14" style="3" customWidth="1"/>
    <col min="4866" max="4871" width="10.140625" style="3" customWidth="1"/>
    <col min="4872" max="5120" width="9.140625" style="3"/>
    <col min="5121" max="5121" width="14" style="3" customWidth="1"/>
    <col min="5122" max="5127" width="10.140625" style="3" customWidth="1"/>
    <col min="5128" max="5376" width="9.140625" style="3"/>
    <col min="5377" max="5377" width="14" style="3" customWidth="1"/>
    <col min="5378" max="5383" width="10.140625" style="3" customWidth="1"/>
    <col min="5384" max="5632" width="9.140625" style="3"/>
    <col min="5633" max="5633" width="14" style="3" customWidth="1"/>
    <col min="5634" max="5639" width="10.140625" style="3" customWidth="1"/>
    <col min="5640" max="5888" width="9.140625" style="3"/>
    <col min="5889" max="5889" width="14" style="3" customWidth="1"/>
    <col min="5890" max="5895" width="10.140625" style="3" customWidth="1"/>
    <col min="5896" max="6144" width="9.140625" style="3"/>
    <col min="6145" max="6145" width="14" style="3" customWidth="1"/>
    <col min="6146" max="6151" width="10.140625" style="3" customWidth="1"/>
    <col min="6152" max="6400" width="9.140625" style="3"/>
    <col min="6401" max="6401" width="14" style="3" customWidth="1"/>
    <col min="6402" max="6407" width="10.140625" style="3" customWidth="1"/>
    <col min="6408" max="6656" width="9.140625" style="3"/>
    <col min="6657" max="6657" width="14" style="3" customWidth="1"/>
    <col min="6658" max="6663" width="10.140625" style="3" customWidth="1"/>
    <col min="6664" max="6912" width="9.140625" style="3"/>
    <col min="6913" max="6913" width="14" style="3" customWidth="1"/>
    <col min="6914" max="6919" width="10.140625" style="3" customWidth="1"/>
    <col min="6920" max="7168" width="9.140625" style="3"/>
    <col min="7169" max="7169" width="14" style="3" customWidth="1"/>
    <col min="7170" max="7175" width="10.140625" style="3" customWidth="1"/>
    <col min="7176" max="7424" width="9.140625" style="3"/>
    <col min="7425" max="7425" width="14" style="3" customWidth="1"/>
    <col min="7426" max="7431" width="10.140625" style="3" customWidth="1"/>
    <col min="7432" max="7680" width="9.140625" style="3"/>
    <col min="7681" max="7681" width="14" style="3" customWidth="1"/>
    <col min="7682" max="7687" width="10.140625" style="3" customWidth="1"/>
    <col min="7688" max="7936" width="9.140625" style="3"/>
    <col min="7937" max="7937" width="14" style="3" customWidth="1"/>
    <col min="7938" max="7943" width="10.140625" style="3" customWidth="1"/>
    <col min="7944" max="8192" width="9.140625" style="3"/>
    <col min="8193" max="8193" width="14" style="3" customWidth="1"/>
    <col min="8194" max="8199" width="10.140625" style="3" customWidth="1"/>
    <col min="8200" max="8448" width="9.140625" style="3"/>
    <col min="8449" max="8449" width="14" style="3" customWidth="1"/>
    <col min="8450" max="8455" width="10.140625" style="3" customWidth="1"/>
    <col min="8456" max="8704" width="9.140625" style="3"/>
    <col min="8705" max="8705" width="14" style="3" customWidth="1"/>
    <col min="8706" max="8711" width="10.140625" style="3" customWidth="1"/>
    <col min="8712" max="8960" width="9.140625" style="3"/>
    <col min="8961" max="8961" width="14" style="3" customWidth="1"/>
    <col min="8962" max="8967" width="10.140625" style="3" customWidth="1"/>
    <col min="8968" max="9216" width="9.140625" style="3"/>
    <col min="9217" max="9217" width="14" style="3" customWidth="1"/>
    <col min="9218" max="9223" width="10.140625" style="3" customWidth="1"/>
    <col min="9224" max="9472" width="9.140625" style="3"/>
    <col min="9473" max="9473" width="14" style="3" customWidth="1"/>
    <col min="9474" max="9479" width="10.140625" style="3" customWidth="1"/>
    <col min="9480" max="9728" width="9.140625" style="3"/>
    <col min="9729" max="9729" width="14" style="3" customWidth="1"/>
    <col min="9730" max="9735" width="10.140625" style="3" customWidth="1"/>
    <col min="9736" max="9984" width="9.140625" style="3"/>
    <col min="9985" max="9985" width="14" style="3" customWidth="1"/>
    <col min="9986" max="9991" width="10.140625" style="3" customWidth="1"/>
    <col min="9992" max="10240" width="9.140625" style="3"/>
    <col min="10241" max="10241" width="14" style="3" customWidth="1"/>
    <col min="10242" max="10247" width="10.140625" style="3" customWidth="1"/>
    <col min="10248" max="10496" width="9.140625" style="3"/>
    <col min="10497" max="10497" width="14" style="3" customWidth="1"/>
    <col min="10498" max="10503" width="10.140625" style="3" customWidth="1"/>
    <col min="10504" max="10752" width="9.140625" style="3"/>
    <col min="10753" max="10753" width="14" style="3" customWidth="1"/>
    <col min="10754" max="10759" width="10.140625" style="3" customWidth="1"/>
    <col min="10760" max="11008" width="9.140625" style="3"/>
    <col min="11009" max="11009" width="14" style="3" customWidth="1"/>
    <col min="11010" max="11015" width="10.140625" style="3" customWidth="1"/>
    <col min="11016" max="11264" width="9.140625" style="3"/>
    <col min="11265" max="11265" width="14" style="3" customWidth="1"/>
    <col min="11266" max="11271" width="10.140625" style="3" customWidth="1"/>
    <col min="11272" max="11520" width="9.140625" style="3"/>
    <col min="11521" max="11521" width="14" style="3" customWidth="1"/>
    <col min="11522" max="11527" width="10.140625" style="3" customWidth="1"/>
    <col min="11528" max="11776" width="9.140625" style="3"/>
    <col min="11777" max="11777" width="14" style="3" customWidth="1"/>
    <col min="11778" max="11783" width="10.140625" style="3" customWidth="1"/>
    <col min="11784" max="12032" width="9.140625" style="3"/>
    <col min="12033" max="12033" width="14" style="3" customWidth="1"/>
    <col min="12034" max="12039" width="10.140625" style="3" customWidth="1"/>
    <col min="12040" max="12288" width="9.140625" style="3"/>
    <col min="12289" max="12289" width="14" style="3" customWidth="1"/>
    <col min="12290" max="12295" width="10.140625" style="3" customWidth="1"/>
    <col min="12296" max="12544" width="9.140625" style="3"/>
    <col min="12545" max="12545" width="14" style="3" customWidth="1"/>
    <col min="12546" max="12551" width="10.140625" style="3" customWidth="1"/>
    <col min="12552" max="12800" width="9.140625" style="3"/>
    <col min="12801" max="12801" width="14" style="3" customWidth="1"/>
    <col min="12802" max="12807" width="10.140625" style="3" customWidth="1"/>
    <col min="12808" max="13056" width="9.140625" style="3"/>
    <col min="13057" max="13057" width="14" style="3" customWidth="1"/>
    <col min="13058" max="13063" width="10.140625" style="3" customWidth="1"/>
    <col min="13064" max="13312" width="9.140625" style="3"/>
    <col min="13313" max="13313" width="14" style="3" customWidth="1"/>
    <col min="13314" max="13319" width="10.140625" style="3" customWidth="1"/>
    <col min="13320" max="13568" width="9.140625" style="3"/>
    <col min="13569" max="13569" width="14" style="3" customWidth="1"/>
    <col min="13570" max="13575" width="10.140625" style="3" customWidth="1"/>
    <col min="13576" max="13824" width="9.140625" style="3"/>
    <col min="13825" max="13825" width="14" style="3" customWidth="1"/>
    <col min="13826" max="13831" width="10.140625" style="3" customWidth="1"/>
    <col min="13832" max="14080" width="9.140625" style="3"/>
    <col min="14081" max="14081" width="14" style="3" customWidth="1"/>
    <col min="14082" max="14087" width="10.140625" style="3" customWidth="1"/>
    <col min="14088" max="14336" width="9.140625" style="3"/>
    <col min="14337" max="14337" width="14" style="3" customWidth="1"/>
    <col min="14338" max="14343" width="10.140625" style="3" customWidth="1"/>
    <col min="14344" max="14592" width="9.140625" style="3"/>
    <col min="14593" max="14593" width="14" style="3" customWidth="1"/>
    <col min="14594" max="14599" width="10.140625" style="3" customWidth="1"/>
    <col min="14600" max="14848" width="9.140625" style="3"/>
    <col min="14849" max="14849" width="14" style="3" customWidth="1"/>
    <col min="14850" max="14855" width="10.140625" style="3" customWidth="1"/>
    <col min="14856" max="15104" width="9.140625" style="3"/>
    <col min="15105" max="15105" width="14" style="3" customWidth="1"/>
    <col min="15106" max="15111" width="10.140625" style="3" customWidth="1"/>
    <col min="15112" max="15360" width="9.140625" style="3"/>
    <col min="15361" max="15361" width="14" style="3" customWidth="1"/>
    <col min="15362" max="15367" width="10.140625" style="3" customWidth="1"/>
    <col min="15368" max="15616" width="9.140625" style="3"/>
    <col min="15617" max="15617" width="14" style="3" customWidth="1"/>
    <col min="15618" max="15623" width="10.140625" style="3" customWidth="1"/>
    <col min="15624" max="15872" width="9.140625" style="3"/>
    <col min="15873" max="15873" width="14" style="3" customWidth="1"/>
    <col min="15874" max="15879" width="10.140625" style="3" customWidth="1"/>
    <col min="15880" max="16128" width="9.140625" style="3"/>
    <col min="16129" max="16129" width="14" style="3" customWidth="1"/>
    <col min="16130" max="16135" width="10.140625" style="3" customWidth="1"/>
    <col min="16136" max="16384" width="9.140625" style="3"/>
  </cols>
  <sheetData>
    <row r="1" spans="1:15" ht="15">
      <c r="A1" s="2" t="str">
        <f>+'Cover Page'!$B$29</f>
        <v>Annual Performance Report 2022</v>
      </c>
      <c r="B1" s="2"/>
      <c r="C1" s="2"/>
      <c r="D1" s="2"/>
      <c r="E1" s="2" t="str">
        <f>+'Cover Page'!$B$33</f>
        <v>Fine Environmental Services</v>
      </c>
      <c r="F1" s="2"/>
      <c r="G1" s="2"/>
    </row>
    <row r="3" spans="1:15" ht="15">
      <c r="A3" s="121" t="s">
        <v>385</v>
      </c>
    </row>
    <row r="5" spans="1:15" ht="17.25">
      <c r="A5" s="129" t="s">
        <v>361</v>
      </c>
      <c r="B5" s="300" t="s">
        <v>362</v>
      </c>
      <c r="C5" s="300"/>
      <c r="D5" s="300"/>
      <c r="E5" s="300" t="s">
        <v>363</v>
      </c>
      <c r="F5" s="300"/>
      <c r="G5" s="300"/>
      <c r="J5" s="299" t="str">
        <f>+A3</f>
        <v>Monitoring of Sulphur dioxide emissions</v>
      </c>
      <c r="K5" s="299"/>
      <c r="L5" s="299"/>
      <c r="M5" s="299"/>
      <c r="N5" s="299"/>
      <c r="O5" s="299"/>
    </row>
    <row r="6" spans="1:15" s="119" customFormat="1" ht="37.5" customHeight="1">
      <c r="A6" s="126">
        <f>+'Cover Page'!C39</f>
        <v>2022</v>
      </c>
      <c r="B6" s="115" t="s">
        <v>386</v>
      </c>
      <c r="C6" s="115" t="s">
        <v>365</v>
      </c>
      <c r="D6" s="115" t="s">
        <v>366</v>
      </c>
      <c r="E6" s="115" t="s">
        <v>387</v>
      </c>
      <c r="F6" s="115" t="s">
        <v>368</v>
      </c>
      <c r="G6" s="115" t="s">
        <v>369</v>
      </c>
      <c r="H6" s="120"/>
      <c r="J6" s="122">
        <f>+A6</f>
        <v>2022</v>
      </c>
      <c r="K6" s="122" t="s">
        <v>370</v>
      </c>
      <c r="L6" s="128" t="s">
        <v>365</v>
      </c>
      <c r="M6" s="128" t="s">
        <v>366</v>
      </c>
      <c r="N6" s="128" t="s">
        <v>368</v>
      </c>
      <c r="O6" s="128" t="s">
        <v>369</v>
      </c>
    </row>
    <row r="7" spans="1:15">
      <c r="A7" s="127" t="s">
        <v>371</v>
      </c>
      <c r="B7" s="124">
        <v>200</v>
      </c>
      <c r="C7" s="125">
        <v>0.08</v>
      </c>
      <c r="D7" s="125">
        <v>0.61</v>
      </c>
      <c r="E7" s="124">
        <v>50</v>
      </c>
      <c r="F7" s="125">
        <v>0.06</v>
      </c>
      <c r="G7" s="125">
        <v>0.16</v>
      </c>
      <c r="J7" s="298" t="s">
        <v>168</v>
      </c>
      <c r="K7" s="127" t="s">
        <v>371</v>
      </c>
      <c r="L7" s="125">
        <v>0.08</v>
      </c>
      <c r="M7" s="125">
        <v>0.61</v>
      </c>
      <c r="N7" s="125">
        <v>0.06</v>
      </c>
      <c r="O7" s="125">
        <v>0.16</v>
      </c>
    </row>
    <row r="8" spans="1:15">
      <c r="A8" s="127" t="s">
        <v>372</v>
      </c>
      <c r="B8" s="124">
        <v>200</v>
      </c>
      <c r="C8" s="125">
        <v>0.4</v>
      </c>
      <c r="D8" s="125">
        <v>1.8</v>
      </c>
      <c r="E8" s="124">
        <v>50</v>
      </c>
      <c r="F8" s="125">
        <v>0.3</v>
      </c>
      <c r="G8" s="125">
        <v>0.9</v>
      </c>
      <c r="J8" s="298"/>
      <c r="K8" s="127" t="s">
        <v>372</v>
      </c>
      <c r="L8" s="125">
        <v>0.4</v>
      </c>
      <c r="M8" s="125">
        <v>1.8</v>
      </c>
      <c r="N8" s="125">
        <v>0.3</v>
      </c>
      <c r="O8" s="125">
        <v>0.9</v>
      </c>
    </row>
    <row r="9" spans="1:15">
      <c r="A9" s="127" t="s">
        <v>373</v>
      </c>
      <c r="B9" s="124">
        <v>200</v>
      </c>
      <c r="C9" s="125">
        <v>0.31</v>
      </c>
      <c r="D9" s="125">
        <v>1.45</v>
      </c>
      <c r="E9" s="124">
        <v>50</v>
      </c>
      <c r="F9" s="125">
        <v>0.3</v>
      </c>
      <c r="G9" s="125">
        <v>0.73</v>
      </c>
      <c r="J9" s="298"/>
      <c r="K9" s="127" t="s">
        <v>373</v>
      </c>
      <c r="L9" s="125">
        <v>0.31</v>
      </c>
      <c r="M9" s="125">
        <v>1.45</v>
      </c>
      <c r="N9" s="125">
        <v>0.3</v>
      </c>
      <c r="O9" s="125">
        <v>0.73</v>
      </c>
    </row>
    <row r="10" spans="1:15">
      <c r="A10" s="127" t="s">
        <v>374</v>
      </c>
      <c r="B10" s="124">
        <v>200</v>
      </c>
      <c r="C10" s="125">
        <v>0.44</v>
      </c>
      <c r="D10" s="125">
        <v>2.2599999999999998</v>
      </c>
      <c r="E10" s="124">
        <v>50</v>
      </c>
      <c r="F10" s="125">
        <v>0.4</v>
      </c>
      <c r="G10" s="125">
        <v>1.59</v>
      </c>
      <c r="J10" s="298"/>
      <c r="K10" s="127" t="s">
        <v>374</v>
      </c>
      <c r="L10" s="125">
        <v>0.44</v>
      </c>
      <c r="M10" s="125">
        <v>2.2599999999999998</v>
      </c>
      <c r="N10" s="125">
        <v>0.4</v>
      </c>
      <c r="O10" s="125">
        <v>1.59</v>
      </c>
    </row>
    <row r="11" spans="1:15">
      <c r="A11" s="127" t="s">
        <v>375</v>
      </c>
      <c r="B11" s="124">
        <v>200</v>
      </c>
      <c r="C11" s="125">
        <v>0.5</v>
      </c>
      <c r="D11" s="125">
        <v>2.17</v>
      </c>
      <c r="E11" s="124">
        <v>50</v>
      </c>
      <c r="F11" s="125">
        <v>0.5</v>
      </c>
      <c r="G11" s="125">
        <v>1.24</v>
      </c>
      <c r="J11" s="298"/>
      <c r="K11" s="127" t="s">
        <v>375</v>
      </c>
      <c r="L11" s="125">
        <v>0.5</v>
      </c>
      <c r="M11" s="125">
        <v>2.17</v>
      </c>
      <c r="N11" s="125">
        <v>0.5</v>
      </c>
      <c r="O11" s="125">
        <v>1.24</v>
      </c>
    </row>
    <row r="12" spans="1:15">
      <c r="A12" s="127" t="s">
        <v>376</v>
      </c>
      <c r="B12" s="124">
        <v>200</v>
      </c>
      <c r="C12" s="125">
        <v>0.48</v>
      </c>
      <c r="D12" s="125">
        <v>2.13</v>
      </c>
      <c r="E12" s="124">
        <v>50</v>
      </c>
      <c r="F12" s="125">
        <v>0.47</v>
      </c>
      <c r="G12" s="125">
        <v>1.41</v>
      </c>
      <c r="J12" s="298"/>
      <c r="K12" s="127" t="s">
        <v>376</v>
      </c>
      <c r="L12" s="125">
        <v>0.48</v>
      </c>
      <c r="M12" s="125">
        <v>2.13</v>
      </c>
      <c r="N12" s="125">
        <v>0.47</v>
      </c>
      <c r="O12" s="125">
        <v>1.41</v>
      </c>
    </row>
    <row r="13" spans="1:15">
      <c r="A13" s="127" t="s">
        <v>377</v>
      </c>
      <c r="B13" s="124">
        <v>200</v>
      </c>
      <c r="C13" s="125">
        <v>0.39</v>
      </c>
      <c r="D13" s="125">
        <v>1.85</v>
      </c>
      <c r="E13" s="124">
        <v>50</v>
      </c>
      <c r="F13" s="125">
        <v>0.39</v>
      </c>
      <c r="G13" s="125">
        <v>0.95</v>
      </c>
      <c r="J13" s="298"/>
      <c r="K13" s="127" t="s">
        <v>377</v>
      </c>
      <c r="L13" s="125">
        <v>0.39</v>
      </c>
      <c r="M13" s="125">
        <v>1.85</v>
      </c>
      <c r="N13" s="125">
        <v>0.39</v>
      </c>
      <c r="O13" s="125">
        <v>0.95</v>
      </c>
    </row>
    <row r="14" spans="1:15">
      <c r="A14" s="127" t="s">
        <v>378</v>
      </c>
      <c r="B14" s="124">
        <v>200</v>
      </c>
      <c r="C14" s="125">
        <v>0.81</v>
      </c>
      <c r="D14" s="125">
        <v>4.99</v>
      </c>
      <c r="E14" s="124">
        <v>50</v>
      </c>
      <c r="F14" s="125">
        <v>0.81</v>
      </c>
      <c r="G14" s="125">
        <v>3.51</v>
      </c>
      <c r="J14" s="298"/>
      <c r="K14" s="127" t="s">
        <v>378</v>
      </c>
      <c r="L14" s="125">
        <v>0.81</v>
      </c>
      <c r="M14" s="125">
        <v>4.99</v>
      </c>
      <c r="N14" s="125">
        <v>0.81</v>
      </c>
      <c r="O14" s="125">
        <v>3.51</v>
      </c>
    </row>
    <row r="15" spans="1:15">
      <c r="A15" s="127" t="s">
        <v>379</v>
      </c>
      <c r="B15" s="124">
        <v>200</v>
      </c>
      <c r="C15" s="125">
        <v>0.54</v>
      </c>
      <c r="D15" s="125">
        <v>2.2400000000000002</v>
      </c>
      <c r="E15" s="124">
        <v>50</v>
      </c>
      <c r="F15" s="125">
        <v>0.61</v>
      </c>
      <c r="G15" s="125">
        <v>1.42</v>
      </c>
      <c r="J15" s="298"/>
      <c r="K15" s="127" t="s">
        <v>379</v>
      </c>
      <c r="L15" s="125">
        <v>0.54</v>
      </c>
      <c r="M15" s="125">
        <v>2.2400000000000002</v>
      </c>
      <c r="N15" s="125">
        <v>0.61</v>
      </c>
      <c r="O15" s="125">
        <v>1.42</v>
      </c>
    </row>
    <row r="16" spans="1:15">
      <c r="A16" s="127" t="s">
        <v>380</v>
      </c>
      <c r="B16" s="124">
        <v>200</v>
      </c>
      <c r="C16" s="125">
        <v>0.64</v>
      </c>
      <c r="D16" s="125">
        <v>2.88</v>
      </c>
      <c r="E16" s="124">
        <v>50</v>
      </c>
      <c r="F16" s="125">
        <v>0.61</v>
      </c>
      <c r="G16" s="125">
        <v>1.17</v>
      </c>
      <c r="J16" s="298"/>
      <c r="K16" s="127" t="s">
        <v>380</v>
      </c>
      <c r="L16" s="125">
        <v>0.64</v>
      </c>
      <c r="M16" s="125">
        <v>2.88</v>
      </c>
      <c r="N16" s="125">
        <v>0.61</v>
      </c>
      <c r="O16" s="125">
        <v>1.17</v>
      </c>
    </row>
    <row r="17" spans="1:15">
      <c r="A17" s="127" t="s">
        <v>381</v>
      </c>
      <c r="B17" s="124">
        <v>200</v>
      </c>
      <c r="C17" s="125">
        <v>0.38</v>
      </c>
      <c r="D17" s="125">
        <v>0.97</v>
      </c>
      <c r="E17" s="124">
        <v>50</v>
      </c>
      <c r="F17" s="125">
        <v>0.39</v>
      </c>
      <c r="G17" s="125">
        <v>0.66</v>
      </c>
      <c r="J17" s="298"/>
      <c r="K17" s="127" t="s">
        <v>381</v>
      </c>
      <c r="L17" s="125">
        <v>0.38</v>
      </c>
      <c r="M17" s="125">
        <v>0.97</v>
      </c>
      <c r="N17" s="125">
        <v>0.39</v>
      </c>
      <c r="O17" s="125">
        <v>0.66</v>
      </c>
    </row>
    <row r="18" spans="1:15">
      <c r="A18" s="127" t="s">
        <v>382</v>
      </c>
      <c r="B18" s="124">
        <v>200</v>
      </c>
      <c r="C18" s="125"/>
      <c r="D18" s="125"/>
      <c r="E18" s="124">
        <v>50</v>
      </c>
      <c r="F18" s="125"/>
      <c r="G18" s="125"/>
      <c r="J18" s="298"/>
      <c r="K18" s="127" t="s">
        <v>382</v>
      </c>
      <c r="L18" s="125"/>
      <c r="M18" s="125"/>
      <c r="N18" s="125"/>
      <c r="O18" s="125"/>
    </row>
    <row r="19" spans="1:15">
      <c r="J19" s="298"/>
      <c r="K19" s="123" t="s">
        <v>383</v>
      </c>
      <c r="L19" s="123">
        <f>AVERAGE(L7:L18)</f>
        <v>0.45181818181818179</v>
      </c>
      <c r="M19" s="123">
        <f>MAX(M7:M18)</f>
        <v>4.99</v>
      </c>
      <c r="N19" s="123">
        <f>AVERAGE(N7:N18)</f>
        <v>0.44</v>
      </c>
      <c r="O19" s="123">
        <f>MAX(O7:O18)</f>
        <v>3.51</v>
      </c>
    </row>
    <row r="21" spans="1:15" ht="30">
      <c r="J21" s="122">
        <f>+A6</f>
        <v>2022</v>
      </c>
      <c r="K21" s="122" t="s">
        <v>370</v>
      </c>
      <c r="L21" s="128" t="s">
        <v>365</v>
      </c>
      <c r="M21" s="128" t="s">
        <v>366</v>
      </c>
      <c r="N21" s="128" t="s">
        <v>368</v>
      </c>
      <c r="O21" s="128" t="s">
        <v>369</v>
      </c>
    </row>
    <row r="22" spans="1:15">
      <c r="J22" s="298" t="s">
        <v>169</v>
      </c>
      <c r="K22" s="127" t="s">
        <v>371</v>
      </c>
      <c r="L22" s="125"/>
      <c r="M22" s="125"/>
      <c r="N22" s="125"/>
      <c r="O22" s="125"/>
    </row>
    <row r="23" spans="1:15">
      <c r="J23" s="298"/>
      <c r="K23" s="127" t="s">
        <v>372</v>
      </c>
      <c r="L23" s="125"/>
      <c r="M23" s="125"/>
      <c r="N23" s="125"/>
      <c r="O23" s="125"/>
    </row>
    <row r="24" spans="1:15">
      <c r="J24" s="298"/>
      <c r="K24" s="127" t="s">
        <v>373</v>
      </c>
      <c r="L24" s="125"/>
      <c r="M24" s="125"/>
      <c r="N24" s="125"/>
      <c r="O24" s="125"/>
    </row>
    <row r="25" spans="1:15">
      <c r="J25" s="298"/>
      <c r="K25" s="127" t="s">
        <v>374</v>
      </c>
      <c r="L25" s="125"/>
      <c r="M25" s="125"/>
      <c r="N25" s="125"/>
      <c r="O25" s="125"/>
    </row>
    <row r="26" spans="1:15">
      <c r="J26" s="298"/>
      <c r="K26" s="127" t="s">
        <v>375</v>
      </c>
      <c r="L26" s="125"/>
      <c r="M26" s="125"/>
      <c r="N26" s="125"/>
      <c r="O26" s="125"/>
    </row>
    <row r="27" spans="1:15">
      <c r="J27" s="298"/>
      <c r="K27" s="127" t="s">
        <v>376</v>
      </c>
      <c r="L27" s="125"/>
      <c r="M27" s="125"/>
      <c r="N27" s="125"/>
      <c r="O27" s="125"/>
    </row>
    <row r="28" spans="1:15">
      <c r="J28" s="298"/>
      <c r="K28" s="127" t="s">
        <v>377</v>
      </c>
      <c r="L28" s="125"/>
      <c r="M28" s="125"/>
      <c r="N28" s="125"/>
      <c r="O28" s="125"/>
    </row>
    <row r="29" spans="1:15">
      <c r="J29" s="298"/>
      <c r="K29" s="127" t="s">
        <v>378</v>
      </c>
      <c r="L29" s="125"/>
      <c r="M29" s="125"/>
      <c r="N29" s="125"/>
      <c r="O29" s="125"/>
    </row>
    <row r="30" spans="1:15">
      <c r="J30" s="298"/>
      <c r="K30" s="127" t="s">
        <v>379</v>
      </c>
      <c r="L30" s="125"/>
      <c r="M30" s="125"/>
      <c r="N30" s="125"/>
      <c r="O30" s="125"/>
    </row>
    <row r="31" spans="1:15">
      <c r="J31" s="298"/>
      <c r="K31" s="127" t="s">
        <v>380</v>
      </c>
      <c r="L31" s="125"/>
      <c r="M31" s="125"/>
      <c r="N31" s="125"/>
      <c r="O31" s="125"/>
    </row>
    <row r="32" spans="1:15">
      <c r="J32" s="298"/>
      <c r="K32" s="127" t="s">
        <v>381</v>
      </c>
      <c r="L32" s="125"/>
      <c r="M32" s="125"/>
      <c r="N32" s="125"/>
      <c r="O32" s="125"/>
    </row>
    <row r="33" spans="1:15">
      <c r="J33" s="298"/>
      <c r="K33" s="127" t="s">
        <v>382</v>
      </c>
      <c r="L33" s="125"/>
      <c r="M33" s="125"/>
      <c r="N33" s="125"/>
      <c r="O33" s="125"/>
    </row>
    <row r="34" spans="1:15">
      <c r="J34" s="298"/>
      <c r="K34" s="123" t="s">
        <v>383</v>
      </c>
      <c r="L34" s="123" t="e">
        <f>AVERAGE(L22:L33)</f>
        <v>#DIV/0!</v>
      </c>
      <c r="M34" s="123">
        <f>MAX(M22:M33)</f>
        <v>0</v>
      </c>
      <c r="N34" s="123" t="e">
        <f>AVERAGE(N22:N33)</f>
        <v>#DIV/0!</v>
      </c>
      <c r="O34" s="123">
        <f>MAX(O22:O33)</f>
        <v>0</v>
      </c>
    </row>
    <row r="36" spans="1:15" ht="30">
      <c r="J36" s="122">
        <f>+A6</f>
        <v>2022</v>
      </c>
      <c r="K36" s="122" t="s">
        <v>370</v>
      </c>
      <c r="L36" s="128" t="s">
        <v>365</v>
      </c>
      <c r="M36" s="128" t="s">
        <v>366</v>
      </c>
      <c r="N36" s="128" t="s">
        <v>368</v>
      </c>
      <c r="O36" s="128" t="s">
        <v>369</v>
      </c>
    </row>
    <row r="37" spans="1:15">
      <c r="J37" s="298" t="s">
        <v>170</v>
      </c>
      <c r="K37" s="127" t="s">
        <v>371</v>
      </c>
      <c r="L37" s="125"/>
      <c r="M37" s="125"/>
      <c r="N37" s="125"/>
      <c r="O37" s="125"/>
    </row>
    <row r="38" spans="1:15">
      <c r="J38" s="298"/>
      <c r="K38" s="127" t="s">
        <v>372</v>
      </c>
      <c r="L38" s="125"/>
      <c r="M38" s="125"/>
      <c r="N38" s="125"/>
      <c r="O38" s="125"/>
    </row>
    <row r="39" spans="1:15">
      <c r="J39" s="298"/>
      <c r="K39" s="127" t="s">
        <v>373</v>
      </c>
      <c r="L39" s="125"/>
      <c r="M39" s="125"/>
      <c r="N39" s="125"/>
      <c r="O39" s="125"/>
    </row>
    <row r="40" spans="1:15">
      <c r="J40" s="298"/>
      <c r="K40" s="127" t="s">
        <v>374</v>
      </c>
      <c r="L40" s="125"/>
      <c r="M40" s="125"/>
      <c r="N40" s="125"/>
      <c r="O40" s="125"/>
    </row>
    <row r="41" spans="1:15">
      <c r="J41" s="298"/>
      <c r="K41" s="127" t="s">
        <v>375</v>
      </c>
      <c r="L41" s="125"/>
      <c r="M41" s="125"/>
      <c r="N41" s="125"/>
      <c r="O41" s="125"/>
    </row>
    <row r="42" spans="1:15">
      <c r="J42" s="298"/>
      <c r="K42" s="127" t="s">
        <v>376</v>
      </c>
      <c r="L42" s="125"/>
      <c r="M42" s="125"/>
      <c r="N42" s="125"/>
      <c r="O42" s="125"/>
    </row>
    <row r="43" spans="1:15">
      <c r="J43" s="298"/>
      <c r="K43" s="127" t="s">
        <v>377</v>
      </c>
      <c r="L43" s="125"/>
      <c r="M43" s="125"/>
      <c r="N43" s="125"/>
      <c r="O43" s="125"/>
    </row>
    <row r="44" spans="1:15">
      <c r="J44" s="298"/>
      <c r="K44" s="127" t="s">
        <v>378</v>
      </c>
      <c r="L44" s="125"/>
      <c r="M44" s="125"/>
      <c r="N44" s="125"/>
      <c r="O44" s="125"/>
    </row>
    <row r="45" spans="1:15">
      <c r="J45" s="298"/>
      <c r="K45" s="127" t="s">
        <v>379</v>
      </c>
      <c r="L45" s="125"/>
      <c r="M45" s="125"/>
      <c r="N45" s="125"/>
      <c r="O45" s="125"/>
    </row>
    <row r="46" spans="1:15">
      <c r="J46" s="298"/>
      <c r="K46" s="127" t="s">
        <v>380</v>
      </c>
      <c r="L46" s="125"/>
      <c r="M46" s="125"/>
      <c r="N46" s="125"/>
      <c r="O46" s="125"/>
    </row>
    <row r="47" spans="1:15">
      <c r="J47" s="298"/>
      <c r="K47" s="127" t="s">
        <v>381</v>
      </c>
      <c r="L47" s="125"/>
      <c r="M47" s="125"/>
      <c r="N47" s="125"/>
      <c r="O47" s="125"/>
    </row>
    <row r="48" spans="1:15" ht="15">
      <c r="A48" s="310" t="s">
        <v>249</v>
      </c>
      <c r="B48" s="311"/>
      <c r="C48" s="311"/>
      <c r="D48" s="311"/>
      <c r="E48" s="311"/>
      <c r="F48" s="311"/>
      <c r="G48" s="312"/>
      <c r="J48" s="298"/>
      <c r="K48" s="127" t="s">
        <v>382</v>
      </c>
      <c r="L48" s="125"/>
      <c r="M48" s="125"/>
      <c r="N48" s="125"/>
      <c r="O48" s="125"/>
    </row>
    <row r="49" spans="1:15">
      <c r="A49" s="301" t="s">
        <v>384</v>
      </c>
      <c r="B49" s="302"/>
      <c r="C49" s="302"/>
      <c r="D49" s="302"/>
      <c r="E49" s="302"/>
      <c r="F49" s="302"/>
      <c r="G49" s="303"/>
      <c r="J49" s="298"/>
      <c r="K49" s="123" t="s">
        <v>383</v>
      </c>
      <c r="L49" s="123" t="e">
        <f>AVERAGE(L37:L48)</f>
        <v>#DIV/0!</v>
      </c>
      <c r="M49" s="123">
        <f>MAX(M37:M48)</f>
        <v>0</v>
      </c>
      <c r="N49" s="123" t="e">
        <f>AVERAGE(N37:N48)</f>
        <v>#DIV/0!</v>
      </c>
      <c r="O49" s="123">
        <f>MAX(O37:O48)</f>
        <v>0</v>
      </c>
    </row>
    <row r="50" spans="1:15">
      <c r="A50" s="304"/>
      <c r="B50" s="305"/>
      <c r="C50" s="305"/>
      <c r="D50" s="305"/>
      <c r="E50" s="305"/>
      <c r="F50" s="305"/>
      <c r="G50" s="306"/>
    </row>
    <row r="51" spans="1:15" ht="30">
      <c r="A51" s="304"/>
      <c r="B51" s="305"/>
      <c r="C51" s="305"/>
      <c r="D51" s="305"/>
      <c r="E51" s="305"/>
      <c r="F51" s="305"/>
      <c r="G51" s="306"/>
      <c r="J51" s="122">
        <f>+A6</f>
        <v>2022</v>
      </c>
      <c r="K51" s="122" t="s">
        <v>370</v>
      </c>
      <c r="L51" s="128" t="s">
        <v>365</v>
      </c>
      <c r="M51" s="128" t="s">
        <v>366</v>
      </c>
      <c r="N51" s="128" t="s">
        <v>368</v>
      </c>
      <c r="O51" s="128" t="s">
        <v>369</v>
      </c>
    </row>
    <row r="52" spans="1:15">
      <c r="A52" s="307"/>
      <c r="B52" s="308"/>
      <c r="C52" s="308"/>
      <c r="D52" s="308"/>
      <c r="E52" s="308"/>
      <c r="F52" s="308"/>
      <c r="G52" s="309"/>
      <c r="J52" s="298" t="s">
        <v>171</v>
      </c>
      <c r="K52" s="127" t="s">
        <v>371</v>
      </c>
      <c r="L52" s="125"/>
      <c r="M52" s="125"/>
      <c r="N52" s="125"/>
      <c r="O52" s="125"/>
    </row>
    <row r="53" spans="1:15">
      <c r="J53" s="298"/>
      <c r="K53" s="127" t="s">
        <v>372</v>
      </c>
      <c r="L53" s="125"/>
      <c r="M53" s="125"/>
      <c r="N53" s="125"/>
      <c r="O53" s="125"/>
    </row>
    <row r="54" spans="1:15">
      <c r="J54" s="298"/>
      <c r="K54" s="127" t="s">
        <v>373</v>
      </c>
      <c r="L54" s="125"/>
      <c r="M54" s="125"/>
      <c r="N54" s="125"/>
      <c r="O54" s="125"/>
    </row>
    <row r="55" spans="1:15">
      <c r="J55" s="298"/>
      <c r="K55" s="127" t="s">
        <v>374</v>
      </c>
      <c r="L55" s="125"/>
      <c r="M55" s="125"/>
      <c r="N55" s="125"/>
      <c r="O55" s="125"/>
    </row>
    <row r="56" spans="1:15">
      <c r="J56" s="298"/>
      <c r="K56" s="127" t="s">
        <v>375</v>
      </c>
      <c r="L56" s="125"/>
      <c r="M56" s="125"/>
      <c r="N56" s="125"/>
      <c r="O56" s="125"/>
    </row>
    <row r="57" spans="1:15">
      <c r="J57" s="298"/>
      <c r="K57" s="127" t="s">
        <v>376</v>
      </c>
      <c r="L57" s="125"/>
      <c r="M57" s="125"/>
      <c r="N57" s="125"/>
      <c r="O57" s="125"/>
    </row>
    <row r="58" spans="1:15">
      <c r="J58" s="298"/>
      <c r="K58" s="127" t="s">
        <v>377</v>
      </c>
      <c r="L58" s="125"/>
      <c r="M58" s="125"/>
      <c r="N58" s="125"/>
      <c r="O58" s="125"/>
    </row>
    <row r="59" spans="1:15">
      <c r="J59" s="298"/>
      <c r="K59" s="127" t="s">
        <v>378</v>
      </c>
      <c r="L59" s="125"/>
      <c r="M59" s="125"/>
      <c r="N59" s="125"/>
      <c r="O59" s="125"/>
    </row>
    <row r="60" spans="1:15">
      <c r="J60" s="298"/>
      <c r="K60" s="127" t="s">
        <v>379</v>
      </c>
      <c r="L60" s="125"/>
      <c r="M60" s="125"/>
      <c r="N60" s="125"/>
      <c r="O60" s="125"/>
    </row>
    <row r="61" spans="1:15">
      <c r="J61" s="298"/>
      <c r="K61" s="127" t="s">
        <v>380</v>
      </c>
      <c r="L61" s="125"/>
      <c r="M61" s="125"/>
      <c r="N61" s="125"/>
      <c r="O61" s="125"/>
    </row>
    <row r="62" spans="1:15">
      <c r="J62" s="298"/>
      <c r="K62" s="127" t="s">
        <v>381</v>
      </c>
      <c r="L62" s="125"/>
      <c r="M62" s="125"/>
      <c r="N62" s="125"/>
      <c r="O62" s="125"/>
    </row>
    <row r="63" spans="1:15">
      <c r="J63" s="298"/>
      <c r="K63" s="127" t="s">
        <v>382</v>
      </c>
      <c r="L63" s="125"/>
      <c r="M63" s="125"/>
      <c r="N63" s="125"/>
      <c r="O63" s="125"/>
    </row>
    <row r="64" spans="1:15">
      <c r="J64" s="298"/>
      <c r="K64" s="123" t="s">
        <v>383</v>
      </c>
      <c r="L64" s="123" t="e">
        <f>AVERAGE(L52:L63)</f>
        <v>#DIV/0!</v>
      </c>
      <c r="M64" s="123">
        <f>MAX(M52:M63)</f>
        <v>0</v>
      </c>
      <c r="N64" s="123" t="e">
        <f>AVERAGE(N52:N63)</f>
        <v>#DIV/0!</v>
      </c>
      <c r="O64" s="123">
        <f>MAX(O52:O63)</f>
        <v>0</v>
      </c>
    </row>
    <row r="66" spans="10:15" ht="30">
      <c r="J66" s="122">
        <f>+A6</f>
        <v>2022</v>
      </c>
      <c r="K66" s="122" t="s">
        <v>370</v>
      </c>
      <c r="L66" s="128" t="s">
        <v>365</v>
      </c>
      <c r="M66" s="128" t="s">
        <v>366</v>
      </c>
      <c r="N66" s="128" t="s">
        <v>368</v>
      </c>
      <c r="O66" s="128" t="s">
        <v>369</v>
      </c>
    </row>
    <row r="67" spans="10:15">
      <c r="J67" s="298" t="s">
        <v>172</v>
      </c>
      <c r="K67" s="127" t="s">
        <v>371</v>
      </c>
      <c r="L67" s="125"/>
      <c r="M67" s="125"/>
      <c r="N67" s="125"/>
      <c r="O67" s="125"/>
    </row>
    <row r="68" spans="10:15">
      <c r="J68" s="298"/>
      <c r="K68" s="127" t="s">
        <v>372</v>
      </c>
      <c r="L68" s="125"/>
      <c r="M68" s="125"/>
      <c r="N68" s="125"/>
      <c r="O68" s="125"/>
    </row>
    <row r="69" spans="10:15">
      <c r="J69" s="298"/>
      <c r="K69" s="127" t="s">
        <v>373</v>
      </c>
      <c r="L69" s="125"/>
      <c r="M69" s="125"/>
      <c r="N69" s="125"/>
      <c r="O69" s="125"/>
    </row>
    <row r="70" spans="10:15">
      <c r="J70" s="298"/>
      <c r="K70" s="127" t="s">
        <v>374</v>
      </c>
      <c r="L70" s="125"/>
      <c r="M70" s="125"/>
      <c r="N70" s="125"/>
      <c r="O70" s="125"/>
    </row>
    <row r="71" spans="10:15">
      <c r="J71" s="298"/>
      <c r="K71" s="127" t="s">
        <v>375</v>
      </c>
      <c r="L71" s="125"/>
      <c r="M71" s="125"/>
      <c r="N71" s="125"/>
      <c r="O71" s="125"/>
    </row>
    <row r="72" spans="10:15">
      <c r="J72" s="298"/>
      <c r="K72" s="127" t="s">
        <v>376</v>
      </c>
      <c r="L72" s="125"/>
      <c r="M72" s="125"/>
      <c r="N72" s="125"/>
      <c r="O72" s="125"/>
    </row>
    <row r="73" spans="10:15">
      <c r="J73" s="298"/>
      <c r="K73" s="127" t="s">
        <v>377</v>
      </c>
      <c r="L73" s="125"/>
      <c r="M73" s="125"/>
      <c r="N73" s="125"/>
      <c r="O73" s="125"/>
    </row>
    <row r="74" spans="10:15">
      <c r="J74" s="298"/>
      <c r="K74" s="127" t="s">
        <v>378</v>
      </c>
      <c r="L74" s="125"/>
      <c r="M74" s="125"/>
      <c r="N74" s="125"/>
      <c r="O74" s="125"/>
    </row>
    <row r="75" spans="10:15">
      <c r="J75" s="298"/>
      <c r="K75" s="127" t="s">
        <v>379</v>
      </c>
      <c r="L75" s="125"/>
      <c r="M75" s="125"/>
      <c r="N75" s="125"/>
      <c r="O75" s="125"/>
    </row>
    <row r="76" spans="10:15">
      <c r="J76" s="298"/>
      <c r="K76" s="127" t="s">
        <v>380</v>
      </c>
      <c r="L76" s="125"/>
      <c r="M76" s="125"/>
      <c r="N76" s="125"/>
      <c r="O76" s="125"/>
    </row>
    <row r="77" spans="10:15">
      <c r="J77" s="298"/>
      <c r="K77" s="127" t="s">
        <v>381</v>
      </c>
      <c r="L77" s="125"/>
      <c r="M77" s="125"/>
      <c r="N77" s="125"/>
      <c r="O77" s="125"/>
    </row>
    <row r="78" spans="10:15">
      <c r="J78" s="298"/>
      <c r="K78" s="127" t="s">
        <v>382</v>
      </c>
      <c r="L78" s="125"/>
      <c r="M78" s="125"/>
      <c r="N78" s="125"/>
      <c r="O78" s="125"/>
    </row>
    <row r="79" spans="10:15">
      <c r="J79" s="298"/>
      <c r="K79" s="123" t="s">
        <v>383</v>
      </c>
      <c r="L79" s="123" t="e">
        <f>AVERAGE(L67:L78)</f>
        <v>#DIV/0!</v>
      </c>
      <c r="M79" s="123">
        <f>MAX(M67:M78)</f>
        <v>0</v>
      </c>
      <c r="N79" s="123" t="e">
        <f>AVERAGE(N67:N78)</f>
        <v>#DIV/0!</v>
      </c>
      <c r="O79" s="123">
        <f>MAX(O67:O78)</f>
        <v>0</v>
      </c>
    </row>
  </sheetData>
  <mergeCells count="10">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O79"/>
  <sheetViews>
    <sheetView showGridLines="0" zoomScaleNormal="100" workbookViewId="0">
      <selection activeCell="N7" sqref="N7:O17"/>
    </sheetView>
  </sheetViews>
  <sheetFormatPr defaultRowHeight="14.25"/>
  <cols>
    <col min="1" max="1" width="14" style="3" customWidth="1"/>
    <col min="2" max="4" width="17" style="77" customWidth="1"/>
    <col min="5" max="5" width="14.85546875" style="77" customWidth="1"/>
    <col min="6" max="7" width="17" style="77" customWidth="1"/>
    <col min="8" max="11" width="9.140625" style="3"/>
    <col min="12" max="12" width="15.42578125" style="3" customWidth="1"/>
    <col min="13" max="13" width="17.42578125" style="3" bestFit="1" customWidth="1"/>
    <col min="14" max="14" width="13.85546875" style="3" customWidth="1"/>
    <col min="15" max="15" width="15" style="3" customWidth="1"/>
    <col min="16" max="256" width="9.140625" style="3"/>
    <col min="257" max="257" width="14" style="3" customWidth="1"/>
    <col min="258" max="263" width="10.140625" style="3" customWidth="1"/>
    <col min="264" max="512" width="9.140625" style="3"/>
    <col min="513" max="513" width="14" style="3" customWidth="1"/>
    <col min="514" max="519" width="10.140625" style="3" customWidth="1"/>
    <col min="520" max="768" width="9.140625" style="3"/>
    <col min="769" max="769" width="14" style="3" customWidth="1"/>
    <col min="770" max="775" width="10.140625" style="3" customWidth="1"/>
    <col min="776" max="1024" width="9.140625" style="3"/>
    <col min="1025" max="1025" width="14" style="3" customWidth="1"/>
    <col min="1026" max="1031" width="10.140625" style="3" customWidth="1"/>
    <col min="1032" max="1280" width="9.140625" style="3"/>
    <col min="1281" max="1281" width="14" style="3" customWidth="1"/>
    <col min="1282" max="1287" width="10.140625" style="3" customWidth="1"/>
    <col min="1288" max="1536" width="9.140625" style="3"/>
    <col min="1537" max="1537" width="14" style="3" customWidth="1"/>
    <col min="1538" max="1543" width="10.140625" style="3" customWidth="1"/>
    <col min="1544" max="1792" width="9.140625" style="3"/>
    <col min="1793" max="1793" width="14" style="3" customWidth="1"/>
    <col min="1794" max="1799" width="10.140625" style="3" customWidth="1"/>
    <col min="1800" max="2048" width="9.140625" style="3"/>
    <col min="2049" max="2049" width="14" style="3" customWidth="1"/>
    <col min="2050" max="2055" width="10.140625" style="3" customWidth="1"/>
    <col min="2056" max="2304" width="9.140625" style="3"/>
    <col min="2305" max="2305" width="14" style="3" customWidth="1"/>
    <col min="2306" max="2311" width="10.140625" style="3" customWidth="1"/>
    <col min="2312" max="2560" width="9.140625" style="3"/>
    <col min="2561" max="2561" width="14" style="3" customWidth="1"/>
    <col min="2562" max="2567" width="10.140625" style="3" customWidth="1"/>
    <col min="2568" max="2816" width="9.140625" style="3"/>
    <col min="2817" max="2817" width="14" style="3" customWidth="1"/>
    <col min="2818" max="2823" width="10.140625" style="3" customWidth="1"/>
    <col min="2824" max="3072" width="9.140625" style="3"/>
    <col min="3073" max="3073" width="14" style="3" customWidth="1"/>
    <col min="3074" max="3079" width="10.140625" style="3" customWidth="1"/>
    <col min="3080" max="3328" width="9.140625" style="3"/>
    <col min="3329" max="3329" width="14" style="3" customWidth="1"/>
    <col min="3330" max="3335" width="10.140625" style="3" customWidth="1"/>
    <col min="3336" max="3584" width="9.140625" style="3"/>
    <col min="3585" max="3585" width="14" style="3" customWidth="1"/>
    <col min="3586" max="3591" width="10.140625" style="3" customWidth="1"/>
    <col min="3592" max="3840" width="9.140625" style="3"/>
    <col min="3841" max="3841" width="14" style="3" customWidth="1"/>
    <col min="3842" max="3847" width="10.140625" style="3" customWidth="1"/>
    <col min="3848" max="4096" width="9.140625" style="3"/>
    <col min="4097" max="4097" width="14" style="3" customWidth="1"/>
    <col min="4098" max="4103" width="10.140625" style="3" customWidth="1"/>
    <col min="4104" max="4352" width="9.140625" style="3"/>
    <col min="4353" max="4353" width="14" style="3" customWidth="1"/>
    <col min="4354" max="4359" width="10.140625" style="3" customWidth="1"/>
    <col min="4360" max="4608" width="9.140625" style="3"/>
    <col min="4609" max="4609" width="14" style="3" customWidth="1"/>
    <col min="4610" max="4615" width="10.140625" style="3" customWidth="1"/>
    <col min="4616" max="4864" width="9.140625" style="3"/>
    <col min="4865" max="4865" width="14" style="3" customWidth="1"/>
    <col min="4866" max="4871" width="10.140625" style="3" customWidth="1"/>
    <col min="4872" max="5120" width="9.140625" style="3"/>
    <col min="5121" max="5121" width="14" style="3" customWidth="1"/>
    <col min="5122" max="5127" width="10.140625" style="3" customWidth="1"/>
    <col min="5128" max="5376" width="9.140625" style="3"/>
    <col min="5377" max="5377" width="14" style="3" customWidth="1"/>
    <col min="5378" max="5383" width="10.140625" style="3" customWidth="1"/>
    <col min="5384" max="5632" width="9.140625" style="3"/>
    <col min="5633" max="5633" width="14" style="3" customWidth="1"/>
    <col min="5634" max="5639" width="10.140625" style="3" customWidth="1"/>
    <col min="5640" max="5888" width="9.140625" style="3"/>
    <col min="5889" max="5889" width="14" style="3" customWidth="1"/>
    <col min="5890" max="5895" width="10.140625" style="3" customWidth="1"/>
    <col min="5896" max="6144" width="9.140625" style="3"/>
    <col min="6145" max="6145" width="14" style="3" customWidth="1"/>
    <col min="6146" max="6151" width="10.140625" style="3" customWidth="1"/>
    <col min="6152" max="6400" width="9.140625" style="3"/>
    <col min="6401" max="6401" width="14" style="3" customWidth="1"/>
    <col min="6402" max="6407" width="10.140625" style="3" customWidth="1"/>
    <col min="6408" max="6656" width="9.140625" style="3"/>
    <col min="6657" max="6657" width="14" style="3" customWidth="1"/>
    <col min="6658" max="6663" width="10.140625" style="3" customWidth="1"/>
    <col min="6664" max="6912" width="9.140625" style="3"/>
    <col min="6913" max="6913" width="14" style="3" customWidth="1"/>
    <col min="6914" max="6919" width="10.140625" style="3" customWidth="1"/>
    <col min="6920" max="7168" width="9.140625" style="3"/>
    <col min="7169" max="7169" width="14" style="3" customWidth="1"/>
    <col min="7170" max="7175" width="10.140625" style="3" customWidth="1"/>
    <col min="7176" max="7424" width="9.140625" style="3"/>
    <col min="7425" max="7425" width="14" style="3" customWidth="1"/>
    <col min="7426" max="7431" width="10.140625" style="3" customWidth="1"/>
    <col min="7432" max="7680" width="9.140625" style="3"/>
    <col min="7681" max="7681" width="14" style="3" customWidth="1"/>
    <col min="7682" max="7687" width="10.140625" style="3" customWidth="1"/>
    <col min="7688" max="7936" width="9.140625" style="3"/>
    <col min="7937" max="7937" width="14" style="3" customWidth="1"/>
    <col min="7938" max="7943" width="10.140625" style="3" customWidth="1"/>
    <col min="7944" max="8192" width="9.140625" style="3"/>
    <col min="8193" max="8193" width="14" style="3" customWidth="1"/>
    <col min="8194" max="8199" width="10.140625" style="3" customWidth="1"/>
    <col min="8200" max="8448" width="9.140625" style="3"/>
    <col min="8449" max="8449" width="14" style="3" customWidth="1"/>
    <col min="8450" max="8455" width="10.140625" style="3" customWidth="1"/>
    <col min="8456" max="8704" width="9.140625" style="3"/>
    <col min="8705" max="8705" width="14" style="3" customWidth="1"/>
    <col min="8706" max="8711" width="10.140625" style="3" customWidth="1"/>
    <col min="8712" max="8960" width="9.140625" style="3"/>
    <col min="8961" max="8961" width="14" style="3" customWidth="1"/>
    <col min="8962" max="8967" width="10.140625" style="3" customWidth="1"/>
    <col min="8968" max="9216" width="9.140625" style="3"/>
    <col min="9217" max="9217" width="14" style="3" customWidth="1"/>
    <col min="9218" max="9223" width="10.140625" style="3" customWidth="1"/>
    <col min="9224" max="9472" width="9.140625" style="3"/>
    <col min="9473" max="9473" width="14" style="3" customWidth="1"/>
    <col min="9474" max="9479" width="10.140625" style="3" customWidth="1"/>
    <col min="9480" max="9728" width="9.140625" style="3"/>
    <col min="9729" max="9729" width="14" style="3" customWidth="1"/>
    <col min="9730" max="9735" width="10.140625" style="3" customWidth="1"/>
    <col min="9736" max="9984" width="9.140625" style="3"/>
    <col min="9985" max="9985" width="14" style="3" customWidth="1"/>
    <col min="9986" max="9991" width="10.140625" style="3" customWidth="1"/>
    <col min="9992" max="10240" width="9.140625" style="3"/>
    <col min="10241" max="10241" width="14" style="3" customWidth="1"/>
    <col min="10242" max="10247" width="10.140625" style="3" customWidth="1"/>
    <col min="10248" max="10496" width="9.140625" style="3"/>
    <col min="10497" max="10497" width="14" style="3" customWidth="1"/>
    <col min="10498" max="10503" width="10.140625" style="3" customWidth="1"/>
    <col min="10504" max="10752" width="9.140625" style="3"/>
    <col min="10753" max="10753" width="14" style="3" customWidth="1"/>
    <col min="10754" max="10759" width="10.140625" style="3" customWidth="1"/>
    <col min="10760" max="11008" width="9.140625" style="3"/>
    <col min="11009" max="11009" width="14" style="3" customWidth="1"/>
    <col min="11010" max="11015" width="10.140625" style="3" customWidth="1"/>
    <col min="11016" max="11264" width="9.140625" style="3"/>
    <col min="11265" max="11265" width="14" style="3" customWidth="1"/>
    <col min="11266" max="11271" width="10.140625" style="3" customWidth="1"/>
    <col min="11272" max="11520" width="9.140625" style="3"/>
    <col min="11521" max="11521" width="14" style="3" customWidth="1"/>
    <col min="11522" max="11527" width="10.140625" style="3" customWidth="1"/>
    <col min="11528" max="11776" width="9.140625" style="3"/>
    <col min="11777" max="11777" width="14" style="3" customWidth="1"/>
    <col min="11778" max="11783" width="10.140625" style="3" customWidth="1"/>
    <col min="11784" max="12032" width="9.140625" style="3"/>
    <col min="12033" max="12033" width="14" style="3" customWidth="1"/>
    <col min="12034" max="12039" width="10.140625" style="3" customWidth="1"/>
    <col min="12040" max="12288" width="9.140625" style="3"/>
    <col min="12289" max="12289" width="14" style="3" customWidth="1"/>
    <col min="12290" max="12295" width="10.140625" style="3" customWidth="1"/>
    <col min="12296" max="12544" width="9.140625" style="3"/>
    <col min="12545" max="12545" width="14" style="3" customWidth="1"/>
    <col min="12546" max="12551" width="10.140625" style="3" customWidth="1"/>
    <col min="12552" max="12800" width="9.140625" style="3"/>
    <col min="12801" max="12801" width="14" style="3" customWidth="1"/>
    <col min="12802" max="12807" width="10.140625" style="3" customWidth="1"/>
    <col min="12808" max="13056" width="9.140625" style="3"/>
    <col min="13057" max="13057" width="14" style="3" customWidth="1"/>
    <col min="13058" max="13063" width="10.140625" style="3" customWidth="1"/>
    <col min="13064" max="13312" width="9.140625" style="3"/>
    <col min="13313" max="13313" width="14" style="3" customWidth="1"/>
    <col min="13314" max="13319" width="10.140625" style="3" customWidth="1"/>
    <col min="13320" max="13568" width="9.140625" style="3"/>
    <col min="13569" max="13569" width="14" style="3" customWidth="1"/>
    <col min="13570" max="13575" width="10.140625" style="3" customWidth="1"/>
    <col min="13576" max="13824" width="9.140625" style="3"/>
    <col min="13825" max="13825" width="14" style="3" customWidth="1"/>
    <col min="13826" max="13831" width="10.140625" style="3" customWidth="1"/>
    <col min="13832" max="14080" width="9.140625" style="3"/>
    <col min="14081" max="14081" width="14" style="3" customWidth="1"/>
    <col min="14082" max="14087" width="10.140625" style="3" customWidth="1"/>
    <col min="14088" max="14336" width="9.140625" style="3"/>
    <col min="14337" max="14337" width="14" style="3" customWidth="1"/>
    <col min="14338" max="14343" width="10.140625" style="3" customWidth="1"/>
    <col min="14344" max="14592" width="9.140625" style="3"/>
    <col min="14593" max="14593" width="14" style="3" customWidth="1"/>
    <col min="14594" max="14599" width="10.140625" style="3" customWidth="1"/>
    <col min="14600" max="14848" width="9.140625" style="3"/>
    <col min="14849" max="14849" width="14" style="3" customWidth="1"/>
    <col min="14850" max="14855" width="10.140625" style="3" customWidth="1"/>
    <col min="14856" max="15104" width="9.140625" style="3"/>
    <col min="15105" max="15105" width="14" style="3" customWidth="1"/>
    <col min="15106" max="15111" width="10.140625" style="3" customWidth="1"/>
    <col min="15112" max="15360" width="9.140625" style="3"/>
    <col min="15361" max="15361" width="14" style="3" customWidth="1"/>
    <col min="15362" max="15367" width="10.140625" style="3" customWidth="1"/>
    <col min="15368" max="15616" width="9.140625" style="3"/>
    <col min="15617" max="15617" width="14" style="3" customWidth="1"/>
    <col min="15618" max="15623" width="10.140625" style="3" customWidth="1"/>
    <col min="15624" max="15872" width="9.140625" style="3"/>
    <col min="15873" max="15873" width="14" style="3" customWidth="1"/>
    <col min="15874" max="15879" width="10.140625" style="3" customWidth="1"/>
    <col min="15880" max="16128" width="9.140625" style="3"/>
    <col min="16129" max="16129" width="14" style="3" customWidth="1"/>
    <col min="16130" max="16135" width="10.140625" style="3" customWidth="1"/>
    <col min="16136" max="16384" width="9.140625" style="3"/>
  </cols>
  <sheetData>
    <row r="1" spans="1:15" ht="15">
      <c r="A1" s="2" t="str">
        <f>+'Cover Page'!$B$29</f>
        <v>Annual Performance Report 2022</v>
      </c>
      <c r="B1" s="2"/>
      <c r="C1" s="2"/>
      <c r="D1" s="2"/>
      <c r="E1" s="2" t="str">
        <f>+'Cover Page'!$B$33</f>
        <v>Fine Environmental Services</v>
      </c>
      <c r="F1" s="2"/>
    </row>
    <row r="3" spans="1:15" ht="15">
      <c r="A3" s="121" t="s">
        <v>388</v>
      </c>
    </row>
    <row r="5" spans="1:15" ht="17.25">
      <c r="A5" s="129" t="s">
        <v>361</v>
      </c>
      <c r="B5" s="300" t="s">
        <v>362</v>
      </c>
      <c r="C5" s="300"/>
      <c r="D5" s="300"/>
      <c r="E5" s="300" t="s">
        <v>363</v>
      </c>
      <c r="F5" s="300"/>
      <c r="G5" s="300"/>
      <c r="J5" s="299" t="str">
        <f>+A3</f>
        <v>Monitoring of Oxides of Nitrogen emissions</v>
      </c>
      <c r="K5" s="299"/>
      <c r="L5" s="299"/>
      <c r="M5" s="299"/>
      <c r="N5" s="299"/>
      <c r="O5" s="299"/>
    </row>
    <row r="6" spans="1:15" s="119" customFormat="1" ht="37.5" customHeight="1">
      <c r="A6" s="126">
        <f>+'Cover Page'!C39</f>
        <v>2022</v>
      </c>
      <c r="B6" s="115" t="s">
        <v>389</v>
      </c>
      <c r="C6" s="115" t="s">
        <v>365</v>
      </c>
      <c r="D6" s="115" t="s">
        <v>366</v>
      </c>
      <c r="E6" s="115" t="s">
        <v>390</v>
      </c>
      <c r="F6" s="115" t="s">
        <v>368</v>
      </c>
      <c r="G6" s="115" t="s">
        <v>369</v>
      </c>
      <c r="H6" s="120"/>
      <c r="J6" s="122">
        <f>+A6</f>
        <v>2022</v>
      </c>
      <c r="K6" s="122" t="s">
        <v>370</v>
      </c>
      <c r="L6" s="128" t="s">
        <v>365</v>
      </c>
      <c r="M6" s="128" t="s">
        <v>366</v>
      </c>
      <c r="N6" s="128" t="s">
        <v>368</v>
      </c>
      <c r="O6" s="128" t="s">
        <v>369</v>
      </c>
    </row>
    <row r="7" spans="1:15">
      <c r="A7" s="127" t="s">
        <v>371</v>
      </c>
      <c r="B7" s="124">
        <v>400</v>
      </c>
      <c r="C7" s="125">
        <v>277</v>
      </c>
      <c r="D7" s="125">
        <v>433</v>
      </c>
      <c r="E7" s="124">
        <v>200</v>
      </c>
      <c r="F7" s="125">
        <v>283</v>
      </c>
      <c r="G7" s="125">
        <v>302</v>
      </c>
      <c r="J7" s="298" t="s">
        <v>168</v>
      </c>
      <c r="K7" s="127" t="s">
        <v>371</v>
      </c>
      <c r="L7" s="125">
        <v>277</v>
      </c>
      <c r="M7" s="125">
        <v>433</v>
      </c>
      <c r="N7" s="125">
        <v>283</v>
      </c>
      <c r="O7" s="125">
        <v>302</v>
      </c>
    </row>
    <row r="8" spans="1:15">
      <c r="A8" s="127" t="s">
        <v>372</v>
      </c>
      <c r="B8" s="124">
        <v>400</v>
      </c>
      <c r="C8" s="125">
        <v>274</v>
      </c>
      <c r="D8" s="125">
        <v>511</v>
      </c>
      <c r="E8" s="124">
        <v>200</v>
      </c>
      <c r="F8" s="125">
        <v>282</v>
      </c>
      <c r="G8" s="125">
        <v>373</v>
      </c>
      <c r="J8" s="298"/>
      <c r="K8" s="127" t="s">
        <v>372</v>
      </c>
      <c r="L8" s="125">
        <v>274</v>
      </c>
      <c r="M8" s="125">
        <v>511</v>
      </c>
      <c r="N8" s="125">
        <v>282</v>
      </c>
      <c r="O8" s="125">
        <v>373</v>
      </c>
    </row>
    <row r="9" spans="1:15">
      <c r="A9" s="127" t="s">
        <v>373</v>
      </c>
      <c r="B9" s="124">
        <v>400</v>
      </c>
      <c r="C9" s="125">
        <v>245</v>
      </c>
      <c r="D9" s="125">
        <v>576</v>
      </c>
      <c r="E9" s="124">
        <v>200</v>
      </c>
      <c r="F9" s="125">
        <v>246</v>
      </c>
      <c r="G9" s="125">
        <v>369</v>
      </c>
      <c r="J9" s="298"/>
      <c r="K9" s="127" t="s">
        <v>373</v>
      </c>
      <c r="L9" s="125">
        <v>245</v>
      </c>
      <c r="M9" s="125">
        <v>576</v>
      </c>
      <c r="N9" s="125">
        <v>246</v>
      </c>
      <c r="O9" s="125">
        <v>369</v>
      </c>
    </row>
    <row r="10" spans="1:15">
      <c r="A10" s="127" t="s">
        <v>374</v>
      </c>
      <c r="B10" s="124">
        <v>400</v>
      </c>
      <c r="C10" s="125">
        <v>218</v>
      </c>
      <c r="D10" s="125">
        <v>406</v>
      </c>
      <c r="E10" s="124">
        <v>200</v>
      </c>
      <c r="F10" s="125">
        <v>218</v>
      </c>
      <c r="G10" s="125">
        <v>260</v>
      </c>
      <c r="J10" s="298"/>
      <c r="K10" s="127" t="s">
        <v>374</v>
      </c>
      <c r="L10" s="125">
        <v>218</v>
      </c>
      <c r="M10" s="125">
        <v>406</v>
      </c>
      <c r="N10" s="125">
        <v>218</v>
      </c>
      <c r="O10" s="125">
        <v>260</v>
      </c>
    </row>
    <row r="11" spans="1:15">
      <c r="A11" s="127" t="s">
        <v>375</v>
      </c>
      <c r="B11" s="124">
        <v>400</v>
      </c>
      <c r="C11" s="125">
        <v>239</v>
      </c>
      <c r="D11" s="125">
        <v>383</v>
      </c>
      <c r="E11" s="124">
        <v>200</v>
      </c>
      <c r="F11" s="125">
        <v>241</v>
      </c>
      <c r="G11" s="125">
        <v>297</v>
      </c>
      <c r="J11" s="298"/>
      <c r="K11" s="127" t="s">
        <v>375</v>
      </c>
      <c r="L11" s="125">
        <v>239</v>
      </c>
      <c r="M11" s="125">
        <v>383</v>
      </c>
      <c r="N11" s="125">
        <v>241</v>
      </c>
      <c r="O11" s="125">
        <v>297</v>
      </c>
    </row>
    <row r="12" spans="1:15">
      <c r="A12" s="127" t="s">
        <v>376</v>
      </c>
      <c r="B12" s="124">
        <v>400</v>
      </c>
      <c r="C12" s="125">
        <v>296</v>
      </c>
      <c r="D12" s="125">
        <v>448</v>
      </c>
      <c r="E12" s="124">
        <v>200</v>
      </c>
      <c r="F12" s="125">
        <v>296</v>
      </c>
      <c r="G12" s="125">
        <v>351</v>
      </c>
      <c r="J12" s="298"/>
      <c r="K12" s="127" t="s">
        <v>376</v>
      </c>
      <c r="L12" s="125">
        <v>296</v>
      </c>
      <c r="M12" s="125">
        <v>448</v>
      </c>
      <c r="N12" s="125">
        <v>296</v>
      </c>
      <c r="O12" s="125">
        <v>351</v>
      </c>
    </row>
    <row r="13" spans="1:15">
      <c r="A13" s="127" t="s">
        <v>377</v>
      </c>
      <c r="B13" s="124">
        <v>400</v>
      </c>
      <c r="C13" s="125">
        <v>254</v>
      </c>
      <c r="D13" s="125">
        <v>383</v>
      </c>
      <c r="E13" s="124">
        <v>200</v>
      </c>
      <c r="F13" s="125">
        <v>250</v>
      </c>
      <c r="G13" s="125">
        <v>326</v>
      </c>
      <c r="J13" s="298"/>
      <c r="K13" s="127" t="s">
        <v>377</v>
      </c>
      <c r="L13" s="125">
        <v>254</v>
      </c>
      <c r="M13" s="125">
        <v>383</v>
      </c>
      <c r="N13" s="125">
        <v>250</v>
      </c>
      <c r="O13" s="125">
        <v>326</v>
      </c>
    </row>
    <row r="14" spans="1:15">
      <c r="A14" s="127" t="s">
        <v>378</v>
      </c>
      <c r="B14" s="124">
        <v>400</v>
      </c>
      <c r="C14" s="125">
        <v>257</v>
      </c>
      <c r="D14" s="125">
        <v>558</v>
      </c>
      <c r="E14" s="124">
        <v>200</v>
      </c>
      <c r="F14" s="125">
        <v>258</v>
      </c>
      <c r="G14" s="125">
        <v>333</v>
      </c>
      <c r="J14" s="298"/>
      <c r="K14" s="127" t="s">
        <v>378</v>
      </c>
      <c r="L14" s="125">
        <v>257</v>
      </c>
      <c r="M14" s="125">
        <v>558</v>
      </c>
      <c r="N14" s="125">
        <v>258</v>
      </c>
      <c r="O14" s="125">
        <v>333</v>
      </c>
    </row>
    <row r="15" spans="1:15">
      <c r="A15" s="127" t="s">
        <v>379</v>
      </c>
      <c r="B15" s="124">
        <v>400</v>
      </c>
      <c r="C15" s="125">
        <v>261</v>
      </c>
      <c r="D15" s="125">
        <v>416</v>
      </c>
      <c r="E15" s="124">
        <v>200</v>
      </c>
      <c r="F15" s="125">
        <v>264</v>
      </c>
      <c r="G15" s="125">
        <v>296</v>
      </c>
      <c r="J15" s="298"/>
      <c r="K15" s="127" t="s">
        <v>379</v>
      </c>
      <c r="L15" s="125">
        <v>261</v>
      </c>
      <c r="M15" s="125">
        <v>416</v>
      </c>
      <c r="N15" s="125">
        <v>264</v>
      </c>
      <c r="O15" s="125">
        <v>296</v>
      </c>
    </row>
    <row r="16" spans="1:15">
      <c r="A16" s="127" t="s">
        <v>380</v>
      </c>
      <c r="B16" s="124">
        <v>400</v>
      </c>
      <c r="C16" s="125">
        <v>216</v>
      </c>
      <c r="D16" s="125">
        <v>280</v>
      </c>
      <c r="E16" s="124">
        <v>200</v>
      </c>
      <c r="F16" s="125">
        <v>214</v>
      </c>
      <c r="G16" s="125">
        <v>235</v>
      </c>
      <c r="J16" s="298"/>
      <c r="K16" s="127" t="s">
        <v>380</v>
      </c>
      <c r="L16" s="125">
        <v>216</v>
      </c>
      <c r="M16" s="125">
        <v>280</v>
      </c>
      <c r="N16" s="125">
        <v>214</v>
      </c>
      <c r="O16" s="125">
        <v>235</v>
      </c>
    </row>
    <row r="17" spans="1:15">
      <c r="A17" s="127" t="s">
        <v>381</v>
      </c>
      <c r="B17" s="124">
        <v>400</v>
      </c>
      <c r="C17" s="125">
        <v>155</v>
      </c>
      <c r="D17" s="125">
        <v>263</v>
      </c>
      <c r="E17" s="124">
        <v>200</v>
      </c>
      <c r="F17" s="125">
        <v>155</v>
      </c>
      <c r="G17" s="125">
        <v>185</v>
      </c>
      <c r="J17" s="298"/>
      <c r="K17" s="127" t="s">
        <v>381</v>
      </c>
      <c r="L17" s="125">
        <v>155</v>
      </c>
      <c r="M17" s="125">
        <v>263</v>
      </c>
      <c r="N17" s="125">
        <v>155</v>
      </c>
      <c r="O17" s="125">
        <v>185</v>
      </c>
    </row>
    <row r="18" spans="1:15">
      <c r="A18" s="127" t="s">
        <v>382</v>
      </c>
      <c r="B18" s="124">
        <v>400</v>
      </c>
      <c r="C18" s="125"/>
      <c r="D18" s="125"/>
      <c r="E18" s="124">
        <v>200</v>
      </c>
      <c r="F18" s="125"/>
      <c r="G18" s="125"/>
      <c r="J18" s="298"/>
      <c r="K18" s="127" t="s">
        <v>382</v>
      </c>
      <c r="L18" s="125"/>
      <c r="M18" s="125"/>
      <c r="N18" s="125"/>
      <c r="O18" s="125"/>
    </row>
    <row r="19" spans="1:15">
      <c r="J19" s="298"/>
      <c r="K19" s="123" t="s">
        <v>383</v>
      </c>
      <c r="L19" s="123">
        <f>AVERAGE(L7:L18)</f>
        <v>244.72727272727272</v>
      </c>
      <c r="M19" s="123">
        <f>MAX(M7:M18)</f>
        <v>576</v>
      </c>
      <c r="N19" s="123">
        <f>AVERAGE(N7:N18)</f>
        <v>246.09090909090909</v>
      </c>
      <c r="O19" s="123">
        <f>MAX(O7:O18)</f>
        <v>373</v>
      </c>
    </row>
    <row r="21" spans="1:15" ht="30">
      <c r="J21" s="122">
        <f>+A6</f>
        <v>2022</v>
      </c>
      <c r="K21" s="122" t="s">
        <v>370</v>
      </c>
      <c r="L21" s="128" t="s">
        <v>365</v>
      </c>
      <c r="M21" s="128" t="s">
        <v>366</v>
      </c>
      <c r="N21" s="128" t="s">
        <v>368</v>
      </c>
      <c r="O21" s="128" t="s">
        <v>369</v>
      </c>
    </row>
    <row r="22" spans="1:15">
      <c r="J22" s="298" t="s">
        <v>169</v>
      </c>
      <c r="K22" s="127" t="s">
        <v>371</v>
      </c>
      <c r="L22" s="125"/>
      <c r="M22" s="125"/>
      <c r="N22" s="125"/>
      <c r="O22" s="125"/>
    </row>
    <row r="23" spans="1:15">
      <c r="J23" s="298"/>
      <c r="K23" s="127" t="s">
        <v>372</v>
      </c>
      <c r="L23" s="125"/>
      <c r="M23" s="125"/>
      <c r="N23" s="125"/>
      <c r="O23" s="125"/>
    </row>
    <row r="24" spans="1:15">
      <c r="J24" s="298"/>
      <c r="K24" s="127" t="s">
        <v>373</v>
      </c>
      <c r="L24" s="125"/>
      <c r="M24" s="125"/>
      <c r="N24" s="125"/>
      <c r="O24" s="125"/>
    </row>
    <row r="25" spans="1:15">
      <c r="J25" s="298"/>
      <c r="K25" s="127" t="s">
        <v>374</v>
      </c>
      <c r="L25" s="125"/>
      <c r="M25" s="125"/>
      <c r="N25" s="125"/>
      <c r="O25" s="125"/>
    </row>
    <row r="26" spans="1:15">
      <c r="J26" s="298"/>
      <c r="K26" s="127" t="s">
        <v>375</v>
      </c>
      <c r="L26" s="125"/>
      <c r="M26" s="125"/>
      <c r="N26" s="125"/>
      <c r="O26" s="125"/>
    </row>
    <row r="27" spans="1:15">
      <c r="J27" s="298"/>
      <c r="K27" s="127" t="s">
        <v>376</v>
      </c>
      <c r="L27" s="125"/>
      <c r="M27" s="125"/>
      <c r="N27" s="125"/>
      <c r="O27" s="125"/>
    </row>
    <row r="28" spans="1:15">
      <c r="J28" s="298"/>
      <c r="K28" s="127" t="s">
        <v>377</v>
      </c>
      <c r="L28" s="125"/>
      <c r="M28" s="125"/>
      <c r="N28" s="125"/>
      <c r="O28" s="125"/>
    </row>
    <row r="29" spans="1:15">
      <c r="J29" s="298"/>
      <c r="K29" s="127" t="s">
        <v>378</v>
      </c>
      <c r="L29" s="125"/>
      <c r="M29" s="125"/>
      <c r="N29" s="125"/>
      <c r="O29" s="125"/>
    </row>
    <row r="30" spans="1:15">
      <c r="J30" s="298"/>
      <c r="K30" s="127" t="s">
        <v>379</v>
      </c>
      <c r="L30" s="125"/>
      <c r="M30" s="125"/>
      <c r="N30" s="125"/>
      <c r="O30" s="125"/>
    </row>
    <row r="31" spans="1:15">
      <c r="J31" s="298"/>
      <c r="K31" s="127" t="s">
        <v>380</v>
      </c>
      <c r="L31" s="125"/>
      <c r="M31" s="125"/>
      <c r="N31" s="125"/>
      <c r="O31" s="125"/>
    </row>
    <row r="32" spans="1:15">
      <c r="J32" s="298"/>
      <c r="K32" s="127" t="s">
        <v>381</v>
      </c>
      <c r="L32" s="125"/>
      <c r="M32" s="125"/>
      <c r="N32" s="125"/>
      <c r="O32" s="125"/>
    </row>
    <row r="33" spans="1:15">
      <c r="J33" s="298"/>
      <c r="K33" s="127" t="s">
        <v>382</v>
      </c>
      <c r="L33" s="125"/>
      <c r="M33" s="125"/>
      <c r="N33" s="125"/>
      <c r="O33" s="125"/>
    </row>
    <row r="34" spans="1:15">
      <c r="J34" s="298"/>
      <c r="K34" s="123" t="s">
        <v>383</v>
      </c>
      <c r="L34" s="123" t="e">
        <f>AVERAGE(L22:L33)</f>
        <v>#DIV/0!</v>
      </c>
      <c r="M34" s="123">
        <f>MAX(M22:M33)</f>
        <v>0</v>
      </c>
      <c r="N34" s="123" t="e">
        <f>AVERAGE(N22:N33)</f>
        <v>#DIV/0!</v>
      </c>
      <c r="O34" s="123">
        <f>MAX(O22:O33)</f>
        <v>0</v>
      </c>
    </row>
    <row r="36" spans="1:15" ht="30">
      <c r="J36" s="122">
        <f>+A6</f>
        <v>2022</v>
      </c>
      <c r="K36" s="122" t="s">
        <v>370</v>
      </c>
      <c r="L36" s="128" t="s">
        <v>365</v>
      </c>
      <c r="M36" s="128" t="s">
        <v>366</v>
      </c>
      <c r="N36" s="128" t="s">
        <v>368</v>
      </c>
      <c r="O36" s="128" t="s">
        <v>369</v>
      </c>
    </row>
    <row r="37" spans="1:15">
      <c r="J37" s="298" t="s">
        <v>170</v>
      </c>
      <c r="K37" s="127" t="s">
        <v>371</v>
      </c>
      <c r="L37" s="125"/>
      <c r="M37" s="125"/>
      <c r="N37" s="125"/>
      <c r="O37" s="125"/>
    </row>
    <row r="38" spans="1:15">
      <c r="J38" s="298"/>
      <c r="K38" s="127" t="s">
        <v>372</v>
      </c>
      <c r="L38" s="125"/>
      <c r="M38" s="125"/>
      <c r="N38" s="125"/>
      <c r="O38" s="125"/>
    </row>
    <row r="39" spans="1:15">
      <c r="J39" s="298"/>
      <c r="K39" s="127" t="s">
        <v>373</v>
      </c>
      <c r="L39" s="125"/>
      <c r="M39" s="125"/>
      <c r="N39" s="125"/>
      <c r="O39" s="125"/>
    </row>
    <row r="40" spans="1:15">
      <c r="J40" s="298"/>
      <c r="K40" s="127" t="s">
        <v>374</v>
      </c>
      <c r="L40" s="125"/>
      <c r="M40" s="125"/>
      <c r="N40" s="125"/>
      <c r="O40" s="125"/>
    </row>
    <row r="41" spans="1:15">
      <c r="J41" s="298"/>
      <c r="K41" s="127" t="s">
        <v>375</v>
      </c>
      <c r="L41" s="125"/>
      <c r="M41" s="125"/>
      <c r="N41" s="125"/>
      <c r="O41" s="125"/>
    </row>
    <row r="42" spans="1:15">
      <c r="J42" s="298"/>
      <c r="K42" s="127" t="s">
        <v>376</v>
      </c>
      <c r="L42" s="125"/>
      <c r="M42" s="125"/>
      <c r="N42" s="125"/>
      <c r="O42" s="125"/>
    </row>
    <row r="43" spans="1:15">
      <c r="J43" s="298"/>
      <c r="K43" s="127" t="s">
        <v>377</v>
      </c>
      <c r="L43" s="125"/>
      <c r="M43" s="125"/>
      <c r="N43" s="125"/>
      <c r="O43" s="125"/>
    </row>
    <row r="44" spans="1:15">
      <c r="J44" s="298"/>
      <c r="K44" s="127" t="s">
        <v>378</v>
      </c>
      <c r="L44" s="125"/>
      <c r="M44" s="125"/>
      <c r="N44" s="125"/>
      <c r="O44" s="125"/>
    </row>
    <row r="45" spans="1:15">
      <c r="J45" s="298"/>
      <c r="K45" s="127" t="s">
        <v>379</v>
      </c>
      <c r="L45" s="125"/>
      <c r="M45" s="125"/>
      <c r="N45" s="125"/>
      <c r="O45" s="125"/>
    </row>
    <row r="46" spans="1:15">
      <c r="J46" s="298"/>
      <c r="K46" s="127" t="s">
        <v>380</v>
      </c>
      <c r="L46" s="125"/>
      <c r="M46" s="125"/>
      <c r="N46" s="125"/>
      <c r="O46" s="125"/>
    </row>
    <row r="47" spans="1:15">
      <c r="J47" s="298"/>
      <c r="K47" s="127" t="s">
        <v>381</v>
      </c>
      <c r="L47" s="125"/>
      <c r="M47" s="125"/>
      <c r="N47" s="125"/>
      <c r="O47" s="125"/>
    </row>
    <row r="48" spans="1:15" ht="15">
      <c r="A48" s="310" t="s">
        <v>249</v>
      </c>
      <c r="B48" s="311"/>
      <c r="C48" s="311"/>
      <c r="D48" s="311"/>
      <c r="E48" s="311"/>
      <c r="F48" s="311"/>
      <c r="G48" s="312"/>
      <c r="J48" s="298"/>
      <c r="K48" s="127" t="s">
        <v>382</v>
      </c>
      <c r="L48" s="125"/>
      <c r="M48" s="125"/>
      <c r="N48" s="125"/>
      <c r="O48" s="125"/>
    </row>
    <row r="49" spans="1:15">
      <c r="A49" s="301" t="s">
        <v>384</v>
      </c>
      <c r="B49" s="302"/>
      <c r="C49" s="302"/>
      <c r="D49" s="302"/>
      <c r="E49" s="302"/>
      <c r="F49" s="302"/>
      <c r="G49" s="303"/>
      <c r="J49" s="298"/>
      <c r="K49" s="123" t="s">
        <v>383</v>
      </c>
      <c r="L49" s="123" t="e">
        <f>AVERAGE(L37:L48)</f>
        <v>#DIV/0!</v>
      </c>
      <c r="M49" s="123">
        <f>MAX(M37:M48)</f>
        <v>0</v>
      </c>
      <c r="N49" s="123" t="e">
        <f>AVERAGE(N37:N48)</f>
        <v>#DIV/0!</v>
      </c>
      <c r="O49" s="123">
        <f>MAX(O37:O48)</f>
        <v>0</v>
      </c>
    </row>
    <row r="50" spans="1:15">
      <c r="A50" s="304"/>
      <c r="B50" s="305"/>
      <c r="C50" s="305"/>
      <c r="D50" s="305"/>
      <c r="E50" s="305"/>
      <c r="F50" s="305"/>
      <c r="G50" s="306"/>
    </row>
    <row r="51" spans="1:15" ht="30">
      <c r="A51" s="304"/>
      <c r="B51" s="305"/>
      <c r="C51" s="305"/>
      <c r="D51" s="305"/>
      <c r="E51" s="305"/>
      <c r="F51" s="305"/>
      <c r="G51" s="306"/>
      <c r="J51" s="122">
        <f>+A6</f>
        <v>2022</v>
      </c>
      <c r="K51" s="122" t="s">
        <v>370</v>
      </c>
      <c r="L51" s="128" t="s">
        <v>365</v>
      </c>
      <c r="M51" s="128" t="s">
        <v>366</v>
      </c>
      <c r="N51" s="128" t="s">
        <v>368</v>
      </c>
      <c r="O51" s="128" t="s">
        <v>369</v>
      </c>
    </row>
    <row r="52" spans="1:15">
      <c r="A52" s="307"/>
      <c r="B52" s="308"/>
      <c r="C52" s="308"/>
      <c r="D52" s="308"/>
      <c r="E52" s="308"/>
      <c r="F52" s="308"/>
      <c r="G52" s="309"/>
      <c r="J52" s="298" t="s">
        <v>171</v>
      </c>
      <c r="K52" s="127" t="s">
        <v>371</v>
      </c>
      <c r="L52" s="125"/>
      <c r="M52" s="125"/>
      <c r="N52" s="125"/>
      <c r="O52" s="125"/>
    </row>
    <row r="53" spans="1:15">
      <c r="J53" s="298"/>
      <c r="K53" s="127" t="s">
        <v>372</v>
      </c>
      <c r="L53" s="125"/>
      <c r="M53" s="125"/>
      <c r="N53" s="125"/>
      <c r="O53" s="125"/>
    </row>
    <row r="54" spans="1:15">
      <c r="J54" s="298"/>
      <c r="K54" s="127" t="s">
        <v>373</v>
      </c>
      <c r="L54" s="125"/>
      <c r="M54" s="125"/>
      <c r="N54" s="125"/>
      <c r="O54" s="125"/>
    </row>
    <row r="55" spans="1:15">
      <c r="J55" s="298"/>
      <c r="K55" s="127" t="s">
        <v>374</v>
      </c>
      <c r="L55" s="125"/>
      <c r="M55" s="125"/>
      <c r="N55" s="125"/>
      <c r="O55" s="125"/>
    </row>
    <row r="56" spans="1:15">
      <c r="J56" s="298"/>
      <c r="K56" s="127" t="s">
        <v>375</v>
      </c>
      <c r="L56" s="125"/>
      <c r="M56" s="125"/>
      <c r="N56" s="125"/>
      <c r="O56" s="125"/>
    </row>
    <row r="57" spans="1:15">
      <c r="J57" s="298"/>
      <c r="K57" s="127" t="s">
        <v>376</v>
      </c>
      <c r="L57" s="125"/>
      <c r="M57" s="125"/>
      <c r="N57" s="125"/>
      <c r="O57" s="125"/>
    </row>
    <row r="58" spans="1:15">
      <c r="J58" s="298"/>
      <c r="K58" s="127" t="s">
        <v>377</v>
      </c>
      <c r="L58" s="125"/>
      <c r="M58" s="125"/>
      <c r="N58" s="125"/>
      <c r="O58" s="125"/>
    </row>
    <row r="59" spans="1:15">
      <c r="J59" s="298"/>
      <c r="K59" s="127" t="s">
        <v>378</v>
      </c>
      <c r="L59" s="125"/>
      <c r="M59" s="125"/>
      <c r="N59" s="125"/>
      <c r="O59" s="125"/>
    </row>
    <row r="60" spans="1:15">
      <c r="J60" s="298"/>
      <c r="K60" s="127" t="s">
        <v>379</v>
      </c>
      <c r="L60" s="125"/>
      <c r="M60" s="125"/>
      <c r="N60" s="125"/>
      <c r="O60" s="125"/>
    </row>
    <row r="61" spans="1:15">
      <c r="J61" s="298"/>
      <c r="K61" s="127" t="s">
        <v>380</v>
      </c>
      <c r="L61" s="125"/>
      <c r="M61" s="125"/>
      <c r="N61" s="125"/>
      <c r="O61" s="125"/>
    </row>
    <row r="62" spans="1:15">
      <c r="J62" s="298"/>
      <c r="K62" s="127" t="s">
        <v>381</v>
      </c>
      <c r="L62" s="125"/>
      <c r="M62" s="125"/>
      <c r="N62" s="125"/>
      <c r="O62" s="125"/>
    </row>
    <row r="63" spans="1:15">
      <c r="J63" s="298"/>
      <c r="K63" s="127" t="s">
        <v>382</v>
      </c>
      <c r="L63" s="125"/>
      <c r="M63" s="125"/>
      <c r="N63" s="125"/>
      <c r="O63" s="125"/>
    </row>
    <row r="64" spans="1:15">
      <c r="J64" s="298"/>
      <c r="K64" s="123" t="s">
        <v>383</v>
      </c>
      <c r="L64" s="123" t="e">
        <f>AVERAGE(L52:L63)</f>
        <v>#DIV/0!</v>
      </c>
      <c r="M64" s="123">
        <f>MAX(M52:M63)</f>
        <v>0</v>
      </c>
      <c r="N64" s="123" t="e">
        <f>AVERAGE(N52:N63)</f>
        <v>#DIV/0!</v>
      </c>
      <c r="O64" s="123">
        <f>MAX(O52:O63)</f>
        <v>0</v>
      </c>
    </row>
    <row r="66" spans="10:15" ht="30">
      <c r="J66" s="122">
        <f>+A6</f>
        <v>2022</v>
      </c>
      <c r="K66" s="122" t="s">
        <v>370</v>
      </c>
      <c r="L66" s="128" t="s">
        <v>365</v>
      </c>
      <c r="M66" s="128" t="s">
        <v>366</v>
      </c>
      <c r="N66" s="128" t="s">
        <v>368</v>
      </c>
      <c r="O66" s="128" t="s">
        <v>369</v>
      </c>
    </row>
    <row r="67" spans="10:15">
      <c r="J67" s="298" t="s">
        <v>172</v>
      </c>
      <c r="K67" s="127" t="s">
        <v>371</v>
      </c>
      <c r="L67" s="125"/>
      <c r="M67" s="125"/>
      <c r="N67" s="125"/>
      <c r="O67" s="125"/>
    </row>
    <row r="68" spans="10:15">
      <c r="J68" s="298"/>
      <c r="K68" s="127" t="s">
        <v>372</v>
      </c>
      <c r="L68" s="125"/>
      <c r="M68" s="125"/>
      <c r="N68" s="125"/>
      <c r="O68" s="125"/>
    </row>
    <row r="69" spans="10:15">
      <c r="J69" s="298"/>
      <c r="K69" s="127" t="s">
        <v>373</v>
      </c>
      <c r="L69" s="125"/>
      <c r="M69" s="125"/>
      <c r="N69" s="125"/>
      <c r="O69" s="125"/>
    </row>
    <row r="70" spans="10:15">
      <c r="J70" s="298"/>
      <c r="K70" s="127" t="s">
        <v>374</v>
      </c>
      <c r="L70" s="125"/>
      <c r="M70" s="125"/>
      <c r="N70" s="125"/>
      <c r="O70" s="125"/>
    </row>
    <row r="71" spans="10:15">
      <c r="J71" s="298"/>
      <c r="K71" s="127" t="s">
        <v>375</v>
      </c>
      <c r="L71" s="125"/>
      <c r="M71" s="125"/>
      <c r="N71" s="125"/>
      <c r="O71" s="125"/>
    </row>
    <row r="72" spans="10:15">
      <c r="J72" s="298"/>
      <c r="K72" s="127" t="s">
        <v>376</v>
      </c>
      <c r="L72" s="125"/>
      <c r="M72" s="125"/>
      <c r="N72" s="125"/>
      <c r="O72" s="125"/>
    </row>
    <row r="73" spans="10:15">
      <c r="J73" s="298"/>
      <c r="K73" s="127" t="s">
        <v>377</v>
      </c>
      <c r="L73" s="125"/>
      <c r="M73" s="125"/>
      <c r="N73" s="125"/>
      <c r="O73" s="125"/>
    </row>
    <row r="74" spans="10:15">
      <c r="J74" s="298"/>
      <c r="K74" s="127" t="s">
        <v>378</v>
      </c>
      <c r="L74" s="125"/>
      <c r="M74" s="125"/>
      <c r="N74" s="125"/>
      <c r="O74" s="125"/>
    </row>
    <row r="75" spans="10:15">
      <c r="J75" s="298"/>
      <c r="K75" s="127" t="s">
        <v>379</v>
      </c>
      <c r="L75" s="125"/>
      <c r="M75" s="125"/>
      <c r="N75" s="125"/>
      <c r="O75" s="125"/>
    </row>
    <row r="76" spans="10:15">
      <c r="J76" s="298"/>
      <c r="K76" s="127" t="s">
        <v>380</v>
      </c>
      <c r="L76" s="125"/>
      <c r="M76" s="125"/>
      <c r="N76" s="125"/>
      <c r="O76" s="125"/>
    </row>
    <row r="77" spans="10:15">
      <c r="J77" s="298"/>
      <c r="K77" s="127" t="s">
        <v>381</v>
      </c>
      <c r="L77" s="125"/>
      <c r="M77" s="125"/>
      <c r="N77" s="125"/>
      <c r="O77" s="125"/>
    </row>
    <row r="78" spans="10:15">
      <c r="J78" s="298"/>
      <c r="K78" s="127" t="s">
        <v>382</v>
      </c>
      <c r="L78" s="125"/>
      <c r="M78" s="125"/>
      <c r="N78" s="125"/>
      <c r="O78" s="125"/>
    </row>
    <row r="79" spans="10:15">
      <c r="J79" s="298"/>
      <c r="K79" s="123" t="s">
        <v>383</v>
      </c>
      <c r="L79" s="123" t="e">
        <f>AVERAGE(L67:L78)</f>
        <v>#DIV/0!</v>
      </c>
      <c r="M79" s="123">
        <f>MAX(M67:M78)</f>
        <v>0</v>
      </c>
      <c r="N79" s="123" t="e">
        <f>AVERAGE(N67:N78)</f>
        <v>#DIV/0!</v>
      </c>
      <c r="O79" s="123">
        <f>MAX(O67:O78)</f>
        <v>0</v>
      </c>
    </row>
  </sheetData>
  <mergeCells count="10">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O79"/>
  <sheetViews>
    <sheetView showGridLines="0" zoomScaleNormal="100" workbookViewId="0">
      <selection activeCell="N7" sqref="N7:O17"/>
    </sheetView>
  </sheetViews>
  <sheetFormatPr defaultRowHeight="14.25"/>
  <cols>
    <col min="1" max="1" width="14" style="3" customWidth="1"/>
    <col min="2" max="4" width="17" style="77" customWidth="1"/>
    <col min="5" max="5" width="14.85546875" style="77" customWidth="1"/>
    <col min="6" max="7" width="17" style="77" customWidth="1"/>
    <col min="8" max="11" width="9.140625" style="3"/>
    <col min="12" max="12" width="15.42578125" style="3" customWidth="1"/>
    <col min="13" max="13" width="17.42578125" style="3" bestFit="1" customWidth="1"/>
    <col min="14" max="14" width="13.85546875" style="3" customWidth="1"/>
    <col min="15" max="15" width="15" style="3" customWidth="1"/>
    <col min="16" max="256" width="9.140625" style="3"/>
    <col min="257" max="257" width="14" style="3" customWidth="1"/>
    <col min="258" max="263" width="10.140625" style="3" customWidth="1"/>
    <col min="264" max="512" width="9.140625" style="3"/>
    <col min="513" max="513" width="14" style="3" customWidth="1"/>
    <col min="514" max="519" width="10.140625" style="3" customWidth="1"/>
    <col min="520" max="768" width="9.140625" style="3"/>
    <col min="769" max="769" width="14" style="3" customWidth="1"/>
    <col min="770" max="775" width="10.140625" style="3" customWidth="1"/>
    <col min="776" max="1024" width="9.140625" style="3"/>
    <col min="1025" max="1025" width="14" style="3" customWidth="1"/>
    <col min="1026" max="1031" width="10.140625" style="3" customWidth="1"/>
    <col min="1032" max="1280" width="9.140625" style="3"/>
    <col min="1281" max="1281" width="14" style="3" customWidth="1"/>
    <col min="1282" max="1287" width="10.140625" style="3" customWidth="1"/>
    <col min="1288" max="1536" width="9.140625" style="3"/>
    <col min="1537" max="1537" width="14" style="3" customWidth="1"/>
    <col min="1538" max="1543" width="10.140625" style="3" customWidth="1"/>
    <col min="1544" max="1792" width="9.140625" style="3"/>
    <col min="1793" max="1793" width="14" style="3" customWidth="1"/>
    <col min="1794" max="1799" width="10.140625" style="3" customWidth="1"/>
    <col min="1800" max="2048" width="9.140625" style="3"/>
    <col min="2049" max="2049" width="14" style="3" customWidth="1"/>
    <col min="2050" max="2055" width="10.140625" style="3" customWidth="1"/>
    <col min="2056" max="2304" width="9.140625" style="3"/>
    <col min="2305" max="2305" width="14" style="3" customWidth="1"/>
    <col min="2306" max="2311" width="10.140625" style="3" customWidth="1"/>
    <col min="2312" max="2560" width="9.140625" style="3"/>
    <col min="2561" max="2561" width="14" style="3" customWidth="1"/>
    <col min="2562" max="2567" width="10.140625" style="3" customWidth="1"/>
    <col min="2568" max="2816" width="9.140625" style="3"/>
    <col min="2817" max="2817" width="14" style="3" customWidth="1"/>
    <col min="2818" max="2823" width="10.140625" style="3" customWidth="1"/>
    <col min="2824" max="3072" width="9.140625" style="3"/>
    <col min="3073" max="3073" width="14" style="3" customWidth="1"/>
    <col min="3074" max="3079" width="10.140625" style="3" customWidth="1"/>
    <col min="3080" max="3328" width="9.140625" style="3"/>
    <col min="3329" max="3329" width="14" style="3" customWidth="1"/>
    <col min="3330" max="3335" width="10.140625" style="3" customWidth="1"/>
    <col min="3336" max="3584" width="9.140625" style="3"/>
    <col min="3585" max="3585" width="14" style="3" customWidth="1"/>
    <col min="3586" max="3591" width="10.140625" style="3" customWidth="1"/>
    <col min="3592" max="3840" width="9.140625" style="3"/>
    <col min="3841" max="3841" width="14" style="3" customWidth="1"/>
    <col min="3842" max="3847" width="10.140625" style="3" customWidth="1"/>
    <col min="3848" max="4096" width="9.140625" style="3"/>
    <col min="4097" max="4097" width="14" style="3" customWidth="1"/>
    <col min="4098" max="4103" width="10.140625" style="3" customWidth="1"/>
    <col min="4104" max="4352" width="9.140625" style="3"/>
    <col min="4353" max="4353" width="14" style="3" customWidth="1"/>
    <col min="4354" max="4359" width="10.140625" style="3" customWidth="1"/>
    <col min="4360" max="4608" width="9.140625" style="3"/>
    <col min="4609" max="4609" width="14" style="3" customWidth="1"/>
    <col min="4610" max="4615" width="10.140625" style="3" customWidth="1"/>
    <col min="4616" max="4864" width="9.140625" style="3"/>
    <col min="4865" max="4865" width="14" style="3" customWidth="1"/>
    <col min="4866" max="4871" width="10.140625" style="3" customWidth="1"/>
    <col min="4872" max="5120" width="9.140625" style="3"/>
    <col min="5121" max="5121" width="14" style="3" customWidth="1"/>
    <col min="5122" max="5127" width="10.140625" style="3" customWidth="1"/>
    <col min="5128" max="5376" width="9.140625" style="3"/>
    <col min="5377" max="5377" width="14" style="3" customWidth="1"/>
    <col min="5378" max="5383" width="10.140625" style="3" customWidth="1"/>
    <col min="5384" max="5632" width="9.140625" style="3"/>
    <col min="5633" max="5633" width="14" style="3" customWidth="1"/>
    <col min="5634" max="5639" width="10.140625" style="3" customWidth="1"/>
    <col min="5640" max="5888" width="9.140625" style="3"/>
    <col min="5889" max="5889" width="14" style="3" customWidth="1"/>
    <col min="5890" max="5895" width="10.140625" style="3" customWidth="1"/>
    <col min="5896" max="6144" width="9.140625" style="3"/>
    <col min="6145" max="6145" width="14" style="3" customWidth="1"/>
    <col min="6146" max="6151" width="10.140625" style="3" customWidth="1"/>
    <col min="6152" max="6400" width="9.140625" style="3"/>
    <col min="6401" max="6401" width="14" style="3" customWidth="1"/>
    <col min="6402" max="6407" width="10.140625" style="3" customWidth="1"/>
    <col min="6408" max="6656" width="9.140625" style="3"/>
    <col min="6657" max="6657" width="14" style="3" customWidth="1"/>
    <col min="6658" max="6663" width="10.140625" style="3" customWidth="1"/>
    <col min="6664" max="6912" width="9.140625" style="3"/>
    <col min="6913" max="6913" width="14" style="3" customWidth="1"/>
    <col min="6914" max="6919" width="10.140625" style="3" customWidth="1"/>
    <col min="6920" max="7168" width="9.140625" style="3"/>
    <col min="7169" max="7169" width="14" style="3" customWidth="1"/>
    <col min="7170" max="7175" width="10.140625" style="3" customWidth="1"/>
    <col min="7176" max="7424" width="9.140625" style="3"/>
    <col min="7425" max="7425" width="14" style="3" customWidth="1"/>
    <col min="7426" max="7431" width="10.140625" style="3" customWidth="1"/>
    <col min="7432" max="7680" width="9.140625" style="3"/>
    <col min="7681" max="7681" width="14" style="3" customWidth="1"/>
    <col min="7682" max="7687" width="10.140625" style="3" customWidth="1"/>
    <col min="7688" max="7936" width="9.140625" style="3"/>
    <col min="7937" max="7937" width="14" style="3" customWidth="1"/>
    <col min="7938" max="7943" width="10.140625" style="3" customWidth="1"/>
    <col min="7944" max="8192" width="9.140625" style="3"/>
    <col min="8193" max="8193" width="14" style="3" customWidth="1"/>
    <col min="8194" max="8199" width="10.140625" style="3" customWidth="1"/>
    <col min="8200" max="8448" width="9.140625" style="3"/>
    <col min="8449" max="8449" width="14" style="3" customWidth="1"/>
    <col min="8450" max="8455" width="10.140625" style="3" customWidth="1"/>
    <col min="8456" max="8704" width="9.140625" style="3"/>
    <col min="8705" max="8705" width="14" style="3" customWidth="1"/>
    <col min="8706" max="8711" width="10.140625" style="3" customWidth="1"/>
    <col min="8712" max="8960" width="9.140625" style="3"/>
    <col min="8961" max="8961" width="14" style="3" customWidth="1"/>
    <col min="8962" max="8967" width="10.140625" style="3" customWidth="1"/>
    <col min="8968" max="9216" width="9.140625" style="3"/>
    <col min="9217" max="9217" width="14" style="3" customWidth="1"/>
    <col min="9218" max="9223" width="10.140625" style="3" customWidth="1"/>
    <col min="9224" max="9472" width="9.140625" style="3"/>
    <col min="9473" max="9473" width="14" style="3" customWidth="1"/>
    <col min="9474" max="9479" width="10.140625" style="3" customWidth="1"/>
    <col min="9480" max="9728" width="9.140625" style="3"/>
    <col min="9729" max="9729" width="14" style="3" customWidth="1"/>
    <col min="9730" max="9735" width="10.140625" style="3" customWidth="1"/>
    <col min="9736" max="9984" width="9.140625" style="3"/>
    <col min="9985" max="9985" width="14" style="3" customWidth="1"/>
    <col min="9986" max="9991" width="10.140625" style="3" customWidth="1"/>
    <col min="9992" max="10240" width="9.140625" style="3"/>
    <col min="10241" max="10241" width="14" style="3" customWidth="1"/>
    <col min="10242" max="10247" width="10.140625" style="3" customWidth="1"/>
    <col min="10248" max="10496" width="9.140625" style="3"/>
    <col min="10497" max="10497" width="14" style="3" customWidth="1"/>
    <col min="10498" max="10503" width="10.140625" style="3" customWidth="1"/>
    <col min="10504" max="10752" width="9.140625" style="3"/>
    <col min="10753" max="10753" width="14" style="3" customWidth="1"/>
    <col min="10754" max="10759" width="10.140625" style="3" customWidth="1"/>
    <col min="10760" max="11008" width="9.140625" style="3"/>
    <col min="11009" max="11009" width="14" style="3" customWidth="1"/>
    <col min="11010" max="11015" width="10.140625" style="3" customWidth="1"/>
    <col min="11016" max="11264" width="9.140625" style="3"/>
    <col min="11265" max="11265" width="14" style="3" customWidth="1"/>
    <col min="11266" max="11271" width="10.140625" style="3" customWidth="1"/>
    <col min="11272" max="11520" width="9.140625" style="3"/>
    <col min="11521" max="11521" width="14" style="3" customWidth="1"/>
    <col min="11522" max="11527" width="10.140625" style="3" customWidth="1"/>
    <col min="11528" max="11776" width="9.140625" style="3"/>
    <col min="11777" max="11777" width="14" style="3" customWidth="1"/>
    <col min="11778" max="11783" width="10.140625" style="3" customWidth="1"/>
    <col min="11784" max="12032" width="9.140625" style="3"/>
    <col min="12033" max="12033" width="14" style="3" customWidth="1"/>
    <col min="12034" max="12039" width="10.140625" style="3" customWidth="1"/>
    <col min="12040" max="12288" width="9.140625" style="3"/>
    <col min="12289" max="12289" width="14" style="3" customWidth="1"/>
    <col min="12290" max="12295" width="10.140625" style="3" customWidth="1"/>
    <col min="12296" max="12544" width="9.140625" style="3"/>
    <col min="12545" max="12545" width="14" style="3" customWidth="1"/>
    <col min="12546" max="12551" width="10.140625" style="3" customWidth="1"/>
    <col min="12552" max="12800" width="9.140625" style="3"/>
    <col min="12801" max="12801" width="14" style="3" customWidth="1"/>
    <col min="12802" max="12807" width="10.140625" style="3" customWidth="1"/>
    <col min="12808" max="13056" width="9.140625" style="3"/>
    <col min="13057" max="13057" width="14" style="3" customWidth="1"/>
    <col min="13058" max="13063" width="10.140625" style="3" customWidth="1"/>
    <col min="13064" max="13312" width="9.140625" style="3"/>
    <col min="13313" max="13313" width="14" style="3" customWidth="1"/>
    <col min="13314" max="13319" width="10.140625" style="3" customWidth="1"/>
    <col min="13320" max="13568" width="9.140625" style="3"/>
    <col min="13569" max="13569" width="14" style="3" customWidth="1"/>
    <col min="13570" max="13575" width="10.140625" style="3" customWidth="1"/>
    <col min="13576" max="13824" width="9.140625" style="3"/>
    <col min="13825" max="13825" width="14" style="3" customWidth="1"/>
    <col min="13826" max="13831" width="10.140625" style="3" customWidth="1"/>
    <col min="13832" max="14080" width="9.140625" style="3"/>
    <col min="14081" max="14081" width="14" style="3" customWidth="1"/>
    <col min="14082" max="14087" width="10.140625" style="3" customWidth="1"/>
    <col min="14088" max="14336" width="9.140625" style="3"/>
    <col min="14337" max="14337" width="14" style="3" customWidth="1"/>
    <col min="14338" max="14343" width="10.140625" style="3" customWidth="1"/>
    <col min="14344" max="14592" width="9.140625" style="3"/>
    <col min="14593" max="14593" width="14" style="3" customWidth="1"/>
    <col min="14594" max="14599" width="10.140625" style="3" customWidth="1"/>
    <col min="14600" max="14848" width="9.140625" style="3"/>
    <col min="14849" max="14849" width="14" style="3" customWidth="1"/>
    <col min="14850" max="14855" width="10.140625" style="3" customWidth="1"/>
    <col min="14856" max="15104" width="9.140625" style="3"/>
    <col min="15105" max="15105" width="14" style="3" customWidth="1"/>
    <col min="15106" max="15111" width="10.140625" style="3" customWidth="1"/>
    <col min="15112" max="15360" width="9.140625" style="3"/>
    <col min="15361" max="15361" width="14" style="3" customWidth="1"/>
    <col min="15362" max="15367" width="10.140625" style="3" customWidth="1"/>
    <col min="15368" max="15616" width="9.140625" style="3"/>
    <col min="15617" max="15617" width="14" style="3" customWidth="1"/>
    <col min="15618" max="15623" width="10.140625" style="3" customWidth="1"/>
    <col min="15624" max="15872" width="9.140625" style="3"/>
    <col min="15873" max="15873" width="14" style="3" customWidth="1"/>
    <col min="15874" max="15879" width="10.140625" style="3" customWidth="1"/>
    <col min="15880" max="16128" width="9.140625" style="3"/>
    <col min="16129" max="16129" width="14" style="3" customWidth="1"/>
    <col min="16130" max="16135" width="10.140625" style="3" customWidth="1"/>
    <col min="16136" max="16384" width="9.140625" style="3"/>
  </cols>
  <sheetData>
    <row r="1" spans="1:15" ht="15">
      <c r="A1" s="2" t="str">
        <f>+'Cover Page'!$B$29</f>
        <v>Annual Performance Report 2022</v>
      </c>
      <c r="B1" s="2"/>
      <c r="C1" s="2"/>
      <c r="D1" s="2"/>
      <c r="E1" s="2" t="str">
        <f>+'Cover Page'!$B$33</f>
        <v>Fine Environmental Services</v>
      </c>
    </row>
    <row r="3" spans="1:15" ht="15">
      <c r="A3" s="121" t="s">
        <v>391</v>
      </c>
    </row>
    <row r="5" spans="1:15" ht="17.25">
      <c r="A5" s="129" t="s">
        <v>361</v>
      </c>
      <c r="B5" s="300" t="s">
        <v>362</v>
      </c>
      <c r="C5" s="300"/>
      <c r="D5" s="300"/>
      <c r="E5" s="300" t="s">
        <v>363</v>
      </c>
      <c r="F5" s="300"/>
      <c r="G5" s="300"/>
      <c r="J5" s="299" t="str">
        <f>+A3</f>
        <v>Monitoring of Total organic carbon emissions</v>
      </c>
      <c r="K5" s="299"/>
      <c r="L5" s="299"/>
      <c r="M5" s="299"/>
      <c r="N5" s="299"/>
      <c r="O5" s="299"/>
    </row>
    <row r="6" spans="1:15" s="119" customFormat="1" ht="37.5" customHeight="1">
      <c r="A6" s="126">
        <f>+'Cover Page'!C39</f>
        <v>2022</v>
      </c>
      <c r="B6" s="115" t="s">
        <v>392</v>
      </c>
      <c r="C6" s="115" t="s">
        <v>365</v>
      </c>
      <c r="D6" s="115" t="s">
        <v>366</v>
      </c>
      <c r="E6" s="115" t="s">
        <v>393</v>
      </c>
      <c r="F6" s="115" t="s">
        <v>368</v>
      </c>
      <c r="G6" s="115" t="s">
        <v>369</v>
      </c>
      <c r="H6" s="120"/>
      <c r="J6" s="122">
        <f>+A6</f>
        <v>2022</v>
      </c>
      <c r="K6" s="122" t="s">
        <v>370</v>
      </c>
      <c r="L6" s="128" t="s">
        <v>365</v>
      </c>
      <c r="M6" s="128" t="s">
        <v>366</v>
      </c>
      <c r="N6" s="128" t="s">
        <v>368</v>
      </c>
      <c r="O6" s="128" t="s">
        <v>369</v>
      </c>
    </row>
    <row r="7" spans="1:15">
      <c r="A7" s="127" t="s">
        <v>371</v>
      </c>
      <c r="B7" s="124">
        <v>20</v>
      </c>
      <c r="C7" s="125">
        <v>2.25</v>
      </c>
      <c r="D7" s="125">
        <v>2.92</v>
      </c>
      <c r="E7" s="124">
        <v>10</v>
      </c>
      <c r="F7" s="125">
        <v>2.17</v>
      </c>
      <c r="G7" s="125">
        <v>2.35</v>
      </c>
      <c r="J7" s="298" t="s">
        <v>168</v>
      </c>
      <c r="K7" s="127" t="s">
        <v>371</v>
      </c>
      <c r="L7" s="125">
        <v>2.25</v>
      </c>
      <c r="M7" s="125">
        <v>2.92</v>
      </c>
      <c r="N7" s="125">
        <v>2.17</v>
      </c>
      <c r="O7" s="125">
        <v>2.35</v>
      </c>
    </row>
    <row r="8" spans="1:15">
      <c r="A8" s="127" t="s">
        <v>372</v>
      </c>
      <c r="B8" s="124">
        <v>20</v>
      </c>
      <c r="C8" s="125">
        <v>2</v>
      </c>
      <c r="D8" s="125">
        <v>5.4</v>
      </c>
      <c r="E8" s="124">
        <v>10</v>
      </c>
      <c r="F8" s="125">
        <v>2.1</v>
      </c>
      <c r="G8" s="125">
        <v>3.1</v>
      </c>
      <c r="J8" s="298"/>
      <c r="K8" s="127" t="s">
        <v>372</v>
      </c>
      <c r="L8" s="125">
        <v>2</v>
      </c>
      <c r="M8" s="125">
        <v>5.4</v>
      </c>
      <c r="N8" s="125">
        <v>2.1</v>
      </c>
      <c r="O8" s="125">
        <v>3.1</v>
      </c>
    </row>
    <row r="9" spans="1:15">
      <c r="A9" s="127" t="s">
        <v>373</v>
      </c>
      <c r="B9" s="124">
        <v>20</v>
      </c>
      <c r="C9" s="125">
        <v>2</v>
      </c>
      <c r="D9" s="125">
        <v>9.84</v>
      </c>
      <c r="E9" s="124">
        <v>10</v>
      </c>
      <c r="F9" s="125">
        <v>2.0299999999999998</v>
      </c>
      <c r="G9" s="125">
        <v>2.86</v>
      </c>
      <c r="J9" s="298"/>
      <c r="K9" s="127" t="s">
        <v>373</v>
      </c>
      <c r="L9" s="125">
        <v>2</v>
      </c>
      <c r="M9" s="125">
        <v>9.84</v>
      </c>
      <c r="N9" s="125">
        <v>2.0299999999999998</v>
      </c>
      <c r="O9" s="125">
        <v>2.86</v>
      </c>
    </row>
    <row r="10" spans="1:15">
      <c r="A10" s="127" t="s">
        <v>374</v>
      </c>
      <c r="B10" s="124">
        <v>20</v>
      </c>
      <c r="C10" s="125">
        <v>1.81</v>
      </c>
      <c r="D10" s="125">
        <v>5.43</v>
      </c>
      <c r="E10" s="124">
        <v>10</v>
      </c>
      <c r="F10" s="125">
        <v>1.82</v>
      </c>
      <c r="G10" s="125">
        <v>2.59</v>
      </c>
      <c r="J10" s="298"/>
      <c r="K10" s="127" t="s">
        <v>374</v>
      </c>
      <c r="L10" s="125">
        <v>1.81</v>
      </c>
      <c r="M10" s="125">
        <v>5.43</v>
      </c>
      <c r="N10" s="125">
        <v>1.82</v>
      </c>
      <c r="O10" s="125">
        <v>2.59</v>
      </c>
    </row>
    <row r="11" spans="1:15">
      <c r="A11" s="127" t="s">
        <v>375</v>
      </c>
      <c r="B11" s="124">
        <v>20</v>
      </c>
      <c r="C11" s="125">
        <v>2.27</v>
      </c>
      <c r="D11" s="125">
        <v>12.5</v>
      </c>
      <c r="E11" s="124">
        <v>10</v>
      </c>
      <c r="F11" s="125">
        <v>2.2799999999999998</v>
      </c>
      <c r="G11" s="125">
        <v>6.07</v>
      </c>
      <c r="J11" s="298"/>
      <c r="K11" s="127" t="s">
        <v>375</v>
      </c>
      <c r="L11" s="125">
        <v>2.27</v>
      </c>
      <c r="M11" s="125">
        <v>12.5</v>
      </c>
      <c r="N11" s="125">
        <v>2.2799999999999998</v>
      </c>
      <c r="O11" s="125">
        <v>6.07</v>
      </c>
    </row>
    <row r="12" spans="1:15">
      <c r="A12" s="127" t="s">
        <v>376</v>
      </c>
      <c r="B12" s="124">
        <v>20</v>
      </c>
      <c r="C12" s="125">
        <v>1.77</v>
      </c>
      <c r="D12" s="125">
        <v>5.7</v>
      </c>
      <c r="E12" s="124">
        <v>10</v>
      </c>
      <c r="F12" s="125">
        <v>1.81</v>
      </c>
      <c r="G12" s="125">
        <v>2.66</v>
      </c>
      <c r="J12" s="298"/>
      <c r="K12" s="127" t="s">
        <v>376</v>
      </c>
      <c r="L12" s="125">
        <v>1.77</v>
      </c>
      <c r="M12" s="125">
        <v>5.7</v>
      </c>
      <c r="N12" s="125">
        <v>1.81</v>
      </c>
      <c r="O12" s="125">
        <v>2.66</v>
      </c>
    </row>
    <row r="13" spans="1:15">
      <c r="A13" s="127" t="s">
        <v>377</v>
      </c>
      <c r="B13" s="124">
        <v>20</v>
      </c>
      <c r="C13" s="125">
        <v>1.82</v>
      </c>
      <c r="D13" s="125">
        <v>9.43</v>
      </c>
      <c r="E13" s="124">
        <v>10</v>
      </c>
      <c r="F13" s="125">
        <v>1.92</v>
      </c>
      <c r="G13" s="125">
        <v>5.77</v>
      </c>
      <c r="J13" s="298"/>
      <c r="K13" s="127" t="s">
        <v>377</v>
      </c>
      <c r="L13" s="125">
        <v>1.82</v>
      </c>
      <c r="M13" s="125">
        <v>9.43</v>
      </c>
      <c r="N13" s="125">
        <v>1.92</v>
      </c>
      <c r="O13" s="125">
        <v>5.77</v>
      </c>
    </row>
    <row r="14" spans="1:15">
      <c r="A14" s="127" t="s">
        <v>378</v>
      </c>
      <c r="B14" s="124">
        <v>20</v>
      </c>
      <c r="C14" s="125">
        <v>1.8</v>
      </c>
      <c r="D14" s="125">
        <v>9.51</v>
      </c>
      <c r="E14" s="124">
        <v>10</v>
      </c>
      <c r="F14" s="125">
        <v>1.81</v>
      </c>
      <c r="G14" s="125">
        <v>3.04</v>
      </c>
      <c r="J14" s="298"/>
      <c r="K14" s="127" t="s">
        <v>378</v>
      </c>
      <c r="L14" s="125">
        <v>1.8</v>
      </c>
      <c r="M14" s="125">
        <v>9.51</v>
      </c>
      <c r="N14" s="125">
        <v>1.81</v>
      </c>
      <c r="O14" s="125">
        <v>3.04</v>
      </c>
    </row>
    <row r="15" spans="1:15">
      <c r="A15" s="127" t="s">
        <v>379</v>
      </c>
      <c r="B15" s="124">
        <v>20</v>
      </c>
      <c r="C15" s="125">
        <v>1.57</v>
      </c>
      <c r="D15" s="125">
        <v>5.41</v>
      </c>
      <c r="E15" s="124">
        <v>10</v>
      </c>
      <c r="F15" s="125">
        <v>1.57</v>
      </c>
      <c r="G15" s="125">
        <v>2.16</v>
      </c>
      <c r="J15" s="298"/>
      <c r="K15" s="127" t="s">
        <v>379</v>
      </c>
      <c r="L15" s="125">
        <v>1.57</v>
      </c>
      <c r="M15" s="125">
        <v>5.41</v>
      </c>
      <c r="N15" s="125">
        <v>1.57</v>
      </c>
      <c r="O15" s="125">
        <v>2.16</v>
      </c>
    </row>
    <row r="16" spans="1:15">
      <c r="A16" s="127" t="s">
        <v>380</v>
      </c>
      <c r="B16" s="124">
        <v>20</v>
      </c>
      <c r="C16" s="125">
        <v>2.0699999999999998</v>
      </c>
      <c r="D16" s="125">
        <v>8.57</v>
      </c>
      <c r="E16" s="124">
        <v>10</v>
      </c>
      <c r="F16" s="125">
        <v>2.0499999999999998</v>
      </c>
      <c r="G16" s="125">
        <v>2.92</v>
      </c>
      <c r="J16" s="298"/>
      <c r="K16" s="127" t="s">
        <v>380</v>
      </c>
      <c r="L16" s="125">
        <v>2.0699999999999998</v>
      </c>
      <c r="M16" s="125">
        <v>8.57</v>
      </c>
      <c r="N16" s="125">
        <v>2.0499999999999998</v>
      </c>
      <c r="O16" s="125">
        <v>2.92</v>
      </c>
    </row>
    <row r="17" spans="1:15">
      <c r="A17" s="127" t="s">
        <v>381</v>
      </c>
      <c r="B17" s="124">
        <v>20</v>
      </c>
      <c r="C17" s="125">
        <v>1.87</v>
      </c>
      <c r="D17" s="125">
        <v>5.15</v>
      </c>
      <c r="E17" s="124">
        <v>10</v>
      </c>
      <c r="F17" s="125">
        <v>1.87</v>
      </c>
      <c r="G17" s="125">
        <v>2.1</v>
      </c>
      <c r="J17" s="298"/>
      <c r="K17" s="127" t="s">
        <v>381</v>
      </c>
      <c r="L17" s="125">
        <v>1.87</v>
      </c>
      <c r="M17" s="125">
        <v>5.15</v>
      </c>
      <c r="N17" s="125">
        <v>1.87</v>
      </c>
      <c r="O17" s="125">
        <v>2.1</v>
      </c>
    </row>
    <row r="18" spans="1:15">
      <c r="A18" s="127" t="s">
        <v>382</v>
      </c>
      <c r="B18" s="124">
        <v>20</v>
      </c>
      <c r="C18" s="125"/>
      <c r="D18" s="125"/>
      <c r="E18" s="124">
        <v>10</v>
      </c>
      <c r="F18" s="125"/>
      <c r="G18" s="125"/>
      <c r="J18" s="298"/>
      <c r="K18" s="127" t="s">
        <v>382</v>
      </c>
      <c r="L18" s="125"/>
      <c r="M18" s="125"/>
      <c r="N18" s="125"/>
      <c r="O18" s="125"/>
    </row>
    <row r="19" spans="1:15">
      <c r="J19" s="298"/>
      <c r="K19" s="123" t="s">
        <v>383</v>
      </c>
      <c r="L19" s="123">
        <f>AVERAGE(L7:L18)</f>
        <v>1.93</v>
      </c>
      <c r="M19" s="123">
        <f>MAX(M7:M18)</f>
        <v>12.5</v>
      </c>
      <c r="N19" s="123">
        <f>AVERAGE(N7:N18)</f>
        <v>1.9481818181818182</v>
      </c>
      <c r="O19" s="123">
        <f>MAX(O7:O18)</f>
        <v>6.07</v>
      </c>
    </row>
    <row r="21" spans="1:15" ht="30">
      <c r="J21" s="122">
        <f>+A6</f>
        <v>2022</v>
      </c>
      <c r="K21" s="122" t="s">
        <v>370</v>
      </c>
      <c r="L21" s="128" t="s">
        <v>365</v>
      </c>
      <c r="M21" s="128" t="s">
        <v>366</v>
      </c>
      <c r="N21" s="128" t="s">
        <v>368</v>
      </c>
      <c r="O21" s="128" t="s">
        <v>369</v>
      </c>
    </row>
    <row r="22" spans="1:15">
      <c r="J22" s="298" t="s">
        <v>169</v>
      </c>
      <c r="K22" s="127" t="s">
        <v>371</v>
      </c>
      <c r="L22" s="125"/>
      <c r="M22" s="125"/>
      <c r="N22" s="125"/>
      <c r="O22" s="125"/>
    </row>
    <row r="23" spans="1:15">
      <c r="J23" s="298"/>
      <c r="K23" s="127" t="s">
        <v>372</v>
      </c>
      <c r="L23" s="125"/>
      <c r="M23" s="125"/>
      <c r="N23" s="125"/>
      <c r="O23" s="125"/>
    </row>
    <row r="24" spans="1:15">
      <c r="J24" s="298"/>
      <c r="K24" s="127" t="s">
        <v>373</v>
      </c>
      <c r="L24" s="125"/>
      <c r="M24" s="125"/>
      <c r="N24" s="125"/>
      <c r="O24" s="125"/>
    </row>
    <row r="25" spans="1:15">
      <c r="J25" s="298"/>
      <c r="K25" s="127" t="s">
        <v>374</v>
      </c>
      <c r="L25" s="125"/>
      <c r="M25" s="125"/>
      <c r="N25" s="125"/>
      <c r="O25" s="125"/>
    </row>
    <row r="26" spans="1:15">
      <c r="J26" s="298"/>
      <c r="K26" s="127" t="s">
        <v>375</v>
      </c>
      <c r="L26" s="125"/>
      <c r="M26" s="125"/>
      <c r="N26" s="125"/>
      <c r="O26" s="125"/>
    </row>
    <row r="27" spans="1:15">
      <c r="J27" s="298"/>
      <c r="K27" s="127" t="s">
        <v>376</v>
      </c>
      <c r="L27" s="125"/>
      <c r="M27" s="125"/>
      <c r="N27" s="125"/>
      <c r="O27" s="125"/>
    </row>
    <row r="28" spans="1:15">
      <c r="J28" s="298"/>
      <c r="K28" s="127" t="s">
        <v>377</v>
      </c>
      <c r="L28" s="125"/>
      <c r="M28" s="125"/>
      <c r="N28" s="125"/>
      <c r="O28" s="125"/>
    </row>
    <row r="29" spans="1:15">
      <c r="J29" s="298"/>
      <c r="K29" s="127" t="s">
        <v>378</v>
      </c>
      <c r="L29" s="125"/>
      <c r="M29" s="125"/>
      <c r="N29" s="125"/>
      <c r="O29" s="125"/>
    </row>
    <row r="30" spans="1:15">
      <c r="J30" s="298"/>
      <c r="K30" s="127" t="s">
        <v>379</v>
      </c>
      <c r="L30" s="125"/>
      <c r="M30" s="125"/>
      <c r="N30" s="125"/>
      <c r="O30" s="125"/>
    </row>
    <row r="31" spans="1:15">
      <c r="J31" s="298"/>
      <c r="K31" s="127" t="s">
        <v>380</v>
      </c>
      <c r="L31" s="125"/>
      <c r="M31" s="125"/>
      <c r="N31" s="125"/>
      <c r="O31" s="125"/>
    </row>
    <row r="32" spans="1:15">
      <c r="J32" s="298"/>
      <c r="K32" s="127" t="s">
        <v>381</v>
      </c>
      <c r="L32" s="125"/>
      <c r="M32" s="125"/>
      <c r="N32" s="125"/>
      <c r="O32" s="125"/>
    </row>
    <row r="33" spans="1:15">
      <c r="J33" s="298"/>
      <c r="K33" s="127" t="s">
        <v>382</v>
      </c>
      <c r="L33" s="125"/>
      <c r="M33" s="125"/>
      <c r="N33" s="125"/>
      <c r="O33" s="125"/>
    </row>
    <row r="34" spans="1:15">
      <c r="J34" s="298"/>
      <c r="K34" s="123" t="s">
        <v>383</v>
      </c>
      <c r="L34" s="123" t="e">
        <f>AVERAGE(L22:L33)</f>
        <v>#DIV/0!</v>
      </c>
      <c r="M34" s="123">
        <f>MAX(M22:M33)</f>
        <v>0</v>
      </c>
      <c r="N34" s="123" t="e">
        <f>AVERAGE(N22:N33)</f>
        <v>#DIV/0!</v>
      </c>
      <c r="O34" s="123">
        <f>MAX(O22:O33)</f>
        <v>0</v>
      </c>
    </row>
    <row r="36" spans="1:15" ht="30">
      <c r="J36" s="122">
        <f>+A6</f>
        <v>2022</v>
      </c>
      <c r="K36" s="122" t="s">
        <v>370</v>
      </c>
      <c r="L36" s="128" t="s">
        <v>365</v>
      </c>
      <c r="M36" s="128" t="s">
        <v>366</v>
      </c>
      <c r="N36" s="128" t="s">
        <v>368</v>
      </c>
      <c r="O36" s="128" t="s">
        <v>369</v>
      </c>
    </row>
    <row r="37" spans="1:15">
      <c r="J37" s="298" t="s">
        <v>170</v>
      </c>
      <c r="K37" s="127" t="s">
        <v>371</v>
      </c>
      <c r="L37" s="125"/>
      <c r="M37" s="125"/>
      <c r="N37" s="125"/>
      <c r="O37" s="125"/>
    </row>
    <row r="38" spans="1:15">
      <c r="J38" s="298"/>
      <c r="K38" s="127" t="s">
        <v>372</v>
      </c>
      <c r="L38" s="125"/>
      <c r="M38" s="125"/>
      <c r="N38" s="125"/>
      <c r="O38" s="125"/>
    </row>
    <row r="39" spans="1:15">
      <c r="J39" s="298"/>
      <c r="K39" s="127" t="s">
        <v>373</v>
      </c>
      <c r="L39" s="125"/>
      <c r="M39" s="125"/>
      <c r="N39" s="125"/>
      <c r="O39" s="125"/>
    </row>
    <row r="40" spans="1:15">
      <c r="J40" s="298"/>
      <c r="K40" s="127" t="s">
        <v>374</v>
      </c>
      <c r="L40" s="125"/>
      <c r="M40" s="125"/>
      <c r="N40" s="125"/>
      <c r="O40" s="125"/>
    </row>
    <row r="41" spans="1:15">
      <c r="J41" s="298"/>
      <c r="K41" s="127" t="s">
        <v>375</v>
      </c>
      <c r="L41" s="125"/>
      <c r="M41" s="125"/>
      <c r="N41" s="125"/>
      <c r="O41" s="125"/>
    </row>
    <row r="42" spans="1:15">
      <c r="J42" s="298"/>
      <c r="K42" s="127" t="s">
        <v>376</v>
      </c>
      <c r="L42" s="125"/>
      <c r="M42" s="125"/>
      <c r="N42" s="125"/>
      <c r="O42" s="125"/>
    </row>
    <row r="43" spans="1:15">
      <c r="J43" s="298"/>
      <c r="K43" s="127" t="s">
        <v>377</v>
      </c>
      <c r="L43" s="125"/>
      <c r="M43" s="125"/>
      <c r="N43" s="125"/>
      <c r="O43" s="125"/>
    </row>
    <row r="44" spans="1:15">
      <c r="J44" s="298"/>
      <c r="K44" s="127" t="s">
        <v>378</v>
      </c>
      <c r="L44" s="125"/>
      <c r="M44" s="125"/>
      <c r="N44" s="125"/>
      <c r="O44" s="125"/>
    </row>
    <row r="45" spans="1:15">
      <c r="J45" s="298"/>
      <c r="K45" s="127" t="s">
        <v>379</v>
      </c>
      <c r="L45" s="125"/>
      <c r="M45" s="125"/>
      <c r="N45" s="125"/>
      <c r="O45" s="125"/>
    </row>
    <row r="46" spans="1:15">
      <c r="J46" s="298"/>
      <c r="K46" s="127" t="s">
        <v>380</v>
      </c>
      <c r="L46" s="125"/>
      <c r="M46" s="125"/>
      <c r="N46" s="125"/>
      <c r="O46" s="125"/>
    </row>
    <row r="47" spans="1:15">
      <c r="J47" s="298"/>
      <c r="K47" s="127" t="s">
        <v>381</v>
      </c>
      <c r="L47" s="125"/>
      <c r="M47" s="125"/>
      <c r="N47" s="125"/>
      <c r="O47" s="125"/>
    </row>
    <row r="48" spans="1:15" ht="15">
      <c r="A48" s="310" t="s">
        <v>249</v>
      </c>
      <c r="B48" s="311"/>
      <c r="C48" s="311"/>
      <c r="D48" s="311"/>
      <c r="E48" s="311"/>
      <c r="F48" s="311"/>
      <c r="G48" s="312"/>
      <c r="J48" s="298"/>
      <c r="K48" s="127" t="s">
        <v>382</v>
      </c>
      <c r="L48" s="125"/>
      <c r="M48" s="125"/>
      <c r="N48" s="125"/>
      <c r="O48" s="125"/>
    </row>
    <row r="49" spans="1:15">
      <c r="A49" s="301" t="s">
        <v>384</v>
      </c>
      <c r="B49" s="302"/>
      <c r="C49" s="302"/>
      <c r="D49" s="302"/>
      <c r="E49" s="302"/>
      <c r="F49" s="302"/>
      <c r="G49" s="303"/>
      <c r="J49" s="298"/>
      <c r="K49" s="123" t="s">
        <v>383</v>
      </c>
      <c r="L49" s="123" t="e">
        <f>AVERAGE(L37:L48)</f>
        <v>#DIV/0!</v>
      </c>
      <c r="M49" s="123">
        <f>MAX(M37:M48)</f>
        <v>0</v>
      </c>
      <c r="N49" s="123" t="e">
        <f>AVERAGE(N37:N48)</f>
        <v>#DIV/0!</v>
      </c>
      <c r="O49" s="123">
        <f>MAX(O37:O48)</f>
        <v>0</v>
      </c>
    </row>
    <row r="50" spans="1:15">
      <c r="A50" s="304"/>
      <c r="B50" s="305"/>
      <c r="C50" s="305"/>
      <c r="D50" s="305"/>
      <c r="E50" s="305"/>
      <c r="F50" s="305"/>
      <c r="G50" s="306"/>
    </row>
    <row r="51" spans="1:15" ht="30">
      <c r="A51" s="304"/>
      <c r="B51" s="305"/>
      <c r="C51" s="305"/>
      <c r="D51" s="305"/>
      <c r="E51" s="305"/>
      <c r="F51" s="305"/>
      <c r="G51" s="306"/>
      <c r="J51" s="122">
        <f>+A6</f>
        <v>2022</v>
      </c>
      <c r="K51" s="122" t="s">
        <v>370</v>
      </c>
      <c r="L51" s="128" t="s">
        <v>365</v>
      </c>
      <c r="M51" s="128" t="s">
        <v>366</v>
      </c>
      <c r="N51" s="128" t="s">
        <v>368</v>
      </c>
      <c r="O51" s="128" t="s">
        <v>369</v>
      </c>
    </row>
    <row r="52" spans="1:15">
      <c r="A52" s="307"/>
      <c r="B52" s="308"/>
      <c r="C52" s="308"/>
      <c r="D52" s="308"/>
      <c r="E52" s="308"/>
      <c r="F52" s="308"/>
      <c r="G52" s="309"/>
      <c r="J52" s="298" t="s">
        <v>171</v>
      </c>
      <c r="K52" s="127" t="s">
        <v>371</v>
      </c>
      <c r="L52" s="125"/>
      <c r="M52" s="125"/>
      <c r="N52" s="125"/>
      <c r="O52" s="125"/>
    </row>
    <row r="53" spans="1:15">
      <c r="J53" s="298"/>
      <c r="K53" s="127" t="s">
        <v>372</v>
      </c>
      <c r="L53" s="125"/>
      <c r="M53" s="125"/>
      <c r="N53" s="125"/>
      <c r="O53" s="125"/>
    </row>
    <row r="54" spans="1:15">
      <c r="J54" s="298"/>
      <c r="K54" s="127" t="s">
        <v>373</v>
      </c>
      <c r="L54" s="125"/>
      <c r="M54" s="125"/>
      <c r="N54" s="125"/>
      <c r="O54" s="125"/>
    </row>
    <row r="55" spans="1:15">
      <c r="J55" s="298"/>
      <c r="K55" s="127" t="s">
        <v>374</v>
      </c>
      <c r="L55" s="125"/>
      <c r="M55" s="125"/>
      <c r="N55" s="125"/>
      <c r="O55" s="125"/>
    </row>
    <row r="56" spans="1:15">
      <c r="J56" s="298"/>
      <c r="K56" s="127" t="s">
        <v>375</v>
      </c>
      <c r="L56" s="125"/>
      <c r="M56" s="125"/>
      <c r="N56" s="125"/>
      <c r="O56" s="125"/>
    </row>
    <row r="57" spans="1:15">
      <c r="J57" s="298"/>
      <c r="K57" s="127" t="s">
        <v>376</v>
      </c>
      <c r="L57" s="125"/>
      <c r="M57" s="125"/>
      <c r="N57" s="125"/>
      <c r="O57" s="125"/>
    </row>
    <row r="58" spans="1:15">
      <c r="J58" s="298"/>
      <c r="K58" s="127" t="s">
        <v>377</v>
      </c>
      <c r="L58" s="125"/>
      <c r="M58" s="125"/>
      <c r="N58" s="125"/>
      <c r="O58" s="125"/>
    </row>
    <row r="59" spans="1:15">
      <c r="J59" s="298"/>
      <c r="K59" s="127" t="s">
        <v>378</v>
      </c>
      <c r="L59" s="125"/>
      <c r="M59" s="125"/>
      <c r="N59" s="125"/>
      <c r="O59" s="125"/>
    </row>
    <row r="60" spans="1:15">
      <c r="J60" s="298"/>
      <c r="K60" s="127" t="s">
        <v>379</v>
      </c>
      <c r="L60" s="125"/>
      <c r="M60" s="125"/>
      <c r="N60" s="125"/>
      <c r="O60" s="125"/>
    </row>
    <row r="61" spans="1:15">
      <c r="J61" s="298"/>
      <c r="K61" s="127" t="s">
        <v>380</v>
      </c>
      <c r="L61" s="125"/>
      <c r="M61" s="125"/>
      <c r="N61" s="125"/>
      <c r="O61" s="125"/>
    </row>
    <row r="62" spans="1:15">
      <c r="J62" s="298"/>
      <c r="K62" s="127" t="s">
        <v>381</v>
      </c>
      <c r="L62" s="125"/>
      <c r="M62" s="125"/>
      <c r="N62" s="125"/>
      <c r="O62" s="125"/>
    </row>
    <row r="63" spans="1:15">
      <c r="J63" s="298"/>
      <c r="K63" s="127" t="s">
        <v>382</v>
      </c>
      <c r="L63" s="125"/>
      <c r="M63" s="125"/>
      <c r="N63" s="125"/>
      <c r="O63" s="125"/>
    </row>
    <row r="64" spans="1:15">
      <c r="J64" s="298"/>
      <c r="K64" s="123" t="s">
        <v>383</v>
      </c>
      <c r="L64" s="123" t="e">
        <f>AVERAGE(L52:L63)</f>
        <v>#DIV/0!</v>
      </c>
      <c r="M64" s="123">
        <f>MAX(M52:M63)</f>
        <v>0</v>
      </c>
      <c r="N64" s="123" t="e">
        <f>AVERAGE(N52:N63)</f>
        <v>#DIV/0!</v>
      </c>
      <c r="O64" s="123">
        <f>MAX(O52:O63)</f>
        <v>0</v>
      </c>
    </row>
    <row r="66" spans="10:15" ht="30">
      <c r="J66" s="122">
        <f>+A6</f>
        <v>2022</v>
      </c>
      <c r="K66" s="122" t="s">
        <v>370</v>
      </c>
      <c r="L66" s="128" t="s">
        <v>365</v>
      </c>
      <c r="M66" s="128" t="s">
        <v>366</v>
      </c>
      <c r="N66" s="128" t="s">
        <v>368</v>
      </c>
      <c r="O66" s="128" t="s">
        <v>369</v>
      </c>
    </row>
    <row r="67" spans="10:15">
      <c r="J67" s="298" t="s">
        <v>172</v>
      </c>
      <c r="K67" s="127" t="s">
        <v>371</v>
      </c>
      <c r="L67" s="125"/>
      <c r="M67" s="125"/>
      <c r="N67" s="125"/>
      <c r="O67" s="125"/>
    </row>
    <row r="68" spans="10:15">
      <c r="J68" s="298"/>
      <c r="K68" s="127" t="s">
        <v>372</v>
      </c>
      <c r="L68" s="125"/>
      <c r="M68" s="125"/>
      <c r="N68" s="125"/>
      <c r="O68" s="125"/>
    </row>
    <row r="69" spans="10:15">
      <c r="J69" s="298"/>
      <c r="K69" s="127" t="s">
        <v>373</v>
      </c>
      <c r="L69" s="125"/>
      <c r="M69" s="125"/>
      <c r="N69" s="125"/>
      <c r="O69" s="125"/>
    </row>
    <row r="70" spans="10:15">
      <c r="J70" s="298"/>
      <c r="K70" s="127" t="s">
        <v>374</v>
      </c>
      <c r="L70" s="125"/>
      <c r="M70" s="125"/>
      <c r="N70" s="125"/>
      <c r="O70" s="125"/>
    </row>
    <row r="71" spans="10:15">
      <c r="J71" s="298"/>
      <c r="K71" s="127" t="s">
        <v>375</v>
      </c>
      <c r="L71" s="125"/>
      <c r="M71" s="125"/>
      <c r="N71" s="125"/>
      <c r="O71" s="125"/>
    </row>
    <row r="72" spans="10:15">
      <c r="J72" s="298"/>
      <c r="K72" s="127" t="s">
        <v>376</v>
      </c>
      <c r="L72" s="125"/>
      <c r="M72" s="125"/>
      <c r="N72" s="125"/>
      <c r="O72" s="125"/>
    </row>
    <row r="73" spans="10:15">
      <c r="J73" s="298"/>
      <c r="K73" s="127" t="s">
        <v>377</v>
      </c>
      <c r="L73" s="125"/>
      <c r="M73" s="125"/>
      <c r="N73" s="125"/>
      <c r="O73" s="125"/>
    </row>
    <row r="74" spans="10:15">
      <c r="J74" s="298"/>
      <c r="K74" s="127" t="s">
        <v>378</v>
      </c>
      <c r="L74" s="125"/>
      <c r="M74" s="125"/>
      <c r="N74" s="125"/>
      <c r="O74" s="125"/>
    </row>
    <row r="75" spans="10:15">
      <c r="J75" s="298"/>
      <c r="K75" s="127" t="s">
        <v>379</v>
      </c>
      <c r="L75" s="125"/>
      <c r="M75" s="125"/>
      <c r="N75" s="125"/>
      <c r="O75" s="125"/>
    </row>
    <row r="76" spans="10:15">
      <c r="J76" s="298"/>
      <c r="K76" s="127" t="s">
        <v>380</v>
      </c>
      <c r="L76" s="125"/>
      <c r="M76" s="125"/>
      <c r="N76" s="125"/>
      <c r="O76" s="125"/>
    </row>
    <row r="77" spans="10:15">
      <c r="J77" s="298"/>
      <c r="K77" s="127" t="s">
        <v>381</v>
      </c>
      <c r="L77" s="125"/>
      <c r="M77" s="125"/>
      <c r="N77" s="125"/>
      <c r="O77" s="125"/>
    </row>
    <row r="78" spans="10:15">
      <c r="J78" s="298"/>
      <c r="K78" s="127" t="s">
        <v>382</v>
      </c>
      <c r="L78" s="125"/>
      <c r="M78" s="125"/>
      <c r="N78" s="125"/>
      <c r="O78" s="125"/>
    </row>
    <row r="79" spans="10:15">
      <c r="J79" s="298"/>
      <c r="K79" s="123" t="s">
        <v>383</v>
      </c>
      <c r="L79" s="123" t="e">
        <f>AVERAGE(L67:L78)</f>
        <v>#DIV/0!</v>
      </c>
      <c r="M79" s="123">
        <f>MAX(M67:M78)</f>
        <v>0</v>
      </c>
      <c r="N79" s="123" t="e">
        <f>AVERAGE(N67:N78)</f>
        <v>#DIV/0!</v>
      </c>
      <c r="O79" s="123">
        <f>MAX(O67:O78)</f>
        <v>0</v>
      </c>
    </row>
  </sheetData>
  <mergeCells count="10">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O79"/>
  <sheetViews>
    <sheetView showGridLines="0" zoomScaleNormal="100" workbookViewId="0">
      <selection activeCell="N7" sqref="N7:O17"/>
    </sheetView>
  </sheetViews>
  <sheetFormatPr defaultRowHeight="14.25"/>
  <cols>
    <col min="1" max="1" width="14" style="3" customWidth="1"/>
    <col min="2" max="4" width="17" style="77" customWidth="1"/>
    <col min="5" max="5" width="14.85546875" style="77" customWidth="1"/>
    <col min="6" max="7" width="17" style="77" customWidth="1"/>
    <col min="8" max="11" width="9.140625" style="3"/>
    <col min="12" max="12" width="15.42578125" style="3" customWidth="1"/>
    <col min="13" max="13" width="17.42578125" style="3" bestFit="1" customWidth="1"/>
    <col min="14" max="14" width="13.85546875" style="3" customWidth="1"/>
    <col min="15" max="15" width="15" style="3" customWidth="1"/>
    <col min="16" max="256" width="9.140625" style="3"/>
    <col min="257" max="257" width="14" style="3" customWidth="1"/>
    <col min="258" max="263" width="10.140625" style="3" customWidth="1"/>
    <col min="264" max="512" width="9.140625" style="3"/>
    <col min="513" max="513" width="14" style="3" customWidth="1"/>
    <col min="514" max="519" width="10.140625" style="3" customWidth="1"/>
    <col min="520" max="768" width="9.140625" style="3"/>
    <col min="769" max="769" width="14" style="3" customWidth="1"/>
    <col min="770" max="775" width="10.140625" style="3" customWidth="1"/>
    <col min="776" max="1024" width="9.140625" style="3"/>
    <col min="1025" max="1025" width="14" style="3" customWidth="1"/>
    <col min="1026" max="1031" width="10.140625" style="3" customWidth="1"/>
    <col min="1032" max="1280" width="9.140625" style="3"/>
    <col min="1281" max="1281" width="14" style="3" customWidth="1"/>
    <col min="1282" max="1287" width="10.140625" style="3" customWidth="1"/>
    <col min="1288" max="1536" width="9.140625" style="3"/>
    <col min="1537" max="1537" width="14" style="3" customWidth="1"/>
    <col min="1538" max="1543" width="10.140625" style="3" customWidth="1"/>
    <col min="1544" max="1792" width="9.140625" style="3"/>
    <col min="1793" max="1793" width="14" style="3" customWidth="1"/>
    <col min="1794" max="1799" width="10.140625" style="3" customWidth="1"/>
    <col min="1800" max="2048" width="9.140625" style="3"/>
    <col min="2049" max="2049" width="14" style="3" customWidth="1"/>
    <col min="2050" max="2055" width="10.140625" style="3" customWidth="1"/>
    <col min="2056" max="2304" width="9.140625" style="3"/>
    <col min="2305" max="2305" width="14" style="3" customWidth="1"/>
    <col min="2306" max="2311" width="10.140625" style="3" customWidth="1"/>
    <col min="2312" max="2560" width="9.140625" style="3"/>
    <col min="2561" max="2561" width="14" style="3" customWidth="1"/>
    <col min="2562" max="2567" width="10.140625" style="3" customWidth="1"/>
    <col min="2568" max="2816" width="9.140625" style="3"/>
    <col min="2817" max="2817" width="14" style="3" customWidth="1"/>
    <col min="2818" max="2823" width="10.140625" style="3" customWidth="1"/>
    <col min="2824" max="3072" width="9.140625" style="3"/>
    <col min="3073" max="3073" width="14" style="3" customWidth="1"/>
    <col min="3074" max="3079" width="10.140625" style="3" customWidth="1"/>
    <col min="3080" max="3328" width="9.140625" style="3"/>
    <col min="3329" max="3329" width="14" style="3" customWidth="1"/>
    <col min="3330" max="3335" width="10.140625" style="3" customWidth="1"/>
    <col min="3336" max="3584" width="9.140625" style="3"/>
    <col min="3585" max="3585" width="14" style="3" customWidth="1"/>
    <col min="3586" max="3591" width="10.140625" style="3" customWidth="1"/>
    <col min="3592" max="3840" width="9.140625" style="3"/>
    <col min="3841" max="3841" width="14" style="3" customWidth="1"/>
    <col min="3842" max="3847" width="10.140625" style="3" customWidth="1"/>
    <col min="3848" max="4096" width="9.140625" style="3"/>
    <col min="4097" max="4097" width="14" style="3" customWidth="1"/>
    <col min="4098" max="4103" width="10.140625" style="3" customWidth="1"/>
    <col min="4104" max="4352" width="9.140625" style="3"/>
    <col min="4353" max="4353" width="14" style="3" customWidth="1"/>
    <col min="4354" max="4359" width="10.140625" style="3" customWidth="1"/>
    <col min="4360" max="4608" width="9.140625" style="3"/>
    <col min="4609" max="4609" width="14" style="3" customWidth="1"/>
    <col min="4610" max="4615" width="10.140625" style="3" customWidth="1"/>
    <col min="4616" max="4864" width="9.140625" style="3"/>
    <col min="4865" max="4865" width="14" style="3" customWidth="1"/>
    <col min="4866" max="4871" width="10.140625" style="3" customWidth="1"/>
    <col min="4872" max="5120" width="9.140625" style="3"/>
    <col min="5121" max="5121" width="14" style="3" customWidth="1"/>
    <col min="5122" max="5127" width="10.140625" style="3" customWidth="1"/>
    <col min="5128" max="5376" width="9.140625" style="3"/>
    <col min="5377" max="5377" width="14" style="3" customWidth="1"/>
    <col min="5378" max="5383" width="10.140625" style="3" customWidth="1"/>
    <col min="5384" max="5632" width="9.140625" style="3"/>
    <col min="5633" max="5633" width="14" style="3" customWidth="1"/>
    <col min="5634" max="5639" width="10.140625" style="3" customWidth="1"/>
    <col min="5640" max="5888" width="9.140625" style="3"/>
    <col min="5889" max="5889" width="14" style="3" customWidth="1"/>
    <col min="5890" max="5895" width="10.140625" style="3" customWidth="1"/>
    <col min="5896" max="6144" width="9.140625" style="3"/>
    <col min="6145" max="6145" width="14" style="3" customWidth="1"/>
    <col min="6146" max="6151" width="10.140625" style="3" customWidth="1"/>
    <col min="6152" max="6400" width="9.140625" style="3"/>
    <col min="6401" max="6401" width="14" style="3" customWidth="1"/>
    <col min="6402" max="6407" width="10.140625" style="3" customWidth="1"/>
    <col min="6408" max="6656" width="9.140625" style="3"/>
    <col min="6657" max="6657" width="14" style="3" customWidth="1"/>
    <col min="6658" max="6663" width="10.140625" style="3" customWidth="1"/>
    <col min="6664" max="6912" width="9.140625" style="3"/>
    <col min="6913" max="6913" width="14" style="3" customWidth="1"/>
    <col min="6914" max="6919" width="10.140625" style="3" customWidth="1"/>
    <col min="6920" max="7168" width="9.140625" style="3"/>
    <col min="7169" max="7169" width="14" style="3" customWidth="1"/>
    <col min="7170" max="7175" width="10.140625" style="3" customWidth="1"/>
    <col min="7176" max="7424" width="9.140625" style="3"/>
    <col min="7425" max="7425" width="14" style="3" customWidth="1"/>
    <col min="7426" max="7431" width="10.140625" style="3" customWidth="1"/>
    <col min="7432" max="7680" width="9.140625" style="3"/>
    <col min="7681" max="7681" width="14" style="3" customWidth="1"/>
    <col min="7682" max="7687" width="10.140625" style="3" customWidth="1"/>
    <col min="7688" max="7936" width="9.140625" style="3"/>
    <col min="7937" max="7937" width="14" style="3" customWidth="1"/>
    <col min="7938" max="7943" width="10.140625" style="3" customWidth="1"/>
    <col min="7944" max="8192" width="9.140625" style="3"/>
    <col min="8193" max="8193" width="14" style="3" customWidth="1"/>
    <col min="8194" max="8199" width="10.140625" style="3" customWidth="1"/>
    <col min="8200" max="8448" width="9.140625" style="3"/>
    <col min="8449" max="8449" width="14" style="3" customWidth="1"/>
    <col min="8450" max="8455" width="10.140625" style="3" customWidth="1"/>
    <col min="8456" max="8704" width="9.140625" style="3"/>
    <col min="8705" max="8705" width="14" style="3" customWidth="1"/>
    <col min="8706" max="8711" width="10.140625" style="3" customWidth="1"/>
    <col min="8712" max="8960" width="9.140625" style="3"/>
    <col min="8961" max="8961" width="14" style="3" customWidth="1"/>
    <col min="8962" max="8967" width="10.140625" style="3" customWidth="1"/>
    <col min="8968" max="9216" width="9.140625" style="3"/>
    <col min="9217" max="9217" width="14" style="3" customWidth="1"/>
    <col min="9218" max="9223" width="10.140625" style="3" customWidth="1"/>
    <col min="9224" max="9472" width="9.140625" style="3"/>
    <col min="9473" max="9473" width="14" style="3" customWidth="1"/>
    <col min="9474" max="9479" width="10.140625" style="3" customWidth="1"/>
    <col min="9480" max="9728" width="9.140625" style="3"/>
    <col min="9729" max="9729" width="14" style="3" customWidth="1"/>
    <col min="9730" max="9735" width="10.140625" style="3" customWidth="1"/>
    <col min="9736" max="9984" width="9.140625" style="3"/>
    <col min="9985" max="9985" width="14" style="3" customWidth="1"/>
    <col min="9986" max="9991" width="10.140625" style="3" customWidth="1"/>
    <col min="9992" max="10240" width="9.140625" style="3"/>
    <col min="10241" max="10241" width="14" style="3" customWidth="1"/>
    <col min="10242" max="10247" width="10.140625" style="3" customWidth="1"/>
    <col min="10248" max="10496" width="9.140625" style="3"/>
    <col min="10497" max="10497" width="14" style="3" customWidth="1"/>
    <col min="10498" max="10503" width="10.140625" style="3" customWidth="1"/>
    <col min="10504" max="10752" width="9.140625" style="3"/>
    <col min="10753" max="10753" width="14" style="3" customWidth="1"/>
    <col min="10754" max="10759" width="10.140625" style="3" customWidth="1"/>
    <col min="10760" max="11008" width="9.140625" style="3"/>
    <col min="11009" max="11009" width="14" style="3" customWidth="1"/>
    <col min="11010" max="11015" width="10.140625" style="3" customWidth="1"/>
    <col min="11016" max="11264" width="9.140625" style="3"/>
    <col min="11265" max="11265" width="14" style="3" customWidth="1"/>
    <col min="11266" max="11271" width="10.140625" style="3" customWidth="1"/>
    <col min="11272" max="11520" width="9.140625" style="3"/>
    <col min="11521" max="11521" width="14" style="3" customWidth="1"/>
    <col min="11522" max="11527" width="10.140625" style="3" customWidth="1"/>
    <col min="11528" max="11776" width="9.140625" style="3"/>
    <col min="11777" max="11777" width="14" style="3" customWidth="1"/>
    <col min="11778" max="11783" width="10.140625" style="3" customWidth="1"/>
    <col min="11784" max="12032" width="9.140625" style="3"/>
    <col min="12033" max="12033" width="14" style="3" customWidth="1"/>
    <col min="12034" max="12039" width="10.140625" style="3" customWidth="1"/>
    <col min="12040" max="12288" width="9.140625" style="3"/>
    <col min="12289" max="12289" width="14" style="3" customWidth="1"/>
    <col min="12290" max="12295" width="10.140625" style="3" customWidth="1"/>
    <col min="12296" max="12544" width="9.140625" style="3"/>
    <col min="12545" max="12545" width="14" style="3" customWidth="1"/>
    <col min="12546" max="12551" width="10.140625" style="3" customWidth="1"/>
    <col min="12552" max="12800" width="9.140625" style="3"/>
    <col min="12801" max="12801" width="14" style="3" customWidth="1"/>
    <col min="12802" max="12807" width="10.140625" style="3" customWidth="1"/>
    <col min="12808" max="13056" width="9.140625" style="3"/>
    <col min="13057" max="13057" width="14" style="3" customWidth="1"/>
    <col min="13058" max="13063" width="10.140625" style="3" customWidth="1"/>
    <col min="13064" max="13312" width="9.140625" style="3"/>
    <col min="13313" max="13313" width="14" style="3" customWidth="1"/>
    <col min="13314" max="13319" width="10.140625" style="3" customWidth="1"/>
    <col min="13320" max="13568" width="9.140625" style="3"/>
    <col min="13569" max="13569" width="14" style="3" customWidth="1"/>
    <col min="13570" max="13575" width="10.140625" style="3" customWidth="1"/>
    <col min="13576" max="13824" width="9.140625" style="3"/>
    <col min="13825" max="13825" width="14" style="3" customWidth="1"/>
    <col min="13826" max="13831" width="10.140625" style="3" customWidth="1"/>
    <col min="13832" max="14080" width="9.140625" style="3"/>
    <col min="14081" max="14081" width="14" style="3" customWidth="1"/>
    <col min="14082" max="14087" width="10.140625" style="3" customWidth="1"/>
    <col min="14088" max="14336" width="9.140625" style="3"/>
    <col min="14337" max="14337" width="14" style="3" customWidth="1"/>
    <col min="14338" max="14343" width="10.140625" style="3" customWidth="1"/>
    <col min="14344" max="14592" width="9.140625" style="3"/>
    <col min="14593" max="14593" width="14" style="3" customWidth="1"/>
    <col min="14594" max="14599" width="10.140625" style="3" customWidth="1"/>
    <col min="14600" max="14848" width="9.140625" style="3"/>
    <col min="14849" max="14849" width="14" style="3" customWidth="1"/>
    <col min="14850" max="14855" width="10.140625" style="3" customWidth="1"/>
    <col min="14856" max="15104" width="9.140625" style="3"/>
    <col min="15105" max="15105" width="14" style="3" customWidth="1"/>
    <col min="15106" max="15111" width="10.140625" style="3" customWidth="1"/>
    <col min="15112" max="15360" width="9.140625" style="3"/>
    <col min="15361" max="15361" width="14" style="3" customWidth="1"/>
    <col min="15362" max="15367" width="10.140625" style="3" customWidth="1"/>
    <col min="15368" max="15616" width="9.140625" style="3"/>
    <col min="15617" max="15617" width="14" style="3" customWidth="1"/>
    <col min="15618" max="15623" width="10.140625" style="3" customWidth="1"/>
    <col min="15624" max="15872" width="9.140625" style="3"/>
    <col min="15873" max="15873" width="14" style="3" customWidth="1"/>
    <col min="15874" max="15879" width="10.140625" style="3" customWidth="1"/>
    <col min="15880" max="16128" width="9.140625" style="3"/>
    <col min="16129" max="16129" width="14" style="3" customWidth="1"/>
    <col min="16130" max="16135" width="10.140625" style="3" customWidth="1"/>
    <col min="16136" max="16384" width="9.140625" style="3"/>
  </cols>
  <sheetData>
    <row r="1" spans="1:15" ht="15">
      <c r="A1" s="2" t="str">
        <f>+'Cover Page'!$B$29</f>
        <v>Annual Performance Report 2022</v>
      </c>
      <c r="B1" s="2"/>
      <c r="C1" s="2"/>
      <c r="D1" s="2"/>
      <c r="E1" s="2" t="str">
        <f>+'Cover Page'!$B$33</f>
        <v>Fine Environmental Services</v>
      </c>
    </row>
    <row r="3" spans="1:15" ht="15">
      <c r="A3" s="121" t="s">
        <v>394</v>
      </c>
    </row>
    <row r="5" spans="1:15" ht="17.25">
      <c r="A5" s="129" t="s">
        <v>361</v>
      </c>
      <c r="B5" s="300" t="s">
        <v>362</v>
      </c>
      <c r="C5" s="300"/>
      <c r="D5" s="300"/>
      <c r="E5" s="300" t="s">
        <v>363</v>
      </c>
      <c r="F5" s="300"/>
      <c r="G5" s="300"/>
      <c r="J5" s="299" t="str">
        <f>+A3</f>
        <v>Monitoring of Particulate matter emissions</v>
      </c>
      <c r="K5" s="299"/>
      <c r="L5" s="299"/>
      <c r="M5" s="299"/>
      <c r="N5" s="299"/>
      <c r="O5" s="299"/>
    </row>
    <row r="6" spans="1:15" s="119" customFormat="1" ht="37.5" customHeight="1">
      <c r="A6" s="126">
        <f>+'Cover Page'!C39</f>
        <v>2022</v>
      </c>
      <c r="B6" s="115" t="s">
        <v>395</v>
      </c>
      <c r="C6" s="115" t="s">
        <v>365</v>
      </c>
      <c r="D6" s="115" t="s">
        <v>366</v>
      </c>
      <c r="E6" s="115" t="s">
        <v>396</v>
      </c>
      <c r="F6" s="115" t="s">
        <v>368</v>
      </c>
      <c r="G6" s="115" t="s">
        <v>369</v>
      </c>
      <c r="H6" s="120"/>
      <c r="J6" s="122">
        <f>+A6</f>
        <v>2022</v>
      </c>
      <c r="K6" s="122" t="s">
        <v>370</v>
      </c>
      <c r="L6" s="128" t="s">
        <v>365</v>
      </c>
      <c r="M6" s="128" t="s">
        <v>366</v>
      </c>
      <c r="N6" s="128" t="s">
        <v>368</v>
      </c>
      <c r="O6" s="128" t="s">
        <v>369</v>
      </c>
    </row>
    <row r="7" spans="1:15">
      <c r="A7" s="127" t="s">
        <v>371</v>
      </c>
      <c r="B7" s="124">
        <v>30</v>
      </c>
      <c r="C7" s="125">
        <v>3.59</v>
      </c>
      <c r="D7" s="125">
        <v>5.86</v>
      </c>
      <c r="E7" s="124">
        <v>10</v>
      </c>
      <c r="F7" s="125">
        <v>3.56</v>
      </c>
      <c r="G7" s="125">
        <v>3.83</v>
      </c>
      <c r="J7" s="298" t="s">
        <v>168</v>
      </c>
      <c r="K7" s="127" t="s">
        <v>371</v>
      </c>
      <c r="L7" s="125">
        <v>3.59</v>
      </c>
      <c r="M7" s="125">
        <v>5.86</v>
      </c>
      <c r="N7" s="125">
        <v>3.56</v>
      </c>
      <c r="O7" s="125">
        <v>3.83</v>
      </c>
    </row>
    <row r="8" spans="1:15">
      <c r="A8" s="127" t="s">
        <v>372</v>
      </c>
      <c r="B8" s="124">
        <v>30</v>
      </c>
      <c r="C8" s="125">
        <v>1.96</v>
      </c>
      <c r="D8" s="125">
        <v>12.7</v>
      </c>
      <c r="E8" s="124">
        <v>10</v>
      </c>
      <c r="F8" s="125">
        <v>2.1</v>
      </c>
      <c r="G8" s="125">
        <v>5.3</v>
      </c>
      <c r="J8" s="298"/>
      <c r="K8" s="127" t="s">
        <v>372</v>
      </c>
      <c r="L8" s="125">
        <v>1.96</v>
      </c>
      <c r="M8" s="125">
        <v>12.7</v>
      </c>
      <c r="N8" s="125">
        <v>2.1</v>
      </c>
      <c r="O8" s="125">
        <v>5.3</v>
      </c>
    </row>
    <row r="9" spans="1:15">
      <c r="A9" s="127" t="s">
        <v>373</v>
      </c>
      <c r="B9" s="124">
        <v>30</v>
      </c>
      <c r="C9" s="125">
        <v>1.8</v>
      </c>
      <c r="D9" s="125">
        <v>14</v>
      </c>
      <c r="E9" s="124">
        <v>10</v>
      </c>
      <c r="F9" s="125">
        <v>1.8</v>
      </c>
      <c r="G9" s="125">
        <v>3.59</v>
      </c>
      <c r="J9" s="298"/>
      <c r="K9" s="127" t="s">
        <v>373</v>
      </c>
      <c r="L9" s="125">
        <v>1.8</v>
      </c>
      <c r="M9" s="125">
        <v>14</v>
      </c>
      <c r="N9" s="125">
        <v>1.8</v>
      </c>
      <c r="O9" s="125">
        <v>3.59</v>
      </c>
    </row>
    <row r="10" spans="1:15">
      <c r="A10" s="127" t="s">
        <v>374</v>
      </c>
      <c r="B10" s="124">
        <v>30</v>
      </c>
      <c r="C10" s="125">
        <v>1.78</v>
      </c>
      <c r="D10" s="125">
        <v>13.25</v>
      </c>
      <c r="E10" s="124">
        <v>10</v>
      </c>
      <c r="F10" s="125">
        <v>1.78</v>
      </c>
      <c r="G10" s="125">
        <v>3.36</v>
      </c>
      <c r="J10" s="298"/>
      <c r="K10" s="127" t="s">
        <v>374</v>
      </c>
      <c r="L10" s="125">
        <v>1.78</v>
      </c>
      <c r="M10" s="125">
        <v>13.25</v>
      </c>
      <c r="N10" s="125">
        <v>1.78</v>
      </c>
      <c r="O10" s="125">
        <v>3.36</v>
      </c>
    </row>
    <row r="11" spans="1:15">
      <c r="A11" s="127" t="s">
        <v>375</v>
      </c>
      <c r="B11" s="124">
        <v>30</v>
      </c>
      <c r="C11" s="125">
        <v>1.1399999999999999</v>
      </c>
      <c r="D11" s="125">
        <v>15.98</v>
      </c>
      <c r="E11" s="124">
        <v>10</v>
      </c>
      <c r="F11" s="125">
        <v>1.23</v>
      </c>
      <c r="G11" s="125">
        <v>4.95</v>
      </c>
      <c r="J11" s="298"/>
      <c r="K11" s="127" t="s">
        <v>375</v>
      </c>
      <c r="L11" s="125">
        <v>1.1399999999999999</v>
      </c>
      <c r="M11" s="125">
        <v>15.98</v>
      </c>
      <c r="N11" s="125">
        <v>1.23</v>
      </c>
      <c r="O11" s="125">
        <v>4.95</v>
      </c>
    </row>
    <row r="12" spans="1:15">
      <c r="A12" s="127" t="s">
        <v>376</v>
      </c>
      <c r="B12" s="124">
        <v>30</v>
      </c>
      <c r="C12" s="125">
        <v>1.54</v>
      </c>
      <c r="D12" s="125">
        <v>14.41</v>
      </c>
      <c r="E12" s="124">
        <v>10</v>
      </c>
      <c r="F12" s="125">
        <v>1.66</v>
      </c>
      <c r="G12" s="125">
        <v>9.0500000000000007</v>
      </c>
      <c r="J12" s="298"/>
      <c r="K12" s="127" t="s">
        <v>376</v>
      </c>
      <c r="L12" s="125">
        <v>1.54</v>
      </c>
      <c r="M12" s="125">
        <v>14.41</v>
      </c>
      <c r="N12" s="125">
        <v>1.66</v>
      </c>
      <c r="O12" s="125">
        <v>9.0500000000000007</v>
      </c>
    </row>
    <row r="13" spans="1:15">
      <c r="A13" s="127" t="s">
        <v>377</v>
      </c>
      <c r="B13" s="124">
        <v>30</v>
      </c>
      <c r="C13" s="125">
        <v>1.54</v>
      </c>
      <c r="D13" s="125">
        <v>9.6</v>
      </c>
      <c r="E13" s="124">
        <v>10</v>
      </c>
      <c r="F13" s="125">
        <v>1.61</v>
      </c>
      <c r="G13" s="125">
        <v>4.66</v>
      </c>
      <c r="J13" s="298"/>
      <c r="K13" s="127" t="s">
        <v>377</v>
      </c>
      <c r="L13" s="125">
        <v>1.54</v>
      </c>
      <c r="M13" s="125">
        <v>9.6</v>
      </c>
      <c r="N13" s="125">
        <v>1.61</v>
      </c>
      <c r="O13" s="125">
        <v>4.66</v>
      </c>
    </row>
    <row r="14" spans="1:15">
      <c r="A14" s="127" t="s">
        <v>378</v>
      </c>
      <c r="B14" s="124">
        <v>30</v>
      </c>
      <c r="C14" s="125">
        <v>1.02</v>
      </c>
      <c r="D14" s="125">
        <v>9.86</v>
      </c>
      <c r="E14" s="124">
        <v>10</v>
      </c>
      <c r="F14" s="125">
        <v>0.99</v>
      </c>
      <c r="G14" s="125">
        <v>4</v>
      </c>
      <c r="J14" s="298"/>
      <c r="K14" s="127" t="s">
        <v>378</v>
      </c>
      <c r="L14" s="125">
        <v>1.02</v>
      </c>
      <c r="M14" s="125">
        <v>9.86</v>
      </c>
      <c r="N14" s="125">
        <v>0.99</v>
      </c>
      <c r="O14" s="125">
        <v>4</v>
      </c>
    </row>
    <row r="15" spans="1:15">
      <c r="A15" s="127" t="s">
        <v>379</v>
      </c>
      <c r="B15" s="124">
        <v>30</v>
      </c>
      <c r="C15" s="125">
        <v>0.28999999999999998</v>
      </c>
      <c r="D15" s="125">
        <v>0.43</v>
      </c>
      <c r="E15" s="124">
        <v>10</v>
      </c>
      <c r="F15" s="125">
        <v>0.28999999999999998</v>
      </c>
      <c r="G15" s="125">
        <v>0.31</v>
      </c>
      <c r="J15" s="298"/>
      <c r="K15" s="127" t="s">
        <v>379</v>
      </c>
      <c r="L15" s="125">
        <v>0.28999999999999998</v>
      </c>
      <c r="M15" s="125">
        <v>0.43</v>
      </c>
      <c r="N15" s="125">
        <v>0.28999999999999998</v>
      </c>
      <c r="O15" s="125">
        <v>0.31</v>
      </c>
    </row>
    <row r="16" spans="1:15">
      <c r="A16" s="127" t="s">
        <v>380</v>
      </c>
      <c r="B16" s="124">
        <v>30</v>
      </c>
      <c r="C16" s="125">
        <v>0.55000000000000004</v>
      </c>
      <c r="D16" s="125">
        <v>2.4300000000000002</v>
      </c>
      <c r="E16" s="124">
        <v>10</v>
      </c>
      <c r="F16" s="125">
        <v>0.55000000000000004</v>
      </c>
      <c r="G16" s="125">
        <v>1.1499999999999999</v>
      </c>
      <c r="J16" s="298"/>
      <c r="K16" s="127" t="s">
        <v>380</v>
      </c>
      <c r="L16" s="125">
        <v>0.55000000000000004</v>
      </c>
      <c r="M16" s="125">
        <v>2.4300000000000002</v>
      </c>
      <c r="N16" s="125">
        <v>0.55000000000000004</v>
      </c>
      <c r="O16" s="125">
        <v>1.1499999999999999</v>
      </c>
    </row>
    <row r="17" spans="1:15">
      <c r="A17" s="127" t="s">
        <v>381</v>
      </c>
      <c r="B17" s="124">
        <v>30</v>
      </c>
      <c r="C17" s="125">
        <v>0.44</v>
      </c>
      <c r="D17" s="125">
        <v>0.67</v>
      </c>
      <c r="E17" s="124">
        <v>10</v>
      </c>
      <c r="F17" s="125">
        <v>0.44</v>
      </c>
      <c r="G17" s="125">
        <v>0.55000000000000004</v>
      </c>
      <c r="J17" s="298"/>
      <c r="K17" s="127" t="s">
        <v>381</v>
      </c>
      <c r="L17" s="125">
        <v>0.44</v>
      </c>
      <c r="M17" s="125">
        <v>0.67</v>
      </c>
      <c r="N17" s="125">
        <v>0.44</v>
      </c>
      <c r="O17" s="125">
        <v>0.55000000000000004</v>
      </c>
    </row>
    <row r="18" spans="1:15">
      <c r="A18" s="127" t="s">
        <v>382</v>
      </c>
      <c r="B18" s="124">
        <v>30</v>
      </c>
      <c r="C18" s="125"/>
      <c r="D18" s="125"/>
      <c r="E18" s="124">
        <v>10</v>
      </c>
      <c r="F18" s="125"/>
      <c r="G18" s="125"/>
      <c r="J18" s="298"/>
      <c r="K18" s="127" t="s">
        <v>382</v>
      </c>
      <c r="L18" s="125"/>
      <c r="M18" s="125"/>
      <c r="N18" s="125"/>
      <c r="O18" s="125"/>
    </row>
    <row r="19" spans="1:15">
      <c r="J19" s="298"/>
      <c r="K19" s="123" t="s">
        <v>383</v>
      </c>
      <c r="L19" s="123">
        <f>AVERAGE(L7:L18)</f>
        <v>1.4227272727272724</v>
      </c>
      <c r="M19" s="123">
        <f>MAX(M7:M18)</f>
        <v>15.98</v>
      </c>
      <c r="N19" s="123">
        <f>AVERAGE(N7:N18)</f>
        <v>1.4554545454545456</v>
      </c>
      <c r="O19" s="123">
        <f>MAX(O7:O18)</f>
        <v>9.0500000000000007</v>
      </c>
    </row>
    <row r="21" spans="1:15" ht="30">
      <c r="J21" s="122">
        <f>+A6</f>
        <v>2022</v>
      </c>
      <c r="K21" s="122" t="s">
        <v>370</v>
      </c>
      <c r="L21" s="128" t="s">
        <v>365</v>
      </c>
      <c r="M21" s="128" t="s">
        <v>366</v>
      </c>
      <c r="N21" s="128" t="s">
        <v>368</v>
      </c>
      <c r="O21" s="128" t="s">
        <v>369</v>
      </c>
    </row>
    <row r="22" spans="1:15">
      <c r="J22" s="298" t="s">
        <v>169</v>
      </c>
      <c r="K22" s="127" t="s">
        <v>371</v>
      </c>
      <c r="L22" s="125"/>
      <c r="M22" s="125"/>
      <c r="N22" s="125"/>
      <c r="O22" s="125"/>
    </row>
    <row r="23" spans="1:15">
      <c r="J23" s="298"/>
      <c r="K23" s="127" t="s">
        <v>372</v>
      </c>
      <c r="L23" s="125"/>
      <c r="M23" s="125"/>
      <c r="N23" s="125"/>
      <c r="O23" s="125"/>
    </row>
    <row r="24" spans="1:15">
      <c r="J24" s="298"/>
      <c r="K24" s="127" t="s">
        <v>373</v>
      </c>
      <c r="L24" s="125"/>
      <c r="M24" s="125"/>
      <c r="N24" s="125"/>
      <c r="O24" s="125"/>
    </row>
    <row r="25" spans="1:15">
      <c r="J25" s="298"/>
      <c r="K25" s="127" t="s">
        <v>374</v>
      </c>
      <c r="L25" s="125"/>
      <c r="M25" s="125"/>
      <c r="N25" s="125"/>
      <c r="O25" s="125"/>
    </row>
    <row r="26" spans="1:15">
      <c r="J26" s="298"/>
      <c r="K26" s="127" t="s">
        <v>375</v>
      </c>
      <c r="L26" s="125"/>
      <c r="M26" s="125"/>
      <c r="N26" s="125"/>
      <c r="O26" s="125"/>
    </row>
    <row r="27" spans="1:15">
      <c r="J27" s="298"/>
      <c r="K27" s="127" t="s">
        <v>376</v>
      </c>
      <c r="L27" s="125"/>
      <c r="M27" s="125"/>
      <c r="N27" s="125"/>
      <c r="O27" s="125"/>
    </row>
    <row r="28" spans="1:15">
      <c r="J28" s="298"/>
      <c r="K28" s="127" t="s">
        <v>377</v>
      </c>
      <c r="L28" s="125"/>
      <c r="M28" s="125"/>
      <c r="N28" s="125"/>
      <c r="O28" s="125"/>
    </row>
    <row r="29" spans="1:15">
      <c r="J29" s="298"/>
      <c r="K29" s="127" t="s">
        <v>378</v>
      </c>
      <c r="L29" s="125"/>
      <c r="M29" s="125"/>
      <c r="N29" s="125"/>
      <c r="O29" s="125"/>
    </row>
    <row r="30" spans="1:15">
      <c r="J30" s="298"/>
      <c r="K30" s="127" t="s">
        <v>379</v>
      </c>
      <c r="L30" s="125"/>
      <c r="M30" s="125"/>
      <c r="N30" s="125"/>
      <c r="O30" s="125"/>
    </row>
    <row r="31" spans="1:15">
      <c r="J31" s="298"/>
      <c r="K31" s="127" t="s">
        <v>380</v>
      </c>
      <c r="L31" s="125"/>
      <c r="M31" s="125"/>
      <c r="N31" s="125"/>
      <c r="O31" s="125"/>
    </row>
    <row r="32" spans="1:15">
      <c r="J32" s="298"/>
      <c r="K32" s="127" t="s">
        <v>381</v>
      </c>
      <c r="L32" s="125"/>
      <c r="M32" s="125"/>
      <c r="N32" s="125"/>
      <c r="O32" s="125"/>
    </row>
    <row r="33" spans="1:15">
      <c r="J33" s="298"/>
      <c r="K33" s="127" t="s">
        <v>382</v>
      </c>
      <c r="L33" s="125"/>
      <c r="M33" s="125"/>
      <c r="N33" s="125"/>
      <c r="O33" s="125"/>
    </row>
    <row r="34" spans="1:15">
      <c r="J34" s="298"/>
      <c r="K34" s="123" t="s">
        <v>383</v>
      </c>
      <c r="L34" s="123" t="e">
        <f>AVERAGE(L22:L33)</f>
        <v>#DIV/0!</v>
      </c>
      <c r="M34" s="123">
        <f>MAX(M22:M33)</f>
        <v>0</v>
      </c>
      <c r="N34" s="123" t="e">
        <f>AVERAGE(N22:N33)</f>
        <v>#DIV/0!</v>
      </c>
      <c r="O34" s="123">
        <f>MAX(O22:O33)</f>
        <v>0</v>
      </c>
    </row>
    <row r="36" spans="1:15" ht="30">
      <c r="J36" s="122">
        <f>+A6</f>
        <v>2022</v>
      </c>
      <c r="K36" s="122" t="s">
        <v>370</v>
      </c>
      <c r="L36" s="128" t="s">
        <v>365</v>
      </c>
      <c r="M36" s="128" t="s">
        <v>366</v>
      </c>
      <c r="N36" s="128" t="s">
        <v>368</v>
      </c>
      <c r="O36" s="128" t="s">
        <v>369</v>
      </c>
    </row>
    <row r="37" spans="1:15">
      <c r="J37" s="298" t="s">
        <v>170</v>
      </c>
      <c r="K37" s="127" t="s">
        <v>371</v>
      </c>
      <c r="L37" s="125"/>
      <c r="M37" s="125"/>
      <c r="N37" s="125"/>
      <c r="O37" s="125"/>
    </row>
    <row r="38" spans="1:15">
      <c r="J38" s="298"/>
      <c r="K38" s="127" t="s">
        <v>372</v>
      </c>
      <c r="L38" s="125"/>
      <c r="M38" s="125"/>
      <c r="N38" s="125"/>
      <c r="O38" s="125"/>
    </row>
    <row r="39" spans="1:15">
      <c r="J39" s="298"/>
      <c r="K39" s="127" t="s">
        <v>373</v>
      </c>
      <c r="L39" s="125"/>
      <c r="M39" s="125"/>
      <c r="N39" s="125"/>
      <c r="O39" s="125"/>
    </row>
    <row r="40" spans="1:15">
      <c r="J40" s="298"/>
      <c r="K40" s="127" t="s">
        <v>374</v>
      </c>
      <c r="L40" s="125"/>
      <c r="M40" s="125"/>
      <c r="N40" s="125"/>
      <c r="O40" s="125"/>
    </row>
    <row r="41" spans="1:15">
      <c r="J41" s="298"/>
      <c r="K41" s="127" t="s">
        <v>375</v>
      </c>
      <c r="L41" s="125"/>
      <c r="M41" s="125"/>
      <c r="N41" s="125"/>
      <c r="O41" s="125"/>
    </row>
    <row r="42" spans="1:15">
      <c r="J42" s="298"/>
      <c r="K42" s="127" t="s">
        <v>376</v>
      </c>
      <c r="L42" s="125"/>
      <c r="M42" s="125"/>
      <c r="N42" s="125"/>
      <c r="O42" s="125"/>
    </row>
    <row r="43" spans="1:15">
      <c r="J43" s="298"/>
      <c r="K43" s="127" t="s">
        <v>377</v>
      </c>
      <c r="L43" s="125"/>
      <c r="M43" s="125"/>
      <c r="N43" s="125"/>
      <c r="O43" s="125"/>
    </row>
    <row r="44" spans="1:15">
      <c r="J44" s="298"/>
      <c r="K44" s="127" t="s">
        <v>378</v>
      </c>
      <c r="L44" s="125"/>
      <c r="M44" s="125"/>
      <c r="N44" s="125"/>
      <c r="O44" s="125"/>
    </row>
    <row r="45" spans="1:15">
      <c r="J45" s="298"/>
      <c r="K45" s="127" t="s">
        <v>379</v>
      </c>
      <c r="L45" s="125"/>
      <c r="M45" s="125"/>
      <c r="N45" s="125"/>
      <c r="O45" s="125"/>
    </row>
    <row r="46" spans="1:15">
      <c r="J46" s="298"/>
      <c r="K46" s="127" t="s">
        <v>380</v>
      </c>
      <c r="L46" s="125"/>
      <c r="M46" s="125"/>
      <c r="N46" s="125"/>
      <c r="O46" s="125"/>
    </row>
    <row r="47" spans="1:15">
      <c r="J47" s="298"/>
      <c r="K47" s="127" t="s">
        <v>381</v>
      </c>
      <c r="L47" s="125"/>
      <c r="M47" s="125"/>
      <c r="N47" s="125"/>
      <c r="O47" s="125"/>
    </row>
    <row r="48" spans="1:15" ht="15">
      <c r="A48" s="310" t="s">
        <v>249</v>
      </c>
      <c r="B48" s="311"/>
      <c r="C48" s="311"/>
      <c r="D48" s="311"/>
      <c r="E48" s="311"/>
      <c r="F48" s="311"/>
      <c r="G48" s="312"/>
      <c r="J48" s="298"/>
      <c r="K48" s="127" t="s">
        <v>382</v>
      </c>
      <c r="L48" s="125"/>
      <c r="M48" s="125"/>
      <c r="N48" s="125"/>
      <c r="O48" s="125"/>
    </row>
    <row r="49" spans="1:15">
      <c r="A49" s="301" t="s">
        <v>384</v>
      </c>
      <c r="B49" s="302"/>
      <c r="C49" s="302"/>
      <c r="D49" s="302"/>
      <c r="E49" s="302"/>
      <c r="F49" s="302"/>
      <c r="G49" s="303"/>
      <c r="J49" s="298"/>
      <c r="K49" s="123" t="s">
        <v>383</v>
      </c>
      <c r="L49" s="123" t="e">
        <f>AVERAGE(L37:L48)</f>
        <v>#DIV/0!</v>
      </c>
      <c r="M49" s="123">
        <f>MAX(M37:M48)</f>
        <v>0</v>
      </c>
      <c r="N49" s="123" t="e">
        <f>AVERAGE(N37:N48)</f>
        <v>#DIV/0!</v>
      </c>
      <c r="O49" s="123">
        <f>MAX(O37:O48)</f>
        <v>0</v>
      </c>
    </row>
    <row r="50" spans="1:15">
      <c r="A50" s="304"/>
      <c r="B50" s="305"/>
      <c r="C50" s="305"/>
      <c r="D50" s="305"/>
      <c r="E50" s="305"/>
      <c r="F50" s="305"/>
      <c r="G50" s="306"/>
    </row>
    <row r="51" spans="1:15" ht="30">
      <c r="A51" s="304"/>
      <c r="B51" s="305"/>
      <c r="C51" s="305"/>
      <c r="D51" s="305"/>
      <c r="E51" s="305"/>
      <c r="F51" s="305"/>
      <c r="G51" s="306"/>
      <c r="J51" s="122">
        <f>+A6</f>
        <v>2022</v>
      </c>
      <c r="K51" s="122" t="s">
        <v>370</v>
      </c>
      <c r="L51" s="128" t="s">
        <v>365</v>
      </c>
      <c r="M51" s="128" t="s">
        <v>366</v>
      </c>
      <c r="N51" s="128" t="s">
        <v>368</v>
      </c>
      <c r="O51" s="128" t="s">
        <v>369</v>
      </c>
    </row>
    <row r="52" spans="1:15">
      <c r="A52" s="307"/>
      <c r="B52" s="308"/>
      <c r="C52" s="308"/>
      <c r="D52" s="308"/>
      <c r="E52" s="308"/>
      <c r="F52" s="308"/>
      <c r="G52" s="309"/>
      <c r="J52" s="298" t="s">
        <v>171</v>
      </c>
      <c r="K52" s="127" t="s">
        <v>371</v>
      </c>
      <c r="L52" s="125"/>
      <c r="M52" s="125"/>
      <c r="N52" s="125"/>
      <c r="O52" s="125"/>
    </row>
    <row r="53" spans="1:15">
      <c r="J53" s="298"/>
      <c r="K53" s="127" t="s">
        <v>372</v>
      </c>
      <c r="L53" s="125"/>
      <c r="M53" s="125"/>
      <c r="N53" s="125"/>
      <c r="O53" s="125"/>
    </row>
    <row r="54" spans="1:15">
      <c r="J54" s="298"/>
      <c r="K54" s="127" t="s">
        <v>373</v>
      </c>
      <c r="L54" s="125"/>
      <c r="M54" s="125"/>
      <c r="N54" s="125"/>
      <c r="O54" s="125"/>
    </row>
    <row r="55" spans="1:15">
      <c r="J55" s="298"/>
      <c r="K55" s="127" t="s">
        <v>374</v>
      </c>
      <c r="L55" s="125"/>
      <c r="M55" s="125"/>
      <c r="N55" s="125"/>
      <c r="O55" s="125"/>
    </row>
    <row r="56" spans="1:15">
      <c r="J56" s="298"/>
      <c r="K56" s="127" t="s">
        <v>375</v>
      </c>
      <c r="L56" s="125"/>
      <c r="M56" s="125"/>
      <c r="N56" s="125"/>
      <c r="O56" s="125"/>
    </row>
    <row r="57" spans="1:15">
      <c r="J57" s="298"/>
      <c r="K57" s="127" t="s">
        <v>376</v>
      </c>
      <c r="L57" s="125"/>
      <c r="M57" s="125"/>
      <c r="N57" s="125"/>
      <c r="O57" s="125"/>
    </row>
    <row r="58" spans="1:15">
      <c r="J58" s="298"/>
      <c r="K58" s="127" t="s">
        <v>377</v>
      </c>
      <c r="L58" s="125"/>
      <c r="M58" s="125"/>
      <c r="N58" s="125"/>
      <c r="O58" s="125"/>
    </row>
    <row r="59" spans="1:15">
      <c r="J59" s="298"/>
      <c r="K59" s="127" t="s">
        <v>378</v>
      </c>
      <c r="L59" s="125"/>
      <c r="M59" s="125"/>
      <c r="N59" s="125"/>
      <c r="O59" s="125"/>
    </row>
    <row r="60" spans="1:15">
      <c r="J60" s="298"/>
      <c r="K60" s="127" t="s">
        <v>379</v>
      </c>
      <c r="L60" s="125"/>
      <c r="M60" s="125"/>
      <c r="N60" s="125"/>
      <c r="O60" s="125"/>
    </row>
    <row r="61" spans="1:15">
      <c r="J61" s="298"/>
      <c r="K61" s="127" t="s">
        <v>380</v>
      </c>
      <c r="L61" s="125"/>
      <c r="M61" s="125"/>
      <c r="N61" s="125"/>
      <c r="O61" s="125"/>
    </row>
    <row r="62" spans="1:15">
      <c r="J62" s="298"/>
      <c r="K62" s="127" t="s">
        <v>381</v>
      </c>
      <c r="L62" s="125"/>
      <c r="M62" s="125"/>
      <c r="N62" s="125"/>
      <c r="O62" s="125"/>
    </row>
    <row r="63" spans="1:15">
      <c r="J63" s="298"/>
      <c r="K63" s="127" t="s">
        <v>382</v>
      </c>
      <c r="L63" s="125"/>
      <c r="M63" s="125"/>
      <c r="N63" s="125"/>
      <c r="O63" s="125"/>
    </row>
    <row r="64" spans="1:15">
      <c r="J64" s="298"/>
      <c r="K64" s="123" t="s">
        <v>383</v>
      </c>
      <c r="L64" s="123" t="e">
        <f>AVERAGE(L52:L63)</f>
        <v>#DIV/0!</v>
      </c>
      <c r="M64" s="123">
        <f>MAX(M52:M63)</f>
        <v>0</v>
      </c>
      <c r="N64" s="123" t="e">
        <f>AVERAGE(N52:N63)</f>
        <v>#DIV/0!</v>
      </c>
      <c r="O64" s="123">
        <f>MAX(O52:O63)</f>
        <v>0</v>
      </c>
    </row>
    <row r="66" spans="10:15" ht="30">
      <c r="J66" s="122">
        <f>+A6</f>
        <v>2022</v>
      </c>
      <c r="K66" s="122" t="s">
        <v>370</v>
      </c>
      <c r="L66" s="128" t="s">
        <v>365</v>
      </c>
      <c r="M66" s="128" t="s">
        <v>366</v>
      </c>
      <c r="N66" s="128" t="s">
        <v>368</v>
      </c>
      <c r="O66" s="128" t="s">
        <v>369</v>
      </c>
    </row>
    <row r="67" spans="10:15">
      <c r="J67" s="298" t="s">
        <v>172</v>
      </c>
      <c r="K67" s="127" t="s">
        <v>371</v>
      </c>
      <c r="L67" s="125"/>
      <c r="M67" s="125"/>
      <c r="N67" s="125"/>
      <c r="O67" s="125"/>
    </row>
    <row r="68" spans="10:15">
      <c r="J68" s="298"/>
      <c r="K68" s="127" t="s">
        <v>372</v>
      </c>
      <c r="L68" s="125"/>
      <c r="M68" s="125"/>
      <c r="N68" s="125"/>
      <c r="O68" s="125"/>
    </row>
    <row r="69" spans="10:15">
      <c r="J69" s="298"/>
      <c r="K69" s="127" t="s">
        <v>373</v>
      </c>
      <c r="L69" s="125"/>
      <c r="M69" s="125"/>
      <c r="N69" s="125"/>
      <c r="O69" s="125"/>
    </row>
    <row r="70" spans="10:15">
      <c r="J70" s="298"/>
      <c r="K70" s="127" t="s">
        <v>374</v>
      </c>
      <c r="L70" s="125"/>
      <c r="M70" s="125"/>
      <c r="N70" s="125"/>
      <c r="O70" s="125"/>
    </row>
    <row r="71" spans="10:15">
      <c r="J71" s="298"/>
      <c r="K71" s="127" t="s">
        <v>375</v>
      </c>
      <c r="L71" s="125"/>
      <c r="M71" s="125"/>
      <c r="N71" s="125"/>
      <c r="O71" s="125"/>
    </row>
    <row r="72" spans="10:15">
      <c r="J72" s="298"/>
      <c r="K72" s="127" t="s">
        <v>376</v>
      </c>
      <c r="L72" s="125"/>
      <c r="M72" s="125"/>
      <c r="N72" s="125"/>
      <c r="O72" s="125"/>
    </row>
    <row r="73" spans="10:15">
      <c r="J73" s="298"/>
      <c r="K73" s="127" t="s">
        <v>377</v>
      </c>
      <c r="L73" s="125"/>
      <c r="M73" s="125"/>
      <c r="N73" s="125"/>
      <c r="O73" s="125"/>
    </row>
    <row r="74" spans="10:15">
      <c r="J74" s="298"/>
      <c r="K74" s="127" t="s">
        <v>378</v>
      </c>
      <c r="L74" s="125"/>
      <c r="M74" s="125"/>
      <c r="N74" s="125"/>
      <c r="O74" s="125"/>
    </row>
    <row r="75" spans="10:15">
      <c r="J75" s="298"/>
      <c r="K75" s="127" t="s">
        <v>379</v>
      </c>
      <c r="L75" s="125"/>
      <c r="M75" s="125"/>
      <c r="N75" s="125"/>
      <c r="O75" s="125"/>
    </row>
    <row r="76" spans="10:15">
      <c r="J76" s="298"/>
      <c r="K76" s="127" t="s">
        <v>380</v>
      </c>
      <c r="L76" s="125"/>
      <c r="M76" s="125"/>
      <c r="N76" s="125"/>
      <c r="O76" s="125"/>
    </row>
    <row r="77" spans="10:15">
      <c r="J77" s="298"/>
      <c r="K77" s="127" t="s">
        <v>381</v>
      </c>
      <c r="L77" s="125"/>
      <c r="M77" s="125"/>
      <c r="N77" s="125"/>
      <c r="O77" s="125"/>
    </row>
    <row r="78" spans="10:15">
      <c r="J78" s="298"/>
      <c r="K78" s="127" t="s">
        <v>382</v>
      </c>
      <c r="L78" s="125"/>
      <c r="M78" s="125"/>
      <c r="N78" s="125"/>
      <c r="O78" s="125"/>
    </row>
    <row r="79" spans="10:15">
      <c r="J79" s="298"/>
      <c r="K79" s="123" t="s">
        <v>383</v>
      </c>
      <c r="L79" s="123" t="e">
        <f>AVERAGE(L67:L78)</f>
        <v>#DIV/0!</v>
      </c>
      <c r="M79" s="123">
        <f>MAX(M67:M78)</f>
        <v>0</v>
      </c>
      <c r="N79" s="123" t="e">
        <f>AVERAGE(N67:N78)</f>
        <v>#DIV/0!</v>
      </c>
      <c r="O79" s="123">
        <f>MAX(O67:O78)</f>
        <v>0</v>
      </c>
    </row>
  </sheetData>
  <mergeCells count="10">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O79"/>
  <sheetViews>
    <sheetView showGridLines="0" zoomScaleNormal="100" workbookViewId="0">
      <selection activeCell="N7" sqref="N7:O17"/>
    </sheetView>
  </sheetViews>
  <sheetFormatPr defaultRowHeight="14.25"/>
  <cols>
    <col min="1" max="1" width="14" style="3" customWidth="1"/>
    <col min="2" max="4" width="17" style="77" customWidth="1"/>
    <col min="5" max="5" width="14.85546875" style="77" customWidth="1"/>
    <col min="6" max="7" width="17" style="77" customWidth="1"/>
    <col min="8" max="11" width="9.140625" style="3"/>
    <col min="12" max="12" width="15.42578125" style="3" customWidth="1"/>
    <col min="13" max="13" width="17.42578125" style="3" bestFit="1" customWidth="1"/>
    <col min="14" max="14" width="13.85546875" style="3" customWidth="1"/>
    <col min="15" max="15" width="15" style="3" customWidth="1"/>
    <col min="16" max="256" width="9.140625" style="3"/>
    <col min="257" max="257" width="14" style="3" customWidth="1"/>
    <col min="258" max="263" width="10.140625" style="3" customWidth="1"/>
    <col min="264" max="512" width="9.140625" style="3"/>
    <col min="513" max="513" width="14" style="3" customWidth="1"/>
    <col min="514" max="519" width="10.140625" style="3" customWidth="1"/>
    <col min="520" max="768" width="9.140625" style="3"/>
    <col min="769" max="769" width="14" style="3" customWidth="1"/>
    <col min="770" max="775" width="10.140625" style="3" customWidth="1"/>
    <col min="776" max="1024" width="9.140625" style="3"/>
    <col min="1025" max="1025" width="14" style="3" customWidth="1"/>
    <col min="1026" max="1031" width="10.140625" style="3" customWidth="1"/>
    <col min="1032" max="1280" width="9.140625" style="3"/>
    <col min="1281" max="1281" width="14" style="3" customWidth="1"/>
    <col min="1282" max="1287" width="10.140625" style="3" customWidth="1"/>
    <col min="1288" max="1536" width="9.140625" style="3"/>
    <col min="1537" max="1537" width="14" style="3" customWidth="1"/>
    <col min="1538" max="1543" width="10.140625" style="3" customWidth="1"/>
    <col min="1544" max="1792" width="9.140625" style="3"/>
    <col min="1793" max="1793" width="14" style="3" customWidth="1"/>
    <col min="1794" max="1799" width="10.140625" style="3" customWidth="1"/>
    <col min="1800" max="2048" width="9.140625" style="3"/>
    <col min="2049" max="2049" width="14" style="3" customWidth="1"/>
    <col min="2050" max="2055" width="10.140625" style="3" customWidth="1"/>
    <col min="2056" max="2304" width="9.140625" style="3"/>
    <col min="2305" max="2305" width="14" style="3" customWidth="1"/>
    <col min="2306" max="2311" width="10.140625" style="3" customWidth="1"/>
    <col min="2312" max="2560" width="9.140625" style="3"/>
    <col min="2561" max="2561" width="14" style="3" customWidth="1"/>
    <col min="2562" max="2567" width="10.140625" style="3" customWidth="1"/>
    <col min="2568" max="2816" width="9.140625" style="3"/>
    <col min="2817" max="2817" width="14" style="3" customWidth="1"/>
    <col min="2818" max="2823" width="10.140625" style="3" customWidth="1"/>
    <col min="2824" max="3072" width="9.140625" style="3"/>
    <col min="3073" max="3073" width="14" style="3" customWidth="1"/>
    <col min="3074" max="3079" width="10.140625" style="3" customWidth="1"/>
    <col min="3080" max="3328" width="9.140625" style="3"/>
    <col min="3329" max="3329" width="14" style="3" customWidth="1"/>
    <col min="3330" max="3335" width="10.140625" style="3" customWidth="1"/>
    <col min="3336" max="3584" width="9.140625" style="3"/>
    <col min="3585" max="3585" width="14" style="3" customWidth="1"/>
    <col min="3586" max="3591" width="10.140625" style="3" customWidth="1"/>
    <col min="3592" max="3840" width="9.140625" style="3"/>
    <col min="3841" max="3841" width="14" style="3" customWidth="1"/>
    <col min="3842" max="3847" width="10.140625" style="3" customWidth="1"/>
    <col min="3848" max="4096" width="9.140625" style="3"/>
    <col min="4097" max="4097" width="14" style="3" customWidth="1"/>
    <col min="4098" max="4103" width="10.140625" style="3" customWidth="1"/>
    <col min="4104" max="4352" width="9.140625" style="3"/>
    <col min="4353" max="4353" width="14" style="3" customWidth="1"/>
    <col min="4354" max="4359" width="10.140625" style="3" customWidth="1"/>
    <col min="4360" max="4608" width="9.140625" style="3"/>
    <col min="4609" max="4609" width="14" style="3" customWidth="1"/>
    <col min="4610" max="4615" width="10.140625" style="3" customWidth="1"/>
    <col min="4616" max="4864" width="9.140625" style="3"/>
    <col min="4865" max="4865" width="14" style="3" customWidth="1"/>
    <col min="4866" max="4871" width="10.140625" style="3" customWidth="1"/>
    <col min="4872" max="5120" width="9.140625" style="3"/>
    <col min="5121" max="5121" width="14" style="3" customWidth="1"/>
    <col min="5122" max="5127" width="10.140625" style="3" customWidth="1"/>
    <col min="5128" max="5376" width="9.140625" style="3"/>
    <col min="5377" max="5377" width="14" style="3" customWidth="1"/>
    <col min="5378" max="5383" width="10.140625" style="3" customWidth="1"/>
    <col min="5384" max="5632" width="9.140625" style="3"/>
    <col min="5633" max="5633" width="14" style="3" customWidth="1"/>
    <col min="5634" max="5639" width="10.140625" style="3" customWidth="1"/>
    <col min="5640" max="5888" width="9.140625" style="3"/>
    <col min="5889" max="5889" width="14" style="3" customWidth="1"/>
    <col min="5890" max="5895" width="10.140625" style="3" customWidth="1"/>
    <col min="5896" max="6144" width="9.140625" style="3"/>
    <col min="6145" max="6145" width="14" style="3" customWidth="1"/>
    <col min="6146" max="6151" width="10.140625" style="3" customWidth="1"/>
    <col min="6152" max="6400" width="9.140625" style="3"/>
    <col min="6401" max="6401" width="14" style="3" customWidth="1"/>
    <col min="6402" max="6407" width="10.140625" style="3" customWidth="1"/>
    <col min="6408" max="6656" width="9.140625" style="3"/>
    <col min="6657" max="6657" width="14" style="3" customWidth="1"/>
    <col min="6658" max="6663" width="10.140625" style="3" customWidth="1"/>
    <col min="6664" max="6912" width="9.140625" style="3"/>
    <col min="6913" max="6913" width="14" style="3" customWidth="1"/>
    <col min="6914" max="6919" width="10.140625" style="3" customWidth="1"/>
    <col min="6920" max="7168" width="9.140625" style="3"/>
    <col min="7169" max="7169" width="14" style="3" customWidth="1"/>
    <col min="7170" max="7175" width="10.140625" style="3" customWidth="1"/>
    <col min="7176" max="7424" width="9.140625" style="3"/>
    <col min="7425" max="7425" width="14" style="3" customWidth="1"/>
    <col min="7426" max="7431" width="10.140625" style="3" customWidth="1"/>
    <col min="7432" max="7680" width="9.140625" style="3"/>
    <col min="7681" max="7681" width="14" style="3" customWidth="1"/>
    <col min="7682" max="7687" width="10.140625" style="3" customWidth="1"/>
    <col min="7688" max="7936" width="9.140625" style="3"/>
    <col min="7937" max="7937" width="14" style="3" customWidth="1"/>
    <col min="7938" max="7943" width="10.140625" style="3" customWidth="1"/>
    <col min="7944" max="8192" width="9.140625" style="3"/>
    <col min="8193" max="8193" width="14" style="3" customWidth="1"/>
    <col min="8194" max="8199" width="10.140625" style="3" customWidth="1"/>
    <col min="8200" max="8448" width="9.140625" style="3"/>
    <col min="8449" max="8449" width="14" style="3" customWidth="1"/>
    <col min="8450" max="8455" width="10.140625" style="3" customWidth="1"/>
    <col min="8456" max="8704" width="9.140625" style="3"/>
    <col min="8705" max="8705" width="14" style="3" customWidth="1"/>
    <col min="8706" max="8711" width="10.140625" style="3" customWidth="1"/>
    <col min="8712" max="8960" width="9.140625" style="3"/>
    <col min="8961" max="8961" width="14" style="3" customWidth="1"/>
    <col min="8962" max="8967" width="10.140625" style="3" customWidth="1"/>
    <col min="8968" max="9216" width="9.140625" style="3"/>
    <col min="9217" max="9217" width="14" style="3" customWidth="1"/>
    <col min="9218" max="9223" width="10.140625" style="3" customWidth="1"/>
    <col min="9224" max="9472" width="9.140625" style="3"/>
    <col min="9473" max="9473" width="14" style="3" customWidth="1"/>
    <col min="9474" max="9479" width="10.140625" style="3" customWidth="1"/>
    <col min="9480" max="9728" width="9.140625" style="3"/>
    <col min="9729" max="9729" width="14" style="3" customWidth="1"/>
    <col min="9730" max="9735" width="10.140625" style="3" customWidth="1"/>
    <col min="9736" max="9984" width="9.140625" style="3"/>
    <col min="9985" max="9985" width="14" style="3" customWidth="1"/>
    <col min="9986" max="9991" width="10.140625" style="3" customWidth="1"/>
    <col min="9992" max="10240" width="9.140625" style="3"/>
    <col min="10241" max="10241" width="14" style="3" customWidth="1"/>
    <col min="10242" max="10247" width="10.140625" style="3" customWidth="1"/>
    <col min="10248" max="10496" width="9.140625" style="3"/>
    <col min="10497" max="10497" width="14" style="3" customWidth="1"/>
    <col min="10498" max="10503" width="10.140625" style="3" customWidth="1"/>
    <col min="10504" max="10752" width="9.140625" style="3"/>
    <col min="10753" max="10753" width="14" style="3" customWidth="1"/>
    <col min="10754" max="10759" width="10.140625" style="3" customWidth="1"/>
    <col min="10760" max="11008" width="9.140625" style="3"/>
    <col min="11009" max="11009" width="14" style="3" customWidth="1"/>
    <col min="11010" max="11015" width="10.140625" style="3" customWidth="1"/>
    <col min="11016" max="11264" width="9.140625" style="3"/>
    <col min="11265" max="11265" width="14" style="3" customWidth="1"/>
    <col min="11266" max="11271" width="10.140625" style="3" customWidth="1"/>
    <col min="11272" max="11520" width="9.140625" style="3"/>
    <col min="11521" max="11521" width="14" style="3" customWidth="1"/>
    <col min="11522" max="11527" width="10.140625" style="3" customWidth="1"/>
    <col min="11528" max="11776" width="9.140625" style="3"/>
    <col min="11777" max="11777" width="14" style="3" customWidth="1"/>
    <col min="11778" max="11783" width="10.140625" style="3" customWidth="1"/>
    <col min="11784" max="12032" width="9.140625" style="3"/>
    <col min="12033" max="12033" width="14" style="3" customWidth="1"/>
    <col min="12034" max="12039" width="10.140625" style="3" customWidth="1"/>
    <col min="12040" max="12288" width="9.140625" style="3"/>
    <col min="12289" max="12289" width="14" style="3" customWidth="1"/>
    <col min="12290" max="12295" width="10.140625" style="3" customWidth="1"/>
    <col min="12296" max="12544" width="9.140625" style="3"/>
    <col min="12545" max="12545" width="14" style="3" customWidth="1"/>
    <col min="12546" max="12551" width="10.140625" style="3" customWidth="1"/>
    <col min="12552" max="12800" width="9.140625" style="3"/>
    <col min="12801" max="12801" width="14" style="3" customWidth="1"/>
    <col min="12802" max="12807" width="10.140625" style="3" customWidth="1"/>
    <col min="12808" max="13056" width="9.140625" style="3"/>
    <col min="13057" max="13057" width="14" style="3" customWidth="1"/>
    <col min="13058" max="13063" width="10.140625" style="3" customWidth="1"/>
    <col min="13064" max="13312" width="9.140625" style="3"/>
    <col min="13313" max="13313" width="14" style="3" customWidth="1"/>
    <col min="13314" max="13319" width="10.140625" style="3" customWidth="1"/>
    <col min="13320" max="13568" width="9.140625" style="3"/>
    <col min="13569" max="13569" width="14" style="3" customWidth="1"/>
    <col min="13570" max="13575" width="10.140625" style="3" customWidth="1"/>
    <col min="13576" max="13824" width="9.140625" style="3"/>
    <col min="13825" max="13825" width="14" style="3" customWidth="1"/>
    <col min="13826" max="13831" width="10.140625" style="3" customWidth="1"/>
    <col min="13832" max="14080" width="9.140625" style="3"/>
    <col min="14081" max="14081" width="14" style="3" customWidth="1"/>
    <col min="14082" max="14087" width="10.140625" style="3" customWidth="1"/>
    <col min="14088" max="14336" width="9.140625" style="3"/>
    <col min="14337" max="14337" width="14" style="3" customWidth="1"/>
    <col min="14338" max="14343" width="10.140625" style="3" customWidth="1"/>
    <col min="14344" max="14592" width="9.140625" style="3"/>
    <col min="14593" max="14593" width="14" style="3" customWidth="1"/>
    <col min="14594" max="14599" width="10.140625" style="3" customWidth="1"/>
    <col min="14600" max="14848" width="9.140625" style="3"/>
    <col min="14849" max="14849" width="14" style="3" customWidth="1"/>
    <col min="14850" max="14855" width="10.140625" style="3" customWidth="1"/>
    <col min="14856" max="15104" width="9.140625" style="3"/>
    <col min="15105" max="15105" width="14" style="3" customWidth="1"/>
    <col min="15106" max="15111" width="10.140625" style="3" customWidth="1"/>
    <col min="15112" max="15360" width="9.140625" style="3"/>
    <col min="15361" max="15361" width="14" style="3" customWidth="1"/>
    <col min="15362" max="15367" width="10.140625" style="3" customWidth="1"/>
    <col min="15368" max="15616" width="9.140625" style="3"/>
    <col min="15617" max="15617" width="14" style="3" customWidth="1"/>
    <col min="15618" max="15623" width="10.140625" style="3" customWidth="1"/>
    <col min="15624" max="15872" width="9.140625" style="3"/>
    <col min="15873" max="15873" width="14" style="3" customWidth="1"/>
    <col min="15874" max="15879" width="10.140625" style="3" customWidth="1"/>
    <col min="15880" max="16128" width="9.140625" style="3"/>
    <col min="16129" max="16129" width="14" style="3" customWidth="1"/>
    <col min="16130" max="16135" width="10.140625" style="3" customWidth="1"/>
    <col min="16136" max="16384" width="9.140625" style="3"/>
  </cols>
  <sheetData>
    <row r="1" spans="1:15" ht="15">
      <c r="A1" s="2" t="str">
        <f>+'Cover Page'!$B$29</f>
        <v>Annual Performance Report 2022</v>
      </c>
      <c r="B1" s="2"/>
      <c r="C1" s="2"/>
      <c r="D1" s="2"/>
      <c r="E1" s="2" t="str">
        <f>+'Cover Page'!$B$33</f>
        <v>Fine Environmental Services</v>
      </c>
    </row>
    <row r="3" spans="1:15" ht="15">
      <c r="A3" s="121" t="s">
        <v>397</v>
      </c>
    </row>
    <row r="5" spans="1:15" ht="17.25">
      <c r="A5" s="129" t="s">
        <v>361</v>
      </c>
      <c r="B5" s="300" t="s">
        <v>362</v>
      </c>
      <c r="C5" s="300"/>
      <c r="D5" s="300"/>
      <c r="E5" s="300" t="s">
        <v>363</v>
      </c>
      <c r="F5" s="300"/>
      <c r="G5" s="300"/>
      <c r="J5" s="299" t="str">
        <f>+A3</f>
        <v>Monitoring of Carbon Monoxide emissions (half hourly)</v>
      </c>
      <c r="K5" s="299"/>
      <c r="L5" s="299"/>
      <c r="M5" s="299"/>
      <c r="N5" s="299"/>
      <c r="O5" s="299"/>
    </row>
    <row r="6" spans="1:15" s="119" customFormat="1" ht="37.5" customHeight="1">
      <c r="A6" s="126">
        <f>+'Cover Page'!C39</f>
        <v>2022</v>
      </c>
      <c r="B6" s="115" t="s">
        <v>398</v>
      </c>
      <c r="C6" s="115" t="s">
        <v>365</v>
      </c>
      <c r="D6" s="115" t="s">
        <v>366</v>
      </c>
      <c r="E6" s="115" t="s">
        <v>399</v>
      </c>
      <c r="F6" s="115" t="s">
        <v>368</v>
      </c>
      <c r="G6" s="115" t="s">
        <v>369</v>
      </c>
      <c r="H6" s="120"/>
      <c r="J6" s="122">
        <f>+A6</f>
        <v>2022</v>
      </c>
      <c r="K6" s="122" t="s">
        <v>370</v>
      </c>
      <c r="L6" s="128" t="s">
        <v>365</v>
      </c>
      <c r="M6" s="128" t="s">
        <v>366</v>
      </c>
      <c r="N6" s="128" t="s">
        <v>368</v>
      </c>
      <c r="O6" s="128" t="s">
        <v>369</v>
      </c>
    </row>
    <row r="7" spans="1:15">
      <c r="A7" s="127" t="s">
        <v>371</v>
      </c>
      <c r="B7" s="130">
        <v>100</v>
      </c>
      <c r="C7" s="125">
        <v>0.39</v>
      </c>
      <c r="D7" s="125">
        <v>13.78</v>
      </c>
      <c r="E7" s="130">
        <v>50</v>
      </c>
      <c r="F7" s="125">
        <v>0.35</v>
      </c>
      <c r="G7" s="125">
        <v>0.55000000000000004</v>
      </c>
      <c r="J7" s="298" t="s">
        <v>168</v>
      </c>
      <c r="K7" s="127" t="s">
        <v>371</v>
      </c>
      <c r="L7" s="125">
        <v>0.39</v>
      </c>
      <c r="M7" s="125">
        <v>13.78</v>
      </c>
      <c r="N7" s="125">
        <v>0.35</v>
      </c>
      <c r="O7" s="125">
        <v>0.55000000000000004</v>
      </c>
    </row>
    <row r="8" spans="1:15">
      <c r="A8" s="127" t="s">
        <v>372</v>
      </c>
      <c r="B8" s="124">
        <f>+B7</f>
        <v>100</v>
      </c>
      <c r="C8" s="125">
        <v>5.5</v>
      </c>
      <c r="D8" s="125">
        <v>75.2</v>
      </c>
      <c r="E8" s="124">
        <f>+E7</f>
        <v>50</v>
      </c>
      <c r="F8" s="125">
        <v>5.0999999999999996</v>
      </c>
      <c r="G8" s="125">
        <v>8.6999999999999993</v>
      </c>
      <c r="J8" s="298"/>
      <c r="K8" s="127" t="s">
        <v>372</v>
      </c>
      <c r="L8" s="125">
        <v>5.5</v>
      </c>
      <c r="M8" s="125">
        <v>75.2</v>
      </c>
      <c r="N8" s="125">
        <v>5.0999999999999996</v>
      </c>
      <c r="O8" s="125">
        <v>8.6999999999999993</v>
      </c>
    </row>
    <row r="9" spans="1:15">
      <c r="A9" s="127" t="s">
        <v>373</v>
      </c>
      <c r="B9" s="124">
        <f t="shared" ref="B9:B18" si="0">+B8</f>
        <v>100</v>
      </c>
      <c r="C9" s="125">
        <v>4.87</v>
      </c>
      <c r="D9" s="125">
        <v>101.6</v>
      </c>
      <c r="E9" s="124">
        <f t="shared" ref="E9:E18" si="1">+E8</f>
        <v>50</v>
      </c>
      <c r="F9" s="125">
        <v>4.78</v>
      </c>
      <c r="G9" s="125">
        <v>11.41</v>
      </c>
      <c r="J9" s="298"/>
      <c r="K9" s="127" t="s">
        <v>373</v>
      </c>
      <c r="L9" s="125">
        <v>4.87</v>
      </c>
      <c r="M9" s="125">
        <v>101.6</v>
      </c>
      <c r="N9" s="125">
        <v>4.78</v>
      </c>
      <c r="O9" s="125">
        <v>11.41</v>
      </c>
    </row>
    <row r="10" spans="1:15">
      <c r="A10" s="127" t="s">
        <v>374</v>
      </c>
      <c r="B10" s="124">
        <f t="shared" si="0"/>
        <v>100</v>
      </c>
      <c r="C10" s="125">
        <v>3.43</v>
      </c>
      <c r="D10" s="125">
        <v>66.599999999999994</v>
      </c>
      <c r="E10" s="124">
        <f t="shared" si="1"/>
        <v>50</v>
      </c>
      <c r="F10" s="125">
        <v>3.43</v>
      </c>
      <c r="G10" s="125">
        <v>8.06</v>
      </c>
      <c r="J10" s="298"/>
      <c r="K10" s="127" t="s">
        <v>374</v>
      </c>
      <c r="L10" s="125">
        <v>3.43</v>
      </c>
      <c r="M10" s="125">
        <v>66.599999999999994</v>
      </c>
      <c r="N10" s="125">
        <v>3.43</v>
      </c>
      <c r="O10" s="125">
        <v>8.06</v>
      </c>
    </row>
    <row r="11" spans="1:15">
      <c r="A11" s="127" t="s">
        <v>375</v>
      </c>
      <c r="B11" s="124">
        <f t="shared" si="0"/>
        <v>100</v>
      </c>
      <c r="C11" s="125">
        <v>2.2000000000000002</v>
      </c>
      <c r="D11" s="125">
        <v>92.9</v>
      </c>
      <c r="E11" s="124">
        <f t="shared" si="1"/>
        <v>50</v>
      </c>
      <c r="F11" s="125">
        <v>2.2999999999999998</v>
      </c>
      <c r="G11" s="125">
        <v>8.9</v>
      </c>
      <c r="J11" s="298"/>
      <c r="K11" s="127" t="s">
        <v>375</v>
      </c>
      <c r="L11" s="125">
        <v>2.2000000000000002</v>
      </c>
      <c r="M11" s="125">
        <v>92.9</v>
      </c>
      <c r="N11" s="125">
        <v>2.2999999999999998</v>
      </c>
      <c r="O11" s="125">
        <v>8.9</v>
      </c>
    </row>
    <row r="12" spans="1:15">
      <c r="A12" s="127" t="s">
        <v>376</v>
      </c>
      <c r="B12" s="124">
        <f t="shared" si="0"/>
        <v>100</v>
      </c>
      <c r="C12" s="125">
        <v>0.91</v>
      </c>
      <c r="D12" s="125">
        <v>53.6</v>
      </c>
      <c r="E12" s="124">
        <f t="shared" si="1"/>
        <v>50</v>
      </c>
      <c r="F12" s="125">
        <v>0.93</v>
      </c>
      <c r="G12" s="125">
        <v>2.4300000000000002</v>
      </c>
      <c r="J12" s="298"/>
      <c r="K12" s="127" t="s">
        <v>376</v>
      </c>
      <c r="L12" s="125">
        <v>0.91</v>
      </c>
      <c r="M12" s="125">
        <v>53.6</v>
      </c>
      <c r="N12" s="125">
        <v>0.93</v>
      </c>
      <c r="O12" s="125">
        <v>2.4300000000000002</v>
      </c>
    </row>
    <row r="13" spans="1:15">
      <c r="A13" s="127" t="s">
        <v>377</v>
      </c>
      <c r="B13" s="124">
        <f t="shared" si="0"/>
        <v>100</v>
      </c>
      <c r="C13" s="125">
        <v>0.89</v>
      </c>
      <c r="D13" s="125">
        <v>72.3</v>
      </c>
      <c r="E13" s="124">
        <f t="shared" si="1"/>
        <v>50</v>
      </c>
      <c r="F13" s="125">
        <v>0.92</v>
      </c>
      <c r="G13" s="125">
        <v>3.42</v>
      </c>
      <c r="J13" s="298"/>
      <c r="K13" s="127" t="s">
        <v>377</v>
      </c>
      <c r="L13" s="125">
        <v>0.89</v>
      </c>
      <c r="M13" s="125">
        <v>72.3</v>
      </c>
      <c r="N13" s="125">
        <v>0.92</v>
      </c>
      <c r="O13" s="125">
        <v>3.42</v>
      </c>
    </row>
    <row r="14" spans="1:15">
      <c r="A14" s="127" t="s">
        <v>378</v>
      </c>
      <c r="B14" s="124">
        <f t="shared" si="0"/>
        <v>100</v>
      </c>
      <c r="C14" s="125">
        <v>1.23</v>
      </c>
      <c r="D14" s="125">
        <v>60.4</v>
      </c>
      <c r="E14" s="124">
        <f t="shared" si="1"/>
        <v>50</v>
      </c>
      <c r="F14" s="125">
        <v>1.23</v>
      </c>
      <c r="G14" s="125">
        <v>3.86</v>
      </c>
      <c r="J14" s="298"/>
      <c r="K14" s="127" t="s">
        <v>378</v>
      </c>
      <c r="L14" s="125">
        <v>1.23</v>
      </c>
      <c r="M14" s="125">
        <v>60.4</v>
      </c>
      <c r="N14" s="125">
        <v>1.23</v>
      </c>
      <c r="O14" s="125">
        <v>3.86</v>
      </c>
    </row>
    <row r="15" spans="1:15">
      <c r="A15" s="127" t="s">
        <v>379</v>
      </c>
      <c r="B15" s="124">
        <f t="shared" si="0"/>
        <v>100</v>
      </c>
      <c r="C15" s="125">
        <v>0.86</v>
      </c>
      <c r="D15" s="125">
        <v>26.5</v>
      </c>
      <c r="E15" s="124">
        <f t="shared" si="1"/>
        <v>50</v>
      </c>
      <c r="F15" s="125">
        <v>0.8</v>
      </c>
      <c r="G15" s="125">
        <v>1.7</v>
      </c>
      <c r="J15" s="298"/>
      <c r="K15" s="127" t="s">
        <v>379</v>
      </c>
      <c r="L15" s="125">
        <v>0.86</v>
      </c>
      <c r="M15" s="125">
        <v>26.5</v>
      </c>
      <c r="N15" s="125">
        <v>0.8</v>
      </c>
      <c r="O15" s="125">
        <v>1.7</v>
      </c>
    </row>
    <row r="16" spans="1:15">
      <c r="A16" s="127" t="s">
        <v>380</v>
      </c>
      <c r="B16" s="124">
        <f t="shared" si="0"/>
        <v>100</v>
      </c>
      <c r="C16" s="125">
        <v>2.42</v>
      </c>
      <c r="D16" s="125">
        <v>38.6</v>
      </c>
      <c r="E16" s="124">
        <f t="shared" si="1"/>
        <v>50</v>
      </c>
      <c r="F16" s="125">
        <v>2.36</v>
      </c>
      <c r="G16" s="125">
        <v>4.5</v>
      </c>
      <c r="J16" s="298"/>
      <c r="K16" s="127" t="s">
        <v>380</v>
      </c>
      <c r="L16" s="125">
        <v>2.42</v>
      </c>
      <c r="M16" s="125">
        <v>38.6</v>
      </c>
      <c r="N16" s="125">
        <v>2.36</v>
      </c>
      <c r="O16" s="125">
        <v>4.5</v>
      </c>
    </row>
    <row r="17" spans="1:15">
      <c r="A17" s="127" t="s">
        <v>381</v>
      </c>
      <c r="B17" s="124">
        <f t="shared" si="0"/>
        <v>100</v>
      </c>
      <c r="C17" s="125">
        <v>1.5</v>
      </c>
      <c r="D17" s="125">
        <v>30.4</v>
      </c>
      <c r="E17" s="124">
        <f t="shared" si="1"/>
        <v>50</v>
      </c>
      <c r="F17" s="125">
        <v>1.5</v>
      </c>
      <c r="G17" s="125">
        <v>1.8</v>
      </c>
      <c r="J17" s="298"/>
      <c r="K17" s="127" t="s">
        <v>381</v>
      </c>
      <c r="L17" s="125">
        <v>1.5</v>
      </c>
      <c r="M17" s="125">
        <v>30.4</v>
      </c>
      <c r="N17" s="125">
        <v>1.5</v>
      </c>
      <c r="O17" s="125">
        <v>1.8</v>
      </c>
    </row>
    <row r="18" spans="1:15">
      <c r="A18" s="127" t="s">
        <v>382</v>
      </c>
      <c r="B18" s="124">
        <f t="shared" si="0"/>
        <v>100</v>
      </c>
      <c r="C18" s="125"/>
      <c r="D18" s="125"/>
      <c r="E18" s="124">
        <f t="shared" si="1"/>
        <v>50</v>
      </c>
      <c r="F18" s="125"/>
      <c r="G18" s="125"/>
      <c r="J18" s="298"/>
      <c r="K18" s="127" t="s">
        <v>382</v>
      </c>
      <c r="L18" s="125"/>
      <c r="M18" s="125"/>
      <c r="N18" s="125"/>
      <c r="O18" s="125"/>
    </row>
    <row r="19" spans="1:15">
      <c r="J19" s="298"/>
      <c r="K19" s="123" t="s">
        <v>383</v>
      </c>
      <c r="L19" s="123">
        <f>AVERAGE(L7:L18)</f>
        <v>2.2000000000000002</v>
      </c>
      <c r="M19" s="123">
        <f>MAX(M7:M18)</f>
        <v>101.6</v>
      </c>
      <c r="N19" s="123">
        <f>AVERAGE(N7:N18)</f>
        <v>2.1545454545454548</v>
      </c>
      <c r="O19" s="123">
        <f>MAX(O7:O18)</f>
        <v>11.41</v>
      </c>
    </row>
    <row r="21" spans="1:15" ht="30">
      <c r="J21" s="122">
        <f>+A6</f>
        <v>2022</v>
      </c>
      <c r="K21" s="122" t="s">
        <v>370</v>
      </c>
      <c r="L21" s="128" t="s">
        <v>365</v>
      </c>
      <c r="M21" s="128" t="s">
        <v>366</v>
      </c>
      <c r="N21" s="128" t="s">
        <v>368</v>
      </c>
      <c r="O21" s="128" t="s">
        <v>369</v>
      </c>
    </row>
    <row r="22" spans="1:15">
      <c r="J22" s="298" t="s">
        <v>169</v>
      </c>
      <c r="K22" s="127" t="s">
        <v>371</v>
      </c>
      <c r="L22" s="125"/>
      <c r="M22" s="125"/>
      <c r="N22" s="125"/>
      <c r="O22" s="125"/>
    </row>
    <row r="23" spans="1:15">
      <c r="J23" s="298"/>
      <c r="K23" s="127" t="s">
        <v>372</v>
      </c>
      <c r="L23" s="125"/>
      <c r="M23" s="125"/>
      <c r="N23" s="125"/>
      <c r="O23" s="125"/>
    </row>
    <row r="24" spans="1:15">
      <c r="J24" s="298"/>
      <c r="K24" s="127" t="s">
        <v>373</v>
      </c>
      <c r="L24" s="125"/>
      <c r="M24" s="125"/>
      <c r="N24" s="125"/>
      <c r="O24" s="125"/>
    </row>
    <row r="25" spans="1:15">
      <c r="J25" s="298"/>
      <c r="K25" s="127" t="s">
        <v>374</v>
      </c>
      <c r="L25" s="125"/>
      <c r="M25" s="125"/>
      <c r="N25" s="125"/>
      <c r="O25" s="125"/>
    </row>
    <row r="26" spans="1:15">
      <c r="J26" s="298"/>
      <c r="K26" s="127" t="s">
        <v>375</v>
      </c>
      <c r="L26" s="125"/>
      <c r="M26" s="125"/>
      <c r="N26" s="125"/>
      <c r="O26" s="125"/>
    </row>
    <row r="27" spans="1:15">
      <c r="J27" s="298"/>
      <c r="K27" s="127" t="s">
        <v>376</v>
      </c>
      <c r="L27" s="125"/>
      <c r="M27" s="125"/>
      <c r="N27" s="125"/>
      <c r="O27" s="125"/>
    </row>
    <row r="28" spans="1:15">
      <c r="J28" s="298"/>
      <c r="K28" s="127" t="s">
        <v>377</v>
      </c>
      <c r="L28" s="125"/>
      <c r="M28" s="125"/>
      <c r="N28" s="125"/>
      <c r="O28" s="125"/>
    </row>
    <row r="29" spans="1:15">
      <c r="J29" s="298"/>
      <c r="K29" s="127" t="s">
        <v>378</v>
      </c>
      <c r="L29" s="125"/>
      <c r="M29" s="125"/>
      <c r="N29" s="125"/>
      <c r="O29" s="125"/>
    </row>
    <row r="30" spans="1:15">
      <c r="J30" s="298"/>
      <c r="K30" s="127" t="s">
        <v>379</v>
      </c>
      <c r="L30" s="125"/>
      <c r="M30" s="125"/>
      <c r="N30" s="125"/>
      <c r="O30" s="125"/>
    </row>
    <row r="31" spans="1:15">
      <c r="J31" s="298"/>
      <c r="K31" s="127" t="s">
        <v>380</v>
      </c>
      <c r="L31" s="125"/>
      <c r="M31" s="125"/>
      <c r="N31" s="125"/>
      <c r="O31" s="125"/>
    </row>
    <row r="32" spans="1:15">
      <c r="J32" s="298"/>
      <c r="K32" s="127" t="s">
        <v>381</v>
      </c>
      <c r="L32" s="125"/>
      <c r="M32" s="125"/>
      <c r="N32" s="125"/>
      <c r="O32" s="125"/>
    </row>
    <row r="33" spans="1:15">
      <c r="J33" s="298"/>
      <c r="K33" s="127" t="s">
        <v>382</v>
      </c>
      <c r="L33" s="125"/>
      <c r="M33" s="125"/>
      <c r="N33" s="125"/>
      <c r="O33" s="125"/>
    </row>
    <row r="34" spans="1:15">
      <c r="J34" s="298"/>
      <c r="K34" s="123" t="s">
        <v>383</v>
      </c>
      <c r="L34" s="123" t="e">
        <f>AVERAGE(L22:L33)</f>
        <v>#DIV/0!</v>
      </c>
      <c r="M34" s="123">
        <f>MAX(M22:M33)</f>
        <v>0</v>
      </c>
      <c r="N34" s="123" t="e">
        <f>AVERAGE(N22:N33)</f>
        <v>#DIV/0!</v>
      </c>
      <c r="O34" s="123">
        <f>MAX(O22:O33)</f>
        <v>0</v>
      </c>
    </row>
    <row r="36" spans="1:15" ht="30">
      <c r="J36" s="122">
        <f>+A6</f>
        <v>2022</v>
      </c>
      <c r="K36" s="122" t="s">
        <v>370</v>
      </c>
      <c r="L36" s="128" t="s">
        <v>365</v>
      </c>
      <c r="M36" s="128" t="s">
        <v>366</v>
      </c>
      <c r="N36" s="128" t="s">
        <v>368</v>
      </c>
      <c r="O36" s="128" t="s">
        <v>369</v>
      </c>
    </row>
    <row r="37" spans="1:15">
      <c r="J37" s="298" t="s">
        <v>170</v>
      </c>
      <c r="K37" s="127" t="s">
        <v>371</v>
      </c>
      <c r="L37" s="125"/>
      <c r="M37" s="125"/>
      <c r="N37" s="125"/>
      <c r="O37" s="125"/>
    </row>
    <row r="38" spans="1:15">
      <c r="J38" s="298"/>
      <c r="K38" s="127" t="s">
        <v>372</v>
      </c>
      <c r="L38" s="125"/>
      <c r="M38" s="125"/>
      <c r="N38" s="125"/>
      <c r="O38" s="125"/>
    </row>
    <row r="39" spans="1:15">
      <c r="J39" s="298"/>
      <c r="K39" s="127" t="s">
        <v>373</v>
      </c>
      <c r="L39" s="125"/>
      <c r="M39" s="125"/>
      <c r="N39" s="125"/>
      <c r="O39" s="125"/>
    </row>
    <row r="40" spans="1:15">
      <c r="J40" s="298"/>
      <c r="K40" s="127" t="s">
        <v>374</v>
      </c>
      <c r="L40" s="125"/>
      <c r="M40" s="125"/>
      <c r="N40" s="125"/>
      <c r="O40" s="125"/>
    </row>
    <row r="41" spans="1:15">
      <c r="J41" s="298"/>
      <c r="K41" s="127" t="s">
        <v>375</v>
      </c>
      <c r="L41" s="125"/>
      <c r="M41" s="125"/>
      <c r="N41" s="125"/>
      <c r="O41" s="125"/>
    </row>
    <row r="42" spans="1:15">
      <c r="J42" s="298"/>
      <c r="K42" s="127" t="s">
        <v>376</v>
      </c>
      <c r="L42" s="125"/>
      <c r="M42" s="125"/>
      <c r="N42" s="125"/>
      <c r="O42" s="125"/>
    </row>
    <row r="43" spans="1:15">
      <c r="J43" s="298"/>
      <c r="K43" s="127" t="s">
        <v>377</v>
      </c>
      <c r="L43" s="125"/>
      <c r="M43" s="125"/>
      <c r="N43" s="125"/>
      <c r="O43" s="125"/>
    </row>
    <row r="44" spans="1:15">
      <c r="J44" s="298"/>
      <c r="K44" s="127" t="s">
        <v>378</v>
      </c>
      <c r="L44" s="125"/>
      <c r="M44" s="125"/>
      <c r="N44" s="125"/>
      <c r="O44" s="125"/>
    </row>
    <row r="45" spans="1:15">
      <c r="J45" s="298"/>
      <c r="K45" s="127" t="s">
        <v>379</v>
      </c>
      <c r="L45" s="125"/>
      <c r="M45" s="125"/>
      <c r="N45" s="125"/>
      <c r="O45" s="125"/>
    </row>
    <row r="46" spans="1:15">
      <c r="J46" s="298"/>
      <c r="K46" s="127" t="s">
        <v>380</v>
      </c>
      <c r="L46" s="125"/>
      <c r="M46" s="125"/>
      <c r="N46" s="125"/>
      <c r="O46" s="125"/>
    </row>
    <row r="47" spans="1:15">
      <c r="J47" s="298"/>
      <c r="K47" s="127" t="s">
        <v>381</v>
      </c>
      <c r="L47" s="125"/>
      <c r="M47" s="125"/>
      <c r="N47" s="125"/>
      <c r="O47" s="125"/>
    </row>
    <row r="48" spans="1:15" ht="15">
      <c r="A48" s="310" t="s">
        <v>249</v>
      </c>
      <c r="B48" s="311"/>
      <c r="C48" s="311"/>
      <c r="D48" s="311"/>
      <c r="E48" s="311"/>
      <c r="F48" s="311"/>
      <c r="G48" s="312"/>
      <c r="J48" s="298"/>
      <c r="K48" s="127" t="s">
        <v>382</v>
      </c>
      <c r="L48" s="125"/>
      <c r="M48" s="125"/>
      <c r="N48" s="125"/>
      <c r="O48" s="125"/>
    </row>
    <row r="49" spans="1:15">
      <c r="A49" s="301" t="s">
        <v>384</v>
      </c>
      <c r="B49" s="302"/>
      <c r="C49" s="302"/>
      <c r="D49" s="302"/>
      <c r="E49" s="302"/>
      <c r="F49" s="302"/>
      <c r="G49" s="303"/>
      <c r="J49" s="298"/>
      <c r="K49" s="123" t="s">
        <v>383</v>
      </c>
      <c r="L49" s="123" t="e">
        <f>AVERAGE(L37:L48)</f>
        <v>#DIV/0!</v>
      </c>
      <c r="M49" s="123">
        <f>MAX(M37:M48)</f>
        <v>0</v>
      </c>
      <c r="N49" s="123" t="e">
        <f>AVERAGE(N37:N48)</f>
        <v>#DIV/0!</v>
      </c>
      <c r="O49" s="123">
        <f>MAX(O37:O48)</f>
        <v>0</v>
      </c>
    </row>
    <row r="50" spans="1:15">
      <c r="A50" s="304"/>
      <c r="B50" s="305"/>
      <c r="C50" s="305"/>
      <c r="D50" s="305"/>
      <c r="E50" s="305"/>
      <c r="F50" s="305"/>
      <c r="G50" s="306"/>
    </row>
    <row r="51" spans="1:15" ht="30">
      <c r="A51" s="304"/>
      <c r="B51" s="305"/>
      <c r="C51" s="305"/>
      <c r="D51" s="305"/>
      <c r="E51" s="305"/>
      <c r="F51" s="305"/>
      <c r="G51" s="306"/>
      <c r="J51" s="122">
        <f>+A6</f>
        <v>2022</v>
      </c>
      <c r="K51" s="122" t="s">
        <v>370</v>
      </c>
      <c r="L51" s="128" t="s">
        <v>365</v>
      </c>
      <c r="M51" s="128" t="s">
        <v>366</v>
      </c>
      <c r="N51" s="128" t="s">
        <v>368</v>
      </c>
      <c r="O51" s="128" t="s">
        <v>369</v>
      </c>
    </row>
    <row r="52" spans="1:15">
      <c r="A52" s="307"/>
      <c r="B52" s="308"/>
      <c r="C52" s="308"/>
      <c r="D52" s="308"/>
      <c r="E52" s="308"/>
      <c r="F52" s="308"/>
      <c r="G52" s="309"/>
      <c r="J52" s="298" t="s">
        <v>171</v>
      </c>
      <c r="K52" s="127" t="s">
        <v>371</v>
      </c>
      <c r="L52" s="125"/>
      <c r="M52" s="125"/>
      <c r="N52" s="125"/>
      <c r="O52" s="125"/>
    </row>
    <row r="53" spans="1:15">
      <c r="J53" s="298"/>
      <c r="K53" s="127" t="s">
        <v>372</v>
      </c>
      <c r="L53" s="125"/>
      <c r="M53" s="125"/>
      <c r="N53" s="125"/>
      <c r="O53" s="125"/>
    </row>
    <row r="54" spans="1:15">
      <c r="J54" s="298"/>
      <c r="K54" s="127" t="s">
        <v>373</v>
      </c>
      <c r="L54" s="125"/>
      <c r="M54" s="125"/>
      <c r="N54" s="125"/>
      <c r="O54" s="125"/>
    </row>
    <row r="55" spans="1:15">
      <c r="J55" s="298"/>
      <c r="K55" s="127" t="s">
        <v>374</v>
      </c>
      <c r="L55" s="125"/>
      <c r="M55" s="125"/>
      <c r="N55" s="125"/>
      <c r="O55" s="125"/>
    </row>
    <row r="56" spans="1:15">
      <c r="J56" s="298"/>
      <c r="K56" s="127" t="s">
        <v>375</v>
      </c>
      <c r="L56" s="125"/>
      <c r="M56" s="125"/>
      <c r="N56" s="125"/>
      <c r="O56" s="125"/>
    </row>
    <row r="57" spans="1:15">
      <c r="J57" s="298"/>
      <c r="K57" s="127" t="s">
        <v>376</v>
      </c>
      <c r="L57" s="125"/>
      <c r="M57" s="125"/>
      <c r="N57" s="125"/>
      <c r="O57" s="125"/>
    </row>
    <row r="58" spans="1:15">
      <c r="J58" s="298"/>
      <c r="K58" s="127" t="s">
        <v>377</v>
      </c>
      <c r="L58" s="125"/>
      <c r="M58" s="125"/>
      <c r="N58" s="125"/>
      <c r="O58" s="125"/>
    </row>
    <row r="59" spans="1:15">
      <c r="J59" s="298"/>
      <c r="K59" s="127" t="s">
        <v>378</v>
      </c>
      <c r="L59" s="125"/>
      <c r="M59" s="125"/>
      <c r="N59" s="125"/>
      <c r="O59" s="125"/>
    </row>
    <row r="60" spans="1:15">
      <c r="J60" s="298"/>
      <c r="K60" s="127" t="s">
        <v>379</v>
      </c>
      <c r="L60" s="125"/>
      <c r="M60" s="125"/>
      <c r="N60" s="125"/>
      <c r="O60" s="125"/>
    </row>
    <row r="61" spans="1:15">
      <c r="J61" s="298"/>
      <c r="K61" s="127" t="s">
        <v>380</v>
      </c>
      <c r="L61" s="125"/>
      <c r="M61" s="125"/>
      <c r="N61" s="125"/>
      <c r="O61" s="125"/>
    </row>
    <row r="62" spans="1:15">
      <c r="J62" s="298"/>
      <c r="K62" s="127" t="s">
        <v>381</v>
      </c>
      <c r="L62" s="125"/>
      <c r="M62" s="125"/>
      <c r="N62" s="125"/>
      <c r="O62" s="125"/>
    </row>
    <row r="63" spans="1:15">
      <c r="J63" s="298"/>
      <c r="K63" s="127" t="s">
        <v>382</v>
      </c>
      <c r="L63" s="125"/>
      <c r="M63" s="125"/>
      <c r="N63" s="125"/>
      <c r="O63" s="125"/>
    </row>
    <row r="64" spans="1:15">
      <c r="J64" s="298"/>
      <c r="K64" s="123" t="s">
        <v>383</v>
      </c>
      <c r="L64" s="123" t="e">
        <f>AVERAGE(L52:L63)</f>
        <v>#DIV/0!</v>
      </c>
      <c r="M64" s="123">
        <f>MAX(M52:M63)</f>
        <v>0</v>
      </c>
      <c r="N64" s="123" t="e">
        <f>AVERAGE(N52:N63)</f>
        <v>#DIV/0!</v>
      </c>
      <c r="O64" s="123">
        <f>MAX(O52:O63)</f>
        <v>0</v>
      </c>
    </row>
    <row r="66" spans="10:15" ht="30">
      <c r="J66" s="122">
        <f>+A6</f>
        <v>2022</v>
      </c>
      <c r="K66" s="122" t="s">
        <v>370</v>
      </c>
      <c r="L66" s="128" t="s">
        <v>365</v>
      </c>
      <c r="M66" s="128" t="s">
        <v>366</v>
      </c>
      <c r="N66" s="128" t="s">
        <v>368</v>
      </c>
      <c r="O66" s="128" t="s">
        <v>369</v>
      </c>
    </row>
    <row r="67" spans="10:15">
      <c r="J67" s="298" t="s">
        <v>172</v>
      </c>
      <c r="K67" s="127" t="s">
        <v>371</v>
      </c>
      <c r="L67" s="125"/>
      <c r="M67" s="125"/>
      <c r="N67" s="125"/>
      <c r="O67" s="125"/>
    </row>
    <row r="68" spans="10:15">
      <c r="J68" s="298"/>
      <c r="K68" s="127" t="s">
        <v>372</v>
      </c>
      <c r="L68" s="125"/>
      <c r="M68" s="125"/>
      <c r="N68" s="125"/>
      <c r="O68" s="125"/>
    </row>
    <row r="69" spans="10:15">
      <c r="J69" s="298"/>
      <c r="K69" s="127" t="s">
        <v>373</v>
      </c>
      <c r="L69" s="125"/>
      <c r="M69" s="125"/>
      <c r="N69" s="125"/>
      <c r="O69" s="125"/>
    </row>
    <row r="70" spans="10:15">
      <c r="J70" s="298"/>
      <c r="K70" s="127" t="s">
        <v>374</v>
      </c>
      <c r="L70" s="125"/>
      <c r="M70" s="125"/>
      <c r="N70" s="125"/>
      <c r="O70" s="125"/>
    </row>
    <row r="71" spans="10:15">
      <c r="J71" s="298"/>
      <c r="K71" s="127" t="s">
        <v>375</v>
      </c>
      <c r="L71" s="125"/>
      <c r="M71" s="125"/>
      <c r="N71" s="125"/>
      <c r="O71" s="125"/>
    </row>
    <row r="72" spans="10:15">
      <c r="J72" s="298"/>
      <c r="K72" s="127" t="s">
        <v>376</v>
      </c>
      <c r="L72" s="125"/>
      <c r="M72" s="125"/>
      <c r="N72" s="125"/>
      <c r="O72" s="125"/>
    </row>
    <row r="73" spans="10:15">
      <c r="J73" s="298"/>
      <c r="K73" s="127" t="s">
        <v>377</v>
      </c>
      <c r="L73" s="125"/>
      <c r="M73" s="125"/>
      <c r="N73" s="125"/>
      <c r="O73" s="125"/>
    </row>
    <row r="74" spans="10:15">
      <c r="J74" s="298"/>
      <c r="K74" s="127" t="s">
        <v>378</v>
      </c>
      <c r="L74" s="125"/>
      <c r="M74" s="125"/>
      <c r="N74" s="125"/>
      <c r="O74" s="125"/>
    </row>
    <row r="75" spans="10:15">
      <c r="J75" s="298"/>
      <c r="K75" s="127" t="s">
        <v>379</v>
      </c>
      <c r="L75" s="125"/>
      <c r="M75" s="125"/>
      <c r="N75" s="125"/>
      <c r="O75" s="125"/>
    </row>
    <row r="76" spans="10:15">
      <c r="J76" s="298"/>
      <c r="K76" s="127" t="s">
        <v>380</v>
      </c>
      <c r="L76" s="125"/>
      <c r="M76" s="125"/>
      <c r="N76" s="125"/>
      <c r="O76" s="125"/>
    </row>
    <row r="77" spans="10:15">
      <c r="J77" s="298"/>
      <c r="K77" s="127" t="s">
        <v>381</v>
      </c>
      <c r="L77" s="125"/>
      <c r="M77" s="125"/>
      <c r="N77" s="125"/>
      <c r="O77" s="125"/>
    </row>
    <row r="78" spans="10:15">
      <c r="J78" s="298"/>
      <c r="K78" s="127" t="s">
        <v>382</v>
      </c>
      <c r="L78" s="125"/>
      <c r="M78" s="125"/>
      <c r="N78" s="125"/>
      <c r="O78" s="125"/>
    </row>
    <row r="79" spans="10:15">
      <c r="J79" s="298"/>
      <c r="K79" s="123" t="s">
        <v>383</v>
      </c>
      <c r="L79" s="123" t="e">
        <f>AVERAGE(L67:L78)</f>
        <v>#DIV/0!</v>
      </c>
      <c r="M79" s="123">
        <f>MAX(M67:M78)</f>
        <v>0</v>
      </c>
      <c r="N79" s="123" t="e">
        <f>AVERAGE(N67:N78)</f>
        <v>#DIV/0!</v>
      </c>
      <c r="O79" s="123">
        <f>MAX(O67:O78)</f>
        <v>0</v>
      </c>
    </row>
  </sheetData>
  <mergeCells count="10">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Q79"/>
  <sheetViews>
    <sheetView showGridLines="0" zoomScaleNormal="100" workbookViewId="0">
      <selection activeCell="D41" sqref="D41:E41"/>
    </sheetView>
  </sheetViews>
  <sheetFormatPr defaultRowHeight="14.25"/>
  <cols>
    <col min="1" max="1" width="14" style="3" customWidth="1"/>
    <col min="2" max="2" width="12.85546875" style="77" customWidth="1"/>
    <col min="3" max="3" width="15.28515625" style="77" customWidth="1"/>
    <col min="4" max="4" width="17.7109375" style="77" customWidth="1"/>
    <col min="5" max="5" width="14.85546875" style="77" customWidth="1"/>
    <col min="6" max="6" width="11.5703125" style="77" customWidth="1"/>
    <col min="7" max="7" width="15" style="77" customWidth="1"/>
    <col min="8" max="8" width="14.7109375" style="77" customWidth="1"/>
    <col min="9" max="12" width="9.140625" style="3"/>
    <col min="13" max="13" width="15.42578125" style="3" customWidth="1"/>
    <col min="14" max="14" width="17.85546875" style="3" customWidth="1"/>
    <col min="15" max="15" width="17.42578125" style="3" bestFit="1" customWidth="1"/>
    <col min="16" max="16" width="13.85546875" style="3" customWidth="1"/>
    <col min="17" max="17" width="15" style="3" customWidth="1"/>
    <col min="18" max="258" width="9.140625" style="3"/>
    <col min="259" max="259" width="14" style="3" customWidth="1"/>
    <col min="260" max="265" width="10.140625" style="3" customWidth="1"/>
    <col min="266" max="514" width="9.140625" style="3"/>
    <col min="515" max="515" width="14" style="3" customWidth="1"/>
    <col min="516" max="521" width="10.140625" style="3" customWidth="1"/>
    <col min="522" max="770" width="9.140625" style="3"/>
    <col min="771" max="771" width="14" style="3" customWidth="1"/>
    <col min="772" max="777" width="10.140625" style="3" customWidth="1"/>
    <col min="778" max="1026" width="9.140625" style="3"/>
    <col min="1027" max="1027" width="14" style="3" customWidth="1"/>
    <col min="1028" max="1033" width="10.140625" style="3" customWidth="1"/>
    <col min="1034" max="1282" width="9.140625" style="3"/>
    <col min="1283" max="1283" width="14" style="3" customWidth="1"/>
    <col min="1284" max="1289" width="10.140625" style="3" customWidth="1"/>
    <col min="1290" max="1538" width="9.140625" style="3"/>
    <col min="1539" max="1539" width="14" style="3" customWidth="1"/>
    <col min="1540" max="1545" width="10.140625" style="3" customWidth="1"/>
    <col min="1546" max="1794" width="9.140625" style="3"/>
    <col min="1795" max="1795" width="14" style="3" customWidth="1"/>
    <col min="1796" max="1801" width="10.140625" style="3" customWidth="1"/>
    <col min="1802" max="2050" width="9.140625" style="3"/>
    <col min="2051" max="2051" width="14" style="3" customWidth="1"/>
    <col min="2052" max="2057" width="10.140625" style="3" customWidth="1"/>
    <col min="2058" max="2306" width="9.140625" style="3"/>
    <col min="2307" max="2307" width="14" style="3" customWidth="1"/>
    <col min="2308" max="2313" width="10.140625" style="3" customWidth="1"/>
    <col min="2314" max="2562" width="9.140625" style="3"/>
    <col min="2563" max="2563" width="14" style="3" customWidth="1"/>
    <col min="2564" max="2569" width="10.140625" style="3" customWidth="1"/>
    <col min="2570" max="2818" width="9.140625" style="3"/>
    <col min="2819" max="2819" width="14" style="3" customWidth="1"/>
    <col min="2820" max="2825" width="10.140625" style="3" customWidth="1"/>
    <col min="2826" max="3074" width="9.140625" style="3"/>
    <col min="3075" max="3075" width="14" style="3" customWidth="1"/>
    <col min="3076" max="3081" width="10.140625" style="3" customWidth="1"/>
    <col min="3082" max="3330" width="9.140625" style="3"/>
    <col min="3331" max="3331" width="14" style="3" customWidth="1"/>
    <col min="3332" max="3337" width="10.140625" style="3" customWidth="1"/>
    <col min="3338" max="3586" width="9.140625" style="3"/>
    <col min="3587" max="3587" width="14" style="3" customWidth="1"/>
    <col min="3588" max="3593" width="10.140625" style="3" customWidth="1"/>
    <col min="3594" max="3842" width="9.140625" style="3"/>
    <col min="3843" max="3843" width="14" style="3" customWidth="1"/>
    <col min="3844" max="3849" width="10.140625" style="3" customWidth="1"/>
    <col min="3850" max="4098" width="9.140625" style="3"/>
    <col min="4099" max="4099" width="14" style="3" customWidth="1"/>
    <col min="4100" max="4105" width="10.140625" style="3" customWidth="1"/>
    <col min="4106" max="4354" width="9.140625" style="3"/>
    <col min="4355" max="4355" width="14" style="3" customWidth="1"/>
    <col min="4356" max="4361" width="10.140625" style="3" customWidth="1"/>
    <col min="4362" max="4610" width="9.140625" style="3"/>
    <col min="4611" max="4611" width="14" style="3" customWidth="1"/>
    <col min="4612" max="4617" width="10.140625" style="3" customWidth="1"/>
    <col min="4618" max="4866" width="9.140625" style="3"/>
    <col min="4867" max="4867" width="14" style="3" customWidth="1"/>
    <col min="4868" max="4873" width="10.140625" style="3" customWidth="1"/>
    <col min="4874" max="5122" width="9.140625" style="3"/>
    <col min="5123" max="5123" width="14" style="3" customWidth="1"/>
    <col min="5124" max="5129" width="10.140625" style="3" customWidth="1"/>
    <col min="5130" max="5378" width="9.140625" style="3"/>
    <col min="5379" max="5379" width="14" style="3" customWidth="1"/>
    <col min="5380" max="5385" width="10.140625" style="3" customWidth="1"/>
    <col min="5386" max="5634" width="9.140625" style="3"/>
    <col min="5635" max="5635" width="14" style="3" customWidth="1"/>
    <col min="5636" max="5641" width="10.140625" style="3" customWidth="1"/>
    <col min="5642" max="5890" width="9.140625" style="3"/>
    <col min="5891" max="5891" width="14" style="3" customWidth="1"/>
    <col min="5892" max="5897" width="10.140625" style="3" customWidth="1"/>
    <col min="5898" max="6146" width="9.140625" style="3"/>
    <col min="6147" max="6147" width="14" style="3" customWidth="1"/>
    <col min="6148" max="6153" width="10.140625" style="3" customWidth="1"/>
    <col min="6154" max="6402" width="9.140625" style="3"/>
    <col min="6403" max="6403" width="14" style="3" customWidth="1"/>
    <col min="6404" max="6409" width="10.140625" style="3" customWidth="1"/>
    <col min="6410" max="6658" width="9.140625" style="3"/>
    <col min="6659" max="6659" width="14" style="3" customWidth="1"/>
    <col min="6660" max="6665" width="10.140625" style="3" customWidth="1"/>
    <col min="6666" max="6914" width="9.140625" style="3"/>
    <col min="6915" max="6915" width="14" style="3" customWidth="1"/>
    <col min="6916" max="6921" width="10.140625" style="3" customWidth="1"/>
    <col min="6922" max="7170" width="9.140625" style="3"/>
    <col min="7171" max="7171" width="14" style="3" customWidth="1"/>
    <col min="7172" max="7177" width="10.140625" style="3" customWidth="1"/>
    <col min="7178" max="7426" width="9.140625" style="3"/>
    <col min="7427" max="7427" width="14" style="3" customWidth="1"/>
    <col min="7428" max="7433" width="10.140625" style="3" customWidth="1"/>
    <col min="7434" max="7682" width="9.140625" style="3"/>
    <col min="7683" max="7683" width="14" style="3" customWidth="1"/>
    <col min="7684" max="7689" width="10.140625" style="3" customWidth="1"/>
    <col min="7690" max="7938" width="9.140625" style="3"/>
    <col min="7939" max="7939" width="14" style="3" customWidth="1"/>
    <col min="7940" max="7945" width="10.140625" style="3" customWidth="1"/>
    <col min="7946" max="8194" width="9.140625" style="3"/>
    <col min="8195" max="8195" width="14" style="3" customWidth="1"/>
    <col min="8196" max="8201" width="10.140625" style="3" customWidth="1"/>
    <col min="8202" max="8450" width="9.140625" style="3"/>
    <col min="8451" max="8451" width="14" style="3" customWidth="1"/>
    <col min="8452" max="8457" width="10.140625" style="3" customWidth="1"/>
    <col min="8458" max="8706" width="9.140625" style="3"/>
    <col min="8707" max="8707" width="14" style="3" customWidth="1"/>
    <col min="8708" max="8713" width="10.140625" style="3" customWidth="1"/>
    <col min="8714" max="8962" width="9.140625" style="3"/>
    <col min="8963" max="8963" width="14" style="3" customWidth="1"/>
    <col min="8964" max="8969" width="10.140625" style="3" customWidth="1"/>
    <col min="8970" max="9218" width="9.140625" style="3"/>
    <col min="9219" max="9219" width="14" style="3" customWidth="1"/>
    <col min="9220" max="9225" width="10.140625" style="3" customWidth="1"/>
    <col min="9226" max="9474" width="9.140625" style="3"/>
    <col min="9475" max="9475" width="14" style="3" customWidth="1"/>
    <col min="9476" max="9481" width="10.140625" style="3" customWidth="1"/>
    <col min="9482" max="9730" width="9.140625" style="3"/>
    <col min="9731" max="9731" width="14" style="3" customWidth="1"/>
    <col min="9732" max="9737" width="10.140625" style="3" customWidth="1"/>
    <col min="9738" max="9986" width="9.140625" style="3"/>
    <col min="9987" max="9987" width="14" style="3" customWidth="1"/>
    <col min="9988" max="9993" width="10.140625" style="3" customWidth="1"/>
    <col min="9994" max="10242" width="9.140625" style="3"/>
    <col min="10243" max="10243" width="14" style="3" customWidth="1"/>
    <col min="10244" max="10249" width="10.140625" style="3" customWidth="1"/>
    <col min="10250" max="10498" width="9.140625" style="3"/>
    <col min="10499" max="10499" width="14" style="3" customWidth="1"/>
    <col min="10500" max="10505" width="10.140625" style="3" customWidth="1"/>
    <col min="10506" max="10754" width="9.140625" style="3"/>
    <col min="10755" max="10755" width="14" style="3" customWidth="1"/>
    <col min="10756" max="10761" width="10.140625" style="3" customWidth="1"/>
    <col min="10762" max="11010" width="9.140625" style="3"/>
    <col min="11011" max="11011" width="14" style="3" customWidth="1"/>
    <col min="11012" max="11017" width="10.140625" style="3" customWidth="1"/>
    <col min="11018" max="11266" width="9.140625" style="3"/>
    <col min="11267" max="11267" width="14" style="3" customWidth="1"/>
    <col min="11268" max="11273" width="10.140625" style="3" customWidth="1"/>
    <col min="11274" max="11522" width="9.140625" style="3"/>
    <col min="11523" max="11523" width="14" style="3" customWidth="1"/>
    <col min="11524" max="11529" width="10.140625" style="3" customWidth="1"/>
    <col min="11530" max="11778" width="9.140625" style="3"/>
    <col min="11779" max="11779" width="14" style="3" customWidth="1"/>
    <col min="11780" max="11785" width="10.140625" style="3" customWidth="1"/>
    <col min="11786" max="12034" width="9.140625" style="3"/>
    <col min="12035" max="12035" width="14" style="3" customWidth="1"/>
    <col min="12036" max="12041" width="10.140625" style="3" customWidth="1"/>
    <col min="12042" max="12290" width="9.140625" style="3"/>
    <col min="12291" max="12291" width="14" style="3" customWidth="1"/>
    <col min="12292" max="12297" width="10.140625" style="3" customWidth="1"/>
    <col min="12298" max="12546" width="9.140625" style="3"/>
    <col min="12547" max="12547" width="14" style="3" customWidth="1"/>
    <col min="12548" max="12553" width="10.140625" style="3" customWidth="1"/>
    <col min="12554" max="12802" width="9.140625" style="3"/>
    <col min="12803" max="12803" width="14" style="3" customWidth="1"/>
    <col min="12804" max="12809" width="10.140625" style="3" customWidth="1"/>
    <col min="12810" max="13058" width="9.140625" style="3"/>
    <col min="13059" max="13059" width="14" style="3" customWidth="1"/>
    <col min="13060" max="13065" width="10.140625" style="3" customWidth="1"/>
    <col min="13066" max="13314" width="9.140625" style="3"/>
    <col min="13315" max="13315" width="14" style="3" customWidth="1"/>
    <col min="13316" max="13321" width="10.140625" style="3" customWidth="1"/>
    <col min="13322" max="13570" width="9.140625" style="3"/>
    <col min="13571" max="13571" width="14" style="3" customWidth="1"/>
    <col min="13572" max="13577" width="10.140625" style="3" customWidth="1"/>
    <col min="13578" max="13826" width="9.140625" style="3"/>
    <col min="13827" max="13827" width="14" style="3" customWidth="1"/>
    <col min="13828" max="13833" width="10.140625" style="3" customWidth="1"/>
    <col min="13834" max="14082" width="9.140625" style="3"/>
    <col min="14083" max="14083" width="14" style="3" customWidth="1"/>
    <col min="14084" max="14089" width="10.140625" style="3" customWidth="1"/>
    <col min="14090" max="14338" width="9.140625" style="3"/>
    <col min="14339" max="14339" width="14" style="3" customWidth="1"/>
    <col min="14340" max="14345" width="10.140625" style="3" customWidth="1"/>
    <col min="14346" max="14594" width="9.140625" style="3"/>
    <col min="14595" max="14595" width="14" style="3" customWidth="1"/>
    <col min="14596" max="14601" width="10.140625" style="3" customWidth="1"/>
    <col min="14602" max="14850" width="9.140625" style="3"/>
    <col min="14851" max="14851" width="14" style="3" customWidth="1"/>
    <col min="14852" max="14857" width="10.140625" style="3" customWidth="1"/>
    <col min="14858" max="15106" width="9.140625" style="3"/>
    <col min="15107" max="15107" width="14" style="3" customWidth="1"/>
    <col min="15108" max="15113" width="10.140625" style="3" customWidth="1"/>
    <col min="15114" max="15362" width="9.140625" style="3"/>
    <col min="15363" max="15363" width="14" style="3" customWidth="1"/>
    <col min="15364" max="15369" width="10.140625" style="3" customWidth="1"/>
    <col min="15370" max="15618" width="9.140625" style="3"/>
    <col min="15619" max="15619" width="14" style="3" customWidth="1"/>
    <col min="15620" max="15625" width="10.140625" style="3" customWidth="1"/>
    <col min="15626" max="15874" width="9.140625" style="3"/>
    <col min="15875" max="15875" width="14" style="3" customWidth="1"/>
    <col min="15876" max="15881" width="10.140625" style="3" customWidth="1"/>
    <col min="15882" max="16130" width="9.140625" style="3"/>
    <col min="16131" max="16131" width="14" style="3" customWidth="1"/>
    <col min="16132" max="16137" width="10.140625" style="3" customWidth="1"/>
    <col min="16138" max="16384" width="9.140625" style="3"/>
  </cols>
  <sheetData>
    <row r="1" spans="1:17" ht="15">
      <c r="A1" s="2" t="str">
        <f>+'Cover Page'!$B$29</f>
        <v>Annual Performance Report 2022</v>
      </c>
      <c r="B1" s="2"/>
      <c r="C1" s="2"/>
      <c r="D1" s="2"/>
      <c r="E1" s="2" t="str">
        <f>+'Cover Page'!$B$33</f>
        <v>Fine Environmental Services</v>
      </c>
    </row>
    <row r="3" spans="1:17" ht="15">
      <c r="A3" s="121" t="s">
        <v>400</v>
      </c>
    </row>
    <row r="5" spans="1:17" ht="17.25">
      <c r="A5" s="129" t="s">
        <v>361</v>
      </c>
      <c r="B5" s="300" t="s">
        <v>401</v>
      </c>
      <c r="C5" s="300"/>
      <c r="D5" s="300"/>
      <c r="E5" s="300"/>
      <c r="F5" s="300" t="s">
        <v>363</v>
      </c>
      <c r="G5" s="300"/>
      <c r="H5" s="300"/>
      <c r="K5" s="299" t="str">
        <f>+A3</f>
        <v>Monitoring of Carbon Monoxide emissions (10 minute)</v>
      </c>
      <c r="L5" s="299"/>
      <c r="M5" s="299"/>
      <c r="N5" s="299"/>
      <c r="O5" s="299"/>
      <c r="P5" s="299"/>
      <c r="Q5" s="299"/>
    </row>
    <row r="6" spans="1:17" s="119" customFormat="1" ht="37.5" customHeight="1">
      <c r="A6" s="126">
        <f>+'Cover Page'!C39</f>
        <v>2022</v>
      </c>
      <c r="B6" s="115" t="s">
        <v>398</v>
      </c>
      <c r="C6" s="115" t="s">
        <v>402</v>
      </c>
      <c r="D6" s="115" t="s">
        <v>403</v>
      </c>
      <c r="E6" s="115" t="s">
        <v>404</v>
      </c>
      <c r="F6" s="115" t="s">
        <v>399</v>
      </c>
      <c r="G6" s="115" t="s">
        <v>368</v>
      </c>
      <c r="H6" s="115" t="s">
        <v>369</v>
      </c>
      <c r="I6" s="120"/>
      <c r="K6" s="122">
        <f>+A6</f>
        <v>2022</v>
      </c>
      <c r="L6" s="122" t="s">
        <v>370</v>
      </c>
      <c r="M6" s="115" t="s">
        <v>402</v>
      </c>
      <c r="N6" s="115" t="s">
        <v>403</v>
      </c>
      <c r="O6" s="115" t="s">
        <v>404</v>
      </c>
      <c r="P6" s="128" t="s">
        <v>368</v>
      </c>
      <c r="Q6" s="128" t="s">
        <v>369</v>
      </c>
    </row>
    <row r="7" spans="1:17">
      <c r="A7" s="127" t="s">
        <v>371</v>
      </c>
      <c r="B7" s="130">
        <v>150</v>
      </c>
      <c r="C7" s="125"/>
      <c r="D7" s="125"/>
      <c r="E7" s="125"/>
      <c r="F7" s="130">
        <v>50</v>
      </c>
      <c r="G7" s="125"/>
      <c r="H7" s="125"/>
      <c r="K7" s="298" t="s">
        <v>168</v>
      </c>
      <c r="L7" s="127" t="s">
        <v>371</v>
      </c>
      <c r="M7" s="125"/>
      <c r="N7" s="125"/>
      <c r="O7" s="125"/>
      <c r="P7" s="125"/>
      <c r="Q7" s="125"/>
    </row>
    <row r="8" spans="1:17">
      <c r="A8" s="127" t="s">
        <v>372</v>
      </c>
      <c r="B8" s="124">
        <f>+B7</f>
        <v>150</v>
      </c>
      <c r="C8" s="125"/>
      <c r="D8" s="125"/>
      <c r="E8" s="125"/>
      <c r="F8" s="124">
        <f>+F7</f>
        <v>50</v>
      </c>
      <c r="G8" s="125"/>
      <c r="H8" s="125"/>
      <c r="K8" s="298"/>
      <c r="L8" s="127" t="s">
        <v>372</v>
      </c>
      <c r="M8" s="125"/>
      <c r="N8" s="125"/>
      <c r="O8" s="125"/>
      <c r="P8" s="125"/>
      <c r="Q8" s="125"/>
    </row>
    <row r="9" spans="1:17">
      <c r="A9" s="127" t="s">
        <v>373</v>
      </c>
      <c r="B9" s="124">
        <f t="shared" ref="B9:B18" si="0">+B8</f>
        <v>150</v>
      </c>
      <c r="C9" s="125"/>
      <c r="D9" s="125"/>
      <c r="E9" s="125"/>
      <c r="F9" s="124">
        <f t="shared" ref="F9:F18" si="1">+F8</f>
        <v>50</v>
      </c>
      <c r="G9" s="125"/>
      <c r="H9" s="125"/>
      <c r="K9" s="298"/>
      <c r="L9" s="127" t="s">
        <v>373</v>
      </c>
      <c r="M9" s="125"/>
      <c r="N9" s="125"/>
      <c r="O9" s="125"/>
      <c r="P9" s="125"/>
      <c r="Q9" s="125"/>
    </row>
    <row r="10" spans="1:17">
      <c r="A10" s="127" t="s">
        <v>374</v>
      </c>
      <c r="B10" s="124">
        <f t="shared" si="0"/>
        <v>150</v>
      </c>
      <c r="C10" s="125"/>
      <c r="D10" s="125"/>
      <c r="E10" s="125"/>
      <c r="F10" s="124">
        <f t="shared" si="1"/>
        <v>50</v>
      </c>
      <c r="G10" s="125"/>
      <c r="H10" s="125"/>
      <c r="K10" s="298"/>
      <c r="L10" s="127" t="s">
        <v>374</v>
      </c>
      <c r="M10" s="125"/>
      <c r="N10" s="125"/>
      <c r="O10" s="125"/>
      <c r="P10" s="125"/>
      <c r="Q10" s="125"/>
    </row>
    <row r="11" spans="1:17">
      <c r="A11" s="127" t="s">
        <v>375</v>
      </c>
      <c r="B11" s="124">
        <f t="shared" si="0"/>
        <v>150</v>
      </c>
      <c r="C11" s="125"/>
      <c r="D11" s="125"/>
      <c r="E11" s="125"/>
      <c r="F11" s="124">
        <f t="shared" si="1"/>
        <v>50</v>
      </c>
      <c r="G11" s="125"/>
      <c r="H11" s="125"/>
      <c r="K11" s="298"/>
      <c r="L11" s="127" t="s">
        <v>375</v>
      </c>
      <c r="M11" s="125"/>
      <c r="N11" s="125"/>
      <c r="O11" s="125"/>
      <c r="P11" s="125"/>
      <c r="Q11" s="125"/>
    </row>
    <row r="12" spans="1:17">
      <c r="A12" s="127" t="s">
        <v>376</v>
      </c>
      <c r="B12" s="124">
        <f t="shared" si="0"/>
        <v>150</v>
      </c>
      <c r="C12" s="125"/>
      <c r="D12" s="125"/>
      <c r="E12" s="125"/>
      <c r="F12" s="124">
        <f t="shared" si="1"/>
        <v>50</v>
      </c>
      <c r="G12" s="125"/>
      <c r="H12" s="125"/>
      <c r="K12" s="298"/>
      <c r="L12" s="127" t="s">
        <v>376</v>
      </c>
      <c r="M12" s="125"/>
      <c r="N12" s="125"/>
      <c r="O12" s="125"/>
      <c r="P12" s="125"/>
      <c r="Q12" s="125"/>
    </row>
    <row r="13" spans="1:17">
      <c r="A13" s="127" t="s">
        <v>377</v>
      </c>
      <c r="B13" s="124">
        <f t="shared" si="0"/>
        <v>150</v>
      </c>
      <c r="C13" s="125"/>
      <c r="D13" s="125"/>
      <c r="E13" s="125"/>
      <c r="F13" s="124">
        <f t="shared" si="1"/>
        <v>50</v>
      </c>
      <c r="G13" s="125"/>
      <c r="H13" s="125"/>
      <c r="K13" s="298"/>
      <c r="L13" s="127" t="s">
        <v>377</v>
      </c>
      <c r="M13" s="125"/>
      <c r="N13" s="125"/>
      <c r="O13" s="125"/>
      <c r="P13" s="125"/>
      <c r="Q13" s="125"/>
    </row>
    <row r="14" spans="1:17">
      <c r="A14" s="127" t="s">
        <v>378</v>
      </c>
      <c r="B14" s="124">
        <f t="shared" si="0"/>
        <v>150</v>
      </c>
      <c r="C14" s="125"/>
      <c r="D14" s="125"/>
      <c r="E14" s="125"/>
      <c r="F14" s="124">
        <f t="shared" si="1"/>
        <v>50</v>
      </c>
      <c r="G14" s="125"/>
      <c r="H14" s="125"/>
      <c r="K14" s="298"/>
      <c r="L14" s="127" t="s">
        <v>378</v>
      </c>
      <c r="M14" s="125"/>
      <c r="N14" s="125"/>
      <c r="O14" s="125"/>
      <c r="P14" s="125"/>
      <c r="Q14" s="125"/>
    </row>
    <row r="15" spans="1:17">
      <c r="A15" s="127" t="s">
        <v>379</v>
      </c>
      <c r="B15" s="124">
        <f t="shared" si="0"/>
        <v>150</v>
      </c>
      <c r="C15" s="125"/>
      <c r="D15" s="125"/>
      <c r="E15" s="125"/>
      <c r="F15" s="124">
        <f t="shared" si="1"/>
        <v>50</v>
      </c>
      <c r="G15" s="125"/>
      <c r="H15" s="125"/>
      <c r="K15" s="298"/>
      <c r="L15" s="127" t="s">
        <v>379</v>
      </c>
      <c r="M15" s="125"/>
      <c r="N15" s="125"/>
      <c r="O15" s="125"/>
      <c r="P15" s="125"/>
      <c r="Q15" s="125"/>
    </row>
    <row r="16" spans="1:17">
      <c r="A16" s="127" t="s">
        <v>380</v>
      </c>
      <c r="B16" s="124">
        <f t="shared" si="0"/>
        <v>150</v>
      </c>
      <c r="C16" s="125"/>
      <c r="D16" s="125"/>
      <c r="E16" s="125"/>
      <c r="F16" s="124">
        <f t="shared" si="1"/>
        <v>50</v>
      </c>
      <c r="G16" s="125"/>
      <c r="H16" s="125"/>
      <c r="K16" s="298"/>
      <c r="L16" s="127" t="s">
        <v>380</v>
      </c>
      <c r="M16" s="125"/>
      <c r="N16" s="125"/>
      <c r="O16" s="125"/>
      <c r="P16" s="125"/>
      <c r="Q16" s="125"/>
    </row>
    <row r="17" spans="1:17">
      <c r="A17" s="127" t="s">
        <v>381</v>
      </c>
      <c r="B17" s="124">
        <f t="shared" si="0"/>
        <v>150</v>
      </c>
      <c r="C17" s="125"/>
      <c r="D17" s="125"/>
      <c r="E17" s="125"/>
      <c r="F17" s="124">
        <f t="shared" si="1"/>
        <v>50</v>
      </c>
      <c r="G17" s="125"/>
      <c r="H17" s="125"/>
      <c r="K17" s="298"/>
      <c r="L17" s="127" t="s">
        <v>381</v>
      </c>
      <c r="M17" s="125"/>
      <c r="N17" s="125"/>
      <c r="O17" s="125"/>
      <c r="P17" s="125"/>
      <c r="Q17" s="125"/>
    </row>
    <row r="18" spans="1:17">
      <c r="A18" s="127" t="s">
        <v>382</v>
      </c>
      <c r="B18" s="124">
        <f t="shared" si="0"/>
        <v>150</v>
      </c>
      <c r="C18" s="125"/>
      <c r="D18" s="125"/>
      <c r="E18" s="125"/>
      <c r="F18" s="124">
        <f t="shared" si="1"/>
        <v>50</v>
      </c>
      <c r="G18" s="125"/>
      <c r="H18" s="125"/>
      <c r="K18" s="298"/>
      <c r="L18" s="127" t="s">
        <v>382</v>
      </c>
      <c r="M18" s="125"/>
      <c r="N18" s="125"/>
      <c r="O18" s="125"/>
      <c r="P18" s="125"/>
      <c r="Q18" s="125"/>
    </row>
    <row r="19" spans="1:17">
      <c r="K19" s="298"/>
      <c r="L19" s="123" t="s">
        <v>383</v>
      </c>
      <c r="M19" s="123" t="e">
        <f>AVERAGE(M7:M18)</f>
        <v>#DIV/0!</v>
      </c>
      <c r="N19" s="123"/>
      <c r="O19" s="123">
        <f>MAX(O7:O18)</f>
        <v>0</v>
      </c>
      <c r="P19" s="123" t="e">
        <f>AVERAGE(P7:P18)</f>
        <v>#DIV/0!</v>
      </c>
      <c r="Q19" s="123">
        <f>MAX(Q7:Q18)</f>
        <v>0</v>
      </c>
    </row>
    <row r="21" spans="1:17" ht="45">
      <c r="K21" s="122">
        <f>+A6</f>
        <v>2022</v>
      </c>
      <c r="L21" s="122" t="s">
        <v>370</v>
      </c>
      <c r="M21" s="115" t="s">
        <v>402</v>
      </c>
      <c r="N21" s="115" t="s">
        <v>403</v>
      </c>
      <c r="O21" s="115" t="s">
        <v>404</v>
      </c>
      <c r="P21" s="128" t="s">
        <v>368</v>
      </c>
      <c r="Q21" s="128" t="s">
        <v>369</v>
      </c>
    </row>
    <row r="22" spans="1:17">
      <c r="K22" s="298" t="s">
        <v>169</v>
      </c>
      <c r="L22" s="127" t="s">
        <v>371</v>
      </c>
      <c r="M22" s="125"/>
      <c r="N22" s="125"/>
      <c r="O22" s="125"/>
      <c r="P22" s="125"/>
      <c r="Q22" s="125"/>
    </row>
    <row r="23" spans="1:17">
      <c r="K23" s="298"/>
      <c r="L23" s="127" t="s">
        <v>372</v>
      </c>
      <c r="M23" s="125"/>
      <c r="N23" s="125"/>
      <c r="O23" s="125"/>
      <c r="P23" s="125"/>
      <c r="Q23" s="125"/>
    </row>
    <row r="24" spans="1:17">
      <c r="K24" s="298"/>
      <c r="L24" s="127" t="s">
        <v>373</v>
      </c>
      <c r="M24" s="125"/>
      <c r="N24" s="125"/>
      <c r="O24" s="125"/>
      <c r="P24" s="125"/>
      <c r="Q24" s="125"/>
    </row>
    <row r="25" spans="1:17">
      <c r="K25" s="298"/>
      <c r="L25" s="127" t="s">
        <v>374</v>
      </c>
      <c r="M25" s="125"/>
      <c r="N25" s="125"/>
      <c r="O25" s="125"/>
      <c r="P25" s="125"/>
      <c r="Q25" s="125"/>
    </row>
    <row r="26" spans="1:17">
      <c r="K26" s="298"/>
      <c r="L26" s="127" t="s">
        <v>375</v>
      </c>
      <c r="M26" s="125"/>
      <c r="N26" s="125"/>
      <c r="O26" s="125"/>
      <c r="P26" s="125"/>
      <c r="Q26" s="125"/>
    </row>
    <row r="27" spans="1:17">
      <c r="K27" s="298"/>
      <c r="L27" s="127" t="s">
        <v>376</v>
      </c>
      <c r="M27" s="125"/>
      <c r="N27" s="125"/>
      <c r="O27" s="125"/>
      <c r="P27" s="125"/>
      <c r="Q27" s="125"/>
    </row>
    <row r="28" spans="1:17">
      <c r="K28" s="298"/>
      <c r="L28" s="127" t="s">
        <v>377</v>
      </c>
      <c r="M28" s="125"/>
      <c r="N28" s="125"/>
      <c r="O28" s="125"/>
      <c r="P28" s="125"/>
      <c r="Q28" s="125"/>
    </row>
    <row r="29" spans="1:17">
      <c r="K29" s="298"/>
      <c r="L29" s="127" t="s">
        <v>378</v>
      </c>
      <c r="M29" s="125"/>
      <c r="N29" s="125"/>
      <c r="O29" s="125"/>
      <c r="P29" s="125"/>
      <c r="Q29" s="125"/>
    </row>
    <row r="30" spans="1:17">
      <c r="K30" s="298"/>
      <c r="L30" s="127" t="s">
        <v>379</v>
      </c>
      <c r="M30" s="125"/>
      <c r="N30" s="125"/>
      <c r="O30" s="125"/>
      <c r="P30" s="125"/>
      <c r="Q30" s="125"/>
    </row>
    <row r="31" spans="1:17">
      <c r="K31" s="298"/>
      <c r="L31" s="127" t="s">
        <v>380</v>
      </c>
      <c r="M31" s="125"/>
      <c r="N31" s="125"/>
      <c r="O31" s="125"/>
      <c r="P31" s="125"/>
      <c r="Q31" s="125"/>
    </row>
    <row r="32" spans="1:17">
      <c r="K32" s="298"/>
      <c r="L32" s="127" t="s">
        <v>381</v>
      </c>
      <c r="M32" s="125"/>
      <c r="N32" s="125"/>
      <c r="O32" s="125"/>
      <c r="P32" s="125"/>
      <c r="Q32" s="125"/>
    </row>
    <row r="33" spans="1:17">
      <c r="K33" s="298"/>
      <c r="L33" s="127" t="s">
        <v>382</v>
      </c>
      <c r="M33" s="125"/>
      <c r="N33" s="125"/>
      <c r="O33" s="125"/>
      <c r="P33" s="125"/>
      <c r="Q33" s="125"/>
    </row>
    <row r="34" spans="1:17">
      <c r="K34" s="298"/>
      <c r="L34" s="123" t="s">
        <v>383</v>
      </c>
      <c r="M34" s="123" t="e">
        <f>AVERAGE(M22:M33)</f>
        <v>#DIV/0!</v>
      </c>
      <c r="N34" s="123"/>
      <c r="O34" s="123">
        <f>MAX(O22:O33)</f>
        <v>0</v>
      </c>
      <c r="P34" s="123" t="e">
        <f>AVERAGE(P22:P33)</f>
        <v>#DIV/0!</v>
      </c>
      <c r="Q34" s="123">
        <f>MAX(Q22:Q33)</f>
        <v>0</v>
      </c>
    </row>
    <row r="36" spans="1:17" ht="45">
      <c r="K36" s="122">
        <f>+A6</f>
        <v>2022</v>
      </c>
      <c r="L36" s="122" t="s">
        <v>370</v>
      </c>
      <c r="M36" s="115" t="s">
        <v>402</v>
      </c>
      <c r="N36" s="115" t="s">
        <v>403</v>
      </c>
      <c r="O36" s="115" t="s">
        <v>404</v>
      </c>
      <c r="P36" s="128" t="s">
        <v>368</v>
      </c>
      <c r="Q36" s="128" t="s">
        <v>369</v>
      </c>
    </row>
    <row r="37" spans="1:17">
      <c r="K37" s="298" t="s">
        <v>170</v>
      </c>
      <c r="L37" s="127" t="s">
        <v>371</v>
      </c>
      <c r="M37" s="125"/>
      <c r="N37" s="125"/>
      <c r="O37" s="125"/>
      <c r="P37" s="125"/>
      <c r="Q37" s="125"/>
    </row>
    <row r="38" spans="1:17">
      <c r="K38" s="298"/>
      <c r="L38" s="127" t="s">
        <v>372</v>
      </c>
      <c r="M38" s="125"/>
      <c r="N38" s="125"/>
      <c r="O38" s="125"/>
      <c r="P38" s="125"/>
      <c r="Q38" s="125"/>
    </row>
    <row r="39" spans="1:17">
      <c r="K39" s="298"/>
      <c r="L39" s="127" t="s">
        <v>373</v>
      </c>
      <c r="M39" s="125"/>
      <c r="N39" s="125"/>
      <c r="O39" s="125"/>
      <c r="P39" s="125"/>
      <c r="Q39" s="125"/>
    </row>
    <row r="40" spans="1:17">
      <c r="K40" s="298"/>
      <c r="L40" s="127" t="s">
        <v>374</v>
      </c>
      <c r="M40" s="125"/>
      <c r="N40" s="125"/>
      <c r="O40" s="125"/>
      <c r="P40" s="125"/>
      <c r="Q40" s="125"/>
    </row>
    <row r="41" spans="1:17">
      <c r="K41" s="298"/>
      <c r="L41" s="127" t="s">
        <v>375</v>
      </c>
      <c r="M41" s="125"/>
      <c r="N41" s="125"/>
      <c r="O41" s="125"/>
      <c r="P41" s="125"/>
      <c r="Q41" s="125"/>
    </row>
    <row r="42" spans="1:17">
      <c r="K42" s="298"/>
      <c r="L42" s="127" t="s">
        <v>376</v>
      </c>
      <c r="M42" s="125"/>
      <c r="N42" s="125"/>
      <c r="O42" s="125"/>
      <c r="P42" s="125"/>
      <c r="Q42" s="125"/>
    </row>
    <row r="43" spans="1:17">
      <c r="K43" s="298"/>
      <c r="L43" s="127" t="s">
        <v>377</v>
      </c>
      <c r="M43" s="125"/>
      <c r="N43" s="125"/>
      <c r="O43" s="125"/>
      <c r="P43" s="125"/>
      <c r="Q43" s="125"/>
    </row>
    <row r="44" spans="1:17">
      <c r="K44" s="298"/>
      <c r="L44" s="127" t="s">
        <v>378</v>
      </c>
      <c r="M44" s="125"/>
      <c r="N44" s="125"/>
      <c r="O44" s="125"/>
      <c r="P44" s="125"/>
      <c r="Q44" s="125"/>
    </row>
    <row r="45" spans="1:17">
      <c r="K45" s="298"/>
      <c r="L45" s="127" t="s">
        <v>379</v>
      </c>
      <c r="M45" s="125"/>
      <c r="N45" s="125"/>
      <c r="O45" s="125"/>
      <c r="P45" s="125"/>
      <c r="Q45" s="125"/>
    </row>
    <row r="46" spans="1:17">
      <c r="K46" s="298"/>
      <c r="L46" s="127" t="s">
        <v>380</v>
      </c>
      <c r="M46" s="125"/>
      <c r="N46" s="125"/>
      <c r="O46" s="125"/>
      <c r="P46" s="125"/>
      <c r="Q46" s="125"/>
    </row>
    <row r="47" spans="1:17">
      <c r="K47" s="298"/>
      <c r="L47" s="127" t="s">
        <v>381</v>
      </c>
      <c r="M47" s="125"/>
      <c r="N47" s="125"/>
      <c r="O47" s="125"/>
      <c r="P47" s="125"/>
      <c r="Q47" s="125"/>
    </row>
    <row r="48" spans="1:17" ht="15">
      <c r="A48" s="310" t="s">
        <v>249</v>
      </c>
      <c r="B48" s="311"/>
      <c r="C48" s="311"/>
      <c r="D48" s="311"/>
      <c r="E48" s="311"/>
      <c r="F48" s="311"/>
      <c r="G48" s="311"/>
      <c r="H48" s="312"/>
      <c r="K48" s="298"/>
      <c r="L48" s="127" t="s">
        <v>382</v>
      </c>
      <c r="M48" s="125"/>
      <c r="N48" s="125"/>
      <c r="O48" s="125"/>
      <c r="P48" s="125"/>
      <c r="Q48" s="125"/>
    </row>
    <row r="49" spans="1:17">
      <c r="A49" s="301"/>
      <c r="B49" s="302"/>
      <c r="C49" s="302"/>
      <c r="D49" s="302"/>
      <c r="E49" s="302"/>
      <c r="F49" s="302"/>
      <c r="G49" s="302"/>
      <c r="H49" s="303"/>
      <c r="K49" s="298"/>
      <c r="L49" s="123" t="s">
        <v>383</v>
      </c>
      <c r="M49" s="123" t="e">
        <f>AVERAGE(M37:M48)</f>
        <v>#DIV/0!</v>
      </c>
      <c r="N49" s="123"/>
      <c r="O49" s="123">
        <f>MAX(O37:O48)</f>
        <v>0</v>
      </c>
      <c r="P49" s="123" t="e">
        <f>AVERAGE(P37:P48)</f>
        <v>#DIV/0!</v>
      </c>
      <c r="Q49" s="123">
        <f>MAX(Q37:Q48)</f>
        <v>0</v>
      </c>
    </row>
    <row r="50" spans="1:17">
      <c r="A50" s="304"/>
      <c r="B50" s="305"/>
      <c r="C50" s="305"/>
      <c r="D50" s="305"/>
      <c r="E50" s="305"/>
      <c r="F50" s="305"/>
      <c r="G50" s="305"/>
      <c r="H50" s="306"/>
    </row>
    <row r="51" spans="1:17" ht="45">
      <c r="A51" s="304"/>
      <c r="B51" s="305"/>
      <c r="C51" s="305"/>
      <c r="D51" s="305"/>
      <c r="E51" s="305"/>
      <c r="F51" s="305"/>
      <c r="G51" s="305"/>
      <c r="H51" s="306"/>
      <c r="K51" s="122">
        <f>+A6</f>
        <v>2022</v>
      </c>
      <c r="L51" s="122" t="s">
        <v>370</v>
      </c>
      <c r="M51" s="115" t="s">
        <v>402</v>
      </c>
      <c r="N51" s="115" t="s">
        <v>403</v>
      </c>
      <c r="O51" s="115" t="s">
        <v>404</v>
      </c>
      <c r="P51" s="128" t="s">
        <v>368</v>
      </c>
      <c r="Q51" s="128" t="s">
        <v>369</v>
      </c>
    </row>
    <row r="52" spans="1:17">
      <c r="A52" s="307"/>
      <c r="B52" s="308"/>
      <c r="C52" s="308"/>
      <c r="D52" s="308"/>
      <c r="E52" s="308"/>
      <c r="F52" s="308"/>
      <c r="G52" s="308"/>
      <c r="H52" s="309"/>
      <c r="K52" s="298" t="s">
        <v>171</v>
      </c>
      <c r="L52" s="127" t="s">
        <v>371</v>
      </c>
      <c r="M52" s="125"/>
      <c r="N52" s="125"/>
      <c r="O52" s="125"/>
      <c r="P52" s="125"/>
      <c r="Q52" s="125"/>
    </row>
    <row r="53" spans="1:17">
      <c r="K53" s="298"/>
      <c r="L53" s="127" t="s">
        <v>372</v>
      </c>
      <c r="M53" s="125"/>
      <c r="N53" s="125"/>
      <c r="O53" s="125"/>
      <c r="P53" s="125"/>
      <c r="Q53" s="125"/>
    </row>
    <row r="54" spans="1:17">
      <c r="K54" s="298"/>
      <c r="L54" s="127" t="s">
        <v>373</v>
      </c>
      <c r="M54" s="125"/>
      <c r="N54" s="125"/>
      <c r="O54" s="125"/>
      <c r="P54" s="125"/>
      <c r="Q54" s="125"/>
    </row>
    <row r="55" spans="1:17">
      <c r="K55" s="298"/>
      <c r="L55" s="127" t="s">
        <v>374</v>
      </c>
      <c r="M55" s="125"/>
      <c r="N55" s="125"/>
      <c r="O55" s="125"/>
      <c r="P55" s="125"/>
      <c r="Q55" s="125"/>
    </row>
    <row r="56" spans="1:17">
      <c r="K56" s="298"/>
      <c r="L56" s="127" t="s">
        <v>375</v>
      </c>
      <c r="M56" s="125"/>
      <c r="N56" s="125"/>
      <c r="O56" s="125"/>
      <c r="P56" s="125"/>
      <c r="Q56" s="125"/>
    </row>
    <row r="57" spans="1:17">
      <c r="K57" s="298"/>
      <c r="L57" s="127" t="s">
        <v>376</v>
      </c>
      <c r="M57" s="125"/>
      <c r="N57" s="125"/>
      <c r="O57" s="125"/>
      <c r="P57" s="125"/>
      <c r="Q57" s="125"/>
    </row>
    <row r="58" spans="1:17">
      <c r="K58" s="298"/>
      <c r="L58" s="127" t="s">
        <v>377</v>
      </c>
      <c r="M58" s="125"/>
      <c r="N58" s="125"/>
      <c r="O58" s="125"/>
      <c r="P58" s="125"/>
      <c r="Q58" s="125"/>
    </row>
    <row r="59" spans="1:17">
      <c r="K59" s="298"/>
      <c r="L59" s="127" t="s">
        <v>378</v>
      </c>
      <c r="M59" s="125"/>
      <c r="N59" s="125"/>
      <c r="O59" s="125"/>
      <c r="P59" s="125"/>
      <c r="Q59" s="125"/>
    </row>
    <row r="60" spans="1:17">
      <c r="K60" s="298"/>
      <c r="L60" s="127" t="s">
        <v>379</v>
      </c>
      <c r="M60" s="125"/>
      <c r="N60" s="125"/>
      <c r="O60" s="125"/>
      <c r="P60" s="125"/>
      <c r="Q60" s="125"/>
    </row>
    <row r="61" spans="1:17">
      <c r="K61" s="298"/>
      <c r="L61" s="127" t="s">
        <v>380</v>
      </c>
      <c r="M61" s="125"/>
      <c r="N61" s="125"/>
      <c r="O61" s="125"/>
      <c r="P61" s="125"/>
      <c r="Q61" s="125"/>
    </row>
    <row r="62" spans="1:17">
      <c r="K62" s="298"/>
      <c r="L62" s="127" t="s">
        <v>381</v>
      </c>
      <c r="M62" s="125"/>
      <c r="N62" s="125"/>
      <c r="O62" s="125"/>
      <c r="P62" s="125"/>
      <c r="Q62" s="125"/>
    </row>
    <row r="63" spans="1:17">
      <c r="K63" s="298"/>
      <c r="L63" s="127" t="s">
        <v>382</v>
      </c>
      <c r="M63" s="125"/>
      <c r="N63" s="125"/>
      <c r="O63" s="125"/>
      <c r="P63" s="125"/>
      <c r="Q63" s="125"/>
    </row>
    <row r="64" spans="1:17">
      <c r="K64" s="298"/>
      <c r="L64" s="123" t="s">
        <v>383</v>
      </c>
      <c r="M64" s="123" t="e">
        <f>AVERAGE(M52:M63)</f>
        <v>#DIV/0!</v>
      </c>
      <c r="N64" s="123"/>
      <c r="O64" s="123">
        <f>MAX(O52:O63)</f>
        <v>0</v>
      </c>
      <c r="P64" s="123" t="e">
        <f>AVERAGE(P52:P63)</f>
        <v>#DIV/0!</v>
      </c>
      <c r="Q64" s="123">
        <f>MAX(Q52:Q63)</f>
        <v>0</v>
      </c>
    </row>
    <row r="66" spans="11:17" ht="45">
      <c r="K66" s="122">
        <f>+A6</f>
        <v>2022</v>
      </c>
      <c r="L66" s="122" t="s">
        <v>370</v>
      </c>
      <c r="M66" s="115" t="s">
        <v>402</v>
      </c>
      <c r="N66" s="115" t="s">
        <v>403</v>
      </c>
      <c r="O66" s="115" t="s">
        <v>404</v>
      </c>
      <c r="P66" s="128" t="s">
        <v>368</v>
      </c>
      <c r="Q66" s="128" t="s">
        <v>369</v>
      </c>
    </row>
    <row r="67" spans="11:17">
      <c r="K67" s="298" t="s">
        <v>172</v>
      </c>
      <c r="L67" s="127" t="s">
        <v>371</v>
      </c>
      <c r="M67" s="125"/>
      <c r="N67" s="125"/>
      <c r="O67" s="125"/>
      <c r="P67" s="125"/>
      <c r="Q67" s="125"/>
    </row>
    <row r="68" spans="11:17">
      <c r="K68" s="298"/>
      <c r="L68" s="127" t="s">
        <v>372</v>
      </c>
      <c r="M68" s="125"/>
      <c r="N68" s="125"/>
      <c r="O68" s="125"/>
      <c r="P68" s="125"/>
      <c r="Q68" s="125"/>
    </row>
    <row r="69" spans="11:17">
      <c r="K69" s="298"/>
      <c r="L69" s="127" t="s">
        <v>373</v>
      </c>
      <c r="M69" s="125"/>
      <c r="N69" s="125"/>
      <c r="O69" s="125"/>
      <c r="P69" s="125"/>
      <c r="Q69" s="125"/>
    </row>
    <row r="70" spans="11:17">
      <c r="K70" s="298"/>
      <c r="L70" s="127" t="s">
        <v>374</v>
      </c>
      <c r="M70" s="125"/>
      <c r="N70" s="125"/>
      <c r="O70" s="125"/>
      <c r="P70" s="125"/>
      <c r="Q70" s="125"/>
    </row>
    <row r="71" spans="11:17">
      <c r="K71" s="298"/>
      <c r="L71" s="127" t="s">
        <v>375</v>
      </c>
      <c r="M71" s="125"/>
      <c r="N71" s="125"/>
      <c r="O71" s="125"/>
      <c r="P71" s="125"/>
      <c r="Q71" s="125"/>
    </row>
    <row r="72" spans="11:17">
      <c r="K72" s="298"/>
      <c r="L72" s="127" t="s">
        <v>376</v>
      </c>
      <c r="M72" s="125"/>
      <c r="N72" s="125"/>
      <c r="O72" s="125"/>
      <c r="P72" s="125"/>
      <c r="Q72" s="125"/>
    </row>
    <row r="73" spans="11:17">
      <c r="K73" s="298"/>
      <c r="L73" s="127" t="s">
        <v>377</v>
      </c>
      <c r="M73" s="125"/>
      <c r="N73" s="125"/>
      <c r="O73" s="125"/>
      <c r="P73" s="125"/>
      <c r="Q73" s="125"/>
    </row>
    <row r="74" spans="11:17">
      <c r="K74" s="298"/>
      <c r="L74" s="127" t="s">
        <v>378</v>
      </c>
      <c r="M74" s="125"/>
      <c r="N74" s="125"/>
      <c r="O74" s="125"/>
      <c r="P74" s="125"/>
      <c r="Q74" s="125"/>
    </row>
    <row r="75" spans="11:17">
      <c r="K75" s="298"/>
      <c r="L75" s="127" t="s">
        <v>379</v>
      </c>
      <c r="M75" s="125"/>
      <c r="N75" s="125"/>
      <c r="O75" s="125"/>
      <c r="P75" s="125"/>
      <c r="Q75" s="125"/>
    </row>
    <row r="76" spans="11:17">
      <c r="K76" s="298"/>
      <c r="L76" s="127" t="s">
        <v>380</v>
      </c>
      <c r="M76" s="125"/>
      <c r="N76" s="125"/>
      <c r="O76" s="125"/>
      <c r="P76" s="125"/>
      <c r="Q76" s="125"/>
    </row>
    <row r="77" spans="11:17">
      <c r="K77" s="298"/>
      <c r="L77" s="127" t="s">
        <v>381</v>
      </c>
      <c r="M77" s="125"/>
      <c r="N77" s="125"/>
      <c r="O77" s="125"/>
      <c r="P77" s="125"/>
      <c r="Q77" s="125"/>
    </row>
    <row r="78" spans="11:17">
      <c r="K78" s="298"/>
      <c r="L78" s="127" t="s">
        <v>382</v>
      </c>
      <c r="M78" s="125"/>
      <c r="N78" s="125"/>
      <c r="O78" s="125"/>
      <c r="P78" s="125"/>
      <c r="Q78" s="125"/>
    </row>
    <row r="79" spans="11:17">
      <c r="K79" s="298"/>
      <c r="L79" s="123" t="s">
        <v>383</v>
      </c>
      <c r="M79" s="123" t="e">
        <f>AVERAGE(M67:M78)</f>
        <v>#DIV/0!</v>
      </c>
      <c r="N79" s="123"/>
      <c r="O79" s="123">
        <f>MAX(O67:O78)</f>
        <v>0</v>
      </c>
      <c r="P79" s="123" t="e">
        <f>AVERAGE(P67:P78)</f>
        <v>#DIV/0!</v>
      </c>
      <c r="Q79" s="123">
        <f>MAX(Q67:Q78)</f>
        <v>0</v>
      </c>
    </row>
  </sheetData>
  <mergeCells count="10">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O79"/>
  <sheetViews>
    <sheetView showGridLines="0" zoomScaleNormal="100" workbookViewId="0">
      <selection activeCell="A49" sqref="A49:G52"/>
    </sheetView>
  </sheetViews>
  <sheetFormatPr defaultRowHeight="14.25"/>
  <cols>
    <col min="1" max="1" width="14" style="3" customWidth="1"/>
    <col min="2" max="4" width="17" style="77" customWidth="1"/>
    <col min="5" max="5" width="14.85546875" style="77" customWidth="1"/>
    <col min="6" max="7" width="17" style="77" customWidth="1"/>
    <col min="8" max="11" width="9.140625" style="3"/>
    <col min="12" max="12" width="15.42578125" style="3" customWidth="1"/>
    <col min="13" max="13" width="17.42578125" style="3" bestFit="1" customWidth="1"/>
    <col min="14" max="14" width="13.85546875" style="3" customWidth="1"/>
    <col min="15" max="15" width="15" style="3" customWidth="1"/>
    <col min="16" max="256" width="9.140625" style="3"/>
    <col min="257" max="257" width="14" style="3" customWidth="1"/>
    <col min="258" max="263" width="10.140625" style="3" customWidth="1"/>
    <col min="264" max="512" width="9.140625" style="3"/>
    <col min="513" max="513" width="14" style="3" customWidth="1"/>
    <col min="514" max="519" width="10.140625" style="3" customWidth="1"/>
    <col min="520" max="768" width="9.140625" style="3"/>
    <col min="769" max="769" width="14" style="3" customWidth="1"/>
    <col min="770" max="775" width="10.140625" style="3" customWidth="1"/>
    <col min="776" max="1024" width="9.140625" style="3"/>
    <col min="1025" max="1025" width="14" style="3" customWidth="1"/>
    <col min="1026" max="1031" width="10.140625" style="3" customWidth="1"/>
    <col min="1032" max="1280" width="9.140625" style="3"/>
    <col min="1281" max="1281" width="14" style="3" customWidth="1"/>
    <col min="1282" max="1287" width="10.140625" style="3" customWidth="1"/>
    <col min="1288" max="1536" width="9.140625" style="3"/>
    <col min="1537" max="1537" width="14" style="3" customWidth="1"/>
    <col min="1538" max="1543" width="10.140625" style="3" customWidth="1"/>
    <col min="1544" max="1792" width="9.140625" style="3"/>
    <col min="1793" max="1793" width="14" style="3" customWidth="1"/>
    <col min="1794" max="1799" width="10.140625" style="3" customWidth="1"/>
    <col min="1800" max="2048" width="9.140625" style="3"/>
    <col min="2049" max="2049" width="14" style="3" customWidth="1"/>
    <col min="2050" max="2055" width="10.140625" style="3" customWidth="1"/>
    <col min="2056" max="2304" width="9.140625" style="3"/>
    <col min="2305" max="2305" width="14" style="3" customWidth="1"/>
    <col min="2306" max="2311" width="10.140625" style="3" customWidth="1"/>
    <col min="2312" max="2560" width="9.140625" style="3"/>
    <col min="2561" max="2561" width="14" style="3" customWidth="1"/>
    <col min="2562" max="2567" width="10.140625" style="3" customWidth="1"/>
    <col min="2568" max="2816" width="9.140625" style="3"/>
    <col min="2817" max="2817" width="14" style="3" customWidth="1"/>
    <col min="2818" max="2823" width="10.140625" style="3" customWidth="1"/>
    <col min="2824" max="3072" width="9.140625" style="3"/>
    <col min="3073" max="3073" width="14" style="3" customWidth="1"/>
    <col min="3074" max="3079" width="10.140625" style="3" customWidth="1"/>
    <col min="3080" max="3328" width="9.140625" style="3"/>
    <col min="3329" max="3329" width="14" style="3" customWidth="1"/>
    <col min="3330" max="3335" width="10.140625" style="3" customWidth="1"/>
    <col min="3336" max="3584" width="9.140625" style="3"/>
    <col min="3585" max="3585" width="14" style="3" customWidth="1"/>
    <col min="3586" max="3591" width="10.140625" style="3" customWidth="1"/>
    <col min="3592" max="3840" width="9.140625" style="3"/>
    <col min="3841" max="3841" width="14" style="3" customWidth="1"/>
    <col min="3842" max="3847" width="10.140625" style="3" customWidth="1"/>
    <col min="3848" max="4096" width="9.140625" style="3"/>
    <col min="4097" max="4097" width="14" style="3" customWidth="1"/>
    <col min="4098" max="4103" width="10.140625" style="3" customWidth="1"/>
    <col min="4104" max="4352" width="9.140625" style="3"/>
    <col min="4353" max="4353" width="14" style="3" customWidth="1"/>
    <col min="4354" max="4359" width="10.140625" style="3" customWidth="1"/>
    <col min="4360" max="4608" width="9.140625" style="3"/>
    <col min="4609" max="4609" width="14" style="3" customWidth="1"/>
    <col min="4610" max="4615" width="10.140625" style="3" customWidth="1"/>
    <col min="4616" max="4864" width="9.140625" style="3"/>
    <col min="4865" max="4865" width="14" style="3" customWidth="1"/>
    <col min="4866" max="4871" width="10.140625" style="3" customWidth="1"/>
    <col min="4872" max="5120" width="9.140625" style="3"/>
    <col min="5121" max="5121" width="14" style="3" customWidth="1"/>
    <col min="5122" max="5127" width="10.140625" style="3" customWidth="1"/>
    <col min="5128" max="5376" width="9.140625" style="3"/>
    <col min="5377" max="5377" width="14" style="3" customWidth="1"/>
    <col min="5378" max="5383" width="10.140625" style="3" customWidth="1"/>
    <col min="5384" max="5632" width="9.140625" style="3"/>
    <col min="5633" max="5633" width="14" style="3" customWidth="1"/>
    <col min="5634" max="5639" width="10.140625" style="3" customWidth="1"/>
    <col min="5640" max="5888" width="9.140625" style="3"/>
    <col min="5889" max="5889" width="14" style="3" customWidth="1"/>
    <col min="5890" max="5895" width="10.140625" style="3" customWidth="1"/>
    <col min="5896" max="6144" width="9.140625" style="3"/>
    <col min="6145" max="6145" width="14" style="3" customWidth="1"/>
    <col min="6146" max="6151" width="10.140625" style="3" customWidth="1"/>
    <col min="6152" max="6400" width="9.140625" style="3"/>
    <col min="6401" max="6401" width="14" style="3" customWidth="1"/>
    <col min="6402" max="6407" width="10.140625" style="3" customWidth="1"/>
    <col min="6408" max="6656" width="9.140625" style="3"/>
    <col min="6657" max="6657" width="14" style="3" customWidth="1"/>
    <col min="6658" max="6663" width="10.140625" style="3" customWidth="1"/>
    <col min="6664" max="6912" width="9.140625" style="3"/>
    <col min="6913" max="6913" width="14" style="3" customWidth="1"/>
    <col min="6914" max="6919" width="10.140625" style="3" customWidth="1"/>
    <col min="6920" max="7168" width="9.140625" style="3"/>
    <col min="7169" max="7169" width="14" style="3" customWidth="1"/>
    <col min="7170" max="7175" width="10.140625" style="3" customWidth="1"/>
    <col min="7176" max="7424" width="9.140625" style="3"/>
    <col min="7425" max="7425" width="14" style="3" customWidth="1"/>
    <col min="7426" max="7431" width="10.140625" style="3" customWidth="1"/>
    <col min="7432" max="7680" width="9.140625" style="3"/>
    <col min="7681" max="7681" width="14" style="3" customWidth="1"/>
    <col min="7682" max="7687" width="10.140625" style="3" customWidth="1"/>
    <col min="7688" max="7936" width="9.140625" style="3"/>
    <col min="7937" max="7937" width="14" style="3" customWidth="1"/>
    <col min="7938" max="7943" width="10.140625" style="3" customWidth="1"/>
    <col min="7944" max="8192" width="9.140625" style="3"/>
    <col min="8193" max="8193" width="14" style="3" customWidth="1"/>
    <col min="8194" max="8199" width="10.140625" style="3" customWidth="1"/>
    <col min="8200" max="8448" width="9.140625" style="3"/>
    <col min="8449" max="8449" width="14" style="3" customWidth="1"/>
    <col min="8450" max="8455" width="10.140625" style="3" customWidth="1"/>
    <col min="8456" max="8704" width="9.140625" style="3"/>
    <col min="8705" max="8705" width="14" style="3" customWidth="1"/>
    <col min="8706" max="8711" width="10.140625" style="3" customWidth="1"/>
    <col min="8712" max="8960" width="9.140625" style="3"/>
    <col min="8961" max="8961" width="14" style="3" customWidth="1"/>
    <col min="8962" max="8967" width="10.140625" style="3" customWidth="1"/>
    <col min="8968" max="9216" width="9.140625" style="3"/>
    <col min="9217" max="9217" width="14" style="3" customWidth="1"/>
    <col min="9218" max="9223" width="10.140625" style="3" customWidth="1"/>
    <col min="9224" max="9472" width="9.140625" style="3"/>
    <col min="9473" max="9473" width="14" style="3" customWidth="1"/>
    <col min="9474" max="9479" width="10.140625" style="3" customWidth="1"/>
    <col min="9480" max="9728" width="9.140625" style="3"/>
    <col min="9729" max="9729" width="14" style="3" customWidth="1"/>
    <col min="9730" max="9735" width="10.140625" style="3" customWidth="1"/>
    <col min="9736" max="9984" width="9.140625" style="3"/>
    <col min="9985" max="9985" width="14" style="3" customWidth="1"/>
    <col min="9986" max="9991" width="10.140625" style="3" customWidth="1"/>
    <col min="9992" max="10240" width="9.140625" style="3"/>
    <col min="10241" max="10241" width="14" style="3" customWidth="1"/>
    <col min="10242" max="10247" width="10.140625" style="3" customWidth="1"/>
    <col min="10248" max="10496" width="9.140625" style="3"/>
    <col min="10497" max="10497" width="14" style="3" customWidth="1"/>
    <col min="10498" max="10503" width="10.140625" style="3" customWidth="1"/>
    <col min="10504" max="10752" width="9.140625" style="3"/>
    <col min="10753" max="10753" width="14" style="3" customWidth="1"/>
    <col min="10754" max="10759" width="10.140625" style="3" customWidth="1"/>
    <col min="10760" max="11008" width="9.140625" style="3"/>
    <col min="11009" max="11009" width="14" style="3" customWidth="1"/>
    <col min="11010" max="11015" width="10.140625" style="3" customWidth="1"/>
    <col min="11016" max="11264" width="9.140625" style="3"/>
    <col min="11265" max="11265" width="14" style="3" customWidth="1"/>
    <col min="11266" max="11271" width="10.140625" style="3" customWidth="1"/>
    <col min="11272" max="11520" width="9.140625" style="3"/>
    <col min="11521" max="11521" width="14" style="3" customWidth="1"/>
    <col min="11522" max="11527" width="10.140625" style="3" customWidth="1"/>
    <col min="11528" max="11776" width="9.140625" style="3"/>
    <col min="11777" max="11777" width="14" style="3" customWidth="1"/>
    <col min="11778" max="11783" width="10.140625" style="3" customWidth="1"/>
    <col min="11784" max="12032" width="9.140625" style="3"/>
    <col min="12033" max="12033" width="14" style="3" customWidth="1"/>
    <col min="12034" max="12039" width="10.140625" style="3" customWidth="1"/>
    <col min="12040" max="12288" width="9.140625" style="3"/>
    <col min="12289" max="12289" width="14" style="3" customWidth="1"/>
    <col min="12290" max="12295" width="10.140625" style="3" customWidth="1"/>
    <col min="12296" max="12544" width="9.140625" style="3"/>
    <col min="12545" max="12545" width="14" style="3" customWidth="1"/>
    <col min="12546" max="12551" width="10.140625" style="3" customWidth="1"/>
    <col min="12552" max="12800" width="9.140625" style="3"/>
    <col min="12801" max="12801" width="14" style="3" customWidth="1"/>
    <col min="12802" max="12807" width="10.140625" style="3" customWidth="1"/>
    <col min="12808" max="13056" width="9.140625" style="3"/>
    <col min="13057" max="13057" width="14" style="3" customWidth="1"/>
    <col min="13058" max="13063" width="10.140625" style="3" customWidth="1"/>
    <col min="13064" max="13312" width="9.140625" style="3"/>
    <col min="13313" max="13313" width="14" style="3" customWidth="1"/>
    <col min="13314" max="13319" width="10.140625" style="3" customWidth="1"/>
    <col min="13320" max="13568" width="9.140625" style="3"/>
    <col min="13569" max="13569" width="14" style="3" customWidth="1"/>
    <col min="13570" max="13575" width="10.140625" style="3" customWidth="1"/>
    <col min="13576" max="13824" width="9.140625" style="3"/>
    <col min="13825" max="13825" width="14" style="3" customWidth="1"/>
    <col min="13826" max="13831" width="10.140625" style="3" customWidth="1"/>
    <col min="13832" max="14080" width="9.140625" style="3"/>
    <col min="14081" max="14081" width="14" style="3" customWidth="1"/>
    <col min="14082" max="14087" width="10.140625" style="3" customWidth="1"/>
    <col min="14088" max="14336" width="9.140625" style="3"/>
    <col min="14337" max="14337" width="14" style="3" customWidth="1"/>
    <col min="14338" max="14343" width="10.140625" style="3" customWidth="1"/>
    <col min="14344" max="14592" width="9.140625" style="3"/>
    <col min="14593" max="14593" width="14" style="3" customWidth="1"/>
    <col min="14594" max="14599" width="10.140625" style="3" customWidth="1"/>
    <col min="14600" max="14848" width="9.140625" style="3"/>
    <col min="14849" max="14849" width="14" style="3" customWidth="1"/>
    <col min="14850" max="14855" width="10.140625" style="3" customWidth="1"/>
    <col min="14856" max="15104" width="9.140625" style="3"/>
    <col min="15105" max="15105" width="14" style="3" customWidth="1"/>
    <col min="15106" max="15111" width="10.140625" style="3" customWidth="1"/>
    <col min="15112" max="15360" width="9.140625" style="3"/>
    <col min="15361" max="15361" width="14" style="3" customWidth="1"/>
    <col min="15362" max="15367" width="10.140625" style="3" customWidth="1"/>
    <col min="15368" max="15616" width="9.140625" style="3"/>
    <col min="15617" max="15617" width="14" style="3" customWidth="1"/>
    <col min="15618" max="15623" width="10.140625" style="3" customWidth="1"/>
    <col min="15624" max="15872" width="9.140625" style="3"/>
    <col min="15873" max="15873" width="14" style="3" customWidth="1"/>
    <col min="15874" max="15879" width="10.140625" style="3" customWidth="1"/>
    <col min="15880" max="16128" width="9.140625" style="3"/>
    <col min="16129" max="16129" width="14" style="3" customWidth="1"/>
    <col min="16130" max="16135" width="10.140625" style="3" customWidth="1"/>
    <col min="16136" max="16384" width="9.140625" style="3"/>
  </cols>
  <sheetData>
    <row r="1" spans="1:15" ht="15">
      <c r="A1" s="2" t="str">
        <f>+'Cover Page'!$B$29</f>
        <v>Annual Performance Report 2022</v>
      </c>
      <c r="B1" s="2"/>
      <c r="C1" s="2"/>
      <c r="D1" s="2"/>
      <c r="E1" s="2" t="str">
        <f>+'Cover Page'!$B$33</f>
        <v>Fine Environmental Services</v>
      </c>
    </row>
    <row r="3" spans="1:15" ht="15">
      <c r="A3" s="121" t="s">
        <v>405</v>
      </c>
    </row>
    <row r="5" spans="1:15" ht="17.25">
      <c r="A5" s="129" t="s">
        <v>361</v>
      </c>
      <c r="B5" s="300" t="s">
        <v>362</v>
      </c>
      <c r="C5" s="300"/>
      <c r="D5" s="300"/>
      <c r="E5" s="300" t="s">
        <v>363</v>
      </c>
      <c r="F5" s="300"/>
      <c r="G5" s="300"/>
      <c r="J5" s="299" t="str">
        <f>+A3</f>
        <v xml:space="preserve">Monitoring of Ammnonia emissions </v>
      </c>
      <c r="K5" s="299"/>
      <c r="L5" s="299"/>
      <c r="M5" s="299"/>
      <c r="N5" s="299"/>
      <c r="O5" s="299"/>
    </row>
    <row r="6" spans="1:15" s="119" customFormat="1" ht="37.5" customHeight="1">
      <c r="A6" s="126">
        <f>+'Cover Page'!C39</f>
        <v>2022</v>
      </c>
      <c r="B6" s="115" t="s">
        <v>406</v>
      </c>
      <c r="C6" s="115" t="s">
        <v>365</v>
      </c>
      <c r="D6" s="115" t="s">
        <v>366</v>
      </c>
      <c r="E6" s="115" t="s">
        <v>407</v>
      </c>
      <c r="F6" s="115" t="s">
        <v>368</v>
      </c>
      <c r="G6" s="115" t="s">
        <v>369</v>
      </c>
      <c r="H6" s="120"/>
      <c r="J6" s="122">
        <f>+A6</f>
        <v>2022</v>
      </c>
      <c r="K6" s="122" t="s">
        <v>370</v>
      </c>
      <c r="L6" s="128" t="s">
        <v>365</v>
      </c>
      <c r="M6" s="128" t="s">
        <v>366</v>
      </c>
      <c r="N6" s="128" t="s">
        <v>368</v>
      </c>
      <c r="O6" s="128" t="s">
        <v>369</v>
      </c>
    </row>
    <row r="7" spans="1:15">
      <c r="A7" s="127" t="s">
        <v>371</v>
      </c>
      <c r="B7" s="130">
        <v>0</v>
      </c>
      <c r="C7" s="125">
        <v>0.3</v>
      </c>
      <c r="D7" s="125">
        <v>3.23</v>
      </c>
      <c r="E7" s="130">
        <v>10</v>
      </c>
      <c r="F7" s="125">
        <v>0.3</v>
      </c>
      <c r="G7" s="125">
        <v>1.17</v>
      </c>
      <c r="J7" s="298" t="s">
        <v>168</v>
      </c>
      <c r="K7" s="127" t="s">
        <v>371</v>
      </c>
      <c r="L7" s="125">
        <v>0.3</v>
      </c>
      <c r="M7" s="125">
        <v>3.23</v>
      </c>
      <c r="N7" s="125">
        <v>0.3</v>
      </c>
      <c r="O7" s="125">
        <v>1.17</v>
      </c>
    </row>
    <row r="8" spans="1:15">
      <c r="A8" s="127" t="s">
        <v>372</v>
      </c>
      <c r="B8" s="124">
        <f>+B7</f>
        <v>0</v>
      </c>
      <c r="C8" s="125">
        <v>0.45</v>
      </c>
      <c r="D8" s="125">
        <v>5.0999999999999996</v>
      </c>
      <c r="E8" s="124">
        <f>+E7</f>
        <v>10</v>
      </c>
      <c r="F8" s="125">
        <v>0.45</v>
      </c>
      <c r="G8" s="125">
        <v>3.01</v>
      </c>
      <c r="J8" s="298"/>
      <c r="K8" s="127" t="s">
        <v>372</v>
      </c>
      <c r="L8" s="125">
        <v>0.45</v>
      </c>
      <c r="M8" s="125">
        <v>5.0999999999999996</v>
      </c>
      <c r="N8" s="125">
        <v>0.45</v>
      </c>
      <c r="O8" s="125">
        <v>3.01</v>
      </c>
    </row>
    <row r="9" spans="1:15">
      <c r="A9" s="127" t="s">
        <v>373</v>
      </c>
      <c r="B9" s="124">
        <f t="shared" ref="B9:B18" si="0">+B8</f>
        <v>0</v>
      </c>
      <c r="C9" s="125">
        <v>0.02</v>
      </c>
      <c r="D9" s="125">
        <v>0.9</v>
      </c>
      <c r="E9" s="124">
        <f t="shared" ref="E9:E18" si="1">+E8</f>
        <v>10</v>
      </c>
      <c r="F9" s="125">
        <v>1.7000000000000001E-2</v>
      </c>
      <c r="G9" s="125">
        <v>0.06</v>
      </c>
      <c r="J9" s="298"/>
      <c r="K9" s="127" t="s">
        <v>373</v>
      </c>
      <c r="L9" s="125">
        <v>0.02</v>
      </c>
      <c r="M9" s="125">
        <v>0.9</v>
      </c>
      <c r="N9" s="125">
        <v>1.7000000000000001E-2</v>
      </c>
      <c r="O9" s="125">
        <v>0.06</v>
      </c>
    </row>
    <row r="10" spans="1:15">
      <c r="A10" s="127" t="s">
        <v>374</v>
      </c>
      <c r="B10" s="124">
        <f t="shared" si="0"/>
        <v>0</v>
      </c>
      <c r="C10" s="125">
        <v>3.5999999999999997E-2</v>
      </c>
      <c r="D10" s="125">
        <v>0.6</v>
      </c>
      <c r="E10" s="124">
        <f t="shared" si="1"/>
        <v>10</v>
      </c>
      <c r="F10" s="125">
        <v>3.6999999999999998E-2</v>
      </c>
      <c r="G10" s="125">
        <v>0.18</v>
      </c>
      <c r="J10" s="298"/>
      <c r="K10" s="127" t="s">
        <v>374</v>
      </c>
      <c r="L10" s="125">
        <v>3.5999999999999997E-2</v>
      </c>
      <c r="M10" s="125">
        <v>0.6</v>
      </c>
      <c r="N10" s="125">
        <v>3.6999999999999998E-2</v>
      </c>
      <c r="O10" s="125">
        <v>0.18</v>
      </c>
    </row>
    <row r="11" spans="1:15">
      <c r="A11" s="127" t="s">
        <v>375</v>
      </c>
      <c r="B11" s="124">
        <f t="shared" si="0"/>
        <v>0</v>
      </c>
      <c r="C11" s="125">
        <v>0.12</v>
      </c>
      <c r="D11" s="125">
        <v>1.9</v>
      </c>
      <c r="E11" s="124">
        <f t="shared" si="1"/>
        <v>10</v>
      </c>
      <c r="F11" s="125">
        <v>0.12</v>
      </c>
      <c r="G11" s="125">
        <v>0.69</v>
      </c>
      <c r="J11" s="298"/>
      <c r="K11" s="127" t="s">
        <v>375</v>
      </c>
      <c r="L11" s="125">
        <v>0.12</v>
      </c>
      <c r="M11" s="125">
        <v>1.9</v>
      </c>
      <c r="N11" s="125">
        <v>0.12</v>
      </c>
      <c r="O11" s="125">
        <v>0.69</v>
      </c>
    </row>
    <row r="12" spans="1:15">
      <c r="A12" s="127" t="s">
        <v>376</v>
      </c>
      <c r="B12" s="124">
        <f t="shared" si="0"/>
        <v>0</v>
      </c>
      <c r="C12" s="125">
        <v>0.15</v>
      </c>
      <c r="D12" s="125">
        <v>2.2000000000000002</v>
      </c>
      <c r="E12" s="124">
        <f t="shared" si="1"/>
        <v>10</v>
      </c>
      <c r="F12" s="125">
        <v>0.15</v>
      </c>
      <c r="G12" s="125">
        <v>0.97</v>
      </c>
      <c r="J12" s="298"/>
      <c r="K12" s="127" t="s">
        <v>376</v>
      </c>
      <c r="L12" s="125">
        <v>0.15</v>
      </c>
      <c r="M12" s="125">
        <v>2.2000000000000002</v>
      </c>
      <c r="N12" s="125">
        <v>0.15</v>
      </c>
      <c r="O12" s="125">
        <v>0.97</v>
      </c>
    </row>
    <row r="13" spans="1:15">
      <c r="A13" s="127" t="s">
        <v>377</v>
      </c>
      <c r="B13" s="124">
        <f t="shared" si="0"/>
        <v>0</v>
      </c>
      <c r="C13" s="125">
        <v>7.0000000000000007E-2</v>
      </c>
      <c r="D13" s="125">
        <v>3.1</v>
      </c>
      <c r="E13" s="124">
        <f t="shared" si="1"/>
        <v>10</v>
      </c>
      <c r="F13" s="125">
        <v>7.0000000000000007E-2</v>
      </c>
      <c r="G13" s="125">
        <v>0.9</v>
      </c>
      <c r="J13" s="298"/>
      <c r="K13" s="127" t="s">
        <v>377</v>
      </c>
      <c r="L13" s="125">
        <v>7.0000000000000007E-2</v>
      </c>
      <c r="M13" s="125">
        <v>3.1</v>
      </c>
      <c r="N13" s="125">
        <v>7.0000000000000007E-2</v>
      </c>
      <c r="O13" s="125">
        <v>0.9</v>
      </c>
    </row>
    <row r="14" spans="1:15">
      <c r="A14" s="127" t="s">
        <v>378</v>
      </c>
      <c r="B14" s="124">
        <f t="shared" si="0"/>
        <v>0</v>
      </c>
      <c r="C14" s="125">
        <v>0.03</v>
      </c>
      <c r="D14" s="125">
        <v>1.2</v>
      </c>
      <c r="E14" s="124">
        <f t="shared" si="1"/>
        <v>10</v>
      </c>
      <c r="F14" s="125">
        <v>0.03</v>
      </c>
      <c r="G14" s="125">
        <v>0.21</v>
      </c>
      <c r="J14" s="298"/>
      <c r="K14" s="127" t="s">
        <v>378</v>
      </c>
      <c r="L14" s="125">
        <v>0.03</v>
      </c>
      <c r="M14" s="125">
        <v>1.2</v>
      </c>
      <c r="N14" s="125">
        <v>0.03</v>
      </c>
      <c r="O14" s="125">
        <v>0.21</v>
      </c>
    </row>
    <row r="15" spans="1:15">
      <c r="A15" s="127" t="s">
        <v>379</v>
      </c>
      <c r="B15" s="124">
        <f t="shared" si="0"/>
        <v>0</v>
      </c>
      <c r="C15" s="125">
        <v>0.2</v>
      </c>
      <c r="D15" s="125">
        <v>3.6</v>
      </c>
      <c r="E15" s="124">
        <f t="shared" si="1"/>
        <v>10</v>
      </c>
      <c r="F15" s="125">
        <v>0.19</v>
      </c>
      <c r="G15" s="125">
        <v>1.47</v>
      </c>
      <c r="J15" s="298"/>
      <c r="K15" s="127" t="s">
        <v>379</v>
      </c>
      <c r="L15" s="125">
        <v>0.2</v>
      </c>
      <c r="M15" s="125">
        <v>3.6</v>
      </c>
      <c r="N15" s="125">
        <v>0.19</v>
      </c>
      <c r="O15" s="125">
        <v>1.47</v>
      </c>
    </row>
    <row r="16" spans="1:15">
      <c r="A16" s="127" t="s">
        <v>380</v>
      </c>
      <c r="B16" s="124">
        <f t="shared" si="0"/>
        <v>0</v>
      </c>
      <c r="C16" s="125">
        <v>0.23</v>
      </c>
      <c r="D16" s="125">
        <v>2.1</v>
      </c>
      <c r="E16" s="124">
        <f t="shared" si="1"/>
        <v>10</v>
      </c>
      <c r="F16" s="125">
        <v>0.22</v>
      </c>
      <c r="G16" s="125">
        <v>1.08</v>
      </c>
      <c r="J16" s="298"/>
      <c r="K16" s="127" t="s">
        <v>380</v>
      </c>
      <c r="L16" s="125">
        <v>0.23</v>
      </c>
      <c r="M16" s="125">
        <v>2.1</v>
      </c>
      <c r="N16" s="125">
        <v>0.22</v>
      </c>
      <c r="O16" s="125">
        <v>1.08</v>
      </c>
    </row>
    <row r="17" spans="1:15">
      <c r="A17" s="127" t="s">
        <v>381</v>
      </c>
      <c r="B17" s="124">
        <f t="shared" si="0"/>
        <v>0</v>
      </c>
      <c r="C17" s="125">
        <v>0.23</v>
      </c>
      <c r="D17" s="125">
        <v>3.4</v>
      </c>
      <c r="E17" s="124">
        <f t="shared" si="1"/>
        <v>10</v>
      </c>
      <c r="F17" s="125">
        <v>0.24</v>
      </c>
      <c r="G17" s="125">
        <v>1.0900000000000001</v>
      </c>
      <c r="J17" s="298"/>
      <c r="K17" s="127" t="s">
        <v>381</v>
      </c>
      <c r="L17" s="125">
        <v>0.23</v>
      </c>
      <c r="M17" s="125">
        <v>3.4</v>
      </c>
      <c r="N17" s="125">
        <v>0.24</v>
      </c>
      <c r="O17" s="125">
        <v>1.0900000000000001</v>
      </c>
    </row>
    <row r="18" spans="1:15">
      <c r="A18" s="127" t="s">
        <v>382</v>
      </c>
      <c r="B18" s="124">
        <f t="shared" si="0"/>
        <v>0</v>
      </c>
      <c r="C18" s="125"/>
      <c r="D18" s="125"/>
      <c r="E18" s="124">
        <f t="shared" si="1"/>
        <v>10</v>
      </c>
      <c r="F18" s="125"/>
      <c r="G18" s="125"/>
      <c r="J18" s="298"/>
      <c r="K18" s="127" t="s">
        <v>382</v>
      </c>
      <c r="L18" s="125"/>
      <c r="M18" s="125"/>
      <c r="N18" s="125"/>
      <c r="O18" s="125"/>
    </row>
    <row r="19" spans="1:15">
      <c r="J19" s="298"/>
      <c r="K19" s="123" t="s">
        <v>383</v>
      </c>
      <c r="L19" s="123">
        <f>AVERAGE(L7:L18)</f>
        <v>0.16690909090909092</v>
      </c>
      <c r="M19" s="123">
        <f>MAX(M7:M18)</f>
        <v>5.0999999999999996</v>
      </c>
      <c r="N19" s="123">
        <f>AVERAGE(N7:N18)</f>
        <v>0.16581818181818184</v>
      </c>
      <c r="O19" s="123">
        <f>MAX(O7:O18)</f>
        <v>3.01</v>
      </c>
    </row>
    <row r="21" spans="1:15" ht="30">
      <c r="J21" s="122">
        <f>+A6</f>
        <v>2022</v>
      </c>
      <c r="K21" s="122" t="s">
        <v>370</v>
      </c>
      <c r="L21" s="128" t="s">
        <v>365</v>
      </c>
      <c r="M21" s="128" t="s">
        <v>366</v>
      </c>
      <c r="N21" s="128" t="s">
        <v>368</v>
      </c>
      <c r="O21" s="128" t="s">
        <v>369</v>
      </c>
    </row>
    <row r="22" spans="1:15">
      <c r="J22" s="298" t="s">
        <v>169</v>
      </c>
      <c r="K22" s="127" t="s">
        <v>371</v>
      </c>
      <c r="L22" s="125"/>
      <c r="M22" s="125"/>
      <c r="N22" s="125"/>
      <c r="O22" s="125"/>
    </row>
    <row r="23" spans="1:15">
      <c r="J23" s="298"/>
      <c r="K23" s="127" t="s">
        <v>372</v>
      </c>
      <c r="L23" s="125"/>
      <c r="M23" s="125"/>
      <c r="N23" s="125"/>
      <c r="O23" s="125"/>
    </row>
    <row r="24" spans="1:15">
      <c r="J24" s="298"/>
      <c r="K24" s="127" t="s">
        <v>373</v>
      </c>
      <c r="L24" s="125"/>
      <c r="M24" s="125"/>
      <c r="N24" s="125"/>
      <c r="O24" s="125"/>
    </row>
    <row r="25" spans="1:15">
      <c r="J25" s="298"/>
      <c r="K25" s="127" t="s">
        <v>374</v>
      </c>
      <c r="L25" s="125"/>
      <c r="M25" s="125"/>
      <c r="N25" s="125"/>
      <c r="O25" s="125"/>
    </row>
    <row r="26" spans="1:15">
      <c r="J26" s="298"/>
      <c r="K26" s="127" t="s">
        <v>375</v>
      </c>
      <c r="L26" s="125"/>
      <c r="M26" s="125"/>
      <c r="N26" s="125"/>
      <c r="O26" s="125"/>
    </row>
    <row r="27" spans="1:15">
      <c r="J27" s="298"/>
      <c r="K27" s="127" t="s">
        <v>376</v>
      </c>
      <c r="L27" s="125"/>
      <c r="M27" s="125"/>
      <c r="N27" s="125"/>
      <c r="O27" s="125"/>
    </row>
    <row r="28" spans="1:15">
      <c r="J28" s="298"/>
      <c r="K28" s="127" t="s">
        <v>377</v>
      </c>
      <c r="L28" s="125"/>
      <c r="M28" s="125"/>
      <c r="N28" s="125"/>
      <c r="O28" s="125"/>
    </row>
    <row r="29" spans="1:15">
      <c r="J29" s="298"/>
      <c r="K29" s="127" t="s">
        <v>378</v>
      </c>
      <c r="L29" s="125"/>
      <c r="M29" s="125"/>
      <c r="N29" s="125"/>
      <c r="O29" s="125"/>
    </row>
    <row r="30" spans="1:15">
      <c r="J30" s="298"/>
      <c r="K30" s="127" t="s">
        <v>379</v>
      </c>
      <c r="L30" s="125"/>
      <c r="M30" s="125"/>
      <c r="N30" s="125"/>
      <c r="O30" s="125"/>
    </row>
    <row r="31" spans="1:15">
      <c r="J31" s="298"/>
      <c r="K31" s="127" t="s">
        <v>380</v>
      </c>
      <c r="L31" s="125"/>
      <c r="M31" s="125"/>
      <c r="N31" s="125"/>
      <c r="O31" s="125"/>
    </row>
    <row r="32" spans="1:15">
      <c r="J32" s="298"/>
      <c r="K32" s="127" t="s">
        <v>381</v>
      </c>
      <c r="L32" s="125"/>
      <c r="M32" s="125"/>
      <c r="N32" s="125"/>
      <c r="O32" s="125"/>
    </row>
    <row r="33" spans="1:15">
      <c r="J33" s="298"/>
      <c r="K33" s="127" t="s">
        <v>382</v>
      </c>
      <c r="L33" s="125"/>
      <c r="M33" s="125"/>
      <c r="N33" s="125"/>
      <c r="O33" s="125"/>
    </row>
    <row r="34" spans="1:15">
      <c r="J34" s="298"/>
      <c r="K34" s="123" t="s">
        <v>383</v>
      </c>
      <c r="L34" s="123" t="e">
        <f>AVERAGE(L22:L33)</f>
        <v>#DIV/0!</v>
      </c>
      <c r="M34" s="123">
        <f>MAX(M22:M33)</f>
        <v>0</v>
      </c>
      <c r="N34" s="123" t="e">
        <f>AVERAGE(N22:N33)</f>
        <v>#DIV/0!</v>
      </c>
      <c r="O34" s="123">
        <f>MAX(O22:O33)</f>
        <v>0</v>
      </c>
    </row>
    <row r="36" spans="1:15" ht="30">
      <c r="J36" s="122">
        <f>+A6</f>
        <v>2022</v>
      </c>
      <c r="K36" s="122" t="s">
        <v>370</v>
      </c>
      <c r="L36" s="128" t="s">
        <v>365</v>
      </c>
      <c r="M36" s="128" t="s">
        <v>366</v>
      </c>
      <c r="N36" s="128" t="s">
        <v>368</v>
      </c>
      <c r="O36" s="128" t="s">
        <v>369</v>
      </c>
    </row>
    <row r="37" spans="1:15">
      <c r="J37" s="298" t="s">
        <v>170</v>
      </c>
      <c r="K37" s="127" t="s">
        <v>371</v>
      </c>
      <c r="L37" s="125"/>
      <c r="M37" s="125"/>
      <c r="N37" s="125"/>
      <c r="O37" s="125"/>
    </row>
    <row r="38" spans="1:15">
      <c r="J38" s="298"/>
      <c r="K38" s="127" t="s">
        <v>372</v>
      </c>
      <c r="L38" s="125"/>
      <c r="M38" s="125"/>
      <c r="N38" s="125"/>
      <c r="O38" s="125"/>
    </row>
    <row r="39" spans="1:15">
      <c r="J39" s="298"/>
      <c r="K39" s="127" t="s">
        <v>373</v>
      </c>
      <c r="L39" s="125"/>
      <c r="M39" s="125"/>
      <c r="N39" s="125"/>
      <c r="O39" s="125"/>
    </row>
    <row r="40" spans="1:15">
      <c r="J40" s="298"/>
      <c r="K40" s="127" t="s">
        <v>374</v>
      </c>
      <c r="L40" s="125"/>
      <c r="M40" s="125"/>
      <c r="N40" s="125"/>
      <c r="O40" s="125"/>
    </row>
    <row r="41" spans="1:15">
      <c r="J41" s="298"/>
      <c r="K41" s="127" t="s">
        <v>375</v>
      </c>
      <c r="L41" s="125"/>
      <c r="M41" s="125"/>
      <c r="N41" s="125"/>
      <c r="O41" s="125"/>
    </row>
    <row r="42" spans="1:15">
      <c r="J42" s="298"/>
      <c r="K42" s="127" t="s">
        <v>376</v>
      </c>
      <c r="L42" s="125"/>
      <c r="M42" s="125"/>
      <c r="N42" s="125"/>
      <c r="O42" s="125"/>
    </row>
    <row r="43" spans="1:15">
      <c r="J43" s="298"/>
      <c r="K43" s="127" t="s">
        <v>377</v>
      </c>
      <c r="L43" s="125"/>
      <c r="M43" s="125"/>
      <c r="N43" s="125"/>
      <c r="O43" s="125"/>
    </row>
    <row r="44" spans="1:15">
      <c r="J44" s="298"/>
      <c r="K44" s="127" t="s">
        <v>378</v>
      </c>
      <c r="L44" s="125"/>
      <c r="M44" s="125"/>
      <c r="N44" s="125"/>
      <c r="O44" s="125"/>
    </row>
    <row r="45" spans="1:15">
      <c r="J45" s="298"/>
      <c r="K45" s="127" t="s">
        <v>379</v>
      </c>
      <c r="L45" s="125"/>
      <c r="M45" s="125"/>
      <c r="N45" s="125"/>
      <c r="O45" s="125"/>
    </row>
    <row r="46" spans="1:15">
      <c r="J46" s="298"/>
      <c r="K46" s="127" t="s">
        <v>380</v>
      </c>
      <c r="L46" s="125"/>
      <c r="M46" s="125"/>
      <c r="N46" s="125"/>
      <c r="O46" s="125"/>
    </row>
    <row r="47" spans="1:15">
      <c r="J47" s="298"/>
      <c r="K47" s="127" t="s">
        <v>381</v>
      </c>
      <c r="L47" s="125"/>
      <c r="M47" s="125"/>
      <c r="N47" s="125"/>
      <c r="O47" s="125"/>
    </row>
    <row r="48" spans="1:15" ht="15">
      <c r="A48" s="310" t="s">
        <v>249</v>
      </c>
      <c r="B48" s="311"/>
      <c r="C48" s="311"/>
      <c r="D48" s="311"/>
      <c r="E48" s="311"/>
      <c r="F48" s="311"/>
      <c r="G48" s="312"/>
      <c r="J48" s="298"/>
      <c r="K48" s="127" t="s">
        <v>382</v>
      </c>
      <c r="L48" s="125"/>
      <c r="M48" s="125"/>
      <c r="N48" s="125"/>
      <c r="O48" s="125"/>
    </row>
    <row r="49" spans="1:15">
      <c r="A49" s="301" t="s">
        <v>384</v>
      </c>
      <c r="B49" s="302"/>
      <c r="C49" s="302"/>
      <c r="D49" s="302"/>
      <c r="E49" s="302"/>
      <c r="F49" s="302"/>
      <c r="G49" s="303"/>
      <c r="J49" s="298"/>
      <c r="K49" s="123" t="s">
        <v>383</v>
      </c>
      <c r="L49" s="123" t="e">
        <f>AVERAGE(L37:L48)</f>
        <v>#DIV/0!</v>
      </c>
      <c r="M49" s="123">
        <f>MAX(M37:M48)</f>
        <v>0</v>
      </c>
      <c r="N49" s="123" t="e">
        <f>AVERAGE(N37:N48)</f>
        <v>#DIV/0!</v>
      </c>
      <c r="O49" s="123">
        <f>MAX(O37:O48)</f>
        <v>0</v>
      </c>
    </row>
    <row r="50" spans="1:15">
      <c r="A50" s="304"/>
      <c r="B50" s="305"/>
      <c r="C50" s="305"/>
      <c r="D50" s="305"/>
      <c r="E50" s="305"/>
      <c r="F50" s="305"/>
      <c r="G50" s="306"/>
    </row>
    <row r="51" spans="1:15" ht="30">
      <c r="A51" s="304"/>
      <c r="B51" s="305"/>
      <c r="C51" s="305"/>
      <c r="D51" s="305"/>
      <c r="E51" s="305"/>
      <c r="F51" s="305"/>
      <c r="G51" s="306"/>
      <c r="J51" s="122">
        <f>+A6</f>
        <v>2022</v>
      </c>
      <c r="K51" s="122" t="s">
        <v>370</v>
      </c>
      <c r="L51" s="128" t="s">
        <v>365</v>
      </c>
      <c r="M51" s="128" t="s">
        <v>366</v>
      </c>
      <c r="N51" s="128" t="s">
        <v>368</v>
      </c>
      <c r="O51" s="128" t="s">
        <v>369</v>
      </c>
    </row>
    <row r="52" spans="1:15">
      <c r="A52" s="307"/>
      <c r="B52" s="308"/>
      <c r="C52" s="308"/>
      <c r="D52" s="308"/>
      <c r="E52" s="308"/>
      <c r="F52" s="308"/>
      <c r="G52" s="309"/>
      <c r="J52" s="298" t="s">
        <v>171</v>
      </c>
      <c r="K52" s="127" t="s">
        <v>371</v>
      </c>
      <c r="L52" s="125"/>
      <c r="M52" s="125"/>
      <c r="N52" s="125"/>
      <c r="O52" s="125"/>
    </row>
    <row r="53" spans="1:15">
      <c r="J53" s="298"/>
      <c r="K53" s="127" t="s">
        <v>372</v>
      </c>
      <c r="L53" s="125"/>
      <c r="M53" s="125"/>
      <c r="N53" s="125"/>
      <c r="O53" s="125"/>
    </row>
    <row r="54" spans="1:15">
      <c r="J54" s="298"/>
      <c r="K54" s="127" t="s">
        <v>373</v>
      </c>
      <c r="L54" s="125"/>
      <c r="M54" s="125"/>
      <c r="N54" s="125"/>
      <c r="O54" s="125"/>
    </row>
    <row r="55" spans="1:15">
      <c r="J55" s="298"/>
      <c r="K55" s="127" t="s">
        <v>374</v>
      </c>
      <c r="L55" s="125"/>
      <c r="M55" s="125"/>
      <c r="N55" s="125"/>
      <c r="O55" s="125"/>
    </row>
    <row r="56" spans="1:15">
      <c r="J56" s="298"/>
      <c r="K56" s="127" t="s">
        <v>375</v>
      </c>
      <c r="L56" s="125"/>
      <c r="M56" s="125"/>
      <c r="N56" s="125"/>
      <c r="O56" s="125"/>
    </row>
    <row r="57" spans="1:15">
      <c r="J57" s="298"/>
      <c r="K57" s="127" t="s">
        <v>376</v>
      </c>
      <c r="L57" s="125"/>
      <c r="M57" s="125"/>
      <c r="N57" s="125"/>
      <c r="O57" s="125"/>
    </row>
    <row r="58" spans="1:15">
      <c r="J58" s="298"/>
      <c r="K58" s="127" t="s">
        <v>377</v>
      </c>
      <c r="L58" s="125"/>
      <c r="M58" s="125"/>
      <c r="N58" s="125"/>
      <c r="O58" s="125"/>
    </row>
    <row r="59" spans="1:15">
      <c r="J59" s="298"/>
      <c r="K59" s="127" t="s">
        <v>378</v>
      </c>
      <c r="L59" s="125"/>
      <c r="M59" s="125"/>
      <c r="N59" s="125"/>
      <c r="O59" s="125"/>
    </row>
    <row r="60" spans="1:15">
      <c r="J60" s="298"/>
      <c r="K60" s="127" t="s">
        <v>379</v>
      </c>
      <c r="L60" s="125"/>
      <c r="M60" s="125"/>
      <c r="N60" s="125"/>
      <c r="O60" s="125"/>
    </row>
    <row r="61" spans="1:15">
      <c r="J61" s="298"/>
      <c r="K61" s="127" t="s">
        <v>380</v>
      </c>
      <c r="L61" s="125"/>
      <c r="M61" s="125"/>
      <c r="N61" s="125"/>
      <c r="O61" s="125"/>
    </row>
    <row r="62" spans="1:15">
      <c r="J62" s="298"/>
      <c r="K62" s="127" t="s">
        <v>381</v>
      </c>
      <c r="L62" s="125"/>
      <c r="M62" s="125"/>
      <c r="N62" s="125"/>
      <c r="O62" s="125"/>
    </row>
    <row r="63" spans="1:15">
      <c r="J63" s="298"/>
      <c r="K63" s="127" t="s">
        <v>382</v>
      </c>
      <c r="L63" s="125"/>
      <c r="M63" s="125"/>
      <c r="N63" s="125"/>
      <c r="O63" s="125"/>
    </row>
    <row r="64" spans="1:15">
      <c r="J64" s="298"/>
      <c r="K64" s="123" t="s">
        <v>383</v>
      </c>
      <c r="L64" s="123" t="e">
        <f>AVERAGE(L52:L63)</f>
        <v>#DIV/0!</v>
      </c>
      <c r="M64" s="123">
        <f>MAX(M52:M63)</f>
        <v>0</v>
      </c>
      <c r="N64" s="123" t="e">
        <f>AVERAGE(N52:N63)</f>
        <v>#DIV/0!</v>
      </c>
      <c r="O64" s="123">
        <f>MAX(O52:O63)</f>
        <v>0</v>
      </c>
    </row>
    <row r="66" spans="10:15" ht="30">
      <c r="J66" s="122">
        <f>+A6</f>
        <v>2022</v>
      </c>
      <c r="K66" s="122" t="s">
        <v>370</v>
      </c>
      <c r="L66" s="128" t="s">
        <v>365</v>
      </c>
      <c r="M66" s="128" t="s">
        <v>366</v>
      </c>
      <c r="N66" s="128" t="s">
        <v>368</v>
      </c>
      <c r="O66" s="128" t="s">
        <v>369</v>
      </c>
    </row>
    <row r="67" spans="10:15">
      <c r="J67" s="298" t="s">
        <v>172</v>
      </c>
      <c r="K67" s="127" t="s">
        <v>371</v>
      </c>
      <c r="L67" s="125"/>
      <c r="M67" s="125"/>
      <c r="N67" s="125"/>
      <c r="O67" s="125"/>
    </row>
    <row r="68" spans="10:15">
      <c r="J68" s="298"/>
      <c r="K68" s="127" t="s">
        <v>372</v>
      </c>
      <c r="L68" s="125"/>
      <c r="M68" s="125"/>
      <c r="N68" s="125"/>
      <c r="O68" s="125"/>
    </row>
    <row r="69" spans="10:15">
      <c r="J69" s="298"/>
      <c r="K69" s="127" t="s">
        <v>373</v>
      </c>
      <c r="L69" s="125"/>
      <c r="M69" s="125"/>
      <c r="N69" s="125"/>
      <c r="O69" s="125"/>
    </row>
    <row r="70" spans="10:15">
      <c r="J70" s="298"/>
      <c r="K70" s="127" t="s">
        <v>374</v>
      </c>
      <c r="L70" s="125"/>
      <c r="M70" s="125"/>
      <c r="N70" s="125"/>
      <c r="O70" s="125"/>
    </row>
    <row r="71" spans="10:15">
      <c r="J71" s="298"/>
      <c r="K71" s="127" t="s">
        <v>375</v>
      </c>
      <c r="L71" s="125"/>
      <c r="M71" s="125"/>
      <c r="N71" s="125"/>
      <c r="O71" s="125"/>
    </row>
    <row r="72" spans="10:15">
      <c r="J72" s="298"/>
      <c r="K72" s="127" t="s">
        <v>376</v>
      </c>
      <c r="L72" s="125"/>
      <c r="M72" s="125"/>
      <c r="N72" s="125"/>
      <c r="O72" s="125"/>
    </row>
    <row r="73" spans="10:15">
      <c r="J73" s="298"/>
      <c r="K73" s="127" t="s">
        <v>377</v>
      </c>
      <c r="L73" s="125"/>
      <c r="M73" s="125"/>
      <c r="N73" s="125"/>
      <c r="O73" s="125"/>
    </row>
    <row r="74" spans="10:15">
      <c r="J74" s="298"/>
      <c r="K74" s="127" t="s">
        <v>378</v>
      </c>
      <c r="L74" s="125"/>
      <c r="M74" s="125"/>
      <c r="N74" s="125"/>
      <c r="O74" s="125"/>
    </row>
    <row r="75" spans="10:15">
      <c r="J75" s="298"/>
      <c r="K75" s="127" t="s">
        <v>379</v>
      </c>
      <c r="L75" s="125"/>
      <c r="M75" s="125"/>
      <c r="N75" s="125"/>
      <c r="O75" s="125"/>
    </row>
    <row r="76" spans="10:15">
      <c r="J76" s="298"/>
      <c r="K76" s="127" t="s">
        <v>380</v>
      </c>
      <c r="L76" s="125"/>
      <c r="M76" s="125"/>
      <c r="N76" s="125"/>
      <c r="O76" s="125"/>
    </row>
    <row r="77" spans="10:15">
      <c r="J77" s="298"/>
      <c r="K77" s="127" t="s">
        <v>381</v>
      </c>
      <c r="L77" s="125"/>
      <c r="M77" s="125"/>
      <c r="N77" s="125"/>
      <c r="O77" s="125"/>
    </row>
    <row r="78" spans="10:15">
      <c r="J78" s="298"/>
      <c r="K78" s="127" t="s">
        <v>382</v>
      </c>
      <c r="L78" s="125"/>
      <c r="M78" s="125"/>
      <c r="N78" s="125"/>
      <c r="O78" s="125"/>
    </row>
    <row r="79" spans="10:15">
      <c r="J79" s="298"/>
      <c r="K79" s="123" t="s">
        <v>383</v>
      </c>
      <c r="L79" s="123" t="e">
        <f>AVERAGE(L67:L78)</f>
        <v>#DIV/0!</v>
      </c>
      <c r="M79" s="123">
        <f>MAX(M67:M78)</f>
        <v>0</v>
      </c>
      <c r="N79" s="123" t="e">
        <f>AVERAGE(N67:N78)</f>
        <v>#DIV/0!</v>
      </c>
      <c r="O79" s="123">
        <f>MAX(O67:O78)</f>
        <v>0</v>
      </c>
    </row>
  </sheetData>
  <mergeCells count="10">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3A65312-EDD8-4ED5-85CD-21EC9D2BFEF5}"/>
</file>

<file path=customXml/itemProps2.xml><?xml version="1.0" encoding="utf-8"?>
<ds:datastoreItem xmlns:ds="http://schemas.openxmlformats.org/officeDocument/2006/customXml" ds:itemID="{E89BAD47-80C1-4A5B-BE22-1499F913A07C}"/>
</file>

<file path=customXml/itemProps3.xml><?xml version="1.0" encoding="utf-8"?>
<ds:datastoreItem xmlns:ds="http://schemas.openxmlformats.org/officeDocument/2006/customXml" ds:itemID="{B3AFB2CB-9F35-4398-8DD3-9EAF5EBA56FF}"/>
</file>

<file path=customXml/itemProps4.xml><?xml version="1.0" encoding="utf-8"?>
<ds:datastoreItem xmlns:ds="http://schemas.openxmlformats.org/officeDocument/2006/customXml" ds:itemID="{130E79B3-286C-4594-AC93-4243D3FE78E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2023-05-12T09:25:58Z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0x010100BD8A178A7423BE4AA1B002849645AA76</vt:lpwstr>
  </property>
  <property fmtid="{D5CDD505-2E9C-101B-9397-08002B2CF9AE}" pid="3" name="InformationType">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ies>
</file>