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24"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East Anglia/"/>
    </mc:Choice>
  </mc:AlternateContent>
  <xr:revisionPtr revIDLastSave="1" documentId="13_ncr:1_{E0D4359A-8675-497F-8C99-CF91368E0BEF}" xr6:coauthVersionLast="47" xr6:coauthVersionMax="47" xr10:uidLastSave="{B51D3360-CECB-4A3D-B71F-758752DDB7AB}"/>
  <bookViews>
    <workbookView xWindow="-108" yWindow="-108" windowWidth="23256" windowHeight="12576"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TOC" sheetId="27" r:id="rId18"/>
    <sheet name="NOx" sheetId="26" r:id="rId19"/>
    <sheet name="Particulates" sheetId="28" r:id="rId20"/>
    <sheet name="CO 0.5hourly" sheetId="29" r:id="rId21"/>
    <sheet name="CO 95% 10 min" sheetId="30" state="hidden" r:id="rId22"/>
    <sheet name="NH3" sheetId="31" r:id="rId23"/>
  </sheets>
  <definedNames>
    <definedName name="_xlnm.Print_Area" localSheetId="14">'Air (CEMS)'!$A$1:$M$31</definedName>
    <definedName name="_xlnm.Print_Area" localSheetId="13">'Air (periodic)'!$A$1:$J$41</definedName>
    <definedName name="_xlnm.Print_Area" localSheetId="20">'CO 0.5hourly'!$A$1:$G$52</definedName>
    <definedName name="_xlnm.Print_Area" localSheetId="21">'CO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2">'NH3'!$A$1:$G$52</definedName>
    <definedName name="_xlnm.Print_Area" localSheetId="18">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6">'SO2'!$A$1:$G$52</definedName>
    <definedName name="_xlnm.Print_Area" localSheetId="17">TOC!$A$1:$G$52</definedName>
    <definedName name="_xlnm.Print_Area" localSheetId="12">Water!$A$1:$I$30</definedName>
  </definedNames>
  <calcPr calcId="191028"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9" i="13" l="1"/>
  <c r="A1" i="13"/>
  <c r="C1" i="32"/>
  <c r="A1" i="32"/>
  <c r="I19" i="7"/>
  <c r="I20" i="7"/>
  <c r="I21" i="7"/>
  <c r="I22" i="7"/>
  <c r="I18" i="7"/>
  <c r="I12" i="7"/>
  <c r="I13" i="7"/>
  <c r="I14" i="7"/>
  <c r="I11" i="7"/>
  <c r="C18" i="6"/>
  <c r="C21" i="6"/>
  <c r="H61" i="6"/>
  <c r="G13" i="6"/>
  <c r="H13" i="6"/>
  <c r="G45" i="6"/>
  <c r="H45" i="6"/>
  <c r="J3" i="31"/>
  <c r="J3" i="30"/>
  <c r="J3" i="29"/>
  <c r="J3" i="28"/>
  <c r="J3" i="27"/>
  <c r="J3" i="26"/>
  <c r="J3" i="25"/>
  <c r="J3" i="13"/>
  <c r="G19" i="6"/>
  <c r="G57" i="6"/>
  <c r="G59" i="6"/>
  <c r="G65" i="6"/>
  <c r="G64" i="6"/>
  <c r="H64" i="6"/>
  <c r="G63" i="6"/>
  <c r="G61" i="6"/>
  <c r="G53" i="6"/>
  <c r="G54" i="6"/>
  <c r="G55" i="6"/>
  <c r="G56" i="6"/>
  <c r="G60" i="6"/>
  <c r="G58" i="6"/>
  <c r="D18" i="6"/>
  <c r="D21" i="6"/>
  <c r="E18" i="6"/>
  <c r="E21" i="6"/>
  <c r="F18" i="6"/>
  <c r="F21" i="6"/>
  <c r="G21" i="6"/>
  <c r="E1" i="31"/>
  <c r="A1" i="31"/>
  <c r="E1" i="30"/>
  <c r="A1" i="30"/>
  <c r="E1" i="29"/>
  <c r="A1" i="29"/>
  <c r="E1" i="28"/>
  <c r="A1" i="28"/>
  <c r="E1" i="27"/>
  <c r="A1" i="27"/>
  <c r="E1" i="26"/>
  <c r="A1" i="26"/>
  <c r="E1" i="25"/>
  <c r="A1" i="25"/>
  <c r="E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c r="E10" i="31"/>
  <c r="E11" i="31"/>
  <c r="E12" i="31"/>
  <c r="E13" i="31"/>
  <c r="E14" i="31"/>
  <c r="E15" i="31"/>
  <c r="E16" i="31"/>
  <c r="E17" i="31"/>
  <c r="E18" i="31"/>
  <c r="B8" i="31"/>
  <c r="B9" i="31"/>
  <c r="B10" i="31"/>
  <c r="B11" i="31"/>
  <c r="B12" i="31"/>
  <c r="B13" i="31"/>
  <c r="B14" i="31"/>
  <c r="B15" i="31"/>
  <c r="B16" i="31"/>
  <c r="B17" i="31"/>
  <c r="B18" i="31"/>
  <c r="A6" i="31"/>
  <c r="J51" i="31"/>
  <c r="Q79" i="30"/>
  <c r="P79" i="30"/>
  <c r="O79" i="30"/>
  <c r="M79" i="30"/>
  <c r="Q64" i="30"/>
  <c r="P64" i="30"/>
  <c r="O64" i="30"/>
  <c r="M64" i="30"/>
  <c r="Q49" i="30"/>
  <c r="P49" i="30"/>
  <c r="O49" i="30"/>
  <c r="M49" i="30"/>
  <c r="Q34" i="30"/>
  <c r="P34" i="30"/>
  <c r="O34" i="30"/>
  <c r="M34" i="30"/>
  <c r="Q19" i="30"/>
  <c r="P19" i="30"/>
  <c r="O19" i="30"/>
  <c r="M19" i="30"/>
  <c r="F8" i="30"/>
  <c r="F9" i="30"/>
  <c r="F10" i="30"/>
  <c r="F11" i="30"/>
  <c r="F12" i="30"/>
  <c r="F13" i="30"/>
  <c r="F14" i="30"/>
  <c r="F15" i="30"/>
  <c r="F16" i="30"/>
  <c r="F17" i="30"/>
  <c r="F18" i="30"/>
  <c r="B8" i="30"/>
  <c r="B9" i="30"/>
  <c r="B10" i="30"/>
  <c r="B11" i="30"/>
  <c r="B12" i="30"/>
  <c r="B13" i="30"/>
  <c r="B14" i="30"/>
  <c r="B15" i="30"/>
  <c r="B16" i="30"/>
  <c r="B17" i="30"/>
  <c r="B18" i="30"/>
  <c r="A6" i="30"/>
  <c r="K66" i="30"/>
  <c r="E8" i="29"/>
  <c r="E9" i="29"/>
  <c r="E10" i="29"/>
  <c r="E11" i="29"/>
  <c r="E12" i="29"/>
  <c r="E13" i="29"/>
  <c r="E14" i="29"/>
  <c r="E15" i="29"/>
  <c r="E16" i="29"/>
  <c r="E17" i="29"/>
  <c r="E18" i="29"/>
  <c r="B8" i="29"/>
  <c r="B9" i="29"/>
  <c r="B10" i="29"/>
  <c r="B11" i="29"/>
  <c r="B12" i="29"/>
  <c r="B13" i="29"/>
  <c r="B14" i="29"/>
  <c r="B15" i="29"/>
  <c r="B16" i="29"/>
  <c r="B17" i="29"/>
  <c r="B18" i="29"/>
  <c r="O79" i="29"/>
  <c r="N79" i="29"/>
  <c r="M79" i="29"/>
  <c r="L79" i="29"/>
  <c r="O64" i="29"/>
  <c r="N64" i="29"/>
  <c r="M64" i="29"/>
  <c r="L64" i="29"/>
  <c r="O49" i="29"/>
  <c r="N49" i="29"/>
  <c r="M49" i="29"/>
  <c r="L49" i="29"/>
  <c r="O34" i="29"/>
  <c r="N34" i="29"/>
  <c r="M34" i="29"/>
  <c r="L34" i="29"/>
  <c r="O19" i="29"/>
  <c r="N19" i="29"/>
  <c r="M19" i="29"/>
  <c r="L19" i="29"/>
  <c r="A6" i="29"/>
  <c r="J66" i="29"/>
  <c r="O79" i="28"/>
  <c r="N79" i="28"/>
  <c r="M79" i="28"/>
  <c r="L79" i="28"/>
  <c r="O64" i="28"/>
  <c r="N64" i="28"/>
  <c r="M64" i="28"/>
  <c r="L64" i="28"/>
  <c r="O49" i="28"/>
  <c r="N49" i="28"/>
  <c r="M49" i="28"/>
  <c r="L49" i="28"/>
  <c r="O34" i="28"/>
  <c r="N34" i="28"/>
  <c r="M34" i="28"/>
  <c r="L34" i="28"/>
  <c r="O19" i="28"/>
  <c r="N19" i="28"/>
  <c r="M19" i="28"/>
  <c r="L19" i="28"/>
  <c r="A6" i="28"/>
  <c r="J66" i="28"/>
  <c r="O79" i="27"/>
  <c r="N79" i="27"/>
  <c r="M79" i="27"/>
  <c r="L79" i="27"/>
  <c r="O64" i="27"/>
  <c r="N64" i="27"/>
  <c r="M64" i="27"/>
  <c r="L64" i="27"/>
  <c r="O49" i="27"/>
  <c r="N49" i="27"/>
  <c r="M49" i="27"/>
  <c r="L49" i="27"/>
  <c r="O34" i="27"/>
  <c r="N34" i="27"/>
  <c r="M34" i="27"/>
  <c r="L34" i="27"/>
  <c r="O19" i="27"/>
  <c r="N19" i="27"/>
  <c r="M19" i="27"/>
  <c r="L19" i="27"/>
  <c r="A6" i="27"/>
  <c r="J66" i="27"/>
  <c r="O79" i="26"/>
  <c r="N79" i="26"/>
  <c r="M79" i="26"/>
  <c r="L79" i="26"/>
  <c r="O64" i="26"/>
  <c r="N64" i="26"/>
  <c r="M64" i="26"/>
  <c r="L64" i="26"/>
  <c r="O49" i="26"/>
  <c r="N49" i="26"/>
  <c r="M49" i="26"/>
  <c r="L49" i="26"/>
  <c r="O34" i="26"/>
  <c r="N34" i="26"/>
  <c r="M34" i="26"/>
  <c r="L34" i="26"/>
  <c r="O19" i="26"/>
  <c r="N19" i="26"/>
  <c r="M19" i="26"/>
  <c r="L19" i="26"/>
  <c r="A6" i="26"/>
  <c r="J66" i="26"/>
  <c r="O79" i="25"/>
  <c r="N79" i="25"/>
  <c r="M79" i="25"/>
  <c r="L79" i="25"/>
  <c r="O64" i="25"/>
  <c r="N64" i="25"/>
  <c r="M64" i="25"/>
  <c r="L64" i="25"/>
  <c r="O49" i="25"/>
  <c r="N49" i="25"/>
  <c r="M49" i="25"/>
  <c r="L49" i="25"/>
  <c r="O34" i="25"/>
  <c r="N34" i="25"/>
  <c r="M34" i="25"/>
  <c r="L34" i="25"/>
  <c r="O19" i="25"/>
  <c r="N19" i="25"/>
  <c r="M19" i="25"/>
  <c r="L19" i="25"/>
  <c r="A6" i="25"/>
  <c r="J66" i="25"/>
  <c r="O79" i="13"/>
  <c r="N79" i="13"/>
  <c r="M79" i="13"/>
  <c r="L79" i="13"/>
  <c r="O64" i="13"/>
  <c r="N64" i="13"/>
  <c r="M64" i="13"/>
  <c r="L64" i="13"/>
  <c r="O49" i="13"/>
  <c r="N49" i="13"/>
  <c r="M49" i="13"/>
  <c r="L49" i="13"/>
  <c r="O34" i="13"/>
  <c r="N34" i="13"/>
  <c r="M34" i="13"/>
  <c r="L34" i="13"/>
  <c r="O19" i="13"/>
  <c r="M19" i="13"/>
  <c r="L19" i="13"/>
  <c r="A6" i="13"/>
  <c r="J66" i="13"/>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G3" i="8"/>
  <c r="A3" i="8"/>
  <c r="A1" i="8"/>
  <c r="G23" i="7"/>
  <c r="E23" i="7"/>
  <c r="G15" i="7"/>
  <c r="E15" i="7"/>
  <c r="I15" i="7"/>
  <c r="B4" i="7"/>
  <c r="G3" i="7"/>
  <c r="A3" i="7"/>
  <c r="A1" i="7"/>
  <c r="A8" i="7"/>
  <c r="H65" i="6"/>
  <c r="H63" i="6"/>
  <c r="B53" i="6"/>
  <c r="G50" i="6"/>
  <c r="G49" i="6"/>
  <c r="G48" i="6"/>
  <c r="H48" i="6"/>
  <c r="G47" i="6"/>
  <c r="H47" i="6"/>
  <c r="G46" i="6"/>
  <c r="H46" i="6"/>
  <c r="G44" i="6"/>
  <c r="H44" i="6"/>
  <c r="G43" i="6"/>
  <c r="H43" i="6"/>
  <c r="G42" i="6"/>
  <c r="H42" i="6"/>
  <c r="G39" i="6"/>
  <c r="H39" i="6"/>
  <c r="G38" i="6"/>
  <c r="H38" i="6"/>
  <c r="G37" i="6"/>
  <c r="H37" i="6"/>
  <c r="G36" i="6"/>
  <c r="H36" i="6"/>
  <c r="G35" i="6"/>
  <c r="H35" i="6"/>
  <c r="G34" i="6"/>
  <c r="H34" i="6"/>
  <c r="G30" i="6"/>
  <c r="G29" i="6"/>
  <c r="H29" i="6"/>
  <c r="G27" i="6"/>
  <c r="G26" i="6"/>
  <c r="H26" i="6"/>
  <c r="G25" i="6"/>
  <c r="G24" i="6"/>
  <c r="H24" i="6"/>
  <c r="G20" i="6"/>
  <c r="H20" i="6"/>
  <c r="G15" i="6"/>
  <c r="G14" i="6"/>
  <c r="G12" i="6"/>
  <c r="G11" i="6"/>
  <c r="G10" i="6"/>
  <c r="G9" i="6"/>
  <c r="G8" i="6"/>
  <c r="D11" i="8"/>
  <c r="H27" i="6"/>
  <c r="D14" i="8"/>
  <c r="H30" i="6"/>
  <c r="I23" i="7"/>
  <c r="D12" i="8"/>
  <c r="H25" i="6"/>
  <c r="E33" i="7"/>
  <c r="H33" i="7"/>
  <c r="E35" i="7"/>
  <c r="H35" i="7"/>
  <c r="E37" i="7"/>
  <c r="H37" i="7"/>
  <c r="E36" i="7"/>
  <c r="H36" i="7"/>
  <c r="G24" i="7"/>
  <c r="G18" i="6"/>
  <c r="H21" i="6"/>
  <c r="G28" i="6"/>
  <c r="E24" i="7"/>
  <c r="I24" i="7"/>
  <c r="E34" i="7"/>
  <c r="H34" i="7"/>
  <c r="D10" i="8"/>
  <c r="G10" i="8"/>
  <c r="A31" i="7"/>
  <c r="A43" i="7"/>
  <c r="H15" i="6"/>
  <c r="H12" i="6"/>
  <c r="H8" i="6"/>
  <c r="H19" i="6"/>
  <c r="H10" i="6"/>
  <c r="G11" i="8"/>
  <c r="G12" i="8"/>
  <c r="H14" i="6"/>
  <c r="G14" i="8"/>
  <c r="H11" i="6"/>
  <c r="H9" i="6"/>
</calcChain>
</file>

<file path=xl/sharedStrings.xml><?xml version="1.0" encoding="utf-8"?>
<sst xmlns="http://schemas.openxmlformats.org/spreadsheetml/2006/main" count="1638" uniqueCount="446">
  <si>
    <t>Add company logo</t>
  </si>
  <si>
    <t>Version 22.3  30/11/22</t>
  </si>
  <si>
    <t>Add photo</t>
  </si>
  <si>
    <t>Notes:</t>
  </si>
  <si>
    <t>This template may require adjustments by individual operators to meet specific reporting requirements as defined in the site Permit(s)</t>
  </si>
  <si>
    <t>Annual Performance Report 2022</t>
  </si>
  <si>
    <t>Permit EPR/PP3235LP</t>
  </si>
  <si>
    <t>EPR Thetford Power Station</t>
  </si>
  <si>
    <t>other name of facility (if applicable)</t>
  </si>
  <si>
    <t>operator name</t>
  </si>
  <si>
    <t>Year:</t>
  </si>
  <si>
    <t>Address:</t>
  </si>
  <si>
    <t>Two Mile Bottom, Mundford Road, Thetford, IP24 1LX</t>
  </si>
  <si>
    <t xml:space="preserve">Tel: </t>
  </si>
  <si>
    <t>01842 752255</t>
  </si>
  <si>
    <t xml:space="preserve">Email: </t>
  </si>
  <si>
    <t>Prepared by:</t>
  </si>
  <si>
    <t>Richard Bobbin</t>
  </si>
  <si>
    <t>Position:</t>
  </si>
  <si>
    <t>Operations &amp; Maintenance Coordinator</t>
  </si>
  <si>
    <t>Approved by:</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</si>
  <si>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</si>
  <si>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</si>
  <si>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</si>
  <si>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</si>
  <si>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</si>
  <si>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</si>
  <si>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</si>
  <si>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</si>
  <si>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</si>
  <si>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</si>
  <si>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</si>
  <si>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</si>
  <si>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</si>
  <si>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</si>
  <si>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</si>
  <si>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</si>
  <si>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</si>
  <si>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</si>
  <si>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</si>
  <si>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</si>
  <si>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</si>
  <si>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</si>
  <si>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</si>
  <si>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</si>
  <si>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</si>
  <si>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</si>
  <si>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</si>
  <si>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</si>
  <si>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</si>
  <si>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</si>
  <si>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</si>
  <si>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</si>
  <si>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</si>
  <si>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</si>
  <si>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</si>
  <si>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</si>
  <si>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</si>
  <si>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The installation is a co-incinerator power station utilising poultry litter, forest wood chips and clean
horse bedding as the fuel. Gas oil is used as a fuel during start-up and shut down of the plant as
well as automatically if the temperature falls below 850°C.  There is a single combustion line.  Heat from the boiler is used to produce steam which is passed through a turbine connected to a generator. The rated thermal input of the boiler is 145 MW and the turbine has a nominal electrical power output of 38.5 MWe. The plant consumes around 1600 tonnes of biomass a day at full output.
The installation is located approximately 5 km to the North of Thetford on the edge of Thetford Forest. A
rugby club, scout hut and forest visitor’s centre are located in the vicinity of the
installation.
"								
								</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</si>
  <si>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</si>
  <si>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</si>
  <si>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"Biomass and waste fuel is delivered to the site by covered lorry. After weighing, the fuel is delivered by the lorry into one of 6 unloading bays. Lorries leaving the site are washed and disinfected using an automated system. The unloading bay conveyor belt meters the fuel onto a star screen which reduces lump size and rejects oversize material. Oversize material is reduced in size using a shredder and recycled back to the screen. Screened fuel is then fed by conveyor belts to the distributed fuel pile in the main fuel hall.
Fuel is transferred from the fuel pile to the boiler using reclaim screws and conveyors which in turn feed a system which injects fuel into the furnace. The fuel feed system is designed to provide a gas-tight seal to the furnace ensuring maintenance of negative pressure by the ID fan and preventing the escape of combustion gasses.  Two low-NOx gas oil auxiliary burners are fitted for use during start-up and shut down periods.
The furnace has a “roto grate” system based on suspension fired furnace technology. Fuel is blown into the furnace above the grate using preheated air and is projected over the grate’s surface, with the larger particles being projected towards the rear of the boiler. The finer particles are burnt in suspension as they pass through the flame above the grate and the larger particles settle on the moving grate where they are burnt. Ash is carried to the front of the boiler where it falls into the ash hopper.
Superheated steam generated by the boiler is fed to the condensing turbine which in turn drives the alternator to generate the plants electrical output.  The alternator's 38.5 MW output at 11 kV is transformed up to 33kV on site and then fed into the national grid for distribution.  Resdual heat from the steam condensate and combustion gases is recovered and used to pre-heat combustion air and boiler feed water.  The fundamental plant processes are monitored and regulated by an advanced control system that provides the control room team with information showing plant performance and also enables plant processes and eqiupment to be adjusted to meet appropriate plant operating conditions.
Sodium Bicarbonate is injected into the combustion gas stream after the economiser to abate emissions of sulphur dioxide and hydrogen chloride.  Particulate emissions are abated using a multi-compartment fabric filter with pulse jet cleaning, burst bag detectors and multi compartments to allow bag changes on line. Ash from the bag filters, fly ash and bottom ash is collected in enclosed trailers for transport off-site and subsequent use in the making of fertiliser.  Combustion gasses are released from a 109 m stack.  Two indpendent emission monitoring systems analyse stack gases and provide real time results in the control room to enable plant processes to be adjusted to meet permitted emission limits.
The proces is operated on a continuous basis with the control room manned by shifts which provide 24 hour operational cover and supervise the health &amp; safety systems.  The site team includes maintenance staff competent in the necessary disciples to maintain the plant and rectify defects, a call-out system is operated to provide 24 hour maintenance cover."								
								</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</si>
  <si>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</si>
  <si>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</si>
  <si>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</si>
  <si>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</si>
  <si>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</si>
  <si>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</si>
  <si>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</si>
  <si>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</si>
  <si>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</si>
  <si>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</si>
  <si>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</si>
  <si>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</si>
  <si>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</si>
  <si>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</si>
  <si>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</si>
  <si>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</si>
  <si>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</si>
  <si>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</si>
  <si>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</si>
  <si>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</si>
  <si>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</si>
  <si>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</si>
  <si>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</si>
  <si>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</si>
  <si>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</si>
  <si>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</si>
  <si>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</si>
  <si>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Poultry littor</t>
  </si>
  <si>
    <t>Hours bedding</t>
  </si>
  <si>
    <t>MBM</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</si>
  <si>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</si>
  <si>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</si>
  <si>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</si>
  <si>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</si>
  <si>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</si>
  <si>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</si>
  <si>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</si>
  <si>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</si>
  <si>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</si>
  <si>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</si>
  <si>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</si>
  <si>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</si>
  <si>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</si>
  <si>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</si>
  <si>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</si>
  <si>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</si>
  <si>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</si>
  <si>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</si>
  <si>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</si>
  <si>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</si>
  <si>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</si>
  <si>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</si>
  <si>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</si>
  <si>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</si>
  <si>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</si>
  <si>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</si>
  <si>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</si>
  <si>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</si>
  <si>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</si>
  <si>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</si>
  <si>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</si>
  <si>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</si>
  <si>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</si>
  <si>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</si>
  <si>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</si>
  <si>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</si>
  <si>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</si>
  <si>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</si>
  <si>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 xml:space="preserve"> x %</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</si>
  <si>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</si>
  <si>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</si>
  <si>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</si>
  <si>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</si>
  <si>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</si>
  <si>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</si>
  <si>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</si>
  <si>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</si>
  <si>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</si>
  <si>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</si>
  <si>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</si>
  <si>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</si>
  <si>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</si>
  <si>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 xml:space="preserve">"Key improvement works carried out 2022:
- Boiler &amp; Gas Path Clean.
- Boiler maintenance/tube replacement schedule..
- Grate Inspection/overhaul.
- Transformer maintenance/testing schedule.
- Boiler Feed Pump Major Overhaul.
- Bag house filter maintenance.
- Pressure Valve maintenance.
- Pressure System Inspections.
- Fuel Feed system maintenance.
- Ash System maintenance/overhaul.
- Turbine minor inspection/testing and routine maintenance.
- Generator minor inspection/testing and routine maintenance.							
								</t>
  </si>
  <si>
    <t xml:space="preserve">Include summary of key operational and/or mainteanance activity undertaken in the year, such as any major component upgrades and/or replacements </t>
  </si>
  <si>
    <t>Summary of Residue Handling for the reporting year</t>
  </si>
  <si>
    <t xml:space="preserve">100% of ash produced is processed by FibroPhos to manufacture high quality fertiliser.								
								</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</si>
  <si>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</si>
  <si>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</si>
  <si>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</si>
  <si>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</si>
  <si>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</si>
  <si>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</si>
  <si>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</si>
  <si>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</si>
  <si>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</si>
  <si>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</si>
  <si>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</si>
  <si>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</si>
  <si>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</si>
  <si>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</si>
  <si>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</si>
  <si>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</si>
  <si>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</si>
  <si>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</si>
  <si>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</si>
  <si>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</si>
  <si>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</si>
  <si>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</si>
  <si>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</si>
  <si>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</si>
  <si>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</si>
  <si>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</si>
  <si>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</si>
  <si>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</si>
  <si>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</si>
  <si>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</si>
  <si>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</si>
  <si>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</si>
  <si>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</si>
  <si>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</si>
  <si>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</si>
  <si>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</si>
  <si>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</si>
  <si>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</si>
  <si>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</si>
  <si>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</si>
  <si>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</si>
  <si>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</si>
  <si>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</si>
  <si>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</si>
  <si>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</si>
  <si>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</si>
  <si>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</si>
  <si>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</si>
  <si>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</si>
  <si>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</si>
  <si>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</si>
  <si>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</si>
  <si>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</si>
  <si>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</si>
  <si>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</si>
  <si>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</si>
  <si>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</si>
  <si>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</si>
  <si>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</si>
  <si>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</si>
  <si>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</si>
  <si>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</si>
  <si>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</si>
  <si>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</si>
  <si>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</si>
  <si>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</si>
  <si>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</si>
  <si>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</si>
  <si>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</si>
  <si>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</si>
  <si>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xx.xx %</t>
  </si>
  <si>
    <t>Oxides of nitrogen</t>
  </si>
  <si>
    <t>Sulphur dioxide</t>
  </si>
  <si>
    <t>Carbon monoxide</t>
  </si>
  <si>
    <t>xx.xx % or 
xx.xx%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</si>
  <si>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</si>
  <si>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</si>
  <si>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</si>
  <si>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</si>
  <si>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</si>
  <si>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</si>
  <si>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</si>
  <si>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</si>
  <si>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</si>
  <si>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</si>
  <si>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</si>
  <si>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</si>
  <si>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</si>
  <si>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</si>
  <si>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</si>
  <si>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</si>
  <si>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</si>
  <si>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</si>
  <si>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</si>
  <si>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</si>
  <si>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</si>
  <si>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</si>
  <si>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</si>
  <si>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</si>
  <si>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</si>
  <si>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</si>
  <si>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</si>
  <si>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</si>
  <si>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</si>
  <si>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</si>
  <si>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</si>
  <si>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</si>
  <si>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</si>
  <si>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</si>
  <si>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</si>
  <si>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</si>
  <si>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</si>
  <si>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</si>
  <si>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</si>
  <si>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</si>
  <si>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</si>
  <si>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</si>
  <si>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</si>
  <si>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</si>
  <si>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</si>
  <si>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</si>
  <si>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</si>
  <si>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</si>
  <si>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</si>
  <si>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</si>
  <si>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</si>
  <si>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</si>
  <si>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</si>
  <si>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</si>
  <si>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</si>
  <si>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</si>
  <si>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</si>
  <si>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</si>
  <si>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</si>
  <si>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</si>
  <si>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Periodic water monitoring is undertaken quarterly, with sample extracted by an MCERTS proprtional sampler for subsequent off-site analysis by a laboratory accredited by UKAS to ISO 17025 for the relevant parameters.</t>
  </si>
  <si>
    <t>Continuous monitoring of effluent discharge uses separate pH and temperature instruments.  The site's equipment and management system for discharge flow volume monitoring is MCERTS certified.</t>
  </si>
  <si>
    <t xml:space="preserve">The site's advanced control system automatically inhibits off-site effluent discharge if targets for any of pH, temperature or daily flow volume are reached. </t>
  </si>
  <si>
    <t>Emissions to Water / Sewer</t>
  </si>
  <si>
    <t>Monitoring Frequency</t>
  </si>
  <si>
    <t>Target</t>
  </si>
  <si>
    <t>Max.</t>
  </si>
  <si>
    <t>Average</t>
  </si>
  <si>
    <t>pH</t>
  </si>
  <si>
    <t>Instantaneous / Continuous</t>
  </si>
  <si>
    <t>6 - 9</t>
  </si>
  <si>
    <t>Temperature</t>
  </si>
  <si>
    <r>
      <t>30</t>
    </r>
    <r>
      <rPr>
        <sz val="10"/>
        <color theme="1"/>
        <rFont val="Calibri"/>
        <family val="2"/>
      </rPr>
      <t>°C</t>
    </r>
  </si>
  <si>
    <t>Flow</t>
  </si>
  <si>
    <r>
      <t>60 m</t>
    </r>
    <r>
      <rPr>
        <vertAlign val="superscript"/>
        <sz val="10"/>
        <color theme="1"/>
        <rFont val="Arial"/>
        <family val="2"/>
      </rPr>
      <t>3</t>
    </r>
    <r>
      <rPr>
        <sz val="10"/>
        <color theme="1"/>
        <rFont val="Arial"/>
        <family val="2"/>
      </rPr>
      <t>/day</t>
    </r>
  </si>
  <si>
    <t>Total Suspended Solids</t>
  </si>
  <si>
    <t>Quarterly - proportional sample</t>
  </si>
  <si>
    <t>60 mg/l</t>
  </si>
  <si>
    <t>Biological oxgen demand</t>
  </si>
  <si>
    <t>30 mg/l</t>
  </si>
  <si>
    <t>Ammonia (expressed as N)</t>
  </si>
  <si>
    <t>5 mg/l</t>
  </si>
  <si>
    <t>Sulphate</t>
  </si>
  <si>
    <t>1000 mg/l</t>
  </si>
  <si>
    <t>Chloride</t>
  </si>
  <si>
    <t>2000 mg/l</t>
  </si>
  <si>
    <t>Mercury</t>
  </si>
  <si>
    <t>0.005 mg/l</t>
  </si>
  <si>
    <t>Cadmium</t>
  </si>
  <si>
    <t>0.010 mg/l</t>
  </si>
  <si>
    <t>Oils &amp; greases</t>
  </si>
  <si>
    <t>Daily - visual check</t>
  </si>
  <si>
    <t>None</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</si>
  <si>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</si>
  <si>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</si>
  <si>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</si>
  <si>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</si>
  <si>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</si>
  <si>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</si>
  <si>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</si>
  <si>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t>Cd and Th and their compounds</t>
  </si>
  <si>
    <t>6-8hrs</t>
  </si>
  <si>
    <r>
      <t>0.3 mg/m</t>
    </r>
    <r>
      <rPr>
        <vertAlign val="superscript"/>
        <sz val="10"/>
        <color theme="1"/>
        <rFont val="Arial"/>
        <family val="2"/>
      </rPr>
      <t>3</t>
    </r>
  </si>
  <si>
    <t>Hg and its compounds</t>
  </si>
  <si>
    <t>Sb, As, Pb, Cr, Co, Cu, Mn, Ni, V and their compounds</t>
  </si>
  <si>
    <t>Dioxins &amp; Furans (I-TEQ)</t>
  </si>
  <si>
    <r>
      <t>0.07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</si>
  <si>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</si>
  <si>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</si>
  <si>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</si>
  <si>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</si>
  <si>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</si>
  <si>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</si>
  <si>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</si>
  <si>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</si>
  <si>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</si>
  <si>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</si>
  <si>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</si>
  <si>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</si>
  <si>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</si>
  <si>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</si>
  <si>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</si>
  <si>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</si>
  <si>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</si>
  <si>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</si>
  <si>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</si>
  <si>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</si>
  <si>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</si>
  <si>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</si>
  <si>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</si>
  <si>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</si>
  <si>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</si>
  <si>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</si>
  <si>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 xml:space="preserve">The site operates independent Prime and Hot-spare Continuous Emission Monitoring systems which are MCERTS certified and QAL1 tested for reportable and peripheral species.  Gases and moisture are analysed by FTIR units, VOCs by FIDs, Prime Dust CEM uses probe electrification and the Hot-spare Dust CEM uses forward scatter laser, Oxygen monitoring uses zirconia cells.  Raw CEM instrument data is received, processed, stored and displayed by MCERTS CEMView DAHS.  </t>
  </si>
  <si>
    <t>Report to 2 decimal places, i.e. xx.xx%</t>
  </si>
  <si>
    <r>
      <t>BS EN 14181 testing of the CEM systems was conducted in 2022 by an MCERTS and UKAS accredited test house.  As at the end of 2022 all reportable species plus O</t>
    </r>
    <r>
      <rPr>
        <vertAlign val="subscript"/>
        <sz val="10"/>
        <color theme="1"/>
        <rFont val="Arial"/>
        <family val="2"/>
      </rPr>
      <t>2</t>
    </r>
    <r>
      <rPr>
        <sz val="10"/>
        <color theme="1"/>
        <rFont val="Arial"/>
        <family val="2"/>
      </rPr>
      <t xml:space="preserve"> and H</t>
    </r>
    <r>
      <rPr>
        <vertAlign val="subscript"/>
        <sz val="10"/>
        <color theme="1"/>
        <rFont val="Arial"/>
        <family val="2"/>
      </rPr>
      <t>2</t>
    </r>
    <r>
      <rPr>
        <sz val="10"/>
        <color theme="1"/>
        <rFont val="Arial"/>
        <family val="2"/>
      </rPr>
      <t xml:space="preserve">O had passed either the most recent QAL2 or AST as appropriate. </t>
    </r>
  </si>
  <si>
    <t>Results of emissions to air that are continuously monitored (maximum and average values for each line)</t>
  </si>
  <si>
    <t>Reference Period</t>
  </si>
  <si>
    <t>Avg.</t>
  </si>
  <si>
    <t>Daily mean</t>
  </si>
  <si>
    <r>
      <t>205 mg/m</t>
    </r>
    <r>
      <rPr>
        <vertAlign val="superscript"/>
        <sz val="10"/>
        <color theme="1"/>
        <rFont val="Arial"/>
        <family val="2"/>
      </rPr>
      <t>3</t>
    </r>
    <r>
      <rPr>
        <sz val="10"/>
        <color theme="1"/>
        <rFont val="Arial"/>
        <family val="2"/>
      </rPr>
      <t xml:space="preserve"> </t>
    </r>
  </si>
  <si>
    <t>½ hourly mean</t>
  </si>
  <si>
    <t xml:space="preserve">No limit set </t>
  </si>
  <si>
    <r>
      <t>11 mg/m</t>
    </r>
    <r>
      <rPr>
        <vertAlign val="superscript"/>
        <sz val="10"/>
        <color theme="1"/>
        <rFont val="Arial"/>
        <family val="2"/>
      </rPr>
      <t>3</t>
    </r>
  </si>
  <si>
    <r>
      <t>33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</si>
  <si>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</si>
  <si>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</si>
  <si>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t xml:space="preserve">Hydrogen chloride </t>
  </si>
  <si>
    <r>
      <t>11 mg/m</t>
    </r>
    <r>
      <rPr>
        <vertAlign val="superscript"/>
        <sz val="10"/>
        <color theme="1"/>
        <rFont val="Arial"/>
        <family val="2"/>
      </rPr>
      <t>3</t>
    </r>
    <r>
      <rPr>
        <sz val="10"/>
        <color theme="1"/>
        <rFont val="Arial"/>
        <family val="2"/>
      </rPr>
      <t xml:space="preserve"> </t>
    </r>
  </si>
  <si>
    <r>
      <t>66 mg/m</t>
    </r>
    <r>
      <rPr>
        <vertAlign val="superscript"/>
        <sz val="10"/>
        <color theme="1"/>
        <rFont val="Arial"/>
        <family val="2"/>
      </rPr>
      <t>3</t>
    </r>
    <r>
      <rPr>
        <sz val="10"/>
        <color theme="1"/>
        <rFont val="Arial"/>
        <family val="2"/>
      </rPr>
      <t xml:space="preserve"> </t>
    </r>
  </si>
  <si>
    <r>
      <t>80 mg/m</t>
    </r>
    <r>
      <rPr>
        <vertAlign val="superscript"/>
        <sz val="10"/>
        <color theme="1"/>
        <rFont val="Arial"/>
        <family val="2"/>
      </rPr>
      <t>3</t>
    </r>
    <r>
      <rPr>
        <sz val="10"/>
        <color theme="1"/>
        <rFont val="Arial"/>
        <family val="2"/>
      </rPr>
      <t xml:space="preserve"> </t>
    </r>
  </si>
  <si>
    <r>
      <t>320 mg/m</t>
    </r>
    <r>
      <rPr>
        <vertAlign val="superscript"/>
        <sz val="10"/>
        <color theme="1"/>
        <rFont val="Arial"/>
        <family val="2"/>
      </rPr>
      <t>3</t>
    </r>
    <r>
      <rPr>
        <sz val="10"/>
        <color theme="1"/>
        <rFont val="Arial"/>
        <family val="2"/>
      </rPr>
      <t xml:space="preserve"> </t>
    </r>
  </si>
  <si>
    <t xml:space="preserve">Carbon monoxide </t>
  </si>
  <si>
    <t>½ hourly mean *</t>
  </si>
  <si>
    <t>95%ile 10-min avg *</t>
  </si>
  <si>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</si>
  <si>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</si>
  <si>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</si>
  <si>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</si>
  <si>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</si>
  <si>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</si>
  <si>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</si>
  <si>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</si>
  <si>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</si>
  <si>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</si>
  <si>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</si>
  <si>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</si>
  <si>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</si>
  <si>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</si>
  <si>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</si>
  <si>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</si>
  <si>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</si>
  <si>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</si>
  <si>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</si>
  <si>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</si>
  <si>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</si>
  <si>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</si>
  <si>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</si>
  <si>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</si>
  <si>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</si>
  <si>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</si>
  <si>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</si>
  <si>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</si>
  <si>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</si>
  <si>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</si>
  <si>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</si>
  <si>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</si>
  <si>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</si>
  <si>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</si>
  <si>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</si>
  <si>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</si>
  <si>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</si>
  <si>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</si>
  <si>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</si>
  <si>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Total organic carbon emissions</t>
  </si>
  <si>
    <t>1/2 hourly TOC ELV</t>
  </si>
  <si>
    <t>Daily TOC ELV</t>
  </si>
  <si>
    <t>N/A</t>
  </si>
  <si>
    <t>Monitoring of Oxides of Nitrogen emissions</t>
  </si>
  <si>
    <t>1/2 hourly NOx ELV</t>
  </si>
  <si>
    <t>Daily NOx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</si>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</sst>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7">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vertAlign val="subscript"/>
      <sz val="10"/>
      <color theme="1"/>
      <name val="Arial"/>
      <family val="2"/>
    </font>
    <font>
      <sz val="10"/>
      <color theme="1"/>
      <name val="Calibri"/>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399">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1" fillId="7" borderId="9" xfId="0" applyFont="1" applyFill="1" applyBorder="1" applyAlignment="1">
      <alignment vertical="center"/>
    </xf>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49" fontId="1" fillId="5" borderId="2" xfId="0" applyNumberFormat="1" applyFont="1" applyFill="1" applyBorder="1" applyAlignment="1">
      <alignment horizontal="center" vertical="center" wrapText="1"/>
    </xf>
    <xf numFmtId="2" fontId="6" fillId="0" borderId="2" xfId="0" applyNumberFormat="1" applyFont="1" applyBorder="1"/>
    <xf numFmtId="17" fontId="2" fillId="0" borderId="0" xfId="0" applyNumberFormat="1" applyFont="1"/>
    <xf numFmtId="0" fontId="2" fillId="2" borderId="0" xfId="0" applyFont="1" applyFill="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left"/>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0" fontId="2" fillId="2" borderId="2" xfId="0" applyFont="1" applyFill="1" applyBorder="1"/>
    <xf numFmtId="14" fontId="1" fillId="2" borderId="2" xfId="0" applyNumberFormat="1" applyFont="1" applyFill="1" applyBorder="1" applyAlignment="1">
      <alignment horizontal="left"/>
    </xf>
    <xf numFmtId="9" fontId="1" fillId="0" borderId="2" xfId="0" applyNumberFormat="1" applyFont="1" applyBorder="1" applyAlignment="1">
      <alignment horizontal="center" vertical="center" wrapText="1"/>
    </xf>
    <xf numFmtId="0" fontId="1" fillId="0" borderId="2" xfId="0" applyFont="1" applyBorder="1" applyAlignment="1">
      <alignment horizontal="center"/>
    </xf>
    <xf numFmtId="0" fontId="1" fillId="3" borderId="2" xfId="0" applyFont="1" applyFill="1" applyBorder="1" applyAlignment="1">
      <alignment horizontal="center" vertical="center" wrapText="1"/>
    </xf>
    <xf numFmtId="2" fontId="1" fillId="3" borderId="2" xfId="0" applyNumberFormat="1" applyFont="1" applyFill="1" applyBorder="1" applyAlignment="1">
      <alignment horizontal="center"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xf numFmtId="0" fontId="22" fillId="0" borderId="0" xfId="0" applyFont="1" applyAlignment="1">
      <alignment horizontal="left" wrapText="1"/>
    </xf>
    <xf numFmtId="0" fontId="8" fillId="2" borderId="0" xfId="0" applyFont="1" applyFill="1" applyAlignment="1">
      <alignment horizontal="center"/>
    </xf>
    <xf numFmtId="0" fontId="2" fillId="2" borderId="0" xfId="0" applyFont="1" applyFill="1" applyAlignment="1">
      <alignment horizontal="center" vertical="center"/>
    </xf>
    <xf numFmtId="0" fontId="2" fillId="2" borderId="0" xfId="0" applyFont="1" applyFill="1" applyAlignment="1">
      <alignment horizontal="center"/>
    </xf>
    <xf numFmtId="0" fontId="2" fillId="2" borderId="0" xfId="0" applyFont="1" applyFill="1" applyAlignment="1">
      <alignment horizontal="left" wrapText="1"/>
    </xf>
    <xf numFmtId="0" fontId="6" fillId="3" borderId="2" xfId="0" applyFont="1" applyFill="1" applyBorder="1" applyAlignment="1">
      <alignment horizontal="left"/>
    </xf>
    <xf numFmtId="0" fontId="7" fillId="0" borderId="2" xfId="0" applyFont="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2" fillId="0" borderId="0" xfId="0" applyFont="1" applyAlignment="1">
      <alignment horizontal="left" vertical="top" wrapText="1"/>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xf numFmtId="0" fontId="1" fillId="0" borderId="0" xfId="0" applyFont="1" applyAlignment="1">
      <alignment horizontal="center" textRotation="90"/>
    </xf>
    <xf numFmtId="0" fontId="1"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4" fillId="4" borderId="2" xfId="0" applyFont="1" applyFill="1" applyBorder="1" applyAlignment="1">
      <alignment horizontal="left"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0" fontId="1" fillId="0" borderId="2" xfId="0" applyFont="1" applyBorder="1" applyAlignment="1">
      <alignment horizontal="left"/>
    </xf>
    <xf numFmtId="0" fontId="1" fillId="2" borderId="2" xfId="0" applyFont="1" applyFill="1" applyBorder="1" applyAlignment="1">
      <alignment horizontal="left" vertical="top" wrapText="1"/>
    </xf>
    <xf numFmtId="0" fontId="10" fillId="0" borderId="7" xfId="0" applyFont="1" applyBorder="1" applyAlignment="1">
      <alignment horizontal="center" wrapText="1"/>
    </xf>
    <xf numFmtId="0" fontId="7" fillId="0" borderId="2" xfId="0" applyFont="1" applyBorder="1" applyAlignment="1">
      <alignment horizontal="left" vertical="center" wrapText="1"/>
    </xf>
    <xf numFmtId="0" fontId="1" fillId="2" borderId="2"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3" xfId="0" applyFont="1" applyFill="1" applyBorder="1" applyAlignment="1">
      <alignment horizontal="left"/>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2" borderId="6" xfId="0" applyFont="1" applyFill="1" applyBorder="1" applyAlignment="1">
      <alignment horizontal="left"/>
    </xf>
    <xf numFmtId="0" fontId="1" fillId="2" borderId="7" xfId="0" applyFont="1" applyFill="1" applyBorder="1" applyAlignment="1">
      <alignment horizontal="left"/>
    </xf>
    <xf numFmtId="0" fontId="1" fillId="2" borderId="8" xfId="0" applyFont="1" applyFill="1" applyBorder="1" applyAlignment="1">
      <alignment horizontal="left"/>
    </xf>
    <xf numFmtId="0" fontId="1" fillId="2" borderId="9" xfId="0" applyFont="1" applyFill="1" applyBorder="1" applyAlignment="1">
      <alignment horizontal="left"/>
    </xf>
    <xf numFmtId="0" fontId="1" fillId="2" borderId="0" xfId="0" applyFont="1" applyFill="1" applyAlignment="1">
      <alignment horizontal="left"/>
    </xf>
    <xf numFmtId="0" fontId="1" fillId="2" borderId="10" xfId="0" applyFont="1" applyFill="1" applyBorder="1" applyAlignment="1">
      <alignment horizontal="left"/>
    </xf>
    <xf numFmtId="0" fontId="1" fillId="2" borderId="11" xfId="0" applyFont="1" applyFill="1" applyBorder="1" applyAlignment="1">
      <alignment horizontal="left"/>
    </xf>
    <xf numFmtId="0" fontId="1" fillId="2" borderId="12" xfId="0" applyFont="1" applyFill="1" applyBorder="1" applyAlignment="1">
      <alignment horizontal="left"/>
    </xf>
    <xf numFmtId="0" fontId="1" fillId="2" borderId="13" xfId="0" applyFont="1" applyFill="1" applyBorder="1" applyAlignment="1">
      <alignment horizontal="left"/>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0" fontId="0" fillId="0" borderId="0" xfId="0" applyAlignment="1">
      <alignment wrapText="1"/>
    </xf>
    <xf numFmtId="0" fontId="2" fillId="0" borderId="0" xfId="0" applyFont="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4" fillId="0" borderId="2" xfId="0" applyFont="1" applyBorder="1" applyAlignment="1">
      <alignment vertical="top" wrapText="1"/>
    </xf>
    <xf numFmtId="0" fontId="0" fillId="0" borderId="2" xfId="0" applyBorder="1" applyAlignment="1">
      <alignment vertical="top"/>
    </xf>
    <xf numFmtId="0" fontId="34"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18" fillId="0" borderId="2" xfId="0" applyFont="1" applyBorder="1" applyAlignment="1">
      <alignment horizontal="left" vertical="center"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7" fillId="0" borderId="9" xfId="0" applyFont="1" applyBorder="1" applyAlignment="1">
      <alignment horizontal="center" vertical="center" wrapText="1"/>
    </xf>
    <xf numFmtId="0" fontId="7" fillId="0" borderId="0" xfId="0" applyFont="1" applyAlignment="1">
      <alignment horizontal="center" vertical="center" wrapText="1"/>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7" fillId="0" borderId="5" xfId="0" applyFont="1" applyBorder="1" applyAlignment="1">
      <alignment horizontal="center" vertical="center"/>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 fillId="2" borderId="6" xfId="0" applyFont="1" applyFill="1" applyBorder="1" applyAlignment="1">
      <alignment horizontal="center" vertical="top"/>
    </xf>
    <xf numFmtId="0" fontId="1" fillId="2" borderId="7" xfId="0" applyFont="1" applyFill="1" applyBorder="1" applyAlignment="1">
      <alignment horizontal="center" vertical="top"/>
    </xf>
    <xf numFmtId="0" fontId="1" fillId="2" borderId="8" xfId="0" applyFont="1" applyFill="1" applyBorder="1" applyAlignment="1">
      <alignment horizontal="center" vertical="top"/>
    </xf>
    <xf numFmtId="0" fontId="1" fillId="2" borderId="11" xfId="0" applyFont="1" applyFill="1" applyBorder="1" applyAlignment="1">
      <alignment horizontal="center" vertical="top"/>
    </xf>
    <xf numFmtId="0" fontId="1" fillId="2" borderId="12" xfId="0" applyFont="1" applyFill="1" applyBorder="1" applyAlignment="1">
      <alignment horizontal="center" vertical="top"/>
    </xf>
    <xf numFmtId="0" fontId="1" fillId="2" borderId="13" xfId="0" applyFont="1" applyFill="1" applyBorder="1" applyAlignment="1">
      <alignment horizontal="center" vertical="top"/>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4" xfId="0" applyFont="1" applyFill="1" applyBorder="1" applyAlignment="1">
      <alignment horizontal="center" vertical="center" wrapText="1"/>
    </xf>
    <xf numFmtId="0" fontId="1" fillId="5" borderId="3" xfId="0" applyFont="1" applyFill="1" applyBorder="1" applyAlignment="1">
      <alignment horizontal="left" vertical="center" wrapText="1"/>
    </xf>
    <xf numFmtId="0" fontId="1" fillId="5" borderId="4" xfId="0" applyFont="1" applyFill="1" applyBorder="1" applyAlignment="1">
      <alignment horizontal="left" vertical="center" wrapText="1"/>
    </xf>
    <xf numFmtId="0" fontId="1" fillId="5" borderId="5" xfId="0" applyFont="1" applyFill="1" applyBorder="1" applyAlignment="1">
      <alignment horizontal="left" vertical="center" wrapText="1"/>
    </xf>
    <xf numFmtId="0" fontId="23" fillId="0" borderId="0" xfId="0" applyFont="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66</c:v>
                </c:pt>
                <c:pt idx="1">
                  <c:v>66</c:v>
                </c:pt>
                <c:pt idx="2">
                  <c:v>66</c:v>
                </c:pt>
                <c:pt idx="3">
                  <c:v>66</c:v>
                </c:pt>
                <c:pt idx="4">
                  <c:v>66</c:v>
                </c:pt>
                <c:pt idx="5">
                  <c:v>66</c:v>
                </c:pt>
                <c:pt idx="6">
                  <c:v>66</c:v>
                </c:pt>
                <c:pt idx="7">
                  <c:v>66</c:v>
                </c:pt>
                <c:pt idx="8">
                  <c:v>66</c:v>
                </c:pt>
                <c:pt idx="9">
                  <c:v>66</c:v>
                </c:pt>
                <c:pt idx="10">
                  <c:v>66</c:v>
                </c:pt>
                <c:pt idx="11">
                  <c:v>66</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10.6</c:v>
                </c:pt>
                <c:pt idx="1">
                  <c:v>10.7</c:v>
                </c:pt>
                <c:pt idx="2">
                  <c:v>10.6</c:v>
                </c:pt>
                <c:pt idx="3">
                  <c:v>10.7</c:v>
                </c:pt>
                <c:pt idx="4">
                  <c:v>10.6</c:v>
                </c:pt>
                <c:pt idx="5">
                  <c:v>10.6</c:v>
                </c:pt>
                <c:pt idx="6">
                  <c:v>10.5</c:v>
                </c:pt>
                <c:pt idx="7">
                  <c:v>10.4</c:v>
                </c:pt>
                <c:pt idx="8">
                  <c:v>10.3</c:v>
                </c:pt>
                <c:pt idx="9">
                  <c:v>10.6</c:v>
                </c:pt>
                <c:pt idx="10">
                  <c:v>9.5</c:v>
                </c:pt>
                <c:pt idx="11">
                  <c:v>9.1</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19.7</c:v>
                </c:pt>
                <c:pt idx="1">
                  <c:v>16.5</c:v>
                </c:pt>
                <c:pt idx="2">
                  <c:v>19.5</c:v>
                </c:pt>
                <c:pt idx="3">
                  <c:v>25.3</c:v>
                </c:pt>
                <c:pt idx="4">
                  <c:v>17.899999999999999</c:v>
                </c:pt>
                <c:pt idx="5">
                  <c:v>16.600000000000001</c:v>
                </c:pt>
                <c:pt idx="6">
                  <c:v>24.4</c:v>
                </c:pt>
                <c:pt idx="7">
                  <c:v>27.5</c:v>
                </c:pt>
                <c:pt idx="8">
                  <c:v>21.5</c:v>
                </c:pt>
                <c:pt idx="9">
                  <c:v>17.100000000000001</c:v>
                </c:pt>
                <c:pt idx="10">
                  <c:v>13.4</c:v>
                </c:pt>
                <c:pt idx="11">
                  <c:v>18.899999999999999</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11</c:v>
                </c:pt>
                <c:pt idx="1">
                  <c:v>11</c:v>
                </c:pt>
                <c:pt idx="2">
                  <c:v>11</c:v>
                </c:pt>
                <c:pt idx="3">
                  <c:v>11</c:v>
                </c:pt>
                <c:pt idx="4">
                  <c:v>11</c:v>
                </c:pt>
                <c:pt idx="5">
                  <c:v>11</c:v>
                </c:pt>
                <c:pt idx="6">
                  <c:v>11</c:v>
                </c:pt>
                <c:pt idx="7">
                  <c:v>11</c:v>
                </c:pt>
                <c:pt idx="8">
                  <c:v>11</c:v>
                </c:pt>
                <c:pt idx="9">
                  <c:v>11</c:v>
                </c:pt>
                <c:pt idx="10">
                  <c:v>11</c:v>
                </c:pt>
                <c:pt idx="11">
                  <c:v>11</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10.6</c:v>
                </c:pt>
                <c:pt idx="1">
                  <c:v>10.7</c:v>
                </c:pt>
                <c:pt idx="2">
                  <c:v>10.6</c:v>
                </c:pt>
                <c:pt idx="3">
                  <c:v>10.7</c:v>
                </c:pt>
                <c:pt idx="4">
                  <c:v>10.6</c:v>
                </c:pt>
                <c:pt idx="5">
                  <c:v>10.6</c:v>
                </c:pt>
                <c:pt idx="6">
                  <c:v>10.5</c:v>
                </c:pt>
                <c:pt idx="7">
                  <c:v>10.4</c:v>
                </c:pt>
                <c:pt idx="8">
                  <c:v>10.3</c:v>
                </c:pt>
                <c:pt idx="9">
                  <c:v>10.6</c:v>
                </c:pt>
                <c:pt idx="10">
                  <c:v>9.5</c:v>
                </c:pt>
                <c:pt idx="11">
                  <c:v>9.1</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10.9</c:v>
                </c:pt>
                <c:pt idx="1">
                  <c:v>10.8</c:v>
                </c:pt>
                <c:pt idx="2">
                  <c:v>10.9</c:v>
                </c:pt>
                <c:pt idx="3">
                  <c:v>10.8</c:v>
                </c:pt>
                <c:pt idx="4">
                  <c:v>10.9</c:v>
                </c:pt>
                <c:pt idx="5">
                  <c:v>10.9</c:v>
                </c:pt>
                <c:pt idx="6">
                  <c:v>10.9</c:v>
                </c:pt>
                <c:pt idx="7">
                  <c:v>11</c:v>
                </c:pt>
                <c:pt idx="8">
                  <c:v>10.8</c:v>
                </c:pt>
                <c:pt idx="9">
                  <c:v>10.9</c:v>
                </c:pt>
                <c:pt idx="10">
                  <c:v>10.9</c:v>
                </c:pt>
                <c:pt idx="11">
                  <c:v>10.6</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320</c:v>
                </c:pt>
                <c:pt idx="1">
                  <c:v>320</c:v>
                </c:pt>
                <c:pt idx="2">
                  <c:v>320</c:v>
                </c:pt>
                <c:pt idx="3">
                  <c:v>320</c:v>
                </c:pt>
                <c:pt idx="4">
                  <c:v>320</c:v>
                </c:pt>
                <c:pt idx="5">
                  <c:v>320</c:v>
                </c:pt>
                <c:pt idx="6">
                  <c:v>320</c:v>
                </c:pt>
                <c:pt idx="7">
                  <c:v>320</c:v>
                </c:pt>
                <c:pt idx="8">
                  <c:v>320</c:v>
                </c:pt>
                <c:pt idx="9">
                  <c:v>320</c:v>
                </c:pt>
                <c:pt idx="10">
                  <c:v>320</c:v>
                </c:pt>
                <c:pt idx="11">
                  <c:v>320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38.1</c:v>
                </c:pt>
                <c:pt idx="1">
                  <c:v>28.4</c:v>
                </c:pt>
                <c:pt idx="2">
                  <c:v>26.7</c:v>
                </c:pt>
                <c:pt idx="3">
                  <c:v>32.1</c:v>
                </c:pt>
                <c:pt idx="4">
                  <c:v>31.1</c:v>
                </c:pt>
                <c:pt idx="5">
                  <c:v>26.5</c:v>
                </c:pt>
                <c:pt idx="6">
                  <c:v>24.3</c:v>
                </c:pt>
                <c:pt idx="7">
                  <c:v>30</c:v>
                </c:pt>
                <c:pt idx="8">
                  <c:v>26.7</c:v>
                </c:pt>
                <c:pt idx="9">
                  <c:v>30.5</c:v>
                </c:pt>
                <c:pt idx="10">
                  <c:v>24.9</c:v>
                </c:pt>
                <c:pt idx="11">
                  <c:v>13.1</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91.5</c:v>
                </c:pt>
                <c:pt idx="1">
                  <c:v>76.2</c:v>
                </c:pt>
                <c:pt idx="2">
                  <c:v>170.1</c:v>
                </c:pt>
                <c:pt idx="3">
                  <c:v>99.7</c:v>
                </c:pt>
                <c:pt idx="4">
                  <c:v>70.5</c:v>
                </c:pt>
                <c:pt idx="5">
                  <c:v>69.8</c:v>
                </c:pt>
                <c:pt idx="6">
                  <c:v>76.5</c:v>
                </c:pt>
                <c:pt idx="7">
                  <c:v>56.1</c:v>
                </c:pt>
                <c:pt idx="8">
                  <c:v>52.3</c:v>
                </c:pt>
                <c:pt idx="9">
                  <c:v>75.7</c:v>
                </c:pt>
                <c:pt idx="10">
                  <c:v>61.6</c:v>
                </c:pt>
                <c:pt idx="11">
                  <c:v>52.5</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80</c:v>
                </c:pt>
                <c:pt idx="1">
                  <c:v>80</c:v>
                </c:pt>
                <c:pt idx="2">
                  <c:v>80</c:v>
                </c:pt>
                <c:pt idx="3">
                  <c:v>80</c:v>
                </c:pt>
                <c:pt idx="4">
                  <c:v>80</c:v>
                </c:pt>
                <c:pt idx="5">
                  <c:v>80</c:v>
                </c:pt>
                <c:pt idx="6">
                  <c:v>80</c:v>
                </c:pt>
                <c:pt idx="7">
                  <c:v>80</c:v>
                </c:pt>
                <c:pt idx="8">
                  <c:v>80</c:v>
                </c:pt>
                <c:pt idx="9">
                  <c:v>80</c:v>
                </c:pt>
                <c:pt idx="10">
                  <c:v>80</c:v>
                </c:pt>
                <c:pt idx="11">
                  <c:v>80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38.1</c:v>
                </c:pt>
                <c:pt idx="1">
                  <c:v>28.4</c:v>
                </c:pt>
                <c:pt idx="2">
                  <c:v>26.7</c:v>
                </c:pt>
                <c:pt idx="3">
                  <c:v>32.1</c:v>
                </c:pt>
                <c:pt idx="4">
                  <c:v>31.1</c:v>
                </c:pt>
                <c:pt idx="5">
                  <c:v>26.5</c:v>
                </c:pt>
                <c:pt idx="6">
                  <c:v>24.3</c:v>
                </c:pt>
                <c:pt idx="7">
                  <c:v>30</c:v>
                </c:pt>
                <c:pt idx="8">
                  <c:v>26.7</c:v>
                </c:pt>
                <c:pt idx="9">
                  <c:v>30.5</c:v>
                </c:pt>
                <c:pt idx="10">
                  <c:v>24.9</c:v>
                </c:pt>
                <c:pt idx="11">
                  <c:v>13.1</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69.099999999999994</c:v>
                </c:pt>
                <c:pt idx="1">
                  <c:v>53.9</c:v>
                </c:pt>
                <c:pt idx="2">
                  <c:v>48</c:v>
                </c:pt>
                <c:pt idx="3">
                  <c:v>53.7</c:v>
                </c:pt>
                <c:pt idx="4">
                  <c:v>47.4</c:v>
                </c:pt>
                <c:pt idx="5">
                  <c:v>41.2</c:v>
                </c:pt>
                <c:pt idx="6">
                  <c:v>41.2</c:v>
                </c:pt>
                <c:pt idx="7">
                  <c:v>38.1</c:v>
                </c:pt>
                <c:pt idx="8">
                  <c:v>32.200000000000003</c:v>
                </c:pt>
                <c:pt idx="9">
                  <c:v>45.9</c:v>
                </c:pt>
                <c:pt idx="10">
                  <c:v>46.9</c:v>
                </c:pt>
                <c:pt idx="11">
                  <c:v>23.7</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2.6</c:v>
                </c:pt>
                <c:pt idx="1">
                  <c:v>2.2000000000000002</c:v>
                </c:pt>
                <c:pt idx="2">
                  <c:v>2.6</c:v>
                </c:pt>
                <c:pt idx="3">
                  <c:v>1.8</c:v>
                </c:pt>
                <c:pt idx="4">
                  <c:v>2.5</c:v>
                </c:pt>
                <c:pt idx="5">
                  <c:v>2.1</c:v>
                </c:pt>
                <c:pt idx="6">
                  <c:v>1.8</c:v>
                </c:pt>
                <c:pt idx="7">
                  <c:v>1.4</c:v>
                </c:pt>
                <c:pt idx="8">
                  <c:v>1.6</c:v>
                </c:pt>
                <c:pt idx="9">
                  <c:v>2</c:v>
                </c:pt>
                <c:pt idx="10">
                  <c:v>2.5</c:v>
                </c:pt>
                <c:pt idx="11">
                  <c:v>2.2999999999999998</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11.2</c:v>
                </c:pt>
                <c:pt idx="1">
                  <c:v>5.2</c:v>
                </c:pt>
                <c:pt idx="2">
                  <c:v>4.0999999999999996</c:v>
                </c:pt>
                <c:pt idx="3">
                  <c:v>3</c:v>
                </c:pt>
                <c:pt idx="4">
                  <c:v>5</c:v>
                </c:pt>
                <c:pt idx="5">
                  <c:v>3.3</c:v>
                </c:pt>
                <c:pt idx="6">
                  <c:v>2.6</c:v>
                </c:pt>
                <c:pt idx="7">
                  <c:v>2.8</c:v>
                </c:pt>
                <c:pt idx="8">
                  <c:v>2.1</c:v>
                </c:pt>
                <c:pt idx="9">
                  <c:v>2.8</c:v>
                </c:pt>
                <c:pt idx="10">
                  <c:v>5.3</c:v>
                </c:pt>
                <c:pt idx="11">
                  <c:v>7.5</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205</c:v>
                </c:pt>
                <c:pt idx="1">
                  <c:v>205</c:v>
                </c:pt>
                <c:pt idx="2">
                  <c:v>205</c:v>
                </c:pt>
                <c:pt idx="3">
                  <c:v>205</c:v>
                </c:pt>
                <c:pt idx="4">
                  <c:v>205</c:v>
                </c:pt>
                <c:pt idx="5">
                  <c:v>205</c:v>
                </c:pt>
                <c:pt idx="6">
                  <c:v>205</c:v>
                </c:pt>
                <c:pt idx="7">
                  <c:v>205</c:v>
                </c:pt>
                <c:pt idx="8">
                  <c:v>205</c:v>
                </c:pt>
                <c:pt idx="9">
                  <c:v>205</c:v>
                </c:pt>
                <c:pt idx="10">
                  <c:v>205</c:v>
                </c:pt>
                <c:pt idx="11">
                  <c:v>205</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193.2</c:v>
                </c:pt>
                <c:pt idx="1">
                  <c:v>194.7</c:v>
                </c:pt>
                <c:pt idx="2">
                  <c:v>196.3</c:v>
                </c:pt>
                <c:pt idx="3">
                  <c:v>194.3</c:v>
                </c:pt>
                <c:pt idx="4">
                  <c:v>191.7</c:v>
                </c:pt>
                <c:pt idx="5">
                  <c:v>192</c:v>
                </c:pt>
                <c:pt idx="6">
                  <c:v>189.6</c:v>
                </c:pt>
                <c:pt idx="7">
                  <c:v>193</c:v>
                </c:pt>
                <c:pt idx="8">
                  <c:v>200.2</c:v>
                </c:pt>
                <c:pt idx="9">
                  <c:v>195.8</c:v>
                </c:pt>
                <c:pt idx="10">
                  <c:v>177.3</c:v>
                </c:pt>
                <c:pt idx="11">
                  <c:v>193.7</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203.3</c:v>
                </c:pt>
                <c:pt idx="1">
                  <c:v>204.5</c:v>
                </c:pt>
                <c:pt idx="2">
                  <c:v>203.1</c:v>
                </c:pt>
                <c:pt idx="3">
                  <c:v>202.6</c:v>
                </c:pt>
                <c:pt idx="4">
                  <c:v>203.7</c:v>
                </c:pt>
                <c:pt idx="5">
                  <c:v>201.5</c:v>
                </c:pt>
                <c:pt idx="6">
                  <c:v>203.8</c:v>
                </c:pt>
                <c:pt idx="7">
                  <c:v>204.2</c:v>
                </c:pt>
                <c:pt idx="8">
                  <c:v>204</c:v>
                </c:pt>
                <c:pt idx="9">
                  <c:v>204.1</c:v>
                </c:pt>
                <c:pt idx="10">
                  <c:v>203.9</c:v>
                </c:pt>
                <c:pt idx="11">
                  <c:v>204.7</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33</c:v>
                </c:pt>
                <c:pt idx="1">
                  <c:v>33</c:v>
                </c:pt>
                <c:pt idx="2">
                  <c:v>33</c:v>
                </c:pt>
                <c:pt idx="3">
                  <c:v>33</c:v>
                </c:pt>
                <c:pt idx="4">
                  <c:v>33</c:v>
                </c:pt>
                <c:pt idx="5">
                  <c:v>33</c:v>
                </c:pt>
                <c:pt idx="6">
                  <c:v>33</c:v>
                </c:pt>
                <c:pt idx="7">
                  <c:v>33</c:v>
                </c:pt>
                <c:pt idx="8">
                  <c:v>33</c:v>
                </c:pt>
                <c:pt idx="9">
                  <c:v>33</c:v>
                </c:pt>
                <c:pt idx="10">
                  <c:v>33</c:v>
                </c:pt>
                <c:pt idx="11">
                  <c:v>33</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3.1</c:v>
                </c:pt>
                <c:pt idx="1">
                  <c:v>1.6</c:v>
                </c:pt>
                <c:pt idx="2">
                  <c:v>2.8</c:v>
                </c:pt>
                <c:pt idx="3">
                  <c:v>1.6</c:v>
                </c:pt>
                <c:pt idx="4">
                  <c:v>1.8</c:v>
                </c:pt>
                <c:pt idx="5">
                  <c:v>2.2000000000000002</c:v>
                </c:pt>
                <c:pt idx="6">
                  <c:v>0.7</c:v>
                </c:pt>
                <c:pt idx="7">
                  <c:v>1</c:v>
                </c:pt>
                <c:pt idx="8">
                  <c:v>1</c:v>
                </c:pt>
                <c:pt idx="9">
                  <c:v>1.7</c:v>
                </c:pt>
                <c:pt idx="10">
                  <c:v>2.6</c:v>
                </c:pt>
                <c:pt idx="11">
                  <c:v>2.2999999999999998</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18</c:v>
                </c:pt>
                <c:pt idx="1">
                  <c:v>6.4</c:v>
                </c:pt>
                <c:pt idx="2">
                  <c:v>23.8</c:v>
                </c:pt>
                <c:pt idx="3">
                  <c:v>13.3</c:v>
                </c:pt>
                <c:pt idx="4">
                  <c:v>13.9</c:v>
                </c:pt>
                <c:pt idx="5">
                  <c:v>12</c:v>
                </c:pt>
                <c:pt idx="6">
                  <c:v>4.8</c:v>
                </c:pt>
                <c:pt idx="7">
                  <c:v>12.1</c:v>
                </c:pt>
                <c:pt idx="8">
                  <c:v>6.6</c:v>
                </c:pt>
                <c:pt idx="9">
                  <c:v>15.5</c:v>
                </c:pt>
                <c:pt idx="10">
                  <c:v>16.100000000000001</c:v>
                </c:pt>
                <c:pt idx="11">
                  <c:v>20.2</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11</c:v>
                </c:pt>
                <c:pt idx="1">
                  <c:v>11</c:v>
                </c:pt>
                <c:pt idx="2">
                  <c:v>11</c:v>
                </c:pt>
                <c:pt idx="3">
                  <c:v>11</c:v>
                </c:pt>
                <c:pt idx="4">
                  <c:v>11</c:v>
                </c:pt>
                <c:pt idx="5">
                  <c:v>11</c:v>
                </c:pt>
                <c:pt idx="6">
                  <c:v>11</c:v>
                </c:pt>
                <c:pt idx="7">
                  <c:v>11</c:v>
                </c:pt>
                <c:pt idx="8">
                  <c:v>11</c:v>
                </c:pt>
                <c:pt idx="9">
                  <c:v>11</c:v>
                </c:pt>
                <c:pt idx="10">
                  <c:v>11</c:v>
                </c:pt>
                <c:pt idx="11">
                  <c:v>11</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3.1</c:v>
                </c:pt>
                <c:pt idx="1">
                  <c:v>1.6</c:v>
                </c:pt>
                <c:pt idx="2">
                  <c:v>2.8</c:v>
                </c:pt>
                <c:pt idx="3">
                  <c:v>1.6</c:v>
                </c:pt>
                <c:pt idx="4">
                  <c:v>1.8</c:v>
                </c:pt>
                <c:pt idx="5">
                  <c:v>2.2000000000000002</c:v>
                </c:pt>
                <c:pt idx="6">
                  <c:v>0.7</c:v>
                </c:pt>
                <c:pt idx="7">
                  <c:v>1</c:v>
                </c:pt>
                <c:pt idx="8">
                  <c:v>1</c:v>
                </c:pt>
                <c:pt idx="9">
                  <c:v>1.7</c:v>
                </c:pt>
                <c:pt idx="10">
                  <c:v>2.6</c:v>
                </c:pt>
                <c:pt idx="11">
                  <c:v>2.2999999999999998</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5.7</c:v>
                </c:pt>
                <c:pt idx="1">
                  <c:v>2.9</c:v>
                </c:pt>
                <c:pt idx="2">
                  <c:v>6.2</c:v>
                </c:pt>
                <c:pt idx="3">
                  <c:v>3.9</c:v>
                </c:pt>
                <c:pt idx="4">
                  <c:v>4.0999999999999996</c:v>
                </c:pt>
                <c:pt idx="5">
                  <c:v>4.5</c:v>
                </c:pt>
                <c:pt idx="6">
                  <c:v>1.3</c:v>
                </c:pt>
                <c:pt idx="7">
                  <c:v>4.8</c:v>
                </c:pt>
                <c:pt idx="8">
                  <c:v>2.6</c:v>
                </c:pt>
                <c:pt idx="9">
                  <c:v>6.8</c:v>
                </c:pt>
                <c:pt idx="10">
                  <c:v>5.0999999999999996</c:v>
                </c:pt>
                <c:pt idx="11">
                  <c:v>7.1</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80</c:v>
                </c:pt>
                <c:pt idx="1">
                  <c:v>80</c:v>
                </c:pt>
                <c:pt idx="2">
                  <c:v>80</c:v>
                </c:pt>
                <c:pt idx="3">
                  <c:v>80</c:v>
                </c:pt>
                <c:pt idx="4">
                  <c:v>80</c:v>
                </c:pt>
                <c:pt idx="5">
                  <c:v>80</c:v>
                </c:pt>
                <c:pt idx="6">
                  <c:v>80</c:v>
                </c:pt>
                <c:pt idx="7">
                  <c:v>80</c:v>
                </c:pt>
                <c:pt idx="8">
                  <c:v>80</c:v>
                </c:pt>
                <c:pt idx="9">
                  <c:v>80</c:v>
                </c:pt>
                <c:pt idx="10">
                  <c:v>80</c:v>
                </c:pt>
                <c:pt idx="11">
                  <c:v>80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69.099999999999994</c:v>
                </c:pt>
                <c:pt idx="1">
                  <c:v>68.7</c:v>
                </c:pt>
                <c:pt idx="2">
                  <c:v>68.400000000000006</c:v>
                </c:pt>
                <c:pt idx="3">
                  <c:v>66.2</c:v>
                </c:pt>
                <c:pt idx="4">
                  <c:v>70</c:v>
                </c:pt>
                <c:pt idx="5">
                  <c:v>70.8</c:v>
                </c:pt>
                <c:pt idx="6">
                  <c:v>65.2</c:v>
                </c:pt>
                <c:pt idx="7">
                  <c:v>87</c:v>
                </c:pt>
                <c:pt idx="8">
                  <c:v>76.8</c:v>
                </c:pt>
                <c:pt idx="9">
                  <c:v>70.900000000000006</c:v>
                </c:pt>
                <c:pt idx="10">
                  <c:v>70.3</c:v>
                </c:pt>
                <c:pt idx="11">
                  <c:v>80.900000000000006</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78.5</c:v>
                </c:pt>
                <c:pt idx="1">
                  <c:v>90.5</c:v>
                </c:pt>
                <c:pt idx="2">
                  <c:v>94.7</c:v>
                </c:pt>
                <c:pt idx="3">
                  <c:v>76.3</c:v>
                </c:pt>
                <c:pt idx="4">
                  <c:v>114.9</c:v>
                </c:pt>
                <c:pt idx="5">
                  <c:v>78</c:v>
                </c:pt>
                <c:pt idx="6">
                  <c:v>78.099999999999994</c:v>
                </c:pt>
                <c:pt idx="7">
                  <c:v>172.4</c:v>
                </c:pt>
                <c:pt idx="8">
                  <c:v>77.8</c:v>
                </c:pt>
                <c:pt idx="9">
                  <c:v>77.900000000000006</c:v>
                </c:pt>
                <c:pt idx="10">
                  <c:v>90.4</c:v>
                </c:pt>
                <c:pt idx="11">
                  <c:v>184.6</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1</xdr:rowOff>
    </xdr:from>
    <xdr:to>
      <xdr:col>7</xdr:col>
      <xdr:colOff>19050</xdr:colOff>
      <xdr:row>5</xdr:row>
      <xdr:rowOff>171450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76475" y="1"/>
          <a:ext cx="2564130" cy="1123949"/>
        </a:xfrm>
        <a:prstGeom prst="rect">
          <a:avLst/>
        </a:prstGeom>
      </xdr:spPr>
    </xdr:pic>
    <xdr:clientData/>
  </xdr:twoCellAnchor>
  <xdr:twoCellAnchor editAs="oneCell">
    <xdr:from>
      <xdr:col>0</xdr:col>
      <xdr:colOff>619124</xdr:colOff>
      <xdr:row>6</xdr:row>
      <xdr:rowOff>180975</xdr:rowOff>
    </xdr:from>
    <xdr:to>
      <xdr:col>9</xdr:col>
      <xdr:colOff>9524</xdr:colOff>
      <xdr:row>23</xdr:row>
      <xdr:rowOff>153062</xdr:rowOff>
    </xdr:to>
    <xdr:pic>
      <xdr:nvPicPr>
        <xdr:cNvPr id="5" name="Picture 4">
          <a:extLst>
            <a:ext uri="{FF2B5EF4-FFF2-40B4-BE49-F238E27FC236}">
              <a16:creationId xmlns:a16="http://schemas.microsoft.com/office/drawing/2014/main" id="{00000000-0008-0000-0000-000005000000}"/>
            </a:ext>
            <a:ext uri="{147F2762-F138-4A5C-976F-8EAC2B608ADB}">
              <a16:predDERef xmlns:a16="http://schemas.microsoft.com/office/drawing/2014/main" pred="{00000000-0008-0000-0000-000003000000}"/>
            </a:ext>
          </a:extLst>
        </xdr:cNvPr>
        <xdr:cNvPicPr>
          <a:picLocks noChangeAspect="1"/>
        </xdr:cNvPicPr>
      </xdr:nvPicPr>
      <xdr:blipFill>
        <a:blip xmlns:r="http://schemas.openxmlformats.org/officeDocument/2006/relationships" r:embed="rId2"/>
        <a:stretch>
          <a:fillRect/>
        </a:stretch>
      </xdr:blipFill>
      <xdr:spPr>
        <a:xfrm>
          <a:off x="619124" y="1323975"/>
          <a:ext cx="5314950" cy="32201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320040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B33" sqref="B33:I33"/>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93"/>
      <c r="C1" s="93"/>
      <c r="D1" s="178" t="s">
        <v>0</v>
      </c>
      <c r="E1" s="178"/>
      <c r="F1" s="178"/>
      <c r="G1" s="178"/>
      <c r="H1" s="93"/>
      <c r="I1" s="93"/>
      <c r="J1" s="93"/>
      <c r="K1" s="93"/>
      <c r="L1" s="93"/>
      <c r="M1" s="93"/>
      <c r="N1" s="93"/>
      <c r="O1" s="93"/>
      <c r="P1" s="93"/>
    </row>
    <row r="2" spans="2:16">
      <c r="B2" s="93"/>
      <c r="C2" s="93"/>
      <c r="D2" s="178"/>
      <c r="E2" s="178"/>
      <c r="F2" s="178"/>
      <c r="G2" s="178"/>
      <c r="H2" s="93"/>
      <c r="I2" s="93"/>
      <c r="J2" s="93"/>
      <c r="K2" s="93"/>
      <c r="L2" s="93"/>
      <c r="M2" s="93"/>
      <c r="N2" s="93" t="s">
        <v>1</v>
      </c>
      <c r="O2" s="93"/>
      <c r="P2" s="106"/>
    </row>
    <row r="3" spans="2:16">
      <c r="B3" s="93"/>
      <c r="C3" s="93"/>
      <c r="D3" s="178"/>
      <c r="E3" s="178"/>
      <c r="F3" s="178"/>
      <c r="G3" s="178"/>
      <c r="H3" s="93"/>
      <c r="I3" s="93"/>
      <c r="J3" s="93"/>
      <c r="K3" s="93"/>
      <c r="L3" s="93"/>
      <c r="M3" s="93"/>
      <c r="N3" s="106"/>
      <c r="O3" s="93"/>
      <c r="P3" s="93"/>
    </row>
    <row r="4" spans="2:16">
      <c r="B4" s="93"/>
      <c r="C4" s="93"/>
      <c r="D4" s="178"/>
      <c r="E4" s="178"/>
      <c r="F4" s="178"/>
      <c r="G4" s="178"/>
      <c r="H4" s="93"/>
      <c r="I4" s="93"/>
      <c r="J4" s="93"/>
      <c r="K4" s="93"/>
      <c r="L4" s="93"/>
      <c r="M4" s="93"/>
      <c r="N4" s="93"/>
      <c r="O4" s="93"/>
      <c r="P4" s="93"/>
    </row>
    <row r="5" spans="2:16">
      <c r="B5" s="93"/>
      <c r="C5" s="93"/>
      <c r="D5" s="178"/>
      <c r="E5" s="178"/>
      <c r="F5" s="178"/>
      <c r="G5" s="178"/>
      <c r="H5" s="93"/>
      <c r="I5" s="93"/>
      <c r="J5" s="93"/>
      <c r="K5" s="93"/>
      <c r="L5" s="93"/>
      <c r="M5" s="93"/>
      <c r="N5" s="93"/>
      <c r="O5" s="93"/>
      <c r="P5" s="93"/>
    </row>
    <row r="6" spans="2:16">
      <c r="B6" s="93"/>
      <c r="C6" s="93"/>
      <c r="D6" s="178"/>
      <c r="E6" s="178"/>
      <c r="F6" s="178"/>
      <c r="G6" s="178"/>
      <c r="H6" s="93"/>
      <c r="I6" s="93"/>
      <c r="J6" s="93"/>
      <c r="K6" s="93"/>
      <c r="L6" s="93"/>
      <c r="M6" s="93"/>
      <c r="N6" s="93"/>
      <c r="O6" s="93"/>
      <c r="P6" s="93"/>
    </row>
    <row r="8" spans="2:16" ht="15.75" customHeight="1">
      <c r="B8" s="178" t="s">
        <v>2</v>
      </c>
      <c r="C8" s="178"/>
      <c r="D8" s="178"/>
      <c r="E8" s="178"/>
      <c r="F8" s="178"/>
      <c r="G8" s="178"/>
      <c r="H8" s="178"/>
      <c r="I8" s="178"/>
      <c r="J8" s="93"/>
      <c r="K8" s="93"/>
      <c r="L8" s="93"/>
      <c r="M8" s="93"/>
      <c r="N8" s="71"/>
      <c r="O8" s="93"/>
      <c r="P8" s="93"/>
    </row>
    <row r="9" spans="2:16">
      <c r="B9" s="178"/>
      <c r="C9" s="178"/>
      <c r="D9" s="178"/>
      <c r="E9" s="178"/>
      <c r="F9" s="178"/>
      <c r="G9" s="178"/>
      <c r="H9" s="178"/>
      <c r="I9" s="178"/>
      <c r="J9" s="93"/>
      <c r="K9" s="93"/>
      <c r="L9" s="93"/>
      <c r="M9" s="93"/>
      <c r="N9" s="93"/>
      <c r="O9" s="93"/>
      <c r="P9" s="93"/>
    </row>
    <row r="10" spans="2:16">
      <c r="B10" s="178"/>
      <c r="C10" s="178"/>
      <c r="D10" s="178"/>
      <c r="E10" s="178"/>
      <c r="F10" s="178"/>
      <c r="G10" s="178"/>
      <c r="H10" s="178"/>
      <c r="I10" s="178"/>
      <c r="J10" s="93"/>
      <c r="K10" s="93"/>
      <c r="L10" s="93"/>
      <c r="M10" s="93"/>
      <c r="N10" s="93"/>
      <c r="O10" s="93"/>
      <c r="P10" s="93"/>
    </row>
    <row r="11" spans="2:16">
      <c r="B11" s="178"/>
      <c r="C11" s="178"/>
      <c r="D11" s="178"/>
      <c r="E11" s="178"/>
      <c r="F11" s="178"/>
      <c r="G11" s="178"/>
      <c r="H11" s="178"/>
      <c r="I11" s="178"/>
      <c r="J11" s="93"/>
      <c r="K11" s="93"/>
      <c r="L11" s="93"/>
      <c r="M11" s="93"/>
      <c r="N11" s="93"/>
      <c r="O11" s="93"/>
      <c r="P11" s="93"/>
    </row>
    <row r="12" spans="2:16">
      <c r="B12" s="178"/>
      <c r="C12" s="178"/>
      <c r="D12" s="178"/>
      <c r="E12" s="178"/>
      <c r="F12" s="178"/>
      <c r="G12" s="178"/>
      <c r="H12" s="178"/>
      <c r="I12" s="178"/>
      <c r="J12" s="93"/>
      <c r="K12" s="93"/>
      <c r="L12" s="93"/>
      <c r="M12" s="93"/>
      <c r="N12" s="93"/>
      <c r="O12" s="93"/>
      <c r="P12" s="93"/>
    </row>
    <row r="13" spans="2:16" ht="15.6">
      <c r="B13" s="178"/>
      <c r="C13" s="178"/>
      <c r="D13" s="178"/>
      <c r="E13" s="178"/>
      <c r="F13" s="178"/>
      <c r="G13" s="178"/>
      <c r="H13" s="178"/>
      <c r="I13" s="178"/>
      <c r="J13" s="93"/>
      <c r="K13" s="93"/>
      <c r="L13" s="93"/>
      <c r="M13" s="93"/>
      <c r="N13" s="75" t="s">
        <v>3</v>
      </c>
      <c r="O13" s="73"/>
      <c r="P13" s="73"/>
    </row>
    <row r="14" spans="2:16" ht="15.6" customHeight="1">
      <c r="B14" s="178"/>
      <c r="C14" s="178"/>
      <c r="D14" s="178"/>
      <c r="E14" s="178"/>
      <c r="F14" s="178"/>
      <c r="G14" s="178"/>
      <c r="H14" s="178"/>
      <c r="I14" s="178"/>
      <c r="J14" s="93"/>
      <c r="K14" s="93"/>
      <c r="L14" s="93"/>
      <c r="M14" s="93"/>
      <c r="N14" s="176" t="s">
        <v>4</v>
      </c>
      <c r="O14" s="176"/>
      <c r="P14" s="176"/>
    </row>
    <row r="15" spans="2:16">
      <c r="B15" s="178"/>
      <c r="C15" s="178"/>
      <c r="D15" s="178"/>
      <c r="E15" s="178"/>
      <c r="F15" s="178"/>
      <c r="G15" s="178"/>
      <c r="H15" s="178"/>
      <c r="I15" s="178"/>
      <c r="J15" s="93"/>
      <c r="K15" s="93"/>
      <c r="L15" s="93"/>
      <c r="M15" s="93"/>
      <c r="N15" s="176"/>
      <c r="O15" s="176"/>
      <c r="P15" s="176"/>
    </row>
    <row r="16" spans="2:16">
      <c r="B16" s="178"/>
      <c r="C16" s="178"/>
      <c r="D16" s="178"/>
      <c r="E16" s="178"/>
      <c r="F16" s="178"/>
      <c r="G16" s="178"/>
      <c r="H16" s="178"/>
      <c r="I16" s="178"/>
      <c r="J16" s="93"/>
      <c r="K16" s="93"/>
      <c r="L16" s="93"/>
      <c r="M16" s="93"/>
      <c r="N16" s="176"/>
      <c r="O16" s="176"/>
      <c r="P16" s="176"/>
    </row>
    <row r="17" spans="2:16">
      <c r="B17" s="178"/>
      <c r="C17" s="178"/>
      <c r="D17" s="178"/>
      <c r="E17" s="178"/>
      <c r="F17" s="178"/>
      <c r="G17" s="178"/>
      <c r="H17" s="178"/>
      <c r="I17" s="178"/>
      <c r="J17" s="93"/>
      <c r="K17" s="93"/>
      <c r="L17" s="93"/>
      <c r="M17" s="93"/>
      <c r="N17" s="176"/>
      <c r="O17" s="176"/>
      <c r="P17" s="176"/>
    </row>
    <row r="18" spans="2:16">
      <c r="B18" s="178"/>
      <c r="C18" s="178"/>
      <c r="D18" s="178"/>
      <c r="E18" s="178"/>
      <c r="F18" s="178"/>
      <c r="G18" s="178"/>
      <c r="H18" s="178"/>
      <c r="I18" s="178"/>
      <c r="J18" s="93"/>
      <c r="K18" s="93"/>
      <c r="L18" s="93"/>
      <c r="M18" s="93"/>
      <c r="N18" s="176"/>
      <c r="O18" s="176"/>
      <c r="P18" s="176"/>
    </row>
    <row r="19" spans="2:16">
      <c r="B19" s="178"/>
      <c r="C19" s="178"/>
      <c r="D19" s="178"/>
      <c r="E19" s="178"/>
      <c r="F19" s="178"/>
      <c r="G19" s="178"/>
      <c r="H19" s="178"/>
      <c r="I19" s="178"/>
      <c r="J19" s="93"/>
      <c r="K19" s="93"/>
      <c r="L19" s="93"/>
      <c r="M19" s="93"/>
      <c r="N19" s="176"/>
      <c r="O19" s="176"/>
      <c r="P19" s="176"/>
    </row>
    <row r="20" spans="2:16">
      <c r="B20" s="178"/>
      <c r="C20" s="178"/>
      <c r="D20" s="178"/>
      <c r="E20" s="178"/>
      <c r="F20" s="178"/>
      <c r="G20" s="178"/>
      <c r="H20" s="178"/>
      <c r="I20" s="178"/>
      <c r="J20" s="93"/>
      <c r="K20" s="93"/>
      <c r="L20" s="93"/>
      <c r="M20" s="93"/>
      <c r="N20" s="93"/>
      <c r="O20" s="93"/>
      <c r="P20" s="93"/>
    </row>
    <row r="21" spans="2:16">
      <c r="B21" s="178"/>
      <c r="C21" s="178"/>
      <c r="D21" s="178"/>
      <c r="E21" s="178"/>
      <c r="F21" s="178"/>
      <c r="G21" s="178"/>
      <c r="H21" s="178"/>
      <c r="I21" s="178"/>
      <c r="J21" s="93"/>
      <c r="K21" s="93"/>
      <c r="L21" s="93"/>
      <c r="M21" s="93"/>
      <c r="N21" s="93"/>
      <c r="O21" s="93"/>
      <c r="P21" s="93"/>
    </row>
    <row r="22" spans="2:16">
      <c r="B22" s="178"/>
      <c r="C22" s="178"/>
      <c r="D22" s="178"/>
      <c r="E22" s="178"/>
      <c r="F22" s="178"/>
      <c r="G22" s="178"/>
      <c r="H22" s="178"/>
      <c r="I22" s="178"/>
      <c r="J22" s="93"/>
      <c r="K22" s="93"/>
      <c r="L22" s="93"/>
      <c r="M22" s="93"/>
      <c r="N22" s="93"/>
      <c r="O22" s="93"/>
      <c r="P22" s="93"/>
    </row>
    <row r="23" spans="2:16">
      <c r="B23" s="178"/>
      <c r="C23" s="178"/>
      <c r="D23" s="178"/>
      <c r="E23" s="178"/>
      <c r="F23" s="178"/>
      <c r="G23" s="178"/>
      <c r="H23" s="178"/>
      <c r="I23" s="178"/>
      <c r="J23" s="93"/>
      <c r="K23" s="93"/>
      <c r="L23" s="93"/>
      <c r="M23" s="93"/>
      <c r="N23" s="93"/>
      <c r="O23" s="93"/>
      <c r="P23" s="93"/>
    </row>
    <row r="24" spans="2:16">
      <c r="B24" s="178"/>
      <c r="C24" s="178"/>
      <c r="D24" s="178"/>
      <c r="E24" s="178"/>
      <c r="F24" s="178"/>
      <c r="G24" s="178"/>
      <c r="H24" s="178"/>
      <c r="I24" s="178"/>
      <c r="J24" s="93"/>
      <c r="K24" s="93"/>
      <c r="L24" s="93"/>
      <c r="M24" s="93"/>
      <c r="N24" s="93"/>
      <c r="O24" s="93"/>
      <c r="P24" s="93"/>
    </row>
    <row r="29" spans="2:16" ht="17.45">
      <c r="B29" s="177" t="s">
        <v>5</v>
      </c>
      <c r="C29" s="177"/>
      <c r="D29" s="177"/>
      <c r="E29" s="177"/>
      <c r="F29" s="177"/>
      <c r="G29" s="177"/>
      <c r="H29" s="177"/>
      <c r="I29" s="177"/>
      <c r="J29" s="93"/>
      <c r="K29" s="93"/>
      <c r="L29" s="93"/>
      <c r="M29" s="93"/>
      <c r="N29" s="93"/>
      <c r="O29" s="93"/>
      <c r="P29" s="93"/>
    </row>
    <row r="30" spans="2:16" ht="17.45">
      <c r="B30" s="93"/>
      <c r="C30" s="7"/>
      <c r="D30" s="8"/>
      <c r="E30" s="8"/>
      <c r="F30" s="8"/>
      <c r="G30" s="8"/>
      <c r="H30" s="8"/>
      <c r="I30" s="8"/>
      <c r="J30" s="93"/>
      <c r="K30" s="93"/>
      <c r="L30" s="93"/>
      <c r="M30" s="93"/>
      <c r="N30" s="93"/>
      <c r="O30" s="93"/>
      <c r="P30" s="93"/>
    </row>
    <row r="31" spans="2:16" ht="17.45">
      <c r="B31" s="177" t="s">
        <v>6</v>
      </c>
      <c r="C31" s="177"/>
      <c r="D31" s="177"/>
      <c r="E31" s="177"/>
      <c r="F31" s="177"/>
      <c r="G31" s="177"/>
      <c r="H31" s="177"/>
      <c r="I31" s="177"/>
      <c r="J31" s="93"/>
      <c r="K31" s="93"/>
      <c r="L31" s="93"/>
      <c r="M31" s="93"/>
      <c r="N31" s="93"/>
      <c r="O31" s="93"/>
      <c r="P31" s="93"/>
    </row>
    <row r="32" spans="2:16" ht="17.45">
      <c r="B32" s="93"/>
      <c r="C32" s="7"/>
      <c r="D32" s="8"/>
      <c r="E32" s="8"/>
      <c r="F32" s="8"/>
      <c r="G32" s="8"/>
      <c r="H32" s="8"/>
      <c r="I32" s="8"/>
      <c r="J32" s="93"/>
      <c r="K32" s="93"/>
      <c r="L32" s="93"/>
      <c r="M32" s="93"/>
      <c r="N32" s="93"/>
      <c r="O32" s="93"/>
      <c r="P32" s="93"/>
    </row>
    <row r="33" spans="2:9" ht="17.45">
      <c r="B33" s="177" t="s">
        <v>7</v>
      </c>
      <c r="C33" s="177"/>
      <c r="D33" s="177"/>
      <c r="E33" s="177"/>
      <c r="F33" s="177"/>
      <c r="G33" s="177"/>
      <c r="H33" s="177"/>
      <c r="I33" s="177"/>
    </row>
    <row r="34" spans="2:9" ht="17.45">
      <c r="B34" s="93"/>
      <c r="C34" s="7"/>
      <c r="D34" s="8"/>
      <c r="E34" s="8"/>
      <c r="F34" s="8"/>
      <c r="G34" s="8"/>
      <c r="H34" s="8"/>
      <c r="I34" s="8"/>
    </row>
    <row r="35" spans="2:9" ht="17.45">
      <c r="B35" s="177" t="s">
        <v>8</v>
      </c>
      <c r="C35" s="177"/>
      <c r="D35" s="177"/>
      <c r="E35" s="177"/>
      <c r="F35" s="177"/>
      <c r="G35" s="177"/>
      <c r="H35" s="177"/>
      <c r="I35" s="177"/>
    </row>
    <row r="37" spans="2:9" ht="17.45">
      <c r="B37" s="177" t="s">
        <v>9</v>
      </c>
      <c r="C37" s="177"/>
      <c r="D37" s="177"/>
      <c r="E37" s="177"/>
      <c r="F37" s="177"/>
      <c r="G37" s="177"/>
      <c r="H37" s="177"/>
      <c r="I37" s="177"/>
    </row>
    <row r="39" spans="2:9">
      <c r="B39" s="93" t="s">
        <v>10</v>
      </c>
      <c r="C39" s="107">
        <v>2022</v>
      </c>
      <c r="D39" s="93"/>
      <c r="E39" s="93"/>
      <c r="F39" s="93"/>
      <c r="G39" s="93"/>
      <c r="H39" s="93"/>
      <c r="I39" s="93"/>
    </row>
    <row r="40" spans="2:9" ht="14.25" customHeight="1">
      <c r="B40" s="93"/>
      <c r="C40" s="93"/>
      <c r="D40" s="93"/>
      <c r="E40" s="93"/>
      <c r="F40" s="93"/>
      <c r="G40" s="93"/>
      <c r="H40" s="93"/>
      <c r="I40" s="93"/>
    </row>
    <row r="41" spans="2:9">
      <c r="B41" s="108" t="s">
        <v>11</v>
      </c>
      <c r="C41" s="179" t="s">
        <v>12</v>
      </c>
      <c r="D41" s="179"/>
      <c r="E41" s="179"/>
      <c r="F41" s="179"/>
      <c r="G41" s="179"/>
      <c r="H41" s="179"/>
      <c r="I41" s="179"/>
    </row>
    <row r="42" spans="2:9">
      <c r="B42" s="108"/>
      <c r="C42" s="93"/>
      <c r="D42" s="93"/>
      <c r="E42" s="93"/>
      <c r="F42" s="93"/>
      <c r="G42" s="93"/>
      <c r="H42" s="93"/>
      <c r="I42" s="93"/>
    </row>
    <row r="43" spans="2:9">
      <c r="B43" s="108" t="s">
        <v>13</v>
      </c>
      <c r="C43" s="179" t="s">
        <v>14</v>
      </c>
      <c r="D43" s="179"/>
      <c r="E43" s="179"/>
      <c r="F43" s="93"/>
      <c r="G43" s="93"/>
      <c r="H43" s="93"/>
      <c r="I43" s="93"/>
    </row>
    <row r="44" spans="2:9">
      <c r="B44" s="108"/>
      <c r="C44" s="93"/>
      <c r="D44" s="93"/>
      <c r="E44" s="93"/>
      <c r="F44" s="93"/>
      <c r="G44" s="93"/>
      <c r="H44" s="93"/>
      <c r="I44" s="93"/>
    </row>
    <row r="45" spans="2:9">
      <c r="B45" s="108" t="s">
        <v>15</v>
      </c>
      <c r="C45" s="179"/>
      <c r="D45" s="179"/>
      <c r="E45" s="179"/>
      <c r="F45" s="93"/>
      <c r="G45" s="93"/>
      <c r="H45" s="93"/>
      <c r="I45" s="93"/>
    </row>
    <row r="46" spans="2:9">
      <c r="B46" s="108"/>
      <c r="C46" s="93"/>
      <c r="D46" s="93"/>
      <c r="E46" s="93"/>
      <c r="F46" s="93"/>
      <c r="G46" s="93"/>
      <c r="H46" s="93"/>
      <c r="I46" s="93"/>
    </row>
    <row r="47" spans="2:9">
      <c r="B47" s="108" t="s">
        <v>16</v>
      </c>
      <c r="C47" s="179" t="s">
        <v>17</v>
      </c>
      <c r="D47" s="179"/>
      <c r="E47" s="93"/>
      <c r="F47" s="93" t="s">
        <v>18</v>
      </c>
      <c r="G47" s="180" t="s">
        <v>19</v>
      </c>
      <c r="H47" s="180"/>
      <c r="I47" s="180"/>
    </row>
    <row r="48" spans="2:9">
      <c r="B48" s="108"/>
      <c r="C48" s="93"/>
      <c r="D48" s="93"/>
      <c r="E48" s="93"/>
      <c r="F48" s="93"/>
      <c r="G48" s="93"/>
      <c r="H48" s="93"/>
      <c r="I48" s="93"/>
    </row>
    <row r="49" spans="2:9">
      <c r="B49" s="108" t="s">
        <v>20</v>
      </c>
      <c r="C49" s="179"/>
      <c r="D49" s="179"/>
      <c r="E49" s="93"/>
      <c r="F49" s="93" t="s">
        <v>18</v>
      </c>
      <c r="G49" s="179"/>
      <c r="H49" s="179"/>
      <c r="I49" s="179"/>
    </row>
    <row r="50" spans="2:9">
      <c r="B50" s="108"/>
      <c r="C50" s="93"/>
      <c r="D50" s="93"/>
      <c r="E50" s="93"/>
      <c r="F50" s="93"/>
      <c r="G50" s="93"/>
      <c r="H50" s="93"/>
      <c r="I50" s="93"/>
    </row>
    <row r="51" spans="2:9">
      <c r="B51" s="108" t="s">
        <v>21</v>
      </c>
      <c r="C51" s="107"/>
      <c r="D51" s="93"/>
      <c r="E51" s="93"/>
      <c r="F51" s="93"/>
      <c r="G51" s="93"/>
      <c r="H51" s="93"/>
      <c r="I51" s="93"/>
    </row>
    <row r="52" spans="2:9">
      <c r="B52" s="108"/>
      <c r="C52" s="93"/>
      <c r="D52" s="93"/>
      <c r="E52" s="93"/>
      <c r="F52" s="93"/>
      <c r="G52" s="93"/>
      <c r="H52" s="93"/>
      <c r="I52" s="93"/>
    </row>
    <row r="53" spans="2:9">
      <c r="B53" s="108" t="s">
        <v>22</v>
      </c>
      <c r="C53" s="179"/>
      <c r="D53" s="179"/>
      <c r="E53" s="93"/>
      <c r="F53" s="93"/>
      <c r="G53" s="93"/>
      <c r="H53" s="93"/>
      <c r="I53" s="93"/>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pageMargins left="1.0899999999999999" right="0.7" top="0.75" bottom="0.75" header="0.3" footer="0.3"/>
  <pageSetup scale="80" orientation="portrait" r:id="rId1"/>
  <headerFooter differentFirst="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5"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H24" sqref="H24"/>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93" t="str">
        <f>+'Cover Page'!$B$29</f>
        <v>Annual Performance Report 2022</v>
      </c>
      <c r="B1" s="93"/>
      <c r="C1" s="93"/>
      <c r="D1" s="93"/>
      <c r="E1" s="93" t="str">
        <f>+'Cover Page'!$B$33</f>
        <v>EPR Thetford Power Station</v>
      </c>
      <c r="F1" s="93"/>
      <c r="G1" s="93"/>
      <c r="H1" s="93"/>
      <c r="I1" s="93"/>
      <c r="J1" s="93"/>
      <c r="K1" s="93"/>
      <c r="L1" s="93"/>
      <c r="M1" s="93"/>
      <c r="N1" s="93"/>
      <c r="O1" s="93"/>
    </row>
    <row r="3" spans="1:15" ht="15.6">
      <c r="A3" s="53" t="s">
        <v>23</v>
      </c>
      <c r="B3" s="109"/>
      <c r="C3" s="109"/>
      <c r="D3" s="109"/>
      <c r="E3" s="109"/>
      <c r="F3" s="109"/>
      <c r="G3" s="109"/>
      <c r="H3" s="110"/>
      <c r="I3" s="93"/>
      <c r="J3" s="93"/>
      <c r="K3" s="75" t="s">
        <v>3</v>
      </c>
      <c r="L3" s="93"/>
      <c r="M3" s="93"/>
      <c r="N3" s="93"/>
      <c r="O3" s="93"/>
    </row>
    <row r="4" spans="1:15" ht="15.6">
      <c r="A4" s="5" t="s">
        <v>24</v>
      </c>
      <c r="B4" s="182" t="s">
        <v>25</v>
      </c>
      <c r="C4" s="182"/>
      <c r="D4" s="182"/>
      <c r="E4" s="182"/>
      <c r="F4" s="182"/>
      <c r="G4" s="182"/>
      <c r="H4" s="6" t="s">
        <v>26</v>
      </c>
      <c r="I4" s="93"/>
      <c r="J4" s="93"/>
      <c r="K4" s="73" t="s">
        <v>27</v>
      </c>
      <c r="L4" s="93"/>
      <c r="M4" s="93"/>
      <c r="N4" s="93"/>
      <c r="O4" s="93"/>
    </row>
    <row r="5" spans="1:15" ht="15.6" customHeight="1">
      <c r="A5" s="4"/>
      <c r="B5" s="181" t="s">
        <v>28</v>
      </c>
      <c r="C5" s="181"/>
      <c r="D5" s="181"/>
      <c r="E5" s="181"/>
      <c r="F5" s="181"/>
      <c r="G5" s="181"/>
      <c r="H5" s="4">
        <v>3</v>
      </c>
      <c r="I5" s="93"/>
      <c r="J5" s="93"/>
      <c r="K5" s="176" t="s">
        <v>29</v>
      </c>
      <c r="L5" s="176"/>
      <c r="M5" s="176"/>
      <c r="N5" s="176"/>
      <c r="O5" s="176"/>
    </row>
    <row r="6" spans="1:15">
      <c r="A6" s="4"/>
      <c r="B6" s="181" t="s">
        <v>30</v>
      </c>
      <c r="C6" s="181"/>
      <c r="D6" s="181"/>
      <c r="E6" s="181"/>
      <c r="F6" s="181"/>
      <c r="G6" s="181"/>
      <c r="H6" s="4">
        <v>4</v>
      </c>
      <c r="I6" s="93"/>
      <c r="J6" s="93"/>
      <c r="K6" s="176"/>
      <c r="L6" s="176"/>
      <c r="M6" s="176"/>
      <c r="N6" s="176"/>
      <c r="O6" s="176"/>
    </row>
    <row r="7" spans="1:15" ht="15.75" customHeight="1">
      <c r="A7" s="4"/>
      <c r="B7" s="181" t="s">
        <v>31</v>
      </c>
      <c r="C7" s="181"/>
      <c r="D7" s="181"/>
      <c r="E7" s="181"/>
      <c r="F7" s="181"/>
      <c r="G7" s="181"/>
      <c r="H7" s="4">
        <v>5</v>
      </c>
      <c r="I7" s="93"/>
      <c r="J7" s="93"/>
      <c r="K7" s="176"/>
      <c r="L7" s="176"/>
      <c r="M7" s="176"/>
      <c r="N7" s="176"/>
      <c r="O7" s="176"/>
    </row>
    <row r="8" spans="1:15">
      <c r="A8" s="4"/>
      <c r="B8" s="181" t="s">
        <v>32</v>
      </c>
      <c r="C8" s="181"/>
      <c r="D8" s="181"/>
      <c r="E8" s="181"/>
      <c r="F8" s="181"/>
      <c r="G8" s="181"/>
      <c r="H8" s="4">
        <v>6</v>
      </c>
      <c r="I8" s="93"/>
      <c r="J8" s="93"/>
      <c r="K8" s="176"/>
      <c r="L8" s="176"/>
      <c r="M8" s="176"/>
      <c r="N8" s="176"/>
      <c r="O8" s="176"/>
    </row>
    <row r="9" spans="1:15">
      <c r="A9" s="4"/>
      <c r="B9" s="181" t="s">
        <v>33</v>
      </c>
      <c r="C9" s="181"/>
      <c r="D9" s="181"/>
      <c r="E9" s="181"/>
      <c r="F9" s="181"/>
      <c r="G9" s="181"/>
      <c r="H9" s="4">
        <v>7</v>
      </c>
      <c r="I9" s="93"/>
      <c r="J9" s="93"/>
      <c r="K9" s="93"/>
      <c r="L9" s="93"/>
      <c r="M9" s="93"/>
      <c r="N9" s="93"/>
      <c r="O9" s="93"/>
    </row>
    <row r="10" spans="1:15">
      <c r="A10" s="4"/>
      <c r="B10" s="181" t="s">
        <v>34</v>
      </c>
      <c r="C10" s="181"/>
      <c r="D10" s="181"/>
      <c r="E10" s="181"/>
      <c r="F10" s="181"/>
      <c r="G10" s="181"/>
      <c r="H10" s="4">
        <v>8</v>
      </c>
      <c r="I10" s="93"/>
      <c r="J10" s="93"/>
      <c r="K10" s="93"/>
      <c r="L10" s="93"/>
      <c r="M10" s="93"/>
      <c r="N10" s="93"/>
      <c r="O10" s="93"/>
    </row>
    <row r="11" spans="1:15">
      <c r="A11" s="4"/>
      <c r="B11" s="181" t="s">
        <v>35</v>
      </c>
      <c r="C11" s="181"/>
      <c r="D11" s="181"/>
      <c r="E11" s="181"/>
      <c r="F11" s="181"/>
      <c r="G11" s="181"/>
      <c r="H11" s="4">
        <v>9</v>
      </c>
      <c r="I11" s="93"/>
      <c r="J11" s="93"/>
      <c r="K11" s="93"/>
      <c r="L11" s="93"/>
      <c r="M11" s="93"/>
      <c r="N11" s="93"/>
      <c r="O11" s="93"/>
    </row>
    <row r="12" spans="1:15">
      <c r="A12" s="4"/>
      <c r="B12" s="181" t="s">
        <v>36</v>
      </c>
      <c r="C12" s="181"/>
      <c r="D12" s="181"/>
      <c r="E12" s="181"/>
      <c r="F12" s="181"/>
      <c r="G12" s="181"/>
      <c r="H12" s="4">
        <v>10</v>
      </c>
      <c r="I12" s="93"/>
      <c r="J12" s="93"/>
      <c r="K12" s="93"/>
      <c r="L12" s="93"/>
      <c r="M12" s="93"/>
      <c r="N12" s="93"/>
      <c r="O12" s="93"/>
    </row>
    <row r="13" spans="1:15" ht="15.6">
      <c r="A13" s="4"/>
      <c r="B13" s="183" t="s">
        <v>37</v>
      </c>
      <c r="C13" s="184"/>
      <c r="D13" s="184"/>
      <c r="E13" s="184"/>
      <c r="F13" s="184"/>
      <c r="G13" s="185"/>
      <c r="H13" s="4">
        <v>11</v>
      </c>
      <c r="I13" s="93"/>
      <c r="J13" s="93"/>
      <c r="K13" s="93"/>
      <c r="L13" s="93"/>
      <c r="M13" s="93"/>
      <c r="N13" s="93"/>
      <c r="O13" s="93"/>
    </row>
    <row r="14" spans="1:15">
      <c r="A14" s="4"/>
      <c r="B14" s="181" t="s">
        <v>38</v>
      </c>
      <c r="C14" s="181"/>
      <c r="D14" s="181"/>
      <c r="E14" s="181"/>
      <c r="F14" s="181"/>
      <c r="G14" s="181"/>
      <c r="H14" s="4">
        <v>12</v>
      </c>
      <c r="I14" s="93"/>
      <c r="J14" s="93"/>
      <c r="K14" s="93"/>
      <c r="L14" s="93"/>
      <c r="M14" s="93"/>
      <c r="N14" s="93"/>
      <c r="O14" s="93"/>
    </row>
    <row r="15" spans="1:15">
      <c r="A15" s="4"/>
      <c r="B15" s="181" t="s">
        <v>39</v>
      </c>
      <c r="C15" s="181"/>
      <c r="D15" s="181"/>
      <c r="E15" s="181"/>
      <c r="F15" s="181"/>
      <c r="G15" s="181"/>
      <c r="H15" s="4">
        <v>13</v>
      </c>
      <c r="I15" s="93"/>
      <c r="J15" s="93"/>
      <c r="K15" s="93"/>
      <c r="L15" s="93"/>
      <c r="M15" s="93"/>
      <c r="N15" s="93"/>
      <c r="O15" s="93"/>
    </row>
    <row r="16" spans="1:15">
      <c r="A16" s="4"/>
      <c r="B16" s="181" t="s">
        <v>40</v>
      </c>
      <c r="C16" s="181"/>
      <c r="D16" s="181"/>
      <c r="E16" s="181"/>
      <c r="F16" s="181"/>
      <c r="G16" s="181"/>
      <c r="H16" s="4">
        <v>14</v>
      </c>
      <c r="I16" s="93"/>
      <c r="J16" s="93"/>
      <c r="K16" s="93"/>
      <c r="L16" s="93"/>
      <c r="M16" s="93"/>
      <c r="N16" s="93"/>
      <c r="O16" s="93"/>
    </row>
    <row r="17" spans="1:8">
      <c r="A17" s="4"/>
      <c r="B17" s="181" t="s">
        <v>41</v>
      </c>
      <c r="C17" s="181"/>
      <c r="D17" s="181"/>
      <c r="E17" s="181"/>
      <c r="F17" s="181"/>
      <c r="G17" s="181"/>
      <c r="H17" s="4">
        <v>15</v>
      </c>
    </row>
    <row r="18" spans="1:8">
      <c r="A18" s="4"/>
      <c r="B18" s="181" t="s">
        <v>42</v>
      </c>
      <c r="C18" s="181"/>
      <c r="D18" s="181"/>
      <c r="E18" s="181"/>
      <c r="F18" s="181"/>
      <c r="G18" s="181"/>
      <c r="H18" s="4">
        <v>16</v>
      </c>
    </row>
    <row r="19" spans="1:8">
      <c r="A19" s="4"/>
      <c r="B19" s="181" t="s">
        <v>43</v>
      </c>
      <c r="C19" s="181"/>
      <c r="D19" s="181"/>
      <c r="E19" s="181"/>
      <c r="F19" s="181"/>
      <c r="G19" s="181"/>
      <c r="H19" s="4">
        <v>17</v>
      </c>
    </row>
    <row r="20" spans="1:8">
      <c r="A20" s="4"/>
      <c r="B20" s="181" t="s">
        <v>44</v>
      </c>
      <c r="C20" s="181"/>
      <c r="D20" s="181"/>
      <c r="E20" s="181"/>
      <c r="F20" s="181"/>
      <c r="G20" s="181"/>
      <c r="H20" s="4">
        <v>18</v>
      </c>
    </row>
    <row r="21" spans="1:8">
      <c r="A21" s="4"/>
      <c r="B21" s="181" t="s">
        <v>45</v>
      </c>
      <c r="C21" s="181"/>
      <c r="D21" s="181"/>
      <c r="E21" s="181"/>
      <c r="F21" s="181"/>
      <c r="G21" s="181"/>
      <c r="H21" s="4">
        <v>19</v>
      </c>
    </row>
    <row r="22" spans="1:8">
      <c r="A22" s="4"/>
      <c r="B22" s="181" t="s">
        <v>46</v>
      </c>
      <c r="C22" s="181"/>
      <c r="D22" s="181"/>
      <c r="E22" s="181"/>
      <c r="F22" s="181"/>
      <c r="G22" s="181"/>
      <c r="H22" s="4">
        <v>20</v>
      </c>
    </row>
    <row r="23" spans="1:8">
      <c r="A23" s="4"/>
      <c r="B23" s="187" t="s">
        <v>47</v>
      </c>
      <c r="C23" s="188"/>
      <c r="D23" s="188"/>
      <c r="E23" s="188"/>
      <c r="F23" s="188"/>
      <c r="G23" s="189"/>
      <c r="H23" s="4">
        <v>21</v>
      </c>
    </row>
    <row r="24" spans="1:8">
      <c r="A24" s="4"/>
      <c r="B24" s="187" t="s">
        <v>48</v>
      </c>
      <c r="C24" s="188"/>
      <c r="D24" s="188"/>
      <c r="E24" s="188"/>
      <c r="F24" s="188"/>
      <c r="G24" s="189"/>
      <c r="H24" s="4"/>
    </row>
    <row r="25" spans="1:8">
      <c r="A25" s="4"/>
      <c r="B25" s="190"/>
      <c r="C25" s="190"/>
      <c r="D25" s="190"/>
      <c r="E25" s="190"/>
      <c r="F25" s="190"/>
      <c r="G25" s="190"/>
      <c r="H25" s="4"/>
    </row>
    <row r="27" spans="1:8">
      <c r="A27" s="52" t="s">
        <v>49</v>
      </c>
      <c r="B27" s="109"/>
      <c r="C27" s="109"/>
      <c r="D27" s="109"/>
      <c r="E27" s="109"/>
      <c r="F27" s="109"/>
      <c r="G27" s="109"/>
      <c r="H27" s="110"/>
    </row>
    <row r="28" spans="1:8">
      <c r="A28" s="10" t="s">
        <v>24</v>
      </c>
      <c r="B28" s="191" t="s">
        <v>50</v>
      </c>
      <c r="C28" s="191"/>
      <c r="D28" s="191"/>
      <c r="E28" s="191"/>
      <c r="F28" s="191"/>
      <c r="G28" s="191"/>
      <c r="H28" s="11" t="s">
        <v>51</v>
      </c>
    </row>
    <row r="29" spans="1:8">
      <c r="A29" s="111"/>
      <c r="B29" s="192"/>
      <c r="C29" s="192"/>
      <c r="D29" s="192"/>
      <c r="E29" s="192"/>
      <c r="F29" s="192"/>
      <c r="G29" s="192"/>
      <c r="H29" s="111"/>
    </row>
    <row r="30" spans="1:8">
      <c r="A30" s="111"/>
      <c r="B30" s="192"/>
      <c r="C30" s="192"/>
      <c r="D30" s="192"/>
      <c r="E30" s="192"/>
      <c r="F30" s="192"/>
      <c r="G30" s="192"/>
      <c r="H30" s="111"/>
    </row>
    <row r="31" spans="1:8">
      <c r="A31" s="111"/>
      <c r="B31" s="192"/>
      <c r="C31" s="192"/>
      <c r="D31" s="192"/>
      <c r="E31" s="192"/>
      <c r="F31" s="192"/>
      <c r="G31" s="192"/>
      <c r="H31" s="111"/>
    </row>
    <row r="32" spans="1:8">
      <c r="A32" s="111"/>
      <c r="B32" s="192"/>
      <c r="C32" s="192"/>
      <c r="D32" s="192"/>
      <c r="E32" s="192"/>
      <c r="F32" s="192"/>
      <c r="G32" s="192"/>
      <c r="H32" s="111"/>
    </row>
    <row r="33" spans="1:10">
      <c r="A33" s="111"/>
      <c r="B33" s="192"/>
      <c r="C33" s="192"/>
      <c r="D33" s="192"/>
      <c r="E33" s="192"/>
      <c r="F33" s="192"/>
      <c r="G33" s="192"/>
      <c r="H33" s="111"/>
      <c r="I33" s="93"/>
      <c r="J33" s="93"/>
    </row>
    <row r="35" spans="1:10" ht="14.25" customHeight="1">
      <c r="A35" s="52" t="s">
        <v>52</v>
      </c>
      <c r="B35" s="109"/>
      <c r="C35" s="109"/>
      <c r="D35" s="109"/>
      <c r="E35" s="109"/>
      <c r="F35" s="109"/>
      <c r="G35" s="109"/>
      <c r="H35" s="110"/>
      <c r="I35" s="93"/>
      <c r="J35" s="93"/>
    </row>
    <row r="36" spans="1:10">
      <c r="A36" s="13" t="s">
        <v>53</v>
      </c>
      <c r="B36" s="193" t="s">
        <v>54</v>
      </c>
      <c r="C36" s="193"/>
      <c r="D36" s="193"/>
      <c r="E36" s="193"/>
      <c r="F36" s="193"/>
      <c r="G36" s="193"/>
      <c r="H36" s="14" t="s">
        <v>55</v>
      </c>
      <c r="I36" s="93"/>
      <c r="J36" s="93"/>
    </row>
    <row r="37" spans="1:10">
      <c r="A37" s="113"/>
      <c r="B37" s="186"/>
      <c r="C37" s="186"/>
      <c r="D37" s="186"/>
      <c r="E37" s="186"/>
      <c r="F37" s="186"/>
      <c r="G37" s="186"/>
      <c r="H37" s="113"/>
      <c r="I37" s="93"/>
      <c r="J37" s="93"/>
    </row>
    <row r="38" spans="1:10">
      <c r="A38" s="113"/>
      <c r="B38" s="186"/>
      <c r="C38" s="186"/>
      <c r="D38" s="186"/>
      <c r="E38" s="186"/>
      <c r="F38" s="186"/>
      <c r="G38" s="186"/>
      <c r="H38" s="113"/>
      <c r="I38" s="93"/>
      <c r="J38" s="93"/>
    </row>
    <row r="39" spans="1:10">
      <c r="A39" s="113"/>
      <c r="B39" s="186"/>
      <c r="C39" s="186"/>
      <c r="D39" s="186"/>
      <c r="E39" s="186"/>
      <c r="F39" s="186"/>
      <c r="G39" s="186"/>
      <c r="H39" s="113"/>
      <c r="I39" s="93"/>
      <c r="J39" s="93"/>
    </row>
    <row r="40" spans="1:10">
      <c r="A40" s="113"/>
      <c r="B40" s="186"/>
      <c r="C40" s="186"/>
      <c r="D40" s="186"/>
      <c r="E40" s="186"/>
      <c r="F40" s="186"/>
      <c r="G40" s="186"/>
      <c r="H40" s="113"/>
      <c r="I40" s="93"/>
      <c r="J40" s="93"/>
    </row>
    <row r="41" spans="1:10">
      <c r="A41" s="113"/>
      <c r="B41" s="186"/>
      <c r="C41" s="186"/>
      <c r="D41" s="186"/>
      <c r="E41" s="186"/>
      <c r="F41" s="186"/>
      <c r="G41" s="186"/>
      <c r="H41" s="113"/>
      <c r="I41" s="93"/>
      <c r="J41" s="93"/>
    </row>
    <row r="42" spans="1:10">
      <c r="A42" s="113"/>
      <c r="B42" s="186"/>
      <c r="C42" s="186"/>
      <c r="D42" s="186"/>
      <c r="E42" s="186"/>
      <c r="F42" s="186"/>
      <c r="G42" s="186"/>
      <c r="H42" s="113"/>
      <c r="I42" s="93"/>
      <c r="J42" s="93"/>
    </row>
    <row r="43" spans="1:10">
      <c r="A43" s="113"/>
      <c r="B43" s="186"/>
      <c r="C43" s="186"/>
      <c r="D43" s="186"/>
      <c r="E43" s="186"/>
      <c r="F43" s="186"/>
      <c r="G43" s="186"/>
      <c r="H43" s="113"/>
      <c r="I43" s="93"/>
      <c r="J43" s="93"/>
    </row>
    <row r="45" spans="1:10">
      <c r="A45" s="194" t="s">
        <v>56</v>
      </c>
      <c r="B45" s="195"/>
      <c r="C45" s="195"/>
      <c r="D45" s="195"/>
      <c r="E45" s="195"/>
      <c r="F45" s="195"/>
      <c r="G45" s="195"/>
      <c r="H45" s="195"/>
      <c r="I45" s="195"/>
      <c r="J45" s="196"/>
    </row>
    <row r="46" spans="1:10">
      <c r="A46" s="197"/>
      <c r="B46" s="198"/>
      <c r="C46" s="198"/>
      <c r="D46" s="198"/>
      <c r="E46" s="198"/>
      <c r="F46" s="198"/>
      <c r="G46" s="198"/>
      <c r="H46" s="198"/>
      <c r="I46" s="198"/>
      <c r="J46" s="199"/>
    </row>
    <row r="47" spans="1:10">
      <c r="A47" s="197"/>
      <c r="B47" s="198"/>
      <c r="C47" s="198"/>
      <c r="D47" s="198"/>
      <c r="E47" s="198"/>
      <c r="F47" s="198"/>
      <c r="G47" s="198"/>
      <c r="H47" s="198"/>
      <c r="I47" s="198"/>
      <c r="J47" s="199"/>
    </row>
    <row r="48" spans="1:10">
      <c r="A48" s="200"/>
      <c r="B48" s="201"/>
      <c r="C48" s="201"/>
      <c r="D48" s="201"/>
      <c r="E48" s="201"/>
      <c r="F48" s="201"/>
      <c r="G48" s="201"/>
      <c r="H48" s="201"/>
      <c r="I48" s="201"/>
      <c r="J48" s="202"/>
    </row>
    <row r="66" spans="6:6">
      <c r="F66" s="3"/>
    </row>
  </sheetData>
  <mergeCells count="38">
    <mergeCell ref="A45:J48"/>
    <mergeCell ref="B38:G38"/>
    <mergeCell ref="B39:G39"/>
    <mergeCell ref="B40:G40"/>
    <mergeCell ref="B41:G41"/>
    <mergeCell ref="B42:G42"/>
    <mergeCell ref="B43:G43"/>
    <mergeCell ref="B37:G37"/>
    <mergeCell ref="B23:G23"/>
    <mergeCell ref="B24:G24"/>
    <mergeCell ref="B25:G25"/>
    <mergeCell ref="B28:G28"/>
    <mergeCell ref="B29:G29"/>
    <mergeCell ref="B30:G30"/>
    <mergeCell ref="B31:G31"/>
    <mergeCell ref="B32:G32"/>
    <mergeCell ref="B33:G33"/>
    <mergeCell ref="B36:G36"/>
    <mergeCell ref="B22:G22"/>
    <mergeCell ref="B10:G10"/>
    <mergeCell ref="B11:G11"/>
    <mergeCell ref="B12:G12"/>
    <mergeCell ref="B14:G14"/>
    <mergeCell ref="B15:G15"/>
    <mergeCell ref="B16:G16"/>
    <mergeCell ref="B17:G17"/>
    <mergeCell ref="B18:G18"/>
    <mergeCell ref="B19:G19"/>
    <mergeCell ref="B20:G20"/>
    <mergeCell ref="B21:G21"/>
    <mergeCell ref="B13:G13"/>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workbookViewId="0">
      <selection activeCell="L51" sqref="L5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3" t="str">
        <f>+'Cover Page'!$B$29</f>
        <v>Annual Performance Report 2022</v>
      </c>
      <c r="B1" s="93"/>
      <c r="C1" s="93"/>
      <c r="D1" s="93"/>
      <c r="E1" s="93" t="str">
        <f>+'Cover Page'!$B$33</f>
        <v>EPR Thetford Power Station</v>
      </c>
      <c r="F1" s="93"/>
      <c r="G1" s="93"/>
      <c r="H1" s="93"/>
      <c r="I1" s="93"/>
      <c r="J1" s="93"/>
      <c r="K1" s="93"/>
      <c r="L1" s="93"/>
      <c r="M1" s="93"/>
      <c r="N1" s="93"/>
    </row>
    <row r="3" spans="1:14" ht="15.6">
      <c r="A3" s="51" t="s">
        <v>57</v>
      </c>
      <c r="B3" s="114"/>
      <c r="C3" s="114"/>
      <c r="D3" s="114"/>
      <c r="E3" s="114"/>
      <c r="F3" s="114"/>
      <c r="G3" s="114"/>
      <c r="H3" s="114"/>
      <c r="I3" s="115"/>
      <c r="J3" s="93"/>
      <c r="K3" s="81" t="s">
        <v>3</v>
      </c>
      <c r="L3" s="93"/>
      <c r="M3" s="93"/>
      <c r="N3" s="93"/>
    </row>
    <row r="4" spans="1:14">
      <c r="A4" s="116"/>
      <c r="B4" s="117"/>
      <c r="C4" s="117"/>
      <c r="D4" s="117"/>
      <c r="E4" s="117"/>
      <c r="F4" s="117"/>
      <c r="G4" s="117"/>
      <c r="H4" s="117"/>
      <c r="I4" s="118"/>
      <c r="J4" s="93"/>
      <c r="K4" s="93"/>
      <c r="L4" s="93"/>
      <c r="M4" s="93"/>
      <c r="N4" s="93"/>
    </row>
    <row r="5" spans="1:14" ht="15.75" customHeight="1">
      <c r="A5" s="203" t="s">
        <v>58</v>
      </c>
      <c r="B5" s="204"/>
      <c r="C5" s="204"/>
      <c r="D5" s="204"/>
      <c r="E5" s="204"/>
      <c r="F5" s="204"/>
      <c r="G5" s="204"/>
      <c r="H5" s="204"/>
      <c r="I5" s="205"/>
      <c r="J5" s="93"/>
      <c r="K5" s="220" t="s">
        <v>59</v>
      </c>
      <c r="L5" s="220"/>
      <c r="M5" s="220"/>
      <c r="N5" s="220"/>
    </row>
    <row r="6" spans="1:14">
      <c r="A6" s="206"/>
      <c r="B6" s="207"/>
      <c r="C6" s="207"/>
      <c r="D6" s="207"/>
      <c r="E6" s="207"/>
      <c r="F6" s="207"/>
      <c r="G6" s="207"/>
      <c r="H6" s="207"/>
      <c r="I6" s="208"/>
      <c r="J6" s="93"/>
      <c r="K6" s="220"/>
      <c r="L6" s="220"/>
      <c r="M6" s="220"/>
      <c r="N6" s="220"/>
    </row>
    <row r="7" spans="1:14">
      <c r="A7" s="206"/>
      <c r="B7" s="207"/>
      <c r="C7" s="207"/>
      <c r="D7" s="207"/>
      <c r="E7" s="207"/>
      <c r="F7" s="207"/>
      <c r="G7" s="207"/>
      <c r="H7" s="207"/>
      <c r="I7" s="208"/>
      <c r="J7" s="93"/>
      <c r="K7" s="220"/>
      <c r="L7" s="220"/>
      <c r="M7" s="220"/>
      <c r="N7" s="220"/>
    </row>
    <row r="8" spans="1:14" ht="15.75" customHeight="1">
      <c r="A8" s="206"/>
      <c r="B8" s="207"/>
      <c r="C8" s="207"/>
      <c r="D8" s="207"/>
      <c r="E8" s="207"/>
      <c r="F8" s="207"/>
      <c r="G8" s="207"/>
      <c r="H8" s="207"/>
      <c r="I8" s="208"/>
      <c r="J8" s="93"/>
      <c r="K8" s="220"/>
      <c r="L8" s="220"/>
      <c r="M8" s="220"/>
      <c r="N8" s="220"/>
    </row>
    <row r="9" spans="1:14">
      <c r="A9" s="206"/>
      <c r="B9" s="207"/>
      <c r="C9" s="207"/>
      <c r="D9" s="207"/>
      <c r="E9" s="207"/>
      <c r="F9" s="207"/>
      <c r="G9" s="207"/>
      <c r="H9" s="207"/>
      <c r="I9" s="208"/>
      <c r="J9" s="93"/>
      <c r="K9" s="220"/>
      <c r="L9" s="220"/>
      <c r="M9" s="220"/>
      <c r="N9" s="220"/>
    </row>
    <row r="10" spans="1:14">
      <c r="A10" s="206"/>
      <c r="B10" s="207"/>
      <c r="C10" s="207"/>
      <c r="D10" s="207"/>
      <c r="E10" s="207"/>
      <c r="F10" s="207"/>
      <c r="G10" s="207"/>
      <c r="H10" s="207"/>
      <c r="I10" s="208"/>
      <c r="J10" s="93"/>
      <c r="K10" s="220"/>
      <c r="L10" s="220"/>
      <c r="M10" s="220"/>
      <c r="N10" s="220"/>
    </row>
    <row r="11" spans="1:14">
      <c r="A11" s="206"/>
      <c r="B11" s="207"/>
      <c r="C11" s="207"/>
      <c r="D11" s="207"/>
      <c r="E11" s="207"/>
      <c r="F11" s="207"/>
      <c r="G11" s="207"/>
      <c r="H11" s="207"/>
      <c r="I11" s="208"/>
      <c r="J11" s="93"/>
      <c r="K11" s="220"/>
      <c r="L11" s="220"/>
      <c r="M11" s="220"/>
      <c r="N11" s="220"/>
    </row>
    <row r="12" spans="1:14">
      <c r="A12" s="206"/>
      <c r="B12" s="207"/>
      <c r="C12" s="207"/>
      <c r="D12" s="207"/>
      <c r="E12" s="207"/>
      <c r="F12" s="207"/>
      <c r="G12" s="207"/>
      <c r="H12" s="207"/>
      <c r="I12" s="208"/>
      <c r="J12" s="93"/>
      <c r="K12" s="220"/>
      <c r="L12" s="220"/>
      <c r="M12" s="220"/>
      <c r="N12" s="220"/>
    </row>
    <row r="13" spans="1:14">
      <c r="A13" s="206"/>
      <c r="B13" s="207"/>
      <c r="C13" s="207"/>
      <c r="D13" s="207"/>
      <c r="E13" s="207"/>
      <c r="F13" s="207"/>
      <c r="G13" s="207"/>
      <c r="H13" s="207"/>
      <c r="I13" s="208"/>
      <c r="J13" s="93"/>
      <c r="K13" s="220"/>
      <c r="L13" s="220"/>
      <c r="M13" s="220"/>
      <c r="N13" s="220"/>
    </row>
    <row r="14" spans="1:14">
      <c r="A14" s="206"/>
      <c r="B14" s="207"/>
      <c r="C14" s="207"/>
      <c r="D14" s="207"/>
      <c r="E14" s="207"/>
      <c r="F14" s="207"/>
      <c r="G14" s="207"/>
      <c r="H14" s="207"/>
      <c r="I14" s="208"/>
      <c r="J14" s="93"/>
      <c r="K14" s="220"/>
      <c r="L14" s="220"/>
      <c r="M14" s="220"/>
      <c r="N14" s="220"/>
    </row>
    <row r="15" spans="1:14">
      <c r="A15" s="206"/>
      <c r="B15" s="207"/>
      <c r="C15" s="207"/>
      <c r="D15" s="207"/>
      <c r="E15" s="207"/>
      <c r="F15" s="207"/>
      <c r="G15" s="207"/>
      <c r="H15" s="207"/>
      <c r="I15" s="208"/>
      <c r="J15" s="93"/>
      <c r="K15" s="93"/>
      <c r="L15" s="93"/>
      <c r="M15" s="93"/>
      <c r="N15" s="93"/>
    </row>
    <row r="16" spans="1:14">
      <c r="A16" s="206"/>
      <c r="B16" s="207"/>
      <c r="C16" s="207"/>
      <c r="D16" s="207"/>
      <c r="E16" s="207"/>
      <c r="F16" s="207"/>
      <c r="G16" s="207"/>
      <c r="H16" s="207"/>
      <c r="I16" s="208"/>
      <c r="J16" s="93"/>
      <c r="K16" s="93"/>
      <c r="L16" s="93"/>
      <c r="M16" s="93"/>
      <c r="N16" s="93"/>
    </row>
    <row r="17" spans="1:14">
      <c r="A17" s="206"/>
      <c r="B17" s="207"/>
      <c r="C17" s="207"/>
      <c r="D17" s="207"/>
      <c r="E17" s="207"/>
      <c r="F17" s="207"/>
      <c r="G17" s="207"/>
      <c r="H17" s="207"/>
      <c r="I17" s="208"/>
      <c r="J17" s="93"/>
      <c r="K17" s="93"/>
      <c r="L17" s="93"/>
      <c r="M17" s="93"/>
      <c r="N17" s="93"/>
    </row>
    <row r="18" spans="1:14">
      <c r="A18" s="209"/>
      <c r="B18" s="210"/>
      <c r="C18" s="210"/>
      <c r="D18" s="210"/>
      <c r="E18" s="210"/>
      <c r="F18" s="210"/>
      <c r="G18" s="210"/>
      <c r="H18" s="210"/>
      <c r="I18" s="211"/>
      <c r="J18" s="93"/>
      <c r="K18" s="93"/>
      <c r="L18" s="93"/>
      <c r="M18" s="93"/>
      <c r="N18" s="93"/>
    </row>
    <row r="20" spans="1:14">
      <c r="A20" s="51" t="s">
        <v>60</v>
      </c>
      <c r="B20" s="114"/>
      <c r="C20" s="114"/>
      <c r="D20" s="114"/>
      <c r="E20" s="114"/>
      <c r="F20" s="114"/>
      <c r="G20" s="114"/>
      <c r="H20" s="114"/>
      <c r="I20" s="115"/>
      <c r="J20" s="93"/>
      <c r="K20" s="93"/>
      <c r="L20" s="93"/>
      <c r="M20" s="93"/>
      <c r="N20" s="93"/>
    </row>
    <row r="21" spans="1:14">
      <c r="A21" s="116"/>
      <c r="B21" s="117"/>
      <c r="C21" s="117"/>
      <c r="D21" s="117"/>
      <c r="E21" s="117"/>
      <c r="F21" s="117"/>
      <c r="G21" s="117"/>
      <c r="H21" s="117"/>
      <c r="I21" s="118"/>
      <c r="J21" s="93"/>
      <c r="K21" s="93"/>
      <c r="L21" s="93"/>
      <c r="M21" s="93"/>
      <c r="N21" s="93"/>
    </row>
    <row r="22" spans="1:14">
      <c r="A22" s="203" t="s">
        <v>61</v>
      </c>
      <c r="B22" s="212"/>
      <c r="C22" s="212"/>
      <c r="D22" s="212"/>
      <c r="E22" s="212"/>
      <c r="F22" s="212"/>
      <c r="G22" s="212"/>
      <c r="H22" s="212"/>
      <c r="I22" s="213"/>
      <c r="J22" s="93"/>
      <c r="K22" s="220" t="s">
        <v>62</v>
      </c>
      <c r="L22" s="220"/>
      <c r="M22" s="220"/>
      <c r="N22" s="220"/>
    </row>
    <row r="23" spans="1:14">
      <c r="A23" s="214"/>
      <c r="B23" s="215"/>
      <c r="C23" s="215"/>
      <c r="D23" s="215"/>
      <c r="E23" s="215"/>
      <c r="F23" s="215"/>
      <c r="G23" s="215"/>
      <c r="H23" s="215"/>
      <c r="I23" s="216"/>
      <c r="J23" s="93"/>
      <c r="K23" s="220"/>
      <c r="L23" s="220"/>
      <c r="M23" s="220"/>
      <c r="N23" s="220"/>
    </row>
    <row r="24" spans="1:14">
      <c r="A24" s="214"/>
      <c r="B24" s="215"/>
      <c r="C24" s="215"/>
      <c r="D24" s="215"/>
      <c r="E24" s="215"/>
      <c r="F24" s="215"/>
      <c r="G24" s="215"/>
      <c r="H24" s="215"/>
      <c r="I24" s="216"/>
      <c r="J24" s="93"/>
      <c r="K24" s="220"/>
      <c r="L24" s="220"/>
      <c r="M24" s="220"/>
      <c r="N24" s="220"/>
    </row>
    <row r="25" spans="1:14">
      <c r="A25" s="214"/>
      <c r="B25" s="215"/>
      <c r="C25" s="215"/>
      <c r="D25" s="215"/>
      <c r="E25" s="215"/>
      <c r="F25" s="215"/>
      <c r="G25" s="215"/>
      <c r="H25" s="215"/>
      <c r="I25" s="216"/>
      <c r="J25" s="93"/>
      <c r="K25" s="220"/>
      <c r="L25" s="220"/>
      <c r="M25" s="220"/>
      <c r="N25" s="220"/>
    </row>
    <row r="26" spans="1:14">
      <c r="A26" s="214"/>
      <c r="B26" s="215"/>
      <c r="C26" s="215"/>
      <c r="D26" s="215"/>
      <c r="E26" s="215"/>
      <c r="F26" s="215"/>
      <c r="G26" s="215"/>
      <c r="H26" s="215"/>
      <c r="I26" s="216"/>
      <c r="J26" s="93"/>
      <c r="K26" s="220"/>
      <c r="L26" s="220"/>
      <c r="M26" s="220"/>
      <c r="N26" s="220"/>
    </row>
    <row r="27" spans="1:14">
      <c r="A27" s="214"/>
      <c r="B27" s="215"/>
      <c r="C27" s="215"/>
      <c r="D27" s="215"/>
      <c r="E27" s="215"/>
      <c r="F27" s="215"/>
      <c r="G27" s="215"/>
      <c r="H27" s="215"/>
      <c r="I27" s="216"/>
      <c r="J27" s="93"/>
      <c r="K27" s="220"/>
      <c r="L27" s="220"/>
      <c r="M27" s="220"/>
      <c r="N27" s="220"/>
    </row>
    <row r="28" spans="1:14">
      <c r="A28" s="214"/>
      <c r="B28" s="215"/>
      <c r="C28" s="215"/>
      <c r="D28" s="215"/>
      <c r="E28" s="215"/>
      <c r="F28" s="215"/>
      <c r="G28" s="215"/>
      <c r="H28" s="215"/>
      <c r="I28" s="216"/>
      <c r="J28" s="93"/>
      <c r="K28" s="220"/>
      <c r="L28" s="220"/>
      <c r="M28" s="220"/>
      <c r="N28" s="220"/>
    </row>
    <row r="29" spans="1:14">
      <c r="A29" s="214"/>
      <c r="B29" s="215"/>
      <c r="C29" s="215"/>
      <c r="D29" s="215"/>
      <c r="E29" s="215"/>
      <c r="F29" s="215"/>
      <c r="G29" s="215"/>
      <c r="H29" s="215"/>
      <c r="I29" s="216"/>
      <c r="J29" s="93"/>
      <c r="K29" s="220"/>
      <c r="L29" s="220"/>
      <c r="M29" s="220"/>
      <c r="N29" s="220"/>
    </row>
    <row r="30" spans="1:14">
      <c r="A30" s="214"/>
      <c r="B30" s="215"/>
      <c r="C30" s="215"/>
      <c r="D30" s="215"/>
      <c r="E30" s="215"/>
      <c r="F30" s="215"/>
      <c r="G30" s="215"/>
      <c r="H30" s="215"/>
      <c r="I30" s="216"/>
      <c r="J30" s="93"/>
      <c r="K30" s="220"/>
      <c r="L30" s="220"/>
      <c r="M30" s="220"/>
      <c r="N30" s="220"/>
    </row>
    <row r="31" spans="1:14">
      <c r="A31" s="214"/>
      <c r="B31" s="215"/>
      <c r="C31" s="215"/>
      <c r="D31" s="215"/>
      <c r="E31" s="215"/>
      <c r="F31" s="215"/>
      <c r="G31" s="215"/>
      <c r="H31" s="215"/>
      <c r="I31" s="216"/>
      <c r="J31" s="93"/>
      <c r="K31" s="220"/>
      <c r="L31" s="220"/>
      <c r="M31" s="220"/>
      <c r="N31" s="220"/>
    </row>
    <row r="32" spans="1:14">
      <c r="A32" s="214"/>
      <c r="B32" s="215"/>
      <c r="C32" s="215"/>
      <c r="D32" s="215"/>
      <c r="E32" s="215"/>
      <c r="F32" s="215"/>
      <c r="G32" s="215"/>
      <c r="H32" s="215"/>
      <c r="I32" s="216"/>
      <c r="J32" s="93"/>
      <c r="K32" s="93"/>
      <c r="L32" s="93"/>
      <c r="M32" s="93"/>
      <c r="N32" s="93"/>
    </row>
    <row r="33" spans="1:9">
      <c r="A33" s="214"/>
      <c r="B33" s="215"/>
      <c r="C33" s="215"/>
      <c r="D33" s="215"/>
      <c r="E33" s="215"/>
      <c r="F33" s="215"/>
      <c r="G33" s="215"/>
      <c r="H33" s="215"/>
      <c r="I33" s="216"/>
    </row>
    <row r="34" spans="1:9">
      <c r="A34" s="214"/>
      <c r="B34" s="215"/>
      <c r="C34" s="215"/>
      <c r="D34" s="215"/>
      <c r="E34" s="215"/>
      <c r="F34" s="215"/>
      <c r="G34" s="215"/>
      <c r="H34" s="215"/>
      <c r="I34" s="216"/>
    </row>
    <row r="35" spans="1:9">
      <c r="A35" s="214"/>
      <c r="B35" s="215"/>
      <c r="C35" s="215"/>
      <c r="D35" s="215"/>
      <c r="E35" s="215"/>
      <c r="F35" s="215"/>
      <c r="G35" s="215"/>
      <c r="H35" s="215"/>
      <c r="I35" s="216"/>
    </row>
    <row r="36" spans="1:9">
      <c r="A36" s="214"/>
      <c r="B36" s="215"/>
      <c r="C36" s="215"/>
      <c r="D36" s="215"/>
      <c r="E36" s="215"/>
      <c r="F36" s="215"/>
      <c r="G36" s="215"/>
      <c r="H36" s="215"/>
      <c r="I36" s="216"/>
    </row>
    <row r="37" spans="1:9">
      <c r="A37" s="214"/>
      <c r="B37" s="215"/>
      <c r="C37" s="215"/>
      <c r="D37" s="215"/>
      <c r="E37" s="215"/>
      <c r="F37" s="215"/>
      <c r="G37" s="215"/>
      <c r="H37" s="215"/>
      <c r="I37" s="216"/>
    </row>
    <row r="38" spans="1:9">
      <c r="A38" s="214"/>
      <c r="B38" s="215"/>
      <c r="C38" s="215"/>
      <c r="D38" s="215"/>
      <c r="E38" s="215"/>
      <c r="F38" s="215"/>
      <c r="G38" s="215"/>
      <c r="H38" s="215"/>
      <c r="I38" s="216"/>
    </row>
    <row r="39" spans="1:9">
      <c r="A39" s="214"/>
      <c r="B39" s="215"/>
      <c r="C39" s="215"/>
      <c r="D39" s="215"/>
      <c r="E39" s="215"/>
      <c r="F39" s="215"/>
      <c r="G39" s="215"/>
      <c r="H39" s="215"/>
      <c r="I39" s="216"/>
    </row>
    <row r="40" spans="1:9" ht="14.25" customHeight="1">
      <c r="A40" s="214"/>
      <c r="B40" s="215"/>
      <c r="C40" s="215"/>
      <c r="D40" s="215"/>
      <c r="E40" s="215"/>
      <c r="F40" s="215"/>
      <c r="G40" s="215"/>
      <c r="H40" s="215"/>
      <c r="I40" s="216"/>
    </row>
    <row r="41" spans="1:9">
      <c r="A41" s="214"/>
      <c r="B41" s="215"/>
      <c r="C41" s="215"/>
      <c r="D41" s="215"/>
      <c r="E41" s="215"/>
      <c r="F41" s="215"/>
      <c r="G41" s="215"/>
      <c r="H41" s="215"/>
      <c r="I41" s="216"/>
    </row>
    <row r="42" spans="1:9">
      <c r="A42" s="214"/>
      <c r="B42" s="215"/>
      <c r="C42" s="215"/>
      <c r="D42" s="215"/>
      <c r="E42" s="215"/>
      <c r="F42" s="215"/>
      <c r="G42" s="215"/>
      <c r="H42" s="215"/>
      <c r="I42" s="216"/>
    </row>
    <row r="43" spans="1:9">
      <c r="A43" s="214"/>
      <c r="B43" s="215"/>
      <c r="C43" s="215"/>
      <c r="D43" s="215"/>
      <c r="E43" s="215"/>
      <c r="F43" s="215"/>
      <c r="G43" s="215"/>
      <c r="H43" s="215"/>
      <c r="I43" s="216"/>
    </row>
    <row r="44" spans="1:9">
      <c r="A44" s="214"/>
      <c r="B44" s="215"/>
      <c r="C44" s="215"/>
      <c r="D44" s="215"/>
      <c r="E44" s="215"/>
      <c r="F44" s="215"/>
      <c r="G44" s="215"/>
      <c r="H44" s="215"/>
      <c r="I44" s="216"/>
    </row>
    <row r="45" spans="1:9">
      <c r="A45" s="214"/>
      <c r="B45" s="215"/>
      <c r="C45" s="215"/>
      <c r="D45" s="215"/>
      <c r="E45" s="215"/>
      <c r="F45" s="215"/>
      <c r="G45" s="215"/>
      <c r="H45" s="215"/>
      <c r="I45" s="216"/>
    </row>
    <row r="46" spans="1:9">
      <c r="A46" s="214"/>
      <c r="B46" s="215"/>
      <c r="C46" s="215"/>
      <c r="D46" s="215"/>
      <c r="E46" s="215"/>
      <c r="F46" s="215"/>
      <c r="G46" s="215"/>
      <c r="H46" s="215"/>
      <c r="I46" s="216"/>
    </row>
    <row r="47" spans="1:9">
      <c r="A47" s="214"/>
      <c r="B47" s="215"/>
      <c r="C47" s="215"/>
      <c r="D47" s="215"/>
      <c r="E47" s="215"/>
      <c r="F47" s="215"/>
      <c r="G47" s="215"/>
      <c r="H47" s="215"/>
      <c r="I47" s="216"/>
    </row>
    <row r="48" spans="1:9">
      <c r="A48" s="214"/>
      <c r="B48" s="215"/>
      <c r="C48" s="215"/>
      <c r="D48" s="215"/>
      <c r="E48" s="215"/>
      <c r="F48" s="215"/>
      <c r="G48" s="215"/>
      <c r="H48" s="215"/>
      <c r="I48" s="216"/>
    </row>
    <row r="49" spans="1:9">
      <c r="A49" s="214"/>
      <c r="B49" s="215"/>
      <c r="C49" s="215"/>
      <c r="D49" s="215"/>
      <c r="E49" s="215"/>
      <c r="F49" s="215"/>
      <c r="G49" s="215"/>
      <c r="H49" s="215"/>
      <c r="I49" s="216"/>
    </row>
    <row r="50" spans="1:9">
      <c r="A50" s="214"/>
      <c r="B50" s="215"/>
      <c r="C50" s="215"/>
      <c r="D50" s="215"/>
      <c r="E50" s="215"/>
      <c r="F50" s="215"/>
      <c r="G50" s="215"/>
      <c r="H50" s="215"/>
      <c r="I50" s="216"/>
    </row>
    <row r="51" spans="1:9">
      <c r="A51" s="214"/>
      <c r="B51" s="215"/>
      <c r="C51" s="215"/>
      <c r="D51" s="215"/>
      <c r="E51" s="215"/>
      <c r="F51" s="215"/>
      <c r="G51" s="215"/>
      <c r="H51" s="215"/>
      <c r="I51" s="216"/>
    </row>
    <row r="52" spans="1:9">
      <c r="A52" s="214"/>
      <c r="B52" s="215"/>
      <c r="C52" s="215"/>
      <c r="D52" s="215"/>
      <c r="E52" s="215"/>
      <c r="F52" s="215"/>
      <c r="G52" s="215"/>
      <c r="H52" s="215"/>
      <c r="I52" s="216"/>
    </row>
    <row r="53" spans="1:9">
      <c r="A53" s="214"/>
      <c r="B53" s="215"/>
      <c r="C53" s="215"/>
      <c r="D53" s="215"/>
      <c r="E53" s="215"/>
      <c r="F53" s="215"/>
      <c r="G53" s="215"/>
      <c r="H53" s="215"/>
      <c r="I53" s="216"/>
    </row>
    <row r="54" spans="1:9" ht="27" customHeight="1">
      <c r="A54" s="217"/>
      <c r="B54" s="218"/>
      <c r="C54" s="218"/>
      <c r="D54" s="218"/>
      <c r="E54" s="218"/>
      <c r="F54" s="218"/>
      <c r="G54" s="218"/>
      <c r="H54" s="218"/>
      <c r="I54" s="219"/>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workbookViewId="0">
      <selection activeCell="C28" sqref="C28"/>
    </sheetView>
  </sheetViews>
  <sheetFormatPr defaultColWidth="9.28515625" defaultRowHeight="15"/>
  <cols>
    <col min="1" max="1" width="28.42578125" style="2" customWidth="1"/>
    <col min="2" max="2" width="8.28515625" style="12" customWidth="1"/>
    <col min="3" max="3" width="9.7109375" style="12" bestFit="1" customWidth="1"/>
    <col min="4" max="5" width="9.7109375" style="12" customWidth="1"/>
    <col min="6" max="6" width="10.5703125" style="12" customWidth="1"/>
    <col min="7" max="7" width="11.28515625" style="15" customWidth="1"/>
    <col min="8" max="8" width="11.5703125" style="16" customWidth="1"/>
    <col min="9" max="10" width="9.28515625" style="2"/>
    <col min="11" max="11" width="38.42578125" style="2" customWidth="1"/>
    <col min="12" max="16384" width="9.28515625" style="2"/>
  </cols>
  <sheetData>
    <row r="1" spans="1:11">
      <c r="A1" s="93" t="str">
        <f>+'Cover Page'!$B$29</f>
        <v>Annual Performance Report 2022</v>
      </c>
      <c r="B1" s="93"/>
      <c r="C1" s="93"/>
      <c r="D1" s="93"/>
      <c r="E1" s="93" t="str">
        <f>+'Cover Page'!$B$33</f>
        <v>EPR Thetford Power Station</v>
      </c>
      <c r="F1" s="93"/>
      <c r="G1" s="93"/>
      <c r="H1" s="93"/>
      <c r="I1" s="93"/>
      <c r="J1" s="93"/>
      <c r="K1" s="93"/>
    </row>
    <row r="3" spans="1:11" ht="15.6">
      <c r="A3" s="1" t="s">
        <v>30</v>
      </c>
      <c r="B3" s="119"/>
      <c r="C3" s="119"/>
      <c r="D3" s="119"/>
      <c r="E3" s="119"/>
      <c r="F3" s="119"/>
      <c r="H3" s="120"/>
      <c r="I3" s="93"/>
      <c r="J3" s="93"/>
      <c r="K3" s="81" t="s">
        <v>3</v>
      </c>
    </row>
    <row r="4" spans="1:11">
      <c r="A4" s="18" t="s">
        <v>63</v>
      </c>
      <c r="B4" s="228"/>
      <c r="C4" s="228"/>
      <c r="D4" s="20" t="s">
        <v>64</v>
      </c>
      <c r="E4" s="19"/>
      <c r="F4" s="20" t="s">
        <v>65</v>
      </c>
      <c r="G4" s="19"/>
      <c r="H4" s="70" t="s">
        <v>66</v>
      </c>
      <c r="I4" s="93"/>
      <c r="J4" s="93"/>
      <c r="K4" s="17" t="s">
        <v>67</v>
      </c>
    </row>
    <row r="5" spans="1:11">
      <c r="A5" s="21" t="s">
        <v>68</v>
      </c>
      <c r="B5" s="22">
        <v>1</v>
      </c>
      <c r="C5" s="23"/>
      <c r="D5" s="23" t="s">
        <v>69</v>
      </c>
      <c r="E5" s="23"/>
      <c r="F5" s="24">
        <v>1</v>
      </c>
      <c r="G5" s="25"/>
      <c r="H5" s="26"/>
      <c r="I5" s="93"/>
      <c r="J5" s="93"/>
      <c r="K5" s="17" t="s">
        <v>70</v>
      </c>
    </row>
    <row r="6" spans="1:11">
      <c r="A6" s="3"/>
      <c r="B6" s="119"/>
      <c r="C6" s="119"/>
      <c r="D6" s="119"/>
      <c r="E6" s="119"/>
      <c r="F6" s="119"/>
      <c r="H6" s="120"/>
      <c r="I6" s="93"/>
      <c r="J6" s="93"/>
      <c r="K6" s="223" t="s">
        <v>71</v>
      </c>
    </row>
    <row r="7" spans="1:11">
      <c r="A7" s="9" t="s">
        <v>72</v>
      </c>
      <c r="B7" s="121" t="s">
        <v>73</v>
      </c>
      <c r="C7" s="122" t="s">
        <v>74</v>
      </c>
      <c r="D7" s="122" t="s">
        <v>75</v>
      </c>
      <c r="E7" s="122" t="s">
        <v>76</v>
      </c>
      <c r="F7" s="122" t="s">
        <v>77</v>
      </c>
      <c r="G7" s="27" t="s">
        <v>78</v>
      </c>
      <c r="H7" s="123" t="s">
        <v>79</v>
      </c>
      <c r="I7" s="93"/>
      <c r="J7" s="93"/>
      <c r="K7" s="223"/>
    </row>
    <row r="8" spans="1:11" ht="15.75" customHeight="1">
      <c r="A8" s="124" t="s">
        <v>80</v>
      </c>
      <c r="B8" s="225" t="s">
        <v>81</v>
      </c>
      <c r="C8" s="125"/>
      <c r="D8" s="125"/>
      <c r="E8" s="125"/>
      <c r="F8" s="125"/>
      <c r="G8" s="28">
        <f>SUM(C8:F8)</f>
        <v>0</v>
      </c>
      <c r="H8" s="126" t="str">
        <f t="shared" ref="H8:H15" si="0">IF(G8&gt;0,G8/$G$18,"-")</f>
        <v>-</v>
      </c>
      <c r="I8" s="93"/>
      <c r="J8" s="93"/>
      <c r="K8" s="224" t="s">
        <v>82</v>
      </c>
    </row>
    <row r="9" spans="1:11">
      <c r="A9" s="127" t="s">
        <v>83</v>
      </c>
      <c r="B9" s="226"/>
      <c r="C9" s="128"/>
      <c r="D9" s="128"/>
      <c r="E9" s="128"/>
      <c r="F9" s="128"/>
      <c r="G9" s="89">
        <f t="shared" ref="G9:G15" si="1">SUM(C9:F9)</f>
        <v>0</v>
      </c>
      <c r="H9" s="129" t="str">
        <f t="shared" si="0"/>
        <v>-</v>
      </c>
      <c r="I9" s="93"/>
      <c r="J9" s="93"/>
      <c r="K9" s="224"/>
    </row>
    <row r="10" spans="1:11">
      <c r="A10" s="127" t="s">
        <v>84</v>
      </c>
      <c r="B10" s="226"/>
      <c r="C10" s="128"/>
      <c r="D10" s="128"/>
      <c r="E10" s="128"/>
      <c r="F10" s="128"/>
      <c r="G10" s="89">
        <f t="shared" si="1"/>
        <v>0</v>
      </c>
      <c r="H10" s="129" t="str">
        <f t="shared" si="0"/>
        <v>-</v>
      </c>
      <c r="I10" s="93"/>
      <c r="J10" s="93"/>
      <c r="K10" s="224"/>
    </row>
    <row r="11" spans="1:11">
      <c r="A11" s="127" t="s">
        <v>85</v>
      </c>
      <c r="B11" s="226"/>
      <c r="C11" s="128"/>
      <c r="D11" s="128"/>
      <c r="E11" s="128"/>
      <c r="F11" s="128"/>
      <c r="G11" s="89">
        <f t="shared" si="1"/>
        <v>0</v>
      </c>
      <c r="H11" s="129" t="str">
        <f t="shared" si="0"/>
        <v>-</v>
      </c>
      <c r="I11" s="93"/>
      <c r="J11" s="93"/>
      <c r="K11" s="224"/>
    </row>
    <row r="12" spans="1:11">
      <c r="A12" s="127" t="s">
        <v>86</v>
      </c>
      <c r="B12" s="226"/>
      <c r="C12" s="128">
        <v>15579.66</v>
      </c>
      <c r="D12" s="128">
        <v>15264.480000000003</v>
      </c>
      <c r="E12" s="128">
        <v>13166.28</v>
      </c>
      <c r="F12" s="128">
        <v>18286.240000000002</v>
      </c>
      <c r="G12" s="89">
        <f t="shared" si="1"/>
        <v>62296.66</v>
      </c>
      <c r="H12" s="129">
        <f t="shared" si="0"/>
        <v>0.15579705143148903</v>
      </c>
      <c r="I12" s="93"/>
      <c r="J12" s="93"/>
      <c r="K12" s="224"/>
    </row>
    <row r="13" spans="1:11">
      <c r="A13" s="127" t="s">
        <v>87</v>
      </c>
      <c r="B13" s="226"/>
      <c r="C13" s="128"/>
      <c r="D13" s="128"/>
      <c r="E13" s="128"/>
      <c r="F13" s="128"/>
      <c r="G13" s="89">
        <f t="shared" ref="G13" si="2">SUM(C13:F13)</f>
        <v>0</v>
      </c>
      <c r="H13" s="129" t="str">
        <f t="shared" si="0"/>
        <v>-</v>
      </c>
      <c r="I13" s="93"/>
      <c r="J13" s="93"/>
      <c r="K13" s="224"/>
    </row>
    <row r="14" spans="1:11">
      <c r="A14" s="127" t="s">
        <v>88</v>
      </c>
      <c r="B14" s="226"/>
      <c r="C14" s="128"/>
      <c r="D14" s="128"/>
      <c r="E14" s="128"/>
      <c r="F14" s="128"/>
      <c r="G14" s="89">
        <f t="shared" si="1"/>
        <v>0</v>
      </c>
      <c r="H14" s="129" t="str">
        <f t="shared" si="0"/>
        <v>-</v>
      </c>
      <c r="I14" s="93"/>
      <c r="J14" s="93"/>
      <c r="K14" s="224"/>
    </row>
    <row r="15" spans="1:11">
      <c r="A15" s="101" t="s">
        <v>89</v>
      </c>
      <c r="B15" s="226"/>
      <c r="C15" s="128">
        <v>95864.94</v>
      </c>
      <c r="D15" s="128">
        <v>91112.219999999987</v>
      </c>
      <c r="E15" s="128">
        <v>55417.960000000006</v>
      </c>
      <c r="F15" s="128">
        <v>95165.98000000001</v>
      </c>
      <c r="G15" s="89">
        <f t="shared" si="1"/>
        <v>337561.1</v>
      </c>
      <c r="H15" s="129">
        <f t="shared" si="0"/>
        <v>0.84420294856851086</v>
      </c>
      <c r="I15" s="93"/>
      <c r="J15" s="93"/>
      <c r="K15" s="224"/>
    </row>
    <row r="16" spans="1:11">
      <c r="A16" s="101" t="s">
        <v>90</v>
      </c>
      <c r="B16" s="226"/>
      <c r="C16" s="128">
        <v>13176.14</v>
      </c>
      <c r="D16" s="128">
        <v>13831.779999999999</v>
      </c>
      <c r="E16" s="128">
        <v>11493.159999999998</v>
      </c>
      <c r="F16" s="128">
        <v>13873.04</v>
      </c>
      <c r="G16" s="89"/>
      <c r="H16" s="129"/>
      <c r="I16" s="93"/>
      <c r="J16" s="93"/>
      <c r="K16" s="224"/>
    </row>
    <row r="17" spans="1:12">
      <c r="A17" s="101" t="s">
        <v>91</v>
      </c>
      <c r="B17" s="226"/>
      <c r="C17" s="128">
        <v>4757.0200000000004</v>
      </c>
      <c r="D17" s="128">
        <v>1597.42</v>
      </c>
      <c r="E17" s="128">
        <v>2555.52</v>
      </c>
      <c r="F17" s="128">
        <v>339.14</v>
      </c>
      <c r="G17" s="89"/>
      <c r="H17" s="129"/>
      <c r="I17" s="93"/>
      <c r="J17" s="93"/>
      <c r="K17" s="224"/>
      <c r="L17" s="93"/>
    </row>
    <row r="18" spans="1:12">
      <c r="A18" s="91" t="s">
        <v>92</v>
      </c>
      <c r="B18" s="226"/>
      <c r="C18" s="89">
        <f>SUM(C8:C17)</f>
        <v>129377.76000000001</v>
      </c>
      <c r="D18" s="89">
        <f>SUM(D8:D17)</f>
        <v>121805.89999999998</v>
      </c>
      <c r="E18" s="89">
        <f>SUM(E8:E17)</f>
        <v>82632.920000000013</v>
      </c>
      <c r="F18" s="89">
        <f>SUM(F8:F17)</f>
        <v>127664.40000000001</v>
      </c>
      <c r="G18" s="89">
        <f>SUM(G8:G17)</f>
        <v>399857.76</v>
      </c>
      <c r="H18" s="130">
        <v>1</v>
      </c>
      <c r="I18" s="93"/>
      <c r="J18" s="93"/>
      <c r="K18" s="224"/>
      <c r="L18" s="93"/>
    </row>
    <row r="19" spans="1:12">
      <c r="A19" s="127" t="s">
        <v>93</v>
      </c>
      <c r="B19" s="226"/>
      <c r="C19" s="128"/>
      <c r="D19" s="128"/>
      <c r="E19" s="128"/>
      <c r="F19" s="128"/>
      <c r="G19" s="89">
        <f t="shared" ref="G19" si="3">SUM(C19:F19)</f>
        <v>0</v>
      </c>
      <c r="H19" s="129" t="str">
        <f t="shared" ref="H19" si="4">IF(G19&gt;0,G19/$G$18,"-")</f>
        <v>-</v>
      </c>
      <c r="I19" s="93"/>
      <c r="J19" s="93"/>
      <c r="K19" s="224"/>
      <c r="L19" s="93"/>
    </row>
    <row r="20" spans="1:12">
      <c r="A20" s="127" t="s">
        <v>94</v>
      </c>
      <c r="B20" s="226"/>
      <c r="C20" s="128"/>
      <c r="D20" s="128"/>
      <c r="E20" s="128"/>
      <c r="F20" s="128"/>
      <c r="G20" s="89">
        <f t="shared" ref="G20" si="5">SUM(C20:F20)</f>
        <v>0</v>
      </c>
      <c r="H20" s="129" t="str">
        <f>IF(G20&gt;0,G20/$G$18,"-")</f>
        <v>-</v>
      </c>
      <c r="I20" s="93"/>
      <c r="J20" s="93"/>
      <c r="K20" s="93"/>
      <c r="L20" s="93"/>
    </row>
    <row r="21" spans="1:12">
      <c r="A21" s="92" t="s">
        <v>95</v>
      </c>
      <c r="B21" s="131"/>
      <c r="C21" s="90">
        <f>C18-SUM(C19:C20)</f>
        <v>129377.76000000001</v>
      </c>
      <c r="D21" s="90">
        <f t="shared" ref="D21:F21" si="6">D18-SUM(D19:D20)</f>
        <v>121805.89999999998</v>
      </c>
      <c r="E21" s="90">
        <f t="shared" si="6"/>
        <v>82632.920000000013</v>
      </c>
      <c r="F21" s="90">
        <f t="shared" si="6"/>
        <v>127664.40000000001</v>
      </c>
      <c r="G21" s="30">
        <f>SUM(C21:F21)</f>
        <v>461480.98</v>
      </c>
      <c r="H21" s="132">
        <f>IF(G21&gt;0,G21/$G$18,"-")</f>
        <v>1.1541128525303597</v>
      </c>
      <c r="I21" s="93"/>
      <c r="J21" s="93"/>
      <c r="K21" s="93"/>
      <c r="L21" s="93"/>
    </row>
    <row r="22" spans="1:12">
      <c r="A22" s="3"/>
      <c r="B22" s="119"/>
      <c r="C22" s="120"/>
      <c r="D22" s="120"/>
      <c r="E22" s="120"/>
      <c r="F22" s="120"/>
      <c r="G22" s="31"/>
      <c r="H22" s="120"/>
      <c r="I22" s="93"/>
      <c r="J22" s="93"/>
      <c r="K22" s="93"/>
      <c r="L22" s="93"/>
    </row>
    <row r="23" spans="1:12">
      <c r="A23" s="9" t="s">
        <v>96</v>
      </c>
      <c r="B23" s="121" t="s">
        <v>73</v>
      </c>
      <c r="C23" s="133" t="s">
        <v>74</v>
      </c>
      <c r="D23" s="133" t="s">
        <v>75</v>
      </c>
      <c r="E23" s="133" t="s">
        <v>76</v>
      </c>
      <c r="F23" s="133" t="s">
        <v>77</v>
      </c>
      <c r="G23" s="32" t="s">
        <v>78</v>
      </c>
      <c r="H23" s="134" t="s">
        <v>97</v>
      </c>
      <c r="I23" s="93"/>
      <c r="J23" s="93"/>
      <c r="K23" s="93"/>
      <c r="L23" s="93"/>
    </row>
    <row r="24" spans="1:12" ht="15" customHeight="1">
      <c r="A24" s="135" t="s">
        <v>98</v>
      </c>
      <c r="B24" s="225" t="s">
        <v>99</v>
      </c>
      <c r="C24" s="125"/>
      <c r="D24" s="125"/>
      <c r="E24" s="125"/>
      <c r="F24" s="125"/>
      <c r="G24" s="28">
        <f t="shared" ref="G24:G27" si="7">SUM(C24:F24)</f>
        <v>0</v>
      </c>
      <c r="H24" s="136" t="str">
        <f>IF(G24&gt;0,G24*1000/$G$21,"-")</f>
        <v>-</v>
      </c>
      <c r="I24" s="93"/>
      <c r="J24" s="93"/>
      <c r="K24" s="93"/>
      <c r="L24" s="93"/>
    </row>
    <row r="25" spans="1:12">
      <c r="A25" s="137" t="s">
        <v>100</v>
      </c>
      <c r="B25" s="226"/>
      <c r="C25" s="138"/>
      <c r="D25" s="138"/>
      <c r="E25" s="138"/>
      <c r="F25" s="138"/>
      <c r="G25" s="29">
        <f>SUM(C25:F25)</f>
        <v>0</v>
      </c>
      <c r="H25" s="139" t="str">
        <f>IF(G25&gt;0,G25*1000/$G$21,"-")</f>
        <v>-</v>
      </c>
      <c r="I25" s="93"/>
      <c r="J25" s="93"/>
      <c r="K25" s="93"/>
      <c r="L25" s="93"/>
    </row>
    <row r="26" spans="1:12">
      <c r="A26" s="137" t="s">
        <v>101</v>
      </c>
      <c r="B26" s="226"/>
      <c r="C26" s="138"/>
      <c r="D26" s="138"/>
      <c r="E26" s="138"/>
      <c r="F26" s="138"/>
      <c r="G26" s="29">
        <f>SUM(C26:F26)</f>
        <v>0</v>
      </c>
      <c r="H26" s="139" t="str">
        <f>IF(G26&gt;0,G26*1000/$G$21,"-")</f>
        <v>-</v>
      </c>
      <c r="I26" s="93"/>
      <c r="J26" s="93"/>
      <c r="K26" s="93"/>
      <c r="L26" s="93"/>
    </row>
    <row r="27" spans="1:12">
      <c r="A27" s="137" t="s">
        <v>102</v>
      </c>
      <c r="B27" s="226"/>
      <c r="C27" s="138"/>
      <c r="D27" s="138"/>
      <c r="E27" s="138"/>
      <c r="F27" s="138"/>
      <c r="G27" s="29">
        <f t="shared" si="7"/>
        <v>0</v>
      </c>
      <c r="H27" s="139" t="str">
        <f>IF(G27&gt;0,G27*1000/$G$21,"-")</f>
        <v>-</v>
      </c>
      <c r="I27" s="93"/>
      <c r="J27" s="93"/>
      <c r="K27" s="93"/>
      <c r="L27" s="93"/>
    </row>
    <row r="28" spans="1:12">
      <c r="A28" s="137" t="s">
        <v>103</v>
      </c>
      <c r="B28" s="140" t="s">
        <v>79</v>
      </c>
      <c r="C28" s="141" t="str">
        <f>IF(C24&gt;0,1-C25/(C24+C27),"-")</f>
        <v>-</v>
      </c>
      <c r="D28" s="141" t="str">
        <f>IF(D24&gt;0,1-D25/(D24+D27),"-")</f>
        <v>-</v>
      </c>
      <c r="E28" s="141" t="str">
        <f>IF(E24&gt;0,1-E25/(E24+E27),"-")</f>
        <v>-</v>
      </c>
      <c r="F28" s="141" t="str">
        <f>IF(F24&gt;0,1-F25/(F24+F27),"-")</f>
        <v>-</v>
      </c>
      <c r="G28" s="141" t="str">
        <f>IF(G24&gt;0,1-G25/(G24+G27),"-")</f>
        <v>-</v>
      </c>
      <c r="H28" s="139"/>
      <c r="I28" s="93"/>
      <c r="J28" s="93"/>
      <c r="K28" s="93"/>
      <c r="L28" s="93"/>
    </row>
    <row r="29" spans="1:12">
      <c r="A29" s="137" t="s">
        <v>104</v>
      </c>
      <c r="B29" s="229" t="s">
        <v>99</v>
      </c>
      <c r="C29" s="138"/>
      <c r="D29" s="138"/>
      <c r="E29" s="138"/>
      <c r="F29" s="138"/>
      <c r="G29" s="29">
        <f t="shared" ref="G29:G30" si="8">SUM(C29:F29)</f>
        <v>0</v>
      </c>
      <c r="H29" s="139" t="str">
        <f>IF(G29&gt;0,G29*1000/$G$21,"-")</f>
        <v>-</v>
      </c>
      <c r="I29" s="93"/>
      <c r="J29" s="93"/>
      <c r="K29" s="93"/>
      <c r="L29" s="93"/>
    </row>
    <row r="30" spans="1:12">
      <c r="A30" s="137" t="s">
        <v>105</v>
      </c>
      <c r="B30" s="229"/>
      <c r="C30" s="138"/>
      <c r="D30" s="138"/>
      <c r="E30" s="138"/>
      <c r="F30" s="138"/>
      <c r="G30" s="29">
        <f t="shared" si="8"/>
        <v>0</v>
      </c>
      <c r="H30" s="139" t="str">
        <f>IF(G30&gt;0,G30*1000/$G$21,"-")</f>
        <v>-</v>
      </c>
      <c r="I30" s="93"/>
      <c r="J30" s="93"/>
      <c r="K30" s="17"/>
      <c r="L30" s="17"/>
    </row>
    <row r="31" spans="1:12">
      <c r="A31" s="100" t="s">
        <v>106</v>
      </c>
      <c r="B31" s="142"/>
      <c r="C31" s="143"/>
      <c r="D31" s="143"/>
      <c r="E31" s="143"/>
      <c r="F31" s="143"/>
      <c r="G31" s="144"/>
      <c r="H31" s="143"/>
      <c r="I31" s="93"/>
      <c r="J31" s="93"/>
      <c r="K31" s="93"/>
      <c r="L31" s="17"/>
    </row>
    <row r="32" spans="1:12">
      <c r="A32" s="3"/>
      <c r="B32" s="119"/>
      <c r="C32" s="120"/>
      <c r="D32" s="120"/>
      <c r="E32" s="120"/>
      <c r="F32" s="120"/>
      <c r="G32" s="31"/>
      <c r="H32" s="120"/>
      <c r="I32" s="93"/>
      <c r="J32" s="93"/>
      <c r="K32" s="93"/>
      <c r="L32" s="17"/>
    </row>
    <row r="33" spans="1:12">
      <c r="A33" s="9" t="s">
        <v>107</v>
      </c>
      <c r="B33" s="145" t="s">
        <v>73</v>
      </c>
      <c r="C33" s="133" t="s">
        <v>74</v>
      </c>
      <c r="D33" s="133" t="s">
        <v>75</v>
      </c>
      <c r="E33" s="133" t="s">
        <v>76</v>
      </c>
      <c r="F33" s="133" t="s">
        <v>77</v>
      </c>
      <c r="G33" s="32" t="s">
        <v>78</v>
      </c>
      <c r="H33" s="146" t="s">
        <v>108</v>
      </c>
      <c r="I33" s="93"/>
      <c r="J33" s="93"/>
      <c r="K33" s="93"/>
      <c r="L33" s="17"/>
    </row>
    <row r="34" spans="1:12" ht="15" customHeight="1">
      <c r="A34" s="135" t="s">
        <v>109</v>
      </c>
      <c r="B34" s="225" t="s">
        <v>81</v>
      </c>
      <c r="C34" s="125"/>
      <c r="D34" s="125"/>
      <c r="E34" s="125"/>
      <c r="F34" s="125"/>
      <c r="G34" s="28">
        <f t="shared" ref="G34:G35" si="9">SUM(C34:F34)</f>
        <v>0</v>
      </c>
      <c r="H34" s="126" t="str">
        <f>IF(G34&gt;0,G34/$G$21,"-")</f>
        <v>-</v>
      </c>
      <c r="I34" s="93"/>
      <c r="J34" s="93"/>
      <c r="K34" s="17"/>
      <c r="L34" s="17"/>
    </row>
    <row r="35" spans="1:12" ht="15" customHeight="1">
      <c r="A35" s="137" t="s">
        <v>110</v>
      </c>
      <c r="B35" s="226"/>
      <c r="C35" s="138"/>
      <c r="D35" s="138"/>
      <c r="E35" s="138"/>
      <c r="F35" s="138"/>
      <c r="G35" s="29">
        <f t="shared" si="9"/>
        <v>0</v>
      </c>
      <c r="H35" s="129" t="str">
        <f t="shared" ref="H35:H39" si="10">IF(G35&gt;0,G35/$G$21,"-")</f>
        <v>-</v>
      </c>
      <c r="I35" s="93"/>
      <c r="J35" s="93"/>
      <c r="K35" s="17"/>
      <c r="L35" s="17"/>
    </row>
    <row r="36" spans="1:12" ht="15" customHeight="1">
      <c r="A36" s="137" t="s">
        <v>111</v>
      </c>
      <c r="B36" s="226"/>
      <c r="C36" s="138"/>
      <c r="D36" s="138"/>
      <c r="E36" s="138"/>
      <c r="F36" s="138"/>
      <c r="G36" s="29">
        <f t="shared" ref="G36:G39" si="11">SUM(C36:F36)</f>
        <v>0</v>
      </c>
      <c r="H36" s="129" t="str">
        <f t="shared" si="10"/>
        <v>-</v>
      </c>
      <c r="I36" s="93"/>
      <c r="J36" s="93"/>
      <c r="K36" s="93"/>
      <c r="L36" s="93"/>
    </row>
    <row r="37" spans="1:12">
      <c r="A37" s="147" t="s">
        <v>112</v>
      </c>
      <c r="B37" s="226"/>
      <c r="C37" s="138">
        <v>0</v>
      </c>
      <c r="D37" s="138">
        <v>0</v>
      </c>
      <c r="E37" s="138">
        <v>0</v>
      </c>
      <c r="F37" s="138">
        <v>0</v>
      </c>
      <c r="G37" s="29">
        <f t="shared" ref="G37" si="12">SUM(C37:F37)</f>
        <v>0</v>
      </c>
      <c r="H37" s="129" t="str">
        <f t="shared" si="10"/>
        <v>-</v>
      </c>
      <c r="I37" s="93"/>
      <c r="J37" s="93"/>
      <c r="K37" s="93"/>
      <c r="L37" s="93"/>
    </row>
    <row r="38" spans="1:12">
      <c r="A38" s="147" t="s">
        <v>112</v>
      </c>
      <c r="B38" s="226"/>
      <c r="C38" s="138">
        <v>0</v>
      </c>
      <c r="D38" s="138">
        <v>0</v>
      </c>
      <c r="E38" s="138">
        <v>0</v>
      </c>
      <c r="F38" s="138">
        <v>0</v>
      </c>
      <c r="G38" s="29">
        <f t="shared" si="11"/>
        <v>0</v>
      </c>
      <c r="H38" s="129" t="str">
        <f t="shared" si="10"/>
        <v>-</v>
      </c>
      <c r="I38" s="93"/>
      <c r="J38" s="93"/>
      <c r="K38" s="93"/>
      <c r="L38" s="93"/>
    </row>
    <row r="39" spans="1:12">
      <c r="A39" s="148" t="s">
        <v>112</v>
      </c>
      <c r="B39" s="227"/>
      <c r="C39" s="149">
        <v>0</v>
      </c>
      <c r="D39" s="149">
        <v>0</v>
      </c>
      <c r="E39" s="149">
        <v>0</v>
      </c>
      <c r="F39" s="149">
        <v>0</v>
      </c>
      <c r="G39" s="30">
        <f t="shared" si="11"/>
        <v>0</v>
      </c>
      <c r="H39" s="132" t="str">
        <f t="shared" si="10"/>
        <v>-</v>
      </c>
      <c r="I39" s="93"/>
      <c r="J39" s="93"/>
      <c r="K39" s="93"/>
      <c r="L39" s="93"/>
    </row>
    <row r="40" spans="1:12">
      <c r="A40" s="119"/>
      <c r="B40" s="119"/>
      <c r="C40" s="120"/>
      <c r="D40" s="120"/>
      <c r="E40" s="120"/>
      <c r="F40" s="120"/>
      <c r="G40" s="31"/>
      <c r="H40" s="120"/>
      <c r="I40" s="93"/>
      <c r="J40" s="93"/>
      <c r="K40" s="93"/>
      <c r="L40" s="93"/>
    </row>
    <row r="41" spans="1:12">
      <c r="A41" s="9" t="s">
        <v>113</v>
      </c>
      <c r="B41" s="150" t="s">
        <v>73</v>
      </c>
      <c r="C41" s="122" t="s">
        <v>74</v>
      </c>
      <c r="D41" s="122" t="s">
        <v>75</v>
      </c>
      <c r="E41" s="122" t="s">
        <v>76</v>
      </c>
      <c r="F41" s="122" t="s">
        <v>77</v>
      </c>
      <c r="G41" s="27" t="s">
        <v>78</v>
      </c>
      <c r="H41" s="123" t="s">
        <v>114</v>
      </c>
      <c r="I41" s="93"/>
      <c r="J41" s="93"/>
      <c r="K41" s="93"/>
      <c r="L41" s="93"/>
    </row>
    <row r="42" spans="1:12" ht="15.6" customHeight="1">
      <c r="A42" s="135" t="s">
        <v>115</v>
      </c>
      <c r="B42" s="140" t="s">
        <v>116</v>
      </c>
      <c r="C42" s="125"/>
      <c r="D42" s="125"/>
      <c r="E42" s="125"/>
      <c r="F42" s="125"/>
      <c r="G42" s="28">
        <f t="shared" ref="G42:G50" si="13">SUM(C42:F42)</f>
        <v>0</v>
      </c>
      <c r="H42" s="151" t="str">
        <f>IF(G42&gt;0,G42/$G$21,"-")</f>
        <v>-</v>
      </c>
      <c r="I42" s="93"/>
      <c r="J42" s="93"/>
      <c r="K42" s="93"/>
      <c r="L42" s="93"/>
    </row>
    <row r="43" spans="1:12">
      <c r="A43" s="137" t="s">
        <v>117</v>
      </c>
      <c r="B43" s="140" t="s">
        <v>116</v>
      </c>
      <c r="C43" s="138"/>
      <c r="D43" s="138"/>
      <c r="E43" s="138"/>
      <c r="F43" s="138"/>
      <c r="G43" s="29">
        <f t="shared" si="13"/>
        <v>0</v>
      </c>
      <c r="H43" s="151" t="str">
        <f t="shared" ref="H43:H48" si="14">IF(G43&gt;0,G43/$G$21,"-")</f>
        <v>-</v>
      </c>
      <c r="I43" s="93"/>
      <c r="J43" s="93"/>
      <c r="K43" s="93"/>
      <c r="L43" s="93"/>
    </row>
    <row r="44" spans="1:12" ht="15.6" customHeight="1">
      <c r="A44" s="137" t="s">
        <v>118</v>
      </c>
      <c r="B44" s="140" t="s">
        <v>119</v>
      </c>
      <c r="C44" s="138"/>
      <c r="D44" s="138"/>
      <c r="E44" s="138"/>
      <c r="F44" s="138"/>
      <c r="G44" s="29">
        <f t="shared" si="13"/>
        <v>0</v>
      </c>
      <c r="H44" s="151" t="str">
        <f t="shared" si="14"/>
        <v>-</v>
      </c>
      <c r="I44" s="93"/>
      <c r="J44" s="93"/>
      <c r="K44" s="93"/>
      <c r="L44" s="93"/>
    </row>
    <row r="45" spans="1:12" ht="15.6" customHeight="1">
      <c r="A45" s="137" t="s">
        <v>120</v>
      </c>
      <c r="B45" s="140" t="s">
        <v>119</v>
      </c>
      <c r="C45" s="138"/>
      <c r="D45" s="138"/>
      <c r="E45" s="138"/>
      <c r="F45" s="138"/>
      <c r="G45" s="29">
        <f t="shared" ref="G45" si="15">SUM(C45:F45)</f>
        <v>0</v>
      </c>
      <c r="H45" s="151" t="str">
        <f t="shared" si="14"/>
        <v>-</v>
      </c>
      <c r="I45" s="93"/>
      <c r="J45" s="93"/>
      <c r="K45" s="93"/>
      <c r="L45" s="93"/>
    </row>
    <row r="46" spans="1:12">
      <c r="A46" s="137" t="s">
        <v>121</v>
      </c>
      <c r="B46" s="140" t="s">
        <v>119</v>
      </c>
      <c r="C46" s="138"/>
      <c r="D46" s="138"/>
      <c r="E46" s="138"/>
      <c r="F46" s="138"/>
      <c r="G46" s="29">
        <f t="shared" si="13"/>
        <v>0</v>
      </c>
      <c r="H46" s="151" t="str">
        <f t="shared" si="14"/>
        <v>-</v>
      </c>
      <c r="I46" s="93"/>
      <c r="J46" s="93"/>
      <c r="K46" s="93"/>
      <c r="L46" s="93"/>
    </row>
    <row r="47" spans="1:12">
      <c r="A47" s="137" t="s">
        <v>122</v>
      </c>
      <c r="B47" s="140" t="s">
        <v>119</v>
      </c>
      <c r="C47" s="138"/>
      <c r="D47" s="138"/>
      <c r="E47" s="138"/>
      <c r="F47" s="138"/>
      <c r="G47" s="29">
        <f t="shared" si="13"/>
        <v>0</v>
      </c>
      <c r="H47" s="151" t="str">
        <f t="shared" si="14"/>
        <v>-</v>
      </c>
      <c r="I47" s="93"/>
      <c r="J47" s="93"/>
      <c r="K47" s="93"/>
      <c r="L47" s="93"/>
    </row>
    <row r="48" spans="1:12">
      <c r="A48" s="137" t="s">
        <v>123</v>
      </c>
      <c r="B48" s="140" t="s">
        <v>116</v>
      </c>
      <c r="C48" s="138"/>
      <c r="D48" s="138"/>
      <c r="E48" s="138"/>
      <c r="F48" s="138"/>
      <c r="G48" s="29">
        <f t="shared" si="13"/>
        <v>0</v>
      </c>
      <c r="H48" s="151" t="str">
        <f t="shared" si="14"/>
        <v>-</v>
      </c>
      <c r="I48" s="93"/>
      <c r="J48" s="93"/>
      <c r="K48" s="93"/>
      <c r="L48" s="93"/>
    </row>
    <row r="49" spans="1:10">
      <c r="A49" s="137" t="s">
        <v>124</v>
      </c>
      <c r="B49" s="140" t="s">
        <v>125</v>
      </c>
      <c r="C49" s="138">
        <v>0</v>
      </c>
      <c r="D49" s="138">
        <v>0</v>
      </c>
      <c r="E49" s="138">
        <v>0</v>
      </c>
      <c r="F49" s="138">
        <v>0</v>
      </c>
      <c r="G49" s="29">
        <f t="shared" si="13"/>
        <v>0</v>
      </c>
      <c r="H49" s="152"/>
      <c r="I49" s="93"/>
      <c r="J49" s="93"/>
    </row>
    <row r="50" spans="1:10">
      <c r="A50" s="100" t="s">
        <v>112</v>
      </c>
      <c r="B50" s="153"/>
      <c r="C50" s="149">
        <v>0</v>
      </c>
      <c r="D50" s="149">
        <v>0</v>
      </c>
      <c r="E50" s="149">
        <v>0</v>
      </c>
      <c r="F50" s="149">
        <v>0</v>
      </c>
      <c r="G50" s="30">
        <f t="shared" si="13"/>
        <v>0</v>
      </c>
      <c r="H50" s="154"/>
      <c r="I50" s="93"/>
      <c r="J50" s="93"/>
    </row>
    <row r="51" spans="1:10">
      <c r="A51" s="119"/>
      <c r="B51" s="119"/>
      <c r="C51" s="120"/>
      <c r="D51" s="120"/>
      <c r="E51" s="120"/>
      <c r="F51" s="120"/>
      <c r="G51" s="31"/>
      <c r="H51" s="120"/>
      <c r="I51" s="93"/>
      <c r="J51" s="93"/>
    </row>
    <row r="52" spans="1:10">
      <c r="A52" s="9" t="s">
        <v>126</v>
      </c>
      <c r="B52" s="155" t="s">
        <v>127</v>
      </c>
      <c r="C52" s="133" t="s">
        <v>74</v>
      </c>
      <c r="D52" s="133" t="s">
        <v>75</v>
      </c>
      <c r="E52" s="133" t="s">
        <v>76</v>
      </c>
      <c r="F52" s="133" t="s">
        <v>77</v>
      </c>
      <c r="G52" s="32" t="s">
        <v>78</v>
      </c>
      <c r="H52" s="134"/>
      <c r="I52" s="93"/>
      <c r="J52" s="86" t="s">
        <v>128</v>
      </c>
    </row>
    <row r="53" spans="1:10" ht="14.25" customHeight="1">
      <c r="A53" s="221" t="s">
        <v>129</v>
      </c>
      <c r="B53" s="133">
        <f>+B5</f>
        <v>1</v>
      </c>
      <c r="C53" s="125"/>
      <c r="D53" s="125"/>
      <c r="E53" s="125"/>
      <c r="F53" s="125"/>
      <c r="G53" s="28">
        <f t="shared" ref="G53:G65" si="16">SUM(C53:F53)</f>
        <v>0</v>
      </c>
      <c r="H53" s="126" t="s">
        <v>130</v>
      </c>
      <c r="I53" s="93"/>
      <c r="J53" s="88">
        <v>8760</v>
      </c>
    </row>
    <row r="54" spans="1:10" ht="14.25" customHeight="1">
      <c r="A54" s="222"/>
      <c r="B54" s="120">
        <v>2</v>
      </c>
      <c r="C54" s="128"/>
      <c r="D54" s="128"/>
      <c r="E54" s="128"/>
      <c r="F54" s="128"/>
      <c r="G54" s="29">
        <f t="shared" si="16"/>
        <v>0</v>
      </c>
      <c r="H54" s="129" t="s">
        <v>131</v>
      </c>
      <c r="I54" s="93"/>
      <c r="J54" s="93"/>
    </row>
    <row r="55" spans="1:10" ht="14.25" customHeight="1">
      <c r="A55" s="222"/>
      <c r="B55" s="120">
        <v>3</v>
      </c>
      <c r="C55" s="128"/>
      <c r="D55" s="128"/>
      <c r="E55" s="128"/>
      <c r="F55" s="128"/>
      <c r="G55" s="29">
        <f t="shared" si="16"/>
        <v>0</v>
      </c>
      <c r="H55" s="129" t="s">
        <v>131</v>
      </c>
      <c r="I55" s="93"/>
      <c r="J55" s="93"/>
    </row>
    <row r="56" spans="1:10" ht="14.25" customHeight="1">
      <c r="A56" s="222"/>
      <c r="B56" s="120">
        <v>4</v>
      </c>
      <c r="C56" s="128"/>
      <c r="D56" s="128"/>
      <c r="E56" s="128"/>
      <c r="F56" s="128"/>
      <c r="G56" s="29">
        <f t="shared" si="16"/>
        <v>0</v>
      </c>
      <c r="H56" s="129" t="s">
        <v>131</v>
      </c>
      <c r="I56" s="93"/>
      <c r="J56" s="93"/>
    </row>
    <row r="57" spans="1:10" ht="14.25" customHeight="1">
      <c r="A57" s="222"/>
      <c r="B57" s="120">
        <v>5</v>
      </c>
      <c r="C57" s="128"/>
      <c r="D57" s="128"/>
      <c r="E57" s="128"/>
      <c r="F57" s="128"/>
      <c r="G57" s="29">
        <f t="shared" ref="G57" si="17">SUM(C57:F57)</f>
        <v>0</v>
      </c>
      <c r="H57" s="129" t="s">
        <v>131</v>
      </c>
      <c r="I57" s="93"/>
      <c r="J57" s="93"/>
    </row>
    <row r="58" spans="1:10" ht="14.25" customHeight="1">
      <c r="A58" s="137" t="s">
        <v>132</v>
      </c>
      <c r="B58" s="120"/>
      <c r="C58" s="128"/>
      <c r="D58" s="128"/>
      <c r="E58" s="128"/>
      <c r="F58" s="128"/>
      <c r="G58" s="29">
        <f>AVERAGE(G53:G57)</f>
        <v>0</v>
      </c>
      <c r="H58" s="87" t="s">
        <v>131</v>
      </c>
      <c r="I58" s="93"/>
      <c r="J58" s="93"/>
    </row>
    <row r="59" spans="1:10" ht="14.25" customHeight="1">
      <c r="A59" s="137" t="s">
        <v>133</v>
      </c>
      <c r="B59" s="120">
        <v>1</v>
      </c>
      <c r="C59" s="128"/>
      <c r="D59" s="128"/>
      <c r="E59" s="128"/>
      <c r="F59" s="128"/>
      <c r="G59" s="29">
        <f t="shared" si="16"/>
        <v>0</v>
      </c>
      <c r="H59" s="129" t="s">
        <v>131</v>
      </c>
      <c r="I59" s="93"/>
      <c r="J59" s="93"/>
    </row>
    <row r="60" spans="1:10">
      <c r="A60" s="137" t="s">
        <v>133</v>
      </c>
      <c r="B60" s="120">
        <v>2</v>
      </c>
      <c r="C60" s="138"/>
      <c r="D60" s="138"/>
      <c r="E60" s="138"/>
      <c r="F60" s="138"/>
      <c r="G60" s="29">
        <f t="shared" si="16"/>
        <v>0</v>
      </c>
      <c r="H60" s="129" t="s">
        <v>131</v>
      </c>
      <c r="I60" s="93"/>
      <c r="J60" s="93"/>
    </row>
    <row r="61" spans="1:10">
      <c r="A61" s="137" t="s">
        <v>134</v>
      </c>
      <c r="B61" s="120"/>
      <c r="C61" s="138"/>
      <c r="D61" s="138"/>
      <c r="E61" s="138"/>
      <c r="F61" s="138"/>
      <c r="G61" s="29">
        <f t="shared" si="16"/>
        <v>0</v>
      </c>
      <c r="H61" s="129" t="str">
        <f>IF(B61&gt;0,G60/J53,"n/a")</f>
        <v>n/a</v>
      </c>
      <c r="I61" s="93"/>
      <c r="J61" s="93"/>
    </row>
    <row r="62" spans="1:10">
      <c r="A62" s="137" t="s">
        <v>135</v>
      </c>
      <c r="B62" s="120" t="s">
        <v>136</v>
      </c>
      <c r="C62" s="138"/>
      <c r="D62" s="138"/>
      <c r="E62" s="138"/>
      <c r="F62" s="138"/>
      <c r="G62" s="29"/>
      <c r="H62" s="156" t="s">
        <v>137</v>
      </c>
      <c r="I62" s="93"/>
      <c r="J62" s="93"/>
    </row>
    <row r="63" spans="1:10">
      <c r="A63" s="137" t="s">
        <v>138</v>
      </c>
      <c r="B63" s="120" t="s">
        <v>139</v>
      </c>
      <c r="C63" s="138"/>
      <c r="D63" s="138"/>
      <c r="E63" s="138"/>
      <c r="F63" s="138"/>
      <c r="G63" s="29">
        <f t="shared" si="16"/>
        <v>0</v>
      </c>
      <c r="H63" s="139" t="str">
        <f>IF(G63&gt;0,"yes","no")</f>
        <v>no</v>
      </c>
      <c r="I63" s="93"/>
      <c r="J63" s="93"/>
    </row>
    <row r="64" spans="1:10">
      <c r="A64" s="137" t="s">
        <v>140</v>
      </c>
      <c r="B64" s="120" t="s">
        <v>141</v>
      </c>
      <c r="C64" s="138"/>
      <c r="D64" s="138"/>
      <c r="E64" s="138"/>
      <c r="F64" s="138"/>
      <c r="G64" s="29">
        <f t="shared" si="16"/>
        <v>0</v>
      </c>
      <c r="H64" s="157">
        <f>+(G64)/J53</f>
        <v>0</v>
      </c>
      <c r="I64" s="93"/>
      <c r="J64" s="93"/>
    </row>
    <row r="65" spans="1:8">
      <c r="A65" s="100" t="s">
        <v>142</v>
      </c>
      <c r="B65" s="158" t="s">
        <v>139</v>
      </c>
      <c r="C65" s="149"/>
      <c r="D65" s="149"/>
      <c r="E65" s="149"/>
      <c r="F65" s="149"/>
      <c r="G65" s="30">
        <f t="shared" si="16"/>
        <v>0</v>
      </c>
      <c r="H65" s="159" t="str">
        <f>IF(G65&gt;0,"yes","no")</f>
        <v>no</v>
      </c>
    </row>
    <row r="78" spans="1:8">
      <c r="A78" s="93"/>
      <c r="B78" s="119"/>
      <c r="C78" s="119"/>
      <c r="D78" s="119"/>
      <c r="E78" s="119"/>
      <c r="F78" s="3"/>
      <c r="H78" s="120"/>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election activeCell="O23" sqref="O23"/>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3" t="str">
        <f>+'Cover Page'!$B$29</f>
        <v>Annual Performance Report 2022</v>
      </c>
      <c r="B1" s="93"/>
      <c r="C1" s="93"/>
      <c r="D1" s="93"/>
      <c r="E1" s="93" t="str">
        <f>+'Cover Page'!$B$33</f>
        <v>EPR Thetford Power Station</v>
      </c>
      <c r="F1" s="93"/>
      <c r="G1" s="93"/>
      <c r="H1" s="93"/>
      <c r="I1" s="93"/>
      <c r="J1" s="93"/>
      <c r="K1" s="93"/>
      <c r="L1" s="93"/>
      <c r="M1" s="93"/>
      <c r="N1" s="93"/>
    </row>
    <row r="3" spans="1:14" ht="15.6">
      <c r="A3" s="51" t="s">
        <v>143</v>
      </c>
      <c r="B3" s="114"/>
      <c r="C3" s="114"/>
      <c r="D3" s="114"/>
      <c r="E3" s="114"/>
      <c r="F3" s="114"/>
      <c r="G3" s="114"/>
      <c r="H3" s="114"/>
      <c r="I3" s="115"/>
      <c r="J3" s="93"/>
      <c r="K3" s="81" t="s">
        <v>3</v>
      </c>
      <c r="L3" s="93"/>
      <c r="M3" s="93"/>
      <c r="N3" s="93"/>
    </row>
    <row r="4" spans="1:14">
      <c r="A4" s="116"/>
      <c r="B4" s="117"/>
      <c r="C4" s="117"/>
      <c r="D4" s="117"/>
      <c r="E4" s="117"/>
      <c r="F4" s="117"/>
      <c r="G4" s="117"/>
      <c r="H4" s="117"/>
      <c r="I4" s="118"/>
      <c r="J4" s="93"/>
      <c r="K4" s="93"/>
      <c r="L4" s="93"/>
      <c r="M4" s="93"/>
      <c r="N4" s="93"/>
    </row>
    <row r="5" spans="1:14" ht="15.75" customHeight="1">
      <c r="A5" s="203" t="s">
        <v>144</v>
      </c>
      <c r="B5" s="204"/>
      <c r="C5" s="204"/>
      <c r="D5" s="204"/>
      <c r="E5" s="204"/>
      <c r="F5" s="204"/>
      <c r="G5" s="204"/>
      <c r="H5" s="204"/>
      <c r="I5" s="205"/>
      <c r="J5" s="93"/>
      <c r="K5" s="220" t="s">
        <v>145</v>
      </c>
      <c r="L5" s="220"/>
      <c r="M5" s="220"/>
      <c r="N5" s="220"/>
    </row>
    <row r="6" spans="1:14">
      <c r="A6" s="206"/>
      <c r="B6" s="207"/>
      <c r="C6" s="207"/>
      <c r="D6" s="207"/>
      <c r="E6" s="207"/>
      <c r="F6" s="207"/>
      <c r="G6" s="207"/>
      <c r="H6" s="207"/>
      <c r="I6" s="208"/>
      <c r="J6" s="93"/>
      <c r="K6" s="220"/>
      <c r="L6" s="220"/>
      <c r="M6" s="220"/>
      <c r="N6" s="220"/>
    </row>
    <row r="7" spans="1:14">
      <c r="A7" s="206"/>
      <c r="B7" s="207"/>
      <c r="C7" s="207"/>
      <c r="D7" s="207"/>
      <c r="E7" s="207"/>
      <c r="F7" s="207"/>
      <c r="G7" s="207"/>
      <c r="H7" s="207"/>
      <c r="I7" s="208"/>
      <c r="J7" s="93"/>
      <c r="K7" s="220"/>
      <c r="L7" s="220"/>
      <c r="M7" s="220"/>
      <c r="N7" s="220"/>
    </row>
    <row r="8" spans="1:14" ht="15.75" customHeight="1">
      <c r="A8" s="206"/>
      <c r="B8" s="207"/>
      <c r="C8" s="207"/>
      <c r="D8" s="207"/>
      <c r="E8" s="207"/>
      <c r="F8" s="207"/>
      <c r="G8" s="207"/>
      <c r="H8" s="207"/>
      <c r="I8" s="208"/>
      <c r="J8" s="93"/>
      <c r="K8" s="220"/>
      <c r="L8" s="220"/>
      <c r="M8" s="220"/>
      <c r="N8" s="220"/>
    </row>
    <row r="9" spans="1:14" ht="15.75" customHeight="1">
      <c r="A9" s="206"/>
      <c r="B9" s="207"/>
      <c r="C9" s="207"/>
      <c r="D9" s="207"/>
      <c r="E9" s="207"/>
      <c r="F9" s="207"/>
      <c r="G9" s="207"/>
      <c r="H9" s="207"/>
      <c r="I9" s="208"/>
      <c r="J9" s="93"/>
      <c r="K9" s="220"/>
      <c r="L9" s="220"/>
      <c r="M9" s="220"/>
      <c r="N9" s="220"/>
    </row>
    <row r="10" spans="1:14" ht="15.75" customHeight="1">
      <c r="A10" s="206"/>
      <c r="B10" s="207"/>
      <c r="C10" s="207"/>
      <c r="D10" s="207"/>
      <c r="E10" s="207"/>
      <c r="F10" s="207"/>
      <c r="G10" s="207"/>
      <c r="H10" s="207"/>
      <c r="I10" s="208"/>
      <c r="J10" s="93"/>
      <c r="K10" s="220"/>
      <c r="L10" s="220"/>
      <c r="M10" s="220"/>
      <c r="N10" s="220"/>
    </row>
    <row r="11" spans="1:14" ht="15.75" customHeight="1">
      <c r="A11" s="206"/>
      <c r="B11" s="207"/>
      <c r="C11" s="207"/>
      <c r="D11" s="207"/>
      <c r="E11" s="207"/>
      <c r="F11" s="207"/>
      <c r="G11" s="207"/>
      <c r="H11" s="207"/>
      <c r="I11" s="208"/>
      <c r="J11" s="93"/>
      <c r="K11" s="220"/>
      <c r="L11" s="220"/>
      <c r="M11" s="220"/>
      <c r="N11" s="220"/>
    </row>
    <row r="12" spans="1:14" ht="15.75" customHeight="1">
      <c r="A12" s="206"/>
      <c r="B12" s="207"/>
      <c r="C12" s="207"/>
      <c r="D12" s="207"/>
      <c r="E12" s="207"/>
      <c r="F12" s="207"/>
      <c r="G12" s="207"/>
      <c r="H12" s="207"/>
      <c r="I12" s="208"/>
      <c r="J12" s="93"/>
      <c r="K12" s="220"/>
      <c r="L12" s="220"/>
      <c r="M12" s="220"/>
      <c r="N12" s="220"/>
    </row>
    <row r="13" spans="1:14" ht="15.75" customHeight="1">
      <c r="A13" s="206"/>
      <c r="B13" s="207"/>
      <c r="C13" s="207"/>
      <c r="D13" s="207"/>
      <c r="E13" s="207"/>
      <c r="F13" s="207"/>
      <c r="G13" s="207"/>
      <c r="H13" s="207"/>
      <c r="I13" s="208"/>
      <c r="J13" s="93"/>
      <c r="K13" s="220"/>
      <c r="L13" s="220"/>
      <c r="M13" s="220"/>
      <c r="N13" s="220"/>
    </row>
    <row r="14" spans="1:14" ht="15.75" customHeight="1">
      <c r="A14" s="206"/>
      <c r="B14" s="207"/>
      <c r="C14" s="207"/>
      <c r="D14" s="207"/>
      <c r="E14" s="207"/>
      <c r="F14" s="207"/>
      <c r="G14" s="207"/>
      <c r="H14" s="207"/>
      <c r="I14" s="208"/>
      <c r="J14" s="93"/>
      <c r="K14" s="220"/>
      <c r="L14" s="220"/>
      <c r="M14" s="220"/>
      <c r="N14" s="220"/>
    </row>
    <row r="15" spans="1:14" ht="15.75" customHeight="1">
      <c r="A15" s="206"/>
      <c r="B15" s="207"/>
      <c r="C15" s="207"/>
      <c r="D15" s="207"/>
      <c r="E15" s="207"/>
      <c r="F15" s="207"/>
      <c r="G15" s="207"/>
      <c r="H15" s="207"/>
      <c r="I15" s="208"/>
      <c r="J15" s="93"/>
      <c r="K15" s="93"/>
      <c r="L15" s="93"/>
      <c r="M15" s="93"/>
      <c r="N15" s="93"/>
    </row>
    <row r="16" spans="1:14" ht="15.75" customHeight="1">
      <c r="A16" s="206"/>
      <c r="B16" s="207"/>
      <c r="C16" s="207"/>
      <c r="D16" s="207"/>
      <c r="E16" s="207"/>
      <c r="F16" s="207"/>
      <c r="G16" s="207"/>
      <c r="H16" s="207"/>
      <c r="I16" s="208"/>
      <c r="J16" s="93"/>
      <c r="K16" s="93"/>
      <c r="L16" s="93"/>
      <c r="M16" s="93"/>
      <c r="N16" s="93"/>
    </row>
    <row r="17" spans="1:14" ht="15.75" customHeight="1">
      <c r="A17" s="206"/>
      <c r="B17" s="207"/>
      <c r="C17" s="207"/>
      <c r="D17" s="207"/>
      <c r="E17" s="207"/>
      <c r="F17" s="207"/>
      <c r="G17" s="207"/>
      <c r="H17" s="207"/>
      <c r="I17" s="208"/>
      <c r="J17" s="93"/>
      <c r="K17" s="93"/>
      <c r="L17" s="93"/>
      <c r="M17" s="93"/>
      <c r="N17" s="93"/>
    </row>
    <row r="18" spans="1:14">
      <c r="A18" s="206"/>
      <c r="B18" s="207"/>
      <c r="C18" s="207"/>
      <c r="D18" s="207"/>
      <c r="E18" s="207"/>
      <c r="F18" s="207"/>
      <c r="G18" s="207"/>
      <c r="H18" s="207"/>
      <c r="I18" s="208"/>
      <c r="J18" s="93"/>
      <c r="K18" s="93"/>
      <c r="L18" s="93"/>
      <c r="M18" s="93"/>
      <c r="N18" s="93"/>
    </row>
    <row r="19" spans="1:14">
      <c r="A19" s="206"/>
      <c r="B19" s="207"/>
      <c r="C19" s="207"/>
      <c r="D19" s="207"/>
      <c r="E19" s="207"/>
      <c r="F19" s="207"/>
      <c r="G19" s="207"/>
      <c r="H19" s="207"/>
      <c r="I19" s="208"/>
      <c r="J19" s="93"/>
      <c r="K19" s="93"/>
      <c r="L19" s="93"/>
      <c r="M19" s="93"/>
      <c r="N19" s="93"/>
    </row>
    <row r="20" spans="1:14">
      <c r="A20" s="206"/>
      <c r="B20" s="207"/>
      <c r="C20" s="207"/>
      <c r="D20" s="207"/>
      <c r="E20" s="207"/>
      <c r="F20" s="207"/>
      <c r="G20" s="207"/>
      <c r="H20" s="207"/>
      <c r="I20" s="208"/>
      <c r="J20" s="93"/>
      <c r="K20" s="93"/>
      <c r="L20" s="93"/>
      <c r="M20" s="93"/>
      <c r="N20" s="93"/>
    </row>
    <row r="21" spans="1:14">
      <c r="A21" s="206"/>
      <c r="B21" s="207"/>
      <c r="C21" s="207"/>
      <c r="D21" s="207"/>
      <c r="E21" s="207"/>
      <c r="F21" s="207"/>
      <c r="G21" s="207"/>
      <c r="H21" s="207"/>
      <c r="I21" s="208"/>
      <c r="J21" s="93"/>
      <c r="K21" s="93"/>
      <c r="L21" s="93"/>
      <c r="M21" s="93"/>
      <c r="N21" s="93"/>
    </row>
    <row r="22" spans="1:14" ht="15.4" customHeight="1">
      <c r="A22" s="206"/>
      <c r="B22" s="207"/>
      <c r="C22" s="207"/>
      <c r="D22" s="207"/>
      <c r="E22" s="207"/>
      <c r="F22" s="207"/>
      <c r="G22" s="207"/>
      <c r="H22" s="207"/>
      <c r="I22" s="208"/>
      <c r="J22" s="93"/>
      <c r="K22" s="95"/>
      <c r="L22" s="95"/>
      <c r="M22" s="95"/>
      <c r="N22" s="95"/>
    </row>
    <row r="23" spans="1:14">
      <c r="A23" s="206"/>
      <c r="B23" s="207"/>
      <c r="C23" s="207"/>
      <c r="D23" s="207"/>
      <c r="E23" s="207"/>
      <c r="F23" s="207"/>
      <c r="G23" s="207"/>
      <c r="H23" s="207"/>
      <c r="I23" s="208"/>
      <c r="J23" s="93"/>
      <c r="K23" s="95"/>
      <c r="L23" s="95"/>
      <c r="M23" s="95"/>
      <c r="N23" s="95"/>
    </row>
    <row r="24" spans="1:14">
      <c r="A24" s="206"/>
      <c r="B24" s="207"/>
      <c r="C24" s="207"/>
      <c r="D24" s="207"/>
      <c r="E24" s="207"/>
      <c r="F24" s="207"/>
      <c r="G24" s="207"/>
      <c r="H24" s="207"/>
      <c r="I24" s="208"/>
      <c r="J24" s="93"/>
      <c r="K24" s="95"/>
      <c r="L24" s="95"/>
      <c r="M24" s="95"/>
      <c r="N24" s="95"/>
    </row>
    <row r="25" spans="1:14">
      <c r="A25" s="206"/>
      <c r="B25" s="207"/>
      <c r="C25" s="207"/>
      <c r="D25" s="207"/>
      <c r="E25" s="207"/>
      <c r="F25" s="207"/>
      <c r="G25" s="207"/>
      <c r="H25" s="207"/>
      <c r="I25" s="208"/>
      <c r="J25" s="93"/>
      <c r="K25" s="95"/>
      <c r="L25" s="95"/>
      <c r="M25" s="95"/>
      <c r="N25" s="95"/>
    </row>
    <row r="26" spans="1:14">
      <c r="A26" s="206"/>
      <c r="B26" s="207"/>
      <c r="C26" s="207"/>
      <c r="D26" s="207"/>
      <c r="E26" s="207"/>
      <c r="F26" s="207"/>
      <c r="G26" s="207"/>
      <c r="H26" s="207"/>
      <c r="I26" s="208"/>
      <c r="J26" s="93"/>
      <c r="K26" s="95"/>
      <c r="L26" s="95"/>
      <c r="M26" s="95"/>
      <c r="N26" s="95"/>
    </row>
    <row r="27" spans="1:14">
      <c r="A27" s="209"/>
      <c r="B27" s="210"/>
      <c r="C27" s="210"/>
      <c r="D27" s="210"/>
      <c r="E27" s="210"/>
      <c r="F27" s="210"/>
      <c r="G27" s="210"/>
      <c r="H27" s="210"/>
      <c r="I27" s="211"/>
      <c r="J27" s="93"/>
      <c r="K27" s="95"/>
      <c r="L27" s="95"/>
      <c r="M27" s="95"/>
      <c r="N27" s="95"/>
    </row>
    <row r="28" spans="1:14">
      <c r="A28" s="93"/>
      <c r="B28" s="93"/>
      <c r="C28" s="93"/>
      <c r="D28" s="93"/>
      <c r="E28" s="93"/>
      <c r="F28" s="93"/>
      <c r="G28" s="93"/>
      <c r="H28" s="93"/>
      <c r="I28" s="93"/>
      <c r="J28" s="93"/>
      <c r="K28" s="95"/>
      <c r="L28" s="95"/>
      <c r="M28" s="95"/>
      <c r="N28" s="95"/>
    </row>
    <row r="29" spans="1:14">
      <c r="A29" s="51" t="s">
        <v>146</v>
      </c>
      <c r="B29" s="114"/>
      <c r="C29" s="114"/>
      <c r="D29" s="114"/>
      <c r="E29" s="114"/>
      <c r="F29" s="114"/>
      <c r="G29" s="114"/>
      <c r="H29" s="114"/>
      <c r="I29" s="115"/>
      <c r="J29" s="93"/>
      <c r="K29" s="95"/>
      <c r="L29" s="95"/>
      <c r="M29" s="95"/>
      <c r="N29" s="95"/>
    </row>
    <row r="30" spans="1:14">
      <c r="A30" s="116"/>
      <c r="B30" s="117"/>
      <c r="C30" s="117"/>
      <c r="D30" s="117"/>
      <c r="E30" s="117"/>
      <c r="F30" s="117"/>
      <c r="G30" s="117"/>
      <c r="H30" s="117"/>
      <c r="I30" s="118"/>
      <c r="J30" s="93"/>
      <c r="K30" s="95"/>
      <c r="L30" s="95"/>
      <c r="M30" s="95"/>
      <c r="N30" s="95"/>
    </row>
    <row r="31" spans="1:14">
      <c r="A31" s="203" t="s">
        <v>147</v>
      </c>
      <c r="B31" s="212"/>
      <c r="C31" s="212"/>
      <c r="D31" s="212"/>
      <c r="E31" s="212"/>
      <c r="F31" s="212"/>
      <c r="G31" s="212"/>
      <c r="H31" s="212"/>
      <c r="I31" s="213"/>
      <c r="J31" s="93"/>
      <c r="K31" s="220" t="s">
        <v>148</v>
      </c>
      <c r="L31" s="220"/>
      <c r="M31" s="220"/>
      <c r="N31" s="220"/>
    </row>
    <row r="32" spans="1:14">
      <c r="A32" s="214"/>
      <c r="B32" s="215"/>
      <c r="C32" s="215"/>
      <c r="D32" s="215"/>
      <c r="E32" s="215"/>
      <c r="F32" s="215"/>
      <c r="G32" s="215"/>
      <c r="H32" s="215"/>
      <c r="I32" s="216"/>
      <c r="J32" s="93"/>
      <c r="K32" s="220"/>
      <c r="L32" s="220"/>
      <c r="M32" s="220"/>
      <c r="N32" s="220"/>
    </row>
    <row r="33" spans="1:14">
      <c r="A33" s="214"/>
      <c r="B33" s="215"/>
      <c r="C33" s="215"/>
      <c r="D33" s="215"/>
      <c r="E33" s="215"/>
      <c r="F33" s="215"/>
      <c r="G33" s="215"/>
      <c r="H33" s="215"/>
      <c r="I33" s="216"/>
      <c r="J33" s="93"/>
      <c r="K33" s="220"/>
      <c r="L33" s="220"/>
      <c r="M33" s="220"/>
      <c r="N33" s="220"/>
    </row>
    <row r="34" spans="1:14">
      <c r="A34" s="214"/>
      <c r="B34" s="215"/>
      <c r="C34" s="215"/>
      <c r="D34" s="215"/>
      <c r="E34" s="215"/>
      <c r="F34" s="215"/>
      <c r="G34" s="215"/>
      <c r="H34" s="215"/>
      <c r="I34" s="216"/>
      <c r="J34" s="93"/>
      <c r="K34" s="220"/>
      <c r="L34" s="220"/>
      <c r="M34" s="220"/>
      <c r="N34" s="220"/>
    </row>
    <row r="35" spans="1:14">
      <c r="A35" s="214"/>
      <c r="B35" s="215"/>
      <c r="C35" s="215"/>
      <c r="D35" s="215"/>
      <c r="E35" s="215"/>
      <c r="F35" s="215"/>
      <c r="G35" s="215"/>
      <c r="H35" s="215"/>
      <c r="I35" s="216"/>
      <c r="J35" s="93"/>
      <c r="K35" s="220"/>
      <c r="L35" s="220"/>
      <c r="M35" s="220"/>
      <c r="N35" s="220"/>
    </row>
    <row r="36" spans="1:14">
      <c r="A36" s="214"/>
      <c r="B36" s="215"/>
      <c r="C36" s="215"/>
      <c r="D36" s="215"/>
      <c r="E36" s="215"/>
      <c r="F36" s="215"/>
      <c r="G36" s="215"/>
      <c r="H36" s="215"/>
      <c r="I36" s="216"/>
      <c r="J36" s="93"/>
      <c r="K36" s="220"/>
      <c r="L36" s="220"/>
      <c r="M36" s="220"/>
      <c r="N36" s="220"/>
    </row>
    <row r="37" spans="1:14">
      <c r="A37" s="214"/>
      <c r="B37" s="215"/>
      <c r="C37" s="215"/>
      <c r="D37" s="215"/>
      <c r="E37" s="215"/>
      <c r="F37" s="215"/>
      <c r="G37" s="215"/>
      <c r="H37" s="215"/>
      <c r="I37" s="216"/>
      <c r="J37" s="93"/>
      <c r="K37" s="220"/>
      <c r="L37" s="220"/>
      <c r="M37" s="220"/>
      <c r="N37" s="220"/>
    </row>
    <row r="38" spans="1:14" ht="14.25" customHeight="1">
      <c r="A38" s="214"/>
      <c r="B38" s="215"/>
      <c r="C38" s="215"/>
      <c r="D38" s="215"/>
      <c r="E38" s="215"/>
      <c r="F38" s="215"/>
      <c r="G38" s="215"/>
      <c r="H38" s="215"/>
      <c r="I38" s="216"/>
      <c r="J38" s="93"/>
      <c r="K38" s="220"/>
      <c r="L38" s="220"/>
      <c r="M38" s="220"/>
      <c r="N38" s="220"/>
    </row>
    <row r="39" spans="1:14">
      <c r="A39" s="214"/>
      <c r="B39" s="215"/>
      <c r="C39" s="215"/>
      <c r="D39" s="215"/>
      <c r="E39" s="215"/>
      <c r="F39" s="215"/>
      <c r="G39" s="215"/>
      <c r="H39" s="215"/>
      <c r="I39" s="216"/>
      <c r="J39" s="93"/>
      <c r="K39" s="220"/>
      <c r="L39" s="220"/>
      <c r="M39" s="220"/>
      <c r="N39" s="220"/>
    </row>
    <row r="40" spans="1:14">
      <c r="A40" s="214"/>
      <c r="B40" s="215"/>
      <c r="C40" s="215"/>
      <c r="D40" s="215"/>
      <c r="E40" s="215"/>
      <c r="F40" s="215"/>
      <c r="G40" s="215"/>
      <c r="H40" s="215"/>
      <c r="I40" s="216"/>
      <c r="J40" s="93"/>
      <c r="K40" s="220"/>
      <c r="L40" s="220"/>
      <c r="M40" s="220"/>
      <c r="N40" s="220"/>
    </row>
    <row r="41" spans="1:14">
      <c r="A41" s="214"/>
      <c r="B41" s="215"/>
      <c r="C41" s="215"/>
      <c r="D41" s="215"/>
      <c r="E41" s="215"/>
      <c r="F41" s="215"/>
      <c r="G41" s="215"/>
      <c r="H41" s="215"/>
      <c r="I41" s="216"/>
      <c r="J41" s="93"/>
      <c r="K41" s="93"/>
      <c r="L41" s="93"/>
      <c r="M41" s="93"/>
      <c r="N41" s="93"/>
    </row>
    <row r="42" spans="1:14">
      <c r="A42" s="214"/>
      <c r="B42" s="215"/>
      <c r="C42" s="215"/>
      <c r="D42" s="215"/>
      <c r="E42" s="215"/>
      <c r="F42" s="215"/>
      <c r="G42" s="215"/>
      <c r="H42" s="215"/>
      <c r="I42" s="216"/>
      <c r="J42" s="93"/>
      <c r="K42" s="93"/>
      <c r="L42" s="93"/>
      <c r="M42" s="93"/>
      <c r="N42" s="93"/>
    </row>
    <row r="43" spans="1:14">
      <c r="A43" s="214"/>
      <c r="B43" s="215"/>
      <c r="C43" s="215"/>
      <c r="D43" s="215"/>
      <c r="E43" s="215"/>
      <c r="F43" s="215"/>
      <c r="G43" s="215"/>
      <c r="H43" s="215"/>
      <c r="I43" s="216"/>
      <c r="J43" s="93"/>
      <c r="K43" s="93"/>
      <c r="L43" s="93"/>
      <c r="M43" s="93"/>
      <c r="N43" s="93"/>
    </row>
    <row r="44" spans="1:14">
      <c r="A44" s="214"/>
      <c r="B44" s="215"/>
      <c r="C44" s="215"/>
      <c r="D44" s="215"/>
      <c r="E44" s="215"/>
      <c r="F44" s="215"/>
      <c r="G44" s="215"/>
      <c r="H44" s="215"/>
      <c r="I44" s="216"/>
      <c r="J44" s="93"/>
      <c r="K44" s="93"/>
      <c r="L44" s="93"/>
      <c r="M44" s="93"/>
      <c r="N44" s="93"/>
    </row>
    <row r="45" spans="1:14">
      <c r="A45" s="214"/>
      <c r="B45" s="215"/>
      <c r="C45" s="215"/>
      <c r="D45" s="215"/>
      <c r="E45" s="215"/>
      <c r="F45" s="215"/>
      <c r="G45" s="215"/>
      <c r="H45" s="215"/>
      <c r="I45" s="216"/>
      <c r="J45" s="93"/>
      <c r="K45" s="93"/>
      <c r="L45" s="93"/>
      <c r="M45" s="93"/>
      <c r="N45" s="93"/>
    </row>
    <row r="46" spans="1:14">
      <c r="A46" s="214"/>
      <c r="B46" s="215"/>
      <c r="C46" s="215"/>
      <c r="D46" s="215"/>
      <c r="E46" s="215"/>
      <c r="F46" s="215"/>
      <c r="G46" s="215"/>
      <c r="H46" s="215"/>
      <c r="I46" s="216"/>
      <c r="J46" s="93"/>
      <c r="K46" s="93"/>
      <c r="L46" s="93"/>
      <c r="M46" s="93"/>
      <c r="N46" s="93"/>
    </row>
    <row r="47" spans="1:14">
      <c r="A47" s="214"/>
      <c r="B47" s="215"/>
      <c r="C47" s="215"/>
      <c r="D47" s="215"/>
      <c r="E47" s="215"/>
      <c r="F47" s="215"/>
      <c r="G47" s="215"/>
      <c r="H47" s="215"/>
      <c r="I47" s="216"/>
      <c r="J47" s="93"/>
      <c r="K47" s="93"/>
      <c r="L47" s="93"/>
      <c r="M47" s="93"/>
      <c r="N47" s="93"/>
    </row>
    <row r="48" spans="1:14">
      <c r="A48" s="214"/>
      <c r="B48" s="215"/>
      <c r="C48" s="215"/>
      <c r="D48" s="215"/>
      <c r="E48" s="215"/>
      <c r="F48" s="215"/>
      <c r="G48" s="215"/>
      <c r="H48" s="215"/>
      <c r="I48" s="216"/>
      <c r="J48" s="93"/>
      <c r="K48" s="93"/>
      <c r="L48" s="93"/>
      <c r="M48" s="93"/>
      <c r="N48" s="93"/>
    </row>
    <row r="49" spans="1:9">
      <c r="A49" s="214"/>
      <c r="B49" s="215"/>
      <c r="C49" s="215"/>
      <c r="D49" s="215"/>
      <c r="E49" s="215"/>
      <c r="F49" s="215"/>
      <c r="G49" s="215"/>
      <c r="H49" s="215"/>
      <c r="I49" s="216"/>
    </row>
    <row r="50" spans="1:9">
      <c r="A50" s="214"/>
      <c r="B50" s="215"/>
      <c r="C50" s="215"/>
      <c r="D50" s="215"/>
      <c r="E50" s="215"/>
      <c r="F50" s="215"/>
      <c r="G50" s="215"/>
      <c r="H50" s="215"/>
      <c r="I50" s="216"/>
    </row>
    <row r="51" spans="1:9">
      <c r="A51" s="214"/>
      <c r="B51" s="215"/>
      <c r="C51" s="215"/>
      <c r="D51" s="215"/>
      <c r="E51" s="215"/>
      <c r="F51" s="215"/>
      <c r="G51" s="215"/>
      <c r="H51" s="215"/>
      <c r="I51" s="216"/>
    </row>
    <row r="52" spans="1:9">
      <c r="A52" s="217"/>
      <c r="B52" s="218"/>
      <c r="C52" s="218"/>
      <c r="D52" s="218"/>
      <c r="E52" s="218"/>
      <c r="F52" s="218"/>
      <c r="G52" s="218"/>
      <c r="H52" s="218"/>
      <c r="I52" s="219"/>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workbookViewId="0"/>
  </sheetViews>
  <sheetFormatPr defaultColWidth="9.28515625" defaultRowHeight="15"/>
  <cols>
    <col min="1" max="16384" width="9.28515625" style="2"/>
  </cols>
  <sheetData>
    <row r="1" spans="1:10" ht="15.6">
      <c r="A1" s="33">
        <f>+'Cover Page'!C39</f>
        <v>2022</v>
      </c>
      <c r="B1" s="34" t="s">
        <v>149</v>
      </c>
      <c r="C1" s="34"/>
      <c r="D1" s="34"/>
      <c r="E1" s="34"/>
      <c r="F1" s="34"/>
      <c r="G1" s="34"/>
      <c r="H1" s="34"/>
      <c r="I1" s="34"/>
      <c r="J1" s="34"/>
    </row>
    <row r="2" spans="1:10" ht="8.25" customHeight="1">
      <c r="A2" s="93"/>
      <c r="B2" s="93"/>
      <c r="C2" s="93"/>
      <c r="D2" s="93"/>
      <c r="E2" s="93"/>
      <c r="F2" s="93"/>
      <c r="G2" s="93"/>
      <c r="H2" s="93"/>
      <c r="I2" s="93"/>
      <c r="J2" s="93"/>
    </row>
    <row r="3" spans="1:10" s="3" customFormat="1" ht="13.9">
      <c r="A3" s="234" t="str">
        <f>+'Cover Page'!B31</f>
        <v>Permit EPR/PP3235LP</v>
      </c>
      <c r="B3" s="234"/>
      <c r="C3" s="234"/>
      <c r="D3" s="234"/>
      <c r="E3" s="234"/>
      <c r="F3" s="3" t="s">
        <v>150</v>
      </c>
      <c r="G3" s="235">
        <f>+'Cover Page'!B37:I37</f>
        <v>0</v>
      </c>
      <c r="H3" s="235"/>
      <c r="I3" s="235"/>
    </row>
    <row r="4" spans="1:10" s="3" customFormat="1" ht="13.9">
      <c r="A4" s="3" t="s">
        <v>151</v>
      </c>
      <c r="B4" s="234" t="str">
        <f>+'Cover Page'!B33:I33</f>
        <v>EPR Thetford Power Station</v>
      </c>
      <c r="C4" s="234"/>
      <c r="D4" s="234"/>
      <c r="E4" s="234"/>
      <c r="F4" s="3" t="s">
        <v>152</v>
      </c>
      <c r="G4" s="3" t="s">
        <v>153</v>
      </c>
    </row>
    <row r="5" spans="1:10" s="3" customFormat="1" ht="6.75" customHeight="1"/>
    <row r="6" spans="1:10" s="3" customFormat="1" ht="15.75" customHeight="1">
      <c r="A6" s="3" t="s">
        <v>154</v>
      </c>
      <c r="D6" s="236"/>
      <c r="E6" s="236"/>
      <c r="F6" s="35" t="s">
        <v>155</v>
      </c>
      <c r="G6" s="236"/>
      <c r="H6" s="236"/>
    </row>
    <row r="7" spans="1:10" s="3" customFormat="1" ht="7.5" customHeight="1"/>
    <row r="8" spans="1:10" s="3" customFormat="1" ht="15.6">
      <c r="A8" s="9">
        <f>+A1</f>
        <v>2022</v>
      </c>
      <c r="B8" s="34" t="s">
        <v>156</v>
      </c>
      <c r="C8"/>
      <c r="D8"/>
      <c r="E8"/>
      <c r="F8"/>
      <c r="G8"/>
    </row>
    <row r="9" spans="1:10" s="3" customFormat="1" ht="28.5" customHeight="1">
      <c r="A9" s="237" t="s">
        <v>157</v>
      </c>
      <c r="B9" s="237"/>
      <c r="C9" s="237" t="s">
        <v>158</v>
      </c>
      <c r="D9" s="237"/>
      <c r="E9" s="237" t="s">
        <v>159</v>
      </c>
      <c r="F9" s="237"/>
      <c r="G9" s="237" t="s">
        <v>160</v>
      </c>
      <c r="H9" s="237"/>
      <c r="I9" s="237" t="s">
        <v>161</v>
      </c>
      <c r="J9" s="237"/>
    </row>
    <row r="10" spans="1:10" s="3" customFormat="1" ht="14.25" customHeight="1">
      <c r="A10" s="230" t="s">
        <v>162</v>
      </c>
      <c r="B10" s="230"/>
      <c r="C10" s="230"/>
      <c r="D10" s="230"/>
      <c r="E10" s="230"/>
      <c r="F10" s="230"/>
      <c r="G10" s="230"/>
      <c r="H10" s="230"/>
      <c r="I10" s="230"/>
      <c r="J10" s="230"/>
    </row>
    <row r="11" spans="1:10" s="3" customFormat="1" ht="14.25" customHeight="1">
      <c r="A11" s="230" t="s">
        <v>163</v>
      </c>
      <c r="B11" s="230"/>
      <c r="C11" s="231"/>
      <c r="D11" s="231"/>
      <c r="E11" s="232"/>
      <c r="F11" s="232"/>
      <c r="G11" s="232"/>
      <c r="H11" s="232"/>
      <c r="I11" s="233" t="str">
        <f>IF((E11+G11)&gt;0,(E11+G11)/'Operational Data'!$G$21, "-")</f>
        <v>-</v>
      </c>
      <c r="J11" s="233"/>
    </row>
    <row r="12" spans="1:10" s="3" customFormat="1" ht="14.25" customHeight="1">
      <c r="A12" s="230" t="s">
        <v>164</v>
      </c>
      <c r="B12" s="230"/>
      <c r="C12" s="231"/>
      <c r="D12" s="231"/>
      <c r="E12" s="232"/>
      <c r="F12" s="232"/>
      <c r="G12" s="232"/>
      <c r="H12" s="232"/>
      <c r="I12" s="233" t="str">
        <f>IF((E12+G12)&gt;0,(E12+G12)/'Operational Data'!$G$21, "-")</f>
        <v>-</v>
      </c>
      <c r="J12" s="233"/>
    </row>
    <row r="13" spans="1:10" s="3" customFormat="1" ht="14.25" customHeight="1">
      <c r="A13" s="238"/>
      <c r="B13" s="238"/>
      <c r="C13" s="231"/>
      <c r="D13" s="231"/>
      <c r="E13" s="232"/>
      <c r="F13" s="232"/>
      <c r="G13" s="232"/>
      <c r="H13" s="232"/>
      <c r="I13" s="233" t="str">
        <f>IF((E13+G13)&gt;0,(E13+G13)/'Operational Data'!$G$21, "-")</f>
        <v>-</v>
      </c>
      <c r="J13" s="233"/>
    </row>
    <row r="14" spans="1:10" s="3" customFormat="1" ht="14.25" customHeight="1">
      <c r="A14" s="238"/>
      <c r="B14" s="238"/>
      <c r="C14" s="231"/>
      <c r="D14" s="231"/>
      <c r="E14" s="232"/>
      <c r="F14" s="232"/>
      <c r="G14" s="232"/>
      <c r="H14" s="232"/>
      <c r="I14" s="233" t="str">
        <f>IF((E14+G14)&gt;0,(E14+G14)/'Operational Data'!$G$21, "-")</f>
        <v>-</v>
      </c>
      <c r="J14" s="233"/>
    </row>
    <row r="15" spans="1:10" s="3" customFormat="1" ht="14.25" customHeight="1">
      <c r="A15" s="245" t="s">
        <v>165</v>
      </c>
      <c r="B15" s="245"/>
      <c r="C15" s="245"/>
      <c r="D15" s="245"/>
      <c r="E15" s="246">
        <f>SUM(E11:F14)</f>
        <v>0</v>
      </c>
      <c r="F15" s="246"/>
      <c r="G15" s="246">
        <f>SUM(G11:H14)</f>
        <v>0</v>
      </c>
      <c r="H15" s="246"/>
      <c r="I15" s="233" t="str">
        <f>IF((E15+G15)&gt;0,(E15+G15)/'Operational Data'!$G$21, "-")</f>
        <v>-</v>
      </c>
      <c r="J15" s="233"/>
    </row>
    <row r="16" spans="1:10" s="3" customFormat="1" ht="14.25" customHeight="1">
      <c r="A16" s="239"/>
      <c r="B16" s="240"/>
      <c r="C16" s="240"/>
      <c r="D16" s="240"/>
      <c r="E16" s="241"/>
      <c r="F16" s="241"/>
      <c r="G16" s="241"/>
      <c r="H16" s="241"/>
      <c r="I16" s="242"/>
      <c r="J16" s="243"/>
    </row>
    <row r="17" spans="1:10" s="3" customFormat="1" ht="14.25" customHeight="1">
      <c r="A17" s="244" t="s">
        <v>166</v>
      </c>
      <c r="B17" s="244"/>
      <c r="C17" s="244"/>
      <c r="D17" s="244"/>
      <c r="E17" s="244"/>
      <c r="F17" s="244"/>
      <c r="G17" s="244"/>
      <c r="H17" s="244"/>
      <c r="I17" s="244"/>
      <c r="J17" s="244"/>
    </row>
    <row r="18" spans="1:10" ht="14.25" customHeight="1">
      <c r="A18" s="230" t="s">
        <v>164</v>
      </c>
      <c r="B18" s="230"/>
      <c r="C18" s="231"/>
      <c r="D18" s="231"/>
      <c r="E18" s="232"/>
      <c r="F18" s="232"/>
      <c r="G18" s="232"/>
      <c r="H18" s="232"/>
      <c r="I18" s="233" t="str">
        <f>IF((E18+G18)&gt;0,(E18+G18)/'Operational Data'!$G$21, "-")</f>
        <v>-</v>
      </c>
      <c r="J18" s="233"/>
    </row>
    <row r="19" spans="1:10" s="3" customFormat="1" ht="14.25" customHeight="1">
      <c r="A19" s="230" t="s">
        <v>167</v>
      </c>
      <c r="B19" s="230"/>
      <c r="C19" s="231"/>
      <c r="D19" s="231"/>
      <c r="E19" s="232"/>
      <c r="F19" s="232"/>
      <c r="G19" s="232"/>
      <c r="H19" s="232"/>
      <c r="I19" s="233" t="str">
        <f>IF((E19+G19)&gt;0,(E19+G19)/'Operational Data'!$G$21, "-")</f>
        <v>-</v>
      </c>
      <c r="J19" s="233"/>
    </row>
    <row r="20" spans="1:10" s="3" customFormat="1" ht="14.25" customHeight="1">
      <c r="A20" s="230" t="s">
        <v>168</v>
      </c>
      <c r="B20" s="230"/>
      <c r="C20" s="231"/>
      <c r="D20" s="231"/>
      <c r="E20" s="232"/>
      <c r="F20" s="232"/>
      <c r="G20" s="232"/>
      <c r="H20" s="232"/>
      <c r="I20" s="233" t="str">
        <f>IF((E20+G20)&gt;0,(E20+G20)/'Operational Data'!$G$21, "-")</f>
        <v>-</v>
      </c>
      <c r="J20" s="233"/>
    </row>
    <row r="21" spans="1:10" s="3" customFormat="1" ht="14.25" customHeight="1">
      <c r="A21" s="247"/>
      <c r="B21" s="247"/>
      <c r="C21" s="231"/>
      <c r="D21" s="231"/>
      <c r="E21" s="232"/>
      <c r="F21" s="232"/>
      <c r="G21" s="232"/>
      <c r="H21" s="232"/>
      <c r="I21" s="233" t="str">
        <f>IF((E21+G21)&gt;0,(E21+G21)/'Operational Data'!$G$21, "-")</f>
        <v>-</v>
      </c>
      <c r="J21" s="233"/>
    </row>
    <row r="22" spans="1:10" s="3" customFormat="1" ht="14.25" customHeight="1">
      <c r="A22" s="247"/>
      <c r="B22" s="247"/>
      <c r="C22" s="231"/>
      <c r="D22" s="231"/>
      <c r="E22" s="232"/>
      <c r="F22" s="232"/>
      <c r="G22" s="232"/>
      <c r="H22" s="232"/>
      <c r="I22" s="233" t="str">
        <f>IF((E22+G22)&gt;0,(E22+G22)/'Operational Data'!$G$21, "-")</f>
        <v>-</v>
      </c>
      <c r="J22" s="233"/>
    </row>
    <row r="23" spans="1:10" s="3" customFormat="1" ht="14.25" customHeight="1">
      <c r="A23" s="248" t="s">
        <v>169</v>
      </c>
      <c r="B23" s="248"/>
      <c r="C23" s="248"/>
      <c r="D23" s="248"/>
      <c r="E23" s="246">
        <f>SUM(E18:F22)</f>
        <v>0</v>
      </c>
      <c r="F23" s="246"/>
      <c r="G23" s="246">
        <f>SUM(G18:H22)</f>
        <v>0</v>
      </c>
      <c r="H23" s="246"/>
      <c r="I23" s="233" t="str">
        <f>IF((E23+G23)&gt;0,(E23+G23)/'Operational Data'!$G$21, "-")</f>
        <v>-</v>
      </c>
      <c r="J23" s="233"/>
    </row>
    <row r="24" spans="1:10" s="3" customFormat="1" ht="14.25" customHeight="1">
      <c r="A24" s="258" t="s">
        <v>170</v>
      </c>
      <c r="B24" s="258"/>
      <c r="C24" s="258"/>
      <c r="D24" s="258"/>
      <c r="E24" s="259">
        <f>+E23+E15</f>
        <v>0</v>
      </c>
      <c r="F24" s="259"/>
      <c r="G24" s="259">
        <f>+G23+G15</f>
        <v>0</v>
      </c>
      <c r="H24" s="259"/>
      <c r="I24" s="260" t="str">
        <f>IF((E24+G24)&gt;0,(E24+G24)/'Operational Data'!$G$21, "-")</f>
        <v>-</v>
      </c>
      <c r="J24" s="260"/>
    </row>
    <row r="25" spans="1:10" s="3" customFormat="1" ht="8.25" customHeight="1">
      <c r="A25" s="164"/>
      <c r="B25"/>
      <c r="C25"/>
      <c r="D25"/>
      <c r="E25"/>
      <c r="F25"/>
      <c r="G25"/>
    </row>
    <row r="26" spans="1:10" s="3" customFormat="1" ht="14.25" customHeight="1">
      <c r="A26" s="261" t="s">
        <v>171</v>
      </c>
      <c r="B26" s="261"/>
      <c r="C26" s="261"/>
      <c r="D26" s="261"/>
      <c r="E26" s="261"/>
      <c r="F26" s="261"/>
      <c r="G26" s="261"/>
      <c r="H26" s="261"/>
      <c r="I26" s="261"/>
      <c r="J26" s="261"/>
    </row>
    <row r="27" spans="1:10" s="3" customFormat="1" ht="14.25" customHeight="1">
      <c r="A27" s="262"/>
      <c r="B27" s="262"/>
      <c r="C27" s="262"/>
      <c r="D27" s="262"/>
      <c r="E27" s="262"/>
      <c r="F27" s="262"/>
      <c r="G27" s="262"/>
      <c r="H27" s="262"/>
      <c r="I27" s="262"/>
      <c r="J27" s="262"/>
    </row>
    <row r="28" spans="1:10" s="3" customFormat="1" ht="14.25" customHeight="1">
      <c r="A28" s="262"/>
      <c r="B28" s="262"/>
      <c r="C28" s="262"/>
      <c r="D28" s="262"/>
      <c r="E28" s="262"/>
      <c r="F28" s="262"/>
      <c r="G28" s="262"/>
      <c r="H28" s="262"/>
      <c r="I28" s="262"/>
      <c r="J28" s="262"/>
    </row>
    <row r="29" spans="1:10" s="3" customFormat="1" ht="14.25" customHeight="1">
      <c r="A29" s="262"/>
      <c r="B29" s="262"/>
      <c r="C29" s="262"/>
      <c r="D29" s="262"/>
      <c r="E29" s="262"/>
      <c r="F29" s="262"/>
      <c r="G29" s="262"/>
      <c r="H29" s="262"/>
      <c r="I29" s="262"/>
      <c r="J29" s="262"/>
    </row>
    <row r="30" spans="1:10" s="3" customFormat="1" ht="14.25" customHeight="1">
      <c r="A30" s="164"/>
      <c r="B30"/>
      <c r="C30"/>
      <c r="D30"/>
      <c r="E30"/>
      <c r="F30"/>
      <c r="G30"/>
    </row>
    <row r="31" spans="1:10" s="3" customFormat="1" ht="14.25" customHeight="1">
      <c r="A31" s="1">
        <f>+A1</f>
        <v>2022</v>
      </c>
      <c r="B31" s="34" t="s">
        <v>172</v>
      </c>
      <c r="C31" s="34"/>
      <c r="D31" s="34"/>
      <c r="E31" s="34"/>
      <c r="F31" s="34"/>
    </row>
    <row r="32" spans="1:10" s="3" customFormat="1" ht="24.75" customHeight="1">
      <c r="A32" s="249" t="s">
        <v>173</v>
      </c>
      <c r="B32" s="250"/>
      <c r="C32" s="250"/>
      <c r="D32" s="251"/>
      <c r="E32" s="38" t="s">
        <v>174</v>
      </c>
      <c r="F32" s="39"/>
      <c r="G32" s="40" t="s">
        <v>73</v>
      </c>
      <c r="H32" s="252" t="s">
        <v>175</v>
      </c>
      <c r="I32" s="253"/>
      <c r="J32" s="41" t="s">
        <v>73</v>
      </c>
    </row>
    <row r="33" spans="1:10" s="3" customFormat="1" ht="14.25" customHeight="1">
      <c r="A33" s="239" t="s">
        <v>115</v>
      </c>
      <c r="B33" s="240"/>
      <c r="C33" s="240"/>
      <c r="D33" s="254"/>
      <c r="E33" s="255">
        <f>+'Operational Data'!G42</f>
        <v>0</v>
      </c>
      <c r="F33" s="243"/>
      <c r="G33" s="165" t="s">
        <v>176</v>
      </c>
      <c r="H33" s="256" t="str">
        <f>IF(E33&gt;0,E33/'Operational Data'!$G$21,"-")</f>
        <v>-</v>
      </c>
      <c r="I33" s="257"/>
      <c r="J33" s="165" t="s">
        <v>177</v>
      </c>
    </row>
    <row r="34" spans="1:10" s="3" customFormat="1" ht="14.25" customHeight="1">
      <c r="A34" s="239" t="s">
        <v>178</v>
      </c>
      <c r="B34" s="240"/>
      <c r="C34" s="240"/>
      <c r="D34" s="254"/>
      <c r="E34" s="255">
        <f>+'Operational Data'!G43+'Operational Data'!G42</f>
        <v>0</v>
      </c>
      <c r="F34" s="243"/>
      <c r="G34" s="165" t="s">
        <v>176</v>
      </c>
      <c r="H34" s="256" t="str">
        <f>IF(E34&gt;0,E34/'Operational Data'!$G$21,"-")</f>
        <v>-</v>
      </c>
      <c r="I34" s="257"/>
      <c r="J34" s="165" t="s">
        <v>177</v>
      </c>
    </row>
    <row r="35" spans="1:10" s="3" customFormat="1" ht="14.25" customHeight="1">
      <c r="A35" s="239" t="s">
        <v>179</v>
      </c>
      <c r="B35" s="240"/>
      <c r="C35" s="240"/>
      <c r="D35" s="254"/>
      <c r="E35" s="255">
        <f>+'Operational Data'!G44</f>
        <v>0</v>
      </c>
      <c r="F35" s="243"/>
      <c r="G35" s="165" t="s">
        <v>180</v>
      </c>
      <c r="H35" s="256" t="str">
        <f>IF(E35&gt;0,E35/'Operational Data'!$G$21,"-")</f>
        <v>-</v>
      </c>
      <c r="I35" s="257"/>
      <c r="J35" s="165" t="s">
        <v>181</v>
      </c>
    </row>
    <row r="36" spans="1:10" s="3" customFormat="1" ht="14.25" customHeight="1">
      <c r="A36" s="239" t="s">
        <v>121</v>
      </c>
      <c r="B36" s="240"/>
      <c r="C36" s="240"/>
      <c r="D36" s="254"/>
      <c r="E36" s="255">
        <f>+'Operational Data'!G46</f>
        <v>0</v>
      </c>
      <c r="F36" s="243"/>
      <c r="G36" s="165" t="s">
        <v>180</v>
      </c>
      <c r="H36" s="256" t="str">
        <f>IF(E36&gt;0,E36/'Operational Data'!$G$21,"-")</f>
        <v>-</v>
      </c>
      <c r="I36" s="257"/>
      <c r="J36" s="165" t="s">
        <v>181</v>
      </c>
    </row>
    <row r="37" spans="1:10" s="3" customFormat="1" ht="14.25" customHeight="1">
      <c r="A37" s="239" t="s">
        <v>182</v>
      </c>
      <c r="B37" s="240"/>
      <c r="C37" s="240"/>
      <c r="D37" s="254"/>
      <c r="E37" s="255">
        <f>+'Operational Data'!G47</f>
        <v>0</v>
      </c>
      <c r="F37" s="243"/>
      <c r="G37" s="165" t="s">
        <v>180</v>
      </c>
      <c r="H37" s="256" t="str">
        <f>IF(E37&gt;0,E37/'Operational Data'!$G$21,"-")</f>
        <v>-</v>
      </c>
      <c r="I37" s="257"/>
      <c r="J37" s="165" t="s">
        <v>181</v>
      </c>
    </row>
    <row r="38" spans="1:10" s="3" customFormat="1" ht="14.25" customHeight="1">
      <c r="A38" s="263"/>
      <c r="B38" s="264"/>
      <c r="C38" s="264"/>
      <c r="D38" s="265"/>
      <c r="E38" s="266"/>
      <c r="F38" s="267"/>
      <c r="G38" s="166"/>
      <c r="H38" s="268"/>
      <c r="I38" s="269"/>
      <c r="J38" s="166"/>
    </row>
    <row r="39" spans="1:10" s="3" customFormat="1" ht="14.25" customHeight="1">
      <c r="A39" s="261" t="s">
        <v>171</v>
      </c>
      <c r="B39" s="261"/>
      <c r="C39" s="261"/>
      <c r="D39" s="261"/>
      <c r="E39" s="261"/>
      <c r="F39" s="261"/>
      <c r="G39" s="261"/>
      <c r="H39" s="261"/>
      <c r="I39" s="261"/>
      <c r="J39" s="261"/>
    </row>
    <row r="40" spans="1:10" s="3" customFormat="1" ht="14.25" customHeight="1">
      <c r="A40" s="262"/>
      <c r="B40" s="262"/>
      <c r="C40" s="262"/>
      <c r="D40" s="262"/>
      <c r="E40" s="262"/>
      <c r="F40" s="262"/>
      <c r="G40" s="262"/>
      <c r="H40" s="262"/>
      <c r="I40" s="262"/>
      <c r="J40" s="262"/>
    </row>
    <row r="41" spans="1:10" s="3" customFormat="1" ht="14.25" customHeight="1">
      <c r="A41" s="262"/>
      <c r="B41" s="262"/>
      <c r="C41" s="262"/>
      <c r="D41" s="262"/>
      <c r="E41" s="262"/>
      <c r="F41" s="262"/>
      <c r="G41" s="262"/>
      <c r="H41" s="262"/>
      <c r="I41" s="262"/>
      <c r="J41" s="262"/>
    </row>
    <row r="42" spans="1:10" s="3" customFormat="1" ht="14.25" customHeight="1">
      <c r="A42" s="42"/>
      <c r="B42" s="42"/>
      <c r="C42" s="42"/>
      <c r="D42" s="42"/>
      <c r="E42" s="42"/>
      <c r="F42" s="42"/>
      <c r="G42" s="42"/>
      <c r="H42" s="42"/>
      <c r="I42" s="42"/>
      <c r="J42" s="42"/>
    </row>
    <row r="43" spans="1:10" s="3" customFormat="1" ht="14.25" customHeight="1">
      <c r="A43" s="34">
        <f>+A31</f>
        <v>2022</v>
      </c>
      <c r="B43" s="34" t="s">
        <v>183</v>
      </c>
      <c r="C43" s="34"/>
      <c r="D43" s="34"/>
      <c r="E43" s="34"/>
      <c r="F43" s="34"/>
      <c r="G43" s="93"/>
    </row>
    <row r="44" spans="1:10" ht="14.25" customHeight="1">
      <c r="A44" s="270" t="s">
        <v>184</v>
      </c>
      <c r="B44" s="270"/>
      <c r="C44" s="270" t="s">
        <v>185</v>
      </c>
      <c r="D44" s="270"/>
      <c r="E44" s="270"/>
      <c r="F44" s="270"/>
      <c r="G44" s="270"/>
      <c r="H44" s="270"/>
      <c r="I44" s="270"/>
      <c r="J44" s="270"/>
    </row>
    <row r="45" spans="1:10" ht="14.25" customHeight="1">
      <c r="A45" s="43"/>
      <c r="B45" s="43"/>
      <c r="C45" s="36" t="s">
        <v>186</v>
      </c>
      <c r="D45" s="36" t="s">
        <v>187</v>
      </c>
      <c r="E45" s="36" t="s">
        <v>188</v>
      </c>
      <c r="F45" s="36" t="s">
        <v>189</v>
      </c>
      <c r="G45" s="36" t="s">
        <v>190</v>
      </c>
      <c r="H45" s="36"/>
      <c r="I45" s="36" t="s">
        <v>191</v>
      </c>
      <c r="J45" s="36" t="s">
        <v>192</v>
      </c>
    </row>
    <row r="46" spans="1:10" ht="31.5" customHeight="1">
      <c r="A46" s="230" t="s">
        <v>193</v>
      </c>
      <c r="B46" s="230"/>
      <c r="C46" s="162"/>
      <c r="D46" s="162"/>
      <c r="E46" s="162"/>
      <c r="F46" s="167"/>
      <c r="G46" s="167"/>
      <c r="H46" s="167"/>
      <c r="I46" s="167"/>
      <c r="J46" s="167"/>
    </row>
    <row r="47" spans="1:10" ht="43.5" customHeight="1">
      <c r="A47" s="230" t="s">
        <v>194</v>
      </c>
      <c r="B47" s="230"/>
      <c r="C47" s="162"/>
      <c r="D47" s="162"/>
      <c r="E47" s="162"/>
      <c r="F47" s="167"/>
      <c r="G47" s="167"/>
      <c r="H47" s="167"/>
      <c r="I47" s="167"/>
      <c r="J47" s="167"/>
    </row>
    <row r="48" spans="1:10" ht="42.75" customHeight="1">
      <c r="A48" s="230" t="s">
        <v>195</v>
      </c>
      <c r="B48" s="230"/>
      <c r="C48" s="162"/>
      <c r="D48" s="162"/>
      <c r="E48" s="162"/>
      <c r="F48" s="167"/>
      <c r="G48" s="167"/>
      <c r="H48" s="167"/>
      <c r="I48" s="167"/>
      <c r="J48" s="167"/>
    </row>
    <row r="49" spans="1:10" ht="8.25" customHeight="1">
      <c r="A49" s="93"/>
      <c r="B49" s="93"/>
      <c r="C49" s="93"/>
      <c r="D49" s="93"/>
      <c r="E49" s="93"/>
      <c r="F49" s="93"/>
      <c r="G49" s="93"/>
      <c r="H49" s="93"/>
      <c r="I49" s="93"/>
      <c r="J49" s="93"/>
    </row>
    <row r="50" spans="1:10">
      <c r="A50" s="261" t="s">
        <v>171</v>
      </c>
      <c r="B50" s="261"/>
      <c r="C50" s="261"/>
      <c r="D50" s="261"/>
      <c r="E50" s="261"/>
      <c r="F50" s="261"/>
      <c r="G50" s="261"/>
      <c r="H50" s="261"/>
      <c r="I50" s="261"/>
      <c r="J50" s="261"/>
    </row>
    <row r="51" spans="1:10">
      <c r="A51" s="262"/>
      <c r="B51" s="262"/>
      <c r="C51" s="262"/>
      <c r="D51" s="262"/>
      <c r="E51" s="262"/>
      <c r="F51" s="262"/>
      <c r="G51" s="262"/>
      <c r="H51" s="262"/>
      <c r="I51" s="262"/>
      <c r="J51" s="262"/>
    </row>
    <row r="52" spans="1:10">
      <c r="A52" s="262"/>
      <c r="B52" s="262"/>
      <c r="C52" s="262"/>
      <c r="D52" s="262"/>
      <c r="E52" s="262"/>
      <c r="F52" s="262"/>
      <c r="G52" s="262"/>
      <c r="H52" s="262"/>
      <c r="I52" s="262"/>
      <c r="J52" s="262"/>
    </row>
    <row r="54" spans="1:10">
      <c r="A54" s="3" t="s">
        <v>196</v>
      </c>
      <c r="B54" s="44"/>
      <c r="C54" s="44"/>
      <c r="D54" s="44"/>
      <c r="E54" s="44"/>
      <c r="F54" s="3"/>
      <c r="G54" s="3" t="s">
        <v>197</v>
      </c>
      <c r="H54" s="44"/>
      <c r="I54" s="44"/>
      <c r="J54" s="93"/>
    </row>
    <row r="62" spans="1:10">
      <c r="A62" s="93"/>
      <c r="B62" s="93"/>
      <c r="C62" s="93"/>
      <c r="D62" s="93"/>
      <c r="E62" s="93"/>
      <c r="F62" s="3"/>
      <c r="G62" s="93"/>
      <c r="H62" s="93"/>
      <c r="I62" s="93"/>
      <c r="J62" s="93"/>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G10" sqref="G10:I10"/>
    </sheetView>
  </sheetViews>
  <sheetFormatPr defaultColWidth="9.28515625" defaultRowHeight="15"/>
  <cols>
    <col min="1" max="1" width="9.42578125" style="2" bestFit="1" customWidth="1"/>
    <col min="2" max="16384" width="9.28515625" style="2"/>
  </cols>
  <sheetData>
    <row r="1" spans="1:10" ht="15.6">
      <c r="A1" s="33">
        <f>+'Cover Page'!C39</f>
        <v>2022</v>
      </c>
      <c r="B1" s="34" t="s">
        <v>198</v>
      </c>
      <c r="C1" s="34"/>
      <c r="D1" s="34"/>
      <c r="E1" s="34"/>
      <c r="F1" s="34"/>
      <c r="G1" s="34"/>
      <c r="H1" s="34"/>
      <c r="I1" s="34"/>
      <c r="J1" s="34"/>
    </row>
    <row r="3" spans="1:10" s="3" customFormat="1" ht="15" customHeight="1">
      <c r="A3" s="3" t="str">
        <f>+'Cover Page'!B31</f>
        <v>Permit EPR/PP3235LP</v>
      </c>
      <c r="F3" s="3" t="s">
        <v>150</v>
      </c>
      <c r="G3" s="271">
        <f>+'Cover Page'!B37:I37</f>
        <v>0</v>
      </c>
      <c r="H3" s="271"/>
      <c r="I3" s="271"/>
    </row>
    <row r="4" spans="1:10" s="3" customFormat="1" ht="13.9"/>
    <row r="5" spans="1:10" s="3" customFormat="1" ht="13.9">
      <c r="A5" s="3" t="s">
        <v>151</v>
      </c>
      <c r="B5" s="234" t="str">
        <f>+'Cover Page'!B33:I33</f>
        <v>EPR Thetford Power Station</v>
      </c>
      <c r="C5" s="234"/>
      <c r="D5" s="234"/>
      <c r="E5" s="234"/>
      <c r="F5" s="3" t="s">
        <v>152</v>
      </c>
      <c r="G5" s="3" t="s">
        <v>199</v>
      </c>
    </row>
    <row r="6" spans="1:10" s="3" customFormat="1" ht="13.9"/>
    <row r="7" spans="1:10" s="3" customFormat="1" ht="15.75" customHeight="1">
      <c r="A7" s="3" t="s">
        <v>154</v>
      </c>
      <c r="D7" s="272">
        <f>+'Perf. Form 1'!D6:E6</f>
        <v>0</v>
      </c>
      <c r="E7" s="272"/>
      <c r="F7" s="35" t="s">
        <v>155</v>
      </c>
      <c r="G7" s="272">
        <f>+'Perf. Form 1'!G6:H6</f>
        <v>0</v>
      </c>
      <c r="H7" s="272"/>
    </row>
    <row r="8" spans="1:10" s="3" customFormat="1" ht="14.45">
      <c r="B8"/>
      <c r="C8"/>
      <c r="D8"/>
    </row>
    <row r="9" spans="1:10" s="3" customFormat="1" ht="37.5" customHeight="1">
      <c r="A9" s="270" t="s">
        <v>200</v>
      </c>
      <c r="B9" s="270"/>
      <c r="C9" s="270"/>
      <c r="D9" s="237" t="s">
        <v>201</v>
      </c>
      <c r="E9" s="237"/>
      <c r="F9" s="36" t="s">
        <v>73</v>
      </c>
      <c r="G9" s="270" t="s">
        <v>202</v>
      </c>
      <c r="H9" s="270"/>
      <c r="I9" s="270"/>
    </row>
    <row r="10" spans="1:10" s="3" customFormat="1" ht="24.75" customHeight="1">
      <c r="A10" s="230" t="s">
        <v>203</v>
      </c>
      <c r="B10" s="230"/>
      <c r="C10" s="230"/>
      <c r="D10" s="273">
        <f>+'Operational Data'!G24</f>
        <v>0</v>
      </c>
      <c r="E10" s="273"/>
      <c r="F10" s="102" t="s">
        <v>99</v>
      </c>
      <c r="G10" s="274" t="str">
        <f>+'Operational Data'!H24</f>
        <v>-</v>
      </c>
      <c r="H10" s="274"/>
      <c r="I10" s="274"/>
    </row>
    <row r="11" spans="1:10" s="3" customFormat="1" ht="24.75" customHeight="1">
      <c r="A11" s="230" t="s">
        <v>204</v>
      </c>
      <c r="B11" s="230"/>
      <c r="C11" s="230"/>
      <c r="D11" s="275">
        <f>+'Operational Data'!G27</f>
        <v>0</v>
      </c>
      <c r="E11" s="275"/>
      <c r="F11" s="102" t="s">
        <v>99</v>
      </c>
      <c r="G11" s="274" t="str">
        <f>+'Operational Data'!H27</f>
        <v>-</v>
      </c>
      <c r="H11" s="274"/>
      <c r="I11" s="274"/>
    </row>
    <row r="12" spans="1:10" s="3" customFormat="1" ht="24.75" customHeight="1">
      <c r="A12" s="230" t="s">
        <v>205</v>
      </c>
      <c r="B12" s="230"/>
      <c r="C12" s="230"/>
      <c r="D12" s="273">
        <f>+'Operational Data'!G25</f>
        <v>0</v>
      </c>
      <c r="E12" s="273"/>
      <c r="F12" s="102" t="s">
        <v>99</v>
      </c>
      <c r="G12" s="274" t="str">
        <f>+'Operational Data'!H25</f>
        <v>-</v>
      </c>
      <c r="H12" s="274"/>
      <c r="I12" s="274"/>
    </row>
    <row r="13" spans="1:10" s="3" customFormat="1" ht="24.75" customHeight="1">
      <c r="A13" s="230" t="s">
        <v>206</v>
      </c>
      <c r="B13" s="230"/>
      <c r="C13" s="230"/>
      <c r="D13" s="276"/>
      <c r="E13" s="276"/>
      <c r="F13" s="102" t="s">
        <v>81</v>
      </c>
      <c r="G13" s="277"/>
      <c r="H13" s="277"/>
      <c r="I13" s="277"/>
    </row>
    <row r="14" spans="1:10" s="3" customFormat="1" ht="24.75" customHeight="1">
      <c r="A14" s="230" t="s">
        <v>207</v>
      </c>
      <c r="B14" s="230"/>
      <c r="C14" s="230"/>
      <c r="D14" s="273">
        <f>+'Operational Data'!G30</f>
        <v>0</v>
      </c>
      <c r="E14" s="273"/>
      <c r="F14" s="102" t="s">
        <v>208</v>
      </c>
      <c r="G14" s="274" t="str">
        <f>+'Operational Data'!H30</f>
        <v>-</v>
      </c>
      <c r="H14" s="274"/>
      <c r="I14" s="274"/>
    </row>
    <row r="15" spans="1:10" s="3" customFormat="1" ht="24.75" customHeight="1">
      <c r="A15" s="238"/>
      <c r="B15" s="238"/>
      <c r="C15" s="238"/>
      <c r="D15" s="238"/>
      <c r="E15" s="238"/>
      <c r="F15" s="161"/>
      <c r="G15" s="192"/>
      <c r="H15" s="192"/>
      <c r="I15" s="192"/>
    </row>
    <row r="16" spans="1:10" s="3" customFormat="1" ht="24.75" customHeight="1">
      <c r="A16" s="238"/>
      <c r="B16" s="238"/>
      <c r="C16" s="238"/>
      <c r="D16" s="238"/>
      <c r="E16" s="238"/>
      <c r="F16" s="161"/>
      <c r="G16" s="192"/>
      <c r="H16" s="192"/>
      <c r="I16" s="192"/>
    </row>
    <row r="17" spans="1:9" s="3" customFormat="1" ht="14.45">
      <c r="A17" s="45"/>
      <c r="B17"/>
      <c r="C17"/>
      <c r="D17"/>
    </row>
    <row r="18" spans="1:9" s="3" customFormat="1" ht="24" customHeight="1">
      <c r="A18" s="261" t="s">
        <v>171</v>
      </c>
      <c r="B18" s="261"/>
      <c r="C18" s="261"/>
      <c r="D18" s="261"/>
      <c r="E18" s="261"/>
      <c r="F18" s="261"/>
      <c r="G18" s="261"/>
      <c r="H18" s="261"/>
      <c r="I18" s="261"/>
    </row>
    <row r="19" spans="1:9" s="3" customFormat="1" ht="13.9">
      <c r="A19" s="278"/>
      <c r="B19" s="278"/>
      <c r="C19" s="278"/>
      <c r="D19" s="278"/>
      <c r="E19" s="278"/>
      <c r="F19" s="278"/>
      <c r="G19" s="278"/>
      <c r="H19" s="278"/>
      <c r="I19" s="278"/>
    </row>
    <row r="20" spans="1:9" s="3" customFormat="1" ht="13.9">
      <c r="A20" s="278"/>
      <c r="B20" s="278"/>
      <c r="C20" s="278"/>
      <c r="D20" s="278"/>
      <c r="E20" s="278"/>
      <c r="F20" s="278"/>
      <c r="G20" s="278"/>
      <c r="H20" s="278"/>
      <c r="I20" s="278"/>
    </row>
    <row r="21" spans="1:9" s="3" customFormat="1" ht="13.9">
      <c r="A21" s="278"/>
      <c r="B21" s="278"/>
      <c r="C21" s="278"/>
      <c r="D21" s="278"/>
      <c r="E21" s="278"/>
      <c r="F21" s="278"/>
      <c r="G21" s="278"/>
      <c r="H21" s="278"/>
      <c r="I21" s="278"/>
    </row>
    <row r="22" spans="1:9" s="3" customFormat="1" ht="13.9">
      <c r="A22" s="278"/>
      <c r="B22" s="278"/>
      <c r="C22" s="278"/>
      <c r="D22" s="278"/>
      <c r="E22" s="278"/>
      <c r="F22" s="278"/>
      <c r="G22" s="278"/>
      <c r="H22" s="278"/>
      <c r="I22" s="278"/>
    </row>
    <row r="23" spans="1:9" s="3" customFormat="1" ht="13.9">
      <c r="A23" s="278"/>
      <c r="B23" s="278"/>
      <c r="C23" s="278"/>
      <c r="D23" s="278"/>
      <c r="E23" s="278"/>
      <c r="F23" s="278"/>
      <c r="G23" s="278"/>
      <c r="H23" s="278"/>
      <c r="I23" s="278"/>
    </row>
    <row r="24" spans="1:9" s="3" customFormat="1" ht="13.9">
      <c r="A24" s="278"/>
      <c r="B24" s="278"/>
      <c r="C24" s="278"/>
      <c r="D24" s="278"/>
      <c r="E24" s="278"/>
      <c r="F24" s="278"/>
      <c r="G24" s="278"/>
      <c r="H24" s="278"/>
      <c r="I24" s="278"/>
    </row>
    <row r="25" spans="1:9" s="3" customFormat="1" ht="13.9">
      <c r="A25" s="278"/>
      <c r="B25" s="278"/>
      <c r="C25" s="278"/>
      <c r="D25" s="278"/>
      <c r="E25" s="278"/>
      <c r="F25" s="278"/>
      <c r="G25" s="278"/>
      <c r="H25" s="278"/>
      <c r="I25" s="278"/>
    </row>
    <row r="26" spans="1:9" s="3" customFormat="1" ht="13.9">
      <c r="A26" s="42"/>
      <c r="B26" s="42"/>
      <c r="C26" s="42"/>
      <c r="D26" s="42"/>
      <c r="E26" s="42"/>
      <c r="F26" s="42"/>
      <c r="G26" s="42"/>
      <c r="H26" s="42"/>
      <c r="I26" s="42"/>
    </row>
    <row r="27" spans="1:9" s="3" customFormat="1" ht="13.9"/>
    <row r="28" spans="1:9" s="3" customFormat="1" ht="13.9"/>
    <row r="29" spans="1:9" s="3" customFormat="1" ht="13.9">
      <c r="A29" s="3" t="s">
        <v>196</v>
      </c>
      <c r="B29" s="44"/>
      <c r="C29" s="44"/>
      <c r="D29" s="44"/>
      <c r="E29" s="44"/>
      <c r="G29" s="3" t="s">
        <v>197</v>
      </c>
      <c r="H29" s="44"/>
      <c r="I29" s="44"/>
    </row>
    <row r="30" spans="1:9" s="3" customFormat="1" ht="13.9"/>
    <row r="31" spans="1:9" ht="14.25" customHeight="1">
      <c r="A31" s="3"/>
      <c r="B31" s="3"/>
      <c r="C31" s="3"/>
      <c r="D31" s="3"/>
      <c r="E31" s="3"/>
      <c r="F31" s="3"/>
      <c r="G31" s="3"/>
      <c r="H31" s="3"/>
      <c r="I31" s="3"/>
    </row>
    <row r="32" spans="1:9" s="3" customFormat="1" ht="13.9"/>
    <row r="33" spans="1:9" s="3" customFormat="1" ht="13.9"/>
    <row r="34" spans="1:9" s="3" customFormat="1">
      <c r="A34" s="93"/>
      <c r="B34" s="93"/>
      <c r="C34" s="93"/>
      <c r="D34" s="93"/>
      <c r="E34" s="93"/>
      <c r="F34" s="93"/>
      <c r="G34" s="93"/>
      <c r="H34" s="93"/>
      <c r="I34" s="93"/>
    </row>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workbookViewId="0">
      <selection activeCell="N19" sqref="N19"/>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93" t="str">
        <f>+'Cover Page'!$B$29</f>
        <v>Annual Performance Report 2022</v>
      </c>
      <c r="B1" s="93"/>
      <c r="C1" s="93"/>
      <c r="D1" s="93"/>
      <c r="E1" s="93" t="str">
        <f>+'Cover Page'!$B$33</f>
        <v>EPR Thetford Power Station</v>
      </c>
      <c r="F1" s="93"/>
      <c r="G1" s="93"/>
      <c r="H1" s="93"/>
      <c r="I1" s="93"/>
      <c r="J1" s="93"/>
      <c r="K1" s="93"/>
      <c r="L1" s="93"/>
      <c r="M1" s="93"/>
      <c r="N1" s="93"/>
      <c r="O1" s="93"/>
    </row>
    <row r="3" spans="1:15" ht="15.6">
      <c r="A3" s="1" t="s">
        <v>209</v>
      </c>
      <c r="B3" s="93"/>
      <c r="C3" s="93"/>
      <c r="D3" s="93"/>
      <c r="E3" s="93"/>
      <c r="F3" s="93"/>
      <c r="G3" s="93"/>
      <c r="H3" s="93"/>
      <c r="I3" s="93"/>
      <c r="J3" s="93"/>
      <c r="K3" s="93"/>
      <c r="L3" s="93"/>
      <c r="M3" s="93"/>
      <c r="N3" s="93"/>
      <c r="O3" s="93"/>
    </row>
    <row r="4" spans="1:15" ht="15.6">
      <c r="A4" s="1"/>
      <c r="B4" s="93"/>
      <c r="C4" s="93"/>
      <c r="D4" s="93"/>
      <c r="E4" s="93"/>
      <c r="F4" s="93"/>
      <c r="G4" s="93"/>
      <c r="H4" s="93"/>
      <c r="I4" s="93"/>
      <c r="J4" s="93"/>
      <c r="K4" s="93"/>
      <c r="L4" s="93"/>
      <c r="M4" s="93"/>
      <c r="N4" s="93"/>
      <c r="O4" s="93"/>
    </row>
    <row r="5" spans="1:15">
      <c r="A5" s="9" t="s">
        <v>210</v>
      </c>
      <c r="B5" s="93"/>
      <c r="C5" s="93"/>
      <c r="D5" s="93"/>
      <c r="E5" s="93"/>
      <c r="F5" s="93"/>
      <c r="G5" s="93"/>
      <c r="H5" s="93"/>
      <c r="I5" s="93"/>
      <c r="J5" s="93"/>
      <c r="K5" s="93"/>
      <c r="L5" s="93"/>
      <c r="M5" s="93"/>
      <c r="N5" s="93"/>
      <c r="O5" s="93"/>
    </row>
    <row r="6" spans="1:15">
      <c r="A6" s="9"/>
      <c r="B6" s="93"/>
      <c r="C6" s="93"/>
      <c r="D6" s="93"/>
      <c r="E6" s="93"/>
      <c r="F6" s="93"/>
      <c r="G6" s="93"/>
      <c r="H6" s="93"/>
      <c r="I6" s="93"/>
      <c r="J6" s="93"/>
      <c r="K6" s="93"/>
      <c r="L6" s="93"/>
      <c r="M6" s="93"/>
      <c r="N6" s="93"/>
      <c r="O6" s="93"/>
    </row>
    <row r="7" spans="1:15">
      <c r="A7" s="119" t="s">
        <v>211</v>
      </c>
      <c r="B7" s="93"/>
      <c r="C7" s="93"/>
      <c r="D7" s="93"/>
      <c r="E7" s="93"/>
      <c r="F7" s="93"/>
      <c r="G7" s="93"/>
      <c r="H7" s="93"/>
      <c r="I7" s="93"/>
      <c r="J7" s="93"/>
      <c r="K7" s="93"/>
      <c r="L7" s="93"/>
      <c r="M7" s="93"/>
      <c r="N7" s="93"/>
      <c r="O7" s="93"/>
    </row>
    <row r="8" spans="1:15" s="3" customFormat="1" ht="25.5" customHeight="1">
      <c r="A8" s="282" t="s">
        <v>212</v>
      </c>
      <c r="B8" s="283"/>
      <c r="C8" s="282" t="s">
        <v>213</v>
      </c>
      <c r="D8" s="284"/>
      <c r="E8" s="284"/>
      <c r="F8" s="284"/>
      <c r="G8" s="284"/>
      <c r="H8" s="284"/>
      <c r="I8" s="283"/>
      <c r="L8" s="81" t="s">
        <v>3</v>
      </c>
    </row>
    <row r="9" spans="1:15" s="3" customFormat="1" ht="22.5" customHeight="1">
      <c r="A9" s="285"/>
      <c r="B9" s="286"/>
      <c r="C9" s="287" t="s">
        <v>214</v>
      </c>
      <c r="D9" s="287"/>
      <c r="E9" s="287"/>
      <c r="F9" s="287" t="s">
        <v>215</v>
      </c>
      <c r="G9" s="287"/>
      <c r="H9" s="287"/>
      <c r="I9" s="287"/>
      <c r="L9" s="220" t="s">
        <v>216</v>
      </c>
      <c r="M9" s="220"/>
      <c r="N9" s="220"/>
      <c r="O9" s="220"/>
    </row>
    <row r="10" spans="1:15" s="3" customFormat="1" ht="22.5" customHeight="1">
      <c r="A10" s="280" t="s">
        <v>217</v>
      </c>
      <c r="B10" s="280"/>
      <c r="C10" s="281" t="s">
        <v>218</v>
      </c>
      <c r="D10" s="281"/>
      <c r="E10" s="281"/>
      <c r="F10" s="281" t="s">
        <v>218</v>
      </c>
      <c r="G10" s="281"/>
      <c r="H10" s="281"/>
      <c r="I10" s="281"/>
      <c r="L10" s="220"/>
      <c r="M10" s="220"/>
      <c r="N10" s="220"/>
      <c r="O10" s="220"/>
    </row>
    <row r="11" spans="1:15" s="3" customFormat="1" ht="22.5" customHeight="1">
      <c r="A11" s="280" t="s">
        <v>219</v>
      </c>
      <c r="B11" s="280"/>
      <c r="C11" s="281" t="s">
        <v>218</v>
      </c>
      <c r="D11" s="281"/>
      <c r="E11" s="281"/>
      <c r="F11" s="281" t="s">
        <v>218</v>
      </c>
      <c r="G11" s="281"/>
      <c r="H11" s="281"/>
      <c r="I11" s="281"/>
      <c r="L11" s="220"/>
      <c r="M11" s="220"/>
      <c r="N11" s="220"/>
      <c r="O11" s="220"/>
    </row>
    <row r="12" spans="1:15" s="3" customFormat="1" ht="22.5" customHeight="1">
      <c r="A12" s="280" t="s">
        <v>220</v>
      </c>
      <c r="B12" s="280"/>
      <c r="C12" s="281" t="s">
        <v>218</v>
      </c>
      <c r="D12" s="281"/>
      <c r="E12" s="281"/>
      <c r="F12" s="281" t="s">
        <v>218</v>
      </c>
      <c r="G12" s="281"/>
      <c r="H12" s="281"/>
      <c r="I12" s="281"/>
      <c r="L12" s="220"/>
      <c r="M12" s="220"/>
      <c r="N12" s="220"/>
      <c r="O12" s="220"/>
    </row>
    <row r="13" spans="1:15" s="3" customFormat="1" ht="22.5" customHeight="1">
      <c r="A13" s="280" t="s">
        <v>221</v>
      </c>
      <c r="B13" s="280"/>
      <c r="C13" s="231" t="s">
        <v>222</v>
      </c>
      <c r="D13" s="281"/>
      <c r="E13" s="281"/>
      <c r="F13" s="281" t="s">
        <v>218</v>
      </c>
      <c r="G13" s="281"/>
      <c r="H13" s="281"/>
      <c r="I13" s="281"/>
      <c r="L13" s="220"/>
      <c r="M13" s="220"/>
      <c r="N13" s="220"/>
      <c r="O13" s="220"/>
    </row>
    <row r="14" spans="1:15" s="3" customFormat="1" ht="22.5" customHeight="1">
      <c r="A14" s="280" t="s">
        <v>223</v>
      </c>
      <c r="B14" s="280"/>
      <c r="C14" s="281" t="s">
        <v>218</v>
      </c>
      <c r="D14" s="281"/>
      <c r="E14" s="281"/>
      <c r="F14" s="281" t="s">
        <v>218</v>
      </c>
      <c r="G14" s="281"/>
      <c r="H14" s="281"/>
      <c r="I14" s="281"/>
      <c r="L14" s="220"/>
      <c r="M14" s="220"/>
      <c r="N14" s="220"/>
      <c r="O14" s="220"/>
    </row>
    <row r="15" spans="1:15" s="3" customFormat="1" ht="22.5" customHeight="1">
      <c r="A15" s="280" t="s">
        <v>224</v>
      </c>
      <c r="B15" s="280"/>
      <c r="C15" s="281" t="s">
        <v>218</v>
      </c>
      <c r="D15" s="281"/>
      <c r="E15" s="281"/>
      <c r="F15" s="281" t="s">
        <v>218</v>
      </c>
      <c r="G15" s="281"/>
      <c r="H15" s="281"/>
      <c r="I15" s="281"/>
      <c r="L15" s="220"/>
      <c r="M15" s="220"/>
      <c r="N15" s="220"/>
      <c r="O15" s="220"/>
    </row>
    <row r="16" spans="1:15" s="3" customFormat="1" ht="22.5" customHeight="1">
      <c r="A16" s="280" t="s">
        <v>225</v>
      </c>
      <c r="B16" s="280"/>
      <c r="C16" s="281" t="s">
        <v>218</v>
      </c>
      <c r="D16" s="281"/>
      <c r="E16" s="281"/>
      <c r="F16" s="281" t="s">
        <v>218</v>
      </c>
      <c r="G16" s="281"/>
      <c r="H16" s="281"/>
      <c r="I16" s="281"/>
      <c r="L16" s="220"/>
      <c r="M16" s="220"/>
      <c r="N16" s="220"/>
      <c r="O16" s="220"/>
    </row>
    <row r="17" spans="1:15" s="3" customFormat="1" ht="22.5" customHeight="1">
      <c r="A17" s="288"/>
      <c r="B17" s="289"/>
      <c r="C17" s="281" t="s">
        <v>218</v>
      </c>
      <c r="D17" s="281"/>
      <c r="E17" s="281"/>
      <c r="F17" s="281" t="s">
        <v>218</v>
      </c>
      <c r="G17" s="281"/>
      <c r="H17" s="281"/>
      <c r="I17" s="281"/>
      <c r="L17" s="220"/>
      <c r="M17" s="220"/>
      <c r="N17" s="220"/>
      <c r="O17" s="220"/>
    </row>
    <row r="18" spans="1:15" s="3" customFormat="1" ht="13.9">
      <c r="L18" s="220"/>
      <c r="M18" s="220"/>
      <c r="N18" s="220"/>
      <c r="O18" s="220"/>
    </row>
    <row r="19" spans="1:15" s="45" customFormat="1" ht="21.75" customHeight="1">
      <c r="A19" s="293" t="s">
        <v>226</v>
      </c>
      <c r="B19" s="294"/>
      <c r="C19" s="294"/>
      <c r="D19" s="294"/>
      <c r="E19" s="294"/>
      <c r="F19" s="294"/>
      <c r="G19" s="294"/>
      <c r="H19" s="294"/>
      <c r="I19" s="294"/>
      <c r="J19" s="294"/>
      <c r="K19" s="295"/>
    </row>
    <row r="20" spans="1:15" s="3" customFormat="1" ht="38.25" customHeight="1">
      <c r="A20" s="46" t="s">
        <v>51</v>
      </c>
      <c r="B20" s="290" t="s">
        <v>227</v>
      </c>
      <c r="C20" s="290"/>
      <c r="D20" s="290"/>
      <c r="E20" s="290" t="s">
        <v>228</v>
      </c>
      <c r="F20" s="290"/>
      <c r="G20" s="290"/>
      <c r="H20" s="290" t="s">
        <v>229</v>
      </c>
      <c r="I20" s="290"/>
      <c r="J20" s="291"/>
      <c r="K20" s="72"/>
    </row>
    <row r="21" spans="1:15" s="3" customFormat="1" ht="13.9">
      <c r="A21" s="168"/>
      <c r="B21" s="192"/>
      <c r="C21" s="192"/>
      <c r="D21" s="192"/>
      <c r="E21" s="192"/>
      <c r="F21" s="192"/>
      <c r="G21" s="192"/>
      <c r="H21" s="192"/>
      <c r="I21" s="192"/>
      <c r="J21" s="292"/>
      <c r="K21" s="72"/>
    </row>
    <row r="22" spans="1:15" s="3" customFormat="1" ht="13.9">
      <c r="A22" s="112"/>
      <c r="B22" s="192"/>
      <c r="C22" s="192"/>
      <c r="D22" s="192"/>
      <c r="E22" s="192"/>
      <c r="F22" s="192"/>
      <c r="G22" s="192"/>
      <c r="H22" s="192"/>
      <c r="I22" s="192"/>
      <c r="J22" s="292"/>
      <c r="K22" s="72"/>
    </row>
    <row r="23" spans="1:15" s="3" customFormat="1" ht="13.9">
      <c r="A23" s="112"/>
      <c r="B23" s="192"/>
      <c r="C23" s="192"/>
      <c r="D23" s="192"/>
      <c r="E23" s="192"/>
      <c r="F23" s="192"/>
      <c r="G23" s="192"/>
      <c r="H23" s="192"/>
      <c r="I23" s="192"/>
      <c r="J23" s="292"/>
      <c r="K23" s="72"/>
    </row>
    <row r="24" spans="1:15" s="3" customFormat="1" ht="13.9">
      <c r="A24" s="112"/>
      <c r="B24" s="192"/>
      <c r="C24" s="192"/>
      <c r="D24" s="192"/>
      <c r="E24" s="192"/>
      <c r="F24" s="192"/>
      <c r="G24" s="192"/>
      <c r="H24" s="192"/>
      <c r="I24" s="192"/>
      <c r="J24" s="292"/>
      <c r="K24" s="72"/>
    </row>
    <row r="25" spans="1:15" s="3" customFormat="1" ht="13.9">
      <c r="A25" s="112"/>
      <c r="B25" s="192"/>
      <c r="C25" s="192"/>
      <c r="D25" s="192"/>
      <c r="E25" s="192"/>
      <c r="F25" s="192"/>
      <c r="G25" s="192"/>
      <c r="H25" s="192"/>
      <c r="I25" s="192"/>
      <c r="J25" s="292"/>
      <c r="K25" s="72"/>
    </row>
    <row r="26" spans="1:15" s="3" customFormat="1" ht="13.9"/>
    <row r="27" spans="1:15" s="45" customFormat="1" ht="22.5" customHeight="1">
      <c r="A27" s="293" t="s">
        <v>230</v>
      </c>
      <c r="B27" s="294"/>
      <c r="C27" s="294"/>
      <c r="D27" s="294"/>
      <c r="E27" s="294"/>
      <c r="F27" s="294"/>
      <c r="G27" s="294"/>
      <c r="H27" s="294"/>
      <c r="I27" s="294"/>
      <c r="J27" s="294"/>
      <c r="K27" s="295"/>
    </row>
    <row r="28" spans="1:15" s="3" customFormat="1" ht="39" customHeight="1">
      <c r="A28" s="46" t="s">
        <v>51</v>
      </c>
      <c r="B28" s="290" t="s">
        <v>231</v>
      </c>
      <c r="C28" s="290"/>
      <c r="D28" s="290"/>
      <c r="E28" s="290" t="s">
        <v>232</v>
      </c>
      <c r="F28" s="290"/>
      <c r="G28" s="290"/>
      <c r="H28" s="290" t="s">
        <v>229</v>
      </c>
      <c r="I28" s="290"/>
      <c r="J28" s="291"/>
      <c r="K28" s="72"/>
    </row>
    <row r="29" spans="1:15" s="3" customFormat="1" ht="13.9">
      <c r="A29" s="112"/>
      <c r="B29" s="192"/>
      <c r="C29" s="192"/>
      <c r="D29" s="192"/>
      <c r="E29" s="192"/>
      <c r="F29" s="192"/>
      <c r="G29" s="192"/>
      <c r="H29" s="192"/>
      <c r="I29" s="192"/>
      <c r="J29" s="292"/>
      <c r="K29" s="72"/>
    </row>
    <row r="30" spans="1:15" s="3" customFormat="1" ht="13.9">
      <c r="A30" s="112"/>
      <c r="B30" s="192"/>
      <c r="C30" s="192"/>
      <c r="D30" s="192"/>
      <c r="E30" s="192"/>
      <c r="F30" s="192"/>
      <c r="G30" s="192"/>
      <c r="H30" s="192"/>
      <c r="I30" s="192"/>
      <c r="J30" s="292"/>
      <c r="K30" s="72"/>
    </row>
    <row r="31" spans="1:15" ht="14.25" customHeight="1">
      <c r="A31" s="112"/>
      <c r="B31" s="192"/>
      <c r="C31" s="192"/>
      <c r="D31" s="192"/>
      <c r="E31" s="192"/>
      <c r="F31" s="192"/>
      <c r="G31" s="192"/>
      <c r="H31" s="192"/>
      <c r="I31" s="192"/>
      <c r="J31" s="292"/>
      <c r="K31" s="72"/>
      <c r="L31" s="93"/>
      <c r="M31" s="93"/>
      <c r="N31" s="93"/>
      <c r="O31" s="93"/>
    </row>
    <row r="32" spans="1:15" s="3" customFormat="1" ht="13.9">
      <c r="A32" s="112"/>
      <c r="B32" s="192"/>
      <c r="C32" s="192"/>
      <c r="D32" s="192"/>
      <c r="E32" s="192"/>
      <c r="F32" s="192"/>
      <c r="G32" s="192"/>
      <c r="H32" s="192"/>
      <c r="I32" s="192"/>
      <c r="J32" s="292"/>
      <c r="K32" s="72"/>
    </row>
    <row r="33" spans="1:11" s="3" customFormat="1" ht="13.9">
      <c r="A33" s="112"/>
      <c r="B33" s="192"/>
      <c r="C33" s="192"/>
      <c r="D33" s="192"/>
      <c r="E33" s="192"/>
      <c r="F33" s="192"/>
      <c r="G33" s="192"/>
      <c r="H33" s="192"/>
      <c r="I33" s="192"/>
      <c r="J33" s="292"/>
      <c r="K33" s="72"/>
    </row>
    <row r="34" spans="1:11" s="3" customFormat="1" ht="29.25" customHeight="1">
      <c r="A34" s="119"/>
      <c r="E34" s="279" t="s">
        <v>233</v>
      </c>
      <c r="F34" s="279"/>
      <c r="G34" s="279"/>
      <c r="H34" s="279"/>
      <c r="I34" s="279"/>
      <c r="J34" s="119"/>
    </row>
    <row r="67" spans="6:6">
      <c r="F67" s="3"/>
    </row>
  </sheetData>
  <mergeCells count="69">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 ref="B33:D33"/>
    <mergeCell ref="E33:G33"/>
    <mergeCell ref="H33:J33"/>
    <mergeCell ref="B30:D30"/>
    <mergeCell ref="E30:G30"/>
    <mergeCell ref="H30:J30"/>
    <mergeCell ref="B31:D31"/>
    <mergeCell ref="E31:G31"/>
    <mergeCell ref="H31:J31"/>
    <mergeCell ref="H25:J25"/>
    <mergeCell ref="B22:D22"/>
    <mergeCell ref="E22:G22"/>
    <mergeCell ref="H22:J22"/>
    <mergeCell ref="B23:D23"/>
    <mergeCell ref="E23:G23"/>
    <mergeCell ref="H23:J23"/>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3" t="str">
        <f>+'Cover Page'!$B$29</f>
        <v>Annual Performance Report 2022</v>
      </c>
      <c r="B1" s="93"/>
      <c r="C1" s="93"/>
      <c r="D1" s="93"/>
      <c r="E1" s="93" t="str">
        <f>+'Cover Page'!$B$33</f>
        <v>EPR Thetford Power Station</v>
      </c>
      <c r="F1" s="93"/>
      <c r="G1" s="93"/>
      <c r="H1" s="93"/>
      <c r="I1" s="93"/>
    </row>
    <row r="3" spans="1:9" ht="15.6">
      <c r="A3" s="1" t="s">
        <v>234</v>
      </c>
      <c r="B3" s="93"/>
      <c r="C3" s="93"/>
      <c r="D3" s="93"/>
      <c r="E3" s="93"/>
      <c r="F3" s="93"/>
      <c r="G3" s="93"/>
      <c r="H3" s="93"/>
      <c r="I3" s="93"/>
    </row>
    <row r="4" spans="1:9" ht="15.6">
      <c r="A4" s="1"/>
      <c r="B4" s="93"/>
      <c r="C4" s="93"/>
      <c r="D4" s="93"/>
      <c r="E4" s="93"/>
      <c r="F4" s="93"/>
      <c r="G4" s="93"/>
      <c r="H4" s="93"/>
      <c r="I4" s="93"/>
    </row>
    <row r="5" spans="1:9" s="3" customFormat="1" ht="13.9">
      <c r="A5" s="308" t="s">
        <v>235</v>
      </c>
      <c r="B5" s="309"/>
      <c r="C5" s="309"/>
      <c r="D5" s="309"/>
      <c r="E5" s="309"/>
      <c r="F5" s="309"/>
      <c r="G5" s="309"/>
      <c r="H5" s="309"/>
      <c r="I5" s="310"/>
    </row>
    <row r="6" spans="1:9" s="3" customFormat="1" ht="15.75" customHeight="1">
      <c r="A6" s="311"/>
      <c r="B6" s="212"/>
      <c r="C6" s="212"/>
      <c r="D6" s="212"/>
      <c r="E6" s="212"/>
      <c r="F6" s="212"/>
      <c r="G6" s="212"/>
      <c r="H6" s="212"/>
      <c r="I6" s="213"/>
    </row>
    <row r="7" spans="1:9" s="3" customFormat="1" ht="15.75" customHeight="1">
      <c r="A7" s="214"/>
      <c r="B7" s="215"/>
      <c r="C7" s="215"/>
      <c r="D7" s="215"/>
      <c r="E7" s="215"/>
      <c r="F7" s="215"/>
      <c r="G7" s="215"/>
      <c r="H7" s="215"/>
      <c r="I7" s="216"/>
    </row>
    <row r="8" spans="1:9" s="3" customFormat="1" ht="15.75" customHeight="1">
      <c r="A8" s="214"/>
      <c r="B8" s="215"/>
      <c r="C8" s="215"/>
      <c r="D8" s="215"/>
      <c r="E8" s="215"/>
      <c r="F8" s="215"/>
      <c r="G8" s="215"/>
      <c r="H8" s="215"/>
      <c r="I8" s="216"/>
    </row>
    <row r="9" spans="1:9" s="3" customFormat="1" ht="15.75" customHeight="1">
      <c r="A9" s="214"/>
      <c r="B9" s="215"/>
      <c r="C9" s="215"/>
      <c r="D9" s="215"/>
      <c r="E9" s="215"/>
      <c r="F9" s="215"/>
      <c r="G9" s="215"/>
      <c r="H9" s="215"/>
      <c r="I9" s="216"/>
    </row>
    <row r="10" spans="1:9" s="3" customFormat="1" ht="15.75" customHeight="1">
      <c r="A10" s="214"/>
      <c r="B10" s="215"/>
      <c r="C10" s="215"/>
      <c r="D10" s="215"/>
      <c r="E10" s="215"/>
      <c r="F10" s="215"/>
      <c r="G10" s="215"/>
      <c r="H10" s="215"/>
      <c r="I10" s="216"/>
    </row>
    <row r="11" spans="1:9" s="3" customFormat="1" ht="15.75" customHeight="1">
      <c r="A11" s="214"/>
      <c r="B11" s="215"/>
      <c r="C11" s="215"/>
      <c r="D11" s="215"/>
      <c r="E11" s="215"/>
      <c r="F11" s="215"/>
      <c r="G11" s="215"/>
      <c r="H11" s="215"/>
      <c r="I11" s="216"/>
    </row>
    <row r="12" spans="1:9" s="3" customFormat="1" ht="15.75" customHeight="1">
      <c r="A12" s="214"/>
      <c r="B12" s="215"/>
      <c r="C12" s="215"/>
      <c r="D12" s="215"/>
      <c r="E12" s="215"/>
      <c r="F12" s="215"/>
      <c r="G12" s="215"/>
      <c r="H12" s="215"/>
      <c r="I12" s="216"/>
    </row>
    <row r="13" spans="1:9" s="3" customFormat="1" ht="15.75" customHeight="1">
      <c r="A13" s="214"/>
      <c r="B13" s="215"/>
      <c r="C13" s="215"/>
      <c r="D13" s="215"/>
      <c r="E13" s="215"/>
      <c r="F13" s="215"/>
      <c r="G13" s="215"/>
      <c r="H13" s="215"/>
      <c r="I13" s="216"/>
    </row>
    <row r="14" spans="1:9" s="3" customFormat="1" ht="15.75" customHeight="1">
      <c r="A14" s="217"/>
      <c r="B14" s="218"/>
      <c r="C14" s="218"/>
      <c r="D14" s="218"/>
      <c r="E14" s="218"/>
      <c r="F14" s="218"/>
      <c r="G14" s="218"/>
      <c r="H14" s="218"/>
      <c r="I14" s="219"/>
    </row>
    <row r="15" spans="1:9" s="3" customFormat="1" ht="13.9"/>
    <row r="16" spans="1:9" s="47" customFormat="1" ht="33.75" customHeight="1">
      <c r="A16" s="296" t="s">
        <v>236</v>
      </c>
      <c r="B16" s="297"/>
      <c r="C16" s="297"/>
      <c r="D16" s="297"/>
      <c r="E16" s="297"/>
      <c r="F16" s="297"/>
      <c r="G16" s="297"/>
      <c r="H16" s="297"/>
      <c r="I16" s="298"/>
    </row>
    <row r="17" spans="1:9" ht="15.75" customHeight="1">
      <c r="A17" s="311"/>
      <c r="B17" s="212"/>
      <c r="C17" s="212"/>
      <c r="D17" s="212"/>
      <c r="E17" s="212"/>
      <c r="F17" s="212"/>
      <c r="G17" s="212"/>
      <c r="H17" s="212"/>
      <c r="I17" s="213"/>
    </row>
    <row r="18" spans="1:9" ht="15.75" customHeight="1">
      <c r="A18" s="214"/>
      <c r="B18" s="215"/>
      <c r="C18" s="215"/>
      <c r="D18" s="215"/>
      <c r="E18" s="215"/>
      <c r="F18" s="215"/>
      <c r="G18" s="215"/>
      <c r="H18" s="215"/>
      <c r="I18" s="216"/>
    </row>
    <row r="19" spans="1:9" ht="15.75" customHeight="1">
      <c r="A19" s="214"/>
      <c r="B19" s="215"/>
      <c r="C19" s="215"/>
      <c r="D19" s="215"/>
      <c r="E19" s="215"/>
      <c r="F19" s="215"/>
      <c r="G19" s="215"/>
      <c r="H19" s="215"/>
      <c r="I19" s="216"/>
    </row>
    <row r="20" spans="1:9" ht="15.75" customHeight="1">
      <c r="A20" s="214"/>
      <c r="B20" s="215"/>
      <c r="C20" s="215"/>
      <c r="D20" s="215"/>
      <c r="E20" s="215"/>
      <c r="F20" s="215"/>
      <c r="G20" s="215"/>
      <c r="H20" s="215"/>
      <c r="I20" s="216"/>
    </row>
    <row r="21" spans="1:9" ht="15.75" customHeight="1">
      <c r="A21" s="214"/>
      <c r="B21" s="215"/>
      <c r="C21" s="215"/>
      <c r="D21" s="215"/>
      <c r="E21" s="215"/>
      <c r="F21" s="215"/>
      <c r="G21" s="215"/>
      <c r="H21" s="215"/>
      <c r="I21" s="216"/>
    </row>
    <row r="22" spans="1:9" ht="15.75" customHeight="1">
      <c r="A22" s="214"/>
      <c r="B22" s="215"/>
      <c r="C22" s="215"/>
      <c r="D22" s="215"/>
      <c r="E22" s="215"/>
      <c r="F22" s="215"/>
      <c r="G22" s="215"/>
      <c r="H22" s="215"/>
      <c r="I22" s="216"/>
    </row>
    <row r="23" spans="1:9" ht="15.75" customHeight="1">
      <c r="A23" s="214"/>
      <c r="B23" s="215"/>
      <c r="C23" s="215"/>
      <c r="D23" s="215"/>
      <c r="E23" s="215"/>
      <c r="F23" s="215"/>
      <c r="G23" s="215"/>
      <c r="H23" s="215"/>
      <c r="I23" s="216"/>
    </row>
    <row r="24" spans="1:9" ht="15.75" customHeight="1">
      <c r="A24" s="214"/>
      <c r="B24" s="215"/>
      <c r="C24" s="215"/>
      <c r="D24" s="215"/>
      <c r="E24" s="215"/>
      <c r="F24" s="215"/>
      <c r="G24" s="215"/>
      <c r="H24" s="215"/>
      <c r="I24" s="216"/>
    </row>
    <row r="25" spans="1:9" ht="15.75" customHeight="1">
      <c r="A25" s="217"/>
      <c r="B25" s="218"/>
      <c r="C25" s="218"/>
      <c r="D25" s="218"/>
      <c r="E25" s="218"/>
      <c r="F25" s="218"/>
      <c r="G25" s="218"/>
      <c r="H25" s="218"/>
      <c r="I25" s="219"/>
    </row>
    <row r="26" spans="1:9" ht="15.6">
      <c r="A26" s="1"/>
      <c r="B26" s="93"/>
      <c r="C26" s="93"/>
      <c r="D26" s="93"/>
      <c r="E26" s="93"/>
      <c r="F26" s="93"/>
      <c r="G26" s="93"/>
      <c r="H26" s="93"/>
      <c r="I26" s="93"/>
    </row>
    <row r="27" spans="1:9" ht="36.75" customHeight="1">
      <c r="A27" s="296" t="s">
        <v>237</v>
      </c>
      <c r="B27" s="297"/>
      <c r="C27" s="297"/>
      <c r="D27" s="297"/>
      <c r="E27" s="297"/>
      <c r="F27" s="297"/>
      <c r="G27" s="297"/>
      <c r="H27" s="297"/>
      <c r="I27" s="298"/>
    </row>
    <row r="28" spans="1:9" ht="15.75" customHeight="1">
      <c r="A28" s="311"/>
      <c r="B28" s="212"/>
      <c r="C28" s="212"/>
      <c r="D28" s="212"/>
      <c r="E28" s="212"/>
      <c r="F28" s="212"/>
      <c r="G28" s="212"/>
      <c r="H28" s="212"/>
      <c r="I28" s="213"/>
    </row>
    <row r="29" spans="1:9" ht="15.75" customHeight="1">
      <c r="A29" s="214"/>
      <c r="B29" s="215"/>
      <c r="C29" s="215"/>
      <c r="D29" s="215"/>
      <c r="E29" s="215"/>
      <c r="F29" s="215"/>
      <c r="G29" s="215"/>
      <c r="H29" s="215"/>
      <c r="I29" s="216"/>
    </row>
    <row r="30" spans="1:9" ht="15.75" customHeight="1">
      <c r="A30" s="214"/>
      <c r="B30" s="215"/>
      <c r="C30" s="215"/>
      <c r="D30" s="215"/>
      <c r="E30" s="215"/>
      <c r="F30" s="215"/>
      <c r="G30" s="215"/>
      <c r="H30" s="215"/>
      <c r="I30" s="216"/>
    </row>
    <row r="31" spans="1:9" ht="15.75" customHeight="1">
      <c r="A31" s="214"/>
      <c r="B31" s="215"/>
      <c r="C31" s="215"/>
      <c r="D31" s="215"/>
      <c r="E31" s="215"/>
      <c r="F31" s="215"/>
      <c r="G31" s="215"/>
      <c r="H31" s="215"/>
      <c r="I31" s="216"/>
    </row>
    <row r="32" spans="1:9" ht="15.75" customHeight="1">
      <c r="A32" s="214"/>
      <c r="B32" s="215"/>
      <c r="C32" s="215"/>
      <c r="D32" s="215"/>
      <c r="E32" s="215"/>
      <c r="F32" s="215"/>
      <c r="G32" s="215"/>
      <c r="H32" s="215"/>
      <c r="I32" s="216"/>
    </row>
    <row r="33" spans="1:9" ht="15.75" customHeight="1">
      <c r="A33" s="214"/>
      <c r="B33" s="215"/>
      <c r="C33" s="215"/>
      <c r="D33" s="215"/>
      <c r="E33" s="215"/>
      <c r="F33" s="215"/>
      <c r="G33" s="215"/>
      <c r="H33" s="215"/>
      <c r="I33" s="216"/>
    </row>
    <row r="34" spans="1:9" ht="15.75" customHeight="1">
      <c r="A34" s="214"/>
      <c r="B34" s="215"/>
      <c r="C34" s="215"/>
      <c r="D34" s="215"/>
      <c r="E34" s="215"/>
      <c r="F34" s="215"/>
      <c r="G34" s="215"/>
      <c r="H34" s="215"/>
      <c r="I34" s="216"/>
    </row>
    <row r="35" spans="1:9" ht="15.75" customHeight="1">
      <c r="A35" s="214"/>
      <c r="B35" s="215"/>
      <c r="C35" s="215"/>
      <c r="D35" s="215"/>
      <c r="E35" s="215"/>
      <c r="F35" s="215"/>
      <c r="G35" s="215"/>
      <c r="H35" s="215"/>
      <c r="I35" s="216"/>
    </row>
    <row r="36" spans="1:9" ht="15.75" customHeight="1">
      <c r="A36" s="217"/>
      <c r="B36" s="218"/>
      <c r="C36" s="218"/>
      <c r="D36" s="218"/>
      <c r="E36" s="218"/>
      <c r="F36" s="218"/>
      <c r="G36" s="218"/>
      <c r="H36" s="218"/>
      <c r="I36" s="219"/>
    </row>
    <row r="38" spans="1:9" ht="33" customHeight="1">
      <c r="A38" s="296" t="s">
        <v>238</v>
      </c>
      <c r="B38" s="297"/>
      <c r="C38" s="297"/>
      <c r="D38" s="297"/>
      <c r="E38" s="297"/>
      <c r="F38" s="297"/>
      <c r="G38" s="297"/>
      <c r="H38" s="297"/>
      <c r="I38" s="298"/>
    </row>
    <row r="39" spans="1:9" ht="15.75" customHeight="1">
      <c r="A39" s="299"/>
      <c r="B39" s="300"/>
      <c r="C39" s="300"/>
      <c r="D39" s="300"/>
      <c r="E39" s="300"/>
      <c r="F39" s="300"/>
      <c r="G39" s="300"/>
      <c r="H39" s="300"/>
      <c r="I39" s="301"/>
    </row>
    <row r="40" spans="1:9" ht="15.75" customHeight="1">
      <c r="A40" s="302"/>
      <c r="B40" s="303"/>
      <c r="C40" s="303"/>
      <c r="D40" s="303"/>
      <c r="E40" s="303"/>
      <c r="F40" s="303"/>
      <c r="G40" s="303"/>
      <c r="H40" s="303"/>
      <c r="I40" s="304"/>
    </row>
    <row r="41" spans="1:9" ht="15.75" customHeight="1">
      <c r="A41" s="302"/>
      <c r="B41" s="303"/>
      <c r="C41" s="303"/>
      <c r="D41" s="303"/>
      <c r="E41" s="303"/>
      <c r="F41" s="303"/>
      <c r="G41" s="303"/>
      <c r="H41" s="303"/>
      <c r="I41" s="304"/>
    </row>
    <row r="42" spans="1:9" ht="15.75" customHeight="1">
      <c r="A42" s="302"/>
      <c r="B42" s="303"/>
      <c r="C42" s="303"/>
      <c r="D42" s="303"/>
      <c r="E42" s="303"/>
      <c r="F42" s="303"/>
      <c r="G42" s="303"/>
      <c r="H42" s="303"/>
      <c r="I42" s="304"/>
    </row>
    <row r="43" spans="1:9" ht="15.75" customHeight="1">
      <c r="A43" s="302"/>
      <c r="B43" s="303"/>
      <c r="C43" s="303"/>
      <c r="D43" s="303"/>
      <c r="E43" s="303"/>
      <c r="F43" s="303"/>
      <c r="G43" s="303"/>
      <c r="H43" s="303"/>
      <c r="I43" s="304"/>
    </row>
    <row r="44" spans="1:9" ht="15.75" customHeight="1">
      <c r="A44" s="302"/>
      <c r="B44" s="303"/>
      <c r="C44" s="303"/>
      <c r="D44" s="303"/>
      <c r="E44" s="303"/>
      <c r="F44" s="303"/>
      <c r="G44" s="303"/>
      <c r="H44" s="303"/>
      <c r="I44" s="304"/>
    </row>
    <row r="45" spans="1:9" ht="15.75" customHeight="1">
      <c r="A45" s="302"/>
      <c r="B45" s="303"/>
      <c r="C45" s="303"/>
      <c r="D45" s="303"/>
      <c r="E45" s="303"/>
      <c r="F45" s="303"/>
      <c r="G45" s="303"/>
      <c r="H45" s="303"/>
      <c r="I45" s="304"/>
    </row>
    <row r="46" spans="1:9" ht="15.75" customHeight="1">
      <c r="A46" s="302"/>
      <c r="B46" s="303"/>
      <c r="C46" s="303"/>
      <c r="D46" s="303"/>
      <c r="E46" s="303"/>
      <c r="F46" s="303"/>
      <c r="G46" s="303"/>
      <c r="H46" s="303"/>
      <c r="I46" s="304"/>
    </row>
    <row r="47" spans="1:9" ht="15.75" customHeight="1">
      <c r="A47" s="302"/>
      <c r="B47" s="303"/>
      <c r="C47" s="303"/>
      <c r="D47" s="303"/>
      <c r="E47" s="303"/>
      <c r="F47" s="303"/>
      <c r="G47" s="303"/>
      <c r="H47" s="303"/>
      <c r="I47" s="304"/>
    </row>
    <row r="48" spans="1:9" ht="15.75" customHeight="1">
      <c r="A48" s="305"/>
      <c r="B48" s="306"/>
      <c r="C48" s="306"/>
      <c r="D48" s="306"/>
      <c r="E48" s="306"/>
      <c r="F48" s="306"/>
      <c r="G48" s="306"/>
      <c r="H48" s="306"/>
      <c r="I48" s="307"/>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3" t="str">
        <f>+'Cover Page'!$B$29</f>
        <v>Annual Performance Report 2022</v>
      </c>
      <c r="B1" s="93"/>
      <c r="C1" s="93"/>
      <c r="D1" s="93"/>
      <c r="E1" s="93" t="str">
        <f>+'Cover Page'!$B$33</f>
        <v>EPR Thetford Power Station</v>
      </c>
      <c r="F1" s="93"/>
      <c r="G1" s="93"/>
      <c r="H1" s="93"/>
      <c r="I1" s="93"/>
    </row>
    <row r="3" spans="1:9" ht="15.6">
      <c r="A3" s="1" t="s">
        <v>239</v>
      </c>
      <c r="B3" s="93"/>
      <c r="C3" s="93"/>
      <c r="D3" s="93"/>
      <c r="E3" s="93"/>
      <c r="F3" s="93"/>
      <c r="G3" s="93"/>
      <c r="H3" s="93"/>
      <c r="I3" s="93"/>
    </row>
    <row r="4" spans="1:9" ht="15.6">
      <c r="A4" s="1"/>
      <c r="B4" s="93"/>
      <c r="C4" s="93"/>
      <c r="D4" s="93"/>
      <c r="E4" s="93"/>
      <c r="F4" s="93"/>
      <c r="G4" s="93"/>
      <c r="H4" s="93"/>
      <c r="I4" s="93"/>
    </row>
    <row r="5" spans="1:9" s="3" customFormat="1" ht="28.5" customHeight="1">
      <c r="A5" s="48" t="s">
        <v>240</v>
      </c>
      <c r="B5" s="49"/>
      <c r="C5" s="49"/>
      <c r="D5" s="49"/>
      <c r="E5" s="49"/>
      <c r="F5" s="49"/>
      <c r="G5" s="49"/>
      <c r="H5" s="49"/>
      <c r="I5" s="50"/>
    </row>
    <row r="6" spans="1:9" s="3" customFormat="1" ht="15.75" customHeight="1">
      <c r="A6" s="308" t="s">
        <v>51</v>
      </c>
      <c r="B6" s="310"/>
      <c r="C6" s="308" t="s">
        <v>241</v>
      </c>
      <c r="D6" s="309"/>
      <c r="E6" s="309"/>
      <c r="F6" s="309"/>
      <c r="G6" s="309"/>
      <c r="H6" s="309"/>
      <c r="I6" s="310"/>
    </row>
    <row r="7" spans="1:9" s="3" customFormat="1" ht="15.75" customHeight="1">
      <c r="A7" s="311"/>
      <c r="B7" s="213"/>
      <c r="C7" s="311"/>
      <c r="D7" s="212"/>
      <c r="E7" s="212"/>
      <c r="F7" s="212"/>
      <c r="G7" s="212"/>
      <c r="H7" s="212"/>
      <c r="I7" s="213"/>
    </row>
    <row r="8" spans="1:9" s="3" customFormat="1" ht="15.75" customHeight="1">
      <c r="A8" s="217"/>
      <c r="B8" s="219"/>
      <c r="C8" s="217"/>
      <c r="D8" s="218"/>
      <c r="E8" s="218"/>
      <c r="F8" s="218"/>
      <c r="G8" s="218"/>
      <c r="H8" s="218"/>
      <c r="I8" s="219"/>
    </row>
    <row r="9" spans="1:9" s="3" customFormat="1" ht="15.75" customHeight="1">
      <c r="A9" s="311"/>
      <c r="B9" s="213"/>
      <c r="C9" s="311"/>
      <c r="D9" s="212"/>
      <c r="E9" s="212"/>
      <c r="F9" s="212"/>
      <c r="G9" s="212"/>
      <c r="H9" s="212"/>
      <c r="I9" s="213"/>
    </row>
    <row r="10" spans="1:9" s="3" customFormat="1" ht="15.75" customHeight="1">
      <c r="A10" s="217"/>
      <c r="B10" s="219"/>
      <c r="C10" s="217"/>
      <c r="D10" s="218"/>
      <c r="E10" s="218"/>
      <c r="F10" s="218"/>
      <c r="G10" s="218"/>
      <c r="H10" s="218"/>
      <c r="I10" s="219"/>
    </row>
    <row r="11" spans="1:9" s="3" customFormat="1" ht="15.75" customHeight="1">
      <c r="A11" s="311"/>
      <c r="B11" s="213"/>
      <c r="C11" s="311"/>
      <c r="D11" s="212"/>
      <c r="E11" s="212"/>
      <c r="F11" s="212"/>
      <c r="G11" s="212"/>
      <c r="H11" s="212"/>
      <c r="I11" s="213"/>
    </row>
    <row r="12" spans="1:9" s="3" customFormat="1" ht="15.75" customHeight="1">
      <c r="A12" s="217"/>
      <c r="B12" s="219"/>
      <c r="C12" s="217"/>
      <c r="D12" s="218"/>
      <c r="E12" s="218"/>
      <c r="F12" s="218"/>
      <c r="G12" s="218"/>
      <c r="H12" s="218"/>
      <c r="I12" s="219"/>
    </row>
    <row r="13" spans="1:9" s="3" customFormat="1" ht="15.75" customHeight="1">
      <c r="A13" s="311"/>
      <c r="B13" s="213"/>
      <c r="C13" s="311"/>
      <c r="D13" s="212"/>
      <c r="E13" s="212"/>
      <c r="F13" s="212"/>
      <c r="G13" s="212"/>
      <c r="H13" s="212"/>
      <c r="I13" s="213"/>
    </row>
    <row r="14" spans="1:9" s="3" customFormat="1" ht="15.75" customHeight="1">
      <c r="A14" s="217"/>
      <c r="B14" s="219"/>
      <c r="C14" s="217"/>
      <c r="D14" s="218"/>
      <c r="E14" s="218"/>
      <c r="F14" s="218"/>
      <c r="G14" s="218"/>
      <c r="H14" s="218"/>
      <c r="I14" s="219"/>
    </row>
    <row r="15" spans="1:9" s="3" customFormat="1" ht="13.9"/>
    <row r="16" spans="1:9" s="47" customFormat="1" ht="33.75" customHeight="1">
      <c r="A16" s="296" t="s">
        <v>242</v>
      </c>
      <c r="B16" s="297"/>
      <c r="C16" s="297"/>
      <c r="D16" s="297"/>
      <c r="E16" s="297"/>
      <c r="F16" s="297"/>
      <c r="G16" s="297"/>
      <c r="H16" s="297"/>
      <c r="I16" s="298"/>
    </row>
    <row r="17" spans="1:9" ht="15.75" customHeight="1">
      <c r="A17" s="308" t="s">
        <v>51</v>
      </c>
      <c r="B17" s="310"/>
      <c r="C17" s="308" t="s">
        <v>241</v>
      </c>
      <c r="D17" s="309"/>
      <c r="E17" s="309"/>
      <c r="F17" s="309"/>
      <c r="G17" s="309"/>
      <c r="H17" s="309"/>
      <c r="I17" s="309"/>
    </row>
    <row r="18" spans="1:9" ht="15.75" customHeight="1">
      <c r="A18" s="311"/>
      <c r="B18" s="213"/>
      <c r="C18" s="311"/>
      <c r="D18" s="212"/>
      <c r="E18" s="212"/>
      <c r="F18" s="212"/>
      <c r="G18" s="212"/>
      <c r="H18" s="212"/>
      <c r="I18" s="213"/>
    </row>
    <row r="19" spans="1:9" ht="15.75" customHeight="1">
      <c r="A19" s="217"/>
      <c r="B19" s="219"/>
      <c r="C19" s="217"/>
      <c r="D19" s="218"/>
      <c r="E19" s="218"/>
      <c r="F19" s="218"/>
      <c r="G19" s="218"/>
      <c r="H19" s="218"/>
      <c r="I19" s="219"/>
    </row>
    <row r="20" spans="1:9" ht="15.75" customHeight="1">
      <c r="A20" s="311"/>
      <c r="B20" s="213"/>
      <c r="C20" s="311"/>
      <c r="D20" s="212"/>
      <c r="E20" s="212"/>
      <c r="F20" s="212"/>
      <c r="G20" s="212"/>
      <c r="H20" s="212"/>
      <c r="I20" s="213"/>
    </row>
    <row r="21" spans="1:9" ht="15.75" customHeight="1">
      <c r="A21" s="217"/>
      <c r="B21" s="219"/>
      <c r="C21" s="217"/>
      <c r="D21" s="218"/>
      <c r="E21" s="218"/>
      <c r="F21" s="218"/>
      <c r="G21" s="218"/>
      <c r="H21" s="218"/>
      <c r="I21" s="219"/>
    </row>
    <row r="22" spans="1:9" ht="15.75" customHeight="1">
      <c r="A22" s="311"/>
      <c r="B22" s="213"/>
      <c r="C22" s="311"/>
      <c r="D22" s="212"/>
      <c r="E22" s="212"/>
      <c r="F22" s="212"/>
      <c r="G22" s="212"/>
      <c r="H22" s="212"/>
      <c r="I22" s="213"/>
    </row>
    <row r="23" spans="1:9" ht="15.75" customHeight="1">
      <c r="A23" s="217"/>
      <c r="B23" s="219"/>
      <c r="C23" s="217"/>
      <c r="D23" s="218"/>
      <c r="E23" s="218"/>
      <c r="F23" s="218"/>
      <c r="G23" s="218"/>
      <c r="H23" s="218"/>
      <c r="I23" s="219"/>
    </row>
    <row r="24" spans="1:9" ht="15.75" customHeight="1">
      <c r="A24" s="311"/>
      <c r="B24" s="213"/>
      <c r="C24" s="311"/>
      <c r="D24" s="212"/>
      <c r="E24" s="212"/>
      <c r="F24" s="212"/>
      <c r="G24" s="212"/>
      <c r="H24" s="212"/>
      <c r="I24" s="213"/>
    </row>
    <row r="25" spans="1:9" ht="15.75" customHeight="1">
      <c r="A25" s="217"/>
      <c r="B25" s="219"/>
      <c r="C25" s="217"/>
      <c r="D25" s="218"/>
      <c r="E25" s="218"/>
      <c r="F25" s="218"/>
      <c r="G25" s="218"/>
      <c r="H25" s="218"/>
      <c r="I25" s="219"/>
    </row>
    <row r="26" spans="1:9" ht="15.75" customHeight="1">
      <c r="A26" s="311"/>
      <c r="B26" s="213"/>
      <c r="C26" s="311"/>
      <c r="D26" s="212"/>
      <c r="E26" s="212"/>
      <c r="F26" s="212"/>
      <c r="G26" s="212"/>
      <c r="H26" s="212"/>
      <c r="I26" s="213"/>
    </row>
    <row r="27" spans="1:9" ht="15.75" customHeight="1">
      <c r="A27" s="217"/>
      <c r="B27" s="219"/>
      <c r="C27" s="217"/>
      <c r="D27" s="218"/>
      <c r="E27" s="218"/>
      <c r="F27" s="218"/>
      <c r="G27" s="218"/>
      <c r="H27" s="218"/>
      <c r="I27" s="219"/>
    </row>
    <row r="28" spans="1:9" ht="15.6">
      <c r="A28" s="1"/>
      <c r="B28" s="93"/>
      <c r="C28" s="93"/>
      <c r="D28" s="93"/>
      <c r="E28" s="93"/>
      <c r="F28" s="93"/>
      <c r="G28" s="93"/>
      <c r="H28" s="93"/>
      <c r="I28" s="93"/>
    </row>
    <row r="29" spans="1:9" ht="36.75" customHeight="1">
      <c r="A29" s="296" t="s">
        <v>243</v>
      </c>
      <c r="B29" s="297"/>
      <c r="C29" s="297"/>
      <c r="D29" s="297"/>
      <c r="E29" s="297"/>
      <c r="F29" s="297"/>
      <c r="G29" s="297"/>
      <c r="H29" s="297"/>
      <c r="I29" s="298"/>
    </row>
    <row r="66" spans="6:6">
      <c r="F66" s="3"/>
    </row>
  </sheetData>
  <mergeCells count="24">
    <mergeCell ref="A24:B25"/>
    <mergeCell ref="C24:I25"/>
    <mergeCell ref="A26:B27"/>
    <mergeCell ref="C26:I27"/>
    <mergeCell ref="A29:I29"/>
    <mergeCell ref="A18:B19"/>
    <mergeCell ref="C18:I19"/>
    <mergeCell ref="A20:B21"/>
    <mergeCell ref="C20:I21"/>
    <mergeCell ref="A22:B23"/>
    <mergeCell ref="C22:I23"/>
    <mergeCell ref="A17:B17"/>
    <mergeCell ref="C17:I17"/>
    <mergeCell ref="A6:B6"/>
    <mergeCell ref="C6:I6"/>
    <mergeCell ref="A7:B8"/>
    <mergeCell ref="C7:I8"/>
    <mergeCell ref="A9:B10"/>
    <mergeCell ref="C9:I10"/>
    <mergeCell ref="A11:B12"/>
    <mergeCell ref="C11:I12"/>
    <mergeCell ref="A13:B14"/>
    <mergeCell ref="C13:I14"/>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workbookViewId="0">
      <selection activeCell="B9" sqref="B9:C9"/>
    </sheetView>
  </sheetViews>
  <sheetFormatPr defaultColWidth="8.85546875" defaultRowHeight="15"/>
  <cols>
    <col min="1" max="1" width="36.7109375" style="93" customWidth="1"/>
    <col min="2" max="2" width="17.7109375" style="93" customWidth="1"/>
    <col min="3" max="3" width="37.28515625" style="93" customWidth="1"/>
    <col min="4" max="14" width="8.85546875" style="93"/>
    <col min="15" max="15" width="9" style="93" customWidth="1"/>
    <col min="16" max="16384" width="8.85546875" style="93"/>
  </cols>
  <sheetData>
    <row r="1" spans="1:15">
      <c r="A1" s="93" t="str">
        <f>+'Cover Page'!$B$29</f>
        <v>Annual Performance Report 2022</v>
      </c>
      <c r="C1" s="93" t="str">
        <f>+'Cover Page'!$B$33</f>
        <v>EPR Thetford Power Station</v>
      </c>
    </row>
    <row r="2" spans="1:15" ht="10.15" customHeight="1"/>
    <row r="3" spans="1:15" ht="15.6">
      <c r="A3" s="1" t="s">
        <v>244</v>
      </c>
      <c r="E3" s="81" t="s">
        <v>3</v>
      </c>
    </row>
    <row r="4" spans="1:15" ht="9.4" customHeight="1"/>
    <row r="5" spans="1:15">
      <c r="A5" s="316" t="s">
        <v>245</v>
      </c>
      <c r="B5" s="317"/>
      <c r="C5" s="317"/>
    </row>
    <row r="6" spans="1:15" ht="30">
      <c r="A6" s="94" t="s">
        <v>246</v>
      </c>
      <c r="B6" s="98" t="s">
        <v>247</v>
      </c>
      <c r="C6" s="97"/>
    </row>
    <row r="7" spans="1:15" ht="30">
      <c r="A7" s="94" t="s">
        <v>248</v>
      </c>
      <c r="B7" s="98" t="s">
        <v>247</v>
      </c>
      <c r="C7" s="97"/>
    </row>
    <row r="8" spans="1:15" ht="45">
      <c r="A8" s="94" t="s">
        <v>249</v>
      </c>
      <c r="B8" s="98" t="s">
        <v>247</v>
      </c>
      <c r="C8" s="97"/>
    </row>
    <row r="9" spans="1:15" ht="89.45" customHeight="1">
      <c r="A9" s="94" t="s">
        <v>250</v>
      </c>
      <c r="B9" s="318"/>
      <c r="C9" s="319"/>
      <c r="E9" s="313" t="s">
        <v>251</v>
      </c>
      <c r="F9" s="312"/>
      <c r="G9" s="312"/>
      <c r="H9" s="312"/>
      <c r="I9" s="312"/>
      <c r="J9" s="312"/>
      <c r="K9" s="312"/>
      <c r="L9" s="312"/>
      <c r="M9" s="312"/>
      <c r="N9" s="312"/>
      <c r="O9" s="312"/>
    </row>
    <row r="10" spans="1:15" ht="8.65" customHeight="1">
      <c r="A10" s="95"/>
      <c r="B10" s="96"/>
      <c r="C10" s="96"/>
    </row>
    <row r="11" spans="1:15">
      <c r="A11" s="320" t="s">
        <v>252</v>
      </c>
      <c r="B11" s="317"/>
      <c r="C11" s="317"/>
    </row>
    <row r="12" spans="1:15" ht="33.4" customHeight="1">
      <c r="A12" s="94" t="s">
        <v>253</v>
      </c>
      <c r="B12" s="98" t="s">
        <v>247</v>
      </c>
      <c r="C12" s="97"/>
    </row>
    <row r="13" spans="1:15" ht="101.45" customHeight="1">
      <c r="A13" s="94" t="s">
        <v>254</v>
      </c>
      <c r="B13" s="314"/>
      <c r="C13" s="315"/>
      <c r="E13" s="220" t="s">
        <v>255</v>
      </c>
      <c r="F13" s="312"/>
      <c r="G13" s="312"/>
      <c r="H13" s="312"/>
      <c r="I13" s="312"/>
      <c r="J13" s="312"/>
      <c r="K13" s="312"/>
      <c r="L13" s="312"/>
      <c r="M13" s="312"/>
      <c r="N13" s="312"/>
      <c r="O13" s="312"/>
    </row>
    <row r="14" spans="1:15" ht="58.9" customHeight="1">
      <c r="A14" s="94" t="s">
        <v>256</v>
      </c>
      <c r="B14" s="99" t="s">
        <v>257</v>
      </c>
      <c r="C14" s="97"/>
    </row>
    <row r="15" spans="1:15" ht="6.4" customHeight="1">
      <c r="A15" s="95"/>
      <c r="B15" s="96"/>
      <c r="C15" s="96"/>
    </row>
    <row r="16" spans="1:15" ht="39" customHeight="1">
      <c r="A16" s="316" t="s">
        <v>258</v>
      </c>
      <c r="B16" s="317"/>
      <c r="C16" s="317"/>
    </row>
    <row r="17" spans="1:15" ht="49.15" customHeight="1">
      <c r="A17" s="94" t="s">
        <v>259</v>
      </c>
      <c r="B17" s="98" t="s">
        <v>131</v>
      </c>
      <c r="C17" s="97"/>
    </row>
    <row r="18" spans="1:15" ht="103.15" customHeight="1">
      <c r="A18" s="94" t="s">
        <v>260</v>
      </c>
      <c r="B18" s="314"/>
      <c r="C18" s="315"/>
      <c r="E18" s="220" t="s">
        <v>261</v>
      </c>
      <c r="F18" s="312"/>
      <c r="G18" s="312"/>
      <c r="H18" s="312"/>
      <c r="I18" s="312"/>
      <c r="J18" s="312"/>
      <c r="K18" s="312"/>
      <c r="L18" s="312"/>
      <c r="M18" s="312"/>
      <c r="N18" s="312"/>
      <c r="O18" s="312"/>
    </row>
    <row r="19" spans="1:15" ht="34.15" customHeight="1">
      <c r="A19" s="94" t="s">
        <v>262</v>
      </c>
      <c r="B19" s="98" t="s">
        <v>131</v>
      </c>
      <c r="C19" s="97"/>
    </row>
    <row r="20" spans="1:15" ht="92.45" customHeight="1">
      <c r="A20" s="94" t="s">
        <v>263</v>
      </c>
      <c r="B20" s="314"/>
      <c r="C20" s="315"/>
      <c r="E20" s="220" t="s">
        <v>264</v>
      </c>
      <c r="F20" s="312"/>
      <c r="G20" s="312"/>
      <c r="H20" s="312"/>
      <c r="I20" s="312"/>
      <c r="J20" s="312"/>
      <c r="K20" s="312"/>
      <c r="L20" s="312"/>
      <c r="M20" s="312"/>
      <c r="N20" s="312"/>
      <c r="O20" s="312"/>
    </row>
    <row r="21" spans="1:15" ht="10.15" customHeight="1"/>
    <row r="22" spans="1:15">
      <c r="A22" s="93" t="s">
        <v>265</v>
      </c>
    </row>
    <row r="23" spans="1:15">
      <c r="A23" s="278"/>
      <c r="B23" s="278"/>
      <c r="C23" s="278"/>
    </row>
    <row r="24" spans="1:15" ht="64.900000000000006" customHeight="1">
      <c r="A24" s="278"/>
      <c r="B24" s="278"/>
      <c r="C24" s="278"/>
    </row>
  </sheetData>
  <mergeCells count="12">
    <mergeCell ref="A23:C24"/>
    <mergeCell ref="A5:C5"/>
    <mergeCell ref="B9:C9"/>
    <mergeCell ref="A11:C11"/>
    <mergeCell ref="B13:C13"/>
    <mergeCell ref="A16:C16"/>
    <mergeCell ref="B18:C18"/>
    <mergeCell ref="E20:O20"/>
    <mergeCell ref="E18:O18"/>
    <mergeCell ref="E13:O13"/>
    <mergeCell ref="E9:O9"/>
    <mergeCell ref="B20:C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320040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workbookViewId="0"/>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3" t="str">
        <f>+'Cover Page'!$B$29</f>
        <v>Annual Performance Report 2022</v>
      </c>
      <c r="B1" s="93"/>
      <c r="C1" s="93"/>
      <c r="D1" s="93"/>
      <c r="E1" s="93" t="str">
        <f>+'Cover Page'!$B$33</f>
        <v>EPR Thetford Power Station</v>
      </c>
      <c r="F1" s="93"/>
      <c r="G1" s="93"/>
    </row>
    <row r="3" spans="1:7" ht="15.6">
      <c r="A3" s="1" t="s">
        <v>266</v>
      </c>
      <c r="B3" s="93"/>
      <c r="C3" s="93"/>
      <c r="D3" s="93"/>
      <c r="E3" s="93"/>
      <c r="F3" s="93"/>
      <c r="G3" s="93"/>
    </row>
    <row r="4" spans="1:7" ht="15.6">
      <c r="A4" s="1"/>
      <c r="B4" s="93"/>
      <c r="C4" s="93"/>
      <c r="D4" s="93"/>
      <c r="E4" s="93"/>
      <c r="F4" s="93"/>
      <c r="G4" s="93"/>
    </row>
    <row r="5" spans="1:7" s="3" customFormat="1" ht="21.75" customHeight="1">
      <c r="A5" s="48" t="s">
        <v>267</v>
      </c>
      <c r="B5" s="49"/>
      <c r="C5" s="49"/>
      <c r="D5" s="49"/>
      <c r="E5" s="49"/>
      <c r="F5" s="49"/>
      <c r="G5" s="50"/>
    </row>
    <row r="6" spans="1:7" s="3" customFormat="1" ht="15.75" customHeight="1">
      <c r="A6" s="311"/>
      <c r="B6" s="212"/>
      <c r="C6" s="212"/>
      <c r="D6" s="212"/>
      <c r="E6" s="212"/>
      <c r="F6" s="212"/>
      <c r="G6" s="213"/>
    </row>
    <row r="7" spans="1:7" s="3" customFormat="1" ht="15.75" customHeight="1">
      <c r="A7" s="217"/>
      <c r="B7" s="218"/>
      <c r="C7" s="218"/>
      <c r="D7" s="218"/>
      <c r="E7" s="218"/>
      <c r="F7" s="218"/>
      <c r="G7" s="219"/>
    </row>
    <row r="8" spans="1:7" s="3" customFormat="1" ht="15.75" customHeight="1">
      <c r="A8" s="203"/>
      <c r="B8" s="204"/>
      <c r="C8" s="204"/>
      <c r="D8" s="204"/>
      <c r="E8" s="204"/>
      <c r="F8" s="204"/>
      <c r="G8" s="205"/>
    </row>
    <row r="9" spans="1:7" s="3" customFormat="1" ht="15.75" customHeight="1">
      <c r="A9" s="209"/>
      <c r="B9" s="210"/>
      <c r="C9" s="210"/>
      <c r="D9" s="210"/>
      <c r="E9" s="210"/>
      <c r="F9" s="210"/>
      <c r="G9" s="211"/>
    </row>
    <row r="10" spans="1:7" s="3" customFormat="1" ht="15.75" customHeight="1">
      <c r="A10" s="203"/>
      <c r="B10" s="204"/>
      <c r="C10" s="204"/>
      <c r="D10" s="204"/>
      <c r="E10" s="204"/>
      <c r="F10" s="204"/>
      <c r="G10" s="205"/>
    </row>
    <row r="11" spans="1:7" s="3" customFormat="1" ht="15.75" customHeight="1">
      <c r="A11" s="209"/>
      <c r="B11" s="210"/>
      <c r="C11" s="210"/>
      <c r="D11" s="210"/>
      <c r="E11" s="210"/>
      <c r="F11" s="210"/>
      <c r="G11" s="211"/>
    </row>
    <row r="12" spans="1:7" s="3" customFormat="1" ht="13.9"/>
    <row r="13" spans="1:7" s="47" customFormat="1" ht="33.75" customHeight="1">
      <c r="A13" s="296" t="s">
        <v>268</v>
      </c>
      <c r="B13" s="297"/>
      <c r="C13" s="297"/>
      <c r="D13" s="297"/>
      <c r="E13" s="297"/>
      <c r="F13" s="297"/>
      <c r="G13" s="298"/>
    </row>
    <row r="14" spans="1:7" ht="15.75" customHeight="1">
      <c r="A14" s="308" t="s">
        <v>269</v>
      </c>
      <c r="B14" s="310"/>
      <c r="C14" s="308" t="s">
        <v>241</v>
      </c>
      <c r="D14" s="309"/>
      <c r="E14" s="309"/>
      <c r="F14" s="309"/>
      <c r="G14" s="309"/>
    </row>
    <row r="15" spans="1:7" ht="15.75" customHeight="1">
      <c r="A15" s="203"/>
      <c r="B15" s="205"/>
      <c r="C15" s="311"/>
      <c r="D15" s="212"/>
      <c r="E15" s="212"/>
      <c r="F15" s="212"/>
      <c r="G15" s="213"/>
    </row>
    <row r="16" spans="1:7" ht="15.75" customHeight="1">
      <c r="A16" s="209"/>
      <c r="B16" s="211"/>
      <c r="C16" s="217"/>
      <c r="D16" s="218"/>
      <c r="E16" s="218"/>
      <c r="F16" s="218"/>
      <c r="G16" s="219"/>
    </row>
    <row r="17" spans="1:11" ht="15.75" customHeight="1">
      <c r="A17" s="311"/>
      <c r="B17" s="213"/>
      <c r="C17" s="311"/>
      <c r="D17" s="212"/>
      <c r="E17" s="212"/>
      <c r="F17" s="212"/>
      <c r="G17" s="213"/>
      <c r="H17" s="93"/>
      <c r="I17" s="93"/>
      <c r="J17" s="93"/>
      <c r="K17" s="93"/>
    </row>
    <row r="18" spans="1:11" ht="15.75" customHeight="1">
      <c r="A18" s="217"/>
      <c r="B18" s="219"/>
      <c r="C18" s="217"/>
      <c r="D18" s="218"/>
      <c r="E18" s="218"/>
      <c r="F18" s="218"/>
      <c r="G18" s="219"/>
      <c r="H18" s="93"/>
      <c r="I18" s="93"/>
      <c r="J18" s="93"/>
      <c r="K18" s="93"/>
    </row>
    <row r="19" spans="1:11" ht="15.75" customHeight="1">
      <c r="A19" s="311"/>
      <c r="B19" s="213"/>
      <c r="C19" s="311"/>
      <c r="D19" s="212"/>
      <c r="E19" s="212"/>
      <c r="F19" s="212"/>
      <c r="G19" s="213"/>
      <c r="H19" s="93"/>
      <c r="I19" s="93"/>
      <c r="J19" s="93"/>
      <c r="K19" s="93"/>
    </row>
    <row r="20" spans="1:11" ht="15.75" customHeight="1">
      <c r="A20" s="217"/>
      <c r="B20" s="219"/>
      <c r="C20" s="217"/>
      <c r="D20" s="218"/>
      <c r="E20" s="218"/>
      <c r="F20" s="218"/>
      <c r="G20" s="219"/>
      <c r="H20" s="93"/>
      <c r="I20" s="93"/>
      <c r="J20" s="93"/>
      <c r="K20" s="93"/>
    </row>
    <row r="21" spans="1:11" ht="15.75" customHeight="1">
      <c r="A21" s="311"/>
      <c r="B21" s="213"/>
      <c r="C21" s="311"/>
      <c r="D21" s="212"/>
      <c r="E21" s="212"/>
      <c r="F21" s="212"/>
      <c r="G21" s="213"/>
      <c r="H21" s="93"/>
      <c r="I21" s="93"/>
      <c r="J21" s="93"/>
      <c r="K21" s="93"/>
    </row>
    <row r="22" spans="1:11" ht="15.75" customHeight="1">
      <c r="A22" s="217"/>
      <c r="B22" s="219"/>
      <c r="C22" s="217"/>
      <c r="D22" s="218"/>
      <c r="E22" s="218"/>
      <c r="F22" s="218"/>
      <c r="G22" s="219"/>
      <c r="H22" s="93"/>
      <c r="I22" s="93"/>
      <c r="J22" s="93"/>
      <c r="K22" s="93"/>
    </row>
    <row r="23" spans="1:11" ht="15.75" customHeight="1">
      <c r="A23" s="311"/>
      <c r="B23" s="213"/>
      <c r="C23" s="311"/>
      <c r="D23" s="212"/>
      <c r="E23" s="212"/>
      <c r="F23" s="212"/>
      <c r="G23" s="213"/>
      <c r="H23" s="93"/>
      <c r="I23" s="93"/>
      <c r="J23" s="93"/>
      <c r="K23" s="93"/>
    </row>
    <row r="24" spans="1:11" ht="15.75" customHeight="1">
      <c r="A24" s="217"/>
      <c r="B24" s="219"/>
      <c r="C24" s="217"/>
      <c r="D24" s="218"/>
      <c r="E24" s="218"/>
      <c r="F24" s="218"/>
      <c r="G24" s="219"/>
      <c r="H24" s="93"/>
      <c r="I24" s="93"/>
      <c r="J24" s="93"/>
      <c r="K24" s="93"/>
    </row>
    <row r="26" spans="1:11">
      <c r="A26" s="119"/>
      <c r="B26" s="119"/>
      <c r="C26" s="119"/>
      <c r="D26" s="119"/>
      <c r="E26" s="119"/>
      <c r="F26" s="119"/>
      <c r="G26" s="119"/>
      <c r="H26" s="93"/>
      <c r="I26" s="93"/>
      <c r="J26" s="93"/>
      <c r="K26" s="93"/>
    </row>
    <row r="27" spans="1:11" s="56" customFormat="1" ht="16.5" customHeight="1">
      <c r="A27" s="321" t="s">
        <v>270</v>
      </c>
      <c r="B27" s="321"/>
      <c r="C27" s="321"/>
      <c r="D27" s="321"/>
      <c r="E27" s="321"/>
      <c r="F27" s="321"/>
      <c r="G27" s="321"/>
    </row>
    <row r="28" spans="1:11" s="12" customFormat="1" ht="17.25" customHeight="1">
      <c r="A28" s="323" t="s">
        <v>271</v>
      </c>
      <c r="B28" s="323"/>
      <c r="C28" s="290" t="s">
        <v>272</v>
      </c>
      <c r="D28" s="290" t="s">
        <v>273</v>
      </c>
      <c r="E28" s="290"/>
      <c r="F28" s="290"/>
      <c r="G28" s="290"/>
      <c r="H28" s="119"/>
      <c r="I28" s="119"/>
      <c r="J28" s="119"/>
      <c r="K28" s="119"/>
    </row>
    <row r="29" spans="1:11" s="12" customFormat="1" ht="17.25" customHeight="1">
      <c r="A29" s="323"/>
      <c r="B29" s="323"/>
      <c r="C29" s="290"/>
      <c r="D29" s="290" t="s">
        <v>274</v>
      </c>
      <c r="E29" s="290"/>
      <c r="F29" s="290" t="s">
        <v>163</v>
      </c>
      <c r="G29" s="290"/>
      <c r="H29" s="119"/>
      <c r="I29" s="119"/>
      <c r="J29" s="119"/>
      <c r="K29" s="119"/>
    </row>
    <row r="30" spans="1:11" s="37" customFormat="1" ht="38.1" customHeight="1">
      <c r="A30" s="230" t="s">
        <v>275</v>
      </c>
      <c r="B30" s="230"/>
      <c r="C30" s="169" t="s">
        <v>276</v>
      </c>
      <c r="D30" s="276"/>
      <c r="E30" s="276"/>
      <c r="F30" s="324"/>
      <c r="G30" s="325"/>
      <c r="H30" s="164"/>
      <c r="I30" s="164"/>
      <c r="J30" s="119"/>
      <c r="K30" s="119"/>
    </row>
    <row r="31" spans="1:11" s="37" customFormat="1" ht="38.1" customHeight="1">
      <c r="A31" s="230" t="s">
        <v>277</v>
      </c>
      <c r="B31" s="230"/>
      <c r="C31" s="102" t="s">
        <v>278</v>
      </c>
      <c r="D31" s="276"/>
      <c r="E31" s="276"/>
      <c r="F31" s="324"/>
      <c r="G31" s="325"/>
      <c r="H31" s="164"/>
      <c r="I31" s="164"/>
      <c r="J31" s="119"/>
      <c r="K31" s="119"/>
    </row>
    <row r="32" spans="1:11" s="37" customFormat="1" ht="38.1" customHeight="1">
      <c r="A32" s="230" t="s">
        <v>279</v>
      </c>
      <c r="B32" s="230"/>
      <c r="C32" s="102" t="s">
        <v>280</v>
      </c>
      <c r="D32" s="276"/>
      <c r="E32" s="276"/>
      <c r="F32" s="326"/>
      <c r="G32" s="327"/>
      <c r="H32" s="164"/>
      <c r="I32" s="164"/>
      <c r="J32" s="119"/>
      <c r="K32" s="119"/>
    </row>
    <row r="33" spans="1:7" s="37" customFormat="1" ht="38.1" customHeight="1">
      <c r="A33" s="230" t="s">
        <v>281</v>
      </c>
      <c r="B33" s="230"/>
      <c r="C33" s="102" t="s">
        <v>280</v>
      </c>
      <c r="D33" s="276"/>
      <c r="E33" s="276"/>
      <c r="F33" s="324"/>
      <c r="G33" s="325"/>
    </row>
    <row r="35" spans="1:7">
      <c r="A35" s="261" t="s">
        <v>282</v>
      </c>
      <c r="B35" s="261"/>
      <c r="C35" s="261"/>
      <c r="D35" s="261"/>
      <c r="E35" s="261"/>
      <c r="F35" s="261"/>
      <c r="G35" s="261"/>
    </row>
    <row r="36" spans="1:7">
      <c r="A36" s="322"/>
      <c r="B36" s="322"/>
      <c r="C36" s="322"/>
      <c r="D36" s="322"/>
      <c r="E36" s="322"/>
      <c r="F36" s="322"/>
      <c r="G36" s="322"/>
    </row>
    <row r="37" spans="1:7">
      <c r="A37" s="322"/>
      <c r="B37" s="322"/>
      <c r="C37" s="322"/>
      <c r="D37" s="322"/>
      <c r="E37" s="322"/>
      <c r="F37" s="322"/>
      <c r="G37" s="322"/>
    </row>
    <row r="38" spans="1:7">
      <c r="A38" s="322"/>
      <c r="B38" s="322"/>
      <c r="C38" s="322"/>
      <c r="D38" s="322"/>
      <c r="E38" s="322"/>
      <c r="F38" s="322"/>
      <c r="G38" s="322"/>
    </row>
    <row r="39" spans="1:7">
      <c r="A39" s="322"/>
      <c r="B39" s="322"/>
      <c r="C39" s="322"/>
      <c r="D39" s="322"/>
      <c r="E39" s="322"/>
      <c r="F39" s="322"/>
      <c r="G39" s="322"/>
    </row>
    <row r="40" spans="1:7">
      <c r="A40" s="322"/>
      <c r="B40" s="322"/>
      <c r="C40" s="322"/>
      <c r="D40" s="322"/>
      <c r="E40" s="322"/>
      <c r="F40" s="322"/>
      <c r="G40" s="322"/>
    </row>
    <row r="41" spans="1:7">
      <c r="A41" s="322"/>
      <c r="B41" s="322"/>
      <c r="C41" s="322"/>
      <c r="D41" s="322"/>
      <c r="E41" s="322"/>
      <c r="F41" s="322"/>
      <c r="G41" s="322"/>
    </row>
    <row r="56" spans="6:6">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topLeftCell="A3" workbookViewId="0">
      <selection activeCell="Q14" sqref="Q14"/>
    </sheetView>
  </sheetViews>
  <sheetFormatPr defaultColWidth="9.28515625" defaultRowHeight="15"/>
  <cols>
    <col min="1" max="1" width="9.28515625" style="2" customWidth="1"/>
    <col min="2" max="2" width="14.5703125" style="2" bestFit="1" customWidth="1"/>
    <col min="3" max="3" width="9.28515625" style="2"/>
    <col min="4" max="4" width="13.140625" style="2" customWidth="1"/>
    <col min="5" max="5" width="15.140625" style="2" customWidth="1"/>
    <col min="6" max="6" width="10.42578125" style="2" customWidth="1"/>
    <col min="7" max="8" width="9.28515625" style="2"/>
    <col min="9" max="9" width="11.5703125" style="2" customWidth="1"/>
    <col min="10" max="16384" width="9.28515625" style="2"/>
  </cols>
  <sheetData>
    <row r="1" spans="1:10">
      <c r="A1" s="93" t="str">
        <f>+'Cover Page'!$B$29</f>
        <v>Annual Performance Report 2022</v>
      </c>
      <c r="B1" s="93"/>
      <c r="C1" s="93"/>
      <c r="D1" s="93"/>
      <c r="E1" s="93" t="str">
        <f>+'Cover Page'!$B$33</f>
        <v>EPR Thetford Power Station</v>
      </c>
      <c r="F1" s="93"/>
      <c r="G1" s="93"/>
      <c r="H1" s="93"/>
      <c r="I1" s="93"/>
      <c r="J1" s="93"/>
    </row>
    <row r="3" spans="1:10" ht="15.6">
      <c r="A3" s="1" t="s">
        <v>39</v>
      </c>
      <c r="B3" s="93"/>
      <c r="C3" s="93"/>
      <c r="D3" s="93"/>
      <c r="E3" s="93"/>
      <c r="F3" s="93"/>
      <c r="G3" s="93"/>
      <c r="H3" s="93"/>
      <c r="I3" s="93"/>
      <c r="J3" s="93"/>
    </row>
    <row r="4" spans="1:10" ht="15.6">
      <c r="A4" s="1"/>
      <c r="B4" s="93"/>
      <c r="C4" s="93"/>
      <c r="D4" s="93"/>
      <c r="E4" s="93"/>
      <c r="F4" s="93"/>
      <c r="G4" s="93"/>
      <c r="H4" s="93"/>
      <c r="I4" s="93"/>
      <c r="J4" s="93"/>
    </row>
    <row r="5" spans="1:10" s="3" customFormat="1" ht="21.75" customHeight="1">
      <c r="A5" s="48" t="s">
        <v>267</v>
      </c>
      <c r="B5" s="49"/>
      <c r="C5" s="49"/>
      <c r="D5" s="49"/>
      <c r="E5" s="49"/>
      <c r="F5" s="49"/>
      <c r="G5" s="49"/>
      <c r="H5" s="49"/>
      <c r="I5" s="50"/>
    </row>
    <row r="6" spans="1:10" s="3" customFormat="1" ht="15.75" customHeight="1">
      <c r="A6" s="203" t="s">
        <v>283</v>
      </c>
      <c r="B6" s="204"/>
      <c r="C6" s="204"/>
      <c r="D6" s="204"/>
      <c r="E6" s="204"/>
      <c r="F6" s="204"/>
      <c r="G6" s="204"/>
      <c r="H6" s="204"/>
      <c r="I6" s="204"/>
      <c r="J6" s="205"/>
    </row>
    <row r="7" spans="1:10" s="3" customFormat="1" ht="15.75" customHeight="1">
      <c r="A7" s="209"/>
      <c r="B7" s="210"/>
      <c r="C7" s="210"/>
      <c r="D7" s="210"/>
      <c r="E7" s="210"/>
      <c r="F7" s="210"/>
      <c r="G7" s="210"/>
      <c r="H7" s="210"/>
      <c r="I7" s="210"/>
      <c r="J7" s="211"/>
    </row>
    <row r="8" spans="1:10" s="3" customFormat="1" ht="15.75" customHeight="1">
      <c r="A8" s="203" t="s">
        <v>284</v>
      </c>
      <c r="B8" s="204"/>
      <c r="C8" s="204"/>
      <c r="D8" s="204"/>
      <c r="E8" s="204"/>
      <c r="F8" s="204"/>
      <c r="G8" s="204"/>
      <c r="H8" s="204"/>
      <c r="I8" s="204"/>
      <c r="J8" s="205"/>
    </row>
    <row r="9" spans="1:10" s="3" customFormat="1" ht="15.75" customHeight="1">
      <c r="A9" s="209"/>
      <c r="B9" s="210"/>
      <c r="C9" s="210"/>
      <c r="D9" s="210"/>
      <c r="E9" s="210"/>
      <c r="F9" s="210"/>
      <c r="G9" s="210"/>
      <c r="H9" s="210"/>
      <c r="I9" s="210"/>
      <c r="J9" s="211"/>
    </row>
    <row r="10" spans="1:10" s="3" customFormat="1" ht="15.75" customHeight="1">
      <c r="A10" s="203" t="s">
        <v>285</v>
      </c>
      <c r="B10" s="204"/>
      <c r="C10" s="204"/>
      <c r="D10" s="204"/>
      <c r="E10" s="204"/>
      <c r="F10" s="204"/>
      <c r="G10" s="204"/>
      <c r="H10" s="204"/>
      <c r="I10" s="204"/>
      <c r="J10" s="205"/>
    </row>
    <row r="11" spans="1:10" s="3" customFormat="1" ht="15.75" customHeight="1">
      <c r="A11" s="209"/>
      <c r="B11" s="210"/>
      <c r="C11" s="210"/>
      <c r="D11" s="210"/>
      <c r="E11" s="210"/>
      <c r="F11" s="210"/>
      <c r="G11" s="210"/>
      <c r="H11" s="210"/>
      <c r="I11" s="210"/>
      <c r="J11" s="211"/>
    </row>
    <row r="12" spans="1:10" s="3" customFormat="1" ht="13.9"/>
    <row r="13" spans="1:10" s="47" customFormat="1" ht="33.75" customHeight="1">
      <c r="A13" s="328" t="s">
        <v>268</v>
      </c>
      <c r="B13" s="329"/>
      <c r="C13" s="329"/>
      <c r="D13" s="329"/>
      <c r="E13" s="329"/>
      <c r="F13" s="329"/>
      <c r="G13" s="329"/>
      <c r="H13" s="329"/>
      <c r="I13" s="329"/>
      <c r="J13" s="329"/>
    </row>
    <row r="14" spans="1:10" ht="15.75" customHeight="1">
      <c r="A14" s="308" t="s">
        <v>269</v>
      </c>
      <c r="B14" s="310"/>
      <c r="C14" s="330" t="s">
        <v>241</v>
      </c>
      <c r="D14" s="331"/>
      <c r="E14" s="331"/>
      <c r="F14" s="331"/>
      <c r="G14" s="331"/>
      <c r="H14" s="331"/>
      <c r="I14" s="331"/>
      <c r="J14" s="332"/>
    </row>
    <row r="15" spans="1:10" ht="15.75" customHeight="1">
      <c r="A15" s="203"/>
      <c r="B15" s="205"/>
      <c r="C15" s="340"/>
      <c r="D15" s="341"/>
      <c r="E15" s="341"/>
      <c r="F15" s="341"/>
      <c r="G15" s="341"/>
      <c r="H15" s="341"/>
      <c r="I15" s="341"/>
      <c r="J15" s="342"/>
    </row>
    <row r="16" spans="1:10" ht="15.75" customHeight="1">
      <c r="A16" s="209"/>
      <c r="B16" s="211"/>
      <c r="C16" s="343"/>
      <c r="D16" s="344"/>
      <c r="E16" s="344"/>
      <c r="F16" s="344"/>
      <c r="G16" s="344"/>
      <c r="H16" s="344"/>
      <c r="I16" s="344"/>
      <c r="J16" s="345"/>
    </row>
    <row r="17" spans="1:10" ht="15.75" customHeight="1">
      <c r="A17" s="311"/>
      <c r="B17" s="213"/>
      <c r="C17" s="340"/>
      <c r="D17" s="341"/>
      <c r="E17" s="341"/>
      <c r="F17" s="341"/>
      <c r="G17" s="341"/>
      <c r="H17" s="341"/>
      <c r="I17" s="341"/>
      <c r="J17" s="342"/>
    </row>
    <row r="18" spans="1:10" ht="15.75" customHeight="1">
      <c r="A18" s="217"/>
      <c r="B18" s="219"/>
      <c r="C18" s="343"/>
      <c r="D18" s="344"/>
      <c r="E18" s="344"/>
      <c r="F18" s="344"/>
      <c r="G18" s="344"/>
      <c r="H18" s="344"/>
      <c r="I18" s="344"/>
      <c r="J18" s="345"/>
    </row>
    <row r="19" spans="1:10" ht="15.75" customHeight="1">
      <c r="A19" s="311"/>
      <c r="B19" s="213"/>
      <c r="C19" s="340"/>
      <c r="D19" s="341"/>
      <c r="E19" s="341"/>
      <c r="F19" s="341"/>
      <c r="G19" s="341"/>
      <c r="H19" s="341"/>
      <c r="I19" s="341"/>
      <c r="J19" s="342"/>
    </row>
    <row r="20" spans="1:10" ht="15.75" customHeight="1">
      <c r="A20" s="217"/>
      <c r="B20" s="219"/>
      <c r="C20" s="343"/>
      <c r="D20" s="344"/>
      <c r="E20" s="344"/>
      <c r="F20" s="344"/>
      <c r="G20" s="344"/>
      <c r="H20" s="344"/>
      <c r="I20" s="344"/>
      <c r="J20" s="345"/>
    </row>
    <row r="22" spans="1:10" ht="22.5" customHeight="1">
      <c r="A22" s="333" t="s">
        <v>286</v>
      </c>
      <c r="B22" s="334"/>
      <c r="C22" s="334"/>
      <c r="D22" s="334"/>
      <c r="E22" s="334"/>
      <c r="F22" s="334"/>
      <c r="G22" s="334"/>
      <c r="H22" s="334"/>
      <c r="I22" s="334"/>
      <c r="J22" s="93"/>
    </row>
    <row r="23" spans="1:10" ht="19.5" customHeight="1">
      <c r="A23" s="335" t="s">
        <v>184</v>
      </c>
      <c r="B23" s="336"/>
      <c r="C23" s="337"/>
      <c r="D23" s="338" t="s">
        <v>287</v>
      </c>
      <c r="E23" s="339"/>
      <c r="F23" s="54" t="s">
        <v>272</v>
      </c>
      <c r="G23" s="54" t="s">
        <v>288</v>
      </c>
      <c r="H23" s="54" t="s">
        <v>289</v>
      </c>
      <c r="I23" s="54" t="s">
        <v>290</v>
      </c>
      <c r="J23" s="93"/>
    </row>
    <row r="24" spans="1:10" ht="15" customHeight="1">
      <c r="A24" s="346" t="s">
        <v>291</v>
      </c>
      <c r="B24" s="347"/>
      <c r="C24" s="348"/>
      <c r="D24" s="326" t="s">
        <v>292</v>
      </c>
      <c r="E24" s="349"/>
      <c r="F24" s="104" t="s">
        <v>293</v>
      </c>
      <c r="G24" s="103"/>
      <c r="H24" s="103"/>
      <c r="I24" s="103"/>
      <c r="J24" s="93"/>
    </row>
    <row r="25" spans="1:10" ht="15" customHeight="1">
      <c r="A25" s="346" t="s">
        <v>294</v>
      </c>
      <c r="B25" s="347"/>
      <c r="C25" s="348"/>
      <c r="D25" s="326" t="s">
        <v>292</v>
      </c>
      <c r="E25" s="349"/>
      <c r="F25" s="103" t="s">
        <v>295</v>
      </c>
      <c r="G25" s="103"/>
      <c r="H25" s="103"/>
      <c r="I25" s="103"/>
      <c r="J25" s="93"/>
    </row>
    <row r="26" spans="1:10" ht="15" customHeight="1">
      <c r="A26" s="346" t="s">
        <v>296</v>
      </c>
      <c r="B26" s="347"/>
      <c r="C26" s="348"/>
      <c r="D26" s="326" t="s">
        <v>292</v>
      </c>
      <c r="E26" s="349"/>
      <c r="F26" s="103" t="s">
        <v>297</v>
      </c>
      <c r="G26" s="103"/>
      <c r="H26" s="103"/>
      <c r="I26" s="103"/>
      <c r="J26" s="93"/>
    </row>
    <row r="27" spans="1:10" ht="15" customHeight="1">
      <c r="A27" s="346" t="s">
        <v>298</v>
      </c>
      <c r="B27" s="347"/>
      <c r="C27" s="348"/>
      <c r="D27" s="326" t="s">
        <v>299</v>
      </c>
      <c r="E27" s="349"/>
      <c r="F27" s="103" t="s">
        <v>300</v>
      </c>
      <c r="G27" s="103"/>
      <c r="H27" s="103"/>
      <c r="I27" s="103"/>
      <c r="J27" s="93"/>
    </row>
    <row r="28" spans="1:10" ht="15" customHeight="1">
      <c r="A28" s="350" t="s">
        <v>301</v>
      </c>
      <c r="B28" s="351"/>
      <c r="C28" s="352"/>
      <c r="D28" s="326" t="s">
        <v>299</v>
      </c>
      <c r="E28" s="349"/>
      <c r="F28" s="103" t="s">
        <v>302</v>
      </c>
      <c r="G28" s="103"/>
      <c r="H28" s="103"/>
      <c r="I28" s="103"/>
      <c r="J28" s="93"/>
    </row>
    <row r="29" spans="1:10" ht="15" customHeight="1">
      <c r="A29" s="350" t="s">
        <v>303</v>
      </c>
      <c r="B29" s="351"/>
      <c r="C29" s="352"/>
      <c r="D29" s="326" t="s">
        <v>299</v>
      </c>
      <c r="E29" s="349"/>
      <c r="F29" s="103" t="s">
        <v>304</v>
      </c>
      <c r="G29" s="103"/>
      <c r="H29" s="103"/>
      <c r="I29" s="103"/>
      <c r="J29" s="93"/>
    </row>
    <row r="30" spans="1:10" ht="15" customHeight="1">
      <c r="A30" s="350" t="s">
        <v>305</v>
      </c>
      <c r="B30" s="351"/>
      <c r="C30" s="352"/>
      <c r="D30" s="326" t="s">
        <v>299</v>
      </c>
      <c r="E30" s="349"/>
      <c r="F30" s="103" t="s">
        <v>306</v>
      </c>
      <c r="G30" s="103"/>
      <c r="H30" s="103"/>
      <c r="I30" s="103"/>
      <c r="J30" s="93"/>
    </row>
    <row r="31" spans="1:10" ht="15" customHeight="1">
      <c r="A31" s="350" t="s">
        <v>307</v>
      </c>
      <c r="B31" s="351"/>
      <c r="C31" s="352"/>
      <c r="D31" s="326" t="s">
        <v>299</v>
      </c>
      <c r="E31" s="349"/>
      <c r="F31" s="103" t="s">
        <v>308</v>
      </c>
      <c r="G31" s="103"/>
      <c r="H31" s="103"/>
      <c r="I31" s="103"/>
      <c r="J31" s="93"/>
    </row>
    <row r="32" spans="1:10" ht="15" customHeight="1">
      <c r="A32" s="350" t="s">
        <v>309</v>
      </c>
      <c r="B32" s="351"/>
      <c r="C32" s="352"/>
      <c r="D32" s="326" t="s">
        <v>299</v>
      </c>
      <c r="E32" s="349"/>
      <c r="F32" s="103" t="s">
        <v>310</v>
      </c>
      <c r="G32" s="103"/>
      <c r="H32" s="103"/>
      <c r="I32" s="103"/>
      <c r="J32" s="93"/>
    </row>
    <row r="33" spans="1:9" ht="15" customHeight="1">
      <c r="A33" s="350" t="s">
        <v>311</v>
      </c>
      <c r="B33" s="351"/>
      <c r="C33" s="352"/>
      <c r="D33" s="326" t="s">
        <v>299</v>
      </c>
      <c r="E33" s="349"/>
      <c r="F33" s="103" t="s">
        <v>312</v>
      </c>
      <c r="G33" s="103"/>
      <c r="H33" s="103"/>
      <c r="I33" s="103"/>
    </row>
    <row r="34" spans="1:9">
      <c r="A34" s="350" t="s">
        <v>313</v>
      </c>
      <c r="B34" s="351"/>
      <c r="C34" s="352"/>
      <c r="D34" s="326" t="s">
        <v>314</v>
      </c>
      <c r="E34" s="349"/>
      <c r="F34" s="103" t="s">
        <v>315</v>
      </c>
      <c r="G34" s="103"/>
      <c r="H34" s="103"/>
      <c r="I34" s="103"/>
    </row>
    <row r="66" spans="5:5">
      <c r="E66" s="3"/>
    </row>
  </sheetData>
  <mergeCells count="37">
    <mergeCell ref="D31:E31"/>
    <mergeCell ref="D32:E32"/>
    <mergeCell ref="A34:C34"/>
    <mergeCell ref="D33:E33"/>
    <mergeCell ref="D34:E34"/>
    <mergeCell ref="A31:C31"/>
    <mergeCell ref="A32:C32"/>
    <mergeCell ref="A33:C33"/>
    <mergeCell ref="A30:C30"/>
    <mergeCell ref="D30:E30"/>
    <mergeCell ref="A27:C27"/>
    <mergeCell ref="D27:E27"/>
    <mergeCell ref="A28:C28"/>
    <mergeCell ref="D28:E28"/>
    <mergeCell ref="A29:C29"/>
    <mergeCell ref="D29:E29"/>
    <mergeCell ref="A24:C24"/>
    <mergeCell ref="D24:E24"/>
    <mergeCell ref="A25:C25"/>
    <mergeCell ref="D25:E25"/>
    <mergeCell ref="A26:C26"/>
    <mergeCell ref="D26:E26"/>
    <mergeCell ref="A22:I22"/>
    <mergeCell ref="A23:C23"/>
    <mergeCell ref="D23:E23"/>
    <mergeCell ref="A15:B16"/>
    <mergeCell ref="A17:B18"/>
    <mergeCell ref="A19:B20"/>
    <mergeCell ref="C15:J16"/>
    <mergeCell ref="C17:J18"/>
    <mergeCell ref="C19:J20"/>
    <mergeCell ref="A14:B14"/>
    <mergeCell ref="A6:J7"/>
    <mergeCell ref="A8:J9"/>
    <mergeCell ref="A10:J11"/>
    <mergeCell ref="A13:J13"/>
    <mergeCell ref="C14:J14"/>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workbookViewId="0">
      <selection activeCell="K22" sqref="K22"/>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93" t="str">
        <f>+'Cover Page'!$B$29</f>
        <v>Annual Performance Report 2022</v>
      </c>
      <c r="B1" s="93"/>
      <c r="C1" s="93"/>
      <c r="D1" s="93"/>
      <c r="E1" s="93" t="str">
        <f>+'Cover Page'!$B$33</f>
        <v>EPR Thetford Power Station</v>
      </c>
      <c r="F1" s="93"/>
      <c r="G1" s="93"/>
      <c r="H1" s="93"/>
      <c r="I1" s="93"/>
      <c r="J1" s="93"/>
      <c r="K1" s="93"/>
      <c r="L1" s="93"/>
      <c r="M1" s="93"/>
      <c r="N1" s="93"/>
      <c r="O1" s="93"/>
      <c r="P1" s="93"/>
    </row>
    <row r="2" spans="1:16" ht="7.5" customHeight="1">
      <c r="A2" s="93"/>
      <c r="B2" s="93"/>
      <c r="C2" s="93"/>
      <c r="D2" s="93"/>
      <c r="E2" s="93"/>
      <c r="F2" s="93"/>
      <c r="G2" s="93"/>
      <c r="H2" s="93"/>
      <c r="I2" s="93"/>
      <c r="J2" s="93"/>
      <c r="K2" s="93"/>
      <c r="L2" s="93"/>
      <c r="M2" s="93"/>
      <c r="N2" s="93"/>
      <c r="O2" s="93"/>
      <c r="P2" s="93"/>
    </row>
    <row r="3" spans="1:16" ht="15.6">
      <c r="A3" s="1" t="s">
        <v>40</v>
      </c>
      <c r="B3" s="93"/>
      <c r="C3" s="93"/>
      <c r="D3" s="93"/>
      <c r="E3" s="93"/>
      <c r="F3" s="93"/>
      <c r="G3" s="93"/>
      <c r="H3" s="93"/>
      <c r="I3" s="93"/>
      <c r="J3" s="93"/>
      <c r="K3" s="93"/>
      <c r="L3" s="93"/>
      <c r="M3" s="93"/>
      <c r="N3" s="93"/>
      <c r="O3" s="93"/>
      <c r="P3" s="93"/>
    </row>
    <row r="4" spans="1:16" ht="9.75" customHeight="1">
      <c r="A4" s="1"/>
      <c r="B4" s="93"/>
      <c r="C4" s="93"/>
      <c r="D4" s="93"/>
      <c r="E4" s="93"/>
      <c r="F4" s="93"/>
      <c r="G4" s="93"/>
      <c r="H4" s="93"/>
      <c r="I4" s="93"/>
      <c r="J4" s="93"/>
      <c r="K4" s="93"/>
      <c r="L4" s="93"/>
      <c r="M4" s="93"/>
      <c r="N4" s="93"/>
      <c r="O4" s="93"/>
      <c r="P4" s="93"/>
    </row>
    <row r="5" spans="1:16" s="3" customFormat="1" ht="21.75" customHeight="1">
      <c r="A5" s="48" t="s">
        <v>316</v>
      </c>
      <c r="B5" s="49"/>
      <c r="C5" s="49"/>
      <c r="D5" s="49"/>
      <c r="E5" s="49"/>
      <c r="F5" s="49"/>
      <c r="G5" s="49"/>
      <c r="H5" s="49"/>
      <c r="I5" s="49"/>
      <c r="J5" s="50"/>
      <c r="M5" s="82" t="s">
        <v>3</v>
      </c>
    </row>
    <row r="6" spans="1:16" s="3" customFormat="1" ht="15.75" customHeight="1">
      <c r="A6" s="311"/>
      <c r="B6" s="212"/>
      <c r="C6" s="212"/>
      <c r="D6" s="212"/>
      <c r="E6" s="212"/>
      <c r="F6" s="212"/>
      <c r="G6" s="212"/>
      <c r="H6" s="212"/>
      <c r="I6" s="212"/>
      <c r="J6" s="213"/>
      <c r="M6" s="353" t="s">
        <v>317</v>
      </c>
      <c r="N6" s="353"/>
      <c r="O6" s="353"/>
      <c r="P6" s="353"/>
    </row>
    <row r="7" spans="1:16" s="3" customFormat="1" ht="15.75" customHeight="1">
      <c r="A7" s="217"/>
      <c r="B7" s="218"/>
      <c r="C7" s="218"/>
      <c r="D7" s="218"/>
      <c r="E7" s="218"/>
      <c r="F7" s="218"/>
      <c r="G7" s="218"/>
      <c r="H7" s="218"/>
      <c r="I7" s="218"/>
      <c r="J7" s="219"/>
      <c r="M7" s="353"/>
      <c r="N7" s="353"/>
      <c r="O7" s="353"/>
      <c r="P7" s="353"/>
    </row>
    <row r="8" spans="1:16" s="3" customFormat="1" ht="13.9">
      <c r="M8" s="353"/>
      <c r="N8" s="353"/>
      <c r="O8" s="353"/>
      <c r="P8" s="353"/>
    </row>
    <row r="9" spans="1:16" s="56" customFormat="1" ht="16.5" customHeight="1">
      <c r="A9" s="321" t="s">
        <v>318</v>
      </c>
      <c r="B9" s="321"/>
      <c r="C9" s="321"/>
      <c r="D9" s="321"/>
      <c r="E9" s="321"/>
      <c r="F9" s="321"/>
      <c r="G9" s="321"/>
      <c r="H9" s="321"/>
      <c r="I9" s="321"/>
      <c r="J9" s="321"/>
      <c r="M9" s="353"/>
      <c r="N9" s="353"/>
      <c r="O9" s="353"/>
      <c r="P9" s="353"/>
    </row>
    <row r="10" spans="1:16" s="56" customFormat="1" ht="16.5" customHeight="1">
      <c r="A10" s="354" t="s">
        <v>212</v>
      </c>
      <c r="B10" s="355"/>
      <c r="C10" s="365" t="s">
        <v>319</v>
      </c>
      <c r="D10" s="361" t="s">
        <v>320</v>
      </c>
      <c r="E10" s="362"/>
      <c r="F10" s="358" t="s">
        <v>290</v>
      </c>
      <c r="G10" s="359"/>
      <c r="H10" s="359"/>
      <c r="I10" s="359"/>
      <c r="J10" s="360"/>
      <c r="M10" s="353" t="s">
        <v>321</v>
      </c>
      <c r="N10" s="353"/>
      <c r="O10" s="353"/>
      <c r="P10" s="353"/>
    </row>
    <row r="11" spans="1:16" s="12" customFormat="1" ht="17.25" customHeight="1">
      <c r="A11" s="356"/>
      <c r="B11" s="357"/>
      <c r="C11" s="366"/>
      <c r="D11" s="363"/>
      <c r="E11" s="364"/>
      <c r="F11" s="46" t="s">
        <v>186</v>
      </c>
      <c r="G11" s="46" t="s">
        <v>187</v>
      </c>
      <c r="H11" s="46" t="s">
        <v>188</v>
      </c>
      <c r="I11" s="46" t="s">
        <v>189</v>
      </c>
      <c r="J11" s="46" t="s">
        <v>190</v>
      </c>
      <c r="K11" s="119"/>
      <c r="L11" s="119"/>
      <c r="M11" s="353"/>
      <c r="N11" s="353"/>
      <c r="O11" s="353"/>
      <c r="P11" s="353"/>
    </row>
    <row r="12" spans="1:16" s="12" customFormat="1" ht="23.25" customHeight="1">
      <c r="A12" s="230" t="s">
        <v>225</v>
      </c>
      <c r="B12" s="230"/>
      <c r="C12" s="170" t="s">
        <v>322</v>
      </c>
      <c r="D12" s="275" t="s">
        <v>315</v>
      </c>
      <c r="E12" s="275"/>
      <c r="F12" s="103"/>
      <c r="G12" s="103"/>
      <c r="H12" s="103"/>
      <c r="I12" s="103"/>
      <c r="J12" s="103"/>
      <c r="K12" s="119"/>
      <c r="L12" s="119"/>
      <c r="M12" s="353"/>
      <c r="N12" s="353"/>
      <c r="O12" s="353"/>
      <c r="P12" s="353"/>
    </row>
    <row r="13" spans="1:16" s="12" customFormat="1" ht="23.25" customHeight="1">
      <c r="A13" s="230" t="s">
        <v>323</v>
      </c>
      <c r="B13" s="230"/>
      <c r="C13" s="170" t="s">
        <v>324</v>
      </c>
      <c r="D13" s="275" t="s">
        <v>325</v>
      </c>
      <c r="E13" s="275"/>
      <c r="F13" s="103"/>
      <c r="G13" s="103"/>
      <c r="H13" s="103"/>
      <c r="I13" s="103"/>
      <c r="J13" s="103"/>
      <c r="K13" s="119"/>
      <c r="L13" s="119"/>
      <c r="M13" s="119"/>
      <c r="N13" s="119"/>
      <c r="O13" s="119"/>
      <c r="P13" s="119"/>
    </row>
    <row r="14" spans="1:16" s="12" customFormat="1" ht="23.25" customHeight="1">
      <c r="A14" s="230" t="s">
        <v>326</v>
      </c>
      <c r="B14" s="230"/>
      <c r="C14" s="170" t="s">
        <v>324</v>
      </c>
      <c r="D14" s="275" t="s">
        <v>325</v>
      </c>
      <c r="E14" s="275"/>
      <c r="F14" s="103"/>
      <c r="G14" s="103"/>
      <c r="H14" s="103"/>
      <c r="I14" s="103"/>
      <c r="J14" s="103"/>
      <c r="K14" s="119"/>
      <c r="L14" s="119"/>
      <c r="M14" s="119"/>
      <c r="N14" s="119"/>
      <c r="O14" s="119"/>
      <c r="P14" s="119"/>
    </row>
    <row r="15" spans="1:16" s="12" customFormat="1" ht="23.25" customHeight="1">
      <c r="A15" s="230" t="s">
        <v>327</v>
      </c>
      <c r="B15" s="230"/>
      <c r="C15" s="170" t="s">
        <v>324</v>
      </c>
      <c r="D15" s="275" t="s">
        <v>325</v>
      </c>
      <c r="E15" s="275"/>
      <c r="F15" s="103"/>
      <c r="G15" s="103"/>
      <c r="H15" s="103"/>
      <c r="I15" s="103"/>
      <c r="J15" s="103"/>
      <c r="K15" s="119"/>
      <c r="L15" s="119"/>
      <c r="M15" s="119"/>
      <c r="N15" s="119"/>
      <c r="O15" s="119"/>
      <c r="P15" s="119"/>
    </row>
    <row r="16" spans="1:16" s="12" customFormat="1" ht="23.25" customHeight="1">
      <c r="A16" s="230" t="s">
        <v>328</v>
      </c>
      <c r="B16" s="230"/>
      <c r="C16" s="170" t="s">
        <v>324</v>
      </c>
      <c r="D16" s="275" t="s">
        <v>329</v>
      </c>
      <c r="E16" s="275"/>
      <c r="F16" s="103"/>
      <c r="G16" s="103"/>
      <c r="H16" s="103"/>
      <c r="I16" s="103"/>
      <c r="J16" s="103"/>
      <c r="K16" s="119"/>
      <c r="L16" s="119"/>
      <c r="M16" s="119"/>
      <c r="N16" s="119"/>
      <c r="O16" s="119"/>
      <c r="P16" s="119"/>
    </row>
    <row r="17" spans="1:10" s="12" customFormat="1" ht="23.25" customHeight="1">
      <c r="A17" s="230" t="s">
        <v>330</v>
      </c>
      <c r="B17" s="230"/>
      <c r="C17" s="170" t="s">
        <v>324</v>
      </c>
      <c r="D17" s="275" t="s">
        <v>331</v>
      </c>
      <c r="E17" s="275"/>
      <c r="F17" s="103"/>
      <c r="G17" s="103"/>
      <c r="H17" s="103"/>
      <c r="I17" s="103"/>
      <c r="J17" s="103"/>
    </row>
    <row r="18" spans="1:10" s="12" customFormat="1" ht="23.25" customHeight="1">
      <c r="A18" s="230" t="s">
        <v>332</v>
      </c>
      <c r="B18" s="230"/>
      <c r="C18" s="170" t="s">
        <v>324</v>
      </c>
      <c r="D18" s="275" t="s">
        <v>331</v>
      </c>
      <c r="E18" s="275"/>
      <c r="F18" s="103"/>
      <c r="G18" s="103"/>
      <c r="H18" s="103"/>
      <c r="I18" s="103"/>
      <c r="J18" s="103"/>
    </row>
    <row r="19" spans="1:10" s="12" customFormat="1" ht="23.25" customHeight="1">
      <c r="A19" s="230" t="s">
        <v>333</v>
      </c>
      <c r="B19" s="230"/>
      <c r="C19" s="170" t="s">
        <v>324</v>
      </c>
      <c r="D19" s="275" t="s">
        <v>331</v>
      </c>
      <c r="E19" s="275"/>
      <c r="F19" s="103"/>
      <c r="G19" s="103"/>
      <c r="H19" s="103"/>
      <c r="I19" s="103"/>
      <c r="J19" s="103"/>
    </row>
    <row r="20" spans="1:10" s="12" customFormat="1" ht="23.25" customHeight="1">
      <c r="A20" s="230" t="s">
        <v>334</v>
      </c>
      <c r="B20" s="230"/>
      <c r="C20" s="170" t="s">
        <v>324</v>
      </c>
      <c r="D20" s="275" t="s">
        <v>331</v>
      </c>
      <c r="E20" s="275"/>
      <c r="F20" s="103"/>
      <c r="G20" s="103"/>
      <c r="H20" s="103"/>
      <c r="I20" s="103"/>
      <c r="J20" s="103"/>
    </row>
    <row r="21" spans="1:10" s="12" customFormat="1" ht="23.25" customHeight="1">
      <c r="A21" s="230" t="s">
        <v>335</v>
      </c>
      <c r="B21" s="230"/>
      <c r="C21" s="170" t="s">
        <v>324</v>
      </c>
      <c r="D21" s="275" t="s">
        <v>331</v>
      </c>
      <c r="E21" s="275"/>
      <c r="F21" s="103"/>
      <c r="G21" s="103"/>
      <c r="H21" s="103"/>
      <c r="I21" s="103"/>
      <c r="J21" s="103"/>
    </row>
    <row r="22" spans="1:10" s="12" customFormat="1" ht="23.25" customHeight="1">
      <c r="A22" s="230" t="s">
        <v>336</v>
      </c>
      <c r="B22" s="230"/>
      <c r="C22" s="170" t="s">
        <v>324</v>
      </c>
      <c r="D22" s="275" t="s">
        <v>331</v>
      </c>
      <c r="E22" s="275"/>
      <c r="F22" s="103"/>
      <c r="G22" s="103"/>
      <c r="H22" s="103"/>
      <c r="I22" s="103"/>
      <c r="J22" s="103"/>
    </row>
    <row r="23" spans="1:10" s="12" customFormat="1" ht="23.25" customHeight="1">
      <c r="A23" s="230" t="s">
        <v>337</v>
      </c>
      <c r="B23" s="230"/>
      <c r="C23" s="170" t="s">
        <v>324</v>
      </c>
      <c r="D23" s="275" t="s">
        <v>338</v>
      </c>
      <c r="E23" s="275"/>
      <c r="F23" s="103"/>
      <c r="G23" s="103"/>
      <c r="H23" s="103"/>
      <c r="I23" s="103"/>
      <c r="J23" s="103"/>
    </row>
    <row r="24" spans="1:10" s="12" customFormat="1" ht="23.25" customHeight="1">
      <c r="A24" s="230" t="s">
        <v>339</v>
      </c>
      <c r="B24" s="230"/>
      <c r="C24" s="170" t="s">
        <v>324</v>
      </c>
      <c r="D24" s="275" t="s">
        <v>338</v>
      </c>
      <c r="E24" s="275"/>
      <c r="F24" s="103"/>
      <c r="G24" s="103"/>
      <c r="H24" s="103"/>
      <c r="I24" s="103"/>
      <c r="J24" s="103"/>
    </row>
    <row r="25" spans="1:10" s="12" customFormat="1" ht="23.25" customHeight="1">
      <c r="A25" s="230" t="s">
        <v>340</v>
      </c>
      <c r="B25" s="230"/>
      <c r="C25" s="170" t="s">
        <v>324</v>
      </c>
      <c r="D25" s="275" t="s">
        <v>338</v>
      </c>
      <c r="E25" s="275"/>
      <c r="F25" s="103"/>
      <c r="G25" s="103"/>
      <c r="H25" s="103"/>
      <c r="I25" s="103"/>
      <c r="J25" s="103"/>
    </row>
    <row r="26" spans="1:10" s="12" customFormat="1" ht="23.25" customHeight="1">
      <c r="A26" s="230" t="s">
        <v>341</v>
      </c>
      <c r="B26" s="230"/>
      <c r="C26" s="170" t="s">
        <v>324</v>
      </c>
      <c r="D26" s="275" t="s">
        <v>338</v>
      </c>
      <c r="E26" s="275"/>
      <c r="F26" s="103"/>
      <c r="G26" s="103"/>
      <c r="H26" s="103"/>
      <c r="I26" s="103"/>
      <c r="J26" s="103"/>
    </row>
    <row r="27" spans="1:10" s="12" customFormat="1" ht="23.25" customHeight="1">
      <c r="A27" s="230" t="s">
        <v>342</v>
      </c>
      <c r="B27" s="230"/>
      <c r="C27" s="170" t="s">
        <v>324</v>
      </c>
      <c r="D27" s="275" t="s">
        <v>338</v>
      </c>
      <c r="E27" s="275"/>
      <c r="F27" s="103"/>
      <c r="G27" s="103"/>
      <c r="H27" s="103"/>
      <c r="I27" s="103"/>
      <c r="J27" s="103"/>
    </row>
    <row r="28" spans="1:10" s="12" customFormat="1" ht="23.25" customHeight="1">
      <c r="A28" s="230" t="s">
        <v>343</v>
      </c>
      <c r="B28" s="230"/>
      <c r="C28" s="170" t="s">
        <v>324</v>
      </c>
      <c r="D28" s="275" t="s">
        <v>338</v>
      </c>
      <c r="E28" s="275"/>
      <c r="F28" s="103"/>
      <c r="G28" s="103"/>
      <c r="H28" s="103"/>
      <c r="I28" s="103"/>
      <c r="J28" s="103"/>
    </row>
    <row r="29" spans="1:10" s="12" customFormat="1" ht="23.25" customHeight="1">
      <c r="A29" s="230" t="s">
        <v>344</v>
      </c>
      <c r="B29" s="230"/>
      <c r="C29" s="170" t="s">
        <v>324</v>
      </c>
      <c r="D29" s="275" t="s">
        <v>338</v>
      </c>
      <c r="E29" s="275"/>
      <c r="F29" s="103"/>
      <c r="G29" s="103"/>
      <c r="H29" s="103"/>
      <c r="I29" s="103"/>
      <c r="J29" s="103"/>
    </row>
    <row r="30" spans="1:10" s="12" customFormat="1" ht="23.25" customHeight="1">
      <c r="A30" s="230" t="s">
        <v>345</v>
      </c>
      <c r="B30" s="230"/>
      <c r="C30" s="170" t="s">
        <v>324</v>
      </c>
      <c r="D30" s="275" t="s">
        <v>338</v>
      </c>
      <c r="E30" s="275"/>
      <c r="F30" s="103"/>
      <c r="G30" s="103"/>
      <c r="H30" s="103"/>
      <c r="I30" s="103"/>
      <c r="J30" s="103"/>
    </row>
    <row r="31" spans="1:10" s="12" customFormat="1" ht="23.25" customHeight="1">
      <c r="A31" s="230" t="s">
        <v>346</v>
      </c>
      <c r="B31" s="230"/>
      <c r="C31" s="170" t="s">
        <v>324</v>
      </c>
      <c r="D31" s="275" t="s">
        <v>338</v>
      </c>
      <c r="E31" s="275"/>
      <c r="F31" s="103"/>
      <c r="G31" s="103"/>
      <c r="H31" s="103"/>
      <c r="I31" s="103"/>
      <c r="J31" s="103"/>
    </row>
    <row r="32" spans="1:10" s="12" customFormat="1" ht="23.25" customHeight="1">
      <c r="A32" s="230" t="s">
        <v>347</v>
      </c>
      <c r="B32" s="230"/>
      <c r="C32" s="170" t="s">
        <v>324</v>
      </c>
      <c r="D32" s="275" t="s">
        <v>338</v>
      </c>
      <c r="E32" s="275"/>
      <c r="F32" s="103"/>
      <c r="G32" s="103"/>
      <c r="H32" s="103"/>
      <c r="I32" s="103"/>
      <c r="J32" s="103"/>
    </row>
    <row r="33" spans="1:10" s="12" customFormat="1" ht="23.25" customHeight="1">
      <c r="A33" s="230" t="s">
        <v>348</v>
      </c>
      <c r="B33" s="230"/>
      <c r="C33" s="170" t="s">
        <v>324</v>
      </c>
      <c r="D33" s="275" t="s">
        <v>338</v>
      </c>
      <c r="E33" s="275"/>
      <c r="F33" s="103"/>
      <c r="G33" s="103"/>
      <c r="H33" s="103"/>
      <c r="I33" s="103"/>
      <c r="J33" s="103"/>
    </row>
    <row r="34" spans="1:10" s="12" customFormat="1" ht="23.25" customHeight="1">
      <c r="A34" s="230" t="s">
        <v>349</v>
      </c>
      <c r="B34" s="230"/>
      <c r="C34" s="170" t="s">
        <v>324</v>
      </c>
      <c r="D34" s="275" t="s">
        <v>338</v>
      </c>
      <c r="E34" s="275"/>
      <c r="F34" s="103"/>
      <c r="G34" s="103"/>
      <c r="H34" s="103"/>
      <c r="I34" s="103"/>
      <c r="J34" s="103"/>
    </row>
    <row r="35" spans="1:10" s="12" customFormat="1" ht="23.25" customHeight="1">
      <c r="A35" s="230" t="s">
        <v>350</v>
      </c>
      <c r="B35" s="230"/>
      <c r="C35" s="170" t="s">
        <v>324</v>
      </c>
      <c r="D35" s="275" t="s">
        <v>338</v>
      </c>
      <c r="E35" s="275"/>
      <c r="F35" s="103"/>
      <c r="G35" s="103"/>
      <c r="H35" s="103"/>
      <c r="I35" s="103"/>
      <c r="J35" s="103"/>
    </row>
    <row r="36" spans="1:10" s="12" customFormat="1" ht="23.25" customHeight="1">
      <c r="A36" s="230" t="s">
        <v>351</v>
      </c>
      <c r="B36" s="230"/>
      <c r="C36" s="170" t="s">
        <v>324</v>
      </c>
      <c r="D36" s="275" t="s">
        <v>338</v>
      </c>
      <c r="E36" s="275"/>
      <c r="F36" s="103"/>
      <c r="G36" s="103"/>
      <c r="H36" s="103"/>
      <c r="I36" s="103"/>
      <c r="J36" s="103"/>
    </row>
    <row r="37" spans="1:10" s="12" customFormat="1" ht="23.25" customHeight="1">
      <c r="A37" s="230" t="s">
        <v>352</v>
      </c>
      <c r="B37" s="230"/>
      <c r="C37" s="170" t="s">
        <v>324</v>
      </c>
      <c r="D37" s="275" t="s">
        <v>338</v>
      </c>
      <c r="E37" s="275"/>
      <c r="F37" s="103"/>
      <c r="G37" s="103"/>
      <c r="H37" s="103"/>
      <c r="I37" s="103"/>
      <c r="J37" s="103"/>
    </row>
    <row r="38" spans="1:10" s="12" customFormat="1" ht="23.25" customHeight="1">
      <c r="A38" s="230" t="s">
        <v>353</v>
      </c>
      <c r="B38" s="230"/>
      <c r="C38" s="170" t="s">
        <v>324</v>
      </c>
      <c r="D38" s="275" t="s">
        <v>338</v>
      </c>
      <c r="E38" s="275"/>
      <c r="F38" s="103"/>
      <c r="G38" s="103"/>
      <c r="H38" s="103"/>
      <c r="I38" s="103"/>
      <c r="J38" s="103"/>
    </row>
    <row r="39" spans="1:10">
      <c r="A39" s="261" t="s">
        <v>282</v>
      </c>
      <c r="B39" s="261"/>
      <c r="C39" s="261"/>
      <c r="D39" s="261"/>
      <c r="E39" s="261"/>
      <c r="F39" s="261"/>
      <c r="G39" s="261"/>
      <c r="H39" s="261"/>
      <c r="I39" s="261"/>
      <c r="J39" s="261"/>
    </row>
    <row r="40" spans="1:10">
      <c r="A40" s="322"/>
      <c r="B40" s="322"/>
      <c r="C40" s="322"/>
      <c r="D40" s="322"/>
      <c r="E40" s="322"/>
      <c r="F40" s="322"/>
      <c r="G40" s="322"/>
      <c r="H40" s="322"/>
      <c r="I40" s="322"/>
      <c r="J40" s="322"/>
    </row>
    <row r="41" spans="1:10">
      <c r="A41" s="322"/>
      <c r="B41" s="322"/>
      <c r="C41" s="322"/>
      <c r="D41" s="322"/>
      <c r="E41" s="322"/>
      <c r="F41" s="322"/>
      <c r="G41" s="322"/>
      <c r="H41" s="322"/>
      <c r="I41" s="322"/>
      <c r="J41" s="322"/>
    </row>
    <row r="64" spans="6:6">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workbookViewId="0">
      <selection activeCell="P19" sqref="P19"/>
    </sheetView>
  </sheetViews>
  <sheetFormatPr defaultColWidth="9.28515625" defaultRowHeight="15"/>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c r="A1" s="93" t="str">
        <f>+'Cover Page'!$B$29</f>
        <v>Annual Performance Report 2022</v>
      </c>
      <c r="B1" s="93"/>
      <c r="C1" s="93"/>
      <c r="D1" s="93"/>
      <c r="E1" s="93"/>
      <c r="F1" s="93"/>
      <c r="G1" s="93"/>
      <c r="H1" s="93"/>
      <c r="I1" s="93" t="str">
        <f>+'Cover Page'!$B$33</f>
        <v>EPR Thetford Power Station</v>
      </c>
      <c r="J1" s="93"/>
      <c r="K1" s="93"/>
      <c r="L1" s="93"/>
      <c r="M1" s="93"/>
      <c r="N1" s="93"/>
      <c r="O1" s="93"/>
      <c r="P1" s="93"/>
    </row>
    <row r="3" spans="1:16" ht="15.6">
      <c r="A3" s="1" t="s">
        <v>354</v>
      </c>
      <c r="B3" s="93"/>
      <c r="C3" s="93"/>
      <c r="D3" s="93"/>
      <c r="E3" s="93"/>
      <c r="F3" s="93"/>
      <c r="G3" s="93"/>
      <c r="H3" s="93"/>
      <c r="I3" s="93"/>
      <c r="J3" s="93"/>
      <c r="K3" s="93"/>
      <c r="L3" s="93"/>
      <c r="M3" s="93"/>
      <c r="N3" s="93"/>
      <c r="O3" s="93"/>
      <c r="P3" s="93"/>
    </row>
    <row r="4" spans="1:16" ht="15.6">
      <c r="A4" s="1"/>
      <c r="B4" s="93"/>
      <c r="C4" s="93"/>
      <c r="D4" s="93"/>
      <c r="E4" s="93"/>
      <c r="F4" s="93"/>
      <c r="G4" s="93"/>
      <c r="H4" s="93"/>
      <c r="I4" s="93"/>
      <c r="J4" s="93"/>
      <c r="K4" s="93"/>
      <c r="L4" s="93"/>
      <c r="M4" s="93"/>
      <c r="N4" s="93"/>
      <c r="O4" s="93"/>
      <c r="P4" s="73" t="s">
        <v>3</v>
      </c>
    </row>
    <row r="5" spans="1:16" s="3" customFormat="1" ht="21.75" customHeight="1">
      <c r="A5" s="48" t="s">
        <v>316</v>
      </c>
      <c r="B5" s="49"/>
      <c r="C5" s="49"/>
      <c r="D5" s="49"/>
      <c r="E5" s="49"/>
      <c r="F5" s="49"/>
      <c r="G5" s="49"/>
      <c r="H5" s="49"/>
      <c r="I5" s="49"/>
      <c r="J5" s="49"/>
      <c r="K5" s="49"/>
      <c r="L5" s="49"/>
      <c r="M5" s="50"/>
      <c r="P5" s="74" t="s">
        <v>355</v>
      </c>
    </row>
    <row r="6" spans="1:16" s="3" customFormat="1" ht="15.75" customHeight="1">
      <c r="A6" s="203" t="s">
        <v>356</v>
      </c>
      <c r="B6" s="204"/>
      <c r="C6" s="204"/>
      <c r="D6" s="204"/>
      <c r="E6" s="204"/>
      <c r="F6" s="204"/>
      <c r="G6" s="204"/>
      <c r="H6" s="204"/>
      <c r="I6" s="204"/>
      <c r="J6" s="204"/>
      <c r="K6" s="204"/>
      <c r="L6" s="204"/>
      <c r="M6" s="205"/>
      <c r="P6" s="3" t="s">
        <v>357</v>
      </c>
    </row>
    <row r="7" spans="1:16" s="3" customFormat="1" ht="30" customHeight="1">
      <c r="A7" s="209"/>
      <c r="B7" s="210"/>
      <c r="C7" s="210"/>
      <c r="D7" s="210"/>
      <c r="E7" s="210"/>
      <c r="F7" s="210"/>
      <c r="G7" s="210"/>
      <c r="H7" s="210"/>
      <c r="I7" s="210"/>
      <c r="J7" s="210"/>
      <c r="K7" s="210"/>
      <c r="L7" s="210"/>
      <c r="M7" s="211"/>
    </row>
    <row r="8" spans="1:16" s="3" customFormat="1" ht="15.75" customHeight="1">
      <c r="A8" s="203" t="s">
        <v>358</v>
      </c>
      <c r="B8" s="204"/>
      <c r="C8" s="204"/>
      <c r="D8" s="204"/>
      <c r="E8" s="204"/>
      <c r="F8" s="204"/>
      <c r="G8" s="204"/>
      <c r="H8" s="204"/>
      <c r="I8" s="204"/>
      <c r="J8" s="204"/>
      <c r="K8" s="204"/>
      <c r="L8" s="204"/>
      <c r="M8" s="205"/>
    </row>
    <row r="9" spans="1:16" s="3" customFormat="1" ht="15.75" customHeight="1">
      <c r="A9" s="209"/>
      <c r="B9" s="210"/>
      <c r="C9" s="210"/>
      <c r="D9" s="210"/>
      <c r="E9" s="210"/>
      <c r="F9" s="210"/>
      <c r="G9" s="210"/>
      <c r="H9" s="210"/>
      <c r="I9" s="210"/>
      <c r="J9" s="210"/>
      <c r="K9" s="210"/>
      <c r="L9" s="210"/>
      <c r="M9" s="211"/>
    </row>
    <row r="10" spans="1:16" s="3" customFormat="1" ht="13.9"/>
    <row r="11" spans="1:16" s="56" customFormat="1" ht="16.5" customHeight="1">
      <c r="A11" s="321" t="s">
        <v>359</v>
      </c>
      <c r="B11" s="321"/>
      <c r="C11" s="321"/>
      <c r="D11" s="321"/>
      <c r="E11" s="321"/>
      <c r="F11" s="321"/>
      <c r="G11" s="321"/>
      <c r="H11" s="321"/>
      <c r="I11" s="321"/>
      <c r="J11" s="321"/>
      <c r="K11" s="321"/>
      <c r="L11" s="321"/>
      <c r="M11" s="321"/>
    </row>
    <row r="12" spans="1:16" s="56" customFormat="1" ht="16.5" customHeight="1">
      <c r="A12" s="371" t="s">
        <v>212</v>
      </c>
      <c r="B12" s="365" t="s">
        <v>360</v>
      </c>
      <c r="C12" s="290" t="s">
        <v>320</v>
      </c>
      <c r="D12" s="291" t="s">
        <v>186</v>
      </c>
      <c r="E12" s="373"/>
      <c r="F12" s="291" t="s">
        <v>187</v>
      </c>
      <c r="G12" s="373"/>
      <c r="H12" s="291" t="s">
        <v>188</v>
      </c>
      <c r="I12" s="373"/>
      <c r="J12" s="291" t="s">
        <v>189</v>
      </c>
      <c r="K12" s="373"/>
      <c r="L12" s="291" t="s">
        <v>190</v>
      </c>
      <c r="M12" s="373"/>
    </row>
    <row r="13" spans="1:16" s="12" customFormat="1" ht="17.25" customHeight="1">
      <c r="A13" s="371"/>
      <c r="B13" s="372"/>
      <c r="C13" s="290"/>
      <c r="D13" s="46" t="s">
        <v>289</v>
      </c>
      <c r="E13" s="57" t="s">
        <v>361</v>
      </c>
      <c r="F13" s="46" t="s">
        <v>289</v>
      </c>
      <c r="G13" s="57" t="s">
        <v>361</v>
      </c>
      <c r="H13" s="46" t="s">
        <v>289</v>
      </c>
      <c r="I13" s="57" t="s">
        <v>361</v>
      </c>
      <c r="J13" s="46" t="s">
        <v>289</v>
      </c>
      <c r="K13" s="57" t="s">
        <v>361</v>
      </c>
      <c r="L13" s="46" t="s">
        <v>289</v>
      </c>
      <c r="M13" s="57" t="s">
        <v>361</v>
      </c>
      <c r="N13" s="119"/>
      <c r="O13" s="119"/>
      <c r="P13" s="119"/>
    </row>
    <row r="14" spans="1:16" s="12" customFormat="1" ht="23.25" customHeight="1">
      <c r="A14" s="230" t="s">
        <v>219</v>
      </c>
      <c r="B14" s="102" t="s">
        <v>362</v>
      </c>
      <c r="C14" s="102" t="s">
        <v>363</v>
      </c>
      <c r="D14" s="171">
        <v>204.7</v>
      </c>
      <c r="E14" s="171">
        <v>192.65</v>
      </c>
      <c r="F14" s="103"/>
      <c r="G14" s="103"/>
      <c r="H14" s="103"/>
      <c r="I14" s="103"/>
      <c r="J14" s="103"/>
      <c r="K14" s="103"/>
      <c r="L14" s="103"/>
      <c r="M14" s="103"/>
      <c r="N14" s="119"/>
      <c r="O14" s="119"/>
      <c r="P14" s="119"/>
    </row>
    <row r="15" spans="1:16" s="12" customFormat="1" ht="23.25" customHeight="1">
      <c r="A15" s="230"/>
      <c r="B15" s="102" t="s">
        <v>364</v>
      </c>
      <c r="C15" s="103" t="s">
        <v>365</v>
      </c>
      <c r="D15" s="103"/>
      <c r="E15" s="103"/>
      <c r="F15" s="103"/>
      <c r="G15" s="103"/>
      <c r="H15" s="103"/>
      <c r="I15" s="103"/>
      <c r="J15" s="103"/>
      <c r="K15" s="103"/>
      <c r="L15" s="103"/>
      <c r="M15" s="103"/>
      <c r="N15" s="119"/>
      <c r="O15" s="119"/>
      <c r="P15" s="119"/>
    </row>
    <row r="16" spans="1:16" s="12" customFormat="1" ht="23.25" customHeight="1">
      <c r="A16" s="160" t="s">
        <v>217</v>
      </c>
      <c r="B16" s="163" t="s">
        <v>362</v>
      </c>
      <c r="C16" s="102" t="s">
        <v>366</v>
      </c>
      <c r="D16" s="171">
        <v>7.1</v>
      </c>
      <c r="E16" s="172">
        <v>1.8666666666666669</v>
      </c>
      <c r="F16" s="103"/>
      <c r="G16" s="103"/>
      <c r="H16" s="103"/>
      <c r="I16" s="103"/>
      <c r="J16" s="103"/>
      <c r="K16" s="103"/>
      <c r="L16" s="103"/>
      <c r="M16" s="103"/>
      <c r="N16" s="119"/>
      <c r="O16" s="119"/>
      <c r="P16" s="119"/>
    </row>
    <row r="17" spans="1:13" s="12" customFormat="1" ht="23.25" customHeight="1">
      <c r="A17" s="160"/>
      <c r="B17" s="102" t="s">
        <v>364</v>
      </c>
      <c r="C17" s="102" t="s">
        <v>367</v>
      </c>
      <c r="D17" s="171">
        <v>23.8</v>
      </c>
      <c r="E17" s="172">
        <v>1.8666666666666669</v>
      </c>
      <c r="F17" s="103"/>
      <c r="G17" s="103"/>
      <c r="H17" s="103"/>
      <c r="I17" s="103"/>
      <c r="J17" s="103"/>
      <c r="K17" s="103"/>
      <c r="L17" s="103"/>
      <c r="M17" s="103"/>
    </row>
    <row r="18" spans="1:13" s="12" customFormat="1" ht="23.25" customHeight="1">
      <c r="A18" s="160" t="s">
        <v>368</v>
      </c>
      <c r="B18" s="102" t="s">
        <v>362</v>
      </c>
      <c r="C18" s="102" t="s">
        <v>369</v>
      </c>
      <c r="D18" s="171">
        <v>11.2</v>
      </c>
      <c r="E18" s="172">
        <v>2.1166666666666667</v>
      </c>
      <c r="F18" s="103"/>
      <c r="G18" s="103"/>
      <c r="H18" s="103"/>
      <c r="I18" s="103"/>
      <c r="J18" s="103"/>
      <c r="K18" s="103"/>
      <c r="L18" s="103"/>
      <c r="M18" s="103"/>
    </row>
    <row r="19" spans="1:13" s="12" customFormat="1" ht="23.25" customHeight="1">
      <c r="A19" s="160"/>
      <c r="B19" s="102" t="s">
        <v>364</v>
      </c>
      <c r="C19" s="103" t="s">
        <v>365</v>
      </c>
      <c r="D19" s="103"/>
      <c r="E19" s="103"/>
      <c r="F19" s="103"/>
      <c r="G19" s="103"/>
      <c r="H19" s="103"/>
      <c r="I19" s="103"/>
      <c r="J19" s="103"/>
      <c r="K19" s="103"/>
      <c r="L19" s="103"/>
      <c r="M19" s="103"/>
    </row>
    <row r="20" spans="1:13" s="12" customFormat="1" ht="23.25" customHeight="1">
      <c r="A20" s="160" t="s">
        <v>370</v>
      </c>
      <c r="B20" s="102" t="s">
        <v>362</v>
      </c>
      <c r="C20" s="102" t="s">
        <v>371</v>
      </c>
      <c r="D20" s="171">
        <v>11</v>
      </c>
      <c r="E20" s="171">
        <v>10.35</v>
      </c>
      <c r="F20" s="103"/>
      <c r="G20" s="103"/>
      <c r="H20" s="103"/>
      <c r="I20" s="103"/>
      <c r="J20" s="103"/>
      <c r="K20" s="103"/>
      <c r="L20" s="103"/>
      <c r="M20" s="103"/>
    </row>
    <row r="21" spans="1:13" s="12" customFormat="1" ht="23.25" customHeight="1">
      <c r="A21" s="160"/>
      <c r="B21" s="102" t="s">
        <v>364</v>
      </c>
      <c r="C21" s="102" t="s">
        <v>372</v>
      </c>
      <c r="D21" s="171">
        <v>27.5</v>
      </c>
      <c r="E21" s="171">
        <v>10.35</v>
      </c>
      <c r="F21" s="103"/>
      <c r="G21" s="103"/>
      <c r="H21" s="103"/>
      <c r="I21" s="103"/>
      <c r="J21" s="103"/>
      <c r="K21" s="103"/>
      <c r="L21" s="103"/>
      <c r="M21" s="103"/>
    </row>
    <row r="22" spans="1:13" s="12" customFormat="1" ht="23.25" customHeight="1">
      <c r="A22" s="160" t="s">
        <v>220</v>
      </c>
      <c r="B22" s="102" t="s">
        <v>362</v>
      </c>
      <c r="C22" s="102" t="s">
        <v>373</v>
      </c>
      <c r="D22" s="171">
        <v>69.099999999999994</v>
      </c>
      <c r="E22" s="171">
        <v>27.700000000000003</v>
      </c>
      <c r="F22" s="103"/>
      <c r="G22" s="103"/>
      <c r="H22" s="103"/>
      <c r="I22" s="103"/>
      <c r="J22" s="103"/>
      <c r="K22" s="103"/>
      <c r="L22" s="103"/>
      <c r="M22" s="103"/>
    </row>
    <row r="23" spans="1:13" s="12" customFormat="1" ht="23.25" customHeight="1">
      <c r="A23" s="160"/>
      <c r="B23" s="102" t="s">
        <v>364</v>
      </c>
      <c r="C23" s="102" t="s">
        <v>374</v>
      </c>
      <c r="D23" s="171">
        <v>170.1</v>
      </c>
      <c r="E23" s="171">
        <v>27.700000000000003</v>
      </c>
      <c r="F23" s="103"/>
      <c r="G23" s="103"/>
      <c r="H23" s="103"/>
      <c r="I23" s="103"/>
      <c r="J23" s="103"/>
      <c r="K23" s="103"/>
      <c r="L23" s="103"/>
      <c r="M23" s="103"/>
    </row>
    <row r="24" spans="1:13" s="12" customFormat="1" ht="23.25" customHeight="1">
      <c r="A24" s="160" t="s">
        <v>375</v>
      </c>
      <c r="B24" s="102" t="s">
        <v>362</v>
      </c>
      <c r="C24" s="102" t="s">
        <v>373</v>
      </c>
      <c r="D24" s="171">
        <v>184.6</v>
      </c>
      <c r="E24" s="171">
        <v>72.024999999999991</v>
      </c>
      <c r="F24" s="103"/>
      <c r="G24" s="103"/>
      <c r="H24" s="103"/>
      <c r="I24" s="103"/>
      <c r="J24" s="103"/>
      <c r="K24" s="103"/>
      <c r="L24" s="103"/>
      <c r="M24" s="103"/>
    </row>
    <row r="25" spans="1:13" s="12" customFormat="1" ht="23.25" customHeight="1">
      <c r="A25" s="160"/>
      <c r="B25" s="103" t="s">
        <v>376</v>
      </c>
      <c r="C25" s="103" t="s">
        <v>365</v>
      </c>
      <c r="D25" s="103"/>
      <c r="E25" s="103"/>
      <c r="F25" s="103"/>
      <c r="G25" s="103"/>
      <c r="H25" s="103"/>
      <c r="I25" s="103"/>
      <c r="J25" s="103"/>
      <c r="K25" s="103"/>
      <c r="L25" s="103"/>
      <c r="M25" s="103"/>
    </row>
    <row r="26" spans="1:13" s="12" customFormat="1" ht="23.25" customHeight="1">
      <c r="A26" s="160"/>
      <c r="B26" s="103" t="s">
        <v>377</v>
      </c>
      <c r="C26" s="103" t="s">
        <v>365</v>
      </c>
      <c r="D26" s="103"/>
      <c r="E26" s="103"/>
      <c r="F26" s="103"/>
      <c r="G26" s="103"/>
      <c r="H26" s="103"/>
      <c r="I26" s="103"/>
      <c r="J26" s="103"/>
      <c r="K26" s="103"/>
      <c r="L26" s="103"/>
      <c r="M26" s="103"/>
    </row>
    <row r="27" spans="1:13" s="12" customFormat="1" ht="23.25" customHeight="1">
      <c r="A27" s="173" t="s">
        <v>378</v>
      </c>
      <c r="B27" s="174" t="s">
        <v>362</v>
      </c>
      <c r="C27" s="174" t="s">
        <v>379</v>
      </c>
      <c r="D27" s="175"/>
      <c r="E27" s="175"/>
      <c r="F27" s="175"/>
      <c r="G27" s="175"/>
      <c r="H27" s="175"/>
      <c r="I27" s="175"/>
      <c r="J27" s="175"/>
      <c r="K27" s="175"/>
      <c r="L27" s="175"/>
      <c r="M27" s="175"/>
    </row>
    <row r="28" spans="1:13">
      <c r="A28" s="367" t="s">
        <v>380</v>
      </c>
      <c r="B28" s="368"/>
      <c r="C28" s="368"/>
      <c r="D28" s="368"/>
      <c r="E28" s="368"/>
      <c r="F28" s="368"/>
      <c r="G28" s="368"/>
      <c r="H28" s="368"/>
      <c r="I28" s="368"/>
      <c r="J28" s="368"/>
      <c r="K28" s="368"/>
      <c r="L28" s="368"/>
      <c r="M28" s="369"/>
    </row>
    <row r="29" spans="1:13">
      <c r="A29" s="83" t="s">
        <v>282</v>
      </c>
      <c r="B29" s="84"/>
      <c r="C29" s="84"/>
      <c r="D29" s="84"/>
      <c r="E29" s="84"/>
      <c r="F29" s="84"/>
      <c r="G29" s="84"/>
      <c r="H29" s="84"/>
      <c r="I29" s="84"/>
      <c r="J29" s="84"/>
      <c r="K29" s="84"/>
      <c r="L29" s="84"/>
      <c r="M29" s="85"/>
    </row>
    <row r="30" spans="1:13">
      <c r="A30" s="370"/>
      <c r="B30" s="370"/>
      <c r="C30" s="370"/>
      <c r="D30" s="370"/>
      <c r="E30" s="370"/>
      <c r="F30" s="370"/>
      <c r="G30" s="370"/>
      <c r="H30" s="370"/>
      <c r="I30" s="370"/>
      <c r="J30" s="370"/>
      <c r="K30" s="370"/>
      <c r="L30" s="370"/>
      <c r="M30" s="370"/>
    </row>
    <row r="31" spans="1:13">
      <c r="A31" s="322"/>
      <c r="B31" s="322"/>
      <c r="C31" s="322"/>
      <c r="D31" s="322"/>
      <c r="E31" s="322"/>
      <c r="F31" s="322"/>
      <c r="G31" s="322"/>
      <c r="H31" s="322"/>
      <c r="I31" s="322"/>
      <c r="J31" s="322"/>
      <c r="K31" s="322"/>
      <c r="L31" s="322"/>
      <c r="M31" s="322"/>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workbookViewId="0">
      <selection activeCell="L19" sqref="L19"/>
    </sheetView>
  </sheetViews>
  <sheetFormatPr defaultRowHeight="13.9"/>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EPR Thetford Power Station</v>
      </c>
      <c r="F1" s="93"/>
      <c r="G1" s="93"/>
    </row>
    <row r="3" spans="1:19" ht="14.45">
      <c r="A3" s="60" t="s">
        <v>381</v>
      </c>
      <c r="D3" s="76" t="s">
        <v>382</v>
      </c>
      <c r="G3" s="80" t="s">
        <v>383</v>
      </c>
      <c r="J3" s="9" t="str">
        <f>+A3</f>
        <v>Monitoring of Hydrogen Chloride emissions</v>
      </c>
      <c r="L3" s="9"/>
      <c r="N3" s="9" t="s">
        <v>384</v>
      </c>
      <c r="Q3" s="79" t="s">
        <v>3</v>
      </c>
      <c r="R3" s="74"/>
      <c r="S3" s="74"/>
    </row>
    <row r="4" spans="1:19" ht="13.9" customHeight="1">
      <c r="Q4" s="353" t="s">
        <v>385</v>
      </c>
      <c r="R4" s="353"/>
      <c r="S4" s="353"/>
    </row>
    <row r="5" spans="1:19" ht="16.149999999999999">
      <c r="A5" s="68" t="s">
        <v>386</v>
      </c>
      <c r="B5" s="377" t="s">
        <v>387</v>
      </c>
      <c r="C5" s="377"/>
      <c r="D5" s="377"/>
      <c r="E5" s="377" t="s">
        <v>388</v>
      </c>
      <c r="F5" s="377"/>
      <c r="G5" s="377"/>
      <c r="J5" s="376"/>
      <c r="K5" s="376"/>
      <c r="L5" s="376"/>
      <c r="M5" s="376"/>
      <c r="N5" s="376"/>
      <c r="O5" s="376"/>
      <c r="Q5" s="353"/>
      <c r="R5" s="353"/>
      <c r="S5" s="353"/>
    </row>
    <row r="6" spans="1:19" s="58" customFormat="1" ht="37.5" customHeight="1">
      <c r="A6" s="65">
        <f>+'Cover Page'!C39</f>
        <v>2022</v>
      </c>
      <c r="B6" s="55" t="s">
        <v>389</v>
      </c>
      <c r="C6" s="55" t="s">
        <v>390</v>
      </c>
      <c r="D6" s="55" t="s">
        <v>391</v>
      </c>
      <c r="E6" s="55" t="s">
        <v>392</v>
      </c>
      <c r="F6" s="55" t="s">
        <v>393</v>
      </c>
      <c r="G6" s="55" t="s">
        <v>394</v>
      </c>
      <c r="H6" s="59"/>
      <c r="J6" s="61">
        <f>+A6</f>
        <v>2022</v>
      </c>
      <c r="K6" s="61" t="s">
        <v>395</v>
      </c>
      <c r="L6" s="67" t="s">
        <v>390</v>
      </c>
      <c r="M6" s="67" t="s">
        <v>396</v>
      </c>
      <c r="N6" s="67" t="s">
        <v>393</v>
      </c>
      <c r="O6" s="67" t="s">
        <v>397</v>
      </c>
      <c r="Q6" s="353"/>
      <c r="R6" s="353"/>
      <c r="S6" s="353"/>
    </row>
    <row r="7" spans="1:19" ht="13.9" customHeight="1">
      <c r="A7" s="66" t="s">
        <v>398</v>
      </c>
      <c r="B7" s="63">
        <v>66</v>
      </c>
      <c r="C7" s="64">
        <v>10.6</v>
      </c>
      <c r="D7" s="64">
        <v>19.7</v>
      </c>
      <c r="E7" s="63">
        <v>11</v>
      </c>
      <c r="F7" s="64">
        <v>10.6</v>
      </c>
      <c r="G7" s="64">
        <v>10.9</v>
      </c>
      <c r="J7" s="375" t="s">
        <v>186</v>
      </c>
      <c r="K7" s="66" t="s">
        <v>398</v>
      </c>
      <c r="L7" s="64">
        <v>10.6</v>
      </c>
      <c r="M7" s="64">
        <v>19.7</v>
      </c>
      <c r="N7" s="64">
        <v>10.6</v>
      </c>
      <c r="O7" s="64">
        <v>10.9</v>
      </c>
      <c r="Q7" s="353"/>
      <c r="R7" s="353"/>
      <c r="S7" s="353"/>
    </row>
    <row r="8" spans="1:19">
      <c r="A8" s="66" t="s">
        <v>399</v>
      </c>
      <c r="B8" s="63">
        <v>66</v>
      </c>
      <c r="C8" s="64">
        <v>10.7</v>
      </c>
      <c r="D8" s="64">
        <v>16.5</v>
      </c>
      <c r="E8" s="63">
        <v>11</v>
      </c>
      <c r="F8" s="64">
        <v>10.7</v>
      </c>
      <c r="G8" s="64">
        <v>10.8</v>
      </c>
      <c r="J8" s="375"/>
      <c r="K8" s="66" t="s">
        <v>399</v>
      </c>
      <c r="L8" s="64">
        <v>10.7</v>
      </c>
      <c r="M8" s="64">
        <v>16.5</v>
      </c>
      <c r="N8" s="64">
        <v>10.7</v>
      </c>
      <c r="O8" s="64">
        <v>10.8</v>
      </c>
      <c r="Q8" s="353"/>
      <c r="R8" s="353"/>
      <c r="S8" s="353"/>
    </row>
    <row r="9" spans="1:19">
      <c r="A9" s="66" t="s">
        <v>400</v>
      </c>
      <c r="B9" s="63">
        <v>66</v>
      </c>
      <c r="C9" s="64">
        <v>10.6</v>
      </c>
      <c r="D9" s="64">
        <v>19.5</v>
      </c>
      <c r="E9" s="63">
        <v>11</v>
      </c>
      <c r="F9" s="64">
        <v>10.6</v>
      </c>
      <c r="G9" s="64">
        <v>10.9</v>
      </c>
      <c r="J9" s="375"/>
      <c r="K9" s="66" t="s">
        <v>400</v>
      </c>
      <c r="L9" s="64">
        <v>10.6</v>
      </c>
      <c r="M9" s="64">
        <v>19.5</v>
      </c>
      <c r="N9" s="64">
        <v>10.6</v>
      </c>
      <c r="O9" s="64">
        <v>10.9</v>
      </c>
      <c r="Q9" s="78" t="s">
        <v>401</v>
      </c>
    </row>
    <row r="10" spans="1:19" ht="13.9" customHeight="1">
      <c r="A10" s="66" t="s">
        <v>402</v>
      </c>
      <c r="B10" s="63">
        <v>66</v>
      </c>
      <c r="C10" s="64">
        <v>10.7</v>
      </c>
      <c r="D10" s="64">
        <v>25.3</v>
      </c>
      <c r="E10" s="63">
        <v>11</v>
      </c>
      <c r="F10" s="64">
        <v>10.7</v>
      </c>
      <c r="G10" s="64">
        <v>10.8</v>
      </c>
      <c r="J10" s="375"/>
      <c r="K10" s="66" t="s">
        <v>402</v>
      </c>
      <c r="L10" s="64">
        <v>10.7</v>
      </c>
      <c r="M10" s="64">
        <v>25.3</v>
      </c>
      <c r="N10" s="64">
        <v>10.7</v>
      </c>
      <c r="O10" s="64">
        <v>10.8</v>
      </c>
      <c r="Q10" s="374" t="s">
        <v>403</v>
      </c>
      <c r="R10" s="374"/>
      <c r="S10" s="374"/>
    </row>
    <row r="11" spans="1:19">
      <c r="A11" s="66" t="s">
        <v>404</v>
      </c>
      <c r="B11" s="63">
        <v>66</v>
      </c>
      <c r="C11" s="64">
        <v>10.6</v>
      </c>
      <c r="D11" s="64">
        <v>17.899999999999999</v>
      </c>
      <c r="E11" s="63">
        <v>11</v>
      </c>
      <c r="F11" s="64">
        <v>10.6</v>
      </c>
      <c r="G11" s="64">
        <v>10.9</v>
      </c>
      <c r="J11" s="375"/>
      <c r="K11" s="66" t="s">
        <v>404</v>
      </c>
      <c r="L11" s="64">
        <v>10.6</v>
      </c>
      <c r="M11" s="64">
        <v>17.899999999999999</v>
      </c>
      <c r="N11" s="64">
        <v>10.6</v>
      </c>
      <c r="O11" s="64">
        <v>10.9</v>
      </c>
      <c r="Q11" s="374"/>
      <c r="R11" s="374"/>
      <c r="S11" s="374"/>
    </row>
    <row r="12" spans="1:19">
      <c r="A12" s="66" t="s">
        <v>405</v>
      </c>
      <c r="B12" s="63">
        <v>66</v>
      </c>
      <c r="C12" s="64">
        <v>10.6</v>
      </c>
      <c r="D12" s="64">
        <v>16.600000000000001</v>
      </c>
      <c r="E12" s="63">
        <v>11</v>
      </c>
      <c r="F12" s="64">
        <v>10.6</v>
      </c>
      <c r="G12" s="64">
        <v>10.9</v>
      </c>
      <c r="J12" s="375"/>
      <c r="K12" s="66" t="s">
        <v>405</v>
      </c>
      <c r="L12" s="64">
        <v>10.6</v>
      </c>
      <c r="M12" s="64">
        <v>16.600000000000001</v>
      </c>
      <c r="N12" s="64">
        <v>10.6</v>
      </c>
      <c r="O12" s="64">
        <v>10.9</v>
      </c>
      <c r="Q12" s="374"/>
      <c r="R12" s="374"/>
      <c r="S12" s="374"/>
    </row>
    <row r="13" spans="1:19" ht="13.9" customHeight="1">
      <c r="A13" s="66" t="s">
        <v>406</v>
      </c>
      <c r="B13" s="63">
        <v>66</v>
      </c>
      <c r="C13" s="64">
        <v>10.5</v>
      </c>
      <c r="D13" s="64">
        <v>24.4</v>
      </c>
      <c r="E13" s="63">
        <v>11</v>
      </c>
      <c r="F13" s="64">
        <v>10.5</v>
      </c>
      <c r="G13" s="64">
        <v>10.9</v>
      </c>
      <c r="J13" s="375"/>
      <c r="K13" s="66" t="s">
        <v>406</v>
      </c>
      <c r="L13" s="64">
        <v>10.5</v>
      </c>
      <c r="M13" s="64">
        <v>24.4</v>
      </c>
      <c r="N13" s="64">
        <v>10.5</v>
      </c>
      <c r="O13" s="64">
        <v>10.9</v>
      </c>
      <c r="Q13" s="374" t="s">
        <v>407</v>
      </c>
      <c r="R13" s="374"/>
      <c r="S13" s="374"/>
    </row>
    <row r="14" spans="1:19">
      <c r="A14" s="66" t="s">
        <v>408</v>
      </c>
      <c r="B14" s="63">
        <v>66</v>
      </c>
      <c r="C14" s="64">
        <v>10.4</v>
      </c>
      <c r="D14" s="64">
        <v>27.5</v>
      </c>
      <c r="E14" s="63">
        <v>11</v>
      </c>
      <c r="F14" s="64">
        <v>10.4</v>
      </c>
      <c r="G14" s="64">
        <v>11</v>
      </c>
      <c r="J14" s="375"/>
      <c r="K14" s="66" t="s">
        <v>408</v>
      </c>
      <c r="L14" s="64">
        <v>10.4</v>
      </c>
      <c r="M14" s="64">
        <v>27.5</v>
      </c>
      <c r="N14" s="64">
        <v>10.4</v>
      </c>
      <c r="O14" s="64">
        <v>11</v>
      </c>
      <c r="Q14" s="374"/>
      <c r="R14" s="374"/>
      <c r="S14" s="374"/>
    </row>
    <row r="15" spans="1:19">
      <c r="A15" s="66" t="s">
        <v>409</v>
      </c>
      <c r="B15" s="63">
        <v>66</v>
      </c>
      <c r="C15" s="64">
        <v>10.3</v>
      </c>
      <c r="D15" s="64">
        <v>21.5</v>
      </c>
      <c r="E15" s="63">
        <v>11</v>
      </c>
      <c r="F15" s="64">
        <v>10.3</v>
      </c>
      <c r="G15" s="64">
        <v>10.8</v>
      </c>
      <c r="J15" s="375"/>
      <c r="K15" s="66" t="s">
        <v>409</v>
      </c>
      <c r="L15" s="64">
        <v>10.3</v>
      </c>
      <c r="M15" s="64">
        <v>21.5</v>
      </c>
      <c r="N15" s="64">
        <v>10.3</v>
      </c>
      <c r="O15" s="64">
        <v>10.8</v>
      </c>
      <c r="Q15" s="374"/>
      <c r="R15" s="374"/>
      <c r="S15" s="374"/>
    </row>
    <row r="16" spans="1:19">
      <c r="A16" s="66" t="s">
        <v>410</v>
      </c>
      <c r="B16" s="63">
        <v>66</v>
      </c>
      <c r="C16" s="64">
        <v>10.6</v>
      </c>
      <c r="D16" s="64">
        <v>17.100000000000001</v>
      </c>
      <c r="E16" s="63">
        <v>11</v>
      </c>
      <c r="F16" s="64">
        <v>10.6</v>
      </c>
      <c r="G16" s="64">
        <v>10.9</v>
      </c>
      <c r="J16" s="375"/>
      <c r="K16" s="66" t="s">
        <v>410</v>
      </c>
      <c r="L16" s="64">
        <v>10.6</v>
      </c>
      <c r="M16" s="64">
        <v>17.100000000000001</v>
      </c>
      <c r="N16" s="64">
        <v>10.6</v>
      </c>
      <c r="O16" s="64">
        <v>10.9</v>
      </c>
      <c r="Q16" s="374"/>
      <c r="R16" s="374"/>
      <c r="S16" s="374"/>
    </row>
    <row r="17" spans="1:15">
      <c r="A17" s="66" t="s">
        <v>411</v>
      </c>
      <c r="B17" s="63">
        <v>66</v>
      </c>
      <c r="C17" s="64">
        <v>9.5</v>
      </c>
      <c r="D17" s="64">
        <v>13.4</v>
      </c>
      <c r="E17" s="63">
        <v>11</v>
      </c>
      <c r="F17" s="64">
        <v>9.5</v>
      </c>
      <c r="G17" s="64">
        <v>10.9</v>
      </c>
      <c r="J17" s="375"/>
      <c r="K17" s="66" t="s">
        <v>411</v>
      </c>
      <c r="L17" s="64">
        <v>9.5</v>
      </c>
      <c r="M17" s="64">
        <v>13.4</v>
      </c>
      <c r="N17" s="64">
        <v>9.5</v>
      </c>
      <c r="O17" s="64">
        <v>10.9</v>
      </c>
    </row>
    <row r="18" spans="1:15">
      <c r="A18" s="66" t="s">
        <v>412</v>
      </c>
      <c r="B18" s="63">
        <v>66</v>
      </c>
      <c r="C18" s="64">
        <v>9.1</v>
      </c>
      <c r="D18" s="64">
        <v>18.899999999999999</v>
      </c>
      <c r="E18" s="63">
        <v>11</v>
      </c>
      <c r="F18" s="64">
        <v>9.1</v>
      </c>
      <c r="G18" s="64">
        <v>10.6</v>
      </c>
      <c r="J18" s="375"/>
      <c r="K18" s="66" t="s">
        <v>412</v>
      </c>
      <c r="L18" s="64">
        <v>9.1</v>
      </c>
      <c r="M18" s="64">
        <v>18.899999999999999</v>
      </c>
      <c r="N18" s="64">
        <v>9.1</v>
      </c>
      <c r="O18" s="64">
        <v>10.6</v>
      </c>
    </row>
    <row r="19" spans="1:15">
      <c r="J19" s="375"/>
      <c r="K19" s="62" t="s">
        <v>413</v>
      </c>
      <c r="L19" s="62">
        <f>AVERAGE(L7:L18)</f>
        <v>10.35</v>
      </c>
      <c r="M19" s="62">
        <f>MAX(M7:M18)</f>
        <v>27.5</v>
      </c>
      <c r="N19" s="62">
        <f>AVERAGE(N7:N18)</f>
        <v>10.35</v>
      </c>
      <c r="O19" s="62">
        <f>MAX(O7:O18)</f>
        <v>11</v>
      </c>
    </row>
    <row r="21" spans="1:15" ht="41.45">
      <c r="J21" s="61">
        <f>+A6</f>
        <v>2022</v>
      </c>
      <c r="K21" s="61" t="s">
        <v>395</v>
      </c>
      <c r="L21" s="67" t="s">
        <v>390</v>
      </c>
      <c r="M21" s="67" t="s">
        <v>396</v>
      </c>
      <c r="N21" s="67" t="s">
        <v>393</v>
      </c>
      <c r="O21" s="67" t="s">
        <v>397</v>
      </c>
    </row>
    <row r="22" spans="1:15">
      <c r="J22" s="375" t="s">
        <v>187</v>
      </c>
      <c r="K22" s="66" t="s">
        <v>398</v>
      </c>
      <c r="L22" s="64"/>
      <c r="M22" s="64"/>
      <c r="N22" s="64"/>
      <c r="O22" s="64"/>
    </row>
    <row r="23" spans="1:15">
      <c r="J23" s="375"/>
      <c r="K23" s="66" t="s">
        <v>399</v>
      </c>
      <c r="L23" s="64"/>
      <c r="M23" s="64"/>
      <c r="N23" s="64"/>
      <c r="O23" s="64"/>
    </row>
    <row r="24" spans="1:15">
      <c r="J24" s="375"/>
      <c r="K24" s="66" t="s">
        <v>400</v>
      </c>
      <c r="L24" s="64"/>
      <c r="M24" s="64"/>
      <c r="N24" s="64"/>
      <c r="O24" s="64"/>
    </row>
    <row r="25" spans="1:15">
      <c r="J25" s="375"/>
      <c r="K25" s="66" t="s">
        <v>402</v>
      </c>
      <c r="L25" s="64"/>
      <c r="M25" s="64"/>
      <c r="N25" s="64"/>
      <c r="O25" s="64"/>
    </row>
    <row r="26" spans="1:15">
      <c r="J26" s="375"/>
      <c r="K26" s="66" t="s">
        <v>404</v>
      </c>
      <c r="L26" s="64"/>
      <c r="M26" s="64"/>
      <c r="N26" s="64"/>
      <c r="O26" s="64"/>
    </row>
    <row r="27" spans="1:15">
      <c r="J27" s="375"/>
      <c r="K27" s="66" t="s">
        <v>405</v>
      </c>
      <c r="L27" s="64"/>
      <c r="M27" s="64"/>
      <c r="N27" s="64"/>
      <c r="O27" s="64"/>
    </row>
    <row r="28" spans="1:15">
      <c r="J28" s="375"/>
      <c r="K28" s="66" t="s">
        <v>406</v>
      </c>
      <c r="L28" s="64"/>
      <c r="M28" s="64"/>
      <c r="N28" s="64"/>
      <c r="O28" s="64"/>
    </row>
    <row r="29" spans="1:15">
      <c r="J29" s="375"/>
      <c r="K29" s="66" t="s">
        <v>408</v>
      </c>
      <c r="L29" s="64"/>
      <c r="M29" s="64"/>
      <c r="N29" s="64"/>
      <c r="O29" s="64"/>
    </row>
    <row r="30" spans="1:15">
      <c r="J30" s="375"/>
      <c r="K30" s="66" t="s">
        <v>409</v>
      </c>
      <c r="L30" s="64"/>
      <c r="M30" s="64"/>
      <c r="N30" s="64"/>
      <c r="O30" s="64"/>
    </row>
    <row r="31" spans="1:15">
      <c r="J31" s="375"/>
      <c r="K31" s="66" t="s">
        <v>410</v>
      </c>
      <c r="L31" s="64"/>
      <c r="M31" s="64"/>
      <c r="N31" s="64"/>
      <c r="O31" s="64"/>
    </row>
    <row r="32" spans="1:15">
      <c r="J32" s="375"/>
      <c r="K32" s="66" t="s">
        <v>411</v>
      </c>
      <c r="L32" s="64"/>
      <c r="M32" s="64"/>
      <c r="N32" s="64"/>
      <c r="O32" s="64"/>
    </row>
    <row r="33" spans="1:15">
      <c r="J33" s="375"/>
      <c r="K33" s="66" t="s">
        <v>412</v>
      </c>
      <c r="L33" s="64"/>
      <c r="M33" s="64"/>
      <c r="N33" s="64"/>
      <c r="O33" s="64"/>
    </row>
    <row r="34" spans="1:15">
      <c r="J34" s="375"/>
      <c r="K34" s="62" t="s">
        <v>413</v>
      </c>
      <c r="L34" s="62" t="e">
        <f>AVERAGE(L22:L33)</f>
        <v>#DIV/0!</v>
      </c>
      <c r="M34" s="62">
        <f>MAX(M22:M33)</f>
        <v>0</v>
      </c>
      <c r="N34" s="62" t="e">
        <f>AVERAGE(N22:N33)</f>
        <v>#DIV/0!</v>
      </c>
      <c r="O34" s="62">
        <f>MAX(O22:O33)</f>
        <v>0</v>
      </c>
    </row>
    <row r="36" spans="1:15" ht="41.45">
      <c r="J36" s="61">
        <f>+A6</f>
        <v>2022</v>
      </c>
      <c r="K36" s="61" t="s">
        <v>395</v>
      </c>
      <c r="L36" s="67" t="s">
        <v>390</v>
      </c>
      <c r="M36" s="67" t="s">
        <v>396</v>
      </c>
      <c r="N36" s="67" t="s">
        <v>393</v>
      </c>
      <c r="O36" s="67" t="s">
        <v>397</v>
      </c>
    </row>
    <row r="37" spans="1:15">
      <c r="J37" s="375" t="s">
        <v>188</v>
      </c>
      <c r="K37" s="66" t="s">
        <v>398</v>
      </c>
      <c r="L37" s="64"/>
      <c r="M37" s="64"/>
      <c r="N37" s="64"/>
      <c r="O37" s="64"/>
    </row>
    <row r="38" spans="1:15">
      <c r="J38" s="375"/>
      <c r="K38" s="66" t="s">
        <v>399</v>
      </c>
      <c r="L38" s="64"/>
      <c r="M38" s="64"/>
      <c r="N38" s="64"/>
      <c r="O38" s="64"/>
    </row>
    <row r="39" spans="1:15">
      <c r="J39" s="375"/>
      <c r="K39" s="66" t="s">
        <v>400</v>
      </c>
      <c r="L39" s="64"/>
      <c r="M39" s="64"/>
      <c r="N39" s="64"/>
      <c r="O39" s="64"/>
    </row>
    <row r="40" spans="1:15">
      <c r="J40" s="375"/>
      <c r="K40" s="66" t="s">
        <v>402</v>
      </c>
      <c r="L40" s="64"/>
      <c r="M40" s="64"/>
      <c r="N40" s="64"/>
      <c r="O40" s="64"/>
    </row>
    <row r="41" spans="1:15">
      <c r="J41" s="375"/>
      <c r="K41" s="66" t="s">
        <v>404</v>
      </c>
      <c r="L41" s="64"/>
      <c r="M41" s="64"/>
      <c r="N41" s="64"/>
      <c r="O41" s="64"/>
    </row>
    <row r="42" spans="1:15">
      <c r="J42" s="375"/>
      <c r="K42" s="66" t="s">
        <v>405</v>
      </c>
      <c r="L42" s="64"/>
      <c r="M42" s="64"/>
      <c r="N42" s="64"/>
      <c r="O42" s="64"/>
    </row>
    <row r="43" spans="1:15">
      <c r="J43" s="375"/>
      <c r="K43" s="66" t="s">
        <v>406</v>
      </c>
      <c r="L43" s="64"/>
      <c r="M43" s="64"/>
      <c r="N43" s="64"/>
      <c r="O43" s="64"/>
    </row>
    <row r="44" spans="1:15">
      <c r="J44" s="375"/>
      <c r="K44" s="66" t="s">
        <v>408</v>
      </c>
      <c r="L44" s="64"/>
      <c r="M44" s="64"/>
      <c r="N44" s="64"/>
      <c r="O44" s="64"/>
    </row>
    <row r="45" spans="1:15">
      <c r="J45" s="375"/>
      <c r="K45" s="66" t="s">
        <v>409</v>
      </c>
      <c r="L45" s="64"/>
      <c r="M45" s="64"/>
      <c r="N45" s="64"/>
      <c r="O45" s="64"/>
    </row>
    <row r="46" spans="1:15">
      <c r="J46" s="375"/>
      <c r="K46" s="66" t="s">
        <v>410</v>
      </c>
      <c r="L46" s="64"/>
      <c r="M46" s="64"/>
      <c r="N46" s="64"/>
      <c r="O46" s="64"/>
    </row>
    <row r="47" spans="1:15">
      <c r="J47" s="375"/>
      <c r="K47" s="66" t="s">
        <v>411</v>
      </c>
      <c r="L47" s="64"/>
      <c r="M47" s="64"/>
      <c r="N47" s="64"/>
      <c r="O47" s="64"/>
    </row>
    <row r="48" spans="1:15">
      <c r="A48" s="387" t="s">
        <v>282</v>
      </c>
      <c r="B48" s="388"/>
      <c r="C48" s="388"/>
      <c r="D48" s="388"/>
      <c r="E48" s="388"/>
      <c r="F48" s="388"/>
      <c r="G48" s="389"/>
      <c r="J48" s="375"/>
      <c r="K48" s="66" t="s">
        <v>412</v>
      </c>
      <c r="L48" s="64"/>
      <c r="M48" s="64"/>
      <c r="N48" s="64"/>
      <c r="O48" s="64"/>
    </row>
    <row r="49" spans="1:15">
      <c r="A49" s="378"/>
      <c r="B49" s="379"/>
      <c r="C49" s="379"/>
      <c r="D49" s="379"/>
      <c r="E49" s="379"/>
      <c r="F49" s="379"/>
      <c r="G49" s="380"/>
      <c r="J49" s="375"/>
      <c r="K49" s="62" t="s">
        <v>413</v>
      </c>
      <c r="L49" s="62" t="e">
        <f>AVERAGE(L37:L48)</f>
        <v>#DIV/0!</v>
      </c>
      <c r="M49" s="62">
        <f>MAX(M37:M48)</f>
        <v>0</v>
      </c>
      <c r="N49" s="62" t="e">
        <f>AVERAGE(N37:N48)</f>
        <v>#DIV/0!</v>
      </c>
      <c r="O49" s="62">
        <f>MAX(O37:O48)</f>
        <v>0</v>
      </c>
    </row>
    <row r="50" spans="1:15">
      <c r="A50" s="381"/>
      <c r="B50" s="382"/>
      <c r="C50" s="382"/>
      <c r="D50" s="382"/>
      <c r="E50" s="382"/>
      <c r="F50" s="382"/>
      <c r="G50" s="383"/>
    </row>
    <row r="51" spans="1:15" ht="41.45">
      <c r="A51" s="381"/>
      <c r="B51" s="382"/>
      <c r="C51" s="382"/>
      <c r="D51" s="382"/>
      <c r="E51" s="382"/>
      <c r="F51" s="382"/>
      <c r="G51" s="383"/>
      <c r="J51" s="61">
        <f>+A6</f>
        <v>2022</v>
      </c>
      <c r="K51" s="61" t="s">
        <v>395</v>
      </c>
      <c r="L51" s="67" t="s">
        <v>390</v>
      </c>
      <c r="M51" s="67" t="s">
        <v>396</v>
      </c>
      <c r="N51" s="67" t="s">
        <v>393</v>
      </c>
      <c r="O51" s="67" t="s">
        <v>397</v>
      </c>
    </row>
    <row r="52" spans="1:15">
      <c r="A52" s="384"/>
      <c r="B52" s="385"/>
      <c r="C52" s="385"/>
      <c r="D52" s="385"/>
      <c r="E52" s="385"/>
      <c r="F52" s="385"/>
      <c r="G52" s="386"/>
      <c r="J52" s="375" t="s">
        <v>189</v>
      </c>
      <c r="K52" s="66" t="s">
        <v>398</v>
      </c>
      <c r="L52" s="64"/>
      <c r="M52" s="64"/>
      <c r="N52" s="64"/>
      <c r="O52" s="64"/>
    </row>
    <row r="53" spans="1:15">
      <c r="J53" s="375"/>
      <c r="K53" s="66" t="s">
        <v>399</v>
      </c>
      <c r="L53" s="64"/>
      <c r="M53" s="64"/>
      <c r="N53" s="64"/>
      <c r="O53" s="64"/>
    </row>
    <row r="54" spans="1:15">
      <c r="J54" s="375"/>
      <c r="K54" s="66" t="s">
        <v>400</v>
      </c>
      <c r="L54" s="64"/>
      <c r="M54" s="64"/>
      <c r="N54" s="64"/>
      <c r="O54" s="64"/>
    </row>
    <row r="55" spans="1:15">
      <c r="J55" s="375"/>
      <c r="K55" s="66" t="s">
        <v>402</v>
      </c>
      <c r="L55" s="64"/>
      <c r="M55" s="64"/>
      <c r="N55" s="64"/>
      <c r="O55" s="64"/>
    </row>
    <row r="56" spans="1:15">
      <c r="J56" s="375"/>
      <c r="K56" s="66" t="s">
        <v>404</v>
      </c>
      <c r="L56" s="64"/>
      <c r="M56" s="64"/>
      <c r="N56" s="64"/>
      <c r="O56" s="64"/>
    </row>
    <row r="57" spans="1:15">
      <c r="J57" s="375"/>
      <c r="K57" s="66" t="s">
        <v>405</v>
      </c>
      <c r="L57" s="64"/>
      <c r="M57" s="64"/>
      <c r="N57" s="64"/>
      <c r="O57" s="64"/>
    </row>
    <row r="58" spans="1:15">
      <c r="J58" s="375"/>
      <c r="K58" s="66" t="s">
        <v>406</v>
      </c>
      <c r="L58" s="64"/>
      <c r="M58" s="64"/>
      <c r="N58" s="64"/>
      <c r="O58" s="64"/>
    </row>
    <row r="59" spans="1:15">
      <c r="J59" s="375"/>
      <c r="K59" s="66" t="s">
        <v>408</v>
      </c>
      <c r="L59" s="64"/>
      <c r="M59" s="64"/>
      <c r="N59" s="64"/>
      <c r="O59" s="64"/>
    </row>
    <row r="60" spans="1:15">
      <c r="J60" s="375"/>
      <c r="K60" s="66" t="s">
        <v>409</v>
      </c>
      <c r="L60" s="64"/>
      <c r="M60" s="64"/>
      <c r="N60" s="64"/>
      <c r="O60" s="64"/>
    </row>
    <row r="61" spans="1:15">
      <c r="J61" s="375"/>
      <c r="K61" s="66" t="s">
        <v>410</v>
      </c>
      <c r="L61" s="64"/>
      <c r="M61" s="64"/>
      <c r="N61" s="64"/>
      <c r="O61" s="64"/>
    </row>
    <row r="62" spans="1:15">
      <c r="J62" s="375"/>
      <c r="K62" s="66" t="s">
        <v>411</v>
      </c>
      <c r="L62" s="64"/>
      <c r="M62" s="64"/>
      <c r="N62" s="64"/>
      <c r="O62" s="64"/>
    </row>
    <row r="63" spans="1:15">
      <c r="J63" s="375"/>
      <c r="K63" s="66" t="s">
        <v>412</v>
      </c>
      <c r="L63" s="64"/>
      <c r="M63" s="64"/>
      <c r="N63" s="64"/>
      <c r="O63" s="64"/>
    </row>
    <row r="64" spans="1:15">
      <c r="J64" s="375"/>
      <c r="K64" s="62" t="s">
        <v>413</v>
      </c>
      <c r="L64" s="62" t="e">
        <f>AVERAGE(L52:L63)</f>
        <v>#DIV/0!</v>
      </c>
      <c r="M64" s="62">
        <f>MAX(M52:M63)</f>
        <v>0</v>
      </c>
      <c r="N64" s="62" t="e">
        <f>AVERAGE(N52:N63)</f>
        <v>#DIV/0!</v>
      </c>
      <c r="O64" s="62">
        <f>MAX(O52:O63)</f>
        <v>0</v>
      </c>
    </row>
    <row r="66" spans="10:15" ht="41.45">
      <c r="J66" s="61">
        <f>+A6</f>
        <v>2022</v>
      </c>
      <c r="K66" s="61" t="s">
        <v>395</v>
      </c>
      <c r="L66" s="67" t="s">
        <v>390</v>
      </c>
      <c r="M66" s="67" t="s">
        <v>396</v>
      </c>
      <c r="N66" s="67" t="s">
        <v>393</v>
      </c>
      <c r="O66" s="67" t="s">
        <v>397</v>
      </c>
    </row>
    <row r="67" spans="10:15">
      <c r="J67" s="375" t="s">
        <v>190</v>
      </c>
      <c r="K67" s="66" t="s">
        <v>398</v>
      </c>
      <c r="L67" s="64"/>
      <c r="M67" s="64"/>
      <c r="N67" s="64"/>
      <c r="O67" s="64"/>
    </row>
    <row r="68" spans="10:15">
      <c r="J68" s="375"/>
      <c r="K68" s="66" t="s">
        <v>399</v>
      </c>
      <c r="L68" s="64"/>
      <c r="M68" s="64"/>
      <c r="N68" s="64"/>
      <c r="O68" s="64"/>
    </row>
    <row r="69" spans="10:15">
      <c r="J69" s="375"/>
      <c r="K69" s="66" t="s">
        <v>400</v>
      </c>
      <c r="L69" s="64"/>
      <c r="M69" s="64"/>
      <c r="N69" s="64"/>
      <c r="O69" s="64"/>
    </row>
    <row r="70" spans="10:15">
      <c r="J70" s="375"/>
      <c r="K70" s="66" t="s">
        <v>402</v>
      </c>
      <c r="L70" s="64"/>
      <c r="M70" s="64"/>
      <c r="N70" s="64"/>
      <c r="O70" s="64"/>
    </row>
    <row r="71" spans="10:15">
      <c r="J71" s="375"/>
      <c r="K71" s="66" t="s">
        <v>404</v>
      </c>
      <c r="L71" s="64"/>
      <c r="M71" s="64"/>
      <c r="N71" s="64"/>
      <c r="O71" s="64"/>
    </row>
    <row r="72" spans="10:15">
      <c r="J72" s="375"/>
      <c r="K72" s="66" t="s">
        <v>405</v>
      </c>
      <c r="L72" s="64"/>
      <c r="M72" s="64"/>
      <c r="N72" s="64"/>
      <c r="O72" s="64"/>
    </row>
    <row r="73" spans="10:15">
      <c r="J73" s="375"/>
      <c r="K73" s="66" t="s">
        <v>406</v>
      </c>
      <c r="L73" s="64"/>
      <c r="M73" s="64"/>
      <c r="N73" s="64"/>
      <c r="O73" s="64"/>
    </row>
    <row r="74" spans="10:15">
      <c r="J74" s="375"/>
      <c r="K74" s="66" t="s">
        <v>408</v>
      </c>
      <c r="L74" s="64"/>
      <c r="M74" s="64"/>
      <c r="N74" s="64"/>
      <c r="O74" s="64"/>
    </row>
    <row r="75" spans="10:15">
      <c r="J75" s="375"/>
      <c r="K75" s="66" t="s">
        <v>409</v>
      </c>
      <c r="L75" s="64"/>
      <c r="M75" s="64"/>
      <c r="N75" s="64"/>
      <c r="O75" s="64"/>
    </row>
    <row r="76" spans="10:15">
      <c r="J76" s="375"/>
      <c r="K76" s="66" t="s">
        <v>410</v>
      </c>
      <c r="L76" s="64"/>
      <c r="M76" s="64"/>
      <c r="N76" s="64"/>
      <c r="O76" s="64"/>
    </row>
    <row r="77" spans="10:15">
      <c r="J77" s="375"/>
      <c r="K77" s="66" t="s">
        <v>411</v>
      </c>
      <c r="L77" s="64"/>
      <c r="M77" s="64"/>
      <c r="N77" s="64"/>
      <c r="O77" s="64"/>
    </row>
    <row r="78" spans="10:15">
      <c r="J78" s="375"/>
      <c r="K78" s="66" t="s">
        <v>412</v>
      </c>
      <c r="L78" s="64"/>
      <c r="M78" s="64"/>
      <c r="N78" s="64"/>
      <c r="O78" s="64"/>
    </row>
    <row r="79" spans="10:15">
      <c r="J79" s="375"/>
      <c r="K79" s="62" t="s">
        <v>413</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workbookViewId="0">
      <selection activeCell="L19" sqref="L19"/>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EPR Thetford Power Station</v>
      </c>
      <c r="F1" s="93"/>
      <c r="G1" s="93"/>
    </row>
    <row r="3" spans="1:19" ht="14.45">
      <c r="A3" s="60" t="s">
        <v>414</v>
      </c>
      <c r="D3" s="76" t="s">
        <v>382</v>
      </c>
      <c r="G3" s="80" t="s">
        <v>383</v>
      </c>
      <c r="J3" s="9" t="str">
        <f>+A3</f>
        <v>Monitoring of Sulphur dioxide emissions</v>
      </c>
      <c r="L3" s="9"/>
      <c r="N3" s="9" t="s">
        <v>384</v>
      </c>
      <c r="Q3" s="79" t="s">
        <v>3</v>
      </c>
      <c r="R3" s="74"/>
      <c r="S3" s="74"/>
    </row>
    <row r="4" spans="1:19" ht="13.9" customHeight="1">
      <c r="Q4" s="353" t="s">
        <v>385</v>
      </c>
      <c r="R4" s="353"/>
      <c r="S4" s="353"/>
    </row>
    <row r="5" spans="1:19" ht="16.149999999999999">
      <c r="A5" s="68" t="s">
        <v>386</v>
      </c>
      <c r="B5" s="377" t="s">
        <v>387</v>
      </c>
      <c r="C5" s="377"/>
      <c r="D5" s="377"/>
      <c r="E5" s="377" t="s">
        <v>388</v>
      </c>
      <c r="F5" s="377"/>
      <c r="G5" s="377"/>
      <c r="J5" s="376"/>
      <c r="K5" s="376"/>
      <c r="L5" s="376"/>
      <c r="M5" s="376"/>
      <c r="N5" s="376"/>
      <c r="O5" s="376"/>
      <c r="Q5" s="353"/>
      <c r="R5" s="353"/>
      <c r="S5" s="353"/>
    </row>
    <row r="6" spans="1:19" s="58" customFormat="1" ht="37.5" customHeight="1">
      <c r="A6" s="65">
        <f>+'Cover Page'!C39</f>
        <v>2022</v>
      </c>
      <c r="B6" s="55" t="s">
        <v>415</v>
      </c>
      <c r="C6" s="55" t="s">
        <v>390</v>
      </c>
      <c r="D6" s="55" t="s">
        <v>391</v>
      </c>
      <c r="E6" s="55" t="s">
        <v>416</v>
      </c>
      <c r="F6" s="55" t="s">
        <v>393</v>
      </c>
      <c r="G6" s="55" t="s">
        <v>394</v>
      </c>
      <c r="H6" s="59"/>
      <c r="J6" s="61">
        <f>+A6</f>
        <v>2022</v>
      </c>
      <c r="K6" s="61" t="s">
        <v>395</v>
      </c>
      <c r="L6" s="67" t="s">
        <v>390</v>
      </c>
      <c r="M6" s="67" t="s">
        <v>396</v>
      </c>
      <c r="N6" s="67" t="s">
        <v>393</v>
      </c>
      <c r="O6" s="67" t="s">
        <v>397</v>
      </c>
      <c r="Q6" s="353"/>
      <c r="R6" s="353"/>
      <c r="S6" s="353"/>
    </row>
    <row r="7" spans="1:19">
      <c r="A7" s="66" t="s">
        <v>398</v>
      </c>
      <c r="B7" s="63">
        <v>320</v>
      </c>
      <c r="C7" s="64">
        <v>38.1</v>
      </c>
      <c r="D7" s="64">
        <v>91.5</v>
      </c>
      <c r="E7" s="63">
        <v>80</v>
      </c>
      <c r="F7" s="64">
        <v>38.1</v>
      </c>
      <c r="G7" s="64">
        <v>69.099999999999994</v>
      </c>
      <c r="J7" s="375" t="s">
        <v>186</v>
      </c>
      <c r="K7" s="66" t="s">
        <v>398</v>
      </c>
      <c r="L7" s="64">
        <v>38.1</v>
      </c>
      <c r="M7" s="64">
        <v>91.5</v>
      </c>
      <c r="N7" s="64">
        <v>38.1</v>
      </c>
      <c r="O7" s="64">
        <v>69.099999999999994</v>
      </c>
      <c r="Q7" s="353"/>
      <c r="R7" s="353"/>
      <c r="S7" s="353"/>
    </row>
    <row r="8" spans="1:19">
      <c r="A8" s="66" t="s">
        <v>399</v>
      </c>
      <c r="B8" s="63">
        <v>320</v>
      </c>
      <c r="C8" s="64">
        <v>28.4</v>
      </c>
      <c r="D8" s="64">
        <v>76.2</v>
      </c>
      <c r="E8" s="63">
        <v>80</v>
      </c>
      <c r="F8" s="64">
        <v>28.4</v>
      </c>
      <c r="G8" s="64">
        <v>53.9</v>
      </c>
      <c r="J8" s="375"/>
      <c r="K8" s="66" t="s">
        <v>399</v>
      </c>
      <c r="L8" s="64">
        <v>28.4</v>
      </c>
      <c r="M8" s="64">
        <v>76.2</v>
      </c>
      <c r="N8" s="64">
        <v>28.4</v>
      </c>
      <c r="O8" s="64">
        <v>53.9</v>
      </c>
      <c r="Q8" s="353"/>
      <c r="R8" s="353"/>
      <c r="S8" s="353"/>
    </row>
    <row r="9" spans="1:19">
      <c r="A9" s="66" t="s">
        <v>400</v>
      </c>
      <c r="B9" s="63">
        <v>320</v>
      </c>
      <c r="C9" s="64">
        <v>26.7</v>
      </c>
      <c r="D9" s="64">
        <v>170.1</v>
      </c>
      <c r="E9" s="63">
        <v>80</v>
      </c>
      <c r="F9" s="64">
        <v>26.7</v>
      </c>
      <c r="G9" s="64">
        <v>48</v>
      </c>
      <c r="J9" s="375"/>
      <c r="K9" s="66" t="s">
        <v>400</v>
      </c>
      <c r="L9" s="64">
        <v>26.7</v>
      </c>
      <c r="M9" s="64">
        <v>170.1</v>
      </c>
      <c r="N9" s="64">
        <v>26.7</v>
      </c>
      <c r="O9" s="64">
        <v>48</v>
      </c>
      <c r="Q9" s="78" t="s">
        <v>401</v>
      </c>
    </row>
    <row r="10" spans="1:19" ht="14.25" customHeight="1">
      <c r="A10" s="66" t="s">
        <v>402</v>
      </c>
      <c r="B10" s="63">
        <v>320</v>
      </c>
      <c r="C10" s="64">
        <v>32.1</v>
      </c>
      <c r="D10" s="64">
        <v>99.7</v>
      </c>
      <c r="E10" s="63">
        <v>80</v>
      </c>
      <c r="F10" s="64">
        <v>32.1</v>
      </c>
      <c r="G10" s="64">
        <v>53.7</v>
      </c>
      <c r="J10" s="375"/>
      <c r="K10" s="66" t="s">
        <v>402</v>
      </c>
      <c r="L10" s="64">
        <v>32.1</v>
      </c>
      <c r="M10" s="64">
        <v>99.7</v>
      </c>
      <c r="N10" s="64">
        <v>32.1</v>
      </c>
      <c r="O10" s="64">
        <v>53.7</v>
      </c>
      <c r="Q10" s="374" t="s">
        <v>403</v>
      </c>
      <c r="R10" s="374"/>
      <c r="S10" s="374"/>
    </row>
    <row r="11" spans="1:19">
      <c r="A11" s="66" t="s">
        <v>404</v>
      </c>
      <c r="B11" s="63">
        <v>320</v>
      </c>
      <c r="C11" s="64">
        <v>31.1</v>
      </c>
      <c r="D11" s="64">
        <v>70.5</v>
      </c>
      <c r="E11" s="63">
        <v>80</v>
      </c>
      <c r="F11" s="64">
        <v>31.1</v>
      </c>
      <c r="G11" s="64">
        <v>47.4</v>
      </c>
      <c r="J11" s="375"/>
      <c r="K11" s="66" t="s">
        <v>404</v>
      </c>
      <c r="L11" s="64">
        <v>31.1</v>
      </c>
      <c r="M11" s="64">
        <v>70.5</v>
      </c>
      <c r="N11" s="64">
        <v>31.1</v>
      </c>
      <c r="O11" s="64">
        <v>47.4</v>
      </c>
      <c r="Q11" s="374"/>
      <c r="R11" s="374"/>
      <c r="S11" s="374"/>
    </row>
    <row r="12" spans="1:19">
      <c r="A12" s="66" t="s">
        <v>405</v>
      </c>
      <c r="B12" s="63">
        <v>320</v>
      </c>
      <c r="C12" s="64">
        <v>26.5</v>
      </c>
      <c r="D12" s="64">
        <v>69.8</v>
      </c>
      <c r="E12" s="63">
        <v>80</v>
      </c>
      <c r="F12" s="64">
        <v>26.5</v>
      </c>
      <c r="G12" s="64">
        <v>41.2</v>
      </c>
      <c r="J12" s="375"/>
      <c r="K12" s="66" t="s">
        <v>405</v>
      </c>
      <c r="L12" s="64">
        <v>26.5</v>
      </c>
      <c r="M12" s="64">
        <v>69.8</v>
      </c>
      <c r="N12" s="64">
        <v>26.5</v>
      </c>
      <c r="O12" s="64">
        <v>41.2</v>
      </c>
      <c r="Q12" s="374"/>
      <c r="R12" s="374"/>
      <c r="S12" s="374"/>
    </row>
    <row r="13" spans="1:19" ht="14.25" customHeight="1">
      <c r="A13" s="66" t="s">
        <v>406</v>
      </c>
      <c r="B13" s="63">
        <v>320</v>
      </c>
      <c r="C13" s="64">
        <v>24.3</v>
      </c>
      <c r="D13" s="64">
        <v>76.5</v>
      </c>
      <c r="E13" s="63">
        <v>80</v>
      </c>
      <c r="F13" s="64">
        <v>24.3</v>
      </c>
      <c r="G13" s="64">
        <v>41.2</v>
      </c>
      <c r="J13" s="375"/>
      <c r="K13" s="66" t="s">
        <v>406</v>
      </c>
      <c r="L13" s="64">
        <v>24.3</v>
      </c>
      <c r="M13" s="64">
        <v>76.5</v>
      </c>
      <c r="N13" s="64">
        <v>24.3</v>
      </c>
      <c r="O13" s="64">
        <v>41.2</v>
      </c>
      <c r="Q13" s="374" t="s">
        <v>407</v>
      </c>
      <c r="R13" s="374"/>
      <c r="S13" s="374"/>
    </row>
    <row r="14" spans="1:19">
      <c r="A14" s="66" t="s">
        <v>408</v>
      </c>
      <c r="B14" s="63">
        <v>320</v>
      </c>
      <c r="C14" s="64">
        <v>30</v>
      </c>
      <c r="D14" s="64">
        <v>56.1</v>
      </c>
      <c r="E14" s="63">
        <v>80</v>
      </c>
      <c r="F14" s="64">
        <v>30</v>
      </c>
      <c r="G14" s="64">
        <v>38.1</v>
      </c>
      <c r="J14" s="375"/>
      <c r="K14" s="66" t="s">
        <v>408</v>
      </c>
      <c r="L14" s="64">
        <v>30</v>
      </c>
      <c r="M14" s="64">
        <v>56.1</v>
      </c>
      <c r="N14" s="64">
        <v>30</v>
      </c>
      <c r="O14" s="64">
        <v>38.1</v>
      </c>
      <c r="Q14" s="374"/>
      <c r="R14" s="374"/>
      <c r="S14" s="374"/>
    </row>
    <row r="15" spans="1:19">
      <c r="A15" s="66" t="s">
        <v>409</v>
      </c>
      <c r="B15" s="63">
        <v>320</v>
      </c>
      <c r="C15" s="64">
        <v>26.7</v>
      </c>
      <c r="D15" s="64">
        <v>52.3</v>
      </c>
      <c r="E15" s="63">
        <v>80</v>
      </c>
      <c r="F15" s="64">
        <v>26.7</v>
      </c>
      <c r="G15" s="64">
        <v>32.200000000000003</v>
      </c>
      <c r="J15" s="375"/>
      <c r="K15" s="66" t="s">
        <v>409</v>
      </c>
      <c r="L15" s="64">
        <v>26.7</v>
      </c>
      <c r="M15" s="64">
        <v>52.3</v>
      </c>
      <c r="N15" s="64">
        <v>26.7</v>
      </c>
      <c r="O15" s="64">
        <v>32.200000000000003</v>
      </c>
      <c r="Q15" s="374"/>
      <c r="R15" s="374"/>
      <c r="S15" s="374"/>
    </row>
    <row r="16" spans="1:19">
      <c r="A16" s="66" t="s">
        <v>410</v>
      </c>
      <c r="B16" s="63">
        <v>320</v>
      </c>
      <c r="C16" s="64">
        <v>30.5</v>
      </c>
      <c r="D16" s="64">
        <v>75.7</v>
      </c>
      <c r="E16" s="63">
        <v>80</v>
      </c>
      <c r="F16" s="64">
        <v>30.5</v>
      </c>
      <c r="G16" s="64">
        <v>45.9</v>
      </c>
      <c r="J16" s="375"/>
      <c r="K16" s="66" t="s">
        <v>410</v>
      </c>
      <c r="L16" s="64">
        <v>30.5</v>
      </c>
      <c r="M16" s="64">
        <v>75.7</v>
      </c>
      <c r="N16" s="64">
        <v>30.5</v>
      </c>
      <c r="O16" s="64">
        <v>45.9</v>
      </c>
      <c r="Q16" s="374"/>
      <c r="R16" s="374"/>
      <c r="S16" s="374"/>
    </row>
    <row r="17" spans="1:15">
      <c r="A17" s="66" t="s">
        <v>411</v>
      </c>
      <c r="B17" s="63">
        <v>320</v>
      </c>
      <c r="C17" s="64">
        <v>24.9</v>
      </c>
      <c r="D17" s="64">
        <v>61.6</v>
      </c>
      <c r="E17" s="63">
        <v>80</v>
      </c>
      <c r="F17" s="64">
        <v>24.9</v>
      </c>
      <c r="G17" s="64">
        <v>46.9</v>
      </c>
      <c r="J17" s="375"/>
      <c r="K17" s="66" t="s">
        <v>411</v>
      </c>
      <c r="L17" s="64">
        <v>24.9</v>
      </c>
      <c r="M17" s="64">
        <v>61.6</v>
      </c>
      <c r="N17" s="64">
        <v>24.9</v>
      </c>
      <c r="O17" s="64">
        <v>46.9</v>
      </c>
    </row>
    <row r="18" spans="1:15">
      <c r="A18" s="66" t="s">
        <v>412</v>
      </c>
      <c r="B18" s="63">
        <v>320</v>
      </c>
      <c r="C18" s="64">
        <v>13.1</v>
      </c>
      <c r="D18" s="64">
        <v>52.5</v>
      </c>
      <c r="E18" s="63">
        <v>80</v>
      </c>
      <c r="F18" s="64">
        <v>13.1</v>
      </c>
      <c r="G18" s="64">
        <v>23.7</v>
      </c>
      <c r="J18" s="375"/>
      <c r="K18" s="66" t="s">
        <v>412</v>
      </c>
      <c r="L18" s="64">
        <v>13.1</v>
      </c>
      <c r="M18" s="64">
        <v>52.5</v>
      </c>
      <c r="N18" s="64">
        <v>13.1</v>
      </c>
      <c r="O18" s="64">
        <v>23.7</v>
      </c>
    </row>
    <row r="19" spans="1:15">
      <c r="J19" s="375"/>
      <c r="K19" s="62" t="s">
        <v>413</v>
      </c>
      <c r="L19" s="62">
        <f>AVERAGE(L7:L18)</f>
        <v>27.700000000000003</v>
      </c>
      <c r="M19" s="62">
        <f>MAX(M7:M18)</f>
        <v>170.1</v>
      </c>
      <c r="N19" s="62">
        <f>AVERAGE(N7:N18)</f>
        <v>27.700000000000003</v>
      </c>
      <c r="O19" s="62">
        <f>MAX(O7:O18)</f>
        <v>69.099999999999994</v>
      </c>
    </row>
    <row r="21" spans="1:15" ht="41.45">
      <c r="J21" s="61">
        <f>+A6</f>
        <v>2022</v>
      </c>
      <c r="K21" s="61" t="s">
        <v>395</v>
      </c>
      <c r="L21" s="67" t="s">
        <v>390</v>
      </c>
      <c r="M21" s="67" t="s">
        <v>396</v>
      </c>
      <c r="N21" s="67" t="s">
        <v>393</v>
      </c>
      <c r="O21" s="67" t="s">
        <v>397</v>
      </c>
    </row>
    <row r="22" spans="1:15">
      <c r="J22" s="375" t="s">
        <v>187</v>
      </c>
      <c r="K22" s="66" t="s">
        <v>398</v>
      </c>
      <c r="L22" s="64"/>
      <c r="M22" s="64"/>
      <c r="N22" s="64"/>
      <c r="O22" s="64"/>
    </row>
    <row r="23" spans="1:15">
      <c r="J23" s="375"/>
      <c r="K23" s="66" t="s">
        <v>399</v>
      </c>
      <c r="L23" s="64"/>
      <c r="M23" s="64"/>
      <c r="N23" s="64"/>
      <c r="O23" s="64"/>
    </row>
    <row r="24" spans="1:15">
      <c r="J24" s="375"/>
      <c r="K24" s="66" t="s">
        <v>400</v>
      </c>
      <c r="L24" s="64"/>
      <c r="M24" s="64"/>
      <c r="N24" s="64"/>
      <c r="O24" s="64"/>
    </row>
    <row r="25" spans="1:15">
      <c r="J25" s="375"/>
      <c r="K25" s="66" t="s">
        <v>402</v>
      </c>
      <c r="L25" s="64"/>
      <c r="M25" s="64"/>
      <c r="N25" s="64"/>
      <c r="O25" s="64"/>
    </row>
    <row r="26" spans="1:15">
      <c r="J26" s="375"/>
      <c r="K26" s="66" t="s">
        <v>404</v>
      </c>
      <c r="L26" s="64"/>
      <c r="M26" s="64"/>
      <c r="N26" s="64"/>
      <c r="O26" s="64"/>
    </row>
    <row r="27" spans="1:15">
      <c r="J27" s="375"/>
      <c r="K27" s="66" t="s">
        <v>405</v>
      </c>
      <c r="L27" s="64"/>
      <c r="M27" s="64"/>
      <c r="N27" s="64"/>
      <c r="O27" s="64"/>
    </row>
    <row r="28" spans="1:15">
      <c r="J28" s="375"/>
      <c r="K28" s="66" t="s">
        <v>406</v>
      </c>
      <c r="L28" s="64"/>
      <c r="M28" s="64"/>
      <c r="N28" s="64"/>
      <c r="O28" s="64"/>
    </row>
    <row r="29" spans="1:15">
      <c r="J29" s="375"/>
      <c r="K29" s="66" t="s">
        <v>408</v>
      </c>
      <c r="L29" s="64"/>
      <c r="M29" s="64"/>
      <c r="N29" s="64"/>
      <c r="O29" s="64"/>
    </row>
    <row r="30" spans="1:15">
      <c r="J30" s="375"/>
      <c r="K30" s="66" t="s">
        <v>409</v>
      </c>
      <c r="L30" s="64"/>
      <c r="M30" s="64"/>
      <c r="N30" s="64"/>
      <c r="O30" s="64"/>
    </row>
    <row r="31" spans="1:15">
      <c r="J31" s="375"/>
      <c r="K31" s="66" t="s">
        <v>410</v>
      </c>
      <c r="L31" s="64"/>
      <c r="M31" s="64"/>
      <c r="N31" s="64"/>
      <c r="O31" s="64"/>
    </row>
    <row r="32" spans="1:15">
      <c r="J32" s="375"/>
      <c r="K32" s="66" t="s">
        <v>411</v>
      </c>
      <c r="L32" s="64"/>
      <c r="M32" s="64"/>
      <c r="N32" s="64"/>
      <c r="O32" s="64"/>
    </row>
    <row r="33" spans="1:15">
      <c r="J33" s="375"/>
      <c r="K33" s="66" t="s">
        <v>412</v>
      </c>
      <c r="L33" s="64"/>
      <c r="M33" s="64"/>
      <c r="N33" s="64"/>
      <c r="O33" s="64"/>
    </row>
    <row r="34" spans="1:15">
      <c r="J34" s="375"/>
      <c r="K34" s="62" t="s">
        <v>413</v>
      </c>
      <c r="L34" s="62" t="e">
        <f>AVERAGE(L22:L33)</f>
        <v>#DIV/0!</v>
      </c>
      <c r="M34" s="62">
        <f>MAX(M22:M33)</f>
        <v>0</v>
      </c>
      <c r="N34" s="62" t="e">
        <f>AVERAGE(N22:N33)</f>
        <v>#DIV/0!</v>
      </c>
      <c r="O34" s="62">
        <f>MAX(O22:O33)</f>
        <v>0</v>
      </c>
    </row>
    <row r="36" spans="1:15" ht="41.45">
      <c r="J36" s="61">
        <f>+A6</f>
        <v>2022</v>
      </c>
      <c r="K36" s="61" t="s">
        <v>395</v>
      </c>
      <c r="L36" s="67" t="s">
        <v>390</v>
      </c>
      <c r="M36" s="67" t="s">
        <v>396</v>
      </c>
      <c r="N36" s="67" t="s">
        <v>393</v>
      </c>
      <c r="O36" s="67" t="s">
        <v>397</v>
      </c>
    </row>
    <row r="37" spans="1:15">
      <c r="J37" s="375" t="s">
        <v>188</v>
      </c>
      <c r="K37" s="66" t="s">
        <v>398</v>
      </c>
      <c r="L37" s="64"/>
      <c r="M37" s="64"/>
      <c r="N37" s="64"/>
      <c r="O37" s="64"/>
    </row>
    <row r="38" spans="1:15">
      <c r="J38" s="375"/>
      <c r="K38" s="66" t="s">
        <v>399</v>
      </c>
      <c r="L38" s="64"/>
      <c r="M38" s="64"/>
      <c r="N38" s="64"/>
      <c r="O38" s="64"/>
    </row>
    <row r="39" spans="1:15">
      <c r="J39" s="375"/>
      <c r="K39" s="66" t="s">
        <v>400</v>
      </c>
      <c r="L39" s="64"/>
      <c r="M39" s="64"/>
      <c r="N39" s="64"/>
      <c r="O39" s="64"/>
    </row>
    <row r="40" spans="1:15">
      <c r="J40" s="375"/>
      <c r="K40" s="66" t="s">
        <v>402</v>
      </c>
      <c r="L40" s="64"/>
      <c r="M40" s="64"/>
      <c r="N40" s="64"/>
      <c r="O40" s="64"/>
    </row>
    <row r="41" spans="1:15">
      <c r="J41" s="375"/>
      <c r="K41" s="66" t="s">
        <v>404</v>
      </c>
      <c r="L41" s="64"/>
      <c r="M41" s="64"/>
      <c r="N41" s="64"/>
      <c r="O41" s="64"/>
    </row>
    <row r="42" spans="1:15">
      <c r="J42" s="375"/>
      <c r="K42" s="66" t="s">
        <v>405</v>
      </c>
      <c r="L42" s="64"/>
      <c r="M42" s="64"/>
      <c r="N42" s="64"/>
      <c r="O42" s="64"/>
    </row>
    <row r="43" spans="1:15">
      <c r="J43" s="375"/>
      <c r="K43" s="66" t="s">
        <v>406</v>
      </c>
      <c r="L43" s="64"/>
      <c r="M43" s="64"/>
      <c r="N43" s="64"/>
      <c r="O43" s="64"/>
    </row>
    <row r="44" spans="1:15">
      <c r="J44" s="375"/>
      <c r="K44" s="66" t="s">
        <v>408</v>
      </c>
      <c r="L44" s="64"/>
      <c r="M44" s="64"/>
      <c r="N44" s="64"/>
      <c r="O44" s="64"/>
    </row>
    <row r="45" spans="1:15">
      <c r="J45" s="375"/>
      <c r="K45" s="66" t="s">
        <v>409</v>
      </c>
      <c r="L45" s="64"/>
      <c r="M45" s="64"/>
      <c r="N45" s="64"/>
      <c r="O45" s="64"/>
    </row>
    <row r="46" spans="1:15">
      <c r="J46" s="375"/>
      <c r="K46" s="66" t="s">
        <v>410</v>
      </c>
      <c r="L46" s="64"/>
      <c r="M46" s="64"/>
      <c r="N46" s="64"/>
      <c r="O46" s="64"/>
    </row>
    <row r="47" spans="1:15">
      <c r="J47" s="375"/>
      <c r="K47" s="66" t="s">
        <v>411</v>
      </c>
      <c r="L47" s="64"/>
      <c r="M47" s="64"/>
      <c r="N47" s="64"/>
      <c r="O47" s="64"/>
    </row>
    <row r="48" spans="1:15">
      <c r="A48" s="387" t="s">
        <v>282</v>
      </c>
      <c r="B48" s="388"/>
      <c r="C48" s="388"/>
      <c r="D48" s="388"/>
      <c r="E48" s="388"/>
      <c r="F48" s="388"/>
      <c r="G48" s="389"/>
      <c r="J48" s="375"/>
      <c r="K48" s="66" t="s">
        <v>412</v>
      </c>
      <c r="L48" s="64"/>
      <c r="M48" s="64"/>
      <c r="N48" s="64"/>
      <c r="O48" s="64"/>
    </row>
    <row r="49" spans="1:15">
      <c r="A49" s="378"/>
      <c r="B49" s="379"/>
      <c r="C49" s="379"/>
      <c r="D49" s="379"/>
      <c r="E49" s="379"/>
      <c r="F49" s="379"/>
      <c r="G49" s="380"/>
      <c r="J49" s="375"/>
      <c r="K49" s="62" t="s">
        <v>413</v>
      </c>
      <c r="L49" s="62" t="e">
        <f>AVERAGE(L37:L48)</f>
        <v>#DIV/0!</v>
      </c>
      <c r="M49" s="62">
        <f>MAX(M37:M48)</f>
        <v>0</v>
      </c>
      <c r="N49" s="62" t="e">
        <f>AVERAGE(N37:N48)</f>
        <v>#DIV/0!</v>
      </c>
      <c r="O49" s="62">
        <f>MAX(O37:O48)</f>
        <v>0</v>
      </c>
    </row>
    <row r="50" spans="1:15">
      <c r="A50" s="381"/>
      <c r="B50" s="382"/>
      <c r="C50" s="382"/>
      <c r="D50" s="382"/>
      <c r="E50" s="382"/>
      <c r="F50" s="382"/>
      <c r="G50" s="383"/>
    </row>
    <row r="51" spans="1:15" ht="41.45">
      <c r="A51" s="381"/>
      <c r="B51" s="382"/>
      <c r="C51" s="382"/>
      <c r="D51" s="382"/>
      <c r="E51" s="382"/>
      <c r="F51" s="382"/>
      <c r="G51" s="383"/>
      <c r="J51" s="61">
        <f>+A6</f>
        <v>2022</v>
      </c>
      <c r="K51" s="61" t="s">
        <v>395</v>
      </c>
      <c r="L51" s="67" t="s">
        <v>390</v>
      </c>
      <c r="M51" s="67" t="s">
        <v>396</v>
      </c>
      <c r="N51" s="67" t="s">
        <v>393</v>
      </c>
      <c r="O51" s="67" t="s">
        <v>397</v>
      </c>
    </row>
    <row r="52" spans="1:15">
      <c r="A52" s="384"/>
      <c r="B52" s="385"/>
      <c r="C52" s="385"/>
      <c r="D52" s="385"/>
      <c r="E52" s="385"/>
      <c r="F52" s="385"/>
      <c r="G52" s="386"/>
      <c r="J52" s="375" t="s">
        <v>189</v>
      </c>
      <c r="K52" s="66" t="s">
        <v>398</v>
      </c>
      <c r="L52" s="64"/>
      <c r="M52" s="64"/>
      <c r="N52" s="64"/>
      <c r="O52" s="64"/>
    </row>
    <row r="53" spans="1:15">
      <c r="J53" s="375"/>
      <c r="K53" s="66" t="s">
        <v>399</v>
      </c>
      <c r="L53" s="64"/>
      <c r="M53" s="64"/>
      <c r="N53" s="64"/>
      <c r="O53" s="64"/>
    </row>
    <row r="54" spans="1:15">
      <c r="J54" s="375"/>
      <c r="K54" s="66" t="s">
        <v>400</v>
      </c>
      <c r="L54" s="64"/>
      <c r="M54" s="64"/>
      <c r="N54" s="64"/>
      <c r="O54" s="64"/>
    </row>
    <row r="55" spans="1:15">
      <c r="J55" s="375"/>
      <c r="K55" s="66" t="s">
        <v>402</v>
      </c>
      <c r="L55" s="64"/>
      <c r="M55" s="64"/>
      <c r="N55" s="64"/>
      <c r="O55" s="64"/>
    </row>
    <row r="56" spans="1:15">
      <c r="J56" s="375"/>
      <c r="K56" s="66" t="s">
        <v>404</v>
      </c>
      <c r="L56" s="64"/>
      <c r="M56" s="64"/>
      <c r="N56" s="64"/>
      <c r="O56" s="64"/>
    </row>
    <row r="57" spans="1:15">
      <c r="J57" s="375"/>
      <c r="K57" s="66" t="s">
        <v>405</v>
      </c>
      <c r="L57" s="64"/>
      <c r="M57" s="64"/>
      <c r="N57" s="64"/>
      <c r="O57" s="64"/>
    </row>
    <row r="58" spans="1:15">
      <c r="J58" s="375"/>
      <c r="K58" s="66" t="s">
        <v>406</v>
      </c>
      <c r="L58" s="64"/>
      <c r="M58" s="64"/>
      <c r="N58" s="64"/>
      <c r="O58" s="64"/>
    </row>
    <row r="59" spans="1:15">
      <c r="J59" s="375"/>
      <c r="K59" s="66" t="s">
        <v>408</v>
      </c>
      <c r="L59" s="64"/>
      <c r="M59" s="64"/>
      <c r="N59" s="64"/>
      <c r="O59" s="64"/>
    </row>
    <row r="60" spans="1:15">
      <c r="J60" s="375"/>
      <c r="K60" s="66" t="s">
        <v>409</v>
      </c>
      <c r="L60" s="64"/>
      <c r="M60" s="64"/>
      <c r="N60" s="64"/>
      <c r="O60" s="64"/>
    </row>
    <row r="61" spans="1:15">
      <c r="J61" s="375"/>
      <c r="K61" s="66" t="s">
        <v>410</v>
      </c>
      <c r="L61" s="64"/>
      <c r="M61" s="64"/>
      <c r="N61" s="64"/>
      <c r="O61" s="64"/>
    </row>
    <row r="62" spans="1:15">
      <c r="J62" s="375"/>
      <c r="K62" s="66" t="s">
        <v>411</v>
      </c>
      <c r="L62" s="64"/>
      <c r="M62" s="64"/>
      <c r="N62" s="64"/>
      <c r="O62" s="64"/>
    </row>
    <row r="63" spans="1:15">
      <c r="J63" s="375"/>
      <c r="K63" s="66" t="s">
        <v>412</v>
      </c>
      <c r="L63" s="64"/>
      <c r="M63" s="64"/>
      <c r="N63" s="64"/>
      <c r="O63" s="64"/>
    </row>
    <row r="64" spans="1:15">
      <c r="J64" s="375"/>
      <c r="K64" s="62" t="s">
        <v>413</v>
      </c>
      <c r="L64" s="62" t="e">
        <f>AVERAGE(L52:L63)</f>
        <v>#DIV/0!</v>
      </c>
      <c r="M64" s="62">
        <f>MAX(M52:M63)</f>
        <v>0</v>
      </c>
      <c r="N64" s="62" t="e">
        <f>AVERAGE(N52:N63)</f>
        <v>#DIV/0!</v>
      </c>
      <c r="O64" s="62">
        <f>MAX(O52:O63)</f>
        <v>0</v>
      </c>
    </row>
    <row r="66" spans="10:15" ht="41.45">
      <c r="J66" s="61">
        <f>+A6</f>
        <v>2022</v>
      </c>
      <c r="K66" s="61" t="s">
        <v>395</v>
      </c>
      <c r="L66" s="67" t="s">
        <v>390</v>
      </c>
      <c r="M66" s="67" t="s">
        <v>396</v>
      </c>
      <c r="N66" s="67" t="s">
        <v>393</v>
      </c>
      <c r="O66" s="67" t="s">
        <v>397</v>
      </c>
    </row>
    <row r="67" spans="10:15">
      <c r="J67" s="375" t="s">
        <v>190</v>
      </c>
      <c r="K67" s="66" t="s">
        <v>398</v>
      </c>
      <c r="L67" s="64"/>
      <c r="M67" s="64"/>
      <c r="N67" s="64"/>
      <c r="O67" s="64"/>
    </row>
    <row r="68" spans="10:15">
      <c r="J68" s="375"/>
      <c r="K68" s="66" t="s">
        <v>399</v>
      </c>
      <c r="L68" s="64"/>
      <c r="M68" s="64"/>
      <c r="N68" s="64"/>
      <c r="O68" s="64"/>
    </row>
    <row r="69" spans="10:15">
      <c r="J69" s="375"/>
      <c r="K69" s="66" t="s">
        <v>400</v>
      </c>
      <c r="L69" s="64"/>
      <c r="M69" s="64"/>
      <c r="N69" s="64"/>
      <c r="O69" s="64"/>
    </row>
    <row r="70" spans="10:15">
      <c r="J70" s="375"/>
      <c r="K70" s="66" t="s">
        <v>402</v>
      </c>
      <c r="L70" s="64"/>
      <c r="M70" s="64"/>
      <c r="N70" s="64"/>
      <c r="O70" s="64"/>
    </row>
    <row r="71" spans="10:15">
      <c r="J71" s="375"/>
      <c r="K71" s="66" t="s">
        <v>404</v>
      </c>
      <c r="L71" s="64"/>
      <c r="M71" s="64"/>
      <c r="N71" s="64"/>
      <c r="O71" s="64"/>
    </row>
    <row r="72" spans="10:15">
      <c r="J72" s="375"/>
      <c r="K72" s="66" t="s">
        <v>405</v>
      </c>
      <c r="L72" s="64"/>
      <c r="M72" s="64"/>
      <c r="N72" s="64"/>
      <c r="O72" s="64"/>
    </row>
    <row r="73" spans="10:15">
      <c r="J73" s="375"/>
      <c r="K73" s="66" t="s">
        <v>406</v>
      </c>
      <c r="L73" s="64"/>
      <c r="M73" s="64"/>
      <c r="N73" s="64"/>
      <c r="O73" s="64"/>
    </row>
    <row r="74" spans="10:15">
      <c r="J74" s="375"/>
      <c r="K74" s="66" t="s">
        <v>408</v>
      </c>
      <c r="L74" s="64"/>
      <c r="M74" s="64"/>
      <c r="N74" s="64"/>
      <c r="O74" s="64"/>
    </row>
    <row r="75" spans="10:15">
      <c r="J75" s="375"/>
      <c r="K75" s="66" t="s">
        <v>409</v>
      </c>
      <c r="L75" s="64"/>
      <c r="M75" s="64"/>
      <c r="N75" s="64"/>
      <c r="O75" s="64"/>
    </row>
    <row r="76" spans="10:15">
      <c r="J76" s="375"/>
      <c r="K76" s="66" t="s">
        <v>410</v>
      </c>
      <c r="L76" s="64"/>
      <c r="M76" s="64"/>
      <c r="N76" s="64"/>
      <c r="O76" s="64"/>
    </row>
    <row r="77" spans="10:15">
      <c r="J77" s="375"/>
      <c r="K77" s="66" t="s">
        <v>411</v>
      </c>
      <c r="L77" s="64"/>
      <c r="M77" s="64"/>
      <c r="N77" s="64"/>
      <c r="O77" s="64"/>
    </row>
    <row r="78" spans="10:15">
      <c r="J78" s="375"/>
      <c r="K78" s="66" t="s">
        <v>412</v>
      </c>
      <c r="L78" s="64"/>
      <c r="M78" s="64"/>
      <c r="N78" s="64"/>
      <c r="O78" s="64"/>
    </row>
    <row r="79" spans="10:15">
      <c r="J79" s="375"/>
      <c r="K79" s="62" t="s">
        <v>413</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workbookViewId="0">
      <selection activeCell="D7" sqref="D7"/>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EPR Thetford Power Station</v>
      </c>
    </row>
    <row r="3" spans="1:19" ht="14.45">
      <c r="A3" s="60" t="s">
        <v>417</v>
      </c>
      <c r="D3" s="76" t="s">
        <v>382</v>
      </c>
      <c r="G3" s="80" t="s">
        <v>383</v>
      </c>
      <c r="J3" s="9" t="str">
        <f>+A3</f>
        <v>Monitoring of Total organic carbon emissions</v>
      </c>
      <c r="L3" s="9"/>
      <c r="N3" s="9" t="s">
        <v>384</v>
      </c>
      <c r="Q3" s="79" t="s">
        <v>3</v>
      </c>
      <c r="R3" s="74"/>
      <c r="S3" s="74"/>
    </row>
    <row r="4" spans="1:19" ht="13.9" customHeight="1">
      <c r="Q4" s="353" t="s">
        <v>385</v>
      </c>
      <c r="R4" s="353"/>
      <c r="S4" s="353"/>
    </row>
    <row r="5" spans="1:19" ht="16.149999999999999">
      <c r="A5" s="68" t="s">
        <v>386</v>
      </c>
      <c r="B5" s="377" t="s">
        <v>387</v>
      </c>
      <c r="C5" s="377"/>
      <c r="D5" s="377"/>
      <c r="E5" s="377" t="s">
        <v>388</v>
      </c>
      <c r="F5" s="377"/>
      <c r="G5" s="377"/>
      <c r="J5" s="376"/>
      <c r="K5" s="376"/>
      <c r="L5" s="376"/>
      <c r="M5" s="376"/>
      <c r="N5" s="376"/>
      <c r="O5" s="376"/>
      <c r="Q5" s="353"/>
      <c r="R5" s="353"/>
      <c r="S5" s="353"/>
    </row>
    <row r="6" spans="1:19" s="58" customFormat="1" ht="37.5" customHeight="1">
      <c r="A6" s="65">
        <f>+'Cover Page'!C39</f>
        <v>2022</v>
      </c>
      <c r="B6" s="55" t="s">
        <v>418</v>
      </c>
      <c r="C6" s="55" t="s">
        <v>390</v>
      </c>
      <c r="D6" s="55" t="s">
        <v>391</v>
      </c>
      <c r="E6" s="55" t="s">
        <v>419</v>
      </c>
      <c r="F6" s="55" t="s">
        <v>393</v>
      </c>
      <c r="G6" s="55" t="s">
        <v>394</v>
      </c>
      <c r="H6" s="59"/>
      <c r="J6" s="61">
        <f>+A6</f>
        <v>2022</v>
      </c>
      <c r="K6" s="61" t="s">
        <v>395</v>
      </c>
      <c r="L6" s="67" t="s">
        <v>390</v>
      </c>
      <c r="M6" s="67" t="s">
        <v>396</v>
      </c>
      <c r="N6" s="67" t="s">
        <v>393</v>
      </c>
      <c r="O6" s="67" t="s">
        <v>397</v>
      </c>
      <c r="Q6" s="353"/>
      <c r="R6" s="353"/>
      <c r="S6" s="353"/>
    </row>
    <row r="7" spans="1:19">
      <c r="A7" s="66" t="s">
        <v>398</v>
      </c>
      <c r="B7" s="63" t="s">
        <v>420</v>
      </c>
      <c r="C7" s="64"/>
      <c r="D7" s="64"/>
      <c r="E7" s="63">
        <v>10</v>
      </c>
      <c r="F7" s="64">
        <v>2.6</v>
      </c>
      <c r="G7" s="64">
        <v>11.2</v>
      </c>
      <c r="J7" s="375" t="s">
        <v>186</v>
      </c>
      <c r="K7" s="66" t="s">
        <v>398</v>
      </c>
      <c r="L7" s="64">
        <v>2.6</v>
      </c>
      <c r="M7" s="64">
        <v>35.200000000000003</v>
      </c>
      <c r="N7" s="64">
        <v>2.6</v>
      </c>
      <c r="O7" s="64">
        <v>11.2</v>
      </c>
      <c r="Q7" s="353"/>
      <c r="R7" s="353"/>
      <c r="S7" s="353"/>
    </row>
    <row r="8" spans="1:19">
      <c r="A8" s="66" t="s">
        <v>399</v>
      </c>
      <c r="B8" s="63" t="s">
        <v>420</v>
      </c>
      <c r="C8" s="64"/>
      <c r="D8" s="64"/>
      <c r="E8" s="63">
        <v>10</v>
      </c>
      <c r="F8" s="64">
        <v>2.2000000000000002</v>
      </c>
      <c r="G8" s="64">
        <v>5.2</v>
      </c>
      <c r="J8" s="375"/>
      <c r="K8" s="66" t="s">
        <v>399</v>
      </c>
      <c r="L8" s="64">
        <v>2.2000000000000002</v>
      </c>
      <c r="M8" s="64">
        <v>13.4</v>
      </c>
      <c r="N8" s="64">
        <v>2.2000000000000002</v>
      </c>
      <c r="O8" s="64">
        <v>5.2</v>
      </c>
      <c r="Q8" s="353"/>
      <c r="R8" s="353"/>
      <c r="S8" s="353"/>
    </row>
    <row r="9" spans="1:19">
      <c r="A9" s="66" t="s">
        <v>400</v>
      </c>
      <c r="B9" s="63" t="s">
        <v>420</v>
      </c>
      <c r="C9" s="64"/>
      <c r="D9" s="64"/>
      <c r="E9" s="63">
        <v>10</v>
      </c>
      <c r="F9" s="64">
        <v>2.6</v>
      </c>
      <c r="G9" s="64">
        <v>4.0999999999999996</v>
      </c>
      <c r="J9" s="375"/>
      <c r="K9" s="66" t="s">
        <v>400</v>
      </c>
      <c r="L9" s="64">
        <v>2.6</v>
      </c>
      <c r="M9" s="64">
        <v>412.4</v>
      </c>
      <c r="N9" s="64">
        <v>2.6</v>
      </c>
      <c r="O9" s="64">
        <v>4.0999999999999996</v>
      </c>
      <c r="Q9" s="78" t="s">
        <v>401</v>
      </c>
    </row>
    <row r="10" spans="1:19" ht="14.25" customHeight="1">
      <c r="A10" s="66" t="s">
        <v>402</v>
      </c>
      <c r="B10" s="63" t="s">
        <v>420</v>
      </c>
      <c r="C10" s="64"/>
      <c r="D10" s="64"/>
      <c r="E10" s="63">
        <v>10</v>
      </c>
      <c r="F10" s="64">
        <v>1.8</v>
      </c>
      <c r="G10" s="64">
        <v>3</v>
      </c>
      <c r="J10" s="375"/>
      <c r="K10" s="66" t="s">
        <v>402</v>
      </c>
      <c r="L10" s="64">
        <v>1.8</v>
      </c>
      <c r="M10" s="64">
        <v>18.100000000000001</v>
      </c>
      <c r="N10" s="64">
        <v>1.8</v>
      </c>
      <c r="O10" s="64">
        <v>3</v>
      </c>
      <c r="Q10" s="374" t="s">
        <v>403</v>
      </c>
      <c r="R10" s="374"/>
      <c r="S10" s="374"/>
    </row>
    <row r="11" spans="1:19">
      <c r="A11" s="66" t="s">
        <v>404</v>
      </c>
      <c r="B11" s="63" t="s">
        <v>420</v>
      </c>
      <c r="C11" s="64"/>
      <c r="D11" s="64"/>
      <c r="E11" s="63">
        <v>10</v>
      </c>
      <c r="F11" s="64">
        <v>2.5</v>
      </c>
      <c r="G11" s="64">
        <v>5</v>
      </c>
      <c r="J11" s="375"/>
      <c r="K11" s="66" t="s">
        <v>404</v>
      </c>
      <c r="L11" s="64">
        <v>2.5</v>
      </c>
      <c r="M11" s="64">
        <v>30.5</v>
      </c>
      <c r="N11" s="64">
        <v>2.5</v>
      </c>
      <c r="O11" s="64">
        <v>5</v>
      </c>
      <c r="Q11" s="374"/>
      <c r="R11" s="374"/>
      <c r="S11" s="374"/>
    </row>
    <row r="12" spans="1:19">
      <c r="A12" s="66" t="s">
        <v>405</v>
      </c>
      <c r="B12" s="63" t="s">
        <v>420</v>
      </c>
      <c r="C12" s="64"/>
      <c r="D12" s="64"/>
      <c r="E12" s="63">
        <v>10</v>
      </c>
      <c r="F12" s="64">
        <v>2.1</v>
      </c>
      <c r="G12" s="64">
        <v>3.3</v>
      </c>
      <c r="J12" s="375"/>
      <c r="K12" s="66" t="s">
        <v>405</v>
      </c>
      <c r="L12" s="64">
        <v>2.1</v>
      </c>
      <c r="M12" s="64">
        <v>36.6</v>
      </c>
      <c r="N12" s="64">
        <v>2.1</v>
      </c>
      <c r="O12" s="64">
        <v>3.3</v>
      </c>
      <c r="Q12" s="374"/>
      <c r="R12" s="374"/>
      <c r="S12" s="374"/>
    </row>
    <row r="13" spans="1:19" ht="14.25" customHeight="1">
      <c r="A13" s="66" t="s">
        <v>406</v>
      </c>
      <c r="B13" s="63" t="s">
        <v>420</v>
      </c>
      <c r="C13" s="64"/>
      <c r="D13" s="64"/>
      <c r="E13" s="63">
        <v>10</v>
      </c>
      <c r="F13" s="64">
        <v>1.8</v>
      </c>
      <c r="G13" s="64">
        <v>2.6</v>
      </c>
      <c r="J13" s="375"/>
      <c r="K13" s="66" t="s">
        <v>406</v>
      </c>
      <c r="L13" s="64">
        <v>1.8</v>
      </c>
      <c r="M13" s="64">
        <v>31.4</v>
      </c>
      <c r="N13" s="64">
        <v>1.8</v>
      </c>
      <c r="O13" s="64">
        <v>2.6</v>
      </c>
      <c r="Q13" s="374" t="s">
        <v>407</v>
      </c>
      <c r="R13" s="374"/>
      <c r="S13" s="374"/>
    </row>
    <row r="14" spans="1:19">
      <c r="A14" s="66" t="s">
        <v>408</v>
      </c>
      <c r="B14" s="63" t="s">
        <v>420</v>
      </c>
      <c r="C14" s="64"/>
      <c r="D14" s="64"/>
      <c r="E14" s="63">
        <v>10</v>
      </c>
      <c r="F14" s="64">
        <v>1.4</v>
      </c>
      <c r="G14" s="64">
        <v>2.8</v>
      </c>
      <c r="J14" s="375"/>
      <c r="K14" s="66" t="s">
        <v>408</v>
      </c>
      <c r="L14" s="64">
        <v>1.4</v>
      </c>
      <c r="M14" s="64">
        <v>9.9</v>
      </c>
      <c r="N14" s="64">
        <v>1.4</v>
      </c>
      <c r="O14" s="64">
        <v>2.8</v>
      </c>
      <c r="Q14" s="374"/>
      <c r="R14" s="374"/>
      <c r="S14" s="374"/>
    </row>
    <row r="15" spans="1:19">
      <c r="A15" s="66" t="s">
        <v>409</v>
      </c>
      <c r="B15" s="63" t="s">
        <v>420</v>
      </c>
      <c r="C15" s="64"/>
      <c r="D15" s="64"/>
      <c r="E15" s="63">
        <v>10</v>
      </c>
      <c r="F15" s="64">
        <v>1.6</v>
      </c>
      <c r="G15" s="64">
        <v>2.1</v>
      </c>
      <c r="J15" s="375"/>
      <c r="K15" s="66" t="s">
        <v>409</v>
      </c>
      <c r="L15" s="64">
        <v>1.6</v>
      </c>
      <c r="M15" s="64">
        <v>12.8</v>
      </c>
      <c r="N15" s="64">
        <v>1.6</v>
      </c>
      <c r="O15" s="64">
        <v>2.1</v>
      </c>
      <c r="Q15" s="374"/>
      <c r="R15" s="374"/>
      <c r="S15" s="374"/>
    </row>
    <row r="16" spans="1:19">
      <c r="A16" s="66" t="s">
        <v>410</v>
      </c>
      <c r="B16" s="63" t="s">
        <v>420</v>
      </c>
      <c r="C16" s="64"/>
      <c r="D16" s="64"/>
      <c r="E16" s="63">
        <v>10</v>
      </c>
      <c r="F16" s="64">
        <v>2</v>
      </c>
      <c r="G16" s="64">
        <v>2.8</v>
      </c>
      <c r="J16" s="375"/>
      <c r="K16" s="66" t="s">
        <v>410</v>
      </c>
      <c r="L16" s="64">
        <v>2</v>
      </c>
      <c r="M16" s="64">
        <v>77.5</v>
      </c>
      <c r="N16" s="64">
        <v>2</v>
      </c>
      <c r="O16" s="64">
        <v>2.8</v>
      </c>
      <c r="Q16" s="374"/>
      <c r="R16" s="374"/>
      <c r="S16" s="374"/>
    </row>
    <row r="17" spans="1:15">
      <c r="A17" s="66" t="s">
        <v>411</v>
      </c>
      <c r="B17" s="63" t="s">
        <v>420</v>
      </c>
      <c r="C17" s="64"/>
      <c r="D17" s="64"/>
      <c r="E17" s="63">
        <v>10</v>
      </c>
      <c r="F17" s="64">
        <v>2.5</v>
      </c>
      <c r="G17" s="64">
        <v>5.3</v>
      </c>
      <c r="J17" s="375"/>
      <c r="K17" s="66" t="s">
        <v>411</v>
      </c>
      <c r="L17" s="64">
        <v>2.5</v>
      </c>
      <c r="M17" s="64">
        <v>28.5</v>
      </c>
      <c r="N17" s="64">
        <v>2.5</v>
      </c>
      <c r="O17" s="64">
        <v>5.3</v>
      </c>
    </row>
    <row r="18" spans="1:15">
      <c r="A18" s="66" t="s">
        <v>412</v>
      </c>
      <c r="B18" s="63" t="s">
        <v>420</v>
      </c>
      <c r="C18" s="64"/>
      <c r="D18" s="64"/>
      <c r="E18" s="63">
        <v>10</v>
      </c>
      <c r="F18" s="64">
        <v>2.2999999999999998</v>
      </c>
      <c r="G18" s="64">
        <v>7.5</v>
      </c>
      <c r="J18" s="375"/>
      <c r="K18" s="66" t="s">
        <v>412</v>
      </c>
      <c r="L18" s="64">
        <v>2.2999999999999998</v>
      </c>
      <c r="M18" s="64">
        <v>69.599999999999994</v>
      </c>
      <c r="N18" s="64">
        <v>2.2999999999999998</v>
      </c>
      <c r="O18" s="64">
        <v>7.5</v>
      </c>
    </row>
    <row r="19" spans="1:15">
      <c r="J19" s="375"/>
      <c r="K19" s="62" t="s">
        <v>413</v>
      </c>
      <c r="L19" s="105">
        <f>AVERAGE(L7:L18)</f>
        <v>2.1166666666666667</v>
      </c>
      <c r="M19" s="62">
        <f>MAX(M7:M18)</f>
        <v>412.4</v>
      </c>
      <c r="N19" s="105">
        <f>AVERAGE(N7:N18)</f>
        <v>2.1166666666666667</v>
      </c>
      <c r="O19" s="62">
        <f>MAX(O7:O18)</f>
        <v>11.2</v>
      </c>
    </row>
    <row r="21" spans="1:15" ht="41.45">
      <c r="J21" s="61">
        <f>+A6</f>
        <v>2022</v>
      </c>
      <c r="K21" s="61" t="s">
        <v>395</v>
      </c>
      <c r="L21" s="67" t="s">
        <v>390</v>
      </c>
      <c r="M21" s="67" t="s">
        <v>396</v>
      </c>
      <c r="N21" s="67" t="s">
        <v>393</v>
      </c>
      <c r="O21" s="67" t="s">
        <v>397</v>
      </c>
    </row>
    <row r="22" spans="1:15">
      <c r="J22" s="375" t="s">
        <v>187</v>
      </c>
      <c r="K22" s="66" t="s">
        <v>398</v>
      </c>
      <c r="L22" s="64"/>
      <c r="M22" s="64"/>
      <c r="N22" s="64"/>
      <c r="O22" s="64"/>
    </row>
    <row r="23" spans="1:15">
      <c r="J23" s="375"/>
      <c r="K23" s="66" t="s">
        <v>399</v>
      </c>
      <c r="L23" s="64"/>
      <c r="M23" s="64"/>
      <c r="N23" s="64"/>
      <c r="O23" s="64"/>
    </row>
    <row r="24" spans="1:15">
      <c r="J24" s="375"/>
      <c r="K24" s="66" t="s">
        <v>400</v>
      </c>
      <c r="L24" s="64"/>
      <c r="M24" s="64"/>
      <c r="N24" s="64"/>
      <c r="O24" s="64"/>
    </row>
    <row r="25" spans="1:15">
      <c r="J25" s="375"/>
      <c r="K25" s="66" t="s">
        <v>402</v>
      </c>
      <c r="L25" s="64"/>
      <c r="M25" s="64"/>
      <c r="N25" s="64"/>
      <c r="O25" s="64"/>
    </row>
    <row r="26" spans="1:15">
      <c r="J26" s="375"/>
      <c r="K26" s="66" t="s">
        <v>404</v>
      </c>
      <c r="L26" s="64"/>
      <c r="M26" s="64"/>
      <c r="N26" s="64"/>
      <c r="O26" s="64"/>
    </row>
    <row r="27" spans="1:15">
      <c r="J27" s="375"/>
      <c r="K27" s="66" t="s">
        <v>405</v>
      </c>
      <c r="L27" s="64"/>
      <c r="M27" s="64"/>
      <c r="N27" s="64"/>
      <c r="O27" s="64"/>
    </row>
    <row r="28" spans="1:15">
      <c r="J28" s="375"/>
      <c r="K28" s="66" t="s">
        <v>406</v>
      </c>
      <c r="L28" s="64"/>
      <c r="M28" s="64"/>
      <c r="N28" s="64"/>
      <c r="O28" s="64"/>
    </row>
    <row r="29" spans="1:15">
      <c r="J29" s="375"/>
      <c r="K29" s="66" t="s">
        <v>408</v>
      </c>
      <c r="L29" s="64"/>
      <c r="M29" s="64"/>
      <c r="N29" s="64"/>
      <c r="O29" s="64"/>
    </row>
    <row r="30" spans="1:15">
      <c r="J30" s="375"/>
      <c r="K30" s="66" t="s">
        <v>409</v>
      </c>
      <c r="L30" s="64"/>
      <c r="M30" s="64"/>
      <c r="N30" s="64"/>
      <c r="O30" s="64"/>
    </row>
    <row r="31" spans="1:15">
      <c r="J31" s="375"/>
      <c r="K31" s="66" t="s">
        <v>410</v>
      </c>
      <c r="L31" s="64"/>
      <c r="M31" s="64"/>
      <c r="N31" s="64"/>
      <c r="O31" s="64"/>
    </row>
    <row r="32" spans="1:15">
      <c r="J32" s="375"/>
      <c r="K32" s="66" t="s">
        <v>411</v>
      </c>
      <c r="L32" s="64"/>
      <c r="M32" s="64"/>
      <c r="N32" s="64"/>
      <c r="O32" s="64"/>
    </row>
    <row r="33" spans="1:15">
      <c r="J33" s="375"/>
      <c r="K33" s="66" t="s">
        <v>412</v>
      </c>
      <c r="L33" s="64"/>
      <c r="M33" s="64"/>
      <c r="N33" s="64"/>
      <c r="O33" s="64"/>
    </row>
    <row r="34" spans="1:15">
      <c r="J34" s="375"/>
      <c r="K34" s="62" t="s">
        <v>413</v>
      </c>
      <c r="L34" s="62" t="e">
        <f>AVERAGE(L22:L33)</f>
        <v>#DIV/0!</v>
      </c>
      <c r="M34" s="62">
        <f>MAX(M22:M33)</f>
        <v>0</v>
      </c>
      <c r="N34" s="62" t="e">
        <f>AVERAGE(N22:N33)</f>
        <v>#DIV/0!</v>
      </c>
      <c r="O34" s="62">
        <f>MAX(O22:O33)</f>
        <v>0</v>
      </c>
    </row>
    <row r="36" spans="1:15" ht="41.45">
      <c r="J36" s="61">
        <f>+A6</f>
        <v>2022</v>
      </c>
      <c r="K36" s="61" t="s">
        <v>395</v>
      </c>
      <c r="L36" s="67" t="s">
        <v>390</v>
      </c>
      <c r="M36" s="67" t="s">
        <v>396</v>
      </c>
      <c r="N36" s="67" t="s">
        <v>393</v>
      </c>
      <c r="O36" s="67" t="s">
        <v>397</v>
      </c>
    </row>
    <row r="37" spans="1:15">
      <c r="J37" s="375" t="s">
        <v>188</v>
      </c>
      <c r="K37" s="66" t="s">
        <v>398</v>
      </c>
      <c r="L37" s="64"/>
      <c r="M37" s="64"/>
      <c r="N37" s="64"/>
      <c r="O37" s="64"/>
    </row>
    <row r="38" spans="1:15">
      <c r="J38" s="375"/>
      <c r="K38" s="66" t="s">
        <v>399</v>
      </c>
      <c r="L38" s="64"/>
      <c r="M38" s="64"/>
      <c r="N38" s="64"/>
      <c r="O38" s="64"/>
    </row>
    <row r="39" spans="1:15">
      <c r="J39" s="375"/>
      <c r="K39" s="66" t="s">
        <v>400</v>
      </c>
      <c r="L39" s="64"/>
      <c r="M39" s="64"/>
      <c r="N39" s="64"/>
      <c r="O39" s="64"/>
    </row>
    <row r="40" spans="1:15">
      <c r="J40" s="375"/>
      <c r="K40" s="66" t="s">
        <v>402</v>
      </c>
      <c r="L40" s="64"/>
      <c r="M40" s="64"/>
      <c r="N40" s="64"/>
      <c r="O40" s="64"/>
    </row>
    <row r="41" spans="1:15">
      <c r="J41" s="375"/>
      <c r="K41" s="66" t="s">
        <v>404</v>
      </c>
      <c r="L41" s="64"/>
      <c r="M41" s="64"/>
      <c r="N41" s="64"/>
      <c r="O41" s="64"/>
    </row>
    <row r="42" spans="1:15">
      <c r="J42" s="375"/>
      <c r="K42" s="66" t="s">
        <v>405</v>
      </c>
      <c r="L42" s="64"/>
      <c r="M42" s="64"/>
      <c r="N42" s="64"/>
      <c r="O42" s="64"/>
    </row>
    <row r="43" spans="1:15">
      <c r="J43" s="375"/>
      <c r="K43" s="66" t="s">
        <v>406</v>
      </c>
      <c r="L43" s="64"/>
      <c r="M43" s="64"/>
      <c r="N43" s="64"/>
      <c r="O43" s="64"/>
    </row>
    <row r="44" spans="1:15">
      <c r="J44" s="375"/>
      <c r="K44" s="66" t="s">
        <v>408</v>
      </c>
      <c r="L44" s="64"/>
      <c r="M44" s="64"/>
      <c r="N44" s="64"/>
      <c r="O44" s="64"/>
    </row>
    <row r="45" spans="1:15">
      <c r="J45" s="375"/>
      <c r="K45" s="66" t="s">
        <v>409</v>
      </c>
      <c r="L45" s="64"/>
      <c r="M45" s="64"/>
      <c r="N45" s="64"/>
      <c r="O45" s="64"/>
    </row>
    <row r="46" spans="1:15">
      <c r="J46" s="375"/>
      <c r="K46" s="66" t="s">
        <v>410</v>
      </c>
      <c r="L46" s="64"/>
      <c r="M46" s="64"/>
      <c r="N46" s="64"/>
      <c r="O46" s="64"/>
    </row>
    <row r="47" spans="1:15">
      <c r="J47" s="375"/>
      <c r="K47" s="66" t="s">
        <v>411</v>
      </c>
      <c r="L47" s="64"/>
      <c r="M47" s="64"/>
      <c r="N47" s="64"/>
      <c r="O47" s="64"/>
    </row>
    <row r="48" spans="1:15">
      <c r="A48" s="387" t="s">
        <v>282</v>
      </c>
      <c r="B48" s="388"/>
      <c r="C48" s="388"/>
      <c r="D48" s="388"/>
      <c r="E48" s="388"/>
      <c r="F48" s="388"/>
      <c r="G48" s="389"/>
      <c r="J48" s="375"/>
      <c r="K48" s="66" t="s">
        <v>412</v>
      </c>
      <c r="L48" s="64"/>
      <c r="M48" s="64"/>
      <c r="N48" s="64"/>
      <c r="O48" s="64"/>
    </row>
    <row r="49" spans="1:15">
      <c r="A49" s="378"/>
      <c r="B49" s="379"/>
      <c r="C49" s="379"/>
      <c r="D49" s="379"/>
      <c r="E49" s="379"/>
      <c r="F49" s="379"/>
      <c r="G49" s="380"/>
      <c r="J49" s="375"/>
      <c r="K49" s="62" t="s">
        <v>413</v>
      </c>
      <c r="L49" s="62" t="e">
        <f>AVERAGE(L37:L48)</f>
        <v>#DIV/0!</v>
      </c>
      <c r="M49" s="62">
        <f>MAX(M37:M48)</f>
        <v>0</v>
      </c>
      <c r="N49" s="62" t="e">
        <f>AVERAGE(N37:N48)</f>
        <v>#DIV/0!</v>
      </c>
      <c r="O49" s="62">
        <f>MAX(O37:O48)</f>
        <v>0</v>
      </c>
    </row>
    <row r="50" spans="1:15">
      <c r="A50" s="381"/>
      <c r="B50" s="382"/>
      <c r="C50" s="382"/>
      <c r="D50" s="382"/>
      <c r="E50" s="382"/>
      <c r="F50" s="382"/>
      <c r="G50" s="383"/>
    </row>
    <row r="51" spans="1:15" ht="41.45">
      <c r="A51" s="381"/>
      <c r="B51" s="382"/>
      <c r="C51" s="382"/>
      <c r="D51" s="382"/>
      <c r="E51" s="382"/>
      <c r="F51" s="382"/>
      <c r="G51" s="383"/>
      <c r="J51" s="61">
        <f>+A6</f>
        <v>2022</v>
      </c>
      <c r="K51" s="61" t="s">
        <v>395</v>
      </c>
      <c r="L51" s="67" t="s">
        <v>390</v>
      </c>
      <c r="M51" s="67" t="s">
        <v>396</v>
      </c>
      <c r="N51" s="67" t="s">
        <v>393</v>
      </c>
      <c r="O51" s="67" t="s">
        <v>397</v>
      </c>
    </row>
    <row r="52" spans="1:15">
      <c r="A52" s="384"/>
      <c r="B52" s="385"/>
      <c r="C52" s="385"/>
      <c r="D52" s="385"/>
      <c r="E52" s="385"/>
      <c r="F52" s="385"/>
      <c r="G52" s="386"/>
      <c r="J52" s="375" t="s">
        <v>189</v>
      </c>
      <c r="K52" s="66" t="s">
        <v>398</v>
      </c>
      <c r="L52" s="64"/>
      <c r="M52" s="64"/>
      <c r="N52" s="64"/>
      <c r="O52" s="64"/>
    </row>
    <row r="53" spans="1:15">
      <c r="J53" s="375"/>
      <c r="K53" s="66" t="s">
        <v>399</v>
      </c>
      <c r="L53" s="64"/>
      <c r="M53" s="64"/>
      <c r="N53" s="64"/>
      <c r="O53" s="64"/>
    </row>
    <row r="54" spans="1:15">
      <c r="J54" s="375"/>
      <c r="K54" s="66" t="s">
        <v>400</v>
      </c>
      <c r="L54" s="64"/>
      <c r="M54" s="64"/>
      <c r="N54" s="64"/>
      <c r="O54" s="64"/>
    </row>
    <row r="55" spans="1:15">
      <c r="J55" s="375"/>
      <c r="K55" s="66" t="s">
        <v>402</v>
      </c>
      <c r="L55" s="64"/>
      <c r="M55" s="64"/>
      <c r="N55" s="64"/>
      <c r="O55" s="64"/>
    </row>
    <row r="56" spans="1:15">
      <c r="J56" s="375"/>
      <c r="K56" s="66" t="s">
        <v>404</v>
      </c>
      <c r="L56" s="64"/>
      <c r="M56" s="64"/>
      <c r="N56" s="64"/>
      <c r="O56" s="64"/>
    </row>
    <row r="57" spans="1:15">
      <c r="J57" s="375"/>
      <c r="K57" s="66" t="s">
        <v>405</v>
      </c>
      <c r="L57" s="64"/>
      <c r="M57" s="64"/>
      <c r="N57" s="64"/>
      <c r="O57" s="64"/>
    </row>
    <row r="58" spans="1:15">
      <c r="J58" s="375"/>
      <c r="K58" s="66" t="s">
        <v>406</v>
      </c>
      <c r="L58" s="64"/>
      <c r="M58" s="64"/>
      <c r="N58" s="64"/>
      <c r="O58" s="64"/>
    </row>
    <row r="59" spans="1:15">
      <c r="J59" s="375"/>
      <c r="K59" s="66" t="s">
        <v>408</v>
      </c>
      <c r="L59" s="64"/>
      <c r="M59" s="64"/>
      <c r="N59" s="64"/>
      <c r="O59" s="64"/>
    </row>
    <row r="60" spans="1:15">
      <c r="J60" s="375"/>
      <c r="K60" s="66" t="s">
        <v>409</v>
      </c>
      <c r="L60" s="64"/>
      <c r="M60" s="64"/>
      <c r="N60" s="64"/>
      <c r="O60" s="64"/>
    </row>
    <row r="61" spans="1:15">
      <c r="J61" s="375"/>
      <c r="K61" s="66" t="s">
        <v>410</v>
      </c>
      <c r="L61" s="64"/>
      <c r="M61" s="64"/>
      <c r="N61" s="64"/>
      <c r="O61" s="64"/>
    </row>
    <row r="62" spans="1:15">
      <c r="J62" s="375"/>
      <c r="K62" s="66" t="s">
        <v>411</v>
      </c>
      <c r="L62" s="64"/>
      <c r="M62" s="64"/>
      <c r="N62" s="64"/>
      <c r="O62" s="64"/>
    </row>
    <row r="63" spans="1:15">
      <c r="J63" s="375"/>
      <c r="K63" s="66" t="s">
        <v>412</v>
      </c>
      <c r="L63" s="64"/>
      <c r="M63" s="64"/>
      <c r="N63" s="64"/>
      <c r="O63" s="64"/>
    </row>
    <row r="64" spans="1:15">
      <c r="J64" s="375"/>
      <c r="K64" s="62" t="s">
        <v>413</v>
      </c>
      <c r="L64" s="62" t="e">
        <f>AVERAGE(L52:L63)</f>
        <v>#DIV/0!</v>
      </c>
      <c r="M64" s="62">
        <f>MAX(M52:M63)</f>
        <v>0</v>
      </c>
      <c r="N64" s="62" t="e">
        <f>AVERAGE(N52:N63)</f>
        <v>#DIV/0!</v>
      </c>
      <c r="O64" s="62">
        <f>MAX(O52:O63)</f>
        <v>0</v>
      </c>
    </row>
    <row r="66" spans="10:15" ht="41.45">
      <c r="J66" s="61">
        <f>+A6</f>
        <v>2022</v>
      </c>
      <c r="K66" s="61" t="s">
        <v>395</v>
      </c>
      <c r="L66" s="67" t="s">
        <v>390</v>
      </c>
      <c r="M66" s="67" t="s">
        <v>396</v>
      </c>
      <c r="N66" s="67" t="s">
        <v>393</v>
      </c>
      <c r="O66" s="67" t="s">
        <v>397</v>
      </c>
    </row>
    <row r="67" spans="10:15">
      <c r="J67" s="375" t="s">
        <v>190</v>
      </c>
      <c r="K67" s="66" t="s">
        <v>398</v>
      </c>
      <c r="L67" s="64"/>
      <c r="M67" s="64"/>
      <c r="N67" s="64"/>
      <c r="O67" s="64"/>
    </row>
    <row r="68" spans="10:15">
      <c r="J68" s="375"/>
      <c r="K68" s="66" t="s">
        <v>399</v>
      </c>
      <c r="L68" s="64"/>
      <c r="M68" s="64"/>
      <c r="N68" s="64"/>
      <c r="O68" s="64"/>
    </row>
    <row r="69" spans="10:15">
      <c r="J69" s="375"/>
      <c r="K69" s="66" t="s">
        <v>400</v>
      </c>
      <c r="L69" s="64"/>
      <c r="M69" s="64"/>
      <c r="N69" s="64"/>
      <c r="O69" s="64"/>
    </row>
    <row r="70" spans="10:15">
      <c r="J70" s="375"/>
      <c r="K70" s="66" t="s">
        <v>402</v>
      </c>
      <c r="L70" s="64"/>
      <c r="M70" s="64"/>
      <c r="N70" s="64"/>
      <c r="O70" s="64"/>
    </row>
    <row r="71" spans="10:15">
      <c r="J71" s="375"/>
      <c r="K71" s="66" t="s">
        <v>404</v>
      </c>
      <c r="L71" s="64"/>
      <c r="M71" s="64"/>
      <c r="N71" s="64"/>
      <c r="O71" s="64"/>
    </row>
    <row r="72" spans="10:15">
      <c r="J72" s="375"/>
      <c r="K72" s="66" t="s">
        <v>405</v>
      </c>
      <c r="L72" s="64"/>
      <c r="M72" s="64"/>
      <c r="N72" s="64"/>
      <c r="O72" s="64"/>
    </row>
    <row r="73" spans="10:15">
      <c r="J73" s="375"/>
      <c r="K73" s="66" t="s">
        <v>406</v>
      </c>
      <c r="L73" s="64"/>
      <c r="M73" s="64"/>
      <c r="N73" s="64"/>
      <c r="O73" s="64"/>
    </row>
    <row r="74" spans="10:15">
      <c r="J74" s="375"/>
      <c r="K74" s="66" t="s">
        <v>408</v>
      </c>
      <c r="L74" s="64"/>
      <c r="M74" s="64"/>
      <c r="N74" s="64"/>
      <c r="O74" s="64"/>
    </row>
    <row r="75" spans="10:15">
      <c r="J75" s="375"/>
      <c r="K75" s="66" t="s">
        <v>409</v>
      </c>
      <c r="L75" s="64"/>
      <c r="M75" s="64"/>
      <c r="N75" s="64"/>
      <c r="O75" s="64"/>
    </row>
    <row r="76" spans="10:15">
      <c r="J76" s="375"/>
      <c r="K76" s="66" t="s">
        <v>410</v>
      </c>
      <c r="L76" s="64"/>
      <c r="M76" s="64"/>
      <c r="N76" s="64"/>
      <c r="O76" s="64"/>
    </row>
    <row r="77" spans="10:15">
      <c r="J77" s="375"/>
      <c r="K77" s="66" t="s">
        <v>411</v>
      </c>
      <c r="L77" s="64"/>
      <c r="M77" s="64"/>
      <c r="N77" s="64"/>
      <c r="O77" s="64"/>
    </row>
    <row r="78" spans="10:15">
      <c r="J78" s="375"/>
      <c r="K78" s="66" t="s">
        <v>412</v>
      </c>
      <c r="L78" s="64"/>
      <c r="M78" s="64"/>
      <c r="N78" s="64"/>
      <c r="O78" s="64"/>
    </row>
    <row r="79" spans="10:15">
      <c r="J79" s="375"/>
      <c r="K79" s="62" t="s">
        <v>413</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workbookViewId="0">
      <selection activeCell="C7" sqref="C7"/>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EPR Thetford Power Station</v>
      </c>
      <c r="F1" s="93"/>
    </row>
    <row r="3" spans="1:19" ht="14.45">
      <c r="A3" s="60" t="s">
        <v>421</v>
      </c>
      <c r="D3" s="76" t="s">
        <v>382</v>
      </c>
      <c r="G3" s="80" t="s">
        <v>383</v>
      </c>
      <c r="J3" s="9" t="str">
        <f>+A3</f>
        <v>Monitoring of Oxides of Nitrogen emissions</v>
      </c>
      <c r="L3" s="9"/>
      <c r="N3" s="9" t="s">
        <v>384</v>
      </c>
      <c r="Q3" s="79" t="s">
        <v>3</v>
      </c>
      <c r="R3" s="74"/>
      <c r="S3" s="74"/>
    </row>
    <row r="4" spans="1:19" ht="13.9" customHeight="1">
      <c r="Q4" s="353" t="s">
        <v>385</v>
      </c>
      <c r="R4" s="353"/>
      <c r="S4" s="353"/>
    </row>
    <row r="5" spans="1:19" ht="16.149999999999999">
      <c r="A5" s="68" t="s">
        <v>386</v>
      </c>
      <c r="B5" s="377" t="s">
        <v>387</v>
      </c>
      <c r="C5" s="377"/>
      <c r="D5" s="377"/>
      <c r="E5" s="377" t="s">
        <v>388</v>
      </c>
      <c r="F5" s="377"/>
      <c r="G5" s="377"/>
      <c r="J5" s="376"/>
      <c r="K5" s="376"/>
      <c r="L5" s="376"/>
      <c r="M5" s="376"/>
      <c r="N5" s="376"/>
      <c r="O5" s="376"/>
      <c r="Q5" s="353"/>
      <c r="R5" s="353"/>
      <c r="S5" s="353"/>
    </row>
    <row r="6" spans="1:19" s="58" customFormat="1" ht="37.5" customHeight="1">
      <c r="A6" s="65">
        <f>+'Cover Page'!C39</f>
        <v>2022</v>
      </c>
      <c r="B6" s="55" t="s">
        <v>422</v>
      </c>
      <c r="C6" s="55" t="s">
        <v>390</v>
      </c>
      <c r="D6" s="55" t="s">
        <v>391</v>
      </c>
      <c r="E6" s="55" t="s">
        <v>423</v>
      </c>
      <c r="F6" s="55" t="s">
        <v>393</v>
      </c>
      <c r="G6" s="55" t="s">
        <v>394</v>
      </c>
      <c r="H6" s="59"/>
      <c r="J6" s="61">
        <f>+A6</f>
        <v>2022</v>
      </c>
      <c r="K6" s="61" t="s">
        <v>395</v>
      </c>
      <c r="L6" s="67" t="s">
        <v>390</v>
      </c>
      <c r="M6" s="67" t="s">
        <v>396</v>
      </c>
      <c r="N6" s="67" t="s">
        <v>393</v>
      </c>
      <c r="O6" s="67" t="s">
        <v>397</v>
      </c>
      <c r="Q6" s="353"/>
      <c r="R6" s="353"/>
      <c r="S6" s="353"/>
    </row>
    <row r="7" spans="1:19">
      <c r="A7" s="66" t="s">
        <v>398</v>
      </c>
      <c r="B7" s="63" t="s">
        <v>420</v>
      </c>
      <c r="C7" s="64"/>
      <c r="D7" s="64"/>
      <c r="E7" s="63">
        <v>205</v>
      </c>
      <c r="F7" s="64">
        <v>193.2</v>
      </c>
      <c r="G7" s="64">
        <v>203.3</v>
      </c>
      <c r="J7" s="375" t="s">
        <v>186</v>
      </c>
      <c r="K7" s="66" t="s">
        <v>398</v>
      </c>
      <c r="L7" s="64">
        <v>193.2</v>
      </c>
      <c r="M7" s="64">
        <v>299.5</v>
      </c>
      <c r="N7" s="64">
        <v>193.2</v>
      </c>
      <c r="O7" s="64">
        <v>203.3</v>
      </c>
      <c r="Q7" s="353"/>
      <c r="R7" s="353"/>
      <c r="S7" s="353"/>
    </row>
    <row r="8" spans="1:19">
      <c r="A8" s="66" t="s">
        <v>399</v>
      </c>
      <c r="B8" s="63" t="s">
        <v>420</v>
      </c>
      <c r="C8" s="64"/>
      <c r="D8" s="64"/>
      <c r="E8" s="63">
        <v>205</v>
      </c>
      <c r="F8" s="64">
        <v>194.7</v>
      </c>
      <c r="G8" s="64">
        <v>204.5</v>
      </c>
      <c r="J8" s="375"/>
      <c r="K8" s="66" t="s">
        <v>399</v>
      </c>
      <c r="L8" s="64">
        <v>194.7</v>
      </c>
      <c r="M8" s="64">
        <v>204.5</v>
      </c>
      <c r="N8" s="64">
        <v>194.7</v>
      </c>
      <c r="O8" s="64">
        <v>204.5</v>
      </c>
      <c r="Q8" s="353"/>
      <c r="R8" s="353"/>
      <c r="S8" s="353"/>
    </row>
    <row r="9" spans="1:19">
      <c r="A9" s="66" t="s">
        <v>400</v>
      </c>
      <c r="B9" s="63" t="s">
        <v>420</v>
      </c>
      <c r="C9" s="64"/>
      <c r="D9" s="64"/>
      <c r="E9" s="63">
        <v>205</v>
      </c>
      <c r="F9" s="64">
        <v>196.3</v>
      </c>
      <c r="G9" s="64">
        <v>203.1</v>
      </c>
      <c r="J9" s="375"/>
      <c r="K9" s="66" t="s">
        <v>400</v>
      </c>
      <c r="L9" s="64">
        <v>196.3</v>
      </c>
      <c r="M9" s="64">
        <v>332.3</v>
      </c>
      <c r="N9" s="64">
        <v>196.3</v>
      </c>
      <c r="O9" s="64">
        <v>203.1</v>
      </c>
      <c r="Q9" s="78" t="s">
        <v>401</v>
      </c>
    </row>
    <row r="10" spans="1:19" ht="14.25" customHeight="1">
      <c r="A10" s="66" t="s">
        <v>402</v>
      </c>
      <c r="B10" s="63" t="s">
        <v>420</v>
      </c>
      <c r="C10" s="64"/>
      <c r="D10" s="64"/>
      <c r="E10" s="63">
        <v>205</v>
      </c>
      <c r="F10" s="64">
        <v>194.3</v>
      </c>
      <c r="G10" s="64">
        <v>202.6</v>
      </c>
      <c r="J10" s="375"/>
      <c r="K10" s="66" t="s">
        <v>402</v>
      </c>
      <c r="L10" s="64">
        <v>194.3</v>
      </c>
      <c r="M10" s="64">
        <v>460.2</v>
      </c>
      <c r="N10" s="64">
        <v>194.3</v>
      </c>
      <c r="O10" s="64">
        <v>202.6</v>
      </c>
      <c r="Q10" s="374" t="s">
        <v>403</v>
      </c>
      <c r="R10" s="374"/>
      <c r="S10" s="374"/>
    </row>
    <row r="11" spans="1:19">
      <c r="A11" s="66" t="s">
        <v>404</v>
      </c>
      <c r="B11" s="63" t="s">
        <v>420</v>
      </c>
      <c r="C11" s="64"/>
      <c r="D11" s="64"/>
      <c r="E11" s="63">
        <v>205</v>
      </c>
      <c r="F11" s="64">
        <v>191.7</v>
      </c>
      <c r="G11" s="64">
        <v>203.7</v>
      </c>
      <c r="J11" s="375"/>
      <c r="K11" s="66" t="s">
        <v>404</v>
      </c>
      <c r="L11" s="64">
        <v>191.7</v>
      </c>
      <c r="M11" s="64">
        <v>281.5</v>
      </c>
      <c r="N11" s="64">
        <v>191.7</v>
      </c>
      <c r="O11" s="64">
        <v>203.7</v>
      </c>
      <c r="Q11" s="374"/>
      <c r="R11" s="374"/>
      <c r="S11" s="374"/>
    </row>
    <row r="12" spans="1:19">
      <c r="A12" s="66" t="s">
        <v>405</v>
      </c>
      <c r="B12" s="63" t="s">
        <v>420</v>
      </c>
      <c r="C12" s="64"/>
      <c r="D12" s="64"/>
      <c r="E12" s="63">
        <v>205</v>
      </c>
      <c r="F12" s="64">
        <v>192</v>
      </c>
      <c r="G12" s="64">
        <v>201.5</v>
      </c>
      <c r="J12" s="375"/>
      <c r="K12" s="66" t="s">
        <v>405</v>
      </c>
      <c r="L12" s="64">
        <v>192</v>
      </c>
      <c r="M12" s="64">
        <v>252</v>
      </c>
      <c r="N12" s="64">
        <v>192</v>
      </c>
      <c r="O12" s="64">
        <v>201.5</v>
      </c>
      <c r="Q12" s="374"/>
      <c r="R12" s="374"/>
      <c r="S12" s="374"/>
    </row>
    <row r="13" spans="1:19" ht="14.25" customHeight="1">
      <c r="A13" s="66" t="s">
        <v>406</v>
      </c>
      <c r="B13" s="63" t="s">
        <v>420</v>
      </c>
      <c r="C13" s="64"/>
      <c r="D13" s="64"/>
      <c r="E13" s="63">
        <v>205</v>
      </c>
      <c r="F13" s="64">
        <v>189.6</v>
      </c>
      <c r="G13" s="64">
        <v>203.8</v>
      </c>
      <c r="J13" s="375"/>
      <c r="K13" s="66" t="s">
        <v>406</v>
      </c>
      <c r="L13" s="64">
        <v>189.6</v>
      </c>
      <c r="M13" s="64">
        <v>282.89999999999998</v>
      </c>
      <c r="N13" s="64">
        <v>189.6</v>
      </c>
      <c r="O13" s="64">
        <v>203.8</v>
      </c>
      <c r="Q13" s="374" t="s">
        <v>407</v>
      </c>
      <c r="R13" s="374"/>
      <c r="S13" s="374"/>
    </row>
    <row r="14" spans="1:19">
      <c r="A14" s="66" t="s">
        <v>408</v>
      </c>
      <c r="B14" s="63" t="s">
        <v>420</v>
      </c>
      <c r="C14" s="64"/>
      <c r="D14" s="64"/>
      <c r="E14" s="63">
        <v>205</v>
      </c>
      <c r="F14" s="64">
        <v>193</v>
      </c>
      <c r="G14" s="64">
        <v>204.2</v>
      </c>
      <c r="J14" s="375"/>
      <c r="K14" s="66" t="s">
        <v>408</v>
      </c>
      <c r="L14" s="64">
        <v>193</v>
      </c>
      <c r="M14" s="64">
        <v>249.8</v>
      </c>
      <c r="N14" s="64">
        <v>193</v>
      </c>
      <c r="O14" s="64">
        <v>204.2</v>
      </c>
      <c r="Q14" s="374"/>
      <c r="R14" s="374"/>
      <c r="S14" s="374"/>
    </row>
    <row r="15" spans="1:19">
      <c r="A15" s="66" t="s">
        <v>409</v>
      </c>
      <c r="B15" s="63" t="s">
        <v>420</v>
      </c>
      <c r="C15" s="64"/>
      <c r="D15" s="64"/>
      <c r="E15" s="63">
        <v>205</v>
      </c>
      <c r="F15" s="64">
        <v>200.2</v>
      </c>
      <c r="G15" s="64">
        <v>204</v>
      </c>
      <c r="J15" s="375"/>
      <c r="K15" s="66" t="s">
        <v>409</v>
      </c>
      <c r="L15" s="64">
        <v>200.2</v>
      </c>
      <c r="M15" s="64">
        <v>270</v>
      </c>
      <c r="N15" s="64">
        <v>200.2</v>
      </c>
      <c r="O15" s="64">
        <v>204</v>
      </c>
      <c r="Q15" s="374"/>
      <c r="R15" s="374"/>
      <c r="S15" s="374"/>
    </row>
    <row r="16" spans="1:19">
      <c r="A16" s="66" t="s">
        <v>410</v>
      </c>
      <c r="B16" s="63" t="s">
        <v>420</v>
      </c>
      <c r="C16" s="64"/>
      <c r="D16" s="64"/>
      <c r="E16" s="63">
        <v>205</v>
      </c>
      <c r="F16" s="64">
        <v>195.8</v>
      </c>
      <c r="G16" s="64">
        <v>204.1</v>
      </c>
      <c r="J16" s="375"/>
      <c r="K16" s="66" t="s">
        <v>410</v>
      </c>
      <c r="L16" s="64">
        <v>195.8</v>
      </c>
      <c r="M16" s="64">
        <v>252.7</v>
      </c>
      <c r="N16" s="64">
        <v>195.8</v>
      </c>
      <c r="O16" s="64">
        <v>204.1</v>
      </c>
      <c r="Q16" s="374"/>
      <c r="R16" s="374"/>
      <c r="S16" s="374"/>
    </row>
    <row r="17" spans="1:15">
      <c r="A17" s="66" t="s">
        <v>411</v>
      </c>
      <c r="B17" s="63" t="s">
        <v>420</v>
      </c>
      <c r="C17" s="64"/>
      <c r="D17" s="64"/>
      <c r="E17" s="63">
        <v>205</v>
      </c>
      <c r="F17" s="64">
        <v>177.3</v>
      </c>
      <c r="G17" s="64">
        <v>203.9</v>
      </c>
      <c r="J17" s="375"/>
      <c r="K17" s="66" t="s">
        <v>411</v>
      </c>
      <c r="L17" s="64">
        <v>177.3</v>
      </c>
      <c r="M17" s="64">
        <v>267.5</v>
      </c>
      <c r="N17" s="64">
        <v>177.3</v>
      </c>
      <c r="O17" s="64">
        <v>203.9</v>
      </c>
    </row>
    <row r="18" spans="1:15">
      <c r="A18" s="66" t="s">
        <v>412</v>
      </c>
      <c r="B18" s="63" t="s">
        <v>420</v>
      </c>
      <c r="C18" s="64"/>
      <c r="D18" s="64"/>
      <c r="E18" s="63">
        <v>205</v>
      </c>
      <c r="F18" s="64">
        <v>193.7</v>
      </c>
      <c r="G18" s="64">
        <v>204.7</v>
      </c>
      <c r="J18" s="375"/>
      <c r="K18" s="66" t="s">
        <v>412</v>
      </c>
      <c r="L18" s="64">
        <v>193.7</v>
      </c>
      <c r="M18" s="64">
        <v>331.6</v>
      </c>
      <c r="N18" s="64">
        <v>193.7</v>
      </c>
      <c r="O18" s="64">
        <v>204.7</v>
      </c>
    </row>
    <row r="19" spans="1:15">
      <c r="J19" s="375"/>
      <c r="K19" s="62" t="s">
        <v>413</v>
      </c>
      <c r="L19" s="62">
        <f>AVERAGE(L7:L18)</f>
        <v>192.64999999999998</v>
      </c>
      <c r="M19" s="62">
        <f>MAX(M7:M18)</f>
        <v>460.2</v>
      </c>
      <c r="N19" s="62">
        <f>AVERAGE(N7:N18)</f>
        <v>192.64999999999998</v>
      </c>
      <c r="O19" s="62">
        <f>MAX(O7:O18)</f>
        <v>204.7</v>
      </c>
    </row>
    <row r="21" spans="1:15" ht="41.45">
      <c r="J21" s="61">
        <f>+A6</f>
        <v>2022</v>
      </c>
      <c r="K21" s="61" t="s">
        <v>395</v>
      </c>
      <c r="L21" s="67" t="s">
        <v>390</v>
      </c>
      <c r="M21" s="67" t="s">
        <v>396</v>
      </c>
      <c r="N21" s="67" t="s">
        <v>393</v>
      </c>
      <c r="O21" s="67" t="s">
        <v>397</v>
      </c>
    </row>
    <row r="22" spans="1:15">
      <c r="J22" s="375" t="s">
        <v>187</v>
      </c>
      <c r="K22" s="66" t="s">
        <v>398</v>
      </c>
      <c r="L22" s="64"/>
      <c r="M22" s="64"/>
      <c r="N22" s="64"/>
      <c r="O22" s="64"/>
    </row>
    <row r="23" spans="1:15">
      <c r="J23" s="375"/>
      <c r="K23" s="66" t="s">
        <v>399</v>
      </c>
      <c r="L23" s="64"/>
      <c r="M23" s="64"/>
      <c r="N23" s="64"/>
      <c r="O23" s="64"/>
    </row>
    <row r="24" spans="1:15">
      <c r="J24" s="375"/>
      <c r="K24" s="66" t="s">
        <v>400</v>
      </c>
      <c r="L24" s="64"/>
      <c r="M24" s="64"/>
      <c r="N24" s="64"/>
      <c r="O24" s="64"/>
    </row>
    <row r="25" spans="1:15">
      <c r="J25" s="375"/>
      <c r="K25" s="66" t="s">
        <v>402</v>
      </c>
      <c r="L25" s="64"/>
      <c r="M25" s="64"/>
      <c r="N25" s="64"/>
      <c r="O25" s="64"/>
    </row>
    <row r="26" spans="1:15">
      <c r="J26" s="375"/>
      <c r="K26" s="66" t="s">
        <v>404</v>
      </c>
      <c r="L26" s="64"/>
      <c r="M26" s="64"/>
      <c r="N26" s="64"/>
      <c r="O26" s="64"/>
    </row>
    <row r="27" spans="1:15">
      <c r="J27" s="375"/>
      <c r="K27" s="66" t="s">
        <v>405</v>
      </c>
      <c r="L27" s="64"/>
      <c r="M27" s="64"/>
      <c r="N27" s="64"/>
      <c r="O27" s="64"/>
    </row>
    <row r="28" spans="1:15">
      <c r="J28" s="375"/>
      <c r="K28" s="66" t="s">
        <v>406</v>
      </c>
      <c r="L28" s="64"/>
      <c r="M28" s="64"/>
      <c r="N28" s="64"/>
      <c r="O28" s="64"/>
    </row>
    <row r="29" spans="1:15">
      <c r="J29" s="375"/>
      <c r="K29" s="66" t="s">
        <v>408</v>
      </c>
      <c r="L29" s="64"/>
      <c r="M29" s="64"/>
      <c r="N29" s="64"/>
      <c r="O29" s="64"/>
    </row>
    <row r="30" spans="1:15">
      <c r="J30" s="375"/>
      <c r="K30" s="66" t="s">
        <v>409</v>
      </c>
      <c r="L30" s="64"/>
      <c r="M30" s="64"/>
      <c r="N30" s="64"/>
      <c r="O30" s="64"/>
    </row>
    <row r="31" spans="1:15">
      <c r="J31" s="375"/>
      <c r="K31" s="66" t="s">
        <v>410</v>
      </c>
      <c r="L31" s="64"/>
      <c r="M31" s="64"/>
      <c r="N31" s="64"/>
      <c r="O31" s="64"/>
    </row>
    <row r="32" spans="1:15">
      <c r="J32" s="375"/>
      <c r="K32" s="66" t="s">
        <v>411</v>
      </c>
      <c r="L32" s="64"/>
      <c r="M32" s="64"/>
      <c r="N32" s="64"/>
      <c r="O32" s="64"/>
    </row>
    <row r="33" spans="1:15">
      <c r="J33" s="375"/>
      <c r="K33" s="66" t="s">
        <v>412</v>
      </c>
      <c r="L33" s="64"/>
      <c r="M33" s="64"/>
      <c r="N33" s="64"/>
      <c r="O33" s="64"/>
    </row>
    <row r="34" spans="1:15">
      <c r="J34" s="375"/>
      <c r="K34" s="62" t="s">
        <v>413</v>
      </c>
      <c r="L34" s="62" t="e">
        <f>AVERAGE(L22:L33)</f>
        <v>#DIV/0!</v>
      </c>
      <c r="M34" s="62">
        <f>MAX(M22:M33)</f>
        <v>0</v>
      </c>
      <c r="N34" s="62" t="e">
        <f>AVERAGE(N22:N33)</f>
        <v>#DIV/0!</v>
      </c>
      <c r="O34" s="62">
        <f>MAX(O22:O33)</f>
        <v>0</v>
      </c>
    </row>
    <row r="36" spans="1:15" ht="41.45">
      <c r="J36" s="61">
        <f>+A6</f>
        <v>2022</v>
      </c>
      <c r="K36" s="61" t="s">
        <v>395</v>
      </c>
      <c r="L36" s="67" t="s">
        <v>390</v>
      </c>
      <c r="M36" s="67" t="s">
        <v>396</v>
      </c>
      <c r="N36" s="67" t="s">
        <v>393</v>
      </c>
      <c r="O36" s="67" t="s">
        <v>397</v>
      </c>
    </row>
    <row r="37" spans="1:15">
      <c r="J37" s="375" t="s">
        <v>188</v>
      </c>
      <c r="K37" s="66" t="s">
        <v>398</v>
      </c>
      <c r="L37" s="64"/>
      <c r="M37" s="64"/>
      <c r="N37" s="64"/>
      <c r="O37" s="64"/>
    </row>
    <row r="38" spans="1:15">
      <c r="J38" s="375"/>
      <c r="K38" s="66" t="s">
        <v>399</v>
      </c>
      <c r="L38" s="64"/>
      <c r="M38" s="64"/>
      <c r="N38" s="64"/>
      <c r="O38" s="64"/>
    </row>
    <row r="39" spans="1:15">
      <c r="J39" s="375"/>
      <c r="K39" s="66" t="s">
        <v>400</v>
      </c>
      <c r="L39" s="64"/>
      <c r="M39" s="64"/>
      <c r="N39" s="64"/>
      <c r="O39" s="64"/>
    </row>
    <row r="40" spans="1:15">
      <c r="J40" s="375"/>
      <c r="K40" s="66" t="s">
        <v>402</v>
      </c>
      <c r="L40" s="64"/>
      <c r="M40" s="64"/>
      <c r="N40" s="64"/>
      <c r="O40" s="64"/>
    </row>
    <row r="41" spans="1:15">
      <c r="J41" s="375"/>
      <c r="K41" s="66" t="s">
        <v>404</v>
      </c>
      <c r="L41" s="64"/>
      <c r="M41" s="64"/>
      <c r="N41" s="64"/>
      <c r="O41" s="64"/>
    </row>
    <row r="42" spans="1:15">
      <c r="J42" s="375"/>
      <c r="K42" s="66" t="s">
        <v>405</v>
      </c>
      <c r="L42" s="64"/>
      <c r="M42" s="64"/>
      <c r="N42" s="64"/>
      <c r="O42" s="64"/>
    </row>
    <row r="43" spans="1:15">
      <c r="J43" s="375"/>
      <c r="K43" s="66" t="s">
        <v>406</v>
      </c>
      <c r="L43" s="64"/>
      <c r="M43" s="64"/>
      <c r="N43" s="64"/>
      <c r="O43" s="64"/>
    </row>
    <row r="44" spans="1:15">
      <c r="J44" s="375"/>
      <c r="K44" s="66" t="s">
        <v>408</v>
      </c>
      <c r="L44" s="64"/>
      <c r="M44" s="64"/>
      <c r="N44" s="64"/>
      <c r="O44" s="64"/>
    </row>
    <row r="45" spans="1:15">
      <c r="J45" s="375"/>
      <c r="K45" s="66" t="s">
        <v>409</v>
      </c>
      <c r="L45" s="64"/>
      <c r="M45" s="64"/>
      <c r="N45" s="64"/>
      <c r="O45" s="64"/>
    </row>
    <row r="46" spans="1:15">
      <c r="J46" s="375"/>
      <c r="K46" s="66" t="s">
        <v>410</v>
      </c>
      <c r="L46" s="64"/>
      <c r="M46" s="64"/>
      <c r="N46" s="64"/>
      <c r="O46" s="64"/>
    </row>
    <row r="47" spans="1:15">
      <c r="J47" s="375"/>
      <c r="K47" s="66" t="s">
        <v>411</v>
      </c>
      <c r="L47" s="64"/>
      <c r="M47" s="64"/>
      <c r="N47" s="64"/>
      <c r="O47" s="64"/>
    </row>
    <row r="48" spans="1:15">
      <c r="A48" s="387" t="s">
        <v>282</v>
      </c>
      <c r="B48" s="388"/>
      <c r="C48" s="388"/>
      <c r="D48" s="388"/>
      <c r="E48" s="388"/>
      <c r="F48" s="388"/>
      <c r="G48" s="389"/>
      <c r="J48" s="375"/>
      <c r="K48" s="66" t="s">
        <v>412</v>
      </c>
      <c r="L48" s="64"/>
      <c r="M48" s="64"/>
      <c r="N48" s="64"/>
      <c r="O48" s="64"/>
    </row>
    <row r="49" spans="1:15">
      <c r="A49" s="378"/>
      <c r="B49" s="379"/>
      <c r="C49" s="379"/>
      <c r="D49" s="379"/>
      <c r="E49" s="379"/>
      <c r="F49" s="379"/>
      <c r="G49" s="380"/>
      <c r="J49" s="375"/>
      <c r="K49" s="62" t="s">
        <v>413</v>
      </c>
      <c r="L49" s="62" t="e">
        <f>AVERAGE(L37:L48)</f>
        <v>#DIV/0!</v>
      </c>
      <c r="M49" s="62">
        <f>MAX(M37:M48)</f>
        <v>0</v>
      </c>
      <c r="N49" s="62" t="e">
        <f>AVERAGE(N37:N48)</f>
        <v>#DIV/0!</v>
      </c>
      <c r="O49" s="62">
        <f>MAX(O37:O48)</f>
        <v>0</v>
      </c>
    </row>
    <row r="50" spans="1:15">
      <c r="A50" s="381"/>
      <c r="B50" s="382"/>
      <c r="C50" s="382"/>
      <c r="D50" s="382"/>
      <c r="E50" s="382"/>
      <c r="F50" s="382"/>
      <c r="G50" s="383"/>
    </row>
    <row r="51" spans="1:15" ht="41.45">
      <c r="A51" s="381"/>
      <c r="B51" s="382"/>
      <c r="C51" s="382"/>
      <c r="D51" s="382"/>
      <c r="E51" s="382"/>
      <c r="F51" s="382"/>
      <c r="G51" s="383"/>
      <c r="J51" s="61">
        <f>+A6</f>
        <v>2022</v>
      </c>
      <c r="K51" s="61" t="s">
        <v>395</v>
      </c>
      <c r="L51" s="67" t="s">
        <v>390</v>
      </c>
      <c r="M51" s="67" t="s">
        <v>396</v>
      </c>
      <c r="N51" s="67" t="s">
        <v>393</v>
      </c>
      <c r="O51" s="67" t="s">
        <v>397</v>
      </c>
    </row>
    <row r="52" spans="1:15">
      <c r="A52" s="384"/>
      <c r="B52" s="385"/>
      <c r="C52" s="385"/>
      <c r="D52" s="385"/>
      <c r="E52" s="385"/>
      <c r="F52" s="385"/>
      <c r="G52" s="386"/>
      <c r="J52" s="375" t="s">
        <v>189</v>
      </c>
      <c r="K52" s="66" t="s">
        <v>398</v>
      </c>
      <c r="L52" s="64"/>
      <c r="M52" s="64"/>
      <c r="N52" s="64"/>
      <c r="O52" s="64"/>
    </row>
    <row r="53" spans="1:15">
      <c r="J53" s="375"/>
      <c r="K53" s="66" t="s">
        <v>399</v>
      </c>
      <c r="L53" s="64"/>
      <c r="M53" s="64"/>
      <c r="N53" s="64"/>
      <c r="O53" s="64"/>
    </row>
    <row r="54" spans="1:15">
      <c r="J54" s="375"/>
      <c r="K54" s="66" t="s">
        <v>400</v>
      </c>
      <c r="L54" s="64"/>
      <c r="M54" s="64"/>
      <c r="N54" s="64"/>
      <c r="O54" s="64"/>
    </row>
    <row r="55" spans="1:15">
      <c r="J55" s="375"/>
      <c r="K55" s="66" t="s">
        <v>402</v>
      </c>
      <c r="L55" s="64"/>
      <c r="M55" s="64"/>
      <c r="N55" s="64"/>
      <c r="O55" s="64"/>
    </row>
    <row r="56" spans="1:15">
      <c r="J56" s="375"/>
      <c r="K56" s="66" t="s">
        <v>404</v>
      </c>
      <c r="L56" s="64"/>
      <c r="M56" s="64"/>
      <c r="N56" s="64"/>
      <c r="O56" s="64"/>
    </row>
    <row r="57" spans="1:15">
      <c r="J57" s="375"/>
      <c r="K57" s="66" t="s">
        <v>405</v>
      </c>
      <c r="L57" s="64"/>
      <c r="M57" s="64"/>
      <c r="N57" s="64"/>
      <c r="O57" s="64"/>
    </row>
    <row r="58" spans="1:15">
      <c r="J58" s="375"/>
      <c r="K58" s="66" t="s">
        <v>406</v>
      </c>
      <c r="L58" s="64"/>
      <c r="M58" s="64"/>
      <c r="N58" s="64"/>
      <c r="O58" s="64"/>
    </row>
    <row r="59" spans="1:15">
      <c r="J59" s="375"/>
      <c r="K59" s="66" t="s">
        <v>408</v>
      </c>
      <c r="L59" s="64"/>
      <c r="M59" s="64"/>
      <c r="N59" s="64"/>
      <c r="O59" s="64"/>
    </row>
    <row r="60" spans="1:15">
      <c r="J60" s="375"/>
      <c r="K60" s="66" t="s">
        <v>409</v>
      </c>
      <c r="L60" s="64"/>
      <c r="M60" s="64"/>
      <c r="N60" s="64"/>
      <c r="O60" s="64"/>
    </row>
    <row r="61" spans="1:15">
      <c r="J61" s="375"/>
      <c r="K61" s="66" t="s">
        <v>410</v>
      </c>
      <c r="L61" s="64"/>
      <c r="M61" s="64"/>
      <c r="N61" s="64"/>
      <c r="O61" s="64"/>
    </row>
    <row r="62" spans="1:15">
      <c r="J62" s="375"/>
      <c r="K62" s="66" t="s">
        <v>411</v>
      </c>
      <c r="L62" s="64"/>
      <c r="M62" s="64"/>
      <c r="N62" s="64"/>
      <c r="O62" s="64"/>
    </row>
    <row r="63" spans="1:15">
      <c r="J63" s="375"/>
      <c r="K63" s="66" t="s">
        <v>412</v>
      </c>
      <c r="L63" s="64"/>
      <c r="M63" s="64"/>
      <c r="N63" s="64"/>
      <c r="O63" s="64"/>
    </row>
    <row r="64" spans="1:15">
      <c r="J64" s="375"/>
      <c r="K64" s="62" t="s">
        <v>413</v>
      </c>
      <c r="L64" s="62" t="e">
        <f>AVERAGE(L52:L63)</f>
        <v>#DIV/0!</v>
      </c>
      <c r="M64" s="62">
        <f>MAX(M52:M63)</f>
        <v>0</v>
      </c>
      <c r="N64" s="62" t="e">
        <f>AVERAGE(N52:N63)</f>
        <v>#DIV/0!</v>
      </c>
      <c r="O64" s="62">
        <f>MAX(O52:O63)</f>
        <v>0</v>
      </c>
    </row>
    <row r="66" spans="10:15" ht="41.45">
      <c r="J66" s="61">
        <f>+A6</f>
        <v>2022</v>
      </c>
      <c r="K66" s="61" t="s">
        <v>395</v>
      </c>
      <c r="L66" s="67" t="s">
        <v>390</v>
      </c>
      <c r="M66" s="67" t="s">
        <v>396</v>
      </c>
      <c r="N66" s="67" t="s">
        <v>393</v>
      </c>
      <c r="O66" s="67" t="s">
        <v>397</v>
      </c>
    </row>
    <row r="67" spans="10:15">
      <c r="J67" s="375" t="s">
        <v>190</v>
      </c>
      <c r="K67" s="66" t="s">
        <v>398</v>
      </c>
      <c r="L67" s="64"/>
      <c r="M67" s="64"/>
      <c r="N67" s="64"/>
      <c r="O67" s="64"/>
    </row>
    <row r="68" spans="10:15">
      <c r="J68" s="375"/>
      <c r="K68" s="66" t="s">
        <v>399</v>
      </c>
      <c r="L68" s="64"/>
      <c r="M68" s="64"/>
      <c r="N68" s="64"/>
      <c r="O68" s="64"/>
    </row>
    <row r="69" spans="10:15">
      <c r="J69" s="375"/>
      <c r="K69" s="66" t="s">
        <v>400</v>
      </c>
      <c r="L69" s="64"/>
      <c r="M69" s="64"/>
      <c r="N69" s="64"/>
      <c r="O69" s="64"/>
    </row>
    <row r="70" spans="10:15">
      <c r="J70" s="375"/>
      <c r="K70" s="66" t="s">
        <v>402</v>
      </c>
      <c r="L70" s="64"/>
      <c r="M70" s="64"/>
      <c r="N70" s="64"/>
      <c r="O70" s="64"/>
    </row>
    <row r="71" spans="10:15">
      <c r="J71" s="375"/>
      <c r="K71" s="66" t="s">
        <v>404</v>
      </c>
      <c r="L71" s="64"/>
      <c r="M71" s="64"/>
      <c r="N71" s="64"/>
      <c r="O71" s="64"/>
    </row>
    <row r="72" spans="10:15">
      <c r="J72" s="375"/>
      <c r="K72" s="66" t="s">
        <v>405</v>
      </c>
      <c r="L72" s="64"/>
      <c r="M72" s="64"/>
      <c r="N72" s="64"/>
      <c r="O72" s="64"/>
    </row>
    <row r="73" spans="10:15">
      <c r="J73" s="375"/>
      <c r="K73" s="66" t="s">
        <v>406</v>
      </c>
      <c r="L73" s="64"/>
      <c r="M73" s="64"/>
      <c r="N73" s="64"/>
      <c r="O73" s="64"/>
    </row>
    <row r="74" spans="10:15">
      <c r="J74" s="375"/>
      <c r="K74" s="66" t="s">
        <v>408</v>
      </c>
      <c r="L74" s="64"/>
      <c r="M74" s="64"/>
      <c r="N74" s="64"/>
      <c r="O74" s="64"/>
    </row>
    <row r="75" spans="10:15">
      <c r="J75" s="375"/>
      <c r="K75" s="66" t="s">
        <v>409</v>
      </c>
      <c r="L75" s="64"/>
      <c r="M75" s="64"/>
      <c r="N75" s="64"/>
      <c r="O75" s="64"/>
    </row>
    <row r="76" spans="10:15">
      <c r="J76" s="375"/>
      <c r="K76" s="66" t="s">
        <v>410</v>
      </c>
      <c r="L76" s="64"/>
      <c r="M76" s="64"/>
      <c r="N76" s="64"/>
      <c r="O76" s="64"/>
    </row>
    <row r="77" spans="10:15">
      <c r="J77" s="375"/>
      <c r="K77" s="66" t="s">
        <v>411</v>
      </c>
      <c r="L77" s="64"/>
      <c r="M77" s="64"/>
      <c r="N77" s="64"/>
      <c r="O77" s="64"/>
    </row>
    <row r="78" spans="10:15">
      <c r="J78" s="375"/>
      <c r="K78" s="66" t="s">
        <v>412</v>
      </c>
      <c r="L78" s="64"/>
      <c r="M78" s="64"/>
      <c r="N78" s="64"/>
      <c r="O78" s="64"/>
    </row>
    <row r="79" spans="10:15">
      <c r="J79" s="375"/>
      <c r="K79" s="62" t="s">
        <v>413</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workbookViewId="0">
      <selection activeCell="L19" sqref="L19"/>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EPR Thetford Power Station</v>
      </c>
    </row>
    <row r="3" spans="1:19" ht="14.45">
      <c r="A3" s="60" t="s">
        <v>424</v>
      </c>
      <c r="D3" s="76" t="s">
        <v>382</v>
      </c>
      <c r="G3" s="80" t="s">
        <v>383</v>
      </c>
      <c r="J3" s="9" t="str">
        <f>+A3</f>
        <v>Monitoring of Particulate matter emissions</v>
      </c>
      <c r="L3" s="9"/>
      <c r="N3" s="9" t="s">
        <v>384</v>
      </c>
      <c r="Q3" s="79" t="s">
        <v>3</v>
      </c>
      <c r="R3" s="74"/>
      <c r="S3" s="74"/>
    </row>
    <row r="4" spans="1:19" ht="13.9" customHeight="1">
      <c r="Q4" s="353" t="s">
        <v>385</v>
      </c>
      <c r="R4" s="353"/>
      <c r="S4" s="353"/>
    </row>
    <row r="5" spans="1:19" ht="16.149999999999999">
      <c r="A5" s="68" t="s">
        <v>386</v>
      </c>
      <c r="B5" s="377" t="s">
        <v>387</v>
      </c>
      <c r="C5" s="377"/>
      <c r="D5" s="377"/>
      <c r="E5" s="377" t="s">
        <v>388</v>
      </c>
      <c r="F5" s="377"/>
      <c r="G5" s="377"/>
      <c r="J5" s="376"/>
      <c r="K5" s="376"/>
      <c r="L5" s="376"/>
      <c r="M5" s="376"/>
      <c r="N5" s="376"/>
      <c r="O5" s="376"/>
      <c r="Q5" s="353"/>
      <c r="R5" s="353"/>
      <c r="S5" s="353"/>
    </row>
    <row r="6" spans="1:19" s="58" customFormat="1" ht="37.5" customHeight="1">
      <c r="A6" s="65">
        <f>+'Cover Page'!C39</f>
        <v>2022</v>
      </c>
      <c r="B6" s="55" t="s">
        <v>425</v>
      </c>
      <c r="C6" s="55" t="s">
        <v>390</v>
      </c>
      <c r="D6" s="55" t="s">
        <v>391</v>
      </c>
      <c r="E6" s="55" t="s">
        <v>426</v>
      </c>
      <c r="F6" s="55" t="s">
        <v>393</v>
      </c>
      <c r="G6" s="55" t="s">
        <v>394</v>
      </c>
      <c r="H6" s="59"/>
      <c r="J6" s="61">
        <f>+A6</f>
        <v>2022</v>
      </c>
      <c r="K6" s="61" t="s">
        <v>395</v>
      </c>
      <c r="L6" s="67" t="s">
        <v>390</v>
      </c>
      <c r="M6" s="67" t="s">
        <v>396</v>
      </c>
      <c r="N6" s="67" t="s">
        <v>393</v>
      </c>
      <c r="O6" s="67" t="s">
        <v>397</v>
      </c>
      <c r="Q6" s="353"/>
      <c r="R6" s="353"/>
      <c r="S6" s="353"/>
    </row>
    <row r="7" spans="1:19">
      <c r="A7" s="66" t="s">
        <v>398</v>
      </c>
      <c r="B7" s="63">
        <v>33</v>
      </c>
      <c r="C7" s="64">
        <v>3.1</v>
      </c>
      <c r="D7" s="64">
        <v>18</v>
      </c>
      <c r="E7" s="63">
        <v>11</v>
      </c>
      <c r="F7" s="64">
        <v>3.1</v>
      </c>
      <c r="G7" s="64">
        <v>5.7</v>
      </c>
      <c r="J7" s="375" t="s">
        <v>186</v>
      </c>
      <c r="K7" s="66" t="s">
        <v>398</v>
      </c>
      <c r="L7" s="64">
        <v>3.1</v>
      </c>
      <c r="M7" s="64">
        <v>18</v>
      </c>
      <c r="N7" s="64">
        <v>3.1</v>
      </c>
      <c r="O7" s="64">
        <v>5.7</v>
      </c>
      <c r="Q7" s="353"/>
      <c r="R7" s="353"/>
      <c r="S7" s="353"/>
    </row>
    <row r="8" spans="1:19">
      <c r="A8" s="66" t="s">
        <v>399</v>
      </c>
      <c r="B8" s="63">
        <v>33</v>
      </c>
      <c r="C8" s="64">
        <v>1.6</v>
      </c>
      <c r="D8" s="64">
        <v>6.4</v>
      </c>
      <c r="E8" s="63">
        <v>11</v>
      </c>
      <c r="F8" s="64">
        <v>1.6</v>
      </c>
      <c r="G8" s="64">
        <v>2.9</v>
      </c>
      <c r="J8" s="375"/>
      <c r="K8" s="66" t="s">
        <v>399</v>
      </c>
      <c r="L8" s="64">
        <v>1.6</v>
      </c>
      <c r="M8" s="64">
        <v>6.4</v>
      </c>
      <c r="N8" s="64">
        <v>1.6</v>
      </c>
      <c r="O8" s="64">
        <v>2.9</v>
      </c>
      <c r="Q8" s="353"/>
      <c r="R8" s="353"/>
      <c r="S8" s="353"/>
    </row>
    <row r="9" spans="1:19">
      <c r="A9" s="66" t="s">
        <v>400</v>
      </c>
      <c r="B9" s="63">
        <v>33</v>
      </c>
      <c r="C9" s="64">
        <v>2.8</v>
      </c>
      <c r="D9" s="64">
        <v>23.8</v>
      </c>
      <c r="E9" s="63">
        <v>11</v>
      </c>
      <c r="F9" s="64">
        <v>2.8</v>
      </c>
      <c r="G9" s="64">
        <v>6.2</v>
      </c>
      <c r="J9" s="375"/>
      <c r="K9" s="66" t="s">
        <v>400</v>
      </c>
      <c r="L9" s="64">
        <v>2.8</v>
      </c>
      <c r="M9" s="64">
        <v>23.8</v>
      </c>
      <c r="N9" s="64">
        <v>2.8</v>
      </c>
      <c r="O9" s="64">
        <v>6.2</v>
      </c>
      <c r="Q9" s="78" t="s">
        <v>401</v>
      </c>
    </row>
    <row r="10" spans="1:19" ht="14.25" customHeight="1">
      <c r="A10" s="66" t="s">
        <v>402</v>
      </c>
      <c r="B10" s="63">
        <v>33</v>
      </c>
      <c r="C10" s="64">
        <v>1.6</v>
      </c>
      <c r="D10" s="64">
        <v>13.3</v>
      </c>
      <c r="E10" s="63">
        <v>11</v>
      </c>
      <c r="F10" s="64">
        <v>1.6</v>
      </c>
      <c r="G10" s="64">
        <v>3.9</v>
      </c>
      <c r="J10" s="375"/>
      <c r="K10" s="66" t="s">
        <v>402</v>
      </c>
      <c r="L10" s="64">
        <v>1.6</v>
      </c>
      <c r="M10" s="64">
        <v>13.3</v>
      </c>
      <c r="N10" s="64">
        <v>1.6</v>
      </c>
      <c r="O10" s="64">
        <v>3.9</v>
      </c>
      <c r="Q10" s="374" t="s">
        <v>403</v>
      </c>
      <c r="R10" s="374"/>
      <c r="S10" s="374"/>
    </row>
    <row r="11" spans="1:19">
      <c r="A11" s="66" t="s">
        <v>404</v>
      </c>
      <c r="B11" s="63">
        <v>33</v>
      </c>
      <c r="C11" s="64">
        <v>1.8</v>
      </c>
      <c r="D11" s="64">
        <v>13.9</v>
      </c>
      <c r="E11" s="63">
        <v>11</v>
      </c>
      <c r="F11" s="64">
        <v>1.8</v>
      </c>
      <c r="G11" s="64">
        <v>4.0999999999999996</v>
      </c>
      <c r="J11" s="375"/>
      <c r="K11" s="66" t="s">
        <v>404</v>
      </c>
      <c r="L11" s="64">
        <v>1.8</v>
      </c>
      <c r="M11" s="64">
        <v>13.9</v>
      </c>
      <c r="N11" s="64">
        <v>1.8</v>
      </c>
      <c r="O11" s="64">
        <v>4.0999999999999996</v>
      </c>
      <c r="Q11" s="374"/>
      <c r="R11" s="374"/>
      <c r="S11" s="374"/>
    </row>
    <row r="12" spans="1:19">
      <c r="A12" s="66" t="s">
        <v>405</v>
      </c>
      <c r="B12" s="63">
        <v>33</v>
      </c>
      <c r="C12" s="64">
        <v>2.2000000000000002</v>
      </c>
      <c r="D12" s="64">
        <v>12</v>
      </c>
      <c r="E12" s="63">
        <v>11</v>
      </c>
      <c r="F12" s="64">
        <v>2.2000000000000002</v>
      </c>
      <c r="G12" s="64">
        <v>4.5</v>
      </c>
      <c r="J12" s="375"/>
      <c r="K12" s="66" t="s">
        <v>405</v>
      </c>
      <c r="L12" s="64">
        <v>2.2000000000000002</v>
      </c>
      <c r="M12" s="64">
        <v>12</v>
      </c>
      <c r="N12" s="64">
        <v>2.2000000000000002</v>
      </c>
      <c r="O12" s="64">
        <v>4.5</v>
      </c>
      <c r="Q12" s="374"/>
      <c r="R12" s="374"/>
      <c r="S12" s="374"/>
    </row>
    <row r="13" spans="1:19" ht="14.25" customHeight="1">
      <c r="A13" s="66" t="s">
        <v>406</v>
      </c>
      <c r="B13" s="63">
        <v>33</v>
      </c>
      <c r="C13" s="64">
        <v>0.7</v>
      </c>
      <c r="D13" s="64">
        <v>4.8</v>
      </c>
      <c r="E13" s="63">
        <v>11</v>
      </c>
      <c r="F13" s="64">
        <v>0.7</v>
      </c>
      <c r="G13" s="64">
        <v>1.3</v>
      </c>
      <c r="J13" s="375"/>
      <c r="K13" s="66" t="s">
        <v>406</v>
      </c>
      <c r="L13" s="64">
        <v>0.7</v>
      </c>
      <c r="M13" s="64">
        <v>4.8</v>
      </c>
      <c r="N13" s="64">
        <v>0.7</v>
      </c>
      <c r="O13" s="64">
        <v>1.3</v>
      </c>
      <c r="Q13" s="374" t="s">
        <v>407</v>
      </c>
      <c r="R13" s="374"/>
      <c r="S13" s="374"/>
    </row>
    <row r="14" spans="1:19">
      <c r="A14" s="66" t="s">
        <v>408</v>
      </c>
      <c r="B14" s="63">
        <v>33</v>
      </c>
      <c r="C14" s="64">
        <v>1</v>
      </c>
      <c r="D14" s="64">
        <v>12.1</v>
      </c>
      <c r="E14" s="63">
        <v>11</v>
      </c>
      <c r="F14" s="64">
        <v>1</v>
      </c>
      <c r="G14" s="64">
        <v>4.8</v>
      </c>
      <c r="J14" s="375"/>
      <c r="K14" s="66" t="s">
        <v>408</v>
      </c>
      <c r="L14" s="64">
        <v>1</v>
      </c>
      <c r="M14" s="64">
        <v>12.1</v>
      </c>
      <c r="N14" s="64">
        <v>1</v>
      </c>
      <c r="O14" s="64">
        <v>4.8</v>
      </c>
      <c r="Q14" s="374"/>
      <c r="R14" s="374"/>
      <c r="S14" s="374"/>
    </row>
    <row r="15" spans="1:19">
      <c r="A15" s="66" t="s">
        <v>409</v>
      </c>
      <c r="B15" s="63">
        <v>33</v>
      </c>
      <c r="C15" s="64">
        <v>1</v>
      </c>
      <c r="D15" s="64">
        <v>6.6</v>
      </c>
      <c r="E15" s="63">
        <v>11</v>
      </c>
      <c r="F15" s="64">
        <v>1</v>
      </c>
      <c r="G15" s="64">
        <v>2.6</v>
      </c>
      <c r="J15" s="375"/>
      <c r="K15" s="66" t="s">
        <v>409</v>
      </c>
      <c r="L15" s="64">
        <v>1</v>
      </c>
      <c r="M15" s="64">
        <v>6.6</v>
      </c>
      <c r="N15" s="64">
        <v>1</v>
      </c>
      <c r="O15" s="64">
        <v>2.6</v>
      </c>
      <c r="Q15" s="374"/>
      <c r="R15" s="374"/>
      <c r="S15" s="374"/>
    </row>
    <row r="16" spans="1:19">
      <c r="A16" s="66" t="s">
        <v>410</v>
      </c>
      <c r="B16" s="63">
        <v>33</v>
      </c>
      <c r="C16" s="64">
        <v>1.7</v>
      </c>
      <c r="D16" s="64">
        <v>15.5</v>
      </c>
      <c r="E16" s="63">
        <v>11</v>
      </c>
      <c r="F16" s="64">
        <v>1.7</v>
      </c>
      <c r="G16" s="64">
        <v>6.8</v>
      </c>
      <c r="J16" s="375"/>
      <c r="K16" s="66" t="s">
        <v>410</v>
      </c>
      <c r="L16" s="64">
        <v>1.7</v>
      </c>
      <c r="M16" s="64">
        <v>15.5</v>
      </c>
      <c r="N16" s="64">
        <v>1.7</v>
      </c>
      <c r="O16" s="64">
        <v>6.8</v>
      </c>
      <c r="Q16" s="374"/>
      <c r="R16" s="374"/>
      <c r="S16" s="374"/>
    </row>
    <row r="17" spans="1:15">
      <c r="A17" s="66" t="s">
        <v>411</v>
      </c>
      <c r="B17" s="63">
        <v>33</v>
      </c>
      <c r="C17" s="64">
        <v>2.6</v>
      </c>
      <c r="D17" s="64">
        <v>16.100000000000001</v>
      </c>
      <c r="E17" s="63">
        <v>11</v>
      </c>
      <c r="F17" s="64">
        <v>2.6</v>
      </c>
      <c r="G17" s="64">
        <v>5.0999999999999996</v>
      </c>
      <c r="J17" s="375"/>
      <c r="K17" s="66" t="s">
        <v>411</v>
      </c>
      <c r="L17" s="64">
        <v>2.6</v>
      </c>
      <c r="M17" s="64">
        <v>16.100000000000001</v>
      </c>
      <c r="N17" s="64">
        <v>2.6</v>
      </c>
      <c r="O17" s="64">
        <v>5.0999999999999996</v>
      </c>
    </row>
    <row r="18" spans="1:15">
      <c r="A18" s="66" t="s">
        <v>412</v>
      </c>
      <c r="B18" s="63">
        <v>33</v>
      </c>
      <c r="C18" s="64">
        <v>2.2999999999999998</v>
      </c>
      <c r="D18" s="64">
        <v>20.2</v>
      </c>
      <c r="E18" s="63">
        <v>11</v>
      </c>
      <c r="F18" s="64">
        <v>2.2999999999999998</v>
      </c>
      <c r="G18" s="64">
        <v>7.1</v>
      </c>
      <c r="J18" s="375"/>
      <c r="K18" s="66" t="s">
        <v>412</v>
      </c>
      <c r="L18" s="64">
        <v>2.2999999999999998</v>
      </c>
      <c r="M18" s="64">
        <v>20.2</v>
      </c>
      <c r="N18" s="64">
        <v>2.2999999999999998</v>
      </c>
      <c r="O18" s="64">
        <v>7.1</v>
      </c>
    </row>
    <row r="19" spans="1:15">
      <c r="J19" s="375"/>
      <c r="K19" s="62" t="s">
        <v>413</v>
      </c>
      <c r="L19" s="105">
        <f>AVERAGE(L7:L18)</f>
        <v>1.8666666666666669</v>
      </c>
      <c r="M19" s="62">
        <f>MAX(M7:M18)</f>
        <v>23.8</v>
      </c>
      <c r="N19" s="105">
        <f>AVERAGE(N7:N18)</f>
        <v>1.8666666666666669</v>
      </c>
      <c r="O19" s="62">
        <f>MAX(O7:O18)</f>
        <v>7.1</v>
      </c>
    </row>
    <row r="21" spans="1:15" ht="41.45">
      <c r="J21" s="61">
        <f>+A6</f>
        <v>2022</v>
      </c>
      <c r="K21" s="61" t="s">
        <v>395</v>
      </c>
      <c r="L21" s="67" t="s">
        <v>390</v>
      </c>
      <c r="M21" s="67" t="s">
        <v>396</v>
      </c>
      <c r="N21" s="67" t="s">
        <v>393</v>
      </c>
      <c r="O21" s="67" t="s">
        <v>397</v>
      </c>
    </row>
    <row r="22" spans="1:15">
      <c r="J22" s="375" t="s">
        <v>187</v>
      </c>
      <c r="K22" s="66" t="s">
        <v>398</v>
      </c>
      <c r="L22" s="64"/>
      <c r="M22" s="64"/>
      <c r="N22" s="64"/>
      <c r="O22" s="64"/>
    </row>
    <row r="23" spans="1:15">
      <c r="J23" s="375"/>
      <c r="K23" s="66" t="s">
        <v>399</v>
      </c>
      <c r="L23" s="64"/>
      <c r="M23" s="64"/>
      <c r="N23" s="64"/>
      <c r="O23" s="64"/>
    </row>
    <row r="24" spans="1:15">
      <c r="J24" s="375"/>
      <c r="K24" s="66" t="s">
        <v>400</v>
      </c>
      <c r="L24" s="64"/>
      <c r="M24" s="64"/>
      <c r="N24" s="64"/>
      <c r="O24" s="64"/>
    </row>
    <row r="25" spans="1:15">
      <c r="J25" s="375"/>
      <c r="K25" s="66" t="s">
        <v>402</v>
      </c>
      <c r="L25" s="64"/>
      <c r="M25" s="64"/>
      <c r="N25" s="64"/>
      <c r="O25" s="64"/>
    </row>
    <row r="26" spans="1:15">
      <c r="J26" s="375"/>
      <c r="K26" s="66" t="s">
        <v>404</v>
      </c>
      <c r="L26" s="64"/>
      <c r="M26" s="64"/>
      <c r="N26" s="64"/>
      <c r="O26" s="64"/>
    </row>
    <row r="27" spans="1:15">
      <c r="J27" s="375"/>
      <c r="K27" s="66" t="s">
        <v>405</v>
      </c>
      <c r="L27" s="64"/>
      <c r="M27" s="64"/>
      <c r="N27" s="64"/>
      <c r="O27" s="64"/>
    </row>
    <row r="28" spans="1:15">
      <c r="J28" s="375"/>
      <c r="K28" s="66" t="s">
        <v>406</v>
      </c>
      <c r="L28" s="64"/>
      <c r="M28" s="64"/>
      <c r="N28" s="64"/>
      <c r="O28" s="64"/>
    </row>
    <row r="29" spans="1:15">
      <c r="J29" s="375"/>
      <c r="K29" s="66" t="s">
        <v>408</v>
      </c>
      <c r="L29" s="64"/>
      <c r="M29" s="64"/>
      <c r="N29" s="64"/>
      <c r="O29" s="64"/>
    </row>
    <row r="30" spans="1:15">
      <c r="J30" s="375"/>
      <c r="K30" s="66" t="s">
        <v>409</v>
      </c>
      <c r="L30" s="64"/>
      <c r="M30" s="64"/>
      <c r="N30" s="64"/>
      <c r="O30" s="64"/>
    </row>
    <row r="31" spans="1:15">
      <c r="J31" s="375"/>
      <c r="K31" s="66" t="s">
        <v>410</v>
      </c>
      <c r="L31" s="64"/>
      <c r="M31" s="64"/>
      <c r="N31" s="64"/>
      <c r="O31" s="64"/>
    </row>
    <row r="32" spans="1:15">
      <c r="J32" s="375"/>
      <c r="K32" s="66" t="s">
        <v>411</v>
      </c>
      <c r="L32" s="64"/>
      <c r="M32" s="64"/>
      <c r="N32" s="64"/>
      <c r="O32" s="64"/>
    </row>
    <row r="33" spans="1:15">
      <c r="J33" s="375"/>
      <c r="K33" s="66" t="s">
        <v>412</v>
      </c>
      <c r="L33" s="64"/>
      <c r="M33" s="64"/>
      <c r="N33" s="64"/>
      <c r="O33" s="64"/>
    </row>
    <row r="34" spans="1:15">
      <c r="J34" s="375"/>
      <c r="K34" s="62" t="s">
        <v>413</v>
      </c>
      <c r="L34" s="62" t="e">
        <f>AVERAGE(L22:L33)</f>
        <v>#DIV/0!</v>
      </c>
      <c r="M34" s="62">
        <f>MAX(M22:M33)</f>
        <v>0</v>
      </c>
      <c r="N34" s="62" t="e">
        <f>AVERAGE(N22:N33)</f>
        <v>#DIV/0!</v>
      </c>
      <c r="O34" s="62">
        <f>MAX(O22:O33)</f>
        <v>0</v>
      </c>
    </row>
    <row r="36" spans="1:15" ht="41.45">
      <c r="J36" s="61">
        <f>+A6</f>
        <v>2022</v>
      </c>
      <c r="K36" s="61" t="s">
        <v>395</v>
      </c>
      <c r="L36" s="67" t="s">
        <v>390</v>
      </c>
      <c r="M36" s="67" t="s">
        <v>396</v>
      </c>
      <c r="N36" s="67" t="s">
        <v>393</v>
      </c>
      <c r="O36" s="67" t="s">
        <v>397</v>
      </c>
    </row>
    <row r="37" spans="1:15">
      <c r="J37" s="375" t="s">
        <v>188</v>
      </c>
      <c r="K37" s="66" t="s">
        <v>398</v>
      </c>
      <c r="L37" s="64"/>
      <c r="M37" s="64"/>
      <c r="N37" s="64"/>
      <c r="O37" s="64"/>
    </row>
    <row r="38" spans="1:15">
      <c r="J38" s="375"/>
      <c r="K38" s="66" t="s">
        <v>399</v>
      </c>
      <c r="L38" s="64"/>
      <c r="M38" s="64"/>
      <c r="N38" s="64"/>
      <c r="O38" s="64"/>
    </row>
    <row r="39" spans="1:15">
      <c r="J39" s="375"/>
      <c r="K39" s="66" t="s">
        <v>400</v>
      </c>
      <c r="L39" s="64"/>
      <c r="M39" s="64"/>
      <c r="N39" s="64"/>
      <c r="O39" s="64"/>
    </row>
    <row r="40" spans="1:15">
      <c r="J40" s="375"/>
      <c r="K40" s="66" t="s">
        <v>402</v>
      </c>
      <c r="L40" s="64"/>
      <c r="M40" s="64"/>
      <c r="N40" s="64"/>
      <c r="O40" s="64"/>
    </row>
    <row r="41" spans="1:15">
      <c r="J41" s="375"/>
      <c r="K41" s="66" t="s">
        <v>404</v>
      </c>
      <c r="L41" s="64"/>
      <c r="M41" s="64"/>
      <c r="N41" s="64"/>
      <c r="O41" s="64"/>
    </row>
    <row r="42" spans="1:15">
      <c r="J42" s="375"/>
      <c r="K42" s="66" t="s">
        <v>405</v>
      </c>
      <c r="L42" s="64"/>
      <c r="M42" s="64"/>
      <c r="N42" s="64"/>
      <c r="O42" s="64"/>
    </row>
    <row r="43" spans="1:15">
      <c r="J43" s="375"/>
      <c r="K43" s="66" t="s">
        <v>406</v>
      </c>
      <c r="L43" s="64"/>
      <c r="M43" s="64"/>
      <c r="N43" s="64"/>
      <c r="O43" s="64"/>
    </row>
    <row r="44" spans="1:15">
      <c r="J44" s="375"/>
      <c r="K44" s="66" t="s">
        <v>408</v>
      </c>
      <c r="L44" s="64"/>
      <c r="M44" s="64"/>
      <c r="N44" s="64"/>
      <c r="O44" s="64"/>
    </row>
    <row r="45" spans="1:15">
      <c r="J45" s="375"/>
      <c r="K45" s="66" t="s">
        <v>409</v>
      </c>
      <c r="L45" s="64"/>
      <c r="M45" s="64"/>
      <c r="N45" s="64"/>
      <c r="O45" s="64"/>
    </row>
    <row r="46" spans="1:15">
      <c r="J46" s="375"/>
      <c r="K46" s="66" t="s">
        <v>410</v>
      </c>
      <c r="L46" s="64"/>
      <c r="M46" s="64"/>
      <c r="N46" s="64"/>
      <c r="O46" s="64"/>
    </row>
    <row r="47" spans="1:15">
      <c r="J47" s="375"/>
      <c r="K47" s="66" t="s">
        <v>411</v>
      </c>
      <c r="L47" s="64"/>
      <c r="M47" s="64"/>
      <c r="N47" s="64"/>
      <c r="O47" s="64"/>
    </row>
    <row r="48" spans="1:15">
      <c r="A48" s="387" t="s">
        <v>282</v>
      </c>
      <c r="B48" s="388"/>
      <c r="C48" s="388"/>
      <c r="D48" s="388"/>
      <c r="E48" s="388"/>
      <c r="F48" s="388"/>
      <c r="G48" s="389"/>
      <c r="J48" s="375"/>
      <c r="K48" s="66" t="s">
        <v>412</v>
      </c>
      <c r="L48" s="64"/>
      <c r="M48" s="64"/>
      <c r="N48" s="64"/>
      <c r="O48" s="64"/>
    </row>
    <row r="49" spans="1:15">
      <c r="A49" s="378"/>
      <c r="B49" s="379"/>
      <c r="C49" s="379"/>
      <c r="D49" s="379"/>
      <c r="E49" s="379"/>
      <c r="F49" s="379"/>
      <c r="G49" s="380"/>
      <c r="J49" s="375"/>
      <c r="K49" s="62" t="s">
        <v>413</v>
      </c>
      <c r="L49" s="62" t="e">
        <f>AVERAGE(L37:L48)</f>
        <v>#DIV/0!</v>
      </c>
      <c r="M49" s="62">
        <f>MAX(M37:M48)</f>
        <v>0</v>
      </c>
      <c r="N49" s="62" t="e">
        <f>AVERAGE(N37:N48)</f>
        <v>#DIV/0!</v>
      </c>
      <c r="O49" s="62">
        <f>MAX(O37:O48)</f>
        <v>0</v>
      </c>
    </row>
    <row r="50" spans="1:15">
      <c r="A50" s="381"/>
      <c r="B50" s="382"/>
      <c r="C50" s="382"/>
      <c r="D50" s="382"/>
      <c r="E50" s="382"/>
      <c r="F50" s="382"/>
      <c r="G50" s="383"/>
    </row>
    <row r="51" spans="1:15" ht="41.45">
      <c r="A51" s="381"/>
      <c r="B51" s="382"/>
      <c r="C51" s="382"/>
      <c r="D51" s="382"/>
      <c r="E51" s="382"/>
      <c r="F51" s="382"/>
      <c r="G51" s="383"/>
      <c r="J51" s="61">
        <f>+A6</f>
        <v>2022</v>
      </c>
      <c r="K51" s="61" t="s">
        <v>395</v>
      </c>
      <c r="L51" s="67" t="s">
        <v>390</v>
      </c>
      <c r="M51" s="67" t="s">
        <v>396</v>
      </c>
      <c r="N51" s="67" t="s">
        <v>393</v>
      </c>
      <c r="O51" s="67" t="s">
        <v>397</v>
      </c>
    </row>
    <row r="52" spans="1:15">
      <c r="A52" s="384"/>
      <c r="B52" s="385"/>
      <c r="C52" s="385"/>
      <c r="D52" s="385"/>
      <c r="E52" s="385"/>
      <c r="F52" s="385"/>
      <c r="G52" s="386"/>
      <c r="J52" s="375" t="s">
        <v>189</v>
      </c>
      <c r="K52" s="66" t="s">
        <v>398</v>
      </c>
      <c r="L52" s="64"/>
      <c r="M52" s="64"/>
      <c r="N52" s="64"/>
      <c r="O52" s="64"/>
    </row>
    <row r="53" spans="1:15">
      <c r="J53" s="375"/>
      <c r="K53" s="66" t="s">
        <v>399</v>
      </c>
      <c r="L53" s="64"/>
      <c r="M53" s="64"/>
      <c r="N53" s="64"/>
      <c r="O53" s="64"/>
    </row>
    <row r="54" spans="1:15">
      <c r="J54" s="375"/>
      <c r="K54" s="66" t="s">
        <v>400</v>
      </c>
      <c r="L54" s="64"/>
      <c r="M54" s="64"/>
      <c r="N54" s="64"/>
      <c r="O54" s="64"/>
    </row>
    <row r="55" spans="1:15">
      <c r="J55" s="375"/>
      <c r="K55" s="66" t="s">
        <v>402</v>
      </c>
      <c r="L55" s="64"/>
      <c r="M55" s="64"/>
      <c r="N55" s="64"/>
      <c r="O55" s="64"/>
    </row>
    <row r="56" spans="1:15">
      <c r="J56" s="375"/>
      <c r="K56" s="66" t="s">
        <v>404</v>
      </c>
      <c r="L56" s="64"/>
      <c r="M56" s="64"/>
      <c r="N56" s="64"/>
      <c r="O56" s="64"/>
    </row>
    <row r="57" spans="1:15">
      <c r="J57" s="375"/>
      <c r="K57" s="66" t="s">
        <v>405</v>
      </c>
      <c r="L57" s="64"/>
      <c r="M57" s="64"/>
      <c r="N57" s="64"/>
      <c r="O57" s="64"/>
    </row>
    <row r="58" spans="1:15">
      <c r="J58" s="375"/>
      <c r="K58" s="66" t="s">
        <v>406</v>
      </c>
      <c r="L58" s="64"/>
      <c r="M58" s="64"/>
      <c r="N58" s="64"/>
      <c r="O58" s="64"/>
    </row>
    <row r="59" spans="1:15">
      <c r="J59" s="375"/>
      <c r="K59" s="66" t="s">
        <v>408</v>
      </c>
      <c r="L59" s="64"/>
      <c r="M59" s="64"/>
      <c r="N59" s="64"/>
      <c r="O59" s="64"/>
    </row>
    <row r="60" spans="1:15">
      <c r="J60" s="375"/>
      <c r="K60" s="66" t="s">
        <v>409</v>
      </c>
      <c r="L60" s="64"/>
      <c r="M60" s="64"/>
      <c r="N60" s="64"/>
      <c r="O60" s="64"/>
    </row>
    <row r="61" spans="1:15">
      <c r="J61" s="375"/>
      <c r="K61" s="66" t="s">
        <v>410</v>
      </c>
      <c r="L61" s="64"/>
      <c r="M61" s="64"/>
      <c r="N61" s="64"/>
      <c r="O61" s="64"/>
    </row>
    <row r="62" spans="1:15">
      <c r="J62" s="375"/>
      <c r="K62" s="66" t="s">
        <v>411</v>
      </c>
      <c r="L62" s="64"/>
      <c r="M62" s="64"/>
      <c r="N62" s="64"/>
      <c r="O62" s="64"/>
    </row>
    <row r="63" spans="1:15">
      <c r="J63" s="375"/>
      <c r="K63" s="66" t="s">
        <v>412</v>
      </c>
      <c r="L63" s="64"/>
      <c r="M63" s="64"/>
      <c r="N63" s="64"/>
      <c r="O63" s="64"/>
    </row>
    <row r="64" spans="1:15">
      <c r="J64" s="375"/>
      <c r="K64" s="62" t="s">
        <v>413</v>
      </c>
      <c r="L64" s="62" t="e">
        <f>AVERAGE(L52:L63)</f>
        <v>#DIV/0!</v>
      </c>
      <c r="M64" s="62">
        <f>MAX(M52:M63)</f>
        <v>0</v>
      </c>
      <c r="N64" s="62" t="e">
        <f>AVERAGE(N52:N63)</f>
        <v>#DIV/0!</v>
      </c>
      <c r="O64" s="62">
        <f>MAX(O52:O63)</f>
        <v>0</v>
      </c>
    </row>
    <row r="66" spans="10:15" ht="41.45">
      <c r="J66" s="61">
        <f>+A6</f>
        <v>2022</v>
      </c>
      <c r="K66" s="61" t="s">
        <v>395</v>
      </c>
      <c r="L66" s="67" t="s">
        <v>390</v>
      </c>
      <c r="M66" s="67" t="s">
        <v>396</v>
      </c>
      <c r="N66" s="67" t="s">
        <v>393</v>
      </c>
      <c r="O66" s="67" t="s">
        <v>397</v>
      </c>
    </row>
    <row r="67" spans="10:15">
      <c r="J67" s="375" t="s">
        <v>190</v>
      </c>
      <c r="K67" s="66" t="s">
        <v>398</v>
      </c>
      <c r="L67" s="64"/>
      <c r="M67" s="64"/>
      <c r="N67" s="64"/>
      <c r="O67" s="64"/>
    </row>
    <row r="68" spans="10:15">
      <c r="J68" s="375"/>
      <c r="K68" s="66" t="s">
        <v>399</v>
      </c>
      <c r="L68" s="64"/>
      <c r="M68" s="64"/>
      <c r="N68" s="64"/>
      <c r="O68" s="64"/>
    </row>
    <row r="69" spans="10:15">
      <c r="J69" s="375"/>
      <c r="K69" s="66" t="s">
        <v>400</v>
      </c>
      <c r="L69" s="64"/>
      <c r="M69" s="64"/>
      <c r="N69" s="64"/>
      <c r="O69" s="64"/>
    </row>
    <row r="70" spans="10:15">
      <c r="J70" s="375"/>
      <c r="K70" s="66" t="s">
        <v>402</v>
      </c>
      <c r="L70" s="64"/>
      <c r="M70" s="64"/>
      <c r="N70" s="64"/>
      <c r="O70" s="64"/>
    </row>
    <row r="71" spans="10:15">
      <c r="J71" s="375"/>
      <c r="K71" s="66" t="s">
        <v>404</v>
      </c>
      <c r="L71" s="64"/>
      <c r="M71" s="64"/>
      <c r="N71" s="64"/>
      <c r="O71" s="64"/>
    </row>
    <row r="72" spans="10:15">
      <c r="J72" s="375"/>
      <c r="K72" s="66" t="s">
        <v>405</v>
      </c>
      <c r="L72" s="64"/>
      <c r="M72" s="64"/>
      <c r="N72" s="64"/>
      <c r="O72" s="64"/>
    </row>
    <row r="73" spans="10:15">
      <c r="J73" s="375"/>
      <c r="K73" s="66" t="s">
        <v>406</v>
      </c>
      <c r="L73" s="64"/>
      <c r="M73" s="64"/>
      <c r="N73" s="64"/>
      <c r="O73" s="64"/>
    </row>
    <row r="74" spans="10:15">
      <c r="J74" s="375"/>
      <c r="K74" s="66" t="s">
        <v>408</v>
      </c>
      <c r="L74" s="64"/>
      <c r="M74" s="64"/>
      <c r="N74" s="64"/>
      <c r="O74" s="64"/>
    </row>
    <row r="75" spans="10:15">
      <c r="J75" s="375"/>
      <c r="K75" s="66" t="s">
        <v>409</v>
      </c>
      <c r="L75" s="64"/>
      <c r="M75" s="64"/>
      <c r="N75" s="64"/>
      <c r="O75" s="64"/>
    </row>
    <row r="76" spans="10:15">
      <c r="J76" s="375"/>
      <c r="K76" s="66" t="s">
        <v>410</v>
      </c>
      <c r="L76" s="64"/>
      <c r="M76" s="64"/>
      <c r="N76" s="64"/>
      <c r="O76" s="64"/>
    </row>
    <row r="77" spans="10:15">
      <c r="J77" s="375"/>
      <c r="K77" s="66" t="s">
        <v>411</v>
      </c>
      <c r="L77" s="64"/>
      <c r="M77" s="64"/>
      <c r="N77" s="64"/>
      <c r="O77" s="64"/>
    </row>
    <row r="78" spans="10:15">
      <c r="J78" s="375"/>
      <c r="K78" s="66" t="s">
        <v>412</v>
      </c>
      <c r="L78" s="64"/>
      <c r="M78" s="64"/>
      <c r="N78" s="64"/>
      <c r="O78" s="64"/>
    </row>
    <row r="79" spans="10:15">
      <c r="J79" s="375"/>
      <c r="K79" s="62" t="s">
        <v>413</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topLeftCell="A6" workbookViewId="0">
      <selection activeCell="H11" sqref="H11"/>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EPR Thetford Power Station</v>
      </c>
    </row>
    <row r="3" spans="1:19" ht="14.45">
      <c r="A3" s="60" t="s">
        <v>427</v>
      </c>
      <c r="D3" s="76" t="s">
        <v>382</v>
      </c>
      <c r="G3" s="80" t="s">
        <v>383</v>
      </c>
      <c r="J3" s="9" t="str">
        <f>+A3</f>
        <v>Monitoring of Carbon Monoxide (half hourly)</v>
      </c>
      <c r="L3" s="9"/>
      <c r="N3" s="9" t="s">
        <v>384</v>
      </c>
      <c r="Q3" s="79" t="s">
        <v>3</v>
      </c>
      <c r="R3" s="74"/>
      <c r="S3" s="74"/>
    </row>
    <row r="4" spans="1:19" ht="13.9" customHeight="1">
      <c r="Q4" s="353" t="s">
        <v>385</v>
      </c>
      <c r="R4" s="353"/>
      <c r="S4" s="353"/>
    </row>
    <row r="5" spans="1:19" ht="16.149999999999999">
      <c r="A5" s="68" t="s">
        <v>386</v>
      </c>
      <c r="B5" s="377" t="s">
        <v>387</v>
      </c>
      <c r="C5" s="377"/>
      <c r="D5" s="377"/>
      <c r="E5" s="377" t="s">
        <v>388</v>
      </c>
      <c r="F5" s="377"/>
      <c r="G5" s="377"/>
      <c r="J5" s="376"/>
      <c r="K5" s="376"/>
      <c r="L5" s="376"/>
      <c r="M5" s="376"/>
      <c r="N5" s="376"/>
      <c r="O5" s="376"/>
      <c r="Q5" s="353"/>
      <c r="R5" s="353"/>
      <c r="S5" s="353"/>
    </row>
    <row r="6" spans="1:19" s="58" customFormat="1" ht="37.5" customHeight="1">
      <c r="A6" s="65">
        <f>+'Cover Page'!C39</f>
        <v>2022</v>
      </c>
      <c r="B6" s="55" t="s">
        <v>428</v>
      </c>
      <c r="C6" s="55" t="s">
        <v>390</v>
      </c>
      <c r="D6" s="55" t="s">
        <v>391</v>
      </c>
      <c r="E6" s="55" t="s">
        <v>429</v>
      </c>
      <c r="F6" s="55" t="s">
        <v>393</v>
      </c>
      <c r="G6" s="55" t="s">
        <v>394</v>
      </c>
      <c r="H6" s="59"/>
      <c r="J6" s="61">
        <f>+A6</f>
        <v>2022</v>
      </c>
      <c r="K6" s="61" t="s">
        <v>395</v>
      </c>
      <c r="L6" s="67" t="s">
        <v>390</v>
      </c>
      <c r="M6" s="67" t="s">
        <v>396</v>
      </c>
      <c r="N6" s="67" t="s">
        <v>393</v>
      </c>
      <c r="O6" s="67" t="s">
        <v>397</v>
      </c>
      <c r="Q6" s="353"/>
      <c r="R6" s="353"/>
      <c r="S6" s="353"/>
    </row>
    <row r="7" spans="1:19">
      <c r="A7" s="66" t="s">
        <v>398</v>
      </c>
      <c r="B7" s="69" t="s">
        <v>420</v>
      </c>
      <c r="C7" s="64"/>
      <c r="D7" s="64"/>
      <c r="E7" s="69">
        <v>80</v>
      </c>
      <c r="F7" s="64">
        <v>69.099999999999994</v>
      </c>
      <c r="G7" s="64">
        <v>78.5</v>
      </c>
      <c r="J7" s="375" t="s">
        <v>186</v>
      </c>
      <c r="K7" s="66" t="s">
        <v>398</v>
      </c>
      <c r="L7" s="64">
        <v>69.099999999999994</v>
      </c>
      <c r="M7" s="64">
        <v>231.7</v>
      </c>
      <c r="N7" s="64">
        <v>69.099999999999994</v>
      </c>
      <c r="O7" s="64">
        <v>78.5</v>
      </c>
      <c r="Q7" s="353"/>
      <c r="R7" s="353"/>
      <c r="S7" s="353"/>
    </row>
    <row r="8" spans="1:19">
      <c r="A8" s="66" t="s">
        <v>399</v>
      </c>
      <c r="B8" s="63" t="str">
        <f>+B7</f>
        <v>N/A</v>
      </c>
      <c r="C8" s="64"/>
      <c r="D8" s="64"/>
      <c r="E8" s="63">
        <f>+E7</f>
        <v>80</v>
      </c>
      <c r="F8" s="64">
        <v>68.7</v>
      </c>
      <c r="G8" s="64">
        <v>90.5</v>
      </c>
      <c r="J8" s="375"/>
      <c r="K8" s="66" t="s">
        <v>399</v>
      </c>
      <c r="L8" s="64">
        <v>68.7</v>
      </c>
      <c r="M8" s="64">
        <v>230</v>
      </c>
      <c r="N8" s="64">
        <v>68.7</v>
      </c>
      <c r="O8" s="64">
        <v>90.5</v>
      </c>
      <c r="Q8" s="353"/>
      <c r="R8" s="353"/>
      <c r="S8" s="353"/>
    </row>
    <row r="9" spans="1:19">
      <c r="A9" s="66" t="s">
        <v>400</v>
      </c>
      <c r="B9" s="63" t="str">
        <f t="shared" ref="B9:B18" si="0">+B8</f>
        <v>N/A</v>
      </c>
      <c r="C9" s="64"/>
      <c r="D9" s="64"/>
      <c r="E9" s="63">
        <f t="shared" ref="E9:E18" si="1">+E8</f>
        <v>80</v>
      </c>
      <c r="F9" s="64">
        <v>68.400000000000006</v>
      </c>
      <c r="G9" s="64">
        <v>94.7</v>
      </c>
      <c r="J9" s="375"/>
      <c r="K9" s="66" t="s">
        <v>400</v>
      </c>
      <c r="L9" s="64">
        <v>68.400000000000006</v>
      </c>
      <c r="M9" s="64">
        <v>336.8</v>
      </c>
      <c r="N9" s="64">
        <v>68.400000000000006</v>
      </c>
      <c r="O9" s="64">
        <v>94.7</v>
      </c>
      <c r="Q9" s="78" t="s">
        <v>401</v>
      </c>
    </row>
    <row r="10" spans="1:19" ht="14.25" customHeight="1">
      <c r="A10" s="66" t="s">
        <v>402</v>
      </c>
      <c r="B10" s="63" t="str">
        <f t="shared" si="0"/>
        <v>N/A</v>
      </c>
      <c r="C10" s="64"/>
      <c r="D10" s="64"/>
      <c r="E10" s="63">
        <f t="shared" si="1"/>
        <v>80</v>
      </c>
      <c r="F10" s="64">
        <v>66.2</v>
      </c>
      <c r="G10" s="64">
        <v>76.3</v>
      </c>
      <c r="J10" s="375"/>
      <c r="K10" s="66" t="s">
        <v>402</v>
      </c>
      <c r="L10" s="64">
        <v>66.2</v>
      </c>
      <c r="M10" s="64">
        <v>221</v>
      </c>
      <c r="N10" s="64">
        <v>66.2</v>
      </c>
      <c r="O10" s="64">
        <v>76.3</v>
      </c>
      <c r="Q10" s="374" t="s">
        <v>403</v>
      </c>
      <c r="R10" s="374"/>
      <c r="S10" s="374"/>
    </row>
    <row r="11" spans="1:19">
      <c r="A11" s="66" t="s">
        <v>404</v>
      </c>
      <c r="B11" s="63" t="str">
        <f t="shared" si="0"/>
        <v>N/A</v>
      </c>
      <c r="C11" s="64"/>
      <c r="D11" s="64"/>
      <c r="E11" s="63">
        <f t="shared" si="1"/>
        <v>80</v>
      </c>
      <c r="F11" s="64">
        <v>70</v>
      </c>
      <c r="G11" s="64">
        <v>114.9</v>
      </c>
      <c r="J11" s="375"/>
      <c r="K11" s="66" t="s">
        <v>404</v>
      </c>
      <c r="L11" s="64">
        <v>70</v>
      </c>
      <c r="M11" s="64">
        <v>439.7</v>
      </c>
      <c r="N11" s="64">
        <v>70</v>
      </c>
      <c r="O11" s="64">
        <v>114.9</v>
      </c>
      <c r="Q11" s="374"/>
      <c r="R11" s="374"/>
      <c r="S11" s="374"/>
    </row>
    <row r="12" spans="1:19">
      <c r="A12" s="66" t="s">
        <v>405</v>
      </c>
      <c r="B12" s="63" t="str">
        <f t="shared" si="0"/>
        <v>N/A</v>
      </c>
      <c r="C12" s="64"/>
      <c r="D12" s="64"/>
      <c r="E12" s="63">
        <f t="shared" si="1"/>
        <v>80</v>
      </c>
      <c r="F12" s="64">
        <v>70.8</v>
      </c>
      <c r="G12" s="64">
        <v>78</v>
      </c>
      <c r="J12" s="375"/>
      <c r="K12" s="66" t="s">
        <v>405</v>
      </c>
      <c r="L12" s="64">
        <v>70.8</v>
      </c>
      <c r="M12" s="64">
        <v>262.39999999999998</v>
      </c>
      <c r="N12" s="64">
        <v>70.8</v>
      </c>
      <c r="O12" s="64">
        <v>78</v>
      </c>
      <c r="Q12" s="374"/>
      <c r="R12" s="374"/>
      <c r="S12" s="374"/>
    </row>
    <row r="13" spans="1:19" ht="14.25" customHeight="1">
      <c r="A13" s="66" t="s">
        <v>406</v>
      </c>
      <c r="B13" s="63" t="str">
        <f t="shared" si="0"/>
        <v>N/A</v>
      </c>
      <c r="C13" s="64"/>
      <c r="D13" s="64"/>
      <c r="E13" s="63">
        <f t="shared" si="1"/>
        <v>80</v>
      </c>
      <c r="F13" s="64">
        <v>65.2</v>
      </c>
      <c r="G13" s="64">
        <v>78.099999999999994</v>
      </c>
      <c r="J13" s="375"/>
      <c r="K13" s="66" t="s">
        <v>406</v>
      </c>
      <c r="L13" s="64">
        <v>65.2</v>
      </c>
      <c r="M13" s="64">
        <v>298.5</v>
      </c>
      <c r="N13" s="64">
        <v>65.2</v>
      </c>
      <c r="O13" s="64">
        <v>78.099999999999994</v>
      </c>
      <c r="Q13" s="374" t="s">
        <v>407</v>
      </c>
      <c r="R13" s="374"/>
      <c r="S13" s="374"/>
    </row>
    <row r="14" spans="1:19">
      <c r="A14" s="66" t="s">
        <v>408</v>
      </c>
      <c r="B14" s="63" t="str">
        <f t="shared" si="0"/>
        <v>N/A</v>
      </c>
      <c r="C14" s="64"/>
      <c r="D14" s="64"/>
      <c r="E14" s="63">
        <f t="shared" si="1"/>
        <v>80</v>
      </c>
      <c r="F14" s="64">
        <v>87</v>
      </c>
      <c r="G14" s="64">
        <v>172.4</v>
      </c>
      <c r="J14" s="375"/>
      <c r="K14" s="66" t="s">
        <v>408</v>
      </c>
      <c r="L14" s="64">
        <v>87</v>
      </c>
      <c r="M14" s="64">
        <v>473.6</v>
      </c>
      <c r="N14" s="64">
        <v>87</v>
      </c>
      <c r="O14" s="64">
        <v>172.4</v>
      </c>
      <c r="Q14" s="374"/>
      <c r="R14" s="374"/>
      <c r="S14" s="374"/>
    </row>
    <row r="15" spans="1:19">
      <c r="A15" s="66" t="s">
        <v>409</v>
      </c>
      <c r="B15" s="63" t="str">
        <f t="shared" si="0"/>
        <v>N/A</v>
      </c>
      <c r="C15" s="64"/>
      <c r="D15" s="64"/>
      <c r="E15" s="63">
        <f t="shared" si="1"/>
        <v>80</v>
      </c>
      <c r="F15" s="64">
        <v>76.8</v>
      </c>
      <c r="G15" s="64">
        <v>77.8</v>
      </c>
      <c r="J15" s="375"/>
      <c r="K15" s="66" t="s">
        <v>409</v>
      </c>
      <c r="L15" s="64">
        <v>76.8</v>
      </c>
      <c r="M15" s="64">
        <v>560.9</v>
      </c>
      <c r="N15" s="64">
        <v>76.8</v>
      </c>
      <c r="O15" s="64">
        <v>77.8</v>
      </c>
      <c r="Q15" s="374"/>
      <c r="R15" s="374"/>
      <c r="S15" s="374"/>
    </row>
    <row r="16" spans="1:19">
      <c r="A16" s="66" t="s">
        <v>410</v>
      </c>
      <c r="B16" s="63" t="str">
        <f t="shared" si="0"/>
        <v>N/A</v>
      </c>
      <c r="C16" s="64"/>
      <c r="D16" s="64"/>
      <c r="E16" s="63">
        <f t="shared" si="1"/>
        <v>80</v>
      </c>
      <c r="F16" s="64">
        <v>70.900000000000006</v>
      </c>
      <c r="G16" s="64">
        <v>77.900000000000006</v>
      </c>
      <c r="J16" s="375"/>
      <c r="K16" s="66" t="s">
        <v>410</v>
      </c>
      <c r="L16" s="64">
        <v>70.900000000000006</v>
      </c>
      <c r="M16" s="64">
        <v>313.2</v>
      </c>
      <c r="N16" s="64">
        <v>70.900000000000006</v>
      </c>
      <c r="O16" s="64">
        <v>77.900000000000006</v>
      </c>
      <c r="Q16" s="374"/>
      <c r="R16" s="374"/>
      <c r="S16" s="374"/>
    </row>
    <row r="17" spans="1:15">
      <c r="A17" s="66" t="s">
        <v>411</v>
      </c>
      <c r="B17" s="63" t="str">
        <f t="shared" si="0"/>
        <v>N/A</v>
      </c>
      <c r="C17" s="64"/>
      <c r="D17" s="64"/>
      <c r="E17" s="63">
        <f t="shared" si="1"/>
        <v>80</v>
      </c>
      <c r="F17" s="64">
        <v>70.3</v>
      </c>
      <c r="G17" s="64">
        <v>90.4</v>
      </c>
      <c r="J17" s="375"/>
      <c r="K17" s="66" t="s">
        <v>411</v>
      </c>
      <c r="L17" s="64">
        <v>70.3</v>
      </c>
      <c r="M17" s="64">
        <v>238.4</v>
      </c>
      <c r="N17" s="64">
        <v>70.3</v>
      </c>
      <c r="O17" s="64">
        <v>90.4</v>
      </c>
    </row>
    <row r="18" spans="1:15">
      <c r="A18" s="66" t="s">
        <v>412</v>
      </c>
      <c r="B18" s="63" t="str">
        <f t="shared" si="0"/>
        <v>N/A</v>
      </c>
      <c r="C18" s="64"/>
      <c r="D18" s="64"/>
      <c r="E18" s="63">
        <f t="shared" si="1"/>
        <v>80</v>
      </c>
      <c r="F18" s="64">
        <v>80.900000000000006</v>
      </c>
      <c r="G18" s="64">
        <v>184.6</v>
      </c>
      <c r="J18" s="375"/>
      <c r="K18" s="66" t="s">
        <v>412</v>
      </c>
      <c r="L18" s="64">
        <v>80.900000000000006</v>
      </c>
      <c r="M18" s="64">
        <v>581.79999999999995</v>
      </c>
      <c r="N18" s="64">
        <v>80.900000000000006</v>
      </c>
      <c r="O18" s="64">
        <v>184.6</v>
      </c>
    </row>
    <row r="19" spans="1:15">
      <c r="J19" s="375"/>
      <c r="K19" s="62" t="s">
        <v>413</v>
      </c>
      <c r="L19" s="62">
        <f>AVERAGE(L7:L18)</f>
        <v>72.024999999999991</v>
      </c>
      <c r="M19" s="62">
        <f>MAX(M7:M18)</f>
        <v>581.79999999999995</v>
      </c>
      <c r="N19" s="62">
        <f>AVERAGE(N7:N18)</f>
        <v>72.024999999999991</v>
      </c>
      <c r="O19" s="62">
        <f>MAX(O7:O18)</f>
        <v>184.6</v>
      </c>
    </row>
    <row r="21" spans="1:15" ht="41.45">
      <c r="J21" s="61">
        <f>+A6</f>
        <v>2022</v>
      </c>
      <c r="K21" s="61" t="s">
        <v>395</v>
      </c>
      <c r="L21" s="67" t="s">
        <v>390</v>
      </c>
      <c r="M21" s="67" t="s">
        <v>396</v>
      </c>
      <c r="N21" s="67" t="s">
        <v>393</v>
      </c>
      <c r="O21" s="67" t="s">
        <v>397</v>
      </c>
    </row>
    <row r="22" spans="1:15">
      <c r="J22" s="375" t="s">
        <v>187</v>
      </c>
      <c r="K22" s="66" t="s">
        <v>398</v>
      </c>
      <c r="L22" s="64"/>
      <c r="M22" s="64"/>
      <c r="N22" s="64"/>
      <c r="O22" s="64"/>
    </row>
    <row r="23" spans="1:15">
      <c r="J23" s="375"/>
      <c r="K23" s="66" t="s">
        <v>399</v>
      </c>
      <c r="L23" s="64"/>
      <c r="M23" s="64"/>
      <c r="N23" s="64"/>
      <c r="O23" s="64"/>
    </row>
    <row r="24" spans="1:15">
      <c r="J24" s="375"/>
      <c r="K24" s="66" t="s">
        <v>400</v>
      </c>
      <c r="L24" s="64"/>
      <c r="M24" s="64"/>
      <c r="N24" s="64"/>
      <c r="O24" s="64"/>
    </row>
    <row r="25" spans="1:15">
      <c r="J25" s="375"/>
      <c r="K25" s="66" t="s">
        <v>402</v>
      </c>
      <c r="L25" s="64"/>
      <c r="M25" s="64"/>
      <c r="N25" s="64"/>
      <c r="O25" s="64"/>
    </row>
    <row r="26" spans="1:15">
      <c r="J26" s="375"/>
      <c r="K26" s="66" t="s">
        <v>404</v>
      </c>
      <c r="L26" s="64"/>
      <c r="M26" s="64"/>
      <c r="N26" s="64"/>
      <c r="O26" s="64"/>
    </row>
    <row r="27" spans="1:15">
      <c r="J27" s="375"/>
      <c r="K27" s="66" t="s">
        <v>405</v>
      </c>
      <c r="L27" s="64"/>
      <c r="M27" s="64"/>
      <c r="N27" s="64"/>
      <c r="O27" s="64"/>
    </row>
    <row r="28" spans="1:15">
      <c r="J28" s="375"/>
      <c r="K28" s="66" t="s">
        <v>406</v>
      </c>
      <c r="L28" s="64"/>
      <c r="M28" s="64"/>
      <c r="N28" s="64"/>
      <c r="O28" s="64"/>
    </row>
    <row r="29" spans="1:15">
      <c r="J29" s="375"/>
      <c r="K29" s="66" t="s">
        <v>408</v>
      </c>
      <c r="L29" s="64"/>
      <c r="M29" s="64"/>
      <c r="N29" s="64"/>
      <c r="O29" s="64"/>
    </row>
    <row r="30" spans="1:15">
      <c r="J30" s="375"/>
      <c r="K30" s="66" t="s">
        <v>409</v>
      </c>
      <c r="L30" s="64"/>
      <c r="M30" s="64"/>
      <c r="N30" s="64"/>
      <c r="O30" s="64"/>
    </row>
    <row r="31" spans="1:15">
      <c r="J31" s="375"/>
      <c r="K31" s="66" t="s">
        <v>410</v>
      </c>
      <c r="L31" s="64"/>
      <c r="M31" s="64"/>
      <c r="N31" s="64"/>
      <c r="O31" s="64"/>
    </row>
    <row r="32" spans="1:15">
      <c r="J32" s="375"/>
      <c r="K32" s="66" t="s">
        <v>411</v>
      </c>
      <c r="L32" s="64"/>
      <c r="M32" s="64"/>
      <c r="N32" s="64"/>
      <c r="O32" s="64"/>
    </row>
    <row r="33" spans="1:15">
      <c r="J33" s="375"/>
      <c r="K33" s="66" t="s">
        <v>412</v>
      </c>
      <c r="L33" s="64"/>
      <c r="M33" s="64"/>
      <c r="N33" s="64"/>
      <c r="O33" s="64"/>
    </row>
    <row r="34" spans="1:15">
      <c r="J34" s="375"/>
      <c r="K34" s="62" t="s">
        <v>413</v>
      </c>
      <c r="L34" s="62" t="e">
        <f>AVERAGE(L22:L33)</f>
        <v>#DIV/0!</v>
      </c>
      <c r="M34" s="62">
        <f>MAX(M22:M33)</f>
        <v>0</v>
      </c>
      <c r="N34" s="62" t="e">
        <f>AVERAGE(N22:N33)</f>
        <v>#DIV/0!</v>
      </c>
      <c r="O34" s="62">
        <f>MAX(O22:O33)</f>
        <v>0</v>
      </c>
    </row>
    <row r="36" spans="1:15" ht="41.45">
      <c r="J36" s="61">
        <f>+A6</f>
        <v>2022</v>
      </c>
      <c r="K36" s="61" t="s">
        <v>395</v>
      </c>
      <c r="L36" s="67" t="s">
        <v>390</v>
      </c>
      <c r="M36" s="67" t="s">
        <v>396</v>
      </c>
      <c r="N36" s="67" t="s">
        <v>393</v>
      </c>
      <c r="O36" s="67" t="s">
        <v>397</v>
      </c>
    </row>
    <row r="37" spans="1:15">
      <c r="J37" s="375" t="s">
        <v>188</v>
      </c>
      <c r="K37" s="66" t="s">
        <v>398</v>
      </c>
      <c r="L37" s="64"/>
      <c r="M37" s="64"/>
      <c r="N37" s="64"/>
      <c r="O37" s="64"/>
    </row>
    <row r="38" spans="1:15">
      <c r="J38" s="375"/>
      <c r="K38" s="66" t="s">
        <v>399</v>
      </c>
      <c r="L38" s="64"/>
      <c r="M38" s="64"/>
      <c r="N38" s="64"/>
      <c r="O38" s="64"/>
    </row>
    <row r="39" spans="1:15">
      <c r="J39" s="375"/>
      <c r="K39" s="66" t="s">
        <v>400</v>
      </c>
      <c r="L39" s="64"/>
      <c r="M39" s="64"/>
      <c r="N39" s="64"/>
      <c r="O39" s="64"/>
    </row>
    <row r="40" spans="1:15">
      <c r="J40" s="375"/>
      <c r="K40" s="66" t="s">
        <v>402</v>
      </c>
      <c r="L40" s="64"/>
      <c r="M40" s="64"/>
      <c r="N40" s="64"/>
      <c r="O40" s="64"/>
    </row>
    <row r="41" spans="1:15">
      <c r="J41" s="375"/>
      <c r="K41" s="66" t="s">
        <v>404</v>
      </c>
      <c r="L41" s="64"/>
      <c r="M41" s="64"/>
      <c r="N41" s="64"/>
      <c r="O41" s="64"/>
    </row>
    <row r="42" spans="1:15">
      <c r="J42" s="375"/>
      <c r="K42" s="66" t="s">
        <v>405</v>
      </c>
      <c r="L42" s="64"/>
      <c r="M42" s="64"/>
      <c r="N42" s="64"/>
      <c r="O42" s="64"/>
    </row>
    <row r="43" spans="1:15">
      <c r="J43" s="375"/>
      <c r="K43" s="66" t="s">
        <v>406</v>
      </c>
      <c r="L43" s="64"/>
      <c r="M43" s="64"/>
      <c r="N43" s="64"/>
      <c r="O43" s="64"/>
    </row>
    <row r="44" spans="1:15">
      <c r="J44" s="375"/>
      <c r="K44" s="66" t="s">
        <v>408</v>
      </c>
      <c r="L44" s="64"/>
      <c r="M44" s="64"/>
      <c r="N44" s="64"/>
      <c r="O44" s="64"/>
    </row>
    <row r="45" spans="1:15">
      <c r="J45" s="375"/>
      <c r="K45" s="66" t="s">
        <v>409</v>
      </c>
      <c r="L45" s="64"/>
      <c r="M45" s="64"/>
      <c r="N45" s="64"/>
      <c r="O45" s="64"/>
    </row>
    <row r="46" spans="1:15">
      <c r="J46" s="375"/>
      <c r="K46" s="66" t="s">
        <v>410</v>
      </c>
      <c r="L46" s="64"/>
      <c r="M46" s="64"/>
      <c r="N46" s="64"/>
      <c r="O46" s="64"/>
    </row>
    <row r="47" spans="1:15">
      <c r="J47" s="375"/>
      <c r="K47" s="66" t="s">
        <v>411</v>
      </c>
      <c r="L47" s="64"/>
      <c r="M47" s="64"/>
      <c r="N47" s="64"/>
      <c r="O47" s="64"/>
    </row>
    <row r="48" spans="1:15">
      <c r="A48" s="387" t="s">
        <v>282</v>
      </c>
      <c r="B48" s="388"/>
      <c r="C48" s="388"/>
      <c r="D48" s="388"/>
      <c r="E48" s="388"/>
      <c r="F48" s="388"/>
      <c r="G48" s="389"/>
      <c r="J48" s="375"/>
      <c r="K48" s="66" t="s">
        <v>412</v>
      </c>
      <c r="L48" s="64"/>
      <c r="M48" s="64"/>
      <c r="N48" s="64"/>
      <c r="O48" s="64"/>
    </row>
    <row r="49" spans="1:15">
      <c r="A49" s="378"/>
      <c r="B49" s="379"/>
      <c r="C49" s="379"/>
      <c r="D49" s="379"/>
      <c r="E49" s="379"/>
      <c r="F49" s="379"/>
      <c r="G49" s="380"/>
      <c r="J49" s="375"/>
      <c r="K49" s="62" t="s">
        <v>413</v>
      </c>
      <c r="L49" s="62" t="e">
        <f>AVERAGE(L37:L48)</f>
        <v>#DIV/0!</v>
      </c>
      <c r="M49" s="62">
        <f>MAX(M37:M48)</f>
        <v>0</v>
      </c>
      <c r="N49" s="62" t="e">
        <f>AVERAGE(N37:N48)</f>
        <v>#DIV/0!</v>
      </c>
      <c r="O49" s="62">
        <f>MAX(O37:O48)</f>
        <v>0</v>
      </c>
    </row>
    <row r="50" spans="1:15">
      <c r="A50" s="381"/>
      <c r="B50" s="382"/>
      <c r="C50" s="382"/>
      <c r="D50" s="382"/>
      <c r="E50" s="382"/>
      <c r="F50" s="382"/>
      <c r="G50" s="383"/>
    </row>
    <row r="51" spans="1:15" ht="41.45">
      <c r="A51" s="381"/>
      <c r="B51" s="382"/>
      <c r="C51" s="382"/>
      <c r="D51" s="382"/>
      <c r="E51" s="382"/>
      <c r="F51" s="382"/>
      <c r="G51" s="383"/>
      <c r="J51" s="61">
        <f>+A6</f>
        <v>2022</v>
      </c>
      <c r="K51" s="61" t="s">
        <v>395</v>
      </c>
      <c r="L51" s="67" t="s">
        <v>390</v>
      </c>
      <c r="M51" s="67" t="s">
        <v>396</v>
      </c>
      <c r="N51" s="67" t="s">
        <v>393</v>
      </c>
      <c r="O51" s="67" t="s">
        <v>397</v>
      </c>
    </row>
    <row r="52" spans="1:15">
      <c r="A52" s="384"/>
      <c r="B52" s="385"/>
      <c r="C52" s="385"/>
      <c r="D52" s="385"/>
      <c r="E52" s="385"/>
      <c r="F52" s="385"/>
      <c r="G52" s="386"/>
      <c r="J52" s="375" t="s">
        <v>189</v>
      </c>
      <c r="K52" s="66" t="s">
        <v>398</v>
      </c>
      <c r="L52" s="64"/>
      <c r="M52" s="64"/>
      <c r="N52" s="64"/>
      <c r="O52" s="64"/>
    </row>
    <row r="53" spans="1:15">
      <c r="J53" s="375"/>
      <c r="K53" s="66" t="s">
        <v>399</v>
      </c>
      <c r="L53" s="64"/>
      <c r="M53" s="64"/>
      <c r="N53" s="64"/>
      <c r="O53" s="64"/>
    </row>
    <row r="54" spans="1:15">
      <c r="J54" s="375"/>
      <c r="K54" s="66" t="s">
        <v>400</v>
      </c>
      <c r="L54" s="64"/>
      <c r="M54" s="64"/>
      <c r="N54" s="64"/>
      <c r="O54" s="64"/>
    </row>
    <row r="55" spans="1:15">
      <c r="J55" s="375"/>
      <c r="K55" s="66" t="s">
        <v>402</v>
      </c>
      <c r="L55" s="64"/>
      <c r="M55" s="64"/>
      <c r="N55" s="64"/>
      <c r="O55" s="64"/>
    </row>
    <row r="56" spans="1:15">
      <c r="J56" s="375"/>
      <c r="K56" s="66" t="s">
        <v>404</v>
      </c>
      <c r="L56" s="64"/>
      <c r="M56" s="64"/>
      <c r="N56" s="64"/>
      <c r="O56" s="64"/>
    </row>
    <row r="57" spans="1:15">
      <c r="J57" s="375"/>
      <c r="K57" s="66" t="s">
        <v>405</v>
      </c>
      <c r="L57" s="64"/>
      <c r="M57" s="64"/>
      <c r="N57" s="64"/>
      <c r="O57" s="64"/>
    </row>
    <row r="58" spans="1:15">
      <c r="J58" s="375"/>
      <c r="K58" s="66" t="s">
        <v>406</v>
      </c>
      <c r="L58" s="64"/>
      <c r="M58" s="64"/>
      <c r="N58" s="64"/>
      <c r="O58" s="64"/>
    </row>
    <row r="59" spans="1:15">
      <c r="J59" s="375"/>
      <c r="K59" s="66" t="s">
        <v>408</v>
      </c>
      <c r="L59" s="64"/>
      <c r="M59" s="64"/>
      <c r="N59" s="64"/>
      <c r="O59" s="64"/>
    </row>
    <row r="60" spans="1:15">
      <c r="J60" s="375"/>
      <c r="K60" s="66" t="s">
        <v>409</v>
      </c>
      <c r="L60" s="64"/>
      <c r="M60" s="64"/>
      <c r="N60" s="64"/>
      <c r="O60" s="64"/>
    </row>
    <row r="61" spans="1:15">
      <c r="J61" s="375"/>
      <c r="K61" s="66" t="s">
        <v>410</v>
      </c>
      <c r="L61" s="64"/>
      <c r="M61" s="64"/>
      <c r="N61" s="64"/>
      <c r="O61" s="64"/>
    </row>
    <row r="62" spans="1:15">
      <c r="J62" s="375"/>
      <c r="K62" s="66" t="s">
        <v>411</v>
      </c>
      <c r="L62" s="64"/>
      <c r="M62" s="64"/>
      <c r="N62" s="64"/>
      <c r="O62" s="64"/>
    </row>
    <row r="63" spans="1:15">
      <c r="J63" s="375"/>
      <c r="K63" s="66" t="s">
        <v>412</v>
      </c>
      <c r="L63" s="64"/>
      <c r="M63" s="64"/>
      <c r="N63" s="64"/>
      <c r="O63" s="64"/>
    </row>
    <row r="64" spans="1:15">
      <c r="J64" s="375"/>
      <c r="K64" s="62" t="s">
        <v>413</v>
      </c>
      <c r="L64" s="62" t="e">
        <f>AVERAGE(L52:L63)</f>
        <v>#DIV/0!</v>
      </c>
      <c r="M64" s="62">
        <f>MAX(M52:M63)</f>
        <v>0</v>
      </c>
      <c r="N64" s="62" t="e">
        <f>AVERAGE(N52:N63)</f>
        <v>#DIV/0!</v>
      </c>
      <c r="O64" s="62">
        <f>MAX(O52:O63)</f>
        <v>0</v>
      </c>
    </row>
    <row r="66" spans="10:15" ht="41.45">
      <c r="J66" s="61">
        <f>+A6</f>
        <v>2022</v>
      </c>
      <c r="K66" s="61" t="s">
        <v>395</v>
      </c>
      <c r="L66" s="67" t="s">
        <v>390</v>
      </c>
      <c r="M66" s="67" t="s">
        <v>396</v>
      </c>
      <c r="N66" s="67" t="s">
        <v>393</v>
      </c>
      <c r="O66" s="67" t="s">
        <v>397</v>
      </c>
    </row>
    <row r="67" spans="10:15">
      <c r="J67" s="375" t="s">
        <v>190</v>
      </c>
      <c r="K67" s="66" t="s">
        <v>398</v>
      </c>
      <c r="L67" s="64"/>
      <c r="M67" s="64"/>
      <c r="N67" s="64"/>
      <c r="O67" s="64"/>
    </row>
    <row r="68" spans="10:15">
      <c r="J68" s="375"/>
      <c r="K68" s="66" t="s">
        <v>399</v>
      </c>
      <c r="L68" s="64"/>
      <c r="M68" s="64"/>
      <c r="N68" s="64"/>
      <c r="O68" s="64"/>
    </row>
    <row r="69" spans="10:15">
      <c r="J69" s="375"/>
      <c r="K69" s="66" t="s">
        <v>400</v>
      </c>
      <c r="L69" s="64"/>
      <c r="M69" s="64"/>
      <c r="N69" s="64"/>
      <c r="O69" s="64"/>
    </row>
    <row r="70" spans="10:15">
      <c r="J70" s="375"/>
      <c r="K70" s="66" t="s">
        <v>402</v>
      </c>
      <c r="L70" s="64"/>
      <c r="M70" s="64"/>
      <c r="N70" s="64"/>
      <c r="O70" s="64"/>
    </row>
    <row r="71" spans="10:15">
      <c r="J71" s="375"/>
      <c r="K71" s="66" t="s">
        <v>404</v>
      </c>
      <c r="L71" s="64"/>
      <c r="M71" s="64"/>
      <c r="N71" s="64"/>
      <c r="O71" s="64"/>
    </row>
    <row r="72" spans="10:15">
      <c r="J72" s="375"/>
      <c r="K72" s="66" t="s">
        <v>405</v>
      </c>
      <c r="L72" s="64"/>
      <c r="M72" s="64"/>
      <c r="N72" s="64"/>
      <c r="O72" s="64"/>
    </row>
    <row r="73" spans="10:15">
      <c r="J73" s="375"/>
      <c r="K73" s="66" t="s">
        <v>406</v>
      </c>
      <c r="L73" s="64"/>
      <c r="M73" s="64"/>
      <c r="N73" s="64"/>
      <c r="O73" s="64"/>
    </row>
    <row r="74" spans="10:15">
      <c r="J74" s="375"/>
      <c r="K74" s="66" t="s">
        <v>408</v>
      </c>
      <c r="L74" s="64"/>
      <c r="M74" s="64"/>
      <c r="N74" s="64"/>
      <c r="O74" s="64"/>
    </row>
    <row r="75" spans="10:15">
      <c r="J75" s="375"/>
      <c r="K75" s="66" t="s">
        <v>409</v>
      </c>
      <c r="L75" s="64"/>
      <c r="M75" s="64"/>
      <c r="N75" s="64"/>
      <c r="O75" s="64"/>
    </row>
    <row r="76" spans="10:15">
      <c r="J76" s="375"/>
      <c r="K76" s="66" t="s">
        <v>410</v>
      </c>
      <c r="L76" s="64"/>
      <c r="M76" s="64"/>
      <c r="N76" s="64"/>
      <c r="O76" s="64"/>
    </row>
    <row r="77" spans="10:15">
      <c r="J77" s="375"/>
      <c r="K77" s="66" t="s">
        <v>411</v>
      </c>
      <c r="L77" s="64"/>
      <c r="M77" s="64"/>
      <c r="N77" s="64"/>
      <c r="O77" s="64"/>
    </row>
    <row r="78" spans="10:15">
      <c r="J78" s="375"/>
      <c r="K78" s="66" t="s">
        <v>412</v>
      </c>
      <c r="L78" s="64"/>
      <c r="M78" s="64"/>
      <c r="N78" s="64"/>
      <c r="O78" s="64"/>
    </row>
    <row r="79" spans="10:15">
      <c r="J79" s="375"/>
      <c r="K79" s="62" t="s">
        <v>413</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heetViews>
  <sheetFormatPr defaultRowHeight="13.9"/>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3" t="str">
        <f>+'Cover Page'!$B$29</f>
        <v>Annual Performance Report 2022</v>
      </c>
      <c r="B1" s="93"/>
      <c r="C1" s="93"/>
      <c r="D1" s="93"/>
      <c r="E1" s="93" t="str">
        <f>+'Cover Page'!$B$33</f>
        <v>EPR Thetford Power Station</v>
      </c>
    </row>
    <row r="3" spans="1:21" ht="14.45">
      <c r="A3" s="60" t="s">
        <v>430</v>
      </c>
      <c r="E3" s="76" t="s">
        <v>382</v>
      </c>
      <c r="H3" s="80" t="s">
        <v>431</v>
      </c>
      <c r="J3" s="9" t="str">
        <f>+A3</f>
        <v>Monitoring of Carbon Monoxide (10-minute avg)</v>
      </c>
      <c r="L3" s="9"/>
      <c r="O3" s="9" t="s">
        <v>384</v>
      </c>
      <c r="Q3" s="77" t="s">
        <v>3</v>
      </c>
      <c r="S3" s="79" t="s">
        <v>3</v>
      </c>
      <c r="T3" s="74"/>
      <c r="U3" s="74"/>
    </row>
    <row r="4" spans="1:21" ht="13.9" customHeight="1">
      <c r="S4" s="353" t="s">
        <v>432</v>
      </c>
      <c r="T4" s="353"/>
      <c r="U4" s="353"/>
    </row>
    <row r="5" spans="1:21" ht="16.149999999999999">
      <c r="A5" s="68" t="s">
        <v>386</v>
      </c>
      <c r="B5" s="377" t="s">
        <v>433</v>
      </c>
      <c r="C5" s="377"/>
      <c r="D5" s="377"/>
      <c r="E5" s="377"/>
      <c r="F5" s="377" t="s">
        <v>388</v>
      </c>
      <c r="G5" s="377"/>
      <c r="H5" s="377"/>
      <c r="K5" s="376"/>
      <c r="L5" s="376"/>
      <c r="M5" s="376"/>
      <c r="N5" s="376"/>
      <c r="O5" s="376"/>
      <c r="P5" s="376"/>
      <c r="Q5" s="376"/>
      <c r="S5" s="353"/>
      <c r="T5" s="353"/>
      <c r="U5" s="353"/>
    </row>
    <row r="6" spans="1:21" s="58" customFormat="1" ht="37.5" customHeight="1">
      <c r="A6" s="65">
        <f>+'Cover Page'!C39</f>
        <v>2022</v>
      </c>
      <c r="B6" s="55" t="s">
        <v>434</v>
      </c>
      <c r="C6" s="55" t="s">
        <v>435</v>
      </c>
      <c r="D6" s="55" t="s">
        <v>436</v>
      </c>
      <c r="E6" s="55" t="s">
        <v>437</v>
      </c>
      <c r="F6" s="55" t="s">
        <v>429</v>
      </c>
      <c r="G6" s="55" t="s">
        <v>393</v>
      </c>
      <c r="H6" s="55" t="s">
        <v>394</v>
      </c>
      <c r="I6" s="59"/>
      <c r="K6" s="61">
        <f>+A6</f>
        <v>2022</v>
      </c>
      <c r="L6" s="61" t="s">
        <v>395</v>
      </c>
      <c r="M6" s="55" t="s">
        <v>435</v>
      </c>
      <c r="N6" s="55" t="s">
        <v>436</v>
      </c>
      <c r="O6" s="55" t="s">
        <v>437</v>
      </c>
      <c r="P6" s="67" t="s">
        <v>393</v>
      </c>
      <c r="Q6" s="67" t="s">
        <v>397</v>
      </c>
      <c r="S6" s="353"/>
      <c r="T6" s="353"/>
      <c r="U6" s="353"/>
    </row>
    <row r="7" spans="1:21">
      <c r="A7" s="66" t="s">
        <v>398</v>
      </c>
      <c r="B7" s="69">
        <v>150</v>
      </c>
      <c r="C7" s="64"/>
      <c r="D7" s="64"/>
      <c r="E7" s="64"/>
      <c r="F7" s="69">
        <v>50</v>
      </c>
      <c r="G7" s="64"/>
      <c r="H7" s="64"/>
      <c r="K7" s="375" t="s">
        <v>186</v>
      </c>
      <c r="L7" s="66" t="s">
        <v>398</v>
      </c>
      <c r="M7" s="64"/>
      <c r="N7" s="64"/>
      <c r="O7" s="64"/>
      <c r="P7" s="64"/>
      <c r="Q7" s="64"/>
      <c r="S7" s="353"/>
      <c r="T7" s="353"/>
      <c r="U7" s="353"/>
    </row>
    <row r="8" spans="1:21">
      <c r="A8" s="66" t="s">
        <v>399</v>
      </c>
      <c r="B8" s="63">
        <f>+B7</f>
        <v>150</v>
      </c>
      <c r="C8" s="64"/>
      <c r="D8" s="64"/>
      <c r="E8" s="64"/>
      <c r="F8" s="63">
        <f>+F7</f>
        <v>50</v>
      </c>
      <c r="G8" s="64"/>
      <c r="H8" s="64"/>
      <c r="K8" s="375"/>
      <c r="L8" s="66" t="s">
        <v>399</v>
      </c>
      <c r="M8" s="64"/>
      <c r="N8" s="64"/>
      <c r="O8" s="64"/>
      <c r="P8" s="64"/>
      <c r="Q8" s="64"/>
      <c r="S8" s="353"/>
      <c r="T8" s="353"/>
      <c r="U8" s="353"/>
    </row>
    <row r="9" spans="1:21">
      <c r="A9" s="66" t="s">
        <v>400</v>
      </c>
      <c r="B9" s="63">
        <f t="shared" ref="B9:B18" si="0">+B8</f>
        <v>150</v>
      </c>
      <c r="C9" s="64"/>
      <c r="D9" s="64"/>
      <c r="E9" s="64"/>
      <c r="F9" s="63">
        <f t="shared" ref="F9:F18" si="1">+F8</f>
        <v>50</v>
      </c>
      <c r="G9" s="64"/>
      <c r="H9" s="64"/>
      <c r="K9" s="375"/>
      <c r="L9" s="66" t="s">
        <v>400</v>
      </c>
      <c r="M9" s="64"/>
      <c r="N9" s="64"/>
      <c r="O9" s="64"/>
      <c r="P9" s="64"/>
      <c r="Q9" s="64"/>
      <c r="S9" s="78" t="s">
        <v>438</v>
      </c>
    </row>
    <row r="10" spans="1:21">
      <c r="A10" s="66" t="s">
        <v>402</v>
      </c>
      <c r="B10" s="63">
        <f t="shared" si="0"/>
        <v>150</v>
      </c>
      <c r="C10" s="64"/>
      <c r="D10" s="64"/>
      <c r="E10" s="64"/>
      <c r="F10" s="63">
        <f t="shared" si="1"/>
        <v>50</v>
      </c>
      <c r="G10" s="64"/>
      <c r="H10" s="64"/>
      <c r="K10" s="375"/>
      <c r="L10" s="66" t="s">
        <v>402</v>
      </c>
      <c r="M10" s="64"/>
      <c r="N10" s="64"/>
      <c r="O10" s="64"/>
      <c r="P10" s="64"/>
      <c r="Q10" s="64"/>
      <c r="S10" s="374" t="s">
        <v>439</v>
      </c>
      <c r="T10" s="374"/>
      <c r="U10" s="374"/>
    </row>
    <row r="11" spans="1:21">
      <c r="A11" s="66" t="s">
        <v>404</v>
      </c>
      <c r="B11" s="63">
        <f t="shared" si="0"/>
        <v>150</v>
      </c>
      <c r="C11" s="64"/>
      <c r="D11" s="64"/>
      <c r="E11" s="64"/>
      <c r="F11" s="63">
        <f t="shared" si="1"/>
        <v>50</v>
      </c>
      <c r="G11" s="64"/>
      <c r="H11" s="64"/>
      <c r="K11" s="375"/>
      <c r="L11" s="66" t="s">
        <v>404</v>
      </c>
      <c r="M11" s="64"/>
      <c r="N11" s="64"/>
      <c r="O11" s="64"/>
      <c r="P11" s="64"/>
      <c r="Q11" s="64"/>
      <c r="S11" s="374"/>
      <c r="T11" s="374"/>
      <c r="U11" s="374"/>
    </row>
    <row r="12" spans="1:21">
      <c r="A12" s="66" t="s">
        <v>405</v>
      </c>
      <c r="B12" s="63">
        <f t="shared" si="0"/>
        <v>150</v>
      </c>
      <c r="C12" s="64"/>
      <c r="D12" s="64"/>
      <c r="E12" s="64"/>
      <c r="F12" s="63">
        <f t="shared" si="1"/>
        <v>50</v>
      </c>
      <c r="G12" s="64"/>
      <c r="H12" s="64"/>
      <c r="K12" s="375"/>
      <c r="L12" s="66" t="s">
        <v>405</v>
      </c>
      <c r="M12" s="64"/>
      <c r="N12" s="64"/>
      <c r="O12" s="64"/>
      <c r="P12" s="64"/>
      <c r="Q12" s="64"/>
      <c r="S12" s="374"/>
      <c r="T12" s="374"/>
      <c r="U12" s="374"/>
    </row>
    <row r="13" spans="1:21">
      <c r="A13" s="66" t="s">
        <v>406</v>
      </c>
      <c r="B13" s="63">
        <f t="shared" si="0"/>
        <v>150</v>
      </c>
      <c r="C13" s="64"/>
      <c r="D13" s="64"/>
      <c r="E13" s="64"/>
      <c r="F13" s="63">
        <f t="shared" si="1"/>
        <v>50</v>
      </c>
      <c r="G13" s="64"/>
      <c r="H13" s="64"/>
      <c r="K13" s="375"/>
      <c r="L13" s="66" t="s">
        <v>406</v>
      </c>
      <c r="M13" s="64"/>
      <c r="N13" s="64"/>
      <c r="O13" s="64"/>
      <c r="P13" s="64"/>
      <c r="Q13" s="64"/>
      <c r="S13" s="374" t="s">
        <v>440</v>
      </c>
      <c r="T13" s="374"/>
      <c r="U13" s="374"/>
    </row>
    <row r="14" spans="1:21">
      <c r="A14" s="66" t="s">
        <v>408</v>
      </c>
      <c r="B14" s="63">
        <f t="shared" si="0"/>
        <v>150</v>
      </c>
      <c r="C14" s="64"/>
      <c r="D14" s="64"/>
      <c r="E14" s="64"/>
      <c r="F14" s="63">
        <f t="shared" si="1"/>
        <v>50</v>
      </c>
      <c r="G14" s="64"/>
      <c r="H14" s="64"/>
      <c r="K14" s="375"/>
      <c r="L14" s="66" t="s">
        <v>408</v>
      </c>
      <c r="M14" s="64"/>
      <c r="N14" s="64"/>
      <c r="O14" s="64"/>
      <c r="P14" s="64"/>
      <c r="Q14" s="64"/>
      <c r="S14" s="374"/>
      <c r="T14" s="374"/>
      <c r="U14" s="374"/>
    </row>
    <row r="15" spans="1:21">
      <c r="A15" s="66" t="s">
        <v>409</v>
      </c>
      <c r="B15" s="63">
        <f t="shared" si="0"/>
        <v>150</v>
      </c>
      <c r="C15" s="64"/>
      <c r="D15" s="64"/>
      <c r="E15" s="64"/>
      <c r="F15" s="63">
        <f t="shared" si="1"/>
        <v>50</v>
      </c>
      <c r="G15" s="64"/>
      <c r="H15" s="64"/>
      <c r="K15" s="375"/>
      <c r="L15" s="66" t="s">
        <v>409</v>
      </c>
      <c r="M15" s="64"/>
      <c r="N15" s="64"/>
      <c r="O15" s="64"/>
      <c r="P15" s="64"/>
      <c r="Q15" s="64"/>
      <c r="S15" s="374"/>
      <c r="T15" s="374"/>
      <c r="U15" s="374"/>
    </row>
    <row r="16" spans="1:21">
      <c r="A16" s="66" t="s">
        <v>410</v>
      </c>
      <c r="B16" s="63">
        <f t="shared" si="0"/>
        <v>150</v>
      </c>
      <c r="C16" s="64"/>
      <c r="D16" s="64"/>
      <c r="E16" s="64"/>
      <c r="F16" s="63">
        <f t="shared" si="1"/>
        <v>50</v>
      </c>
      <c r="G16" s="64"/>
      <c r="H16" s="64"/>
      <c r="K16" s="375"/>
      <c r="L16" s="66" t="s">
        <v>410</v>
      </c>
      <c r="M16" s="64"/>
      <c r="N16" s="64"/>
      <c r="O16" s="64"/>
      <c r="P16" s="64"/>
      <c r="Q16" s="64"/>
      <c r="S16" s="374"/>
      <c r="T16" s="374"/>
      <c r="U16" s="374"/>
    </row>
    <row r="17" spans="1:17">
      <c r="A17" s="66" t="s">
        <v>411</v>
      </c>
      <c r="B17" s="63">
        <f t="shared" si="0"/>
        <v>150</v>
      </c>
      <c r="C17" s="64"/>
      <c r="D17" s="64"/>
      <c r="E17" s="64"/>
      <c r="F17" s="63">
        <f t="shared" si="1"/>
        <v>50</v>
      </c>
      <c r="G17" s="64"/>
      <c r="H17" s="64"/>
      <c r="K17" s="375"/>
      <c r="L17" s="66" t="s">
        <v>411</v>
      </c>
      <c r="M17" s="64"/>
      <c r="N17" s="64"/>
      <c r="O17" s="64"/>
      <c r="P17" s="64"/>
      <c r="Q17" s="64"/>
    </row>
    <row r="18" spans="1:17">
      <c r="A18" s="66" t="s">
        <v>412</v>
      </c>
      <c r="B18" s="63">
        <f t="shared" si="0"/>
        <v>150</v>
      </c>
      <c r="C18" s="64"/>
      <c r="D18" s="64"/>
      <c r="E18" s="64"/>
      <c r="F18" s="63">
        <f t="shared" si="1"/>
        <v>50</v>
      </c>
      <c r="G18" s="64"/>
      <c r="H18" s="64"/>
      <c r="K18" s="375"/>
      <c r="L18" s="66" t="s">
        <v>412</v>
      </c>
      <c r="M18" s="64"/>
      <c r="N18" s="64"/>
      <c r="O18" s="64"/>
      <c r="P18" s="64"/>
      <c r="Q18" s="64"/>
    </row>
    <row r="19" spans="1:17">
      <c r="K19" s="375"/>
      <c r="L19" s="62" t="s">
        <v>413</v>
      </c>
      <c r="M19" s="62" t="e">
        <f>AVERAGE(M7:M18)</f>
        <v>#DIV/0!</v>
      </c>
      <c r="N19" s="62"/>
      <c r="O19" s="62">
        <f>MAX(O7:O18)</f>
        <v>0</v>
      </c>
      <c r="P19" s="62" t="e">
        <f>AVERAGE(P7:P18)</f>
        <v>#DIV/0!</v>
      </c>
      <c r="Q19" s="62">
        <f>MAX(Q7:Q18)</f>
        <v>0</v>
      </c>
    </row>
    <row r="21" spans="1:17" ht="27.6">
      <c r="K21" s="61">
        <f>+A6</f>
        <v>2022</v>
      </c>
      <c r="L21" s="61" t="s">
        <v>395</v>
      </c>
      <c r="M21" s="55" t="s">
        <v>435</v>
      </c>
      <c r="N21" s="55" t="s">
        <v>436</v>
      </c>
      <c r="O21" s="55" t="s">
        <v>437</v>
      </c>
      <c r="P21" s="67" t="s">
        <v>393</v>
      </c>
      <c r="Q21" s="67" t="s">
        <v>397</v>
      </c>
    </row>
    <row r="22" spans="1:17">
      <c r="K22" s="375" t="s">
        <v>187</v>
      </c>
      <c r="L22" s="66" t="s">
        <v>398</v>
      </c>
      <c r="M22" s="64"/>
      <c r="N22" s="64"/>
      <c r="O22" s="64"/>
      <c r="P22" s="64"/>
      <c r="Q22" s="64"/>
    </row>
    <row r="23" spans="1:17">
      <c r="K23" s="375"/>
      <c r="L23" s="66" t="s">
        <v>399</v>
      </c>
      <c r="M23" s="64"/>
      <c r="N23" s="64"/>
      <c r="O23" s="64"/>
      <c r="P23" s="64"/>
      <c r="Q23" s="64"/>
    </row>
    <row r="24" spans="1:17">
      <c r="K24" s="375"/>
      <c r="L24" s="66" t="s">
        <v>400</v>
      </c>
      <c r="M24" s="64"/>
      <c r="N24" s="64"/>
      <c r="O24" s="64"/>
      <c r="P24" s="64"/>
      <c r="Q24" s="64"/>
    </row>
    <row r="25" spans="1:17">
      <c r="K25" s="375"/>
      <c r="L25" s="66" t="s">
        <v>402</v>
      </c>
      <c r="M25" s="64"/>
      <c r="N25" s="64"/>
      <c r="O25" s="64"/>
      <c r="P25" s="64"/>
      <c r="Q25" s="64"/>
    </row>
    <row r="26" spans="1:17">
      <c r="K26" s="375"/>
      <c r="L26" s="66" t="s">
        <v>404</v>
      </c>
      <c r="M26" s="64"/>
      <c r="N26" s="64"/>
      <c r="O26" s="64"/>
      <c r="P26" s="64"/>
      <c r="Q26" s="64"/>
    </row>
    <row r="27" spans="1:17">
      <c r="K27" s="375"/>
      <c r="L27" s="66" t="s">
        <v>405</v>
      </c>
      <c r="M27" s="64"/>
      <c r="N27" s="64"/>
      <c r="O27" s="64"/>
      <c r="P27" s="64"/>
      <c r="Q27" s="64"/>
    </row>
    <row r="28" spans="1:17">
      <c r="K28" s="375"/>
      <c r="L28" s="66" t="s">
        <v>406</v>
      </c>
      <c r="M28" s="64"/>
      <c r="N28" s="64"/>
      <c r="O28" s="64"/>
      <c r="P28" s="64"/>
      <c r="Q28" s="64"/>
    </row>
    <row r="29" spans="1:17">
      <c r="K29" s="375"/>
      <c r="L29" s="66" t="s">
        <v>408</v>
      </c>
      <c r="M29" s="64"/>
      <c r="N29" s="64"/>
      <c r="O29" s="64"/>
      <c r="P29" s="64"/>
      <c r="Q29" s="64"/>
    </row>
    <row r="30" spans="1:17">
      <c r="K30" s="375"/>
      <c r="L30" s="66" t="s">
        <v>409</v>
      </c>
      <c r="M30" s="64"/>
      <c r="N30" s="64"/>
      <c r="O30" s="64"/>
      <c r="P30" s="64"/>
      <c r="Q30" s="64"/>
    </row>
    <row r="31" spans="1:17">
      <c r="K31" s="375"/>
      <c r="L31" s="66" t="s">
        <v>410</v>
      </c>
      <c r="M31" s="64"/>
      <c r="N31" s="64"/>
      <c r="O31" s="64"/>
      <c r="P31" s="64"/>
      <c r="Q31" s="64"/>
    </row>
    <row r="32" spans="1:17">
      <c r="K32" s="375"/>
      <c r="L32" s="66" t="s">
        <v>411</v>
      </c>
      <c r="M32" s="64"/>
      <c r="N32" s="64"/>
      <c r="O32" s="64"/>
      <c r="P32" s="64"/>
      <c r="Q32" s="64"/>
    </row>
    <row r="33" spans="1:17">
      <c r="K33" s="375"/>
      <c r="L33" s="66" t="s">
        <v>412</v>
      </c>
      <c r="M33" s="64"/>
      <c r="N33" s="64"/>
      <c r="O33" s="64"/>
      <c r="P33" s="64"/>
      <c r="Q33" s="64"/>
    </row>
    <row r="34" spans="1:17">
      <c r="K34" s="375"/>
      <c r="L34" s="62" t="s">
        <v>413</v>
      </c>
      <c r="M34" s="62" t="e">
        <f>AVERAGE(M22:M33)</f>
        <v>#DIV/0!</v>
      </c>
      <c r="N34" s="62"/>
      <c r="O34" s="62">
        <f>MAX(O22:O33)</f>
        <v>0</v>
      </c>
      <c r="P34" s="62" t="e">
        <f>AVERAGE(P22:P33)</f>
        <v>#DIV/0!</v>
      </c>
      <c r="Q34" s="62">
        <f>MAX(Q22:Q33)</f>
        <v>0</v>
      </c>
    </row>
    <row r="36" spans="1:17" ht="27.6">
      <c r="K36" s="61">
        <f>+A6</f>
        <v>2022</v>
      </c>
      <c r="L36" s="61" t="s">
        <v>395</v>
      </c>
      <c r="M36" s="55" t="s">
        <v>435</v>
      </c>
      <c r="N36" s="55" t="s">
        <v>436</v>
      </c>
      <c r="O36" s="55" t="s">
        <v>437</v>
      </c>
      <c r="P36" s="67" t="s">
        <v>393</v>
      </c>
      <c r="Q36" s="67" t="s">
        <v>397</v>
      </c>
    </row>
    <row r="37" spans="1:17">
      <c r="K37" s="375" t="s">
        <v>188</v>
      </c>
      <c r="L37" s="66" t="s">
        <v>398</v>
      </c>
      <c r="M37" s="64"/>
      <c r="N37" s="64"/>
      <c r="O37" s="64"/>
      <c r="P37" s="64"/>
      <c r="Q37" s="64"/>
    </row>
    <row r="38" spans="1:17">
      <c r="K38" s="375"/>
      <c r="L38" s="66" t="s">
        <v>399</v>
      </c>
      <c r="M38" s="64"/>
      <c r="N38" s="64"/>
      <c r="O38" s="64"/>
      <c r="P38" s="64"/>
      <c r="Q38" s="64"/>
    </row>
    <row r="39" spans="1:17">
      <c r="K39" s="375"/>
      <c r="L39" s="66" t="s">
        <v>400</v>
      </c>
      <c r="M39" s="64"/>
      <c r="N39" s="64"/>
      <c r="O39" s="64"/>
      <c r="P39" s="64"/>
      <c r="Q39" s="64"/>
    </row>
    <row r="40" spans="1:17">
      <c r="K40" s="375"/>
      <c r="L40" s="66" t="s">
        <v>402</v>
      </c>
      <c r="M40" s="64"/>
      <c r="N40" s="64"/>
      <c r="O40" s="64"/>
      <c r="P40" s="64"/>
      <c r="Q40" s="64"/>
    </row>
    <row r="41" spans="1:17">
      <c r="K41" s="375"/>
      <c r="L41" s="66" t="s">
        <v>404</v>
      </c>
      <c r="M41" s="64"/>
      <c r="N41" s="64"/>
      <c r="O41" s="64"/>
      <c r="P41" s="64"/>
      <c r="Q41" s="64"/>
    </row>
    <row r="42" spans="1:17">
      <c r="K42" s="375"/>
      <c r="L42" s="66" t="s">
        <v>405</v>
      </c>
      <c r="M42" s="64"/>
      <c r="N42" s="64"/>
      <c r="O42" s="64"/>
      <c r="P42" s="64"/>
      <c r="Q42" s="64"/>
    </row>
    <row r="43" spans="1:17">
      <c r="K43" s="375"/>
      <c r="L43" s="66" t="s">
        <v>406</v>
      </c>
      <c r="M43" s="64"/>
      <c r="N43" s="64"/>
      <c r="O43" s="64"/>
      <c r="P43" s="64"/>
      <c r="Q43" s="64"/>
    </row>
    <row r="44" spans="1:17">
      <c r="K44" s="375"/>
      <c r="L44" s="66" t="s">
        <v>408</v>
      </c>
      <c r="M44" s="64"/>
      <c r="N44" s="64"/>
      <c r="O44" s="64"/>
      <c r="P44" s="64"/>
      <c r="Q44" s="64"/>
    </row>
    <row r="45" spans="1:17">
      <c r="K45" s="375"/>
      <c r="L45" s="66" t="s">
        <v>409</v>
      </c>
      <c r="M45" s="64"/>
      <c r="N45" s="64"/>
      <c r="O45" s="64"/>
      <c r="P45" s="64"/>
      <c r="Q45" s="64"/>
    </row>
    <row r="46" spans="1:17">
      <c r="K46" s="375"/>
      <c r="L46" s="66" t="s">
        <v>410</v>
      </c>
      <c r="M46" s="64"/>
      <c r="N46" s="64"/>
      <c r="O46" s="64"/>
      <c r="P46" s="64"/>
      <c r="Q46" s="64"/>
    </row>
    <row r="47" spans="1:17">
      <c r="K47" s="375"/>
      <c r="L47" s="66" t="s">
        <v>411</v>
      </c>
      <c r="M47" s="64"/>
      <c r="N47" s="64"/>
      <c r="O47" s="64"/>
      <c r="P47" s="64"/>
      <c r="Q47" s="64"/>
    </row>
    <row r="48" spans="1:17">
      <c r="A48" s="387" t="s">
        <v>282</v>
      </c>
      <c r="B48" s="388"/>
      <c r="C48" s="388"/>
      <c r="D48" s="388"/>
      <c r="E48" s="388"/>
      <c r="F48" s="388"/>
      <c r="G48" s="388"/>
      <c r="H48" s="389"/>
      <c r="K48" s="375"/>
      <c r="L48" s="66" t="s">
        <v>412</v>
      </c>
      <c r="M48" s="64"/>
      <c r="N48" s="64"/>
      <c r="O48" s="64"/>
      <c r="P48" s="64"/>
      <c r="Q48" s="64"/>
    </row>
    <row r="49" spans="1:17">
      <c r="A49" s="390" t="s">
        <v>441</v>
      </c>
      <c r="B49" s="391"/>
      <c r="C49" s="391"/>
      <c r="D49" s="391"/>
      <c r="E49" s="391"/>
      <c r="F49" s="391"/>
      <c r="G49" s="391"/>
      <c r="H49" s="392"/>
      <c r="K49" s="375"/>
      <c r="L49" s="62" t="s">
        <v>413</v>
      </c>
      <c r="M49" s="62" t="e">
        <f>AVERAGE(M37:M48)</f>
        <v>#DIV/0!</v>
      </c>
      <c r="N49" s="62"/>
      <c r="O49" s="62">
        <f>MAX(O37:O48)</f>
        <v>0</v>
      </c>
      <c r="P49" s="62" t="e">
        <f>AVERAGE(P37:P48)</f>
        <v>#DIV/0!</v>
      </c>
      <c r="Q49" s="62">
        <f>MAX(Q37:Q48)</f>
        <v>0</v>
      </c>
    </row>
    <row r="50" spans="1:17">
      <c r="A50" s="393"/>
      <c r="B50" s="394"/>
      <c r="C50" s="394"/>
      <c r="D50" s="394"/>
      <c r="E50" s="394"/>
      <c r="F50" s="394"/>
      <c r="G50" s="394"/>
      <c r="H50" s="395"/>
    </row>
    <row r="51" spans="1:17" ht="27.6">
      <c r="A51" s="393"/>
      <c r="B51" s="394"/>
      <c r="C51" s="394"/>
      <c r="D51" s="394"/>
      <c r="E51" s="394"/>
      <c r="F51" s="394"/>
      <c r="G51" s="394"/>
      <c r="H51" s="395"/>
      <c r="K51" s="61">
        <f>+A6</f>
        <v>2022</v>
      </c>
      <c r="L51" s="61" t="s">
        <v>395</v>
      </c>
      <c r="M51" s="55" t="s">
        <v>435</v>
      </c>
      <c r="N51" s="55" t="s">
        <v>436</v>
      </c>
      <c r="O51" s="55" t="s">
        <v>437</v>
      </c>
      <c r="P51" s="67" t="s">
        <v>393</v>
      </c>
      <c r="Q51" s="67" t="s">
        <v>397</v>
      </c>
    </row>
    <row r="52" spans="1:17">
      <c r="A52" s="396"/>
      <c r="B52" s="397"/>
      <c r="C52" s="397"/>
      <c r="D52" s="397"/>
      <c r="E52" s="397"/>
      <c r="F52" s="397"/>
      <c r="G52" s="397"/>
      <c r="H52" s="398"/>
      <c r="K52" s="375" t="s">
        <v>189</v>
      </c>
      <c r="L52" s="66" t="s">
        <v>398</v>
      </c>
      <c r="M52" s="64"/>
      <c r="N52" s="64"/>
      <c r="O52" s="64"/>
      <c r="P52" s="64"/>
      <c r="Q52" s="64"/>
    </row>
    <row r="53" spans="1:17">
      <c r="K53" s="375"/>
      <c r="L53" s="66" t="s">
        <v>399</v>
      </c>
      <c r="M53" s="64"/>
      <c r="N53" s="64"/>
      <c r="O53" s="64"/>
      <c r="P53" s="64"/>
      <c r="Q53" s="64"/>
    </row>
    <row r="54" spans="1:17">
      <c r="K54" s="375"/>
      <c r="L54" s="66" t="s">
        <v>400</v>
      </c>
      <c r="M54" s="64"/>
      <c r="N54" s="64"/>
      <c r="O54" s="64"/>
      <c r="P54" s="64"/>
      <c r="Q54" s="64"/>
    </row>
    <row r="55" spans="1:17">
      <c r="K55" s="375"/>
      <c r="L55" s="66" t="s">
        <v>402</v>
      </c>
      <c r="M55" s="64"/>
      <c r="N55" s="64"/>
      <c r="O55" s="64"/>
      <c r="P55" s="64"/>
      <c r="Q55" s="64"/>
    </row>
    <row r="56" spans="1:17">
      <c r="K56" s="375"/>
      <c r="L56" s="66" t="s">
        <v>404</v>
      </c>
      <c r="M56" s="64"/>
      <c r="N56" s="64"/>
      <c r="O56" s="64"/>
      <c r="P56" s="64"/>
      <c r="Q56" s="64"/>
    </row>
    <row r="57" spans="1:17">
      <c r="K57" s="375"/>
      <c r="L57" s="66" t="s">
        <v>405</v>
      </c>
      <c r="M57" s="64"/>
      <c r="N57" s="64"/>
      <c r="O57" s="64"/>
      <c r="P57" s="64"/>
      <c r="Q57" s="64"/>
    </row>
    <row r="58" spans="1:17">
      <c r="K58" s="375"/>
      <c r="L58" s="66" t="s">
        <v>406</v>
      </c>
      <c r="M58" s="64"/>
      <c r="N58" s="64"/>
      <c r="O58" s="64"/>
      <c r="P58" s="64"/>
      <c r="Q58" s="64"/>
    </row>
    <row r="59" spans="1:17">
      <c r="K59" s="375"/>
      <c r="L59" s="66" t="s">
        <v>408</v>
      </c>
      <c r="M59" s="64"/>
      <c r="N59" s="64"/>
      <c r="O59" s="64"/>
      <c r="P59" s="64"/>
      <c r="Q59" s="64"/>
    </row>
    <row r="60" spans="1:17">
      <c r="K60" s="375"/>
      <c r="L60" s="66" t="s">
        <v>409</v>
      </c>
      <c r="M60" s="64"/>
      <c r="N60" s="64"/>
      <c r="O60" s="64"/>
      <c r="P60" s="64"/>
      <c r="Q60" s="64"/>
    </row>
    <row r="61" spans="1:17">
      <c r="K61" s="375"/>
      <c r="L61" s="66" t="s">
        <v>410</v>
      </c>
      <c r="M61" s="64"/>
      <c r="N61" s="64"/>
      <c r="O61" s="64"/>
      <c r="P61" s="64"/>
      <c r="Q61" s="64"/>
    </row>
    <row r="62" spans="1:17">
      <c r="K62" s="375"/>
      <c r="L62" s="66" t="s">
        <v>411</v>
      </c>
      <c r="M62" s="64"/>
      <c r="N62" s="64"/>
      <c r="O62" s="64"/>
      <c r="P62" s="64"/>
      <c r="Q62" s="64"/>
    </row>
    <row r="63" spans="1:17">
      <c r="K63" s="375"/>
      <c r="L63" s="66" t="s">
        <v>412</v>
      </c>
      <c r="M63" s="64"/>
      <c r="N63" s="64"/>
      <c r="O63" s="64"/>
      <c r="P63" s="64"/>
      <c r="Q63" s="64"/>
    </row>
    <row r="64" spans="1:17">
      <c r="K64" s="375"/>
      <c r="L64" s="62" t="s">
        <v>413</v>
      </c>
      <c r="M64" s="62" t="e">
        <f>AVERAGE(M52:M63)</f>
        <v>#DIV/0!</v>
      </c>
      <c r="N64" s="62"/>
      <c r="O64" s="62">
        <f>MAX(O52:O63)</f>
        <v>0</v>
      </c>
      <c r="P64" s="62" t="e">
        <f>AVERAGE(P52:P63)</f>
        <v>#DIV/0!</v>
      </c>
      <c r="Q64" s="62">
        <f>MAX(Q52:Q63)</f>
        <v>0</v>
      </c>
    </row>
    <row r="66" spans="11:17" ht="27.6">
      <c r="K66" s="61">
        <f>+A6</f>
        <v>2022</v>
      </c>
      <c r="L66" s="61" t="s">
        <v>395</v>
      </c>
      <c r="M66" s="55" t="s">
        <v>435</v>
      </c>
      <c r="N66" s="55" t="s">
        <v>436</v>
      </c>
      <c r="O66" s="55" t="s">
        <v>437</v>
      </c>
      <c r="P66" s="67" t="s">
        <v>393</v>
      </c>
      <c r="Q66" s="67" t="s">
        <v>397</v>
      </c>
    </row>
    <row r="67" spans="11:17">
      <c r="K67" s="375" t="s">
        <v>190</v>
      </c>
      <c r="L67" s="66" t="s">
        <v>398</v>
      </c>
      <c r="M67" s="64"/>
      <c r="N67" s="64"/>
      <c r="O67" s="64"/>
      <c r="P67" s="64"/>
      <c r="Q67" s="64"/>
    </row>
    <row r="68" spans="11:17">
      <c r="K68" s="375"/>
      <c r="L68" s="66" t="s">
        <v>399</v>
      </c>
      <c r="M68" s="64"/>
      <c r="N68" s="64"/>
      <c r="O68" s="64"/>
      <c r="P68" s="64"/>
      <c r="Q68" s="64"/>
    </row>
    <row r="69" spans="11:17">
      <c r="K69" s="375"/>
      <c r="L69" s="66" t="s">
        <v>400</v>
      </c>
      <c r="M69" s="64"/>
      <c r="N69" s="64"/>
      <c r="O69" s="64"/>
      <c r="P69" s="64"/>
      <c r="Q69" s="64"/>
    </row>
    <row r="70" spans="11:17">
      <c r="K70" s="375"/>
      <c r="L70" s="66" t="s">
        <v>402</v>
      </c>
      <c r="M70" s="64"/>
      <c r="N70" s="64"/>
      <c r="O70" s="64"/>
      <c r="P70" s="64"/>
      <c r="Q70" s="64"/>
    </row>
    <row r="71" spans="11:17">
      <c r="K71" s="375"/>
      <c r="L71" s="66" t="s">
        <v>404</v>
      </c>
      <c r="M71" s="64"/>
      <c r="N71" s="64"/>
      <c r="O71" s="64"/>
      <c r="P71" s="64"/>
      <c r="Q71" s="64"/>
    </row>
    <row r="72" spans="11:17">
      <c r="K72" s="375"/>
      <c r="L72" s="66" t="s">
        <v>405</v>
      </c>
      <c r="M72" s="64"/>
      <c r="N72" s="64"/>
      <c r="O72" s="64"/>
      <c r="P72" s="64"/>
      <c r="Q72" s="64"/>
    </row>
    <row r="73" spans="11:17">
      <c r="K73" s="375"/>
      <c r="L73" s="66" t="s">
        <v>406</v>
      </c>
      <c r="M73" s="64"/>
      <c r="N73" s="64"/>
      <c r="O73" s="64"/>
      <c r="P73" s="64"/>
      <c r="Q73" s="64"/>
    </row>
    <row r="74" spans="11:17">
      <c r="K74" s="375"/>
      <c r="L74" s="66" t="s">
        <v>408</v>
      </c>
      <c r="M74" s="64"/>
      <c r="N74" s="64"/>
      <c r="O74" s="64"/>
      <c r="P74" s="64"/>
      <c r="Q74" s="64"/>
    </row>
    <row r="75" spans="11:17">
      <c r="K75" s="375"/>
      <c r="L75" s="66" t="s">
        <v>409</v>
      </c>
      <c r="M75" s="64"/>
      <c r="N75" s="64"/>
      <c r="O75" s="64"/>
      <c r="P75" s="64"/>
      <c r="Q75" s="64"/>
    </row>
    <row r="76" spans="11:17">
      <c r="K76" s="375"/>
      <c r="L76" s="66" t="s">
        <v>410</v>
      </c>
      <c r="M76" s="64"/>
      <c r="N76" s="64"/>
      <c r="O76" s="64"/>
      <c r="P76" s="64"/>
      <c r="Q76" s="64"/>
    </row>
    <row r="77" spans="11:17">
      <c r="K77" s="375"/>
      <c r="L77" s="66" t="s">
        <v>411</v>
      </c>
      <c r="M77" s="64"/>
      <c r="N77" s="64"/>
      <c r="O77" s="64"/>
      <c r="P77" s="64"/>
      <c r="Q77" s="64"/>
    </row>
    <row r="78" spans="11:17">
      <c r="K78" s="375"/>
      <c r="L78" s="66" t="s">
        <v>412</v>
      </c>
      <c r="M78" s="64"/>
      <c r="N78" s="64"/>
      <c r="O78" s="64"/>
      <c r="P78" s="64"/>
      <c r="Q78" s="64"/>
    </row>
    <row r="79" spans="11:17">
      <c r="K79" s="375"/>
      <c r="L79" s="62" t="s">
        <v>413</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EPR Thetford Power Station</v>
      </c>
    </row>
    <row r="3" spans="1:19" ht="14.45">
      <c r="A3" s="60" t="s">
        <v>442</v>
      </c>
      <c r="D3" s="76" t="s">
        <v>382</v>
      </c>
      <c r="G3" s="80" t="s">
        <v>383</v>
      </c>
      <c r="J3" s="9" t="str">
        <f>+A3</f>
        <v xml:space="preserve">Monitoring of Ammnonia emissions </v>
      </c>
      <c r="L3" s="9"/>
      <c r="N3" s="9" t="s">
        <v>384</v>
      </c>
      <c r="Q3" s="79" t="s">
        <v>3</v>
      </c>
      <c r="R3" s="74"/>
      <c r="S3" s="74"/>
    </row>
    <row r="4" spans="1:19" ht="13.9" customHeight="1">
      <c r="Q4" s="353" t="s">
        <v>385</v>
      </c>
      <c r="R4" s="353"/>
      <c r="S4" s="353"/>
    </row>
    <row r="5" spans="1:19" ht="16.149999999999999">
      <c r="A5" s="68" t="s">
        <v>386</v>
      </c>
      <c r="B5" s="377" t="s">
        <v>387</v>
      </c>
      <c r="C5" s="377"/>
      <c r="D5" s="377"/>
      <c r="E5" s="377" t="s">
        <v>388</v>
      </c>
      <c r="F5" s="377"/>
      <c r="G5" s="377"/>
      <c r="J5" s="376"/>
      <c r="K5" s="376"/>
      <c r="L5" s="376"/>
      <c r="M5" s="376"/>
      <c r="N5" s="376"/>
      <c r="O5" s="376"/>
      <c r="Q5" s="353"/>
      <c r="R5" s="353"/>
      <c r="S5" s="353"/>
    </row>
    <row r="6" spans="1:19" s="58" customFormat="1" ht="37.5" customHeight="1">
      <c r="A6" s="65">
        <f>+'Cover Page'!C39</f>
        <v>2022</v>
      </c>
      <c r="B6" s="55" t="s">
        <v>443</v>
      </c>
      <c r="C6" s="55" t="s">
        <v>390</v>
      </c>
      <c r="D6" s="55" t="s">
        <v>391</v>
      </c>
      <c r="E6" s="55" t="s">
        <v>444</v>
      </c>
      <c r="F6" s="55" t="s">
        <v>393</v>
      </c>
      <c r="G6" s="55" t="s">
        <v>394</v>
      </c>
      <c r="H6" s="59"/>
      <c r="J6" s="61">
        <f>+A6</f>
        <v>2022</v>
      </c>
      <c r="K6" s="61" t="s">
        <v>395</v>
      </c>
      <c r="L6" s="67" t="s">
        <v>390</v>
      </c>
      <c r="M6" s="67" t="s">
        <v>396</v>
      </c>
      <c r="N6" s="67" t="s">
        <v>393</v>
      </c>
      <c r="O6" s="67" t="s">
        <v>397</v>
      </c>
      <c r="Q6" s="353"/>
      <c r="R6" s="353"/>
      <c r="S6" s="353"/>
    </row>
    <row r="7" spans="1:19">
      <c r="A7" s="66" t="s">
        <v>398</v>
      </c>
      <c r="B7" s="69">
        <v>0</v>
      </c>
      <c r="C7" s="64"/>
      <c r="D7" s="64"/>
      <c r="E7" s="69">
        <v>10</v>
      </c>
      <c r="F7" s="64"/>
      <c r="G7" s="64"/>
      <c r="J7" s="375" t="s">
        <v>186</v>
      </c>
      <c r="K7" s="66" t="s">
        <v>398</v>
      </c>
      <c r="L7" s="64"/>
      <c r="M7" s="64"/>
      <c r="N7" s="64"/>
      <c r="O7" s="64"/>
      <c r="Q7" s="353"/>
      <c r="R7" s="353"/>
      <c r="S7" s="353"/>
    </row>
    <row r="8" spans="1:19">
      <c r="A8" s="66" t="s">
        <v>399</v>
      </c>
      <c r="B8" s="63">
        <f>+B7</f>
        <v>0</v>
      </c>
      <c r="C8" s="64"/>
      <c r="D8" s="64"/>
      <c r="E8" s="63">
        <f>+E7</f>
        <v>10</v>
      </c>
      <c r="F8" s="64"/>
      <c r="G8" s="64"/>
      <c r="J8" s="375"/>
      <c r="K8" s="66" t="s">
        <v>399</v>
      </c>
      <c r="L8" s="64"/>
      <c r="M8" s="64"/>
      <c r="N8" s="64"/>
      <c r="O8" s="64"/>
      <c r="Q8" s="353"/>
      <c r="R8" s="353"/>
      <c r="S8" s="353"/>
    </row>
    <row r="9" spans="1:19">
      <c r="A9" s="66" t="s">
        <v>400</v>
      </c>
      <c r="B9" s="63">
        <f t="shared" ref="B9:B18" si="0">+B8</f>
        <v>0</v>
      </c>
      <c r="C9" s="64"/>
      <c r="D9" s="64"/>
      <c r="E9" s="63">
        <f t="shared" ref="E9:E18" si="1">+E8</f>
        <v>10</v>
      </c>
      <c r="F9" s="64"/>
      <c r="G9" s="64"/>
      <c r="J9" s="375"/>
      <c r="K9" s="66" t="s">
        <v>400</v>
      </c>
      <c r="L9" s="64"/>
      <c r="M9" s="64"/>
      <c r="N9" s="64"/>
      <c r="O9" s="64"/>
      <c r="Q9" s="78" t="s">
        <v>401</v>
      </c>
    </row>
    <row r="10" spans="1:19" ht="14.25" customHeight="1">
      <c r="A10" s="66" t="s">
        <v>402</v>
      </c>
      <c r="B10" s="63">
        <f t="shared" si="0"/>
        <v>0</v>
      </c>
      <c r="C10" s="64"/>
      <c r="D10" s="64"/>
      <c r="E10" s="63">
        <f t="shared" si="1"/>
        <v>10</v>
      </c>
      <c r="F10" s="64"/>
      <c r="G10" s="64"/>
      <c r="J10" s="375"/>
      <c r="K10" s="66" t="s">
        <v>402</v>
      </c>
      <c r="L10" s="64"/>
      <c r="M10" s="64"/>
      <c r="N10" s="64"/>
      <c r="O10" s="64"/>
      <c r="Q10" s="374" t="s">
        <v>403</v>
      </c>
      <c r="R10" s="374"/>
      <c r="S10" s="374"/>
    </row>
    <row r="11" spans="1:19">
      <c r="A11" s="66" t="s">
        <v>404</v>
      </c>
      <c r="B11" s="63">
        <f t="shared" si="0"/>
        <v>0</v>
      </c>
      <c r="C11" s="64"/>
      <c r="D11" s="64"/>
      <c r="E11" s="63">
        <f t="shared" si="1"/>
        <v>10</v>
      </c>
      <c r="F11" s="64"/>
      <c r="G11" s="64"/>
      <c r="J11" s="375"/>
      <c r="K11" s="66" t="s">
        <v>404</v>
      </c>
      <c r="L11" s="64"/>
      <c r="M11" s="64"/>
      <c r="N11" s="64"/>
      <c r="O11" s="64"/>
      <c r="Q11" s="374"/>
      <c r="R11" s="374"/>
      <c r="S11" s="374"/>
    </row>
    <row r="12" spans="1:19">
      <c r="A12" s="66" t="s">
        <v>405</v>
      </c>
      <c r="B12" s="63">
        <f t="shared" si="0"/>
        <v>0</v>
      </c>
      <c r="C12" s="64"/>
      <c r="D12" s="64"/>
      <c r="E12" s="63">
        <f t="shared" si="1"/>
        <v>10</v>
      </c>
      <c r="F12" s="64"/>
      <c r="G12" s="64"/>
      <c r="J12" s="375"/>
      <c r="K12" s="66" t="s">
        <v>405</v>
      </c>
      <c r="L12" s="64"/>
      <c r="M12" s="64"/>
      <c r="N12" s="64"/>
      <c r="O12" s="64"/>
      <c r="Q12" s="374"/>
      <c r="R12" s="374"/>
      <c r="S12" s="374"/>
    </row>
    <row r="13" spans="1:19" ht="14.25" customHeight="1">
      <c r="A13" s="66" t="s">
        <v>406</v>
      </c>
      <c r="B13" s="63">
        <f t="shared" si="0"/>
        <v>0</v>
      </c>
      <c r="C13" s="64"/>
      <c r="D13" s="64"/>
      <c r="E13" s="63">
        <f t="shared" si="1"/>
        <v>10</v>
      </c>
      <c r="F13" s="64"/>
      <c r="G13" s="64"/>
      <c r="J13" s="375"/>
      <c r="K13" s="66" t="s">
        <v>406</v>
      </c>
      <c r="L13" s="64"/>
      <c r="M13" s="64"/>
      <c r="N13" s="64"/>
      <c r="O13" s="64"/>
      <c r="Q13" s="374" t="s">
        <v>407</v>
      </c>
      <c r="R13" s="374"/>
      <c r="S13" s="374"/>
    </row>
    <row r="14" spans="1:19">
      <c r="A14" s="66" t="s">
        <v>408</v>
      </c>
      <c r="B14" s="63">
        <f t="shared" si="0"/>
        <v>0</v>
      </c>
      <c r="C14" s="64"/>
      <c r="D14" s="64"/>
      <c r="E14" s="63">
        <f t="shared" si="1"/>
        <v>10</v>
      </c>
      <c r="F14" s="64"/>
      <c r="G14" s="64"/>
      <c r="J14" s="375"/>
      <c r="K14" s="66" t="s">
        <v>408</v>
      </c>
      <c r="L14" s="64"/>
      <c r="M14" s="64"/>
      <c r="N14" s="64"/>
      <c r="O14" s="64"/>
      <c r="Q14" s="374"/>
      <c r="R14" s="374"/>
      <c r="S14" s="374"/>
    </row>
    <row r="15" spans="1:19">
      <c r="A15" s="66" t="s">
        <v>409</v>
      </c>
      <c r="B15" s="63">
        <f t="shared" si="0"/>
        <v>0</v>
      </c>
      <c r="C15" s="64"/>
      <c r="D15" s="64"/>
      <c r="E15" s="63">
        <f t="shared" si="1"/>
        <v>10</v>
      </c>
      <c r="F15" s="64"/>
      <c r="G15" s="64"/>
      <c r="J15" s="375"/>
      <c r="K15" s="66" t="s">
        <v>409</v>
      </c>
      <c r="L15" s="64"/>
      <c r="M15" s="64"/>
      <c r="N15" s="64"/>
      <c r="O15" s="64"/>
      <c r="Q15" s="374"/>
      <c r="R15" s="374"/>
      <c r="S15" s="374"/>
    </row>
    <row r="16" spans="1:19">
      <c r="A16" s="66" t="s">
        <v>410</v>
      </c>
      <c r="B16" s="63">
        <f t="shared" si="0"/>
        <v>0</v>
      </c>
      <c r="C16" s="64"/>
      <c r="D16" s="64"/>
      <c r="E16" s="63">
        <f t="shared" si="1"/>
        <v>10</v>
      </c>
      <c r="F16" s="64"/>
      <c r="G16" s="64"/>
      <c r="J16" s="375"/>
      <c r="K16" s="66" t="s">
        <v>410</v>
      </c>
      <c r="L16" s="64"/>
      <c r="M16" s="64"/>
      <c r="N16" s="64"/>
      <c r="O16" s="64"/>
      <c r="Q16" s="374"/>
      <c r="R16" s="374"/>
      <c r="S16" s="374"/>
    </row>
    <row r="17" spans="1:15">
      <c r="A17" s="66" t="s">
        <v>411</v>
      </c>
      <c r="B17" s="63">
        <f t="shared" si="0"/>
        <v>0</v>
      </c>
      <c r="C17" s="64"/>
      <c r="D17" s="64"/>
      <c r="E17" s="63">
        <f t="shared" si="1"/>
        <v>10</v>
      </c>
      <c r="F17" s="64"/>
      <c r="G17" s="64"/>
      <c r="J17" s="375"/>
      <c r="K17" s="66" t="s">
        <v>411</v>
      </c>
      <c r="L17" s="64"/>
      <c r="M17" s="64"/>
      <c r="N17" s="64"/>
      <c r="O17" s="64"/>
    </row>
    <row r="18" spans="1:15">
      <c r="A18" s="66" t="s">
        <v>412</v>
      </c>
      <c r="B18" s="63">
        <f t="shared" si="0"/>
        <v>0</v>
      </c>
      <c r="C18" s="64"/>
      <c r="D18" s="64"/>
      <c r="E18" s="63">
        <f t="shared" si="1"/>
        <v>10</v>
      </c>
      <c r="F18" s="64"/>
      <c r="G18" s="64"/>
      <c r="J18" s="375"/>
      <c r="K18" s="66" t="s">
        <v>412</v>
      </c>
      <c r="L18" s="64"/>
      <c r="M18" s="64"/>
      <c r="N18" s="64"/>
      <c r="O18" s="64"/>
    </row>
    <row r="19" spans="1:15">
      <c r="J19" s="375"/>
      <c r="K19" s="62" t="s">
        <v>413</v>
      </c>
      <c r="L19" s="62" t="e">
        <f>AVERAGE(L7:L18)</f>
        <v>#DIV/0!</v>
      </c>
      <c r="M19" s="62">
        <f>MAX(M7:M18)</f>
        <v>0</v>
      </c>
      <c r="N19" s="62" t="e">
        <f>AVERAGE(N7:N18)</f>
        <v>#DIV/0!</v>
      </c>
      <c r="O19" s="62">
        <f>MAX(O7:O18)</f>
        <v>0</v>
      </c>
    </row>
    <row r="21" spans="1:15" ht="41.45">
      <c r="J21" s="61">
        <f>+A6</f>
        <v>2022</v>
      </c>
      <c r="K21" s="61" t="s">
        <v>395</v>
      </c>
      <c r="L21" s="67" t="s">
        <v>390</v>
      </c>
      <c r="M21" s="67" t="s">
        <v>396</v>
      </c>
      <c r="N21" s="67" t="s">
        <v>393</v>
      </c>
      <c r="O21" s="67" t="s">
        <v>397</v>
      </c>
    </row>
    <row r="22" spans="1:15">
      <c r="J22" s="375" t="s">
        <v>187</v>
      </c>
      <c r="K22" s="66" t="s">
        <v>398</v>
      </c>
      <c r="L22" s="64"/>
      <c r="M22" s="64"/>
      <c r="N22" s="64"/>
      <c r="O22" s="64"/>
    </row>
    <row r="23" spans="1:15">
      <c r="J23" s="375"/>
      <c r="K23" s="66" t="s">
        <v>399</v>
      </c>
      <c r="L23" s="64"/>
      <c r="M23" s="64"/>
      <c r="N23" s="64"/>
      <c r="O23" s="64"/>
    </row>
    <row r="24" spans="1:15">
      <c r="J24" s="375"/>
      <c r="K24" s="66" t="s">
        <v>400</v>
      </c>
      <c r="L24" s="64"/>
      <c r="M24" s="64"/>
      <c r="N24" s="64"/>
      <c r="O24" s="64"/>
    </row>
    <row r="25" spans="1:15">
      <c r="J25" s="375"/>
      <c r="K25" s="66" t="s">
        <v>402</v>
      </c>
      <c r="L25" s="64"/>
      <c r="M25" s="64"/>
      <c r="N25" s="64"/>
      <c r="O25" s="64"/>
    </row>
    <row r="26" spans="1:15">
      <c r="J26" s="375"/>
      <c r="K26" s="66" t="s">
        <v>404</v>
      </c>
      <c r="L26" s="64"/>
      <c r="M26" s="64"/>
      <c r="N26" s="64"/>
      <c r="O26" s="64"/>
    </row>
    <row r="27" spans="1:15">
      <c r="J27" s="375"/>
      <c r="K27" s="66" t="s">
        <v>405</v>
      </c>
      <c r="L27" s="64"/>
      <c r="M27" s="64"/>
      <c r="N27" s="64"/>
      <c r="O27" s="64"/>
    </row>
    <row r="28" spans="1:15">
      <c r="J28" s="375"/>
      <c r="K28" s="66" t="s">
        <v>406</v>
      </c>
      <c r="L28" s="64"/>
      <c r="M28" s="64"/>
      <c r="N28" s="64"/>
      <c r="O28" s="64"/>
    </row>
    <row r="29" spans="1:15">
      <c r="J29" s="375"/>
      <c r="K29" s="66" t="s">
        <v>408</v>
      </c>
      <c r="L29" s="64"/>
      <c r="M29" s="64"/>
      <c r="N29" s="64"/>
      <c r="O29" s="64"/>
    </row>
    <row r="30" spans="1:15">
      <c r="J30" s="375"/>
      <c r="K30" s="66" t="s">
        <v>409</v>
      </c>
      <c r="L30" s="64"/>
      <c r="M30" s="64"/>
      <c r="N30" s="64"/>
      <c r="O30" s="64"/>
    </row>
    <row r="31" spans="1:15">
      <c r="J31" s="375"/>
      <c r="K31" s="66" t="s">
        <v>410</v>
      </c>
      <c r="L31" s="64"/>
      <c r="M31" s="64"/>
      <c r="N31" s="64"/>
      <c r="O31" s="64"/>
    </row>
    <row r="32" spans="1:15">
      <c r="J32" s="375"/>
      <c r="K32" s="66" t="s">
        <v>411</v>
      </c>
      <c r="L32" s="64"/>
      <c r="M32" s="64"/>
      <c r="N32" s="64"/>
      <c r="O32" s="64"/>
    </row>
    <row r="33" spans="1:15">
      <c r="J33" s="375"/>
      <c r="K33" s="66" t="s">
        <v>412</v>
      </c>
      <c r="L33" s="64"/>
      <c r="M33" s="64"/>
      <c r="N33" s="64"/>
      <c r="O33" s="64"/>
    </row>
    <row r="34" spans="1:15">
      <c r="J34" s="375"/>
      <c r="K34" s="62" t="s">
        <v>413</v>
      </c>
      <c r="L34" s="62" t="e">
        <f>AVERAGE(L22:L33)</f>
        <v>#DIV/0!</v>
      </c>
      <c r="M34" s="62">
        <f>MAX(M22:M33)</f>
        <v>0</v>
      </c>
      <c r="N34" s="62" t="e">
        <f>AVERAGE(N22:N33)</f>
        <v>#DIV/0!</v>
      </c>
      <c r="O34" s="62">
        <f>MAX(O22:O33)</f>
        <v>0</v>
      </c>
    </row>
    <row r="36" spans="1:15" ht="41.45">
      <c r="J36" s="61">
        <f>+A6</f>
        <v>2022</v>
      </c>
      <c r="K36" s="61" t="s">
        <v>395</v>
      </c>
      <c r="L36" s="67" t="s">
        <v>390</v>
      </c>
      <c r="M36" s="67" t="s">
        <v>396</v>
      </c>
      <c r="N36" s="67" t="s">
        <v>393</v>
      </c>
      <c r="O36" s="67" t="s">
        <v>397</v>
      </c>
    </row>
    <row r="37" spans="1:15">
      <c r="J37" s="375" t="s">
        <v>188</v>
      </c>
      <c r="K37" s="66" t="s">
        <v>398</v>
      </c>
      <c r="L37" s="64"/>
      <c r="M37" s="64"/>
      <c r="N37" s="64"/>
      <c r="O37" s="64"/>
    </row>
    <row r="38" spans="1:15">
      <c r="J38" s="375"/>
      <c r="K38" s="66" t="s">
        <v>399</v>
      </c>
      <c r="L38" s="64"/>
      <c r="M38" s="64"/>
      <c r="N38" s="64"/>
      <c r="O38" s="64"/>
    </row>
    <row r="39" spans="1:15">
      <c r="J39" s="375"/>
      <c r="K39" s="66" t="s">
        <v>400</v>
      </c>
      <c r="L39" s="64"/>
      <c r="M39" s="64"/>
      <c r="N39" s="64"/>
      <c r="O39" s="64"/>
    </row>
    <row r="40" spans="1:15">
      <c r="J40" s="375"/>
      <c r="K40" s="66" t="s">
        <v>402</v>
      </c>
      <c r="L40" s="64"/>
      <c r="M40" s="64"/>
      <c r="N40" s="64"/>
      <c r="O40" s="64"/>
    </row>
    <row r="41" spans="1:15">
      <c r="J41" s="375"/>
      <c r="K41" s="66" t="s">
        <v>404</v>
      </c>
      <c r="L41" s="64"/>
      <c r="M41" s="64"/>
      <c r="N41" s="64"/>
      <c r="O41" s="64"/>
    </row>
    <row r="42" spans="1:15">
      <c r="J42" s="375"/>
      <c r="K42" s="66" t="s">
        <v>405</v>
      </c>
      <c r="L42" s="64"/>
      <c r="M42" s="64"/>
      <c r="N42" s="64"/>
      <c r="O42" s="64"/>
    </row>
    <row r="43" spans="1:15">
      <c r="J43" s="375"/>
      <c r="K43" s="66" t="s">
        <v>406</v>
      </c>
      <c r="L43" s="64"/>
      <c r="M43" s="64"/>
      <c r="N43" s="64"/>
      <c r="O43" s="64"/>
    </row>
    <row r="44" spans="1:15">
      <c r="J44" s="375"/>
      <c r="K44" s="66" t="s">
        <v>408</v>
      </c>
      <c r="L44" s="64"/>
      <c r="M44" s="64"/>
      <c r="N44" s="64"/>
      <c r="O44" s="64"/>
    </row>
    <row r="45" spans="1:15">
      <c r="J45" s="375"/>
      <c r="K45" s="66" t="s">
        <v>409</v>
      </c>
      <c r="L45" s="64"/>
      <c r="M45" s="64"/>
      <c r="N45" s="64"/>
      <c r="O45" s="64"/>
    </row>
    <row r="46" spans="1:15">
      <c r="J46" s="375"/>
      <c r="K46" s="66" t="s">
        <v>410</v>
      </c>
      <c r="L46" s="64"/>
      <c r="M46" s="64"/>
      <c r="N46" s="64"/>
      <c r="O46" s="64"/>
    </row>
    <row r="47" spans="1:15">
      <c r="J47" s="375"/>
      <c r="K47" s="66" t="s">
        <v>411</v>
      </c>
      <c r="L47" s="64"/>
      <c r="M47" s="64"/>
      <c r="N47" s="64"/>
      <c r="O47" s="64"/>
    </row>
    <row r="48" spans="1:15">
      <c r="A48" s="387" t="s">
        <v>282</v>
      </c>
      <c r="B48" s="388"/>
      <c r="C48" s="388"/>
      <c r="D48" s="388"/>
      <c r="E48" s="388"/>
      <c r="F48" s="388"/>
      <c r="G48" s="389"/>
      <c r="J48" s="375"/>
      <c r="K48" s="66" t="s">
        <v>412</v>
      </c>
      <c r="L48" s="64"/>
      <c r="M48" s="64"/>
      <c r="N48" s="64"/>
      <c r="O48" s="64"/>
    </row>
    <row r="49" spans="1:15">
      <c r="A49" s="378" t="s">
        <v>445</v>
      </c>
      <c r="B49" s="379"/>
      <c r="C49" s="379"/>
      <c r="D49" s="379"/>
      <c r="E49" s="379"/>
      <c r="F49" s="379"/>
      <c r="G49" s="380"/>
      <c r="J49" s="375"/>
      <c r="K49" s="62" t="s">
        <v>413</v>
      </c>
      <c r="L49" s="62" t="e">
        <f>AVERAGE(L37:L48)</f>
        <v>#DIV/0!</v>
      </c>
      <c r="M49" s="62">
        <f>MAX(M37:M48)</f>
        <v>0</v>
      </c>
      <c r="N49" s="62" t="e">
        <f>AVERAGE(N37:N48)</f>
        <v>#DIV/0!</v>
      </c>
      <c r="O49" s="62">
        <f>MAX(O37:O48)</f>
        <v>0</v>
      </c>
    </row>
    <row r="50" spans="1:15">
      <c r="A50" s="381"/>
      <c r="B50" s="382"/>
      <c r="C50" s="382"/>
      <c r="D50" s="382"/>
      <c r="E50" s="382"/>
      <c r="F50" s="382"/>
      <c r="G50" s="383"/>
    </row>
    <row r="51" spans="1:15" ht="41.45">
      <c r="A51" s="381"/>
      <c r="B51" s="382"/>
      <c r="C51" s="382"/>
      <c r="D51" s="382"/>
      <c r="E51" s="382"/>
      <c r="F51" s="382"/>
      <c r="G51" s="383"/>
      <c r="J51" s="61">
        <f>+A6</f>
        <v>2022</v>
      </c>
      <c r="K51" s="61" t="s">
        <v>395</v>
      </c>
      <c r="L51" s="67" t="s">
        <v>390</v>
      </c>
      <c r="M51" s="67" t="s">
        <v>396</v>
      </c>
      <c r="N51" s="67" t="s">
        <v>393</v>
      </c>
      <c r="O51" s="67" t="s">
        <v>397</v>
      </c>
    </row>
    <row r="52" spans="1:15">
      <c r="A52" s="384"/>
      <c r="B52" s="385"/>
      <c r="C52" s="385"/>
      <c r="D52" s="385"/>
      <c r="E52" s="385"/>
      <c r="F52" s="385"/>
      <c r="G52" s="386"/>
      <c r="J52" s="375" t="s">
        <v>189</v>
      </c>
      <c r="K52" s="66" t="s">
        <v>398</v>
      </c>
      <c r="L52" s="64"/>
      <c r="M52" s="64"/>
      <c r="N52" s="64"/>
      <c r="O52" s="64"/>
    </row>
    <row r="53" spans="1:15">
      <c r="J53" s="375"/>
      <c r="K53" s="66" t="s">
        <v>399</v>
      </c>
      <c r="L53" s="64"/>
      <c r="M53" s="64"/>
      <c r="N53" s="64"/>
      <c r="O53" s="64"/>
    </row>
    <row r="54" spans="1:15">
      <c r="J54" s="375"/>
      <c r="K54" s="66" t="s">
        <v>400</v>
      </c>
      <c r="L54" s="64"/>
      <c r="M54" s="64"/>
      <c r="N54" s="64"/>
      <c r="O54" s="64"/>
    </row>
    <row r="55" spans="1:15">
      <c r="J55" s="375"/>
      <c r="K55" s="66" t="s">
        <v>402</v>
      </c>
      <c r="L55" s="64"/>
      <c r="M55" s="64"/>
      <c r="N55" s="64"/>
      <c r="O55" s="64"/>
    </row>
    <row r="56" spans="1:15">
      <c r="J56" s="375"/>
      <c r="K56" s="66" t="s">
        <v>404</v>
      </c>
      <c r="L56" s="64"/>
      <c r="M56" s="64"/>
      <c r="N56" s="64"/>
      <c r="O56" s="64"/>
    </row>
    <row r="57" spans="1:15">
      <c r="J57" s="375"/>
      <c r="K57" s="66" t="s">
        <v>405</v>
      </c>
      <c r="L57" s="64"/>
      <c r="M57" s="64"/>
      <c r="N57" s="64"/>
      <c r="O57" s="64"/>
    </row>
    <row r="58" spans="1:15">
      <c r="J58" s="375"/>
      <c r="K58" s="66" t="s">
        <v>406</v>
      </c>
      <c r="L58" s="64"/>
      <c r="M58" s="64"/>
      <c r="N58" s="64"/>
      <c r="O58" s="64"/>
    </row>
    <row r="59" spans="1:15">
      <c r="J59" s="375"/>
      <c r="K59" s="66" t="s">
        <v>408</v>
      </c>
      <c r="L59" s="64"/>
      <c r="M59" s="64"/>
      <c r="N59" s="64"/>
      <c r="O59" s="64"/>
    </row>
    <row r="60" spans="1:15">
      <c r="J60" s="375"/>
      <c r="K60" s="66" t="s">
        <v>409</v>
      </c>
      <c r="L60" s="64"/>
      <c r="M60" s="64"/>
      <c r="N60" s="64"/>
      <c r="O60" s="64"/>
    </row>
    <row r="61" spans="1:15">
      <c r="J61" s="375"/>
      <c r="K61" s="66" t="s">
        <v>410</v>
      </c>
      <c r="L61" s="64"/>
      <c r="M61" s="64"/>
      <c r="N61" s="64"/>
      <c r="O61" s="64"/>
    </row>
    <row r="62" spans="1:15">
      <c r="J62" s="375"/>
      <c r="K62" s="66" t="s">
        <v>411</v>
      </c>
      <c r="L62" s="64"/>
      <c r="M62" s="64"/>
      <c r="N62" s="64"/>
      <c r="O62" s="64"/>
    </row>
    <row r="63" spans="1:15">
      <c r="J63" s="375"/>
      <c r="K63" s="66" t="s">
        <v>412</v>
      </c>
      <c r="L63" s="64"/>
      <c r="M63" s="64"/>
      <c r="N63" s="64"/>
      <c r="O63" s="64"/>
    </row>
    <row r="64" spans="1:15">
      <c r="J64" s="375"/>
      <c r="K64" s="62" t="s">
        <v>413</v>
      </c>
      <c r="L64" s="62" t="e">
        <f>AVERAGE(L52:L63)</f>
        <v>#DIV/0!</v>
      </c>
      <c r="M64" s="62">
        <f>MAX(M52:M63)</f>
        <v>0</v>
      </c>
      <c r="N64" s="62" t="e">
        <f>AVERAGE(N52:N63)</f>
        <v>#DIV/0!</v>
      </c>
      <c r="O64" s="62">
        <f>MAX(O52:O63)</f>
        <v>0</v>
      </c>
    </row>
    <row r="66" spans="10:15" ht="41.45">
      <c r="J66" s="61">
        <f>+A6</f>
        <v>2022</v>
      </c>
      <c r="K66" s="61" t="s">
        <v>395</v>
      </c>
      <c r="L66" s="67" t="s">
        <v>390</v>
      </c>
      <c r="M66" s="67" t="s">
        <v>396</v>
      </c>
      <c r="N66" s="67" t="s">
        <v>393</v>
      </c>
      <c r="O66" s="67" t="s">
        <v>397</v>
      </c>
    </row>
    <row r="67" spans="10:15">
      <c r="J67" s="375" t="s">
        <v>190</v>
      </c>
      <c r="K67" s="66" t="s">
        <v>398</v>
      </c>
      <c r="L67" s="64"/>
      <c r="M67" s="64"/>
      <c r="N67" s="64"/>
      <c r="O67" s="64"/>
    </row>
    <row r="68" spans="10:15">
      <c r="J68" s="375"/>
      <c r="K68" s="66" t="s">
        <v>399</v>
      </c>
      <c r="L68" s="64"/>
      <c r="M68" s="64"/>
      <c r="N68" s="64"/>
      <c r="O68" s="64"/>
    </row>
    <row r="69" spans="10:15">
      <c r="J69" s="375"/>
      <c r="K69" s="66" t="s">
        <v>400</v>
      </c>
      <c r="L69" s="64"/>
      <c r="M69" s="64"/>
      <c r="N69" s="64"/>
      <c r="O69" s="64"/>
    </row>
    <row r="70" spans="10:15">
      <c r="J70" s="375"/>
      <c r="K70" s="66" t="s">
        <v>402</v>
      </c>
      <c r="L70" s="64"/>
      <c r="M70" s="64"/>
      <c r="N70" s="64"/>
      <c r="O70" s="64"/>
    </row>
    <row r="71" spans="10:15">
      <c r="J71" s="375"/>
      <c r="K71" s="66" t="s">
        <v>404</v>
      </c>
      <c r="L71" s="64"/>
      <c r="M71" s="64"/>
      <c r="N71" s="64"/>
      <c r="O71" s="64"/>
    </row>
    <row r="72" spans="10:15">
      <c r="J72" s="375"/>
      <c r="K72" s="66" t="s">
        <v>405</v>
      </c>
      <c r="L72" s="64"/>
      <c r="M72" s="64"/>
      <c r="N72" s="64"/>
      <c r="O72" s="64"/>
    </row>
    <row r="73" spans="10:15">
      <c r="J73" s="375"/>
      <c r="K73" s="66" t="s">
        <v>406</v>
      </c>
      <c r="L73" s="64"/>
      <c r="M73" s="64"/>
      <c r="N73" s="64"/>
      <c r="O73" s="64"/>
    </row>
    <row r="74" spans="10:15">
      <c r="J74" s="375"/>
      <c r="K74" s="66" t="s">
        <v>408</v>
      </c>
      <c r="L74" s="64"/>
      <c r="M74" s="64"/>
      <c r="N74" s="64"/>
      <c r="O74" s="64"/>
    </row>
    <row r="75" spans="10:15">
      <c r="J75" s="375"/>
      <c r="K75" s="66" t="s">
        <v>409</v>
      </c>
      <c r="L75" s="64"/>
      <c r="M75" s="64"/>
      <c r="N75" s="64"/>
      <c r="O75" s="64"/>
    </row>
    <row r="76" spans="10:15">
      <c r="J76" s="375"/>
      <c r="K76" s="66" t="s">
        <v>410</v>
      </c>
      <c r="L76" s="64"/>
      <c r="M76" s="64"/>
      <c r="N76" s="64"/>
      <c r="O76" s="64"/>
    </row>
    <row r="77" spans="10:15">
      <c r="J77" s="375"/>
      <c r="K77" s="66" t="s">
        <v>411</v>
      </c>
      <c r="L77" s="64"/>
      <c r="M77" s="64"/>
      <c r="N77" s="64"/>
      <c r="O77" s="64"/>
    </row>
    <row r="78" spans="10:15">
      <c r="J78" s="375"/>
      <c r="K78" s="66" t="s">
        <v>412</v>
      </c>
      <c r="L78" s="64"/>
      <c r="M78" s="64"/>
      <c r="N78" s="64"/>
      <c r="O78" s="64"/>
    </row>
    <row r="79" spans="10:15">
      <c r="J79" s="375"/>
      <c r="K79" s="62" t="s">
        <v>413</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BA80C3-83F6-42D0-BFBD-E10BCCA5A9DF}"/>
</file>

<file path=customXml/itemProps2.xml><?xml version="1.0" encoding="utf-8"?>
<ds:datastoreItem xmlns:ds="http://schemas.openxmlformats.org/officeDocument/2006/customXml" ds:itemID="{03A65312-EDD8-4ED5-85CD-21EC9D2BFEF5}"/>
</file>

<file path=customXml/itemProps3.xml><?xml version="1.0" encoding="utf-8"?>
<ds:datastoreItem xmlns:ds="http://schemas.openxmlformats.org/officeDocument/2006/customXml" ds:itemID="{BFBB108B-A85F-48A6-A878-09A251E3265F}"/>
</file>

<file path=customXml/itemProps4.xml><?xml version="1.0" encoding="utf-8"?>
<ds:datastoreItem xmlns:ds="http://schemas.openxmlformats.org/officeDocument/2006/customXml" ds:itemID="{130E79B3-286C-4594-AC93-4243D3FE78E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D'Avilar, Emma</cp:lastModifiedBy>
  <cp:revision/>
  <dcterms:created xsi:type="dcterms:W3CDTF">2019-04-02T06:44:55Z</dcterms:created>
  <dcterms:modified xsi:type="dcterms:W3CDTF">2023-04-27T10:40:27Z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