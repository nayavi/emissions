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encyclis-my.sharepoint.com/personal/paula_alvarez_encyclis_com/Documents/Desktop/ROOKERY ERF/Rookery EA  submissions/Annual Report &amp; PI/"/>
    </mc:Choice>
  </mc:AlternateContent>
  <xr:revisionPtr revIDLastSave="39" documentId="13_ncr:1_{94C71BA6-C2A7-4E4E-BAB5-DFC9F1BB8780}" xr6:coauthVersionLast="47" xr6:coauthVersionMax="47" xr10:uidLastSave="{100E53A4-714E-4388-A599-DFC5D6D88EDA}"/>
  <bookViews>
    <workbookView xWindow="-110" yWindow="-110" windowWidth="19420" windowHeight="10420"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N2O'!$A$1:$O$24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Compliance'!$A$1:$J$46</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4" i="6" l="1"/>
  <c r="E24" i="6"/>
  <c r="D24" i="6"/>
  <c r="C24" i="6"/>
  <c r="G18" i="31"/>
  <c r="D18" i="31"/>
  <c r="C18" i="31"/>
  <c r="G53" i="6" l="1"/>
  <c r="G35" i="6" l="1"/>
  <c r="H35" i="6" s="1"/>
  <c r="G25" i="6" l="1"/>
  <c r="D12" i="8" s="1"/>
  <c r="G26" i="6"/>
  <c r="N34" i="13"/>
  <c r="C58" i="6"/>
  <c r="D58" i="6"/>
  <c r="E58" i="6"/>
  <c r="F58" i="6"/>
  <c r="H53" i="6"/>
  <c r="N49" i="31"/>
  <c r="I27" i="24"/>
  <c r="O49" i="31"/>
  <c r="H27" i="24"/>
  <c r="M49" i="30"/>
  <c r="H26" i="24"/>
  <c r="P49" i="30"/>
  <c r="I24" i="24"/>
  <c r="Q49" i="30"/>
  <c r="H24" i="24"/>
  <c r="L49" i="25"/>
  <c r="I23" i="24"/>
  <c r="M49" i="25"/>
  <c r="H23" i="24"/>
  <c r="N49" i="25"/>
  <c r="I22" i="24"/>
  <c r="O49" i="25"/>
  <c r="H22" i="24"/>
  <c r="L49" i="13"/>
  <c r="I21" i="24"/>
  <c r="M49" i="13"/>
  <c r="H21" i="24"/>
  <c r="N49" i="13"/>
  <c r="I20" i="24"/>
  <c r="O49" i="13"/>
  <c r="H20" i="24"/>
  <c r="L49" i="27"/>
  <c r="I19" i="24"/>
  <c r="M49" i="27"/>
  <c r="H19" i="24"/>
  <c r="N49" i="27"/>
  <c r="I18" i="24"/>
  <c r="O49" i="27"/>
  <c r="H18" i="24"/>
  <c r="L49" i="28"/>
  <c r="I17" i="24"/>
  <c r="M49" i="28"/>
  <c r="H17" i="24"/>
  <c r="N49" i="28"/>
  <c r="I16" i="24"/>
  <c r="O49" i="28"/>
  <c r="H16" i="24"/>
  <c r="L49" i="26"/>
  <c r="I15" i="24"/>
  <c r="M49" i="26"/>
  <c r="H15" i="24"/>
  <c r="N49" i="26"/>
  <c r="I14" i="24"/>
  <c r="O49" i="26"/>
  <c r="H14" i="24"/>
  <c r="N34" i="31"/>
  <c r="G27" i="24"/>
  <c r="O34" i="31"/>
  <c r="F27" i="24"/>
  <c r="M34" i="30"/>
  <c r="F26" i="24"/>
  <c r="P34" i="30"/>
  <c r="G24" i="24"/>
  <c r="Q34" i="30"/>
  <c r="F24" i="24"/>
  <c r="L34" i="25"/>
  <c r="G23" i="24"/>
  <c r="M34" i="25"/>
  <c r="F23" i="24"/>
  <c r="N34" i="25"/>
  <c r="G22" i="24"/>
  <c r="O34" i="25"/>
  <c r="F22" i="24"/>
  <c r="L34" i="13"/>
  <c r="G21" i="24"/>
  <c r="M34" i="13"/>
  <c r="F21" i="24"/>
  <c r="G20" i="24"/>
  <c r="F20" i="24"/>
  <c r="M34" i="27"/>
  <c r="F19" i="24"/>
  <c r="L34" i="27"/>
  <c r="G19" i="24"/>
  <c r="N34" i="27"/>
  <c r="G18" i="24"/>
  <c r="O34" i="27"/>
  <c r="F18" i="24"/>
  <c r="L34" i="28"/>
  <c r="G17" i="24"/>
  <c r="M34" i="28"/>
  <c r="F17" i="24"/>
  <c r="N34" i="28"/>
  <c r="G16" i="24"/>
  <c r="O34" i="28"/>
  <c r="F16" i="24"/>
  <c r="L34" i="26"/>
  <c r="G15" i="24"/>
  <c r="M34" i="26"/>
  <c r="F15" i="24"/>
  <c r="N34" i="26"/>
  <c r="G14" i="24"/>
  <c r="O34" i="26"/>
  <c r="F14" i="24"/>
  <c r="N19" i="31"/>
  <c r="E27" i="24"/>
  <c r="O19" i="31"/>
  <c r="D27" i="24"/>
  <c r="M19" i="30"/>
  <c r="D26" i="24"/>
  <c r="P19" i="30"/>
  <c r="E24" i="24"/>
  <c r="Q19" i="30"/>
  <c r="D24" i="24"/>
  <c r="G17" i="31"/>
  <c r="G8" i="31"/>
  <c r="G9" i="31"/>
  <c r="G10" i="31"/>
  <c r="G11" i="31"/>
  <c r="G12" i="31"/>
  <c r="G13" i="31"/>
  <c r="G15" i="31"/>
  <c r="G16" i="31"/>
  <c r="F8" i="31"/>
  <c r="F9" i="31"/>
  <c r="F10" i="31"/>
  <c r="F11" i="31"/>
  <c r="F12" i="31"/>
  <c r="F13" i="31"/>
  <c r="F15" i="31"/>
  <c r="F16" i="31"/>
  <c r="G7" i="31"/>
  <c r="F7" i="31"/>
  <c r="D8" i="31"/>
  <c r="D9" i="31"/>
  <c r="D10" i="31"/>
  <c r="D11" i="31"/>
  <c r="D12" i="31"/>
  <c r="D13" i="31"/>
  <c r="D15" i="31"/>
  <c r="D16" i="31"/>
  <c r="D17" i="31"/>
  <c r="D7" i="31"/>
  <c r="C8" i="31"/>
  <c r="C9" i="31"/>
  <c r="C10" i="31"/>
  <c r="C11" i="31"/>
  <c r="C12" i="31"/>
  <c r="C13" i="31"/>
  <c r="C15" i="31"/>
  <c r="C16" i="31"/>
  <c r="C17" i="31"/>
  <c r="C7" i="31"/>
  <c r="H8" i="30"/>
  <c r="H9" i="30"/>
  <c r="H10" i="30"/>
  <c r="H11" i="30"/>
  <c r="H12" i="30"/>
  <c r="H13" i="30"/>
  <c r="H15" i="30"/>
  <c r="H16" i="30"/>
  <c r="H17" i="30"/>
  <c r="G8" i="30"/>
  <c r="G9" i="30"/>
  <c r="G10" i="30"/>
  <c r="G11" i="30"/>
  <c r="G12" i="30"/>
  <c r="G13" i="30"/>
  <c r="G15" i="30"/>
  <c r="G16" i="30"/>
  <c r="G17" i="30"/>
  <c r="H7" i="30"/>
  <c r="G7" i="30"/>
  <c r="E8" i="30"/>
  <c r="E9" i="30"/>
  <c r="E10" i="30"/>
  <c r="E11" i="30"/>
  <c r="E12" i="30"/>
  <c r="E13" i="30"/>
  <c r="E15" i="30"/>
  <c r="E16" i="30"/>
  <c r="E17" i="30"/>
  <c r="D8" i="30"/>
  <c r="D9" i="30"/>
  <c r="D10" i="30"/>
  <c r="D11" i="30"/>
  <c r="D12" i="30"/>
  <c r="D13" i="30"/>
  <c r="D15" i="30"/>
  <c r="D16" i="30"/>
  <c r="D17" i="30"/>
  <c r="C8" i="30"/>
  <c r="C9" i="30"/>
  <c r="C10" i="30"/>
  <c r="C11" i="30"/>
  <c r="C12" i="30"/>
  <c r="C13" i="30"/>
  <c r="C15" i="30"/>
  <c r="C16" i="30"/>
  <c r="C17" i="30"/>
  <c r="E7" i="30"/>
  <c r="D7" i="30"/>
  <c r="C7" i="30"/>
  <c r="G8" i="28"/>
  <c r="G9" i="28"/>
  <c r="G10" i="28"/>
  <c r="G11" i="28"/>
  <c r="G12" i="28"/>
  <c r="G13" i="28"/>
  <c r="G15" i="28"/>
  <c r="G16" i="28"/>
  <c r="G17" i="28"/>
  <c r="G7" i="28"/>
  <c r="F8" i="28"/>
  <c r="F9" i="28"/>
  <c r="F10" i="28"/>
  <c r="F11" i="28"/>
  <c r="F12" i="28"/>
  <c r="F13" i="28"/>
  <c r="F15" i="28"/>
  <c r="F16" i="28"/>
  <c r="F17" i="28"/>
  <c r="F7" i="28"/>
  <c r="D8" i="28"/>
  <c r="D9" i="28"/>
  <c r="D10" i="28"/>
  <c r="D11" i="28"/>
  <c r="D12" i="28"/>
  <c r="D13" i="28"/>
  <c r="D15" i="28"/>
  <c r="D16" i="28"/>
  <c r="D17" i="28"/>
  <c r="D7" i="28"/>
  <c r="C8" i="28"/>
  <c r="C9" i="28"/>
  <c r="C10" i="28"/>
  <c r="C11" i="28"/>
  <c r="C12" i="28"/>
  <c r="C13" i="28"/>
  <c r="C15" i="28"/>
  <c r="C16" i="28"/>
  <c r="C17" i="28"/>
  <c r="C7" i="28"/>
  <c r="G8" i="27"/>
  <c r="G9" i="27"/>
  <c r="G10" i="27"/>
  <c r="G11" i="27"/>
  <c r="G12" i="27"/>
  <c r="G13" i="27"/>
  <c r="G15" i="27"/>
  <c r="G16" i="27"/>
  <c r="G17" i="27"/>
  <c r="G7" i="27"/>
  <c r="F18" i="27"/>
  <c r="F8" i="27"/>
  <c r="F9" i="27"/>
  <c r="F10" i="27"/>
  <c r="F11" i="27"/>
  <c r="F12" i="27"/>
  <c r="F13" i="27"/>
  <c r="F15" i="27"/>
  <c r="F16" i="27"/>
  <c r="F17" i="27"/>
  <c r="F7" i="27"/>
  <c r="D8" i="27"/>
  <c r="D9" i="27"/>
  <c r="D10" i="27"/>
  <c r="D11" i="27"/>
  <c r="D12" i="27"/>
  <c r="D13" i="27"/>
  <c r="D15" i="27"/>
  <c r="D16" i="27"/>
  <c r="D17" i="27"/>
  <c r="D18" i="27"/>
  <c r="D7" i="27"/>
  <c r="C18" i="27"/>
  <c r="C8" i="27"/>
  <c r="C9" i="27"/>
  <c r="C10" i="27"/>
  <c r="C11" i="27"/>
  <c r="C12" i="27"/>
  <c r="C13" i="27"/>
  <c r="C15" i="27"/>
  <c r="C16" i="27"/>
  <c r="C17" i="27"/>
  <c r="C7" i="27"/>
  <c r="G8" i="26"/>
  <c r="G9" i="26"/>
  <c r="G10" i="26"/>
  <c r="G11" i="26"/>
  <c r="G12" i="26"/>
  <c r="G13" i="26"/>
  <c r="G15" i="26"/>
  <c r="G16" i="26"/>
  <c r="G17" i="26"/>
  <c r="G7" i="26"/>
  <c r="F8" i="26"/>
  <c r="F9" i="26"/>
  <c r="F10" i="26"/>
  <c r="F11" i="26"/>
  <c r="F12" i="26"/>
  <c r="F13" i="26"/>
  <c r="F15" i="26"/>
  <c r="F16" i="26"/>
  <c r="F17" i="26"/>
  <c r="F7" i="26"/>
  <c r="D8" i="26"/>
  <c r="D9" i="26"/>
  <c r="D10" i="26"/>
  <c r="D11" i="26"/>
  <c r="D12" i="26"/>
  <c r="D13" i="26"/>
  <c r="D15" i="26"/>
  <c r="D16" i="26"/>
  <c r="D17" i="26"/>
  <c r="D7" i="26"/>
  <c r="C8" i="26"/>
  <c r="C9" i="26"/>
  <c r="C10" i="26"/>
  <c r="C11" i="26"/>
  <c r="C12" i="26"/>
  <c r="C13" i="26"/>
  <c r="C15" i="26"/>
  <c r="C16" i="26"/>
  <c r="C17" i="26"/>
  <c r="C7" i="26"/>
  <c r="G8" i="25"/>
  <c r="G9" i="25"/>
  <c r="G10" i="25"/>
  <c r="G11" i="25"/>
  <c r="G12" i="25"/>
  <c r="G13" i="25"/>
  <c r="G15" i="25"/>
  <c r="G16" i="25"/>
  <c r="G17" i="25"/>
  <c r="G7" i="25"/>
  <c r="F8" i="25"/>
  <c r="F9" i="25"/>
  <c r="F10" i="25"/>
  <c r="F11" i="25"/>
  <c r="F12" i="25"/>
  <c r="F13" i="25"/>
  <c r="F15" i="25"/>
  <c r="F16" i="25"/>
  <c r="F17" i="25"/>
  <c r="F7" i="25"/>
  <c r="D8" i="25"/>
  <c r="D9" i="25"/>
  <c r="D10" i="25"/>
  <c r="D11" i="25"/>
  <c r="D12" i="25"/>
  <c r="D13" i="25"/>
  <c r="D15" i="25"/>
  <c r="D16" i="25"/>
  <c r="D17" i="25"/>
  <c r="D18" i="25"/>
  <c r="D7" i="25"/>
  <c r="C8" i="25"/>
  <c r="C9" i="25"/>
  <c r="C10" i="25"/>
  <c r="C11" i="25"/>
  <c r="C12" i="25"/>
  <c r="C13" i="25"/>
  <c r="C15" i="25"/>
  <c r="C16" i="25"/>
  <c r="C17" i="25"/>
  <c r="C18" i="25"/>
  <c r="C7" i="25"/>
  <c r="O34" i="13"/>
  <c r="D8" i="13"/>
  <c r="D9" i="13"/>
  <c r="D10" i="13"/>
  <c r="D11" i="13"/>
  <c r="D12" i="13"/>
  <c r="D13" i="13"/>
  <c r="D15" i="13"/>
  <c r="D16" i="13"/>
  <c r="D17" i="13"/>
  <c r="D18" i="13"/>
  <c r="D7" i="13"/>
  <c r="G8" i="13"/>
  <c r="G9" i="13"/>
  <c r="G10" i="13"/>
  <c r="G11" i="13"/>
  <c r="G12" i="13"/>
  <c r="G13" i="13"/>
  <c r="G15" i="13"/>
  <c r="G16" i="13"/>
  <c r="G17" i="13"/>
  <c r="G18" i="13"/>
  <c r="G7" i="13"/>
  <c r="F8" i="13"/>
  <c r="F9" i="13"/>
  <c r="F10" i="13"/>
  <c r="F11" i="13"/>
  <c r="F12" i="13"/>
  <c r="F13" i="13"/>
  <c r="F15" i="13"/>
  <c r="F16" i="13"/>
  <c r="F17" i="13"/>
  <c r="F18" i="13"/>
  <c r="F7" i="13"/>
  <c r="C8" i="13"/>
  <c r="C9" i="13"/>
  <c r="C10" i="13"/>
  <c r="C11" i="13"/>
  <c r="C12" i="13"/>
  <c r="C13" i="13"/>
  <c r="C15" i="13"/>
  <c r="C16" i="13"/>
  <c r="C17" i="13"/>
  <c r="C18" i="13"/>
  <c r="C7" i="13"/>
  <c r="C1" i="32"/>
  <c r="A1" i="32"/>
  <c r="I19" i="7"/>
  <c r="I20" i="7"/>
  <c r="I21" i="7"/>
  <c r="I22" i="7"/>
  <c r="I18" i="7"/>
  <c r="I12" i="7"/>
  <c r="I13" i="7"/>
  <c r="I14" i="7"/>
  <c r="I11" i="7"/>
  <c r="C18" i="6"/>
  <c r="H61" i="6"/>
  <c r="G13" i="6"/>
  <c r="H13" i="6"/>
  <c r="G45" i="6"/>
  <c r="H45" i="6"/>
  <c r="J3" i="31"/>
  <c r="J3" i="30"/>
  <c r="J3" i="29"/>
  <c r="J3" i="28"/>
  <c r="J3" i="27"/>
  <c r="J3" i="26"/>
  <c r="J3" i="25"/>
  <c r="J3" i="13"/>
  <c r="G19" i="6"/>
  <c r="G57" i="6"/>
  <c r="G59" i="6"/>
  <c r="H59" i="6" s="1"/>
  <c r="G65" i="6"/>
  <c r="G64" i="6"/>
  <c r="H64" i="6"/>
  <c r="G63" i="6"/>
  <c r="G61" i="6"/>
  <c r="G54" i="6"/>
  <c r="H54" i="6" s="1"/>
  <c r="G55" i="6"/>
  <c r="H55" i="6" s="1"/>
  <c r="G56" i="6"/>
  <c r="G60" i="6"/>
  <c r="D18" i="6"/>
  <c r="E18" i="6"/>
  <c r="F18" i="6"/>
  <c r="G21" i="6"/>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M49" i="31"/>
  <c r="L49" i="31"/>
  <c r="M34" i="31"/>
  <c r="L34" i="31"/>
  <c r="M19" i="31"/>
  <c r="L19" i="31"/>
  <c r="E8" i="31"/>
  <c r="E9" i="31"/>
  <c r="E10" i="31"/>
  <c r="E11" i="31"/>
  <c r="E12" i="31"/>
  <c r="E13" i="31"/>
  <c r="E14" i="31"/>
  <c r="E15" i="31"/>
  <c r="E16" i="31"/>
  <c r="E17" i="31"/>
  <c r="E18" i="31"/>
  <c r="B8" i="31"/>
  <c r="B9" i="31"/>
  <c r="B10" i="31"/>
  <c r="B11" i="31"/>
  <c r="B12" i="31"/>
  <c r="B13" i="31"/>
  <c r="B14" i="31"/>
  <c r="B15" i="31"/>
  <c r="B16" i="31"/>
  <c r="B17" i="31"/>
  <c r="B18" i="31"/>
  <c r="A6" i="31"/>
  <c r="J51" i="31"/>
  <c r="Q79" i="30"/>
  <c r="P79" i="30"/>
  <c r="O79" i="30"/>
  <c r="M79" i="30"/>
  <c r="Q64" i="30"/>
  <c r="P64" i="30"/>
  <c r="O64" i="30"/>
  <c r="M64" i="30"/>
  <c r="O49" i="30"/>
  <c r="O34" i="30"/>
  <c r="O19" i="30"/>
  <c r="F8" i="30"/>
  <c r="F9" i="30"/>
  <c r="F10" i="30"/>
  <c r="F11" i="30"/>
  <c r="F12" i="30"/>
  <c r="F13" i="30"/>
  <c r="F14" i="30"/>
  <c r="F15" i="30"/>
  <c r="F16" i="30"/>
  <c r="F17" i="30"/>
  <c r="F18" i="30"/>
  <c r="B8" i="30"/>
  <c r="B9" i="30"/>
  <c r="B10" i="30"/>
  <c r="B11" i="30"/>
  <c r="B12" i="30"/>
  <c r="B13" i="30"/>
  <c r="B14" i="30"/>
  <c r="B15" i="30"/>
  <c r="B16" i="30"/>
  <c r="B17" i="30"/>
  <c r="B18" i="30"/>
  <c r="A6" i="30"/>
  <c r="K66" i="30"/>
  <c r="E8" i="29"/>
  <c r="E9" i="29"/>
  <c r="E10" i="29"/>
  <c r="E11" i="29"/>
  <c r="E12" i="29"/>
  <c r="E13" i="29"/>
  <c r="E14" i="29"/>
  <c r="E15" i="29"/>
  <c r="E16" i="29"/>
  <c r="E17" i="29"/>
  <c r="E18" i="29"/>
  <c r="B8" i="29"/>
  <c r="B9" i="29"/>
  <c r="B10" i="29"/>
  <c r="B11" i="29"/>
  <c r="B12" i="29"/>
  <c r="B13" i="29"/>
  <c r="B14" i="29"/>
  <c r="B15" i="29"/>
  <c r="B16" i="29"/>
  <c r="B17" i="29"/>
  <c r="B18" i="29"/>
  <c r="O79" i="29"/>
  <c r="N79" i="29"/>
  <c r="M79" i="29"/>
  <c r="L79" i="29"/>
  <c r="O64" i="29"/>
  <c r="N64" i="29"/>
  <c r="M64" i="29"/>
  <c r="L64" i="29"/>
  <c r="O49" i="29"/>
  <c r="N49" i="29"/>
  <c r="M49" i="29"/>
  <c r="L49" i="29"/>
  <c r="O34" i="29"/>
  <c r="N34" i="29"/>
  <c r="M34" i="29"/>
  <c r="L34" i="29"/>
  <c r="O19" i="29"/>
  <c r="N19" i="29"/>
  <c r="M19" i="29"/>
  <c r="L19" i="29"/>
  <c r="A6" i="29"/>
  <c r="J66" i="29"/>
  <c r="O79" i="28"/>
  <c r="N79" i="28"/>
  <c r="M79" i="28"/>
  <c r="L79" i="28"/>
  <c r="O64" i="28"/>
  <c r="N64" i="28"/>
  <c r="M64" i="28"/>
  <c r="L64" i="28"/>
  <c r="O19" i="28"/>
  <c r="D16" i="24"/>
  <c r="N19" i="28"/>
  <c r="E16" i="24"/>
  <c r="M19" i="28"/>
  <c r="D17" i="24"/>
  <c r="L19" i="28"/>
  <c r="E17" i="24"/>
  <c r="A6" i="28"/>
  <c r="J66" i="28"/>
  <c r="O79" i="27"/>
  <c r="N79" i="27"/>
  <c r="M79" i="27"/>
  <c r="L79" i="27"/>
  <c r="O64" i="27"/>
  <c r="N64" i="27"/>
  <c r="M64" i="27"/>
  <c r="L64" i="27"/>
  <c r="O19" i="27"/>
  <c r="D18" i="24"/>
  <c r="N19" i="27"/>
  <c r="E18" i="24"/>
  <c r="M19" i="27"/>
  <c r="D19" i="24"/>
  <c r="L19" i="27"/>
  <c r="E19" i="24"/>
  <c r="A6" i="27"/>
  <c r="J66" i="27"/>
  <c r="O79" i="26"/>
  <c r="N79" i="26"/>
  <c r="M79" i="26"/>
  <c r="L79" i="26"/>
  <c r="O64" i="26"/>
  <c r="N64" i="26"/>
  <c r="M64" i="26"/>
  <c r="L64" i="26"/>
  <c r="O19" i="26"/>
  <c r="D14" i="24"/>
  <c r="N19" i="26"/>
  <c r="E14" i="24"/>
  <c r="M19" i="26"/>
  <c r="D15" i="24"/>
  <c r="L19" i="26"/>
  <c r="E15" i="24"/>
  <c r="A6" i="26"/>
  <c r="J66" i="26"/>
  <c r="O79" i="25"/>
  <c r="N79" i="25"/>
  <c r="M79" i="25"/>
  <c r="L79" i="25"/>
  <c r="O64" i="25"/>
  <c r="N64" i="25"/>
  <c r="M64" i="25"/>
  <c r="L64" i="25"/>
  <c r="O19" i="25"/>
  <c r="D22" i="24"/>
  <c r="N19" i="25"/>
  <c r="E22" i="24"/>
  <c r="M19" i="25"/>
  <c r="D23" i="24"/>
  <c r="L19" i="25"/>
  <c r="E23" i="24"/>
  <c r="A6" i="25"/>
  <c r="J66" i="25"/>
  <c r="O79" i="13"/>
  <c r="N79" i="13"/>
  <c r="M79" i="13"/>
  <c r="L79" i="13"/>
  <c r="O64" i="13"/>
  <c r="N64" i="13"/>
  <c r="M64" i="13"/>
  <c r="L64" i="13"/>
  <c r="O19" i="13"/>
  <c r="D20" i="24"/>
  <c r="N19" i="13"/>
  <c r="E20" i="24"/>
  <c r="M19" i="13"/>
  <c r="D21" i="24"/>
  <c r="L19" i="13"/>
  <c r="E21" i="24"/>
  <c r="A6" i="13"/>
  <c r="J66" i="13"/>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E28" i="6"/>
  <c r="F28" i="6"/>
  <c r="C28" i="6"/>
  <c r="G7" i="8"/>
  <c r="D7" i="8"/>
  <c r="B5" i="8"/>
  <c r="A3" i="8"/>
  <c r="A1" i="8"/>
  <c r="G23" i="7"/>
  <c r="E23" i="7"/>
  <c r="I23" i="7" s="1"/>
  <c r="G15" i="7"/>
  <c r="E15" i="7"/>
  <c r="B4" i="7"/>
  <c r="A3" i="7"/>
  <c r="A1" i="7"/>
  <c r="A8" i="7"/>
  <c r="H65" i="6"/>
  <c r="H63" i="6"/>
  <c r="G50" i="6"/>
  <c r="G49" i="6"/>
  <c r="G48" i="6"/>
  <c r="G47" i="6"/>
  <c r="G46" i="6"/>
  <c r="E36" i="7" s="1"/>
  <c r="G44" i="6"/>
  <c r="E35" i="7" s="1"/>
  <c r="G43" i="6"/>
  <c r="H43" i="6"/>
  <c r="G42" i="6"/>
  <c r="E34" i="7" s="1"/>
  <c r="H34" i="7" s="1"/>
  <c r="G39" i="6"/>
  <c r="H39" i="6"/>
  <c r="G38" i="6"/>
  <c r="H38" i="6"/>
  <c r="G37" i="6"/>
  <c r="H37" i="6"/>
  <c r="G36" i="6"/>
  <c r="H36" i="6"/>
  <c r="G34" i="6"/>
  <c r="G30" i="6"/>
  <c r="G29" i="6"/>
  <c r="H29" i="6"/>
  <c r="G27" i="6"/>
  <c r="D11" i="8" s="1"/>
  <c r="G24" i="6"/>
  <c r="D10" i="8" s="1"/>
  <c r="G20" i="6"/>
  <c r="H20" i="6"/>
  <c r="G15" i="6"/>
  <c r="H15" i="6"/>
  <c r="G14" i="6"/>
  <c r="G12" i="6"/>
  <c r="H12" i="6"/>
  <c r="G11" i="6"/>
  <c r="G10" i="6"/>
  <c r="G9" i="6"/>
  <c r="G8" i="6"/>
  <c r="D14" i="8"/>
  <c r="H30" i="6"/>
  <c r="G14" i="8" s="1"/>
  <c r="E37" i="7"/>
  <c r="G24" i="7"/>
  <c r="A31" i="7"/>
  <c r="A43" i="7"/>
  <c r="H19" i="6"/>
  <c r="H10" i="6"/>
  <c r="H14" i="6"/>
  <c r="H11" i="6"/>
  <c r="H9" i="6"/>
  <c r="E33" i="7" l="1"/>
  <c r="H33" i="7" s="1"/>
  <c r="H42" i="6"/>
  <c r="G18" i="6"/>
  <c r="H8" i="6" s="1"/>
  <c r="H46" i="6"/>
  <c r="G58" i="6"/>
  <c r="H58" i="6" s="1"/>
  <c r="E24" i="7"/>
  <c r="I24" i="7" s="1"/>
  <c r="I15" i="7"/>
  <c r="D28" i="6"/>
  <c r="G28" i="6"/>
  <c r="H47" i="6"/>
  <c r="H36" i="7"/>
  <c r="H25" i="6"/>
  <c r="G12" i="8" s="1"/>
  <c r="H37" i="7"/>
  <c r="H24" i="6"/>
  <c r="G10" i="8" s="1"/>
  <c r="H48" i="6"/>
  <c r="H44" i="6"/>
  <c r="H34" i="6"/>
  <c r="H35" i="7"/>
  <c r="H27" i="6"/>
  <c r="G11" i="8" s="1"/>
  <c r="H26" i="6"/>
  <c r="H21" i="6" l="1"/>
</calcChain>
</file>

<file path=xl/sharedStrings.xml><?xml version="1.0" encoding="utf-8"?>
<sst xmlns="http://schemas.openxmlformats.org/spreadsheetml/2006/main" count="1770" uniqueCount="484">
  <si>
    <t>Add company logo</t>
  </si>
  <si>
    <t>Version 22.3  30/11/22</t>
  </si>
  <si>
    <t>Add photo</t>
  </si>
  <si>
    <t>Notes:</t>
  </si>
  <si>
    <t>This template may require adjustments by individual operators to meet specific reporting requirements as defined in the site Permit(s)</t>
  </si>
  <si>
    <t>Annual Performance Report 2022</t>
  </si>
  <si>
    <t>Permit EPR/WP3234DY/V002</t>
  </si>
  <si>
    <t>Rookery Pit Energy Recovery Facility</t>
  </si>
  <si>
    <t>other name of facility (if applicable)</t>
  </si>
  <si>
    <t>Encyclis</t>
  </si>
  <si>
    <t>Year:</t>
  </si>
  <si>
    <t>Address:</t>
  </si>
  <si>
    <t>Rookery South, Stewartby, Bedfordshire, MK43 9LY</t>
  </si>
  <si>
    <t xml:space="preserve">Tel: </t>
  </si>
  <si>
    <t xml:space="preserve">Email: </t>
  </si>
  <si>
    <t>paula.alvarez@encyclis.com</t>
  </si>
  <si>
    <t>Prepared by:</t>
  </si>
  <si>
    <t>Paula Alvarez</t>
  </si>
  <si>
    <t>Position:</t>
  </si>
  <si>
    <t>Environmental Manager</t>
  </si>
  <si>
    <t>Approved by:</t>
  </si>
  <si>
    <t>Paddy Kelly</t>
  </si>
  <si>
    <t>Facilily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</si>
  <si>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</si>
  <si>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</si>
  <si>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</si>
  <si>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</si>
  <si>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</si>
  <si>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</si>
  <si>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</si>
  <si>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</si>
  <si>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</si>
  <si>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</si>
  <si>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</si>
  <si>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</si>
  <si>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</si>
  <si>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</si>
  <si>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</si>
  <si>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</si>
  <si>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</si>
  <si>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</si>
  <si>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</si>
  <si>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</si>
  <si>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</si>
  <si>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</si>
  <si>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</si>
  <si>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</si>
  <si>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</si>
  <si>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</si>
  <si>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</si>
  <si>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</si>
  <si>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</si>
  <si>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</si>
  <si>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</si>
  <si>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</si>
  <si>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</si>
  <si>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</si>
  <si>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</si>
  <si>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</si>
  <si>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</si>
  <si>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Furnace technology: Moving Grate
Number of lines:	3
Principal waste type: Municipal waste and commercial &amp; industrial waste 
Permitted plant capacity: 585,000 tonnes per year
Electrical generation capacity: 65 MWe
The installation receives waste in refuse collection vehicles and bulk transfer vehicles. The waste is delivered to the tipping hall where it is tipped into the waste bunker.  Gantry crane grabs are used to homogenise the waste tipped into the bunker and remove any unsuitable or non-combustible items. The grabs transfer waste to one of the three feed hoppers which feed the three moving grate furnaces where the waste is burned. 
Combustion for each line is controlled by feeding primary air through the grate, secondary air is injected above the waste. The furnaces are designed to ensure that the combustion gases are maintained, after the last injection of combustion air, to at least 850 oC for a minimum of two seconds. Combustion air is sourced from the waste reception hall, which keeps the building under negative air pressure (aiding odour control within the waste reception areas).
Emissions to air are via a 105 m high stack (3 flues contained within the single stack) and are minimised by cleaning the waste combustion gases as follows:
•	Oxides of nitrogen (NOx) abated using Selective Non-Catalytic Reduction (SNCR)
•	Acid Gases abated using a lime abatement system
•	Dioxins mercury and volatiles abated using activated carbon injection
•	Particulate matter and metals abated by bag filters
Hot gases from the incineration of waste pass through a series of heat exchangers and superheaters and finally through an economiser. The economiser is used to preheat feedwater before it is supplied to the boiler. The design of the boilers, following a computerised fluid dynamics assessment, ensures that the flue gas temperature is quickly reduced to minimise the risk of dioxin reformation. The steam generated in the boilers feeds a steam turbine which generates electricity. Water for steam generation is sourced from the mains and treated in a demineralisation plant prior to use in the boilers. Steam is condensed in an air cooled condenser and recycled to the boiler. Process waste water is re-used for quenching bottom ash.
Bottom ash is stored in an enclosed area and transferred off-site for processing. 
Air pollution control (APC) residues are stored in silos prior to removal from site in sealed tankers.
Combined Heat and Power (CHP) ready.  Due to take over taking place within the first two weeks of Janaury some data is not available for the first ten days in January 2022.</t>
  </si>
  <si>
    <t xml:space="preserve">Include summary of plant design, design capacity, no. of combustion lines, electrical and heat capacity and any other general information that descibes the facility, its location and purpose </t>
  </si>
  <si>
    <t>Summary of Operational Processes and Procedures</t>
  </si>
  <si>
    <t>add text here, 
(alt enter to make new para)</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</si>
  <si>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</si>
  <si>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</si>
  <si>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</si>
  <si>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</si>
  <si>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</si>
  <si>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</si>
  <si>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</si>
  <si>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</si>
  <si>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</si>
  <si>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</si>
  <si>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</si>
  <si>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</si>
  <si>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</si>
  <si>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</si>
  <si>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</si>
  <si>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</si>
  <si>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</si>
  <si>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</si>
  <si>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</si>
  <si>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</si>
  <si>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</si>
  <si>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</si>
  <si>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</si>
  <si>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</si>
  <si>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</si>
  <si>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</si>
  <si>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</si>
  <si>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</si>
  <si>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</si>
  <si>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</si>
  <si>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</si>
  <si>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</si>
  <si>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</si>
  <si>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</si>
  <si>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</si>
  <si>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</si>
  <si>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</si>
  <si>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</si>
  <si>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</si>
  <si>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</si>
  <si>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</si>
  <si>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</si>
  <si>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</si>
  <si>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Submitted December 2022</t>
  </si>
  <si>
    <t>Waste Disposal &amp; Recovery</t>
  </si>
  <si>
    <t>% inputs</t>
  </si>
  <si>
    <t>APC Residues - produced</t>
  </si>
  <si>
    <t>IBA - produced</t>
  </si>
  <si>
    <t>Metals recycling</t>
  </si>
  <si>
    <t>Other</t>
  </si>
  <si>
    <t>Raw Material Usage</t>
  </si>
  <si>
    <t>kg or Ltr /te</t>
  </si>
  <si>
    <t>Mains Water</t>
  </si>
  <si>
    <t>ltrs</t>
  </si>
  <si>
    <t>Other Water</t>
  </si>
  <si>
    <t>Ammonia</t>
  </si>
  <si>
    <t>kgs</t>
  </si>
  <si>
    <t>Urea</t>
  </si>
  <si>
    <t>.</t>
  </si>
  <si>
    <t>Activated Carbon</t>
  </si>
  <si>
    <t>Lime / hydrated lime</t>
  </si>
  <si>
    <t>Fuel oil</t>
  </si>
  <si>
    <t>Gas</t>
  </si>
  <si>
    <t>cf</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</si>
  <si>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</si>
  <si>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</si>
  <si>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</si>
  <si>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</si>
  <si>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</si>
  <si>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</si>
  <si>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</si>
  <si>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</si>
  <si>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</si>
  <si>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</si>
  <si>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</si>
  <si>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</si>
  <si>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</si>
  <si>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</si>
  <si>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</si>
  <si>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</si>
  <si>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</si>
  <si>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 xml:space="preserve">Following Handover from the EPC contractor in January 2022, Rookery South entered commercial operation with 3 boilers in operation providing steam to the Turbine. Through the year the Steam Turbine has maintained availability and has operated without issue consistently, however during the year, warranty defects have been encountered across the 3 boilers leading to downtime, most significantly in July/August/September due to unexpected movement of HP pipework. Outside of this there have been more isolated periods of downtime due to blockages, unplanned equipment failures and planned shutdowns. </t>
  </si>
  <si>
    <t xml:space="preserve">Include summary of key operational and/or mainteanance activity undertaken in the year, such as any major component upgrades and/or replacements </t>
  </si>
  <si>
    <t>Summary of Residue Handling for the reporting year</t>
  </si>
  <si>
    <t>IBA produced at Rookery ERF has been processed by Johnson aggregates where it is recycled. All IBA samples for 2022 were compliance with the Permit and classified as non-hazardous. The APCr produced at rookery ERF is disposed of by Veolia through a permitted facility.</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</si>
  <si>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</si>
  <si>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</si>
  <si>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</si>
  <si>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</si>
  <si>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</si>
  <si>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</si>
  <si>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</si>
  <si>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</si>
  <si>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</si>
  <si>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</si>
  <si>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</si>
  <si>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</si>
  <si>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</si>
  <si>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</si>
  <si>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</si>
  <si>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</si>
  <si>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D09</t>
  </si>
  <si>
    <t>IBA</t>
  </si>
  <si>
    <t>Total Hazardous Waste</t>
  </si>
  <si>
    <t>2) Non-Hazardous Wastes</t>
  </si>
  <si>
    <t>R05</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</si>
  <si>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</si>
  <si>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</si>
  <si>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</si>
  <si>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</si>
  <si>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</si>
  <si>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</si>
  <si>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</si>
  <si>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</si>
  <si>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</si>
  <si>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</si>
  <si>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</si>
  <si>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</si>
  <si>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</si>
  <si>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</si>
  <si>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</si>
  <si>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</si>
  <si>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</si>
  <si>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</si>
  <si>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</si>
  <si>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</si>
  <si>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</si>
  <si>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</si>
  <si>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</si>
  <si>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</si>
  <si>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</si>
  <si>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</si>
  <si>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</si>
  <si>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</si>
  <si>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</si>
  <si>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3.15 hours</t>
  </si>
  <si>
    <t>3.15 hours dust abnormal operation notifed to the EA through Schedule 5</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</si>
  <si>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</si>
  <si>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</si>
  <si>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</si>
  <si>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</si>
  <si>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</si>
  <si>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</si>
  <si>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</si>
  <si>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</si>
  <si>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</si>
  <si>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</si>
  <si>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</si>
  <si>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</si>
  <si>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</si>
  <si>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</si>
  <si>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</si>
  <si>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</si>
  <si>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</si>
  <si>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</si>
  <si>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</si>
  <si>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</si>
  <si>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</si>
  <si>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</si>
  <si>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</si>
  <si>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</si>
  <si>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</si>
  <si>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xx.xx % or 
98.52% 95% of 10-min averages</t>
  </si>
  <si>
    <t>Total organic carbon</t>
  </si>
  <si>
    <t>Hydrogen chloride</t>
  </si>
  <si>
    <t>Hydrogen fluoride</t>
  </si>
  <si>
    <t>Summary of any notifications or non-compliances under the permit</t>
  </si>
  <si>
    <t>Summary of notification or non-compliance [including Line/Reference]</t>
  </si>
  <si>
    <t xml:space="preserve">Reason </t>
  </si>
  <si>
    <t>Measures taken to prevent reoccurrence</t>
  </si>
  <si>
    <t>3x TOC 1/2hour: the control system communication module AP02 failed. Full plant trip</t>
  </si>
  <si>
    <t>Communication failure. Plant trip</t>
  </si>
  <si>
    <t>Investigation carried out, supplier notified</t>
  </si>
  <si>
    <t>Line 1 TOC 1/2hour exceedance due to gas cylinder detonation</t>
  </si>
  <si>
    <t>waste input( gas cylinder) detonation in boiler</t>
  </si>
  <si>
    <t>continue with current waste management procedures in place</t>
  </si>
  <si>
    <t>L3 1x TOC half hour exceedance due to a detonation</t>
  </si>
  <si>
    <t>L3 fire hooper 6xTOC exceedance ( waste off signal not activated due to burners signal inhibited by fire system)</t>
  </si>
  <si>
    <t>Logic proposal ongoing. Fire system signals investigated</t>
  </si>
  <si>
    <t>8 x CO 10minutes ( Turbine trip and plant trip after reconnecting to UKPN)</t>
  </si>
  <si>
    <t>Plant trip after connecting to UKPN</t>
  </si>
  <si>
    <t>L1 and L2 lost DCS. TOC and CO exceedances</t>
  </si>
  <si>
    <t>Lost DCS</t>
  </si>
  <si>
    <t xml:space="preserve">Detonation L1 TOC breach half hour </t>
  </si>
  <si>
    <t>31/09/22</t>
  </si>
  <si>
    <t>L1 Feed Hopper blockage. Shutdown signal issue, over reporting. Several exceedances ( HCl, TOC, CO)</t>
  </si>
  <si>
    <t>Logic proposal ongoing</t>
  </si>
  <si>
    <t xml:space="preserve">Site wide: Total loss of electrical supplies resulting in a whole-site blackout – Emergency shutdown of all three lines and the turbine. CEMs continued reporting, could not gain shutdown logic parameters. </t>
  </si>
  <si>
    <t xml:space="preserve">Dust spike L3 ( Abnormal operation) </t>
  </si>
  <si>
    <t>Hole in bag filter</t>
  </si>
  <si>
    <t>Continue with current controls in place</t>
  </si>
  <si>
    <t>L2 Feed Chute blockage</t>
  </si>
  <si>
    <t>Summary of any complaints received and actions to taken to resolve them.</t>
  </si>
  <si>
    <t>Summary of complaint [including Line/Reference]</t>
  </si>
  <si>
    <t>Reason *</t>
  </si>
  <si>
    <t xml:space="preserve">Odour </t>
  </si>
  <si>
    <t>Investigation carried out. Complaint unsubstantiated, feedback provided</t>
  </si>
  <si>
    <t>N/A</t>
  </si>
  <si>
    <t>Glass on site entrance path</t>
  </si>
  <si>
    <t>Investigation carried out. Glass cleared. feedback provided</t>
  </si>
  <si>
    <t>Transport in/out of site monitored, no action required.</t>
  </si>
  <si>
    <t>Flies</t>
  </si>
  <si>
    <t>Investigation carried out. feedback provided</t>
  </si>
  <si>
    <t>Pest control contract in place, fumigation ongoing and scheduled for the future.</t>
  </si>
  <si>
    <t>Investigation carried out.  feedback provided</t>
  </si>
  <si>
    <t>Smoke cloud</t>
  </si>
  <si>
    <t>Odour Complaint</t>
  </si>
  <si>
    <t xml:space="preserve">smoke </t>
  </si>
  <si>
    <t>noise</t>
  </si>
  <si>
    <t>Investigation carried out. Noise monitoring for planning purpose ongoing.Complaint unsubstantiated, feedback provided</t>
  </si>
  <si>
    <t>* including whether substantiated by the operator or the EA</t>
  </si>
  <si>
    <t>Summary of Plant Improvements</t>
  </si>
  <si>
    <t>Summary of any efficiency improvements that have been completed within the year.</t>
  </si>
  <si>
    <t>None undertaken</t>
  </si>
  <si>
    <t>Summary of any permit improvement conditions that have been completed within the year and the resulting environmental benefits.</t>
  </si>
  <si>
    <t>All Permit improvements conditions have been submittied within deadlines to the EA</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</si>
  <si>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</si>
  <si>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</si>
  <si>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Potential Heat Network project</t>
  </si>
  <si>
    <t>Details of Public &amp; Stakeholder Liasion</t>
  </si>
  <si>
    <t>Summary of events held during the reporting year.</t>
  </si>
  <si>
    <t>Description</t>
  </si>
  <si>
    <t>17 January 2022
25 April 2022
22 July 2022
17 October 2022</t>
  </si>
  <si>
    <t>Community Liaison meetings</t>
  </si>
  <si>
    <t>List of events planned for next year</t>
  </si>
  <si>
    <t xml:space="preserve">Community Liaison meetings: The next meeting will be held Monday 16 January. Whilst the dates for the following meetings have been set for 2023 they will be held quarterly at around the same dates as 2022: April 2023, July 2023, October 2023.
</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</si>
  <si>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</si>
  <si>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</si>
  <si>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</si>
  <si>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</si>
  <si>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573,088 tonnes </t>
  </si>
  <si>
    <t>Data from CO2 CEMs compliant with BS 14181</t>
  </si>
  <si>
    <t>Annual mass of carbon dioxide released per tonne of waste burned</t>
  </si>
  <si>
    <t xml:space="preserve">1.21 tonnes </t>
  </si>
  <si>
    <t>Tonnes per tonne of waste</t>
  </si>
  <si>
    <t>Annual mass of carbon dioxide released per MWh of energy exported</t>
  </si>
  <si>
    <t xml:space="preserve">1.63 tonnes </t>
  </si>
  <si>
    <t>Tonnes per MWh</t>
  </si>
  <si>
    <t>Description of how annual carbon dioxide mass emission has been calculated</t>
  </si>
  <si>
    <t>Data from %CO2 and flow ( Nm3/hr) CEMs compliant with BS 14181. To convert % concentration to ppm multiply by 10,000 Then to convert ppm to mg/m3 multiply by 1.965 (from RMM of CO2 (44) divided by vol occupied by 1 mol of gas at stp (22.412) So -. (12 +(2*16)/ 22.412)) = 1.965   	
You now have a value in Mg per m3 which you then just multiply by your flow rate. Hours operational from DCS for a total Tonnes in a year</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</si>
  <si>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</si>
  <si>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</si>
  <si>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</si>
  <si>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7.54 tonnes </t>
  </si>
  <si>
    <t>Data from CEMs compliant with BS 14181</t>
  </si>
  <si>
    <t>Description of how annual nitrous oxide mass emission has been calculated</t>
  </si>
  <si>
    <t>Data N2O mg/Nm3 from CEMs compliant with BS14181 as per Pollution Inventory. Multiply by the flow and hours operational from DCS for a total tonnes per year</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</si>
  <si>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</si>
  <si>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</si>
  <si>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580,509 tonnes CO2e</t>
  </si>
  <si>
    <t>2,248.39 TCO2e from N2O</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</si>
  <si>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</si>
  <si>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</si>
  <si>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</si>
  <si>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The National average for residual waste 51.8% has been used as not enough sampling data has been collated to provide a representative figure.</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</si>
  <si>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</si>
  <si>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</si>
  <si>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</si>
  <si>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</si>
  <si>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</si>
  <si>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</si>
  <si>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</si>
  <si>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All IBA samples taken in 2022 have been characterised as non-hazardous</t>
  </si>
  <si>
    <t>All IBA and APCr compliance monitoring has been submitted to the EA as per permit requirements within quarterly submissions</t>
  </si>
  <si>
    <t>Commentary on any specific events</t>
  </si>
  <si>
    <t>Date &amp; Event</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</si>
  <si>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</si>
  <si>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</si>
  <si>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</si>
  <si>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</si>
  <si>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</si>
  <si>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</si>
  <si>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</si>
  <si>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</si>
  <si>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</si>
  <si>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</si>
  <si>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</si>
  <si>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</si>
  <si>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</si>
  <si>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Emissions to Water / Sewer</t>
  </si>
  <si>
    <t>Monitoring Frequency</t>
  </si>
  <si>
    <t>Target</t>
  </si>
  <si>
    <t>Max.</t>
  </si>
  <si>
    <t>Average</t>
  </si>
  <si>
    <t>Summary of monitoring undertaken, standards used and compliance</t>
  </si>
  <si>
    <t>All monitoring techniques and emissions results compliance within the permit requirements</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</si>
  <si>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</si>
  <si>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</si>
  <si>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</si>
  <si>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</si>
  <si>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</si>
  <si>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</si>
  <si>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</si>
  <si>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</si>
  <si>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</si>
  <si>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</si>
  <si>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</si>
  <si>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</si>
  <si>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</si>
  <si>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</si>
  <si>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</si>
  <si>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</si>
  <si>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</si>
  <si>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</si>
  <si>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</si>
  <si>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</si>
  <si>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</si>
  <si>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</si>
  <si>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</si>
  <si>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</si>
  <si>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</si>
  <si>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</si>
  <si>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</si>
  <si>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</si>
  <si>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</si>
  <si>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</si>
  <si>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</si>
  <si>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</si>
  <si>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</si>
  <si>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</si>
  <si>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</si>
  <si>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</si>
  <si>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</si>
  <si>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</si>
  <si>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</si>
  <si>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</si>
  <si>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</si>
  <si>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All CEMs compliant with Permit Requirement BS14181</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</si>
  <si>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</si>
  <si>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</si>
  <si>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</si>
  <si>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</si>
  <si>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</si>
  <si>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</si>
  <si>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</si>
  <si>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</si>
  <si>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</si>
  <si>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</si>
  <si>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</si>
  <si>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</si>
  <si>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</si>
  <si>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</si>
  <si>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</si>
  <si>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</si>
  <si>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</si>
  <si>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</si>
  <si>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</si>
  <si>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</si>
  <si>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</si>
  <si>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</si>
  <si>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</si>
  <si>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</si>
  <si>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</si>
  <si>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</si>
  <si>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</si>
  <si>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</si>
  <si>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</si>
  <si>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</si>
  <si>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</si>
  <si>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</si>
  <si>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</si>
  <si>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</si>
  <si>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</si>
  <si>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</si>
  <si>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</si>
  <si>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</si>
  <si>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</si>
  <si>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</si>
  <si>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</si>
  <si>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</si>
  <si>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</si>
  <si>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</si>
  <si>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</si>
  <si>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</si>
  <si>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</si>
  <si>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</si>
  <si>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</si>
  <si>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</si>
  <si>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</si>
  <si>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</si>
  <si>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off</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</si>
  <si>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</si>
  <si>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</si>
  <si>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</si>
  <si>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</si>
  <si>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</si>
  <si>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</si>
  <si>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</si>
  <si>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</si>
  <si>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</si>
  <si>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</si>
  <si>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</si>
  <si>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</si>
  <si>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</si>
  <si>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</si>
  <si>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Several TOC exceedances are under review pending the approval of a logic change.</t>
  </si>
  <si>
    <t>Monitoring of Particulate matter emissions</t>
  </si>
  <si>
    <t>1/2 hourly PM ELV</t>
  </si>
  <si>
    <t>Daily PM ELV</t>
  </si>
  <si>
    <t xml:space="preserve">CEMs dust analiser used as qualitative as per M20 guidance </t>
  </si>
  <si>
    <t>Monitoring of Carbon Monoxide (half hourly)</t>
  </si>
  <si>
    <t>1/2 hourly CO ELV</t>
  </si>
  <si>
    <t>Daily CO ELV</t>
  </si>
  <si>
    <t>N/A at Rookery ERF</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</si>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</sst>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9">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sz val="11"/>
      <color rgb="FF000000"/>
      <name val="Calibri"/>
      <family val="2"/>
    </font>
    <font>
      <sz val="8"/>
      <name val="Arial"/>
      <family val="2"/>
    </font>
    <font>
      <sz val="11"/>
      <color rgb="FF000000"/>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2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rgb="FF000000"/>
      </left>
      <right/>
      <top style="thin">
        <color rgb="FF000000"/>
      </top>
      <bottom style="thin">
        <color rgb="FF000000"/>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429">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15" fontId="37" fillId="0" borderId="18" xfId="0" applyNumberFormat="1" applyFont="1" applyBorder="1" applyAlignment="1">
      <alignment vertical="center"/>
    </xf>
    <xf numFmtId="15" fontId="37" fillId="0" borderId="5" xfId="0" applyNumberFormat="1" applyFont="1" applyBorder="1" applyAlignment="1">
      <alignment vertical="center"/>
    </xf>
    <xf numFmtId="15" fontId="37" fillId="0" borderId="19" xfId="0" applyNumberFormat="1" applyFont="1" applyBorder="1" applyAlignment="1">
      <alignment vertical="center"/>
    </xf>
    <xf numFmtId="15" fontId="37" fillId="0" borderId="13" xfId="0" applyNumberFormat="1" applyFont="1" applyBorder="1" applyAlignment="1">
      <alignment vertical="center"/>
    </xf>
    <xf numFmtId="15" fontId="37" fillId="0" borderId="5" xfId="0" applyNumberFormat="1" applyFont="1" applyBorder="1" applyAlignment="1">
      <alignment vertical="center" wrapText="1"/>
    </xf>
    <xf numFmtId="0" fontId="1" fillId="5" borderId="2" xfId="0" applyFont="1" applyFill="1" applyBorder="1" applyAlignment="1">
      <alignment horizontal="center" vertical="center" wrapText="1"/>
    </xf>
    <xf numFmtId="2" fontId="6" fillId="5" borderId="2" xfId="0" applyNumberFormat="1" applyFont="1" applyFill="1" applyBorder="1" applyAlignment="1">
      <alignment horizontal="center"/>
    </xf>
    <xf numFmtId="164" fontId="1" fillId="2" borderId="0" xfId="1" applyNumberFormat="1" applyFont="1" applyFill="1" applyAlignment="1">
      <alignment horizontal="center"/>
    </xf>
    <xf numFmtId="0" fontId="1" fillId="0" borderId="0" xfId="0" applyFont="1"/>
    <xf numFmtId="10" fontId="2" fillId="0" borderId="2" xfId="0" applyNumberFormat="1" applyFont="1" applyBorder="1" applyAlignment="1">
      <alignment horizontal="center" vertical="top"/>
    </xf>
    <xf numFmtId="14" fontId="15" fillId="0" borderId="12" xfId="0" applyNumberFormat="1" applyFont="1" applyBorder="1"/>
    <xf numFmtId="14" fontId="36" fillId="0" borderId="12" xfId="0" applyNumberFormat="1" applyFont="1" applyBorder="1" applyAlignment="1">
      <alignment horizontal="center" wrapText="1"/>
    </xf>
    <xf numFmtId="0" fontId="36" fillId="0" borderId="3" xfId="0" applyFont="1" applyBorder="1" applyAlignment="1">
      <alignment horizontal="center" wrapText="1"/>
    </xf>
    <xf numFmtId="14" fontId="36" fillId="0" borderId="3" xfId="0" applyNumberFormat="1" applyFont="1" applyBorder="1" applyAlignment="1">
      <alignment horizontal="center" wrapText="1"/>
    </xf>
    <xf numFmtId="14" fontId="38" fillId="0" borderId="22" xfId="0" applyNumberFormat="1" applyFont="1" applyBorder="1" applyAlignment="1">
      <alignment horizontal="center" wrapText="1"/>
    </xf>
    <xf numFmtId="0" fontId="1" fillId="2" borderId="2" xfId="0" applyFont="1" applyFill="1" applyBorder="1" applyAlignment="1">
      <alignment vertical="center" wrapText="1"/>
    </xf>
    <xf numFmtId="0" fontId="1" fillId="2" borderId="3" xfId="0" applyFont="1" applyFill="1" applyBorder="1" applyAlignment="1">
      <alignment horizontal="left"/>
    </xf>
    <xf numFmtId="0" fontId="1" fillId="2" borderId="2" xfId="0" applyFont="1" applyFill="1" applyBorder="1" applyAlignment="1">
      <alignment horizontal="center" vertical="center" wrapText="1"/>
    </xf>
    <xf numFmtId="0" fontId="1" fillId="2" borderId="2" xfId="0" applyFont="1" applyFill="1" applyBorder="1" applyAlignment="1">
      <alignment horizontal="left"/>
    </xf>
    <xf numFmtId="0" fontId="2" fillId="5" borderId="2" xfId="0" applyFont="1" applyFill="1" applyBorder="1" applyAlignment="1">
      <alignment vertical="top" wrapText="1"/>
    </xf>
    <xf numFmtId="0" fontId="2" fillId="2" borderId="0" xfId="0" applyFont="1" applyFill="1" applyAlignment="1">
      <alignment horizontal="center"/>
    </xf>
    <xf numFmtId="0" fontId="8" fillId="2" borderId="0" xfId="0" applyFont="1" applyFill="1" applyAlignment="1">
      <alignment horizontal="center"/>
    </xf>
    <xf numFmtId="0" fontId="35" fillId="2" borderId="0" xfId="3" applyFill="1" applyAlignment="1">
      <alignment horizontal="center"/>
    </xf>
    <xf numFmtId="0" fontId="22" fillId="0" borderId="0" xfId="0" applyFont="1" applyAlignment="1">
      <alignment horizontal="left" wrapText="1"/>
    </xf>
    <xf numFmtId="0" fontId="2" fillId="2" borderId="0" xfId="0" applyFont="1" applyFill="1" applyAlignment="1">
      <alignment horizontal="center" vertical="center"/>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6" fillId="3" borderId="2" xfId="0" applyFont="1" applyFill="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7" fillId="0" borderId="2" xfId="0" applyFont="1" applyBorder="1" applyAlignment="1">
      <alignment horizontal="left"/>
    </xf>
    <xf numFmtId="0" fontId="1" fillId="2" borderId="6" xfId="0" applyFont="1" applyFill="1" applyBorder="1" applyAlignment="1">
      <alignment horizontal="left" vertical="top" wrapText="1"/>
    </xf>
    <xf numFmtId="0" fontId="12" fillId="0" borderId="0" xfId="0" applyFont="1" applyAlignment="1">
      <alignment horizontal="left" wrapText="1"/>
    </xf>
    <xf numFmtId="0" fontId="12" fillId="0" borderId="0" xfId="0" applyFont="1" applyAlignment="1">
      <alignment horizontal="left" vertical="top" wrapText="1"/>
    </xf>
    <xf numFmtId="0" fontId="1" fillId="0" borderId="6" xfId="0" applyFont="1" applyBorder="1" applyAlignment="1">
      <alignment horizontal="left" vertical="top"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1" fillId="2" borderId="2"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1" fillId="2" borderId="2" xfId="0" applyFont="1" applyFill="1" applyBorder="1" applyAlignment="1">
      <alignment horizontal="left"/>
    </xf>
    <xf numFmtId="0" fontId="1" fillId="2" borderId="3"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1" fillId="2" borderId="2" xfId="0" applyFont="1" applyFill="1" applyBorder="1" applyAlignment="1">
      <alignment horizontal="left" wrapText="1"/>
    </xf>
    <xf numFmtId="0" fontId="10" fillId="0" borderId="7" xfId="0" applyFont="1" applyBorder="1" applyAlignment="1">
      <alignment horizont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7" fillId="0" borderId="5" xfId="0" applyFont="1" applyBorder="1" applyAlignment="1">
      <alignment horizontal="center" vertical="center" wrapText="1"/>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37" fillId="0" borderId="3" xfId="0" applyFont="1" applyBorder="1" applyAlignment="1">
      <alignment horizontal="center" vertical="center"/>
    </xf>
    <xf numFmtId="0" fontId="37" fillId="0" borderId="4" xfId="0" applyFont="1" applyBorder="1" applyAlignment="1">
      <alignment horizontal="center" vertical="center"/>
    </xf>
    <xf numFmtId="0" fontId="37" fillId="0" borderId="5" xfId="0" applyFont="1" applyBorder="1" applyAlignment="1">
      <alignment horizontal="center" vertical="center"/>
    </xf>
    <xf numFmtId="0" fontId="36" fillId="0" borderId="2" xfId="0" applyFont="1" applyBorder="1" applyAlignment="1">
      <alignment horizontal="left" wrapText="1"/>
    </xf>
    <xf numFmtId="0" fontId="10" fillId="0" borderId="2" xfId="0" applyFont="1" applyBorder="1" applyAlignment="1">
      <alignment horizontal="center" vertical="center" wrapText="1"/>
    </xf>
    <xf numFmtId="0" fontId="37" fillId="0" borderId="20" xfId="0" applyFont="1" applyBorder="1" applyAlignment="1">
      <alignment horizontal="center" vertical="center"/>
    </xf>
    <xf numFmtId="0" fontId="37" fillId="0" borderId="21" xfId="0" applyFont="1" applyBorder="1" applyAlignment="1">
      <alignment horizontal="center" vertical="center"/>
    </xf>
    <xf numFmtId="0" fontId="37" fillId="0" borderId="18" xfId="0" applyFont="1" applyBorder="1" applyAlignment="1">
      <alignment horizontal="center" vertical="center"/>
    </xf>
    <xf numFmtId="0" fontId="10" fillId="0" borderId="3" xfId="0" applyFont="1" applyBorder="1" applyAlignment="1">
      <alignment horizontal="center" vertical="center" wrapText="1"/>
    </xf>
    <xf numFmtId="0" fontId="7" fillId="0" borderId="2" xfId="0" applyFont="1" applyBorder="1" applyAlignment="1">
      <alignment horizontal="left" vertical="center" wrapText="1"/>
    </xf>
    <xf numFmtId="10"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0" fontId="1" fillId="2" borderId="3" xfId="0" applyNumberFormat="1" applyFont="1" applyFill="1" applyBorder="1" applyAlignment="1">
      <alignment horizontal="center" vertical="center"/>
    </xf>
    <xf numFmtId="10" fontId="1" fillId="2" borderId="4" xfId="0" applyNumberFormat="1" applyFont="1" applyFill="1" applyBorder="1" applyAlignment="1">
      <alignment horizontal="center" vertical="center"/>
    </xf>
    <xf numFmtId="10" fontId="1" fillId="2" borderId="5" xfId="0" applyNumberFormat="1"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38" fillId="0" borderId="2" xfId="0" applyFont="1" applyBorder="1" applyAlignment="1">
      <alignment wrapText="1"/>
    </xf>
    <xf numFmtId="0" fontId="38" fillId="0" borderId="2" xfId="0" applyFont="1" applyBorder="1" applyAlignment="1">
      <alignment horizontal="left"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 fillId="2" borderId="6" xfId="0" applyFont="1" applyFill="1" applyBorder="1" applyAlignment="1">
      <alignment horizontal="left" vertical="top"/>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1" fillId="3" borderId="6" xfId="0" applyFont="1" applyFill="1" applyBorder="1" applyAlignment="1">
      <alignment horizontal="center" vertical="top"/>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3" borderId="6" xfId="0" applyFont="1" applyFill="1" applyBorder="1" applyAlignment="1">
      <alignment horizontal="left" vertical="top" wrapText="1"/>
    </xf>
    <xf numFmtId="0" fontId="1" fillId="3" borderId="8" xfId="0" applyFont="1" applyFill="1" applyBorder="1" applyAlignment="1">
      <alignment horizontal="left" vertical="top" wrapText="1"/>
    </xf>
    <xf numFmtId="0" fontId="1" fillId="3" borderId="9" xfId="0" applyFont="1" applyFill="1" applyBorder="1" applyAlignment="1">
      <alignment horizontal="left" vertical="top" wrapText="1"/>
    </xf>
    <xf numFmtId="0" fontId="1" fillId="3" borderId="10" xfId="0" applyFont="1" applyFill="1" applyBorder="1" applyAlignment="1">
      <alignment horizontal="left" vertical="top" wrapText="1"/>
    </xf>
    <xf numFmtId="0" fontId="1" fillId="3" borderId="11" xfId="0" applyFont="1" applyFill="1" applyBorder="1" applyAlignment="1">
      <alignment horizontal="left" vertical="top" wrapText="1"/>
    </xf>
    <xf numFmtId="0" fontId="1" fillId="3" borderId="13" xfId="0" applyFont="1" applyFill="1" applyBorder="1" applyAlignment="1">
      <alignment horizontal="left" vertical="top"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6" fillId="2" borderId="2" xfId="0" applyFont="1" applyFill="1" applyBorder="1" applyAlignment="1">
      <alignment horizontal="left" vertical="top"/>
    </xf>
    <xf numFmtId="0" fontId="10" fillId="3" borderId="2" xfId="0" applyFont="1" applyFill="1" applyBorder="1" applyAlignment="1">
      <alignment horizontal="left" vertical="center" wrapText="1"/>
    </xf>
    <xf numFmtId="0" fontId="1" fillId="5" borderId="2" xfId="0" applyFont="1" applyFill="1" applyBorder="1" applyAlignment="1">
      <alignment horizontal="center" vertical="center" wrapText="1"/>
    </xf>
    <xf numFmtId="0" fontId="18" fillId="0" borderId="2" xfId="0" applyFont="1" applyBorder="1" applyAlignment="1">
      <alignment horizontal="left" vertical="center" wrapText="1"/>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23" fillId="0" borderId="0" xfId="0" applyFont="1" applyAlignment="1">
      <alignment horizontal="left" vertical="top" wrapText="1"/>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17" fontId="2" fillId="0" borderId="0" xfId="0" applyNumberFormat="1" applyFont="1"/>
    <xf numFmtId="0" fontId="2" fillId="2" borderId="0" xfId="0" applyFont="1" applyFill="1"/>
    <xf numFmtId="0" fontId="2" fillId="0" borderId="0" xfId="0" applyFont="1" applyAlignment="1">
      <alignment horizontal="left"/>
    </xf>
    <xf numFmtId="14" fontId="2" fillId="2" borderId="0" xfId="0" applyNumberFormat="1" applyFont="1" applyFill="1" applyAlignment="1">
      <alignment horizontal="center"/>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1" fillId="2" borderId="2" xfId="0" applyFont="1" applyFill="1" applyBorder="1" applyAlignment="1">
      <alignment horizontal="left" vertical="top"/>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0" borderId="10" xfId="0" applyNumberFormat="1" applyFont="1" applyBorder="1" applyAlignment="1">
      <alignment horizontal="center"/>
    </xf>
    <xf numFmtId="0" fontId="1" fillId="0" borderId="0" xfId="0" applyFont="1" applyAlignment="1">
      <alignment horizontal="center" vertic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166" fontId="1" fillId="2" borderId="12" xfId="0" applyNumberFormat="1" applyFont="1" applyFill="1" applyBorder="1"/>
    <xf numFmtId="166" fontId="1" fillId="0" borderId="12" xfId="0" applyNumberFormat="1" applyFont="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165" fontId="1" fillId="0" borderId="10" xfId="2" quotePrefix="1" applyNumberFormat="1" applyFont="1" applyBorder="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2" fillId="2" borderId="2" xfId="0" applyFont="1" applyFill="1" applyBorder="1"/>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0" fontId="1" fillId="0" borderId="2" xfId="0" applyFont="1" applyBorder="1" applyAlignment="1">
      <alignment horizontal="left"/>
    </xf>
    <xf numFmtId="0" fontId="1" fillId="2" borderId="2" xfId="0" applyFont="1" applyFill="1" applyBorder="1" applyAlignment="1">
      <alignment horizontal="left" vertical="top" wrapText="1"/>
    </xf>
    <xf numFmtId="0" fontId="1" fillId="2" borderId="3" xfId="0" applyFont="1" applyFill="1" applyBorder="1" applyAlignment="1">
      <alignment horizontal="left"/>
    </xf>
    <xf numFmtId="0" fontId="1" fillId="2" borderId="4" xfId="0" applyFont="1" applyFill="1" applyBorder="1" applyAlignment="1">
      <alignment horizontal="left"/>
    </xf>
    <xf numFmtId="0" fontId="1" fillId="2" borderId="5" xfId="0" applyFont="1" applyFill="1" applyBorder="1" applyAlignment="1">
      <alignment horizontal="left"/>
    </xf>
    <xf numFmtId="0" fontId="1" fillId="2" borderId="3" xfId="0" applyFont="1" applyFill="1" applyBorder="1"/>
    <xf numFmtId="0" fontId="1" fillId="2" borderId="4" xfId="0" applyFont="1" applyFill="1" applyBorder="1"/>
    <xf numFmtId="0" fontId="1" fillId="2" borderId="5" xfId="0" applyFont="1" applyFill="1" applyBorder="1"/>
    <xf numFmtId="0" fontId="1" fillId="2" borderId="2" xfId="0" applyFont="1" applyFill="1" applyBorder="1"/>
    <xf numFmtId="0" fontId="1" fillId="2" borderId="0" xfId="0" applyFont="1" applyFill="1" applyAlignment="1">
      <alignment horizontal="left"/>
    </xf>
    <xf numFmtId="0" fontId="1" fillId="3" borderId="7" xfId="0" applyFont="1" applyFill="1" applyBorder="1" applyAlignment="1">
      <alignment horizontal="center" vertical="top"/>
    </xf>
    <xf numFmtId="0" fontId="1" fillId="3" borderId="8" xfId="0" applyFont="1" applyFill="1" applyBorder="1" applyAlignment="1">
      <alignment horizontal="center" vertical="top"/>
    </xf>
    <xf numFmtId="0" fontId="1" fillId="3" borderId="9" xfId="0" applyFont="1" applyFill="1" applyBorder="1" applyAlignment="1">
      <alignment horizontal="center" vertical="top"/>
    </xf>
    <xf numFmtId="0" fontId="1" fillId="3" borderId="0" xfId="0" applyFont="1" applyFill="1" applyAlignment="1">
      <alignment horizontal="center" vertical="top"/>
    </xf>
    <xf numFmtId="0" fontId="1" fillId="3" borderId="10" xfId="0" applyFont="1" applyFill="1" applyBorder="1" applyAlignment="1">
      <alignment horizontal="center" vertical="top"/>
    </xf>
    <xf numFmtId="0" fontId="1" fillId="3" borderId="11" xfId="0" applyFont="1" applyFill="1" applyBorder="1" applyAlignment="1">
      <alignment horizontal="center" vertical="top"/>
    </xf>
    <xf numFmtId="0" fontId="1" fillId="3" borderId="12" xfId="0" applyFont="1" applyFill="1" applyBorder="1" applyAlignment="1">
      <alignment horizontal="center" vertical="top"/>
    </xf>
    <xf numFmtId="0" fontId="1" fillId="3" borderId="13" xfId="0" applyFont="1" applyFill="1" applyBorder="1" applyAlignment="1">
      <alignment horizontal="center" vertical="top"/>
    </xf>
    <xf numFmtId="9" fontId="1" fillId="0" borderId="2" xfId="0" applyNumberFormat="1" applyFont="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0" fontId="1"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1.4000000000000001</c:v>
                </c:pt>
                <c:pt idx="1">
                  <c:v>1.3333333333333333</c:v>
                </c:pt>
                <c:pt idx="2">
                  <c:v>1.0333333333333334</c:v>
                </c:pt>
                <c:pt idx="3">
                  <c:v>2.3333333333333335</c:v>
                </c:pt>
                <c:pt idx="4">
                  <c:v>2.2666666666666671</c:v>
                </c:pt>
                <c:pt idx="5">
                  <c:v>2.3666666666666667</c:v>
                </c:pt>
                <c:pt idx="6">
                  <c:v>2.7666666666666671</c:v>
                </c:pt>
                <c:pt idx="7">
                  <c:v>0</c:v>
                </c:pt>
                <c:pt idx="8">
                  <c:v>2.9666666666666663</c:v>
                </c:pt>
                <c:pt idx="9">
                  <c:v>2.9333333333333336</c:v>
                </c:pt>
                <c:pt idx="10">
                  <c:v>3.0666666666666664</c:v>
                </c:pt>
                <c:pt idx="11">
                  <c:v>2.4333333333333336</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5.5</c:v>
                </c:pt>
                <c:pt idx="1">
                  <c:v>6.9</c:v>
                </c:pt>
                <c:pt idx="2">
                  <c:v>7.9</c:v>
                </c:pt>
                <c:pt idx="3">
                  <c:v>7.3</c:v>
                </c:pt>
                <c:pt idx="4">
                  <c:v>32.700000000000003</c:v>
                </c:pt>
                <c:pt idx="5">
                  <c:v>8.4</c:v>
                </c:pt>
                <c:pt idx="6">
                  <c:v>34</c:v>
                </c:pt>
                <c:pt idx="7">
                  <c:v>0</c:v>
                </c:pt>
                <c:pt idx="8">
                  <c:v>9.3000000000000007</c:v>
                </c:pt>
                <c:pt idx="9">
                  <c:v>8.9</c:v>
                </c:pt>
                <c:pt idx="10">
                  <c:v>21</c:v>
                </c:pt>
                <c:pt idx="11">
                  <c:v>9.6999999999999993</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1.4000000000000001</c:v>
                </c:pt>
                <c:pt idx="1">
                  <c:v>1.3333333333333333</c:v>
                </c:pt>
                <c:pt idx="2">
                  <c:v>0.93333333333333324</c:v>
                </c:pt>
                <c:pt idx="3">
                  <c:v>2.3000000000000003</c:v>
                </c:pt>
                <c:pt idx="4">
                  <c:v>2.1999999999999997</c:v>
                </c:pt>
                <c:pt idx="5">
                  <c:v>2.3333333333333335</c:v>
                </c:pt>
                <c:pt idx="6">
                  <c:v>2.7333333333333329</c:v>
                </c:pt>
                <c:pt idx="7">
                  <c:v>0</c:v>
                </c:pt>
                <c:pt idx="8">
                  <c:v>2.9</c:v>
                </c:pt>
                <c:pt idx="9">
                  <c:v>2.9333333333333336</c:v>
                </c:pt>
                <c:pt idx="10">
                  <c:v>3.0666666666666664</c:v>
                </c:pt>
                <c:pt idx="11" formatCode="General">
                  <c:v>2.4</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2.8</c:v>
                </c:pt>
                <c:pt idx="1">
                  <c:v>2.9</c:v>
                </c:pt>
                <c:pt idx="2">
                  <c:v>2.9</c:v>
                </c:pt>
                <c:pt idx="3">
                  <c:v>3.9</c:v>
                </c:pt>
                <c:pt idx="4">
                  <c:v>4.0999999999999996</c:v>
                </c:pt>
                <c:pt idx="5">
                  <c:v>4</c:v>
                </c:pt>
                <c:pt idx="6">
                  <c:v>5.7</c:v>
                </c:pt>
                <c:pt idx="7">
                  <c:v>0</c:v>
                </c:pt>
                <c:pt idx="8">
                  <c:v>5.9</c:v>
                </c:pt>
                <c:pt idx="9">
                  <c:v>4.5999999999999996</c:v>
                </c:pt>
                <c:pt idx="10">
                  <c:v>5.5</c:v>
                </c:pt>
                <c:pt idx="11">
                  <c:v>5.7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0.00</c:formatCode>
                <c:ptCount val="12"/>
                <c:pt idx="0">
                  <c:v>5.8999999999999995</c:v>
                </c:pt>
                <c:pt idx="1">
                  <c:v>6.6333333333333329</c:v>
                </c:pt>
                <c:pt idx="2">
                  <c:v>5.7666666666666657</c:v>
                </c:pt>
                <c:pt idx="3">
                  <c:v>5.0666666666666664</c:v>
                </c:pt>
                <c:pt idx="4">
                  <c:v>4.5666666666666664</c:v>
                </c:pt>
                <c:pt idx="5">
                  <c:v>4.333333333333333</c:v>
                </c:pt>
                <c:pt idx="6">
                  <c:v>3.7333333333333329</c:v>
                </c:pt>
                <c:pt idx="7">
                  <c:v>0</c:v>
                </c:pt>
                <c:pt idx="8">
                  <c:v>5.6333333333333337</c:v>
                </c:pt>
                <c:pt idx="9">
                  <c:v>5.0666666666666664</c:v>
                </c:pt>
                <c:pt idx="10">
                  <c:v>5.0000000000000009</c:v>
                </c:pt>
                <c:pt idx="11">
                  <c:v>4.833333333333333</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68.8</c:v>
                </c:pt>
                <c:pt idx="1">
                  <c:v>42.2</c:v>
                </c:pt>
                <c:pt idx="2">
                  <c:v>79.2</c:v>
                </c:pt>
                <c:pt idx="3">
                  <c:v>50.8</c:v>
                </c:pt>
                <c:pt idx="4">
                  <c:v>43.6</c:v>
                </c:pt>
                <c:pt idx="5">
                  <c:v>54.1</c:v>
                </c:pt>
                <c:pt idx="6">
                  <c:v>68.8</c:v>
                </c:pt>
                <c:pt idx="7" formatCode="0.00">
                  <c:v>0</c:v>
                </c:pt>
                <c:pt idx="8">
                  <c:v>38.299999999999997</c:v>
                </c:pt>
                <c:pt idx="9">
                  <c:v>49.1</c:v>
                </c:pt>
                <c:pt idx="10">
                  <c:v>52.2</c:v>
                </c:pt>
                <c:pt idx="11">
                  <c:v>121</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5.8999999999999995</c:v>
                </c:pt>
                <c:pt idx="1">
                  <c:v>6.666666666666667</c:v>
                </c:pt>
                <c:pt idx="2">
                  <c:v>5.7333333333333334</c:v>
                </c:pt>
                <c:pt idx="3">
                  <c:v>4.9666666666666668</c:v>
                </c:pt>
                <c:pt idx="4">
                  <c:v>4.4666666666666668</c:v>
                </c:pt>
                <c:pt idx="5">
                  <c:v>4.2666666666666666</c:v>
                </c:pt>
                <c:pt idx="6">
                  <c:v>3.6333333333333333</c:v>
                </c:pt>
                <c:pt idx="7">
                  <c:v>0</c:v>
                </c:pt>
                <c:pt idx="8">
                  <c:v>5.6000000000000005</c:v>
                </c:pt>
                <c:pt idx="9">
                  <c:v>5.0333333333333332</c:v>
                </c:pt>
                <c:pt idx="10">
                  <c:v>5.0333333333333332</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12.5</c:v>
                </c:pt>
                <c:pt idx="1">
                  <c:v>20.8</c:v>
                </c:pt>
                <c:pt idx="2">
                  <c:v>16.600000000000001</c:v>
                </c:pt>
                <c:pt idx="3">
                  <c:v>15.6</c:v>
                </c:pt>
                <c:pt idx="4">
                  <c:v>9.9</c:v>
                </c:pt>
                <c:pt idx="5">
                  <c:v>9.5</c:v>
                </c:pt>
                <c:pt idx="6">
                  <c:v>8</c:v>
                </c:pt>
                <c:pt idx="7" formatCode="0.00">
                  <c:v>0</c:v>
                </c:pt>
                <c:pt idx="8">
                  <c:v>16</c:v>
                </c:pt>
                <c:pt idx="9">
                  <c:v>11.2</c:v>
                </c:pt>
                <c:pt idx="10">
                  <c:v>10.1</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0.00</c:formatCode>
                <c:ptCount val="12"/>
                <c:pt idx="0">
                  <c:v>159.13333333333333</c:v>
                </c:pt>
                <c:pt idx="1">
                  <c:v>158.63333333333333</c:v>
                </c:pt>
                <c:pt idx="2">
                  <c:v>159.5</c:v>
                </c:pt>
                <c:pt idx="3">
                  <c:v>159.83333333333334</c:v>
                </c:pt>
                <c:pt idx="4">
                  <c:v>160.16666666666669</c:v>
                </c:pt>
                <c:pt idx="5">
                  <c:v>162.96666666666667</c:v>
                </c:pt>
                <c:pt idx="6">
                  <c:v>189.80000000000004</c:v>
                </c:pt>
                <c:pt idx="7">
                  <c:v>0</c:v>
                </c:pt>
                <c:pt idx="8">
                  <c:v>189.19999999999996</c:v>
                </c:pt>
                <c:pt idx="9">
                  <c:v>189.73333333333332</c:v>
                </c:pt>
                <c:pt idx="10">
                  <c:v>189.29999999999998</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228</c:v>
                </c:pt>
                <c:pt idx="1">
                  <c:v>231.3</c:v>
                </c:pt>
                <c:pt idx="2">
                  <c:v>236.1</c:v>
                </c:pt>
                <c:pt idx="3">
                  <c:v>215.5</c:v>
                </c:pt>
                <c:pt idx="4">
                  <c:v>252.7</c:v>
                </c:pt>
                <c:pt idx="5">
                  <c:v>254.8</c:v>
                </c:pt>
                <c:pt idx="6">
                  <c:v>232.8</c:v>
                </c:pt>
                <c:pt idx="7">
                  <c:v>0</c:v>
                </c:pt>
                <c:pt idx="8">
                  <c:v>236</c:v>
                </c:pt>
                <c:pt idx="9">
                  <c:v>228.6</c:v>
                </c:pt>
                <c:pt idx="10">
                  <c:v>259.7</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159.1</c:v>
                </c:pt>
                <c:pt idx="1">
                  <c:v>158.53333333333333</c:v>
                </c:pt>
                <c:pt idx="2">
                  <c:v>159.43333333333334</c:v>
                </c:pt>
                <c:pt idx="3">
                  <c:v>159.76666666666665</c:v>
                </c:pt>
                <c:pt idx="4">
                  <c:v>160.33333333333334</c:v>
                </c:pt>
                <c:pt idx="5">
                  <c:v>163.06666666666666</c:v>
                </c:pt>
                <c:pt idx="6">
                  <c:v>189.83333333333334</c:v>
                </c:pt>
                <c:pt idx="7" formatCode="General">
                  <c:v>0</c:v>
                </c:pt>
                <c:pt idx="8">
                  <c:v>189.43333333333331</c:v>
                </c:pt>
                <c:pt idx="9">
                  <c:v>189.73333333333332</c:v>
                </c:pt>
                <c:pt idx="10">
                  <c:v>189.29999999999998</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162.5</c:v>
                </c:pt>
                <c:pt idx="1">
                  <c:v>162.69999999999999</c:v>
                </c:pt>
                <c:pt idx="2">
                  <c:v>161.80000000000001</c:v>
                </c:pt>
                <c:pt idx="3">
                  <c:v>163.1</c:v>
                </c:pt>
                <c:pt idx="4">
                  <c:v>164.7</c:v>
                </c:pt>
                <c:pt idx="5">
                  <c:v>195.1</c:v>
                </c:pt>
                <c:pt idx="6">
                  <c:v>191</c:v>
                </c:pt>
                <c:pt idx="7">
                  <c:v>0</c:v>
                </c:pt>
                <c:pt idx="8">
                  <c:v>191.5</c:v>
                </c:pt>
                <c:pt idx="9">
                  <c:v>192.2</c:v>
                </c:pt>
                <c:pt idx="10">
                  <c:v>190.9</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0.40000000000000008</c:v>
                </c:pt>
                <c:pt idx="1">
                  <c:v>0.43333333333333335</c:v>
                </c:pt>
                <c:pt idx="2">
                  <c:v>0.3666666666666667</c:v>
                </c:pt>
                <c:pt idx="3">
                  <c:v>0.3</c:v>
                </c:pt>
                <c:pt idx="4">
                  <c:v>0.43333333333333329</c:v>
                </c:pt>
                <c:pt idx="5">
                  <c:v>0.3</c:v>
                </c:pt>
                <c:pt idx="6">
                  <c:v>0.3666666666666667</c:v>
                </c:pt>
                <c:pt idx="7">
                  <c:v>0</c:v>
                </c:pt>
                <c:pt idx="8">
                  <c:v>0.3</c:v>
                </c:pt>
                <c:pt idx="9">
                  <c:v>0.26666666666666666</c:v>
                </c:pt>
                <c:pt idx="10">
                  <c:v>0.46666666666666662</c:v>
                </c:pt>
                <c:pt idx="11" formatCode="General">
                  <c:v>0.23333333333333331</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63.9</c:v>
                </c:pt>
                <c:pt idx="1">
                  <c:v>84.5</c:v>
                </c:pt>
                <c:pt idx="2">
                  <c:v>11.7</c:v>
                </c:pt>
                <c:pt idx="3">
                  <c:v>139</c:v>
                </c:pt>
                <c:pt idx="4">
                  <c:v>127.9</c:v>
                </c:pt>
                <c:pt idx="5">
                  <c:v>8.6</c:v>
                </c:pt>
                <c:pt idx="6">
                  <c:v>109.5</c:v>
                </c:pt>
                <c:pt idx="7">
                  <c:v>0</c:v>
                </c:pt>
                <c:pt idx="8">
                  <c:v>97.1</c:v>
                </c:pt>
                <c:pt idx="9">
                  <c:v>16.899999999999999</c:v>
                </c:pt>
                <c:pt idx="10">
                  <c:v>225.9</c:v>
                </c:pt>
                <c:pt idx="11">
                  <c:v>72.900000000000006</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0.3666666666666667</c:v>
                </c:pt>
                <c:pt idx="1">
                  <c:v>0.33333333333333331</c:v>
                </c:pt>
                <c:pt idx="2">
                  <c:v>0.3</c:v>
                </c:pt>
                <c:pt idx="3">
                  <c:v>0.3</c:v>
                </c:pt>
                <c:pt idx="4">
                  <c:v>0.26666666666666666</c:v>
                </c:pt>
                <c:pt idx="5">
                  <c:v>0.26666666666666666</c:v>
                </c:pt>
                <c:pt idx="6">
                  <c:v>0.23333333333333331</c:v>
                </c:pt>
                <c:pt idx="7">
                  <c:v>0</c:v>
                </c:pt>
                <c:pt idx="8">
                  <c:v>0.26666666666666666</c:v>
                </c:pt>
                <c:pt idx="9">
                  <c:v>0.26666666666666666</c:v>
                </c:pt>
                <c:pt idx="10">
                  <c:v>0.43333333333333335</c:v>
                </c:pt>
                <c:pt idx="11">
                  <c:v>0.20000000000000004</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1.8</c:v>
                </c:pt>
                <c:pt idx="1">
                  <c:v>2.7</c:v>
                </c:pt>
                <c:pt idx="2">
                  <c:v>0.6</c:v>
                </c:pt>
                <c:pt idx="3">
                  <c:v>3.2</c:v>
                </c:pt>
                <c:pt idx="4">
                  <c:v>0.5</c:v>
                </c:pt>
                <c:pt idx="5">
                  <c:v>0.5</c:v>
                </c:pt>
                <c:pt idx="6">
                  <c:v>0.5</c:v>
                </c:pt>
                <c:pt idx="7">
                  <c:v>0</c:v>
                </c:pt>
                <c:pt idx="8">
                  <c:v>2.2000000000000002</c:v>
                </c:pt>
                <c:pt idx="9">
                  <c:v>0.6</c:v>
                </c:pt>
                <c:pt idx="10">
                  <c:v>14.3</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0.00</c:formatCode>
                <c:ptCount val="12"/>
                <c:pt idx="0">
                  <c:v>0</c:v>
                </c:pt>
                <c:pt idx="1">
                  <c:v>0</c:v>
                </c:pt>
                <c:pt idx="2">
                  <c:v>0.16666666666666666</c:v>
                </c:pt>
                <c:pt idx="3">
                  <c:v>0.46666666666666662</c:v>
                </c:pt>
                <c:pt idx="4">
                  <c:v>0.3</c:v>
                </c:pt>
                <c:pt idx="5">
                  <c:v>0.19999999999999998</c:v>
                </c:pt>
                <c:pt idx="6">
                  <c:v>0.3</c:v>
                </c:pt>
                <c:pt idx="7">
                  <c:v>0</c:v>
                </c:pt>
                <c:pt idx="8">
                  <c:v>3.3333333333333333E-2</c:v>
                </c:pt>
                <c:pt idx="9">
                  <c:v>0</c:v>
                </c:pt>
                <c:pt idx="10">
                  <c:v>6.6666666666666666E-2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0.3</c:v>
                </c:pt>
                <c:pt idx="1">
                  <c:v>0.3</c:v>
                </c:pt>
                <c:pt idx="2">
                  <c:v>3.5</c:v>
                </c:pt>
                <c:pt idx="3">
                  <c:v>17.2</c:v>
                </c:pt>
                <c:pt idx="4">
                  <c:v>2.4</c:v>
                </c:pt>
                <c:pt idx="5">
                  <c:v>1.6</c:v>
                </c:pt>
                <c:pt idx="6">
                  <c:v>2.1</c:v>
                </c:pt>
                <c:pt idx="7">
                  <c:v>0</c:v>
                </c:pt>
                <c:pt idx="8">
                  <c:v>0.7</c:v>
                </c:pt>
                <c:pt idx="9">
                  <c:v>3.4</c:v>
                </c:pt>
                <c:pt idx="10">
                  <c:v>0.6</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0</c:v>
                </c:pt>
                <c:pt idx="1">
                  <c:v>0</c:v>
                </c:pt>
                <c:pt idx="2">
                  <c:v>0.10000000000000002</c:v>
                </c:pt>
                <c:pt idx="3">
                  <c:v>0.43333333333333329</c:v>
                </c:pt>
                <c:pt idx="4">
                  <c:v>0.3</c:v>
                </c:pt>
                <c:pt idx="5">
                  <c:v>0.19999999999999998</c:v>
                </c:pt>
                <c:pt idx="6">
                  <c:v>0.26666666666666666</c:v>
                </c:pt>
                <c:pt idx="7">
                  <c:v>0</c:v>
                </c:pt>
                <c:pt idx="8">
                  <c:v>0</c:v>
                </c:pt>
                <c:pt idx="9">
                  <c:v>0</c:v>
                </c:pt>
                <c:pt idx="10">
                  <c:v>3.3333333333333333E-2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c:v>
                </c:pt>
                <c:pt idx="1">
                  <c:v>0.1</c:v>
                </c:pt>
                <c:pt idx="2">
                  <c:v>1.9</c:v>
                </c:pt>
                <c:pt idx="3">
                  <c:v>7.3</c:v>
                </c:pt>
                <c:pt idx="4">
                  <c:v>1.9</c:v>
                </c:pt>
                <c:pt idx="5">
                  <c:v>0.9</c:v>
                </c:pt>
                <c:pt idx="6">
                  <c:v>1.5</c:v>
                </c:pt>
                <c:pt idx="7">
                  <c:v>0</c:v>
                </c:pt>
                <c:pt idx="8">
                  <c:v>0.3</c:v>
                </c:pt>
                <c:pt idx="9">
                  <c:v>0.1</c:v>
                </c:pt>
                <c:pt idx="10">
                  <c:v>0.3</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0.00</c:formatCode>
                <c:ptCount val="12"/>
                <c:pt idx="0">
                  <c:v>27.6</c:v>
                </c:pt>
                <c:pt idx="1">
                  <c:v>435</c:v>
                </c:pt>
                <c:pt idx="2">
                  <c:v>8.1999999999999993</c:v>
                </c:pt>
                <c:pt idx="3">
                  <c:v>2.7</c:v>
                </c:pt>
                <c:pt idx="4">
                  <c:v>379.2</c:v>
                </c:pt>
                <c:pt idx="5">
                  <c:v>167.1</c:v>
                </c:pt>
                <c:pt idx="6">
                  <c:v>2348.1</c:v>
                </c:pt>
                <c:pt idx="7">
                  <c:v>0</c:v>
                </c:pt>
                <c:pt idx="8">
                  <c:v>22.1</c:v>
                </c:pt>
                <c:pt idx="9">
                  <c:v>2.2999999999999998</c:v>
                </c:pt>
                <c:pt idx="10">
                  <c:v>2214.3000000000002</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0.00</c:formatCode>
                <c:ptCount val="12"/>
                <c:pt idx="0">
                  <c:v>4196.2</c:v>
                </c:pt>
                <c:pt idx="1">
                  <c:v>3153.9</c:v>
                </c:pt>
                <c:pt idx="2">
                  <c:v>692.6</c:v>
                </c:pt>
                <c:pt idx="3">
                  <c:v>6049.5</c:v>
                </c:pt>
                <c:pt idx="4">
                  <c:v>1601.1</c:v>
                </c:pt>
                <c:pt idx="5">
                  <c:v>839.3</c:v>
                </c:pt>
                <c:pt idx="6">
                  <c:v>3446.9</c:v>
                </c:pt>
                <c:pt idx="7">
                  <c:v>0</c:v>
                </c:pt>
                <c:pt idx="8">
                  <c:v>3408.8</c:v>
                </c:pt>
                <c:pt idx="9">
                  <c:v>1041.4000000000001</c:v>
                </c:pt>
                <c:pt idx="10">
                  <c:v>2551.1999999999998</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0.00</c:formatCode>
                <c:ptCount val="12"/>
                <c:pt idx="0">
                  <c:v>1.2</c:v>
                </c:pt>
                <c:pt idx="1">
                  <c:v>2.0333333333333337</c:v>
                </c:pt>
                <c:pt idx="2">
                  <c:v>1.0999999999999999</c:v>
                </c:pt>
                <c:pt idx="3">
                  <c:v>1.3</c:v>
                </c:pt>
                <c:pt idx="4">
                  <c:v>1.3666666666666665</c:v>
                </c:pt>
                <c:pt idx="5">
                  <c:v>0.9</c:v>
                </c:pt>
                <c:pt idx="6">
                  <c:v>0.5</c:v>
                </c:pt>
                <c:pt idx="7">
                  <c:v>0</c:v>
                </c:pt>
                <c:pt idx="8">
                  <c:v>1.4333333333333333</c:v>
                </c:pt>
                <c:pt idx="9">
                  <c:v>0.9</c:v>
                </c:pt>
                <c:pt idx="10">
                  <c:v>6.333333333333333</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44.6</c:v>
                </c:pt>
                <c:pt idx="1">
                  <c:v>46.3</c:v>
                </c:pt>
                <c:pt idx="2">
                  <c:v>7.7</c:v>
                </c:pt>
                <c:pt idx="3">
                  <c:v>42.1</c:v>
                </c:pt>
                <c:pt idx="4">
                  <c:v>28</c:v>
                </c:pt>
                <c:pt idx="5">
                  <c:v>12.8</c:v>
                </c:pt>
                <c:pt idx="6">
                  <c:v>3</c:v>
                </c:pt>
                <c:pt idx="7">
                  <c:v>0</c:v>
                </c:pt>
                <c:pt idx="8">
                  <c:v>32.700000000000003</c:v>
                </c:pt>
                <c:pt idx="9">
                  <c:v>7.7</c:v>
                </c:pt>
                <c:pt idx="10">
                  <c:v>265.2</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0.00</c:formatCode>
                <c:ptCount val="12"/>
                <c:pt idx="0">
                  <c:v>0.26666666666666666</c:v>
                </c:pt>
                <c:pt idx="1">
                  <c:v>0.33333333333333331</c:v>
                </c:pt>
                <c:pt idx="2">
                  <c:v>0.30000000000000004</c:v>
                </c:pt>
                <c:pt idx="3">
                  <c:v>0.23333333333333331</c:v>
                </c:pt>
                <c:pt idx="4">
                  <c:v>0.20000000000000004</c:v>
                </c:pt>
                <c:pt idx="5">
                  <c:v>0.20000000000000004</c:v>
                </c:pt>
                <c:pt idx="6">
                  <c:v>0.19999999999999998</c:v>
                </c:pt>
                <c:pt idx="7">
                  <c:v>0</c:v>
                </c:pt>
                <c:pt idx="8">
                  <c:v>0.13333333333333333</c:v>
                </c:pt>
                <c:pt idx="9">
                  <c:v>0.13333333333333333</c:v>
                </c:pt>
                <c:pt idx="10">
                  <c:v>0.13333333333333333</c:v>
                </c:pt>
                <c:pt idx="11">
                  <c:v>0.13333333333333333</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5.3</c:v>
                </c:pt>
                <c:pt idx="1">
                  <c:v>21.1</c:v>
                </c:pt>
                <c:pt idx="2">
                  <c:v>6.6</c:v>
                </c:pt>
                <c:pt idx="3">
                  <c:v>2</c:v>
                </c:pt>
                <c:pt idx="4">
                  <c:v>5.7</c:v>
                </c:pt>
                <c:pt idx="5">
                  <c:v>1.7</c:v>
                </c:pt>
                <c:pt idx="6">
                  <c:v>1.3</c:v>
                </c:pt>
                <c:pt idx="7">
                  <c:v>0</c:v>
                </c:pt>
                <c:pt idx="8">
                  <c:v>2.4</c:v>
                </c:pt>
                <c:pt idx="9">
                  <c:v>1.8</c:v>
                </c:pt>
                <c:pt idx="10">
                  <c:v>5.3</c:v>
                </c:pt>
                <c:pt idx="11">
                  <c:v>5.2</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0.00</c:formatCode>
                <c:ptCount val="12"/>
                <c:pt idx="0">
                  <c:v>0.16666666666666666</c:v>
                </c:pt>
                <c:pt idx="1">
                  <c:v>0.26666666666666666</c:v>
                </c:pt>
                <c:pt idx="2">
                  <c:v>0.23333333333333331</c:v>
                </c:pt>
                <c:pt idx="3">
                  <c:v>0.16666666666666666</c:v>
                </c:pt>
                <c:pt idx="4">
                  <c:v>0.16666666666666666</c:v>
                </c:pt>
                <c:pt idx="5">
                  <c:v>0.13333333333333333</c:v>
                </c:pt>
                <c:pt idx="6">
                  <c:v>0.13333333333333333</c:v>
                </c:pt>
                <c:pt idx="7">
                  <c:v>0</c:v>
                </c:pt>
                <c:pt idx="8">
                  <c:v>6.6666666666666666E-2</c:v>
                </c:pt>
                <c:pt idx="9">
                  <c:v>0.10000000000000002</c:v>
                </c:pt>
                <c:pt idx="10">
                  <c:v>0.1</c:v>
                </c:pt>
                <c:pt idx="11">
                  <c:v>0.1</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0.6</c:v>
                </c:pt>
                <c:pt idx="1">
                  <c:v>0.6</c:v>
                </c:pt>
                <c:pt idx="2">
                  <c:v>0.7</c:v>
                </c:pt>
                <c:pt idx="3">
                  <c:v>0.4</c:v>
                </c:pt>
                <c:pt idx="4">
                  <c:v>0.5</c:v>
                </c:pt>
                <c:pt idx="5">
                  <c:v>0.3</c:v>
                </c:pt>
                <c:pt idx="6">
                  <c:v>0.7</c:v>
                </c:pt>
                <c:pt idx="7">
                  <c:v>0</c:v>
                </c:pt>
                <c:pt idx="8">
                  <c:v>0.2</c:v>
                </c:pt>
                <c:pt idx="9">
                  <c:v>0.2</c:v>
                </c:pt>
                <c:pt idx="10">
                  <c:v>0.4</c:v>
                </c:pt>
                <c:pt idx="11">
                  <c:v>0.2</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444500</xdr:colOff>
          <xdr:row>8</xdr:row>
          <xdr:rowOff>114300</xdr:rowOff>
        </xdr:from>
        <xdr:to>
          <xdr:col>15</xdr:col>
          <xdr:colOff>292100</xdr:colOff>
          <xdr:row>11</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450850</xdr:colOff>
          <xdr:row>5</xdr:row>
          <xdr:rowOff>107950</xdr:rowOff>
        </xdr:from>
        <xdr:to>
          <xdr:col>15</xdr:col>
          <xdr:colOff>298450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6350</xdr:colOff>
      <xdr:row>7</xdr:row>
      <xdr:rowOff>0</xdr:rowOff>
    </xdr:from>
    <xdr:to>
      <xdr:col>9</xdr:col>
      <xdr:colOff>19050</xdr:colOff>
      <xdr:row>24</xdr:row>
      <xdr:rowOff>19613</xdr:rowOff>
    </xdr:to>
    <xdr:pic>
      <xdr:nvPicPr>
        <xdr:cNvPr id="8" name="Picture 7">
          <a:extLst>
            <a:ext uri="{FF2B5EF4-FFF2-40B4-BE49-F238E27FC236}">
              <a16:creationId xmlns:a16="http://schemas.microsoft.com/office/drawing/2014/main" id="{00000000-0008-0000-0000-000008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2101" b="33570"/>
        <a:stretch/>
      </xdr:blipFill>
      <xdr:spPr>
        <a:xfrm>
          <a:off x="660400" y="1377950"/>
          <a:ext cx="5607050" cy="3366063"/>
        </a:xfrm>
        <a:prstGeom prst="roundRect">
          <a:avLst>
            <a:gd name="adj" fmla="val 2278"/>
          </a:avLst>
        </a:prstGeom>
        <a:solidFill>
          <a:srgbClr val="FFFFFF">
            <a:shade val="85000"/>
          </a:srgbClr>
        </a:solidFill>
        <a:ln>
          <a:noFill/>
        </a:ln>
        <a:effectLst/>
      </xdr:spPr>
    </xdr:pic>
    <xdr:clientData/>
  </xdr:twoCellAnchor>
  <xdr:twoCellAnchor editAs="oneCell">
    <xdr:from>
      <xdr:col>2</xdr:col>
      <xdr:colOff>234950</xdr:colOff>
      <xdr:row>0</xdr:row>
      <xdr:rowOff>0</xdr:rowOff>
    </xdr:from>
    <xdr:to>
      <xdr:col>7</xdr:col>
      <xdr:colOff>508000</xdr:colOff>
      <xdr:row>6</xdr:row>
      <xdr:rowOff>15339</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00" y="0"/>
          <a:ext cx="3543300" cy="1196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406400</xdr:colOff>
      <xdr:row>53</xdr:row>
      <xdr:rowOff>6350</xdr:rowOff>
    </xdr:from>
    <xdr:to>
      <xdr:col>3</xdr:col>
      <xdr:colOff>390525</xdr:colOff>
      <xdr:row>55</xdr:row>
      <xdr:rowOff>98425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0" y="10433050"/>
          <a:ext cx="638175" cy="485775"/>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368300</xdr:colOff>
      <xdr:row>26</xdr:row>
      <xdr:rowOff>146050</xdr:rowOff>
    </xdr:from>
    <xdr:to>
      <xdr:col>2</xdr:col>
      <xdr:colOff>352425</xdr:colOff>
      <xdr:row>29</xdr:row>
      <xdr:rowOff>98425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 y="6210300"/>
          <a:ext cx="638175" cy="485775"/>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63500</xdr:colOff>
          <xdr:row>1</xdr:row>
          <xdr:rowOff>38100</xdr:rowOff>
        </xdr:from>
        <xdr:to>
          <xdr:col>8</xdr:col>
          <xdr:colOff>368300</xdr:colOff>
          <xdr:row>7</xdr:row>
          <xdr:rowOff>317500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paula.alvarez@encyclis.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E53" sqref="E53"/>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4" width="9.42578125" style="2"/>
    <col min="15" max="15" width="9.42578125" style="2" customWidth="1"/>
    <col min="16" max="16384" width="9.42578125" style="2"/>
  </cols>
  <sheetData>
    <row r="1" spans="2:16">
      <c r="B1" s="93"/>
      <c r="C1" s="93"/>
      <c r="D1" s="125" t="s">
        <v>0</v>
      </c>
      <c r="E1" s="125"/>
      <c r="F1" s="125"/>
      <c r="G1" s="125"/>
      <c r="H1" s="93"/>
      <c r="I1" s="93"/>
      <c r="J1" s="93"/>
      <c r="K1" s="93"/>
      <c r="L1" s="93"/>
      <c r="M1" s="93"/>
      <c r="N1" s="93"/>
      <c r="O1" s="93"/>
      <c r="P1" s="93"/>
    </row>
    <row r="2" spans="2:16">
      <c r="B2" s="93"/>
      <c r="C2" s="93"/>
      <c r="D2" s="125"/>
      <c r="E2" s="125"/>
      <c r="F2" s="125"/>
      <c r="G2" s="125"/>
      <c r="H2" s="93"/>
      <c r="I2" s="93"/>
      <c r="J2" s="93"/>
      <c r="K2" s="93"/>
      <c r="L2" s="93"/>
      <c r="M2" s="93"/>
      <c r="N2" s="93" t="s">
        <v>1</v>
      </c>
      <c r="O2" s="93"/>
      <c r="P2" s="284"/>
    </row>
    <row r="3" spans="2:16">
      <c r="B3" s="93"/>
      <c r="C3" s="93"/>
      <c r="D3" s="125"/>
      <c r="E3" s="125"/>
      <c r="F3" s="125"/>
      <c r="G3" s="125"/>
      <c r="H3" s="93"/>
      <c r="I3" s="93"/>
      <c r="J3" s="93"/>
      <c r="K3" s="93"/>
      <c r="L3" s="93"/>
      <c r="M3" s="93"/>
      <c r="N3" s="284"/>
      <c r="O3" s="93"/>
      <c r="P3" s="93"/>
    </row>
    <row r="4" spans="2:16">
      <c r="B4" s="93"/>
      <c r="C4" s="93"/>
      <c r="D4" s="125"/>
      <c r="E4" s="125"/>
      <c r="F4" s="125"/>
      <c r="G4" s="125"/>
      <c r="H4" s="93"/>
      <c r="I4" s="93"/>
      <c r="J4" s="93"/>
      <c r="K4" s="93"/>
      <c r="L4" s="93"/>
      <c r="M4" s="93"/>
      <c r="N4" s="93"/>
      <c r="O4" s="93"/>
      <c r="P4" s="93"/>
    </row>
    <row r="5" spans="2:16">
      <c r="B5" s="93"/>
      <c r="C5" s="93"/>
      <c r="D5" s="125"/>
      <c r="E5" s="125"/>
      <c r="F5" s="125"/>
      <c r="G5" s="125"/>
      <c r="H5" s="93"/>
      <c r="I5" s="93"/>
      <c r="J5" s="93"/>
      <c r="K5" s="93"/>
      <c r="L5" s="93"/>
      <c r="M5" s="93"/>
      <c r="N5" s="93"/>
      <c r="O5" s="93"/>
      <c r="P5" s="93"/>
    </row>
    <row r="6" spans="2:16">
      <c r="B6" s="93"/>
      <c r="C6" s="93"/>
      <c r="D6" s="125"/>
      <c r="E6" s="125"/>
      <c r="F6" s="125"/>
      <c r="G6" s="125"/>
      <c r="H6" s="93"/>
      <c r="I6" s="93"/>
      <c r="J6" s="93"/>
      <c r="K6" s="93"/>
      <c r="L6" s="93"/>
      <c r="M6" s="93"/>
      <c r="N6" s="93"/>
      <c r="O6" s="93"/>
      <c r="P6" s="93"/>
    </row>
    <row r="8" spans="2:16" ht="15.75" customHeight="1">
      <c r="B8" s="125" t="s">
        <v>2</v>
      </c>
      <c r="C8" s="125"/>
      <c r="D8" s="125"/>
      <c r="E8" s="125"/>
      <c r="F8" s="125"/>
      <c r="G8" s="125"/>
      <c r="H8" s="125"/>
      <c r="I8" s="125"/>
      <c r="J8" s="93"/>
      <c r="K8" s="93"/>
      <c r="L8" s="93"/>
      <c r="M8" s="93"/>
      <c r="N8" s="71"/>
      <c r="O8" s="93"/>
      <c r="P8" s="93"/>
    </row>
    <row r="9" spans="2:16">
      <c r="B9" s="125"/>
      <c r="C9" s="125"/>
      <c r="D9" s="125"/>
      <c r="E9" s="125"/>
      <c r="F9" s="125"/>
      <c r="G9" s="125"/>
      <c r="H9" s="125"/>
      <c r="I9" s="125"/>
      <c r="J9" s="93"/>
      <c r="K9" s="93"/>
      <c r="L9" s="93"/>
      <c r="M9" s="93"/>
      <c r="N9" s="93"/>
      <c r="O9" s="93"/>
      <c r="P9" s="93"/>
    </row>
    <row r="10" spans="2:16">
      <c r="B10" s="125"/>
      <c r="C10" s="125"/>
      <c r="D10" s="125"/>
      <c r="E10" s="125"/>
      <c r="F10" s="125"/>
      <c r="G10" s="125"/>
      <c r="H10" s="125"/>
      <c r="I10" s="125"/>
      <c r="J10" s="93"/>
      <c r="K10" s="93"/>
      <c r="L10" s="93"/>
      <c r="M10" s="93"/>
      <c r="N10" s="93"/>
      <c r="O10" s="93"/>
      <c r="P10" s="93"/>
    </row>
    <row r="11" spans="2:16">
      <c r="B11" s="125"/>
      <c r="C11" s="125"/>
      <c r="D11" s="125"/>
      <c r="E11" s="125"/>
      <c r="F11" s="125"/>
      <c r="G11" s="125"/>
      <c r="H11" s="125"/>
      <c r="I11" s="125"/>
      <c r="J11" s="93"/>
      <c r="K11" s="93"/>
      <c r="L11" s="93"/>
      <c r="M11" s="93"/>
      <c r="N11" s="93"/>
      <c r="O11" s="93"/>
      <c r="P11" s="93"/>
    </row>
    <row r="12" spans="2:16">
      <c r="B12" s="125"/>
      <c r="C12" s="125"/>
      <c r="D12" s="125"/>
      <c r="E12" s="125"/>
      <c r="F12" s="125"/>
      <c r="G12" s="125"/>
      <c r="H12" s="125"/>
      <c r="I12" s="125"/>
      <c r="J12" s="93"/>
      <c r="K12" s="93"/>
      <c r="L12" s="93"/>
      <c r="M12" s="93"/>
      <c r="N12" s="93"/>
      <c r="O12" s="93"/>
      <c r="P12" s="93"/>
    </row>
    <row r="13" spans="2:16">
      <c r="B13" s="125"/>
      <c r="C13" s="125"/>
      <c r="D13" s="125"/>
      <c r="E13" s="125"/>
      <c r="F13" s="125"/>
      <c r="G13" s="125"/>
      <c r="H13" s="125"/>
      <c r="I13" s="125"/>
      <c r="J13" s="93"/>
      <c r="K13" s="93"/>
      <c r="L13" s="93"/>
      <c r="M13" s="93"/>
      <c r="N13" s="75" t="s">
        <v>3</v>
      </c>
      <c r="O13" s="73"/>
      <c r="P13" s="73"/>
    </row>
    <row r="14" spans="2:16" ht="15.75" customHeight="1">
      <c r="B14" s="125"/>
      <c r="C14" s="125"/>
      <c r="D14" s="125"/>
      <c r="E14" s="125"/>
      <c r="F14" s="125"/>
      <c r="G14" s="125"/>
      <c r="H14" s="125"/>
      <c r="I14" s="125"/>
      <c r="J14" s="93"/>
      <c r="K14" s="93"/>
      <c r="L14" s="93"/>
      <c r="M14" s="93"/>
      <c r="N14" s="124" t="s">
        <v>4</v>
      </c>
      <c r="O14" s="124"/>
      <c r="P14" s="124"/>
    </row>
    <row r="15" spans="2:16">
      <c r="B15" s="125"/>
      <c r="C15" s="125"/>
      <c r="D15" s="125"/>
      <c r="E15" s="125"/>
      <c r="F15" s="125"/>
      <c r="G15" s="125"/>
      <c r="H15" s="125"/>
      <c r="I15" s="125"/>
      <c r="J15" s="93"/>
      <c r="K15" s="93"/>
      <c r="L15" s="93"/>
      <c r="M15" s="93"/>
      <c r="N15" s="124"/>
      <c r="O15" s="124"/>
      <c r="P15" s="124"/>
    </row>
    <row r="16" spans="2:16">
      <c r="B16" s="125"/>
      <c r="C16" s="125"/>
      <c r="D16" s="125"/>
      <c r="E16" s="125"/>
      <c r="F16" s="125"/>
      <c r="G16" s="125"/>
      <c r="H16" s="125"/>
      <c r="I16" s="125"/>
      <c r="J16" s="93"/>
      <c r="K16" s="93"/>
      <c r="L16" s="93"/>
      <c r="M16" s="93"/>
      <c r="N16" s="124"/>
      <c r="O16" s="124"/>
      <c r="P16" s="124"/>
    </row>
    <row r="17" spans="2:16">
      <c r="B17" s="125"/>
      <c r="C17" s="125"/>
      <c r="D17" s="125"/>
      <c r="E17" s="125"/>
      <c r="F17" s="125"/>
      <c r="G17" s="125"/>
      <c r="H17" s="125"/>
      <c r="I17" s="125"/>
      <c r="J17" s="93"/>
      <c r="K17" s="93"/>
      <c r="L17" s="93"/>
      <c r="M17" s="93"/>
      <c r="N17" s="124"/>
      <c r="O17" s="124"/>
      <c r="P17" s="124"/>
    </row>
    <row r="18" spans="2:16">
      <c r="B18" s="125"/>
      <c r="C18" s="125"/>
      <c r="D18" s="125"/>
      <c r="E18" s="125"/>
      <c r="F18" s="125"/>
      <c r="G18" s="125"/>
      <c r="H18" s="125"/>
      <c r="I18" s="125"/>
      <c r="J18" s="93"/>
      <c r="K18" s="93"/>
      <c r="L18" s="93"/>
      <c r="M18" s="93"/>
      <c r="N18" s="124"/>
      <c r="O18" s="124"/>
      <c r="P18" s="124"/>
    </row>
    <row r="19" spans="2:16">
      <c r="B19" s="125"/>
      <c r="C19" s="125"/>
      <c r="D19" s="125"/>
      <c r="E19" s="125"/>
      <c r="F19" s="125"/>
      <c r="G19" s="125"/>
      <c r="H19" s="125"/>
      <c r="I19" s="125"/>
      <c r="J19" s="93"/>
      <c r="K19" s="93"/>
      <c r="L19" s="93"/>
      <c r="M19" s="93"/>
      <c r="N19" s="124"/>
      <c r="O19" s="124"/>
      <c r="P19" s="124"/>
    </row>
    <row r="20" spans="2:16">
      <c r="B20" s="125"/>
      <c r="C20" s="125"/>
      <c r="D20" s="125"/>
      <c r="E20" s="125"/>
      <c r="F20" s="125"/>
      <c r="G20" s="125"/>
      <c r="H20" s="125"/>
      <c r="I20" s="125"/>
      <c r="J20" s="93"/>
      <c r="K20" s="93"/>
      <c r="L20" s="93"/>
      <c r="M20" s="93"/>
      <c r="N20" s="93"/>
      <c r="O20" s="93"/>
      <c r="P20" s="93"/>
    </row>
    <row r="21" spans="2:16">
      <c r="B21" s="125"/>
      <c r="C21" s="125"/>
      <c r="D21" s="125"/>
      <c r="E21" s="125"/>
      <c r="F21" s="125"/>
      <c r="G21" s="125"/>
      <c r="H21" s="125"/>
      <c r="I21" s="125"/>
      <c r="J21" s="93"/>
      <c r="K21" s="93"/>
      <c r="L21" s="93"/>
      <c r="M21" s="93"/>
      <c r="N21" s="93"/>
      <c r="O21" s="93"/>
      <c r="P21" s="93"/>
    </row>
    <row r="22" spans="2:16">
      <c r="B22" s="125"/>
      <c r="C22" s="125"/>
      <c r="D22" s="125"/>
      <c r="E22" s="125"/>
      <c r="F22" s="125"/>
      <c r="G22" s="125"/>
      <c r="H22" s="125"/>
      <c r="I22" s="125"/>
      <c r="J22" s="93"/>
      <c r="K22" s="93"/>
      <c r="L22" s="93"/>
      <c r="M22" s="93"/>
      <c r="N22" s="93"/>
      <c r="O22" s="93"/>
      <c r="P22" s="93"/>
    </row>
    <row r="23" spans="2:16">
      <c r="B23" s="125"/>
      <c r="C23" s="125"/>
      <c r="D23" s="125"/>
      <c r="E23" s="125"/>
      <c r="F23" s="125"/>
      <c r="G23" s="125"/>
      <c r="H23" s="125"/>
      <c r="I23" s="125"/>
      <c r="J23" s="93"/>
      <c r="K23" s="93"/>
      <c r="L23" s="93"/>
      <c r="M23" s="93"/>
      <c r="N23" s="93"/>
      <c r="O23" s="93"/>
      <c r="P23" s="93"/>
    </row>
    <row r="24" spans="2:16">
      <c r="B24" s="125"/>
      <c r="C24" s="125"/>
      <c r="D24" s="125"/>
      <c r="E24" s="125"/>
      <c r="F24" s="125"/>
      <c r="G24" s="125"/>
      <c r="H24" s="125"/>
      <c r="I24" s="125"/>
      <c r="J24" s="93"/>
      <c r="K24" s="93"/>
      <c r="L24" s="93"/>
      <c r="M24" s="93"/>
      <c r="N24" s="93"/>
      <c r="O24" s="93"/>
      <c r="P24" s="93"/>
    </row>
    <row r="29" spans="2:16" ht="18">
      <c r="B29" s="122" t="s">
        <v>5</v>
      </c>
      <c r="C29" s="122"/>
      <c r="D29" s="122"/>
      <c r="E29" s="122"/>
      <c r="F29" s="122"/>
      <c r="G29" s="122"/>
      <c r="H29" s="122"/>
      <c r="I29" s="122"/>
      <c r="J29" s="93"/>
      <c r="K29" s="93"/>
      <c r="L29" s="93"/>
      <c r="M29" s="93"/>
      <c r="N29" s="93"/>
      <c r="O29" s="93"/>
      <c r="P29" s="93"/>
    </row>
    <row r="30" spans="2:16" ht="18">
      <c r="B30" s="93"/>
      <c r="C30" s="7"/>
      <c r="D30" s="8"/>
      <c r="E30" s="8"/>
      <c r="F30" s="8"/>
      <c r="G30" s="8"/>
      <c r="H30" s="8"/>
      <c r="I30" s="8"/>
      <c r="J30" s="93"/>
      <c r="K30" s="93"/>
      <c r="L30" s="93"/>
      <c r="M30" s="93"/>
      <c r="N30" s="93"/>
      <c r="O30" s="93"/>
      <c r="P30" s="93"/>
    </row>
    <row r="31" spans="2:16" ht="18">
      <c r="B31" s="122" t="s">
        <v>6</v>
      </c>
      <c r="C31" s="122"/>
      <c r="D31" s="122"/>
      <c r="E31" s="122"/>
      <c r="F31" s="122"/>
      <c r="G31" s="122"/>
      <c r="H31" s="122"/>
      <c r="I31" s="122"/>
      <c r="J31" s="93"/>
      <c r="K31" s="93"/>
      <c r="L31" s="93"/>
      <c r="M31" s="93"/>
      <c r="N31" s="93"/>
      <c r="O31" s="93"/>
      <c r="P31" s="93"/>
    </row>
    <row r="32" spans="2:16" ht="18">
      <c r="B32" s="93"/>
      <c r="C32" s="7"/>
      <c r="D32" s="8"/>
      <c r="E32" s="8"/>
      <c r="F32" s="8"/>
      <c r="G32" s="8"/>
      <c r="H32" s="8"/>
      <c r="I32" s="8"/>
      <c r="J32" s="93"/>
      <c r="K32" s="93"/>
      <c r="L32" s="93"/>
      <c r="M32" s="93"/>
      <c r="N32" s="93"/>
      <c r="O32" s="93"/>
      <c r="P32" s="93"/>
    </row>
    <row r="33" spans="2:9" ht="18">
      <c r="B33" s="122" t="s">
        <v>7</v>
      </c>
      <c r="C33" s="122"/>
      <c r="D33" s="122"/>
      <c r="E33" s="122"/>
      <c r="F33" s="122"/>
      <c r="G33" s="122"/>
      <c r="H33" s="122"/>
      <c r="I33" s="122"/>
    </row>
    <row r="34" spans="2:9" ht="18">
      <c r="B34" s="93"/>
      <c r="C34" s="7"/>
      <c r="D34" s="8"/>
      <c r="E34" s="8"/>
      <c r="F34" s="8"/>
      <c r="G34" s="8"/>
      <c r="H34" s="8"/>
      <c r="I34" s="8"/>
    </row>
    <row r="35" spans="2:9" ht="18">
      <c r="B35" s="122" t="s">
        <v>8</v>
      </c>
      <c r="C35" s="122"/>
      <c r="D35" s="122"/>
      <c r="E35" s="122"/>
      <c r="F35" s="122"/>
      <c r="G35" s="122"/>
      <c r="H35" s="122"/>
      <c r="I35" s="122"/>
    </row>
    <row r="37" spans="2:9" ht="18">
      <c r="B37" s="122" t="s">
        <v>9</v>
      </c>
      <c r="C37" s="122"/>
      <c r="D37" s="122"/>
      <c r="E37" s="122"/>
      <c r="F37" s="122"/>
      <c r="G37" s="122"/>
      <c r="H37" s="122"/>
      <c r="I37" s="122"/>
    </row>
    <row r="39" spans="2:9">
      <c r="B39" s="93" t="s">
        <v>10</v>
      </c>
      <c r="C39" s="285">
        <v>2022</v>
      </c>
      <c r="D39" s="93"/>
      <c r="E39" s="93"/>
      <c r="F39" s="93"/>
      <c r="G39" s="93"/>
      <c r="H39" s="93"/>
      <c r="I39" s="93"/>
    </row>
    <row r="40" spans="2:9" ht="14.25" customHeight="1">
      <c r="B40" s="93"/>
      <c r="C40" s="93"/>
      <c r="D40" s="93"/>
      <c r="E40" s="93"/>
      <c r="F40" s="93"/>
      <c r="G40" s="93"/>
      <c r="H40" s="93"/>
      <c r="I40" s="93"/>
    </row>
    <row r="41" spans="2:9">
      <c r="B41" s="286" t="s">
        <v>11</v>
      </c>
      <c r="C41" s="121" t="s">
        <v>12</v>
      </c>
      <c r="D41" s="121"/>
      <c r="E41" s="121"/>
      <c r="F41" s="121"/>
      <c r="G41" s="121"/>
      <c r="H41" s="121"/>
      <c r="I41" s="121"/>
    </row>
    <row r="42" spans="2:9">
      <c r="B42" s="286"/>
      <c r="C42" s="93"/>
      <c r="D42" s="93"/>
      <c r="E42" s="93"/>
      <c r="F42" s="93"/>
      <c r="G42" s="93"/>
      <c r="H42" s="93"/>
      <c r="I42" s="93"/>
    </row>
    <row r="43" spans="2:9">
      <c r="B43" s="286" t="s">
        <v>13</v>
      </c>
      <c r="C43" s="121"/>
      <c r="D43" s="121"/>
      <c r="E43" s="121"/>
      <c r="F43" s="93"/>
      <c r="G43" s="93"/>
      <c r="H43" s="93"/>
      <c r="I43" s="93"/>
    </row>
    <row r="44" spans="2:9">
      <c r="B44" s="286"/>
      <c r="C44" s="93"/>
      <c r="D44" s="93"/>
      <c r="E44" s="93"/>
      <c r="F44" s="93"/>
      <c r="G44" s="93"/>
      <c r="H44" s="93"/>
      <c r="I44" s="93"/>
    </row>
    <row r="45" spans="2:9">
      <c r="B45" s="286" t="s">
        <v>14</v>
      </c>
      <c r="C45" s="123" t="s">
        <v>15</v>
      </c>
      <c r="D45" s="121"/>
      <c r="E45" s="121"/>
      <c r="F45" s="93"/>
      <c r="G45" s="93"/>
      <c r="H45" s="93"/>
      <c r="I45" s="93"/>
    </row>
    <row r="46" spans="2:9">
      <c r="B46" s="286"/>
      <c r="C46" s="93"/>
      <c r="D46" s="93"/>
      <c r="E46" s="93"/>
      <c r="F46" s="93"/>
      <c r="G46" s="93"/>
      <c r="H46" s="93"/>
      <c r="I46" s="93"/>
    </row>
    <row r="47" spans="2:9">
      <c r="B47" s="286" t="s">
        <v>16</v>
      </c>
      <c r="C47" s="121" t="s">
        <v>17</v>
      </c>
      <c r="D47" s="121"/>
      <c r="E47" s="93"/>
      <c r="F47" s="93" t="s">
        <v>18</v>
      </c>
      <c r="G47" s="121" t="s">
        <v>19</v>
      </c>
      <c r="H47" s="121"/>
      <c r="I47" s="121"/>
    </row>
    <row r="48" spans="2:9">
      <c r="B48" s="286"/>
      <c r="C48" s="93"/>
      <c r="D48" s="93"/>
      <c r="E48" s="93"/>
      <c r="F48" s="93"/>
      <c r="G48" s="93"/>
      <c r="H48" s="93"/>
      <c r="I48" s="93"/>
    </row>
    <row r="49" spans="2:9">
      <c r="B49" s="286" t="s">
        <v>20</v>
      </c>
      <c r="C49" s="121" t="s">
        <v>21</v>
      </c>
      <c r="D49" s="121"/>
      <c r="E49" s="93"/>
      <c r="F49" s="93" t="s">
        <v>18</v>
      </c>
      <c r="G49" s="121" t="s">
        <v>22</v>
      </c>
      <c r="H49" s="121"/>
      <c r="I49" s="121"/>
    </row>
    <row r="50" spans="2:9">
      <c r="B50" s="286"/>
      <c r="C50" s="93"/>
      <c r="D50" s="93"/>
      <c r="E50" s="93"/>
      <c r="F50" s="93"/>
      <c r="G50" s="93"/>
      <c r="H50" s="93"/>
      <c r="I50" s="93"/>
    </row>
    <row r="51" spans="2:9">
      <c r="B51" s="286" t="s">
        <v>23</v>
      </c>
      <c r="C51" s="285">
        <v>1</v>
      </c>
      <c r="D51" s="93"/>
      <c r="E51" s="93"/>
      <c r="F51" s="93"/>
      <c r="G51" s="93"/>
      <c r="H51" s="93"/>
      <c r="I51" s="93"/>
    </row>
    <row r="52" spans="2:9">
      <c r="B52" s="286"/>
      <c r="C52" s="93"/>
      <c r="D52" s="93"/>
      <c r="E52" s="93"/>
      <c r="F52" s="93"/>
      <c r="G52" s="93"/>
      <c r="H52" s="93"/>
      <c r="I52" s="93"/>
    </row>
    <row r="53" spans="2:9">
      <c r="B53" s="286" t="s">
        <v>24</v>
      </c>
      <c r="C53" s="287">
        <v>44957</v>
      </c>
      <c r="D53" s="121"/>
      <c r="E53" s="93"/>
      <c r="F53" s="93"/>
      <c r="G53" s="93"/>
      <c r="H53" s="93"/>
      <c r="I53" s="93"/>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360C7BE9-6ED4-49D2-8DD8-58910C82416F}"/>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444500</xdr:colOff>
                    <xdr:row>8</xdr:row>
                    <xdr:rowOff>114300</xdr:rowOff>
                  </from>
                  <to>
                    <xdr:col>15</xdr:col>
                    <xdr:colOff>292100</xdr:colOff>
                    <xdr:row>11</xdr:row>
                    <xdr:rowOff>25400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450850</xdr:colOff>
                    <xdr:row>5</xdr:row>
                    <xdr:rowOff>107950</xdr:rowOff>
                  </from>
                  <to>
                    <xdr:col>15</xdr:col>
                    <xdr:colOff>298450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E53" sqref="E53"/>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5">
      <c r="A1" s="93" t="str">
        <f>+'Cover Page'!$B$29</f>
        <v>Annual Performance Report 2022</v>
      </c>
      <c r="B1" s="93"/>
      <c r="C1" s="93"/>
      <c r="D1" s="93"/>
      <c r="E1" s="93" t="str">
        <f>+'Cover Page'!$B$33</f>
        <v>Rookery Pit Energy Recovery Facility</v>
      </c>
      <c r="F1" s="93"/>
      <c r="G1" s="93"/>
      <c r="H1" s="93"/>
      <c r="I1" s="93"/>
      <c r="J1" s="93"/>
      <c r="K1" s="93"/>
      <c r="L1" s="93"/>
      <c r="M1" s="93"/>
      <c r="N1" s="93"/>
      <c r="O1" s="93"/>
    </row>
    <row r="3" spans="1:15">
      <c r="A3" s="53" t="s">
        <v>25</v>
      </c>
      <c r="B3" s="288"/>
      <c r="C3" s="288"/>
      <c r="D3" s="288"/>
      <c r="E3" s="288"/>
      <c r="F3" s="288"/>
      <c r="G3" s="288"/>
      <c r="H3" s="289"/>
      <c r="I3" s="93"/>
      <c r="J3" s="93"/>
      <c r="K3" s="75" t="s">
        <v>3</v>
      </c>
      <c r="L3" s="93"/>
      <c r="M3" s="93"/>
      <c r="N3" s="93"/>
      <c r="O3" s="93"/>
    </row>
    <row r="4" spans="1:15">
      <c r="A4" s="5" t="s">
        <v>26</v>
      </c>
      <c r="B4" s="136" t="s">
        <v>27</v>
      </c>
      <c r="C4" s="136"/>
      <c r="D4" s="136"/>
      <c r="E4" s="136"/>
      <c r="F4" s="136"/>
      <c r="G4" s="136"/>
      <c r="H4" s="6" t="s">
        <v>28</v>
      </c>
      <c r="I4" s="93"/>
      <c r="J4" s="93"/>
      <c r="K4" s="73" t="s">
        <v>29</v>
      </c>
      <c r="L4" s="93"/>
      <c r="M4" s="93"/>
      <c r="N4" s="93"/>
      <c r="O4" s="93"/>
    </row>
    <row r="5" spans="1:15" ht="15.75" customHeight="1">
      <c r="A5" s="4"/>
      <c r="B5" s="132" t="s">
        <v>30</v>
      </c>
      <c r="C5" s="132"/>
      <c r="D5" s="132"/>
      <c r="E5" s="132"/>
      <c r="F5" s="132"/>
      <c r="G5" s="132"/>
      <c r="H5" s="4"/>
      <c r="I5" s="93"/>
      <c r="J5" s="93"/>
      <c r="K5" s="124" t="s">
        <v>31</v>
      </c>
      <c r="L5" s="124"/>
      <c r="M5" s="124"/>
      <c r="N5" s="124"/>
      <c r="O5" s="124"/>
    </row>
    <row r="6" spans="1:15">
      <c r="A6" s="4"/>
      <c r="B6" s="132" t="s">
        <v>32</v>
      </c>
      <c r="C6" s="132"/>
      <c r="D6" s="132"/>
      <c r="E6" s="132"/>
      <c r="F6" s="132"/>
      <c r="G6" s="132"/>
      <c r="H6" s="4"/>
      <c r="I6" s="93"/>
      <c r="J6" s="93"/>
      <c r="K6" s="124"/>
      <c r="L6" s="124"/>
      <c r="M6" s="124"/>
      <c r="N6" s="124"/>
      <c r="O6" s="124"/>
    </row>
    <row r="7" spans="1:15" ht="15.75" customHeight="1">
      <c r="A7" s="4"/>
      <c r="B7" s="132" t="s">
        <v>33</v>
      </c>
      <c r="C7" s="132"/>
      <c r="D7" s="132"/>
      <c r="E7" s="132"/>
      <c r="F7" s="132"/>
      <c r="G7" s="132"/>
      <c r="H7" s="4"/>
      <c r="I7" s="93"/>
      <c r="J7" s="93"/>
      <c r="K7" s="124"/>
      <c r="L7" s="124"/>
      <c r="M7" s="124"/>
      <c r="N7" s="124"/>
      <c r="O7" s="124"/>
    </row>
    <row r="8" spans="1:15">
      <c r="A8" s="4"/>
      <c r="B8" s="132" t="s">
        <v>34</v>
      </c>
      <c r="C8" s="132"/>
      <c r="D8" s="132"/>
      <c r="E8" s="132"/>
      <c r="F8" s="132"/>
      <c r="G8" s="132"/>
      <c r="H8" s="4"/>
      <c r="I8" s="93"/>
      <c r="J8" s="93"/>
      <c r="K8" s="124"/>
      <c r="L8" s="124"/>
      <c r="M8" s="124"/>
      <c r="N8" s="124"/>
      <c r="O8" s="124"/>
    </row>
    <row r="9" spans="1:15">
      <c r="A9" s="4"/>
      <c r="B9" s="132" t="s">
        <v>35</v>
      </c>
      <c r="C9" s="132"/>
      <c r="D9" s="132"/>
      <c r="E9" s="132"/>
      <c r="F9" s="132"/>
      <c r="G9" s="132"/>
      <c r="H9" s="4"/>
      <c r="I9" s="93"/>
      <c r="J9" s="93"/>
      <c r="K9" s="93"/>
      <c r="L9" s="93"/>
      <c r="M9" s="93"/>
      <c r="N9" s="93"/>
      <c r="O9" s="93"/>
    </row>
    <row r="10" spans="1:15">
      <c r="A10" s="4"/>
      <c r="B10" s="132" t="s">
        <v>36</v>
      </c>
      <c r="C10" s="132"/>
      <c r="D10" s="132"/>
      <c r="E10" s="132"/>
      <c r="F10" s="132"/>
      <c r="G10" s="132"/>
      <c r="H10" s="4"/>
      <c r="I10" s="93"/>
      <c r="J10" s="93"/>
      <c r="K10" s="93"/>
      <c r="L10" s="93"/>
      <c r="M10" s="93"/>
      <c r="N10" s="93"/>
      <c r="O10" s="93"/>
    </row>
    <row r="11" spans="1:15">
      <c r="A11" s="4"/>
      <c r="B11" s="132" t="s">
        <v>37</v>
      </c>
      <c r="C11" s="132"/>
      <c r="D11" s="132"/>
      <c r="E11" s="132"/>
      <c r="F11" s="132"/>
      <c r="G11" s="132"/>
      <c r="H11" s="4"/>
      <c r="I11" s="93"/>
      <c r="J11" s="93"/>
      <c r="K11" s="93"/>
      <c r="L11" s="93"/>
      <c r="M11" s="93"/>
      <c r="N11" s="93"/>
      <c r="O11" s="93"/>
    </row>
    <row r="12" spans="1:15">
      <c r="A12" s="4"/>
      <c r="B12" s="132" t="s">
        <v>38</v>
      </c>
      <c r="C12" s="132"/>
      <c r="D12" s="132"/>
      <c r="E12" s="132"/>
      <c r="F12" s="132"/>
      <c r="G12" s="132"/>
      <c r="H12" s="4"/>
      <c r="I12" s="93"/>
      <c r="J12" s="93"/>
      <c r="K12" s="93"/>
      <c r="L12" s="93"/>
      <c r="M12" s="93"/>
      <c r="N12" s="93"/>
      <c r="O12" s="93"/>
    </row>
    <row r="13" spans="1:15">
      <c r="A13" s="4"/>
      <c r="B13" s="133" t="s">
        <v>39</v>
      </c>
      <c r="C13" s="134"/>
      <c r="D13" s="134"/>
      <c r="E13" s="134"/>
      <c r="F13" s="134"/>
      <c r="G13" s="135"/>
      <c r="H13" s="4"/>
      <c r="I13" s="93"/>
      <c r="J13" s="93"/>
      <c r="K13" s="93"/>
      <c r="L13" s="93"/>
      <c r="M13" s="93"/>
      <c r="N13" s="93"/>
      <c r="O13" s="93"/>
    </row>
    <row r="14" spans="1:15">
      <c r="A14" s="4"/>
      <c r="B14" s="132" t="s">
        <v>40</v>
      </c>
      <c r="C14" s="132"/>
      <c r="D14" s="132"/>
      <c r="E14" s="132"/>
      <c r="F14" s="132"/>
      <c r="G14" s="132"/>
      <c r="H14" s="4"/>
      <c r="I14" s="93"/>
      <c r="J14" s="93"/>
      <c r="K14" s="93"/>
      <c r="L14" s="93"/>
      <c r="M14" s="93"/>
      <c r="N14" s="93"/>
      <c r="O14" s="93"/>
    </row>
    <row r="15" spans="1:15">
      <c r="A15" s="4"/>
      <c r="B15" s="132" t="s">
        <v>41</v>
      </c>
      <c r="C15" s="132"/>
      <c r="D15" s="132"/>
      <c r="E15" s="132"/>
      <c r="F15" s="132"/>
      <c r="G15" s="132"/>
      <c r="H15" s="4"/>
      <c r="I15" s="93"/>
      <c r="J15" s="93"/>
      <c r="K15" s="93"/>
      <c r="L15" s="93"/>
      <c r="M15" s="93"/>
      <c r="N15" s="93"/>
      <c r="O15" s="93"/>
    </row>
    <row r="16" spans="1:15">
      <c r="A16" s="4"/>
      <c r="B16" s="132" t="s">
        <v>42</v>
      </c>
      <c r="C16" s="132"/>
      <c r="D16" s="132"/>
      <c r="E16" s="132"/>
      <c r="F16" s="132"/>
      <c r="G16" s="132"/>
      <c r="H16" s="4"/>
      <c r="I16" s="93"/>
      <c r="J16" s="93"/>
      <c r="K16" s="93"/>
      <c r="L16" s="93"/>
      <c r="M16" s="93"/>
      <c r="N16" s="93"/>
      <c r="O16" s="93"/>
    </row>
    <row r="17" spans="1:8">
      <c r="A17" s="4"/>
      <c r="B17" s="132" t="s">
        <v>43</v>
      </c>
      <c r="C17" s="132"/>
      <c r="D17" s="132"/>
      <c r="E17" s="132"/>
      <c r="F17" s="132"/>
      <c r="G17" s="132"/>
      <c r="H17" s="4"/>
    </row>
    <row r="18" spans="1:8">
      <c r="A18" s="4"/>
      <c r="B18" s="132" t="s">
        <v>44</v>
      </c>
      <c r="C18" s="132"/>
      <c r="D18" s="132"/>
      <c r="E18" s="132"/>
      <c r="F18" s="132"/>
      <c r="G18" s="132"/>
      <c r="H18" s="4"/>
    </row>
    <row r="19" spans="1:8">
      <c r="A19" s="4"/>
      <c r="B19" s="132" t="s">
        <v>45</v>
      </c>
      <c r="C19" s="132"/>
      <c r="D19" s="132"/>
      <c r="E19" s="132"/>
      <c r="F19" s="132"/>
      <c r="G19" s="132"/>
      <c r="H19" s="4"/>
    </row>
    <row r="20" spans="1:8">
      <c r="A20" s="4"/>
      <c r="B20" s="132" t="s">
        <v>46</v>
      </c>
      <c r="C20" s="132"/>
      <c r="D20" s="132"/>
      <c r="E20" s="132"/>
      <c r="F20" s="132"/>
      <c r="G20" s="132"/>
      <c r="H20" s="4"/>
    </row>
    <row r="21" spans="1:8">
      <c r="A21" s="4"/>
      <c r="B21" s="132" t="s">
        <v>47</v>
      </c>
      <c r="C21" s="132"/>
      <c r="D21" s="132"/>
      <c r="E21" s="132"/>
      <c r="F21" s="132"/>
      <c r="G21" s="132"/>
      <c r="H21" s="4"/>
    </row>
    <row r="22" spans="1:8">
      <c r="A22" s="4"/>
      <c r="B22" s="132" t="s">
        <v>48</v>
      </c>
      <c r="C22" s="132"/>
      <c r="D22" s="132"/>
      <c r="E22" s="132"/>
      <c r="F22" s="132"/>
      <c r="G22" s="132"/>
      <c r="H22" s="4"/>
    </row>
    <row r="23" spans="1:8">
      <c r="A23" s="4"/>
      <c r="B23" s="126" t="s">
        <v>49</v>
      </c>
      <c r="C23" s="127"/>
      <c r="D23" s="127"/>
      <c r="E23" s="127"/>
      <c r="F23" s="127"/>
      <c r="G23" s="128"/>
      <c r="H23" s="4"/>
    </row>
    <row r="24" spans="1:8">
      <c r="A24" s="4"/>
      <c r="B24" s="126" t="s">
        <v>50</v>
      </c>
      <c r="C24" s="127"/>
      <c r="D24" s="127"/>
      <c r="E24" s="127"/>
      <c r="F24" s="127"/>
      <c r="G24" s="128"/>
      <c r="H24" s="4"/>
    </row>
    <row r="25" spans="1:8">
      <c r="A25" s="4"/>
      <c r="B25" s="129"/>
      <c r="C25" s="129"/>
      <c r="D25" s="129"/>
      <c r="E25" s="129"/>
      <c r="F25" s="129"/>
      <c r="G25" s="129"/>
      <c r="H25" s="4"/>
    </row>
    <row r="27" spans="1:8">
      <c r="A27" s="52" t="s">
        <v>51</v>
      </c>
      <c r="B27" s="288"/>
      <c r="C27" s="288"/>
      <c r="D27" s="288"/>
      <c r="E27" s="288"/>
      <c r="F27" s="288"/>
      <c r="G27" s="288"/>
      <c r="H27" s="289"/>
    </row>
    <row r="28" spans="1:8">
      <c r="A28" s="10" t="s">
        <v>26</v>
      </c>
      <c r="B28" s="130" t="s">
        <v>52</v>
      </c>
      <c r="C28" s="130"/>
      <c r="D28" s="130"/>
      <c r="E28" s="130"/>
      <c r="F28" s="130"/>
      <c r="G28" s="130"/>
      <c r="H28" s="11" t="s">
        <v>53</v>
      </c>
    </row>
    <row r="29" spans="1:8">
      <c r="A29" s="290"/>
      <c r="B29" s="158"/>
      <c r="C29" s="158"/>
      <c r="D29" s="158"/>
      <c r="E29" s="158"/>
      <c r="F29" s="158"/>
      <c r="G29" s="158"/>
      <c r="H29" s="290"/>
    </row>
    <row r="30" spans="1:8">
      <c r="A30" s="290"/>
      <c r="B30" s="158"/>
      <c r="C30" s="158"/>
      <c r="D30" s="158"/>
      <c r="E30" s="158"/>
      <c r="F30" s="158"/>
      <c r="G30" s="158"/>
      <c r="H30" s="290"/>
    </row>
    <row r="31" spans="1:8">
      <c r="A31" s="290"/>
      <c r="B31" s="158"/>
      <c r="C31" s="158"/>
      <c r="D31" s="158"/>
      <c r="E31" s="158"/>
      <c r="F31" s="158"/>
      <c r="G31" s="158"/>
      <c r="H31" s="290"/>
    </row>
    <row r="32" spans="1:8">
      <c r="A32" s="290"/>
      <c r="B32" s="158"/>
      <c r="C32" s="158"/>
      <c r="D32" s="158"/>
      <c r="E32" s="158"/>
      <c r="F32" s="158"/>
      <c r="G32" s="158"/>
      <c r="H32" s="290"/>
    </row>
    <row r="33" spans="1:10">
      <c r="A33" s="290"/>
      <c r="B33" s="158"/>
      <c r="C33" s="158"/>
      <c r="D33" s="158"/>
      <c r="E33" s="158"/>
      <c r="F33" s="158"/>
      <c r="G33" s="158"/>
      <c r="H33" s="290"/>
      <c r="I33" s="93"/>
      <c r="J33" s="93"/>
    </row>
    <row r="35" spans="1:10" ht="14.25" customHeight="1">
      <c r="A35" s="52" t="s">
        <v>54</v>
      </c>
      <c r="B35" s="288"/>
      <c r="C35" s="288"/>
      <c r="D35" s="288"/>
      <c r="E35" s="288"/>
      <c r="F35" s="288"/>
      <c r="G35" s="288"/>
      <c r="H35" s="289"/>
      <c r="I35" s="93"/>
      <c r="J35" s="93"/>
    </row>
    <row r="36" spans="1:10">
      <c r="A36" s="13" t="s">
        <v>55</v>
      </c>
      <c r="B36" s="131" t="s">
        <v>56</v>
      </c>
      <c r="C36" s="131"/>
      <c r="D36" s="131"/>
      <c r="E36" s="131"/>
      <c r="F36" s="131"/>
      <c r="G36" s="131"/>
      <c r="H36" s="14" t="s">
        <v>57</v>
      </c>
      <c r="I36" s="93"/>
      <c r="J36" s="93"/>
    </row>
    <row r="37" spans="1:10">
      <c r="A37" s="291"/>
      <c r="B37" s="292"/>
      <c r="C37" s="292"/>
      <c r="D37" s="292"/>
      <c r="E37" s="292"/>
      <c r="F37" s="292"/>
      <c r="G37" s="292"/>
      <c r="H37" s="291"/>
      <c r="I37" s="93"/>
      <c r="J37" s="93"/>
    </row>
    <row r="38" spans="1:10">
      <c r="A38" s="291"/>
      <c r="B38" s="292"/>
      <c r="C38" s="292"/>
      <c r="D38" s="292"/>
      <c r="E38" s="292"/>
      <c r="F38" s="292"/>
      <c r="G38" s="292"/>
      <c r="H38" s="291"/>
      <c r="I38" s="93"/>
      <c r="J38" s="93"/>
    </row>
    <row r="39" spans="1:10">
      <c r="A39" s="291"/>
      <c r="B39" s="292"/>
      <c r="C39" s="292"/>
      <c r="D39" s="292"/>
      <c r="E39" s="292"/>
      <c r="F39" s="292"/>
      <c r="G39" s="292"/>
      <c r="H39" s="291"/>
      <c r="I39" s="93"/>
      <c r="J39" s="93"/>
    </row>
    <row r="40" spans="1:10">
      <c r="A40" s="291"/>
      <c r="B40" s="292"/>
      <c r="C40" s="292"/>
      <c r="D40" s="292"/>
      <c r="E40" s="292"/>
      <c r="F40" s="292"/>
      <c r="G40" s="292"/>
      <c r="H40" s="291"/>
      <c r="I40" s="93"/>
      <c r="J40" s="93"/>
    </row>
    <row r="41" spans="1:10">
      <c r="A41" s="291"/>
      <c r="B41" s="292"/>
      <c r="C41" s="292"/>
      <c r="D41" s="292"/>
      <c r="E41" s="292"/>
      <c r="F41" s="292"/>
      <c r="G41" s="292"/>
      <c r="H41" s="291"/>
      <c r="I41" s="93"/>
      <c r="J41" s="93"/>
    </row>
    <row r="42" spans="1:10">
      <c r="A42" s="291"/>
      <c r="B42" s="292"/>
      <c r="C42" s="292"/>
      <c r="D42" s="292"/>
      <c r="E42" s="292"/>
      <c r="F42" s="292"/>
      <c r="G42" s="292"/>
      <c r="H42" s="291"/>
      <c r="I42" s="93"/>
      <c r="J42" s="93"/>
    </row>
    <row r="43" spans="1:10">
      <c r="A43" s="291"/>
      <c r="B43" s="292"/>
      <c r="C43" s="292"/>
      <c r="D43" s="292"/>
      <c r="E43" s="292"/>
      <c r="F43" s="292"/>
      <c r="G43" s="292"/>
      <c r="H43" s="291"/>
      <c r="I43" s="93"/>
      <c r="J43" s="93"/>
    </row>
    <row r="45" spans="1:10">
      <c r="A45" s="140" t="s">
        <v>58</v>
      </c>
      <c r="B45" s="293"/>
      <c r="C45" s="293"/>
      <c r="D45" s="293"/>
      <c r="E45" s="293"/>
      <c r="F45" s="293"/>
      <c r="G45" s="293"/>
      <c r="H45" s="293"/>
      <c r="I45" s="293"/>
      <c r="J45" s="294"/>
    </row>
    <row r="46" spans="1:10">
      <c r="A46" s="295"/>
      <c r="B46" s="296"/>
      <c r="C46" s="296"/>
      <c r="D46" s="296"/>
      <c r="E46" s="296"/>
      <c r="F46" s="296"/>
      <c r="G46" s="296"/>
      <c r="H46" s="296"/>
      <c r="I46" s="296"/>
      <c r="J46" s="297"/>
    </row>
    <row r="47" spans="1:10">
      <c r="A47" s="295"/>
      <c r="B47" s="296"/>
      <c r="C47" s="296"/>
      <c r="D47" s="296"/>
      <c r="E47" s="296"/>
      <c r="F47" s="296"/>
      <c r="G47" s="296"/>
      <c r="H47" s="296"/>
      <c r="I47" s="296"/>
      <c r="J47" s="297"/>
    </row>
    <row r="48" spans="1:10">
      <c r="A48" s="298"/>
      <c r="B48" s="299"/>
      <c r="C48" s="299"/>
      <c r="D48" s="299"/>
      <c r="E48" s="299"/>
      <c r="F48" s="299"/>
      <c r="G48" s="299"/>
      <c r="H48" s="299"/>
      <c r="I48" s="299"/>
      <c r="J48" s="300"/>
    </row>
    <row r="66" spans="6:6">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zoomScale="90" zoomScaleNormal="90" workbookViewId="0">
      <selection activeCell="A22" sqref="A22:I54"/>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4">
      <c r="A1" s="93" t="str">
        <f>+'Cover Page'!$B$29</f>
        <v>Annual Performance Report 2022</v>
      </c>
      <c r="B1" s="93"/>
      <c r="C1" s="93"/>
      <c r="D1" s="93"/>
      <c r="E1" s="93" t="str">
        <f>+'Cover Page'!$B$33</f>
        <v>Rookery Pit Energy Recovery Facility</v>
      </c>
      <c r="F1" s="93"/>
      <c r="G1" s="93"/>
      <c r="H1" s="93"/>
      <c r="I1" s="93"/>
      <c r="J1" s="93"/>
      <c r="K1" s="93"/>
      <c r="L1" s="93"/>
      <c r="M1" s="93"/>
      <c r="N1" s="93"/>
    </row>
    <row r="3" spans="1:14">
      <c r="A3" s="51" t="s">
        <v>59</v>
      </c>
      <c r="B3" s="301"/>
      <c r="C3" s="301"/>
      <c r="D3" s="301"/>
      <c r="E3" s="301"/>
      <c r="F3" s="301"/>
      <c r="G3" s="301"/>
      <c r="H3" s="301"/>
      <c r="I3" s="302"/>
      <c r="J3" s="93"/>
      <c r="K3" s="81" t="s">
        <v>3</v>
      </c>
      <c r="L3" s="93"/>
      <c r="M3" s="93"/>
      <c r="N3" s="93"/>
    </row>
    <row r="4" spans="1:14">
      <c r="A4" s="303"/>
      <c r="B4" s="304"/>
      <c r="C4" s="304"/>
      <c r="D4" s="304"/>
      <c r="E4" s="304"/>
      <c r="F4" s="304"/>
      <c r="G4" s="304"/>
      <c r="H4" s="304"/>
      <c r="I4" s="305"/>
      <c r="J4" s="93"/>
      <c r="K4" s="93"/>
      <c r="L4" s="93"/>
      <c r="M4" s="93"/>
      <c r="N4" s="93"/>
    </row>
    <row r="5" spans="1:14" ht="15.75" customHeight="1">
      <c r="A5" s="137" t="s">
        <v>60</v>
      </c>
      <c r="B5" s="203"/>
      <c r="C5" s="203"/>
      <c r="D5" s="203"/>
      <c r="E5" s="203"/>
      <c r="F5" s="203"/>
      <c r="G5" s="203"/>
      <c r="H5" s="203"/>
      <c r="I5" s="204"/>
      <c r="J5" s="93"/>
      <c r="K5" s="224" t="s">
        <v>61</v>
      </c>
      <c r="L5" s="224"/>
      <c r="M5" s="224"/>
      <c r="N5" s="224"/>
    </row>
    <row r="6" spans="1:14">
      <c r="A6" s="205"/>
      <c r="B6" s="206"/>
      <c r="C6" s="206"/>
      <c r="D6" s="206"/>
      <c r="E6" s="206"/>
      <c r="F6" s="206"/>
      <c r="G6" s="206"/>
      <c r="H6" s="206"/>
      <c r="I6" s="207"/>
      <c r="J6" s="93"/>
      <c r="K6" s="224"/>
      <c r="L6" s="224"/>
      <c r="M6" s="224"/>
      <c r="N6" s="224"/>
    </row>
    <row r="7" spans="1:14">
      <c r="A7" s="205"/>
      <c r="B7" s="206"/>
      <c r="C7" s="206"/>
      <c r="D7" s="206"/>
      <c r="E7" s="206"/>
      <c r="F7" s="206"/>
      <c r="G7" s="206"/>
      <c r="H7" s="206"/>
      <c r="I7" s="207"/>
      <c r="J7" s="93"/>
      <c r="K7" s="224"/>
      <c r="L7" s="224"/>
      <c r="M7" s="224"/>
      <c r="N7" s="224"/>
    </row>
    <row r="8" spans="1:14" ht="15.75" customHeight="1">
      <c r="A8" s="205"/>
      <c r="B8" s="206"/>
      <c r="C8" s="206"/>
      <c r="D8" s="206"/>
      <c r="E8" s="206"/>
      <c r="F8" s="206"/>
      <c r="G8" s="206"/>
      <c r="H8" s="206"/>
      <c r="I8" s="207"/>
      <c r="J8" s="93"/>
      <c r="K8" s="224"/>
      <c r="L8" s="224"/>
      <c r="M8" s="224"/>
      <c r="N8" s="224"/>
    </row>
    <row r="9" spans="1:14">
      <c r="A9" s="205"/>
      <c r="B9" s="206"/>
      <c r="C9" s="206"/>
      <c r="D9" s="206"/>
      <c r="E9" s="206"/>
      <c r="F9" s="206"/>
      <c r="G9" s="206"/>
      <c r="H9" s="206"/>
      <c r="I9" s="207"/>
      <c r="J9" s="93"/>
      <c r="K9" s="224"/>
      <c r="L9" s="224"/>
      <c r="M9" s="224"/>
      <c r="N9" s="224"/>
    </row>
    <row r="10" spans="1:14">
      <c r="A10" s="205"/>
      <c r="B10" s="206"/>
      <c r="C10" s="206"/>
      <c r="D10" s="206"/>
      <c r="E10" s="206"/>
      <c r="F10" s="206"/>
      <c r="G10" s="206"/>
      <c r="H10" s="206"/>
      <c r="I10" s="207"/>
      <c r="J10" s="93"/>
      <c r="K10" s="224"/>
      <c r="L10" s="224"/>
      <c r="M10" s="224"/>
      <c r="N10" s="224"/>
    </row>
    <row r="11" spans="1:14">
      <c r="A11" s="205"/>
      <c r="B11" s="206"/>
      <c r="C11" s="206"/>
      <c r="D11" s="206"/>
      <c r="E11" s="206"/>
      <c r="F11" s="206"/>
      <c r="G11" s="206"/>
      <c r="H11" s="206"/>
      <c r="I11" s="207"/>
      <c r="J11" s="93"/>
      <c r="K11" s="224"/>
      <c r="L11" s="224"/>
      <c r="M11" s="224"/>
      <c r="N11" s="224"/>
    </row>
    <row r="12" spans="1:14">
      <c r="A12" s="205"/>
      <c r="B12" s="206"/>
      <c r="C12" s="206"/>
      <c r="D12" s="206"/>
      <c r="E12" s="206"/>
      <c r="F12" s="206"/>
      <c r="G12" s="206"/>
      <c r="H12" s="206"/>
      <c r="I12" s="207"/>
      <c r="J12" s="93"/>
      <c r="K12" s="224"/>
      <c r="L12" s="224"/>
      <c r="M12" s="224"/>
      <c r="N12" s="224"/>
    </row>
    <row r="13" spans="1:14">
      <c r="A13" s="205"/>
      <c r="B13" s="206"/>
      <c r="C13" s="206"/>
      <c r="D13" s="206"/>
      <c r="E13" s="206"/>
      <c r="F13" s="206"/>
      <c r="G13" s="206"/>
      <c r="H13" s="206"/>
      <c r="I13" s="207"/>
      <c r="J13" s="93"/>
      <c r="K13" s="224"/>
      <c r="L13" s="224"/>
      <c r="M13" s="224"/>
      <c r="N13" s="224"/>
    </row>
    <row r="14" spans="1:14">
      <c r="A14" s="205"/>
      <c r="B14" s="206"/>
      <c r="C14" s="206"/>
      <c r="D14" s="206"/>
      <c r="E14" s="206"/>
      <c r="F14" s="206"/>
      <c r="G14" s="206"/>
      <c r="H14" s="206"/>
      <c r="I14" s="207"/>
      <c r="J14" s="93"/>
      <c r="K14" s="224"/>
      <c r="L14" s="224"/>
      <c r="M14" s="224"/>
      <c r="N14" s="224"/>
    </row>
    <row r="15" spans="1:14">
      <c r="A15" s="205"/>
      <c r="B15" s="206"/>
      <c r="C15" s="206"/>
      <c r="D15" s="206"/>
      <c r="E15" s="206"/>
      <c r="F15" s="206"/>
      <c r="G15" s="206"/>
      <c r="H15" s="206"/>
      <c r="I15" s="207"/>
      <c r="J15" s="93"/>
      <c r="K15" s="93"/>
      <c r="L15" s="93"/>
      <c r="M15" s="93"/>
      <c r="N15" s="93"/>
    </row>
    <row r="16" spans="1:14">
      <c r="A16" s="205"/>
      <c r="B16" s="206"/>
      <c r="C16" s="206"/>
      <c r="D16" s="206"/>
      <c r="E16" s="206"/>
      <c r="F16" s="206"/>
      <c r="G16" s="206"/>
      <c r="H16" s="206"/>
      <c r="I16" s="207"/>
      <c r="J16" s="93"/>
      <c r="K16" s="93"/>
      <c r="L16" s="93"/>
      <c r="M16" s="93"/>
      <c r="N16" s="93"/>
    </row>
    <row r="17" spans="1:14">
      <c r="A17" s="205"/>
      <c r="B17" s="206"/>
      <c r="C17" s="206"/>
      <c r="D17" s="206"/>
      <c r="E17" s="206"/>
      <c r="F17" s="206"/>
      <c r="G17" s="206"/>
      <c r="H17" s="206"/>
      <c r="I17" s="207"/>
      <c r="J17" s="93"/>
      <c r="K17" s="93"/>
      <c r="L17" s="93"/>
      <c r="M17" s="93"/>
      <c r="N17" s="93"/>
    </row>
    <row r="18" spans="1:14" ht="294.95" customHeight="1">
      <c r="A18" s="208"/>
      <c r="B18" s="209"/>
      <c r="C18" s="209"/>
      <c r="D18" s="209"/>
      <c r="E18" s="209"/>
      <c r="F18" s="209"/>
      <c r="G18" s="209"/>
      <c r="H18" s="209"/>
      <c r="I18" s="210"/>
      <c r="J18" s="93"/>
      <c r="K18" s="93"/>
      <c r="L18" s="93"/>
      <c r="M18" s="93"/>
      <c r="N18" s="93"/>
    </row>
    <row r="20" spans="1:14">
      <c r="A20" s="51" t="s">
        <v>62</v>
      </c>
      <c r="B20" s="301"/>
      <c r="C20" s="301"/>
      <c r="D20" s="301"/>
      <c r="E20" s="301"/>
      <c r="F20" s="301"/>
      <c r="G20" s="301"/>
      <c r="H20" s="301"/>
      <c r="I20" s="302"/>
      <c r="J20" s="93"/>
      <c r="K20" s="93"/>
      <c r="L20" s="93"/>
      <c r="M20" s="93"/>
      <c r="N20" s="93"/>
    </row>
    <row r="21" spans="1:14">
      <c r="A21" s="303"/>
      <c r="B21" s="304"/>
      <c r="C21" s="304"/>
      <c r="D21" s="304"/>
      <c r="E21" s="304"/>
      <c r="F21" s="304"/>
      <c r="G21" s="304"/>
      <c r="H21" s="304"/>
      <c r="I21" s="305"/>
      <c r="J21" s="93"/>
      <c r="K21" s="93"/>
      <c r="L21" s="93"/>
      <c r="M21" s="93"/>
      <c r="N21" s="93"/>
    </row>
    <row r="22" spans="1:14">
      <c r="A22" s="137" t="s">
        <v>63</v>
      </c>
      <c r="B22" s="306"/>
      <c r="C22" s="306"/>
      <c r="D22" s="306"/>
      <c r="E22" s="306"/>
      <c r="F22" s="306"/>
      <c r="G22" s="306"/>
      <c r="H22" s="306"/>
      <c r="I22" s="307"/>
      <c r="J22" s="93"/>
      <c r="K22" s="224" t="s">
        <v>64</v>
      </c>
      <c r="L22" s="224"/>
      <c r="M22" s="224"/>
      <c r="N22" s="224"/>
    </row>
    <row r="23" spans="1:14">
      <c r="A23" s="308"/>
      <c r="B23" s="309"/>
      <c r="C23" s="309"/>
      <c r="D23" s="309"/>
      <c r="E23" s="309"/>
      <c r="F23" s="309"/>
      <c r="G23" s="309"/>
      <c r="H23" s="309"/>
      <c r="I23" s="310"/>
      <c r="J23" s="93"/>
      <c r="K23" s="224"/>
      <c r="L23" s="224"/>
      <c r="M23" s="224"/>
      <c r="N23" s="224"/>
    </row>
    <row r="24" spans="1:14">
      <c r="A24" s="308"/>
      <c r="B24" s="309"/>
      <c r="C24" s="309"/>
      <c r="D24" s="309"/>
      <c r="E24" s="309"/>
      <c r="F24" s="309"/>
      <c r="G24" s="309"/>
      <c r="H24" s="309"/>
      <c r="I24" s="310"/>
      <c r="J24" s="93"/>
      <c r="K24" s="224"/>
      <c r="L24" s="224"/>
      <c r="M24" s="224"/>
      <c r="N24" s="224"/>
    </row>
    <row r="25" spans="1:14">
      <c r="A25" s="308"/>
      <c r="B25" s="309"/>
      <c r="C25" s="309"/>
      <c r="D25" s="309"/>
      <c r="E25" s="309"/>
      <c r="F25" s="309"/>
      <c r="G25" s="309"/>
      <c r="H25" s="309"/>
      <c r="I25" s="310"/>
      <c r="J25" s="93"/>
      <c r="K25" s="224"/>
      <c r="L25" s="224"/>
      <c r="M25" s="224"/>
      <c r="N25" s="224"/>
    </row>
    <row r="26" spans="1:14">
      <c r="A26" s="308"/>
      <c r="B26" s="309"/>
      <c r="C26" s="309"/>
      <c r="D26" s="309"/>
      <c r="E26" s="309"/>
      <c r="F26" s="309"/>
      <c r="G26" s="309"/>
      <c r="H26" s="309"/>
      <c r="I26" s="310"/>
      <c r="J26" s="93"/>
      <c r="K26" s="224"/>
      <c r="L26" s="224"/>
      <c r="M26" s="224"/>
      <c r="N26" s="224"/>
    </row>
    <row r="27" spans="1:14">
      <c r="A27" s="308"/>
      <c r="B27" s="309"/>
      <c r="C27" s="309"/>
      <c r="D27" s="309"/>
      <c r="E27" s="309"/>
      <c r="F27" s="309"/>
      <c r="G27" s="309"/>
      <c r="H27" s="309"/>
      <c r="I27" s="310"/>
      <c r="J27" s="93"/>
      <c r="K27" s="224"/>
      <c r="L27" s="224"/>
      <c r="M27" s="224"/>
      <c r="N27" s="224"/>
    </row>
    <row r="28" spans="1:14">
      <c r="A28" s="308"/>
      <c r="B28" s="309"/>
      <c r="C28" s="309"/>
      <c r="D28" s="309"/>
      <c r="E28" s="309"/>
      <c r="F28" s="309"/>
      <c r="G28" s="309"/>
      <c r="H28" s="309"/>
      <c r="I28" s="310"/>
      <c r="J28" s="93"/>
      <c r="K28" s="224"/>
      <c r="L28" s="224"/>
      <c r="M28" s="224"/>
      <c r="N28" s="224"/>
    </row>
    <row r="29" spans="1:14">
      <c r="A29" s="308"/>
      <c r="B29" s="309"/>
      <c r="C29" s="309"/>
      <c r="D29" s="309"/>
      <c r="E29" s="309"/>
      <c r="F29" s="309"/>
      <c r="G29" s="309"/>
      <c r="H29" s="309"/>
      <c r="I29" s="310"/>
      <c r="J29" s="93"/>
      <c r="K29" s="224"/>
      <c r="L29" s="224"/>
      <c r="M29" s="224"/>
      <c r="N29" s="224"/>
    </row>
    <row r="30" spans="1:14">
      <c r="A30" s="308"/>
      <c r="B30" s="309"/>
      <c r="C30" s="309"/>
      <c r="D30" s="309"/>
      <c r="E30" s="309"/>
      <c r="F30" s="309"/>
      <c r="G30" s="309"/>
      <c r="H30" s="309"/>
      <c r="I30" s="310"/>
      <c r="J30" s="93"/>
      <c r="K30" s="224"/>
      <c r="L30" s="224"/>
      <c r="M30" s="224"/>
      <c r="N30" s="224"/>
    </row>
    <row r="31" spans="1:14">
      <c r="A31" s="308"/>
      <c r="B31" s="309"/>
      <c r="C31" s="309"/>
      <c r="D31" s="309"/>
      <c r="E31" s="309"/>
      <c r="F31" s="309"/>
      <c r="G31" s="309"/>
      <c r="H31" s="309"/>
      <c r="I31" s="310"/>
      <c r="J31" s="93"/>
      <c r="K31" s="224"/>
      <c r="L31" s="224"/>
      <c r="M31" s="224"/>
      <c r="N31" s="224"/>
    </row>
    <row r="32" spans="1:14">
      <c r="A32" s="308"/>
      <c r="B32" s="309"/>
      <c r="C32" s="309"/>
      <c r="D32" s="309"/>
      <c r="E32" s="309"/>
      <c r="F32" s="309"/>
      <c r="G32" s="309"/>
      <c r="H32" s="309"/>
      <c r="I32" s="310"/>
      <c r="J32" s="93"/>
      <c r="K32" s="93"/>
      <c r="L32" s="93"/>
      <c r="M32" s="93"/>
      <c r="N32" s="93"/>
    </row>
    <row r="33" spans="1:9">
      <c r="A33" s="308"/>
      <c r="B33" s="309"/>
      <c r="C33" s="309"/>
      <c r="D33" s="309"/>
      <c r="E33" s="309"/>
      <c r="F33" s="309"/>
      <c r="G33" s="309"/>
      <c r="H33" s="309"/>
      <c r="I33" s="310"/>
    </row>
    <row r="34" spans="1:9" ht="12.95" customHeight="1">
      <c r="A34" s="308"/>
      <c r="B34" s="309"/>
      <c r="C34" s="309"/>
      <c r="D34" s="309"/>
      <c r="E34" s="309"/>
      <c r="F34" s="309"/>
      <c r="G34" s="309"/>
      <c r="H34" s="309"/>
      <c r="I34" s="310"/>
    </row>
    <row r="35" spans="1:9" hidden="1">
      <c r="A35" s="308"/>
      <c r="B35" s="309"/>
      <c r="C35" s="309"/>
      <c r="D35" s="309"/>
      <c r="E35" s="309"/>
      <c r="F35" s="309"/>
      <c r="G35" s="309"/>
      <c r="H35" s="309"/>
      <c r="I35" s="310"/>
    </row>
    <row r="36" spans="1:9" hidden="1">
      <c r="A36" s="308"/>
      <c r="B36" s="309"/>
      <c r="C36" s="309"/>
      <c r="D36" s="309"/>
      <c r="E36" s="309"/>
      <c r="F36" s="309"/>
      <c r="G36" s="309"/>
      <c r="H36" s="309"/>
      <c r="I36" s="310"/>
    </row>
    <row r="37" spans="1:9" hidden="1">
      <c r="A37" s="308"/>
      <c r="B37" s="309"/>
      <c r="C37" s="309"/>
      <c r="D37" s="309"/>
      <c r="E37" s="309"/>
      <c r="F37" s="309"/>
      <c r="G37" s="309"/>
      <c r="H37" s="309"/>
      <c r="I37" s="310"/>
    </row>
    <row r="38" spans="1:9" hidden="1">
      <c r="A38" s="308"/>
      <c r="B38" s="309"/>
      <c r="C38" s="309"/>
      <c r="D38" s="309"/>
      <c r="E38" s="309"/>
      <c r="F38" s="309"/>
      <c r="G38" s="309"/>
      <c r="H38" s="309"/>
      <c r="I38" s="310"/>
    </row>
    <row r="39" spans="1:9" hidden="1">
      <c r="A39" s="308"/>
      <c r="B39" s="309"/>
      <c r="C39" s="309"/>
      <c r="D39" s="309"/>
      <c r="E39" s="309"/>
      <c r="F39" s="309"/>
      <c r="G39" s="309"/>
      <c r="H39" s="309"/>
      <c r="I39" s="310"/>
    </row>
    <row r="40" spans="1:9" ht="14.1" hidden="1" customHeight="1">
      <c r="A40" s="308"/>
      <c r="B40" s="309"/>
      <c r="C40" s="309"/>
      <c r="D40" s="309"/>
      <c r="E40" s="309"/>
      <c r="F40" s="309"/>
      <c r="G40" s="309"/>
      <c r="H40" s="309"/>
      <c r="I40" s="310"/>
    </row>
    <row r="41" spans="1:9" hidden="1">
      <c r="A41" s="308"/>
      <c r="B41" s="309"/>
      <c r="C41" s="309"/>
      <c r="D41" s="309"/>
      <c r="E41" s="309"/>
      <c r="F41" s="309"/>
      <c r="G41" s="309"/>
      <c r="H41" s="309"/>
      <c r="I41" s="310"/>
    </row>
    <row r="42" spans="1:9" hidden="1">
      <c r="A42" s="308"/>
      <c r="B42" s="309"/>
      <c r="C42" s="309"/>
      <c r="D42" s="309"/>
      <c r="E42" s="309"/>
      <c r="F42" s="309"/>
      <c r="G42" s="309"/>
      <c r="H42" s="309"/>
      <c r="I42" s="310"/>
    </row>
    <row r="43" spans="1:9" hidden="1">
      <c r="A43" s="308"/>
      <c r="B43" s="309"/>
      <c r="C43" s="309"/>
      <c r="D43" s="309"/>
      <c r="E43" s="309"/>
      <c r="F43" s="309"/>
      <c r="G43" s="309"/>
      <c r="H43" s="309"/>
      <c r="I43" s="310"/>
    </row>
    <row r="44" spans="1:9" hidden="1">
      <c r="A44" s="308"/>
      <c r="B44" s="309"/>
      <c r="C44" s="309"/>
      <c r="D44" s="309"/>
      <c r="E44" s="309"/>
      <c r="F44" s="309"/>
      <c r="G44" s="309"/>
      <c r="H44" s="309"/>
      <c r="I44" s="310"/>
    </row>
    <row r="45" spans="1:9" hidden="1">
      <c r="A45" s="308"/>
      <c r="B45" s="309"/>
      <c r="C45" s="309"/>
      <c r="D45" s="309"/>
      <c r="E45" s="309"/>
      <c r="F45" s="309"/>
      <c r="G45" s="309"/>
      <c r="H45" s="309"/>
      <c r="I45" s="310"/>
    </row>
    <row r="46" spans="1:9" hidden="1">
      <c r="A46" s="308"/>
      <c r="B46" s="309"/>
      <c r="C46" s="309"/>
      <c r="D46" s="309"/>
      <c r="E46" s="309"/>
      <c r="F46" s="309"/>
      <c r="G46" s="309"/>
      <c r="H46" s="309"/>
      <c r="I46" s="310"/>
    </row>
    <row r="47" spans="1:9" hidden="1">
      <c r="A47" s="308"/>
      <c r="B47" s="309"/>
      <c r="C47" s="309"/>
      <c r="D47" s="309"/>
      <c r="E47" s="309"/>
      <c r="F47" s="309"/>
      <c r="G47" s="309"/>
      <c r="H47" s="309"/>
      <c r="I47" s="310"/>
    </row>
    <row r="48" spans="1:9" hidden="1">
      <c r="A48" s="308"/>
      <c r="B48" s="309"/>
      <c r="C48" s="309"/>
      <c r="D48" s="309"/>
      <c r="E48" s="309"/>
      <c r="F48" s="309"/>
      <c r="G48" s="309"/>
      <c r="H48" s="309"/>
      <c r="I48" s="310"/>
    </row>
    <row r="49" spans="1:9" hidden="1">
      <c r="A49" s="308"/>
      <c r="B49" s="309"/>
      <c r="C49" s="309"/>
      <c r="D49" s="309"/>
      <c r="E49" s="309"/>
      <c r="F49" s="309"/>
      <c r="G49" s="309"/>
      <c r="H49" s="309"/>
      <c r="I49" s="310"/>
    </row>
    <row r="50" spans="1:9" hidden="1">
      <c r="A50" s="308"/>
      <c r="B50" s="309"/>
      <c r="C50" s="309"/>
      <c r="D50" s="309"/>
      <c r="E50" s="309"/>
      <c r="F50" s="309"/>
      <c r="G50" s="309"/>
      <c r="H50" s="309"/>
      <c r="I50" s="310"/>
    </row>
    <row r="51" spans="1:9" hidden="1">
      <c r="A51" s="308"/>
      <c r="B51" s="309"/>
      <c r="C51" s="309"/>
      <c r="D51" s="309"/>
      <c r="E51" s="309"/>
      <c r="F51" s="309"/>
      <c r="G51" s="309"/>
      <c r="H51" s="309"/>
      <c r="I51" s="310"/>
    </row>
    <row r="52" spans="1:9" hidden="1">
      <c r="A52" s="308"/>
      <c r="B52" s="309"/>
      <c r="C52" s="309"/>
      <c r="D52" s="309"/>
      <c r="E52" s="309"/>
      <c r="F52" s="309"/>
      <c r="G52" s="309"/>
      <c r="H52" s="309"/>
      <c r="I52" s="310"/>
    </row>
    <row r="53" spans="1:9" hidden="1">
      <c r="A53" s="308"/>
      <c r="B53" s="309"/>
      <c r="C53" s="309"/>
      <c r="D53" s="309"/>
      <c r="E53" s="309"/>
      <c r="F53" s="309"/>
      <c r="G53" s="309"/>
      <c r="H53" s="309"/>
      <c r="I53" s="310"/>
    </row>
    <row r="54" spans="1:9" hidden="1">
      <c r="A54" s="311"/>
      <c r="B54" s="312"/>
      <c r="C54" s="312"/>
      <c r="D54" s="312"/>
      <c r="E54" s="312"/>
      <c r="F54" s="312"/>
      <c r="G54" s="312"/>
      <c r="H54" s="312"/>
      <c r="I54" s="313"/>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fitToPage="1"/>
  </sheetPr>
  <dimension ref="A1:L78"/>
  <sheetViews>
    <sheetView workbookViewId="0">
      <selection activeCell="E53" sqref="E53"/>
    </sheetView>
  </sheetViews>
  <sheetFormatPr defaultColWidth="9.42578125" defaultRowHeight="15.6"/>
  <cols>
    <col min="1" max="1" width="45.42578125" style="2" customWidth="1"/>
    <col min="2" max="2" width="8.42578125" style="12" customWidth="1"/>
    <col min="3" max="3" width="11.140625" style="12" bestFit="1" customWidth="1"/>
    <col min="4" max="4" width="14.7109375" style="12" bestFit="1" customWidth="1"/>
    <col min="5" max="5" width="12.85546875" style="12" customWidth="1"/>
    <col min="6" max="6" width="13.42578125" style="12" customWidth="1"/>
    <col min="7" max="7" width="11.42578125" style="15" customWidth="1"/>
    <col min="8" max="8" width="11.5703125" style="16" customWidth="1"/>
    <col min="9" max="10" width="9.42578125" style="2"/>
    <col min="11" max="11" width="38.42578125" style="2" customWidth="1"/>
    <col min="12" max="16384" width="9.42578125" style="2"/>
  </cols>
  <sheetData>
    <row r="1" spans="1:11">
      <c r="A1" s="93" t="str">
        <f>+'Cover Page'!$B$29</f>
        <v>Annual Performance Report 2022</v>
      </c>
      <c r="B1" s="93"/>
      <c r="C1" s="93"/>
      <c r="D1" s="93"/>
      <c r="E1" s="93" t="str">
        <f>+'Cover Page'!$B$33</f>
        <v>Rookery Pit Energy Recovery Facility</v>
      </c>
      <c r="F1" s="93"/>
      <c r="G1" s="93"/>
      <c r="H1" s="93"/>
      <c r="I1" s="93"/>
      <c r="J1" s="93"/>
      <c r="K1" s="93"/>
    </row>
    <row r="3" spans="1:11">
      <c r="A3" s="1" t="s">
        <v>32</v>
      </c>
      <c r="B3" s="109"/>
      <c r="C3" s="109"/>
      <c r="D3" s="109"/>
      <c r="E3" s="109"/>
      <c r="F3" s="109"/>
      <c r="H3" s="314"/>
      <c r="I3" s="93"/>
      <c r="J3" s="93"/>
      <c r="K3" s="81" t="s">
        <v>3</v>
      </c>
    </row>
    <row r="4" spans="1:11">
      <c r="A4" s="18" t="s">
        <v>65</v>
      </c>
      <c r="B4" s="315">
        <v>585000</v>
      </c>
      <c r="C4" s="315"/>
      <c r="D4" s="20" t="s">
        <v>66</v>
      </c>
      <c r="E4" s="19"/>
      <c r="F4" s="20" t="s">
        <v>67</v>
      </c>
      <c r="G4" s="19">
        <v>65</v>
      </c>
      <c r="H4" s="70" t="s">
        <v>68</v>
      </c>
      <c r="I4" s="93"/>
      <c r="J4" s="93"/>
      <c r="K4" s="17" t="s">
        <v>69</v>
      </c>
    </row>
    <row r="5" spans="1:11">
      <c r="A5" s="21" t="s">
        <v>70</v>
      </c>
      <c r="B5" s="22">
        <v>3</v>
      </c>
      <c r="C5" s="23"/>
      <c r="D5" s="23" t="s">
        <v>71</v>
      </c>
      <c r="E5" s="23"/>
      <c r="F5" s="24">
        <v>1</v>
      </c>
      <c r="G5" s="25"/>
      <c r="H5" s="26"/>
      <c r="I5" s="93"/>
      <c r="J5" s="93"/>
      <c r="K5" s="17" t="s">
        <v>72</v>
      </c>
    </row>
    <row r="6" spans="1:11">
      <c r="A6" s="3"/>
      <c r="B6" s="109"/>
      <c r="C6" s="109"/>
      <c r="D6" s="109"/>
      <c r="E6" s="109"/>
      <c r="F6" s="109"/>
      <c r="H6" s="314"/>
      <c r="I6" s="93"/>
      <c r="J6" s="93"/>
      <c r="K6" s="138" t="s">
        <v>73</v>
      </c>
    </row>
    <row r="7" spans="1:11">
      <c r="A7" s="9" t="s">
        <v>74</v>
      </c>
      <c r="B7" s="316" t="s">
        <v>75</v>
      </c>
      <c r="C7" s="317" t="s">
        <v>76</v>
      </c>
      <c r="D7" s="317" t="s">
        <v>77</v>
      </c>
      <c r="E7" s="317" t="s">
        <v>78</v>
      </c>
      <c r="F7" s="317" t="s">
        <v>79</v>
      </c>
      <c r="G7" s="27" t="s">
        <v>80</v>
      </c>
      <c r="H7" s="318" t="s">
        <v>81</v>
      </c>
      <c r="I7" s="93"/>
      <c r="J7" s="93"/>
      <c r="K7" s="138"/>
    </row>
    <row r="8" spans="1:11" ht="15.75" customHeight="1">
      <c r="A8" s="319" t="s">
        <v>82</v>
      </c>
      <c r="B8" s="320" t="s">
        <v>83</v>
      </c>
      <c r="C8" s="321">
        <v>158150.51</v>
      </c>
      <c r="D8" s="321">
        <v>124714.96</v>
      </c>
      <c r="E8" s="321">
        <v>68188.600000000006</v>
      </c>
      <c r="F8" s="321">
        <v>146713.77999999997</v>
      </c>
      <c r="G8" s="28">
        <f>SUM(C8:F8)</f>
        <v>497767.85000000003</v>
      </c>
      <c r="H8" s="322">
        <f t="shared" ref="H8:H15" si="0">IF(G8&gt;0,G8/$G$18,"-")</f>
        <v>1</v>
      </c>
      <c r="I8" s="93"/>
      <c r="J8" s="93"/>
      <c r="K8" s="139" t="s">
        <v>84</v>
      </c>
    </row>
    <row r="9" spans="1:11">
      <c r="A9" s="323" t="s">
        <v>85</v>
      </c>
      <c r="B9" s="324"/>
      <c r="C9" s="325"/>
      <c r="D9" s="325"/>
      <c r="E9" s="325"/>
      <c r="F9" s="325"/>
      <c r="G9" s="89">
        <f t="shared" ref="G9:G15" si="1">SUM(C9:F9)</f>
        <v>0</v>
      </c>
      <c r="H9" s="326" t="str">
        <f t="shared" si="0"/>
        <v>-</v>
      </c>
      <c r="I9" s="93"/>
      <c r="J9" s="93"/>
      <c r="K9" s="139"/>
    </row>
    <row r="10" spans="1:11">
      <c r="A10" s="323" t="s">
        <v>86</v>
      </c>
      <c r="B10" s="324"/>
      <c r="C10" s="325"/>
      <c r="D10" s="325"/>
      <c r="E10" s="325"/>
      <c r="F10" s="325"/>
      <c r="G10" s="89">
        <f t="shared" si="1"/>
        <v>0</v>
      </c>
      <c r="H10" s="326" t="str">
        <f t="shared" si="0"/>
        <v>-</v>
      </c>
      <c r="I10" s="93"/>
      <c r="J10" s="93"/>
      <c r="K10" s="139"/>
    </row>
    <row r="11" spans="1:11">
      <c r="A11" s="323" t="s">
        <v>87</v>
      </c>
      <c r="B11" s="324"/>
      <c r="C11" s="325"/>
      <c r="D11" s="325"/>
      <c r="E11" s="325"/>
      <c r="F11" s="325"/>
      <c r="G11" s="89">
        <f t="shared" si="1"/>
        <v>0</v>
      </c>
      <c r="H11" s="326" t="str">
        <f t="shared" si="0"/>
        <v>-</v>
      </c>
      <c r="I11" s="93"/>
      <c r="J11" s="93"/>
      <c r="K11" s="139"/>
    </row>
    <row r="12" spans="1:11">
      <c r="A12" s="323" t="s">
        <v>88</v>
      </c>
      <c r="B12" s="324"/>
      <c r="C12" s="325"/>
      <c r="D12" s="325"/>
      <c r="E12" s="325"/>
      <c r="F12" s="325"/>
      <c r="G12" s="89">
        <f t="shared" si="1"/>
        <v>0</v>
      </c>
      <c r="H12" s="326" t="str">
        <f t="shared" si="0"/>
        <v>-</v>
      </c>
      <c r="I12" s="93"/>
      <c r="J12" s="93"/>
      <c r="K12" s="139"/>
    </row>
    <row r="13" spans="1:11">
      <c r="A13" s="323" t="s">
        <v>89</v>
      </c>
      <c r="B13" s="324"/>
      <c r="C13" s="325"/>
      <c r="D13" s="325"/>
      <c r="E13" s="325"/>
      <c r="F13" s="325"/>
      <c r="G13" s="89">
        <f t="shared" ref="G13" si="2">SUM(C13:F13)</f>
        <v>0</v>
      </c>
      <c r="H13" s="326" t="str">
        <f t="shared" si="0"/>
        <v>-</v>
      </c>
      <c r="I13" s="93"/>
      <c r="J13" s="93"/>
      <c r="K13" s="139"/>
    </row>
    <row r="14" spans="1:11">
      <c r="A14" s="323" t="s">
        <v>90</v>
      </c>
      <c r="B14" s="324"/>
      <c r="C14" s="325"/>
      <c r="D14" s="325"/>
      <c r="E14" s="325"/>
      <c r="F14" s="325"/>
      <c r="G14" s="89">
        <f t="shared" si="1"/>
        <v>0</v>
      </c>
      <c r="H14" s="326" t="str">
        <f t="shared" si="0"/>
        <v>-</v>
      </c>
      <c r="I14" s="93"/>
      <c r="J14" s="93"/>
      <c r="K14" s="139"/>
    </row>
    <row r="15" spans="1:11">
      <c r="A15" s="327" t="s">
        <v>91</v>
      </c>
      <c r="B15" s="324"/>
      <c r="C15" s="325"/>
      <c r="D15" s="325"/>
      <c r="E15" s="325"/>
      <c r="F15" s="325"/>
      <c r="G15" s="89">
        <f t="shared" si="1"/>
        <v>0</v>
      </c>
      <c r="H15" s="326" t="str">
        <f t="shared" si="0"/>
        <v>-</v>
      </c>
      <c r="I15" s="93"/>
      <c r="J15" s="93"/>
      <c r="K15" s="139"/>
    </row>
    <row r="16" spans="1:11">
      <c r="A16" s="327" t="s">
        <v>91</v>
      </c>
      <c r="B16" s="324"/>
      <c r="C16" s="325"/>
      <c r="D16" s="325"/>
      <c r="E16" s="325"/>
      <c r="F16" s="325"/>
      <c r="G16" s="89"/>
      <c r="H16" s="326"/>
      <c r="I16" s="93"/>
      <c r="J16" s="93"/>
      <c r="K16" s="139"/>
    </row>
    <row r="17" spans="1:12">
      <c r="A17" s="327" t="s">
        <v>91</v>
      </c>
      <c r="B17" s="324"/>
      <c r="C17" s="325"/>
      <c r="D17" s="325"/>
      <c r="E17" s="325"/>
      <c r="F17" s="325"/>
      <c r="G17" s="89"/>
      <c r="H17" s="326"/>
      <c r="I17" s="93"/>
      <c r="J17" s="93"/>
      <c r="K17" s="139"/>
      <c r="L17" s="93"/>
    </row>
    <row r="18" spans="1:12">
      <c r="A18" s="91" t="s">
        <v>92</v>
      </c>
      <c r="B18" s="324"/>
      <c r="C18" s="89">
        <f>SUM(C8:C17)</f>
        <v>158150.51</v>
      </c>
      <c r="D18" s="89">
        <f>SUM(D8:D17)</f>
        <v>124714.96</v>
      </c>
      <c r="E18" s="89">
        <f>SUM(E8:E17)</f>
        <v>68188.600000000006</v>
      </c>
      <c r="F18" s="89">
        <f>SUM(F8:F17)</f>
        <v>146713.77999999997</v>
      </c>
      <c r="G18" s="89">
        <f>SUM(G8:G17)</f>
        <v>497767.85000000003</v>
      </c>
      <c r="H18" s="328">
        <v>1</v>
      </c>
      <c r="I18" s="93"/>
      <c r="J18" s="93"/>
      <c r="K18" s="139"/>
      <c r="L18" s="93"/>
    </row>
    <row r="19" spans="1:12">
      <c r="A19" s="323" t="s">
        <v>93</v>
      </c>
      <c r="B19" s="324"/>
      <c r="C19" s="325"/>
      <c r="D19" s="325"/>
      <c r="E19" s="325"/>
      <c r="F19" s="325"/>
      <c r="G19" s="89">
        <f t="shared" ref="G19" si="3">SUM(C19:F19)</f>
        <v>0</v>
      </c>
      <c r="H19" s="326" t="str">
        <f t="shared" ref="H19" si="4">IF(G19&gt;0,G19/$G$18,"-")</f>
        <v>-</v>
      </c>
      <c r="I19" s="93"/>
      <c r="J19" s="93"/>
      <c r="K19" s="139"/>
      <c r="L19" s="93"/>
    </row>
    <row r="20" spans="1:12">
      <c r="A20" s="323" t="s">
        <v>94</v>
      </c>
      <c r="B20" s="324"/>
      <c r="C20" s="325"/>
      <c r="D20" s="325"/>
      <c r="E20" s="325"/>
      <c r="F20" s="325"/>
      <c r="G20" s="89">
        <f t="shared" ref="G20" si="5">SUM(C20:F20)</f>
        <v>0</v>
      </c>
      <c r="H20" s="326" t="str">
        <f>IF(G20&gt;0,G20/$G$18,"-")</f>
        <v>-</v>
      </c>
      <c r="I20" s="93"/>
      <c r="J20" s="93"/>
      <c r="K20" s="93"/>
      <c r="L20" s="93"/>
    </row>
    <row r="21" spans="1:12">
      <c r="A21" s="92" t="s">
        <v>95</v>
      </c>
      <c r="B21" s="329"/>
      <c r="C21" s="90">
        <v>124123.98</v>
      </c>
      <c r="D21" s="90">
        <v>134553</v>
      </c>
      <c r="E21" s="90">
        <v>69982.948999999993</v>
      </c>
      <c r="F21" s="90">
        <v>148757</v>
      </c>
      <c r="G21" s="30">
        <f>SUM(C21:F21)</f>
        <v>477416.929</v>
      </c>
      <c r="H21" s="330">
        <f>IF(G21&gt;0,G21/$G$18,"-")</f>
        <v>0.95911563794246646</v>
      </c>
      <c r="I21" s="93"/>
      <c r="J21" s="93"/>
      <c r="K21" s="93"/>
      <c r="L21" s="93"/>
    </row>
    <row r="22" spans="1:12">
      <c r="A22" s="3"/>
      <c r="B22" s="109"/>
      <c r="C22" s="314"/>
      <c r="D22" s="314"/>
      <c r="E22" s="314"/>
      <c r="F22" s="314"/>
      <c r="G22" s="31"/>
      <c r="H22" s="314"/>
      <c r="I22" s="93"/>
      <c r="J22" s="93"/>
      <c r="K22" s="93"/>
      <c r="L22" s="93"/>
    </row>
    <row r="23" spans="1:12">
      <c r="A23" s="9" t="s">
        <v>96</v>
      </c>
      <c r="B23" s="316" t="s">
        <v>75</v>
      </c>
      <c r="C23" s="331" t="s">
        <v>76</v>
      </c>
      <c r="D23" s="331" t="s">
        <v>77</v>
      </c>
      <c r="E23" s="331" t="s">
        <v>78</v>
      </c>
      <c r="F23" s="331" t="s">
        <v>79</v>
      </c>
      <c r="G23" s="32" t="s">
        <v>80</v>
      </c>
      <c r="H23" s="332" t="s">
        <v>97</v>
      </c>
      <c r="I23" s="93"/>
      <c r="J23" s="93"/>
      <c r="K23" s="93"/>
      <c r="L23" s="93"/>
    </row>
    <row r="24" spans="1:12" ht="15" customHeight="1">
      <c r="A24" s="333" t="s">
        <v>98</v>
      </c>
      <c r="B24" s="320" t="s">
        <v>99</v>
      </c>
      <c r="C24" s="321">
        <f>C25+C26</f>
        <v>115529.36</v>
      </c>
      <c r="D24" s="321">
        <f>D25+D26</f>
        <v>127569.072</v>
      </c>
      <c r="E24" s="321">
        <f>E25+E26</f>
        <v>57983.983999999997</v>
      </c>
      <c r="F24" s="321">
        <f>F25+F26</f>
        <v>137291.64799999999</v>
      </c>
      <c r="G24" s="28">
        <f t="shared" ref="G24:G27" si="6">SUM(C24:F24)</f>
        <v>438374.06399999995</v>
      </c>
      <c r="H24" s="334">
        <f>IF(G24&gt;0,G24*1000/$G$21,"-")</f>
        <v>918.22061048027888</v>
      </c>
      <c r="I24" s="93"/>
      <c r="J24" s="93"/>
      <c r="K24" s="93"/>
      <c r="L24" s="93"/>
    </row>
    <row r="25" spans="1:12">
      <c r="A25" s="335" t="s">
        <v>100</v>
      </c>
      <c r="B25" s="324"/>
      <c r="C25" s="108">
        <v>109061</v>
      </c>
      <c r="D25" s="108">
        <v>118821</v>
      </c>
      <c r="E25" s="108">
        <v>52640</v>
      </c>
      <c r="F25" s="108">
        <v>128711</v>
      </c>
      <c r="G25" s="29">
        <f>SUM(C25:F25)</f>
        <v>409233</v>
      </c>
      <c r="H25" s="336">
        <f>IF(G25&gt;0,G25*1000/$G$21,"-")</f>
        <v>857.18158519678298</v>
      </c>
      <c r="I25" s="93"/>
      <c r="J25" s="93"/>
      <c r="K25" s="93"/>
      <c r="L25" s="93"/>
    </row>
    <row r="26" spans="1:12">
      <c r="A26" s="335" t="s">
        <v>101</v>
      </c>
      <c r="B26" s="324"/>
      <c r="C26" s="108">
        <v>6468.3600000000006</v>
      </c>
      <c r="D26" s="108">
        <v>8748.0720000000001</v>
      </c>
      <c r="E26" s="108">
        <v>5343.9840000000004</v>
      </c>
      <c r="F26" s="108">
        <v>8580.648000000001</v>
      </c>
      <c r="G26" s="29">
        <f>SUM(C26:F26)</f>
        <v>29141.064000000002</v>
      </c>
      <c r="H26" s="336">
        <f>IF(G26&gt;0,G26*1000/$G$21,"-")</f>
        <v>61.039025283495974</v>
      </c>
      <c r="I26" s="93"/>
      <c r="J26" s="93"/>
      <c r="K26" s="93"/>
      <c r="L26" s="93"/>
    </row>
    <row r="27" spans="1:12">
      <c r="A27" s="335" t="s">
        <v>102</v>
      </c>
      <c r="B27" s="324"/>
      <c r="C27" s="108">
        <v>418.42</v>
      </c>
      <c r="D27" s="108">
        <v>36.299999999999997</v>
      </c>
      <c r="E27" s="108">
        <v>1627.402</v>
      </c>
      <c r="F27" s="108">
        <v>171.803</v>
      </c>
      <c r="G27" s="29">
        <f t="shared" si="6"/>
        <v>2253.9250000000002</v>
      </c>
      <c r="H27" s="336">
        <f>IF(G27&gt;0,G27*1000/$G$21,"-")</f>
        <v>4.7210831101466866</v>
      </c>
      <c r="I27" s="93"/>
      <c r="J27" s="93"/>
      <c r="K27" s="93"/>
      <c r="L27" s="93"/>
    </row>
    <row r="28" spans="1:12">
      <c r="A28" s="335" t="s">
        <v>103</v>
      </c>
      <c r="B28" s="337" t="s">
        <v>81</v>
      </c>
      <c r="C28" s="338">
        <f>IF(C24&gt;0,1-C25/(C24+C27),"-")</f>
        <v>5.9395531333157003E-2</v>
      </c>
      <c r="D28" s="338">
        <f>IF(D24&gt;0,1-D25/(D24+D27),"-")</f>
        <v>6.8840142560769313E-2</v>
      </c>
      <c r="E28" s="338">
        <f>IF(E24&gt;0,1-E25/(E24+E27),"-")</f>
        <v>0.11694722212967834</v>
      </c>
      <c r="F28" s="338">
        <f>IF(F24&gt;0,1-F25/(F24+F27),"-")</f>
        <v>6.3671113567489335E-2</v>
      </c>
      <c r="G28" s="338">
        <f>IF(G24&gt;0,1-G25/(G24+G27),"-")</f>
        <v>7.1250555533820092E-2</v>
      </c>
      <c r="H28" s="336"/>
      <c r="I28" s="93"/>
      <c r="J28" s="93"/>
      <c r="K28" s="93"/>
      <c r="L28" s="93"/>
    </row>
    <row r="29" spans="1:12">
      <c r="A29" s="335" t="s">
        <v>104</v>
      </c>
      <c r="B29" s="339" t="s">
        <v>99</v>
      </c>
      <c r="C29" s="108"/>
      <c r="D29" s="108"/>
      <c r="E29" s="108"/>
      <c r="F29" s="108"/>
      <c r="G29" s="29">
        <f t="shared" ref="G29:G30" si="7">SUM(C29:F29)</f>
        <v>0</v>
      </c>
      <c r="H29" s="336" t="str">
        <f>IF(G29&gt;0,G29*1000/$G$21,"-")</f>
        <v>-</v>
      </c>
      <c r="I29" s="93"/>
      <c r="J29" s="93"/>
      <c r="K29" s="93"/>
      <c r="L29" s="93"/>
    </row>
    <row r="30" spans="1:12">
      <c r="A30" s="335" t="s">
        <v>105</v>
      </c>
      <c r="B30" s="339"/>
      <c r="C30" s="108"/>
      <c r="D30" s="108"/>
      <c r="E30" s="108"/>
      <c r="F30" s="108"/>
      <c r="G30" s="29">
        <f t="shared" si="7"/>
        <v>0</v>
      </c>
      <c r="H30" s="336" t="str">
        <f>IF(G30&gt;0,G30*1000/$G$21,"-")</f>
        <v>-</v>
      </c>
      <c r="I30" s="93"/>
      <c r="J30" s="93"/>
      <c r="K30" s="17"/>
      <c r="L30" s="17"/>
    </row>
    <row r="31" spans="1:12">
      <c r="A31" s="100" t="s">
        <v>106</v>
      </c>
      <c r="B31" s="340"/>
      <c r="C31" s="341"/>
      <c r="D31" s="341"/>
      <c r="E31" s="341"/>
      <c r="F31" s="341"/>
      <c r="G31" s="342">
        <v>0.76</v>
      </c>
      <c r="H31" s="341"/>
      <c r="I31" s="109" t="s">
        <v>107</v>
      </c>
      <c r="J31" s="93"/>
      <c r="K31" s="93"/>
      <c r="L31" s="17"/>
    </row>
    <row r="32" spans="1:12">
      <c r="A32" s="3"/>
      <c r="B32" s="109"/>
      <c r="C32" s="314"/>
      <c r="D32" s="314"/>
      <c r="E32" s="314"/>
      <c r="F32" s="314"/>
      <c r="G32" s="31"/>
      <c r="H32" s="314"/>
      <c r="I32" s="93"/>
      <c r="J32" s="93"/>
      <c r="K32" s="93"/>
      <c r="L32" s="17"/>
    </row>
    <row r="33" spans="1:12">
      <c r="A33" s="9" t="s">
        <v>108</v>
      </c>
      <c r="B33" s="343" t="s">
        <v>75</v>
      </c>
      <c r="C33" s="331" t="s">
        <v>76</v>
      </c>
      <c r="D33" s="331" t="s">
        <v>77</v>
      </c>
      <c r="E33" s="331" t="s">
        <v>78</v>
      </c>
      <c r="F33" s="331" t="s">
        <v>79</v>
      </c>
      <c r="G33" s="32" t="s">
        <v>80</v>
      </c>
      <c r="H33" s="344" t="s">
        <v>109</v>
      </c>
      <c r="I33" s="93"/>
      <c r="J33" s="93"/>
      <c r="K33" s="93"/>
      <c r="L33" s="17"/>
    </row>
    <row r="34" spans="1:12" ht="15" customHeight="1">
      <c r="A34" s="333" t="s">
        <v>110</v>
      </c>
      <c r="B34" s="320" t="s">
        <v>83</v>
      </c>
      <c r="C34" s="321">
        <v>3007.33</v>
      </c>
      <c r="D34" s="321">
        <v>3286.08</v>
      </c>
      <c r="E34" s="321">
        <v>1668.2</v>
      </c>
      <c r="F34" s="321">
        <v>3656</v>
      </c>
      <c r="G34" s="28">
        <f t="shared" ref="G34:G35" si="8">SUM(C34:F34)</f>
        <v>11617.61</v>
      </c>
      <c r="H34" s="322">
        <f>IF(G34&gt;0,G34/$G$21,"-")</f>
        <v>2.4334306754337991E-2</v>
      </c>
      <c r="I34" s="93"/>
      <c r="J34" s="93"/>
      <c r="K34" s="17"/>
      <c r="L34" s="17"/>
    </row>
    <row r="35" spans="1:12" ht="15" customHeight="1">
      <c r="A35" s="335" t="s">
        <v>111</v>
      </c>
      <c r="B35" s="324"/>
      <c r="C35" s="108">
        <v>22925.7</v>
      </c>
      <c r="D35" s="108">
        <v>29409.17</v>
      </c>
      <c r="E35" s="108">
        <v>14560.52</v>
      </c>
      <c r="F35" s="108">
        <v>28011</v>
      </c>
      <c r="G35" s="29">
        <f t="shared" si="8"/>
        <v>94906.39</v>
      </c>
      <c r="H35" s="326">
        <f t="shared" ref="H35:H39" si="9">IF(G35&gt;0,G35/$G$21,"-")</f>
        <v>0.19879142157524959</v>
      </c>
      <c r="I35" s="93"/>
      <c r="J35" s="93"/>
      <c r="K35" s="17"/>
      <c r="L35" s="17"/>
    </row>
    <row r="36" spans="1:12" ht="15" customHeight="1">
      <c r="A36" s="335" t="s">
        <v>112</v>
      </c>
      <c r="B36" s="324"/>
      <c r="C36" s="108"/>
      <c r="D36" s="108"/>
      <c r="E36" s="108"/>
      <c r="F36" s="108"/>
      <c r="G36" s="29">
        <f t="shared" ref="G36:G39" si="10">SUM(C36:F36)</f>
        <v>0</v>
      </c>
      <c r="H36" s="326" t="str">
        <f t="shared" si="9"/>
        <v>-</v>
      </c>
      <c r="I36" s="93"/>
      <c r="J36" s="93"/>
      <c r="K36" s="93"/>
      <c r="L36" s="93"/>
    </row>
    <row r="37" spans="1:12">
      <c r="A37" s="345" t="s">
        <v>113</v>
      </c>
      <c r="B37" s="324"/>
      <c r="C37" s="108">
        <v>0</v>
      </c>
      <c r="D37" s="108">
        <v>0</v>
      </c>
      <c r="E37" s="108">
        <v>0</v>
      </c>
      <c r="F37" s="108">
        <v>0</v>
      </c>
      <c r="G37" s="29">
        <f t="shared" ref="G37" si="11">SUM(C37:F37)</f>
        <v>0</v>
      </c>
      <c r="H37" s="326" t="str">
        <f t="shared" si="9"/>
        <v>-</v>
      </c>
      <c r="I37" s="93"/>
      <c r="J37" s="93"/>
      <c r="K37" s="93"/>
      <c r="L37" s="93"/>
    </row>
    <row r="38" spans="1:12">
      <c r="A38" s="345" t="s">
        <v>113</v>
      </c>
      <c r="B38" s="324"/>
      <c r="C38" s="108">
        <v>0</v>
      </c>
      <c r="D38" s="108">
        <v>0</v>
      </c>
      <c r="E38" s="108">
        <v>0</v>
      </c>
      <c r="F38" s="108">
        <v>0</v>
      </c>
      <c r="G38" s="29">
        <f t="shared" si="10"/>
        <v>0</v>
      </c>
      <c r="H38" s="326" t="str">
        <f t="shared" si="9"/>
        <v>-</v>
      </c>
      <c r="I38" s="93"/>
      <c r="J38" s="93"/>
      <c r="K38" s="93"/>
      <c r="L38" s="93"/>
    </row>
    <row r="39" spans="1:12">
      <c r="A39" s="346" t="s">
        <v>113</v>
      </c>
      <c r="B39" s="347"/>
      <c r="C39" s="348">
        <v>0</v>
      </c>
      <c r="D39" s="348">
        <v>0</v>
      </c>
      <c r="E39" s="348">
        <v>0</v>
      </c>
      <c r="F39" s="348">
        <v>0</v>
      </c>
      <c r="G39" s="30">
        <f t="shared" si="10"/>
        <v>0</v>
      </c>
      <c r="H39" s="330" t="str">
        <f t="shared" si="9"/>
        <v>-</v>
      </c>
      <c r="I39" s="93"/>
      <c r="J39" s="93"/>
      <c r="K39" s="93"/>
      <c r="L39" s="93"/>
    </row>
    <row r="40" spans="1:12">
      <c r="A40" s="109"/>
      <c r="B40" s="109"/>
      <c r="C40" s="314"/>
      <c r="D40" s="314"/>
      <c r="E40" s="314"/>
      <c r="F40" s="314"/>
      <c r="G40" s="31"/>
      <c r="H40" s="314"/>
      <c r="I40" s="93"/>
      <c r="J40" s="93"/>
      <c r="K40" s="93"/>
      <c r="L40" s="93"/>
    </row>
    <row r="41" spans="1:12">
      <c r="A41" s="9" t="s">
        <v>114</v>
      </c>
      <c r="B41" s="349" t="s">
        <v>75</v>
      </c>
      <c r="C41" s="317" t="s">
        <v>76</v>
      </c>
      <c r="D41" s="317" t="s">
        <v>77</v>
      </c>
      <c r="E41" s="317" t="s">
        <v>78</v>
      </c>
      <c r="F41" s="317" t="s">
        <v>79</v>
      </c>
      <c r="G41" s="27" t="s">
        <v>80</v>
      </c>
      <c r="H41" s="318" t="s">
        <v>115</v>
      </c>
      <c r="I41" s="93"/>
      <c r="J41" s="93"/>
      <c r="K41" s="93"/>
      <c r="L41" s="93"/>
    </row>
    <row r="42" spans="1:12" ht="15.75" customHeight="1">
      <c r="A42" s="333" t="s">
        <v>116</v>
      </c>
      <c r="B42" s="337" t="s">
        <v>117</v>
      </c>
      <c r="C42" s="321">
        <v>13995600</v>
      </c>
      <c r="D42" s="321">
        <v>13995600</v>
      </c>
      <c r="E42" s="321">
        <v>13995600</v>
      </c>
      <c r="F42" s="321">
        <v>13995600</v>
      </c>
      <c r="G42" s="28">
        <f t="shared" ref="G42:G50" si="12">SUM(C42:F42)</f>
        <v>55982400</v>
      </c>
      <c r="H42" s="350">
        <f>IF(G42&gt;0,G42/$G$21,"-")</f>
        <v>117.26102825314769</v>
      </c>
      <c r="I42" s="93"/>
      <c r="J42" s="93"/>
      <c r="K42" s="93"/>
      <c r="L42" s="93"/>
    </row>
    <row r="43" spans="1:12">
      <c r="A43" s="335" t="s">
        <v>118</v>
      </c>
      <c r="B43" s="337" t="s">
        <v>117</v>
      </c>
      <c r="C43" s="108"/>
      <c r="D43" s="108"/>
      <c r="E43" s="108"/>
      <c r="F43" s="108"/>
      <c r="G43" s="29">
        <f t="shared" si="12"/>
        <v>0</v>
      </c>
      <c r="H43" s="350" t="str">
        <f t="shared" ref="H43:H48" si="13">IF(G43&gt;0,G43/$G$21,"-")</f>
        <v>-</v>
      </c>
      <c r="I43" s="93"/>
      <c r="J43" s="93"/>
      <c r="K43" s="93"/>
      <c r="L43" s="93"/>
    </row>
    <row r="44" spans="1:12" ht="15.75" customHeight="1">
      <c r="A44" s="335" t="s">
        <v>119</v>
      </c>
      <c r="B44" s="337" t="s">
        <v>120</v>
      </c>
      <c r="C44" s="108">
        <v>145161</v>
      </c>
      <c r="D44" s="108">
        <v>63608.076000000001</v>
      </c>
      <c r="E44" s="108">
        <v>15647.7168</v>
      </c>
      <c r="F44" s="108">
        <v>31130.193599999999</v>
      </c>
      <c r="G44" s="29">
        <f t="shared" si="12"/>
        <v>255546.98639999999</v>
      </c>
      <c r="H44" s="350">
        <f t="shared" si="13"/>
        <v>0.53527005616510093</v>
      </c>
      <c r="I44" s="93"/>
      <c r="J44" s="93"/>
      <c r="K44" s="93"/>
      <c r="L44" s="93"/>
    </row>
    <row r="45" spans="1:12" ht="15.75" customHeight="1">
      <c r="A45" s="335" t="s">
        <v>121</v>
      </c>
      <c r="B45" s="337" t="s">
        <v>120</v>
      </c>
      <c r="C45" s="108"/>
      <c r="D45" s="108"/>
      <c r="E45" s="108"/>
      <c r="F45" s="108" t="s">
        <v>122</v>
      </c>
      <c r="G45" s="29">
        <f t="shared" ref="G45" si="14">SUM(C45:F45)</f>
        <v>0</v>
      </c>
      <c r="H45" s="350" t="str">
        <f t="shared" si="13"/>
        <v>-</v>
      </c>
      <c r="I45" s="93"/>
      <c r="J45" s="93"/>
      <c r="K45" s="93"/>
      <c r="L45" s="93"/>
    </row>
    <row r="46" spans="1:12">
      <c r="A46" s="335" t="s">
        <v>123</v>
      </c>
      <c r="B46" s="337" t="s">
        <v>120</v>
      </c>
      <c r="C46" s="108">
        <v>42821</v>
      </c>
      <c r="D46" s="108">
        <v>36030</v>
      </c>
      <c r="E46" s="108">
        <v>17630</v>
      </c>
      <c r="F46" s="108">
        <v>33970</v>
      </c>
      <c r="G46" s="29">
        <f t="shared" si="12"/>
        <v>130451</v>
      </c>
      <c r="H46" s="350">
        <f t="shared" si="13"/>
        <v>0.27324334784952714</v>
      </c>
      <c r="I46" s="93"/>
      <c r="J46" s="93"/>
      <c r="K46" s="93"/>
      <c r="L46" s="93"/>
    </row>
    <row r="47" spans="1:12">
      <c r="A47" s="335" t="s">
        <v>124</v>
      </c>
      <c r="B47" s="337" t="s">
        <v>120</v>
      </c>
      <c r="C47" s="108">
        <v>982450</v>
      </c>
      <c r="D47" s="108">
        <v>1159480</v>
      </c>
      <c r="E47" s="108">
        <v>634900</v>
      </c>
      <c r="F47" s="108">
        <v>1270670</v>
      </c>
      <c r="G47" s="29">
        <f t="shared" si="12"/>
        <v>4047500</v>
      </c>
      <c r="H47" s="350">
        <f t="shared" si="13"/>
        <v>8.4779146991664387</v>
      </c>
      <c r="I47" s="93"/>
      <c r="J47" s="93"/>
      <c r="K47" s="93"/>
      <c r="L47" s="93"/>
    </row>
    <row r="48" spans="1:12">
      <c r="A48" s="335" t="s">
        <v>125</v>
      </c>
      <c r="B48" s="337" t="s">
        <v>117</v>
      </c>
      <c r="C48" s="108">
        <v>268174.57799999998</v>
      </c>
      <c r="D48" s="108">
        <v>146358.76900000003</v>
      </c>
      <c r="E48" s="108">
        <v>267604.79999999993</v>
      </c>
      <c r="F48" s="108">
        <v>180426.46000000002</v>
      </c>
      <c r="G48" s="29">
        <f t="shared" si="12"/>
        <v>862564.60699999984</v>
      </c>
      <c r="H48" s="350">
        <f t="shared" si="13"/>
        <v>1.8067323435864167</v>
      </c>
      <c r="I48" s="93"/>
      <c r="J48" s="93"/>
      <c r="K48" s="93"/>
      <c r="L48" s="93"/>
    </row>
    <row r="49" spans="1:10">
      <c r="A49" s="335" t="s">
        <v>126</v>
      </c>
      <c r="B49" s="337" t="s">
        <v>127</v>
      </c>
      <c r="C49" s="108">
        <v>0</v>
      </c>
      <c r="D49" s="108">
        <v>0</v>
      </c>
      <c r="E49" s="108">
        <v>0</v>
      </c>
      <c r="F49" s="108">
        <v>0</v>
      </c>
      <c r="G49" s="29">
        <f t="shared" si="12"/>
        <v>0</v>
      </c>
      <c r="H49" s="351"/>
      <c r="I49" s="93"/>
      <c r="J49" s="93"/>
    </row>
    <row r="50" spans="1:10">
      <c r="A50" s="100" t="s">
        <v>113</v>
      </c>
      <c r="B50" s="352"/>
      <c r="C50" s="348">
        <v>0</v>
      </c>
      <c r="D50" s="348">
        <v>0</v>
      </c>
      <c r="E50" s="348">
        <v>0</v>
      </c>
      <c r="F50" s="348">
        <v>0</v>
      </c>
      <c r="G50" s="30">
        <f t="shared" si="12"/>
        <v>0</v>
      </c>
      <c r="H50" s="353"/>
      <c r="I50" s="93"/>
      <c r="J50" s="93"/>
    </row>
    <row r="51" spans="1:10">
      <c r="A51" s="109"/>
      <c r="B51" s="109"/>
      <c r="C51" s="314"/>
      <c r="D51" s="314"/>
      <c r="E51" s="314"/>
      <c r="F51" s="314"/>
      <c r="G51" s="31"/>
      <c r="H51" s="314"/>
      <c r="I51" s="93"/>
      <c r="J51" s="93"/>
    </row>
    <row r="52" spans="1:10">
      <c r="A52" s="9" t="s">
        <v>128</v>
      </c>
      <c r="B52" s="354" t="s">
        <v>129</v>
      </c>
      <c r="C52" s="331" t="s">
        <v>76</v>
      </c>
      <c r="D52" s="331" t="s">
        <v>77</v>
      </c>
      <c r="E52" s="331" t="s">
        <v>78</v>
      </c>
      <c r="F52" s="331" t="s">
        <v>79</v>
      </c>
      <c r="G52" s="32" t="s">
        <v>80</v>
      </c>
      <c r="H52" s="332"/>
      <c r="I52" s="93"/>
      <c r="J52" s="86" t="s">
        <v>130</v>
      </c>
    </row>
    <row r="53" spans="1:10" ht="14.25" customHeight="1">
      <c r="A53" s="355" t="s">
        <v>131</v>
      </c>
      <c r="B53" s="331">
        <v>1</v>
      </c>
      <c r="C53" s="321">
        <v>2016</v>
      </c>
      <c r="D53" s="321">
        <v>2136</v>
      </c>
      <c r="E53" s="321">
        <v>998.55</v>
      </c>
      <c r="F53" s="321">
        <v>2108</v>
      </c>
      <c r="G53" s="28">
        <f>SUM(C53:F53)</f>
        <v>7258.55</v>
      </c>
      <c r="H53" s="322">
        <f>G53/$J$53</f>
        <v>0.82860159817351597</v>
      </c>
      <c r="I53" s="93"/>
      <c r="J53" s="88">
        <v>8760</v>
      </c>
    </row>
    <row r="54" spans="1:10" ht="14.25" customHeight="1">
      <c r="A54" s="356"/>
      <c r="B54" s="314">
        <v>2</v>
      </c>
      <c r="C54" s="325">
        <v>1992</v>
      </c>
      <c r="D54" s="325">
        <v>2132</v>
      </c>
      <c r="E54" s="325">
        <v>1095.5</v>
      </c>
      <c r="F54" s="325">
        <v>2183</v>
      </c>
      <c r="G54" s="29">
        <f t="shared" ref="G54:G65" si="15">SUM(C54:F54)</f>
        <v>7402.5</v>
      </c>
      <c r="H54" s="322">
        <f t="shared" ref="H54:H55" si="16">G54/$J$53</f>
        <v>0.84503424657534243</v>
      </c>
      <c r="I54" s="93"/>
      <c r="J54" s="93"/>
    </row>
    <row r="55" spans="1:10" ht="14.25" customHeight="1">
      <c r="A55" s="356"/>
      <c r="B55" s="314">
        <v>3</v>
      </c>
      <c r="C55" s="325">
        <v>1571</v>
      </c>
      <c r="D55" s="325">
        <v>1994</v>
      </c>
      <c r="E55" s="325">
        <v>997.02</v>
      </c>
      <c r="F55" s="325">
        <v>2167</v>
      </c>
      <c r="G55" s="29">
        <f t="shared" si="15"/>
        <v>6729.02</v>
      </c>
      <c r="H55" s="322">
        <f t="shared" si="16"/>
        <v>0.76815296803652977</v>
      </c>
      <c r="I55" s="93"/>
      <c r="J55" s="93"/>
    </row>
    <row r="56" spans="1:10" ht="14.25" customHeight="1">
      <c r="A56" s="356"/>
      <c r="B56" s="314">
        <v>4</v>
      </c>
      <c r="C56" s="325"/>
      <c r="D56" s="325"/>
      <c r="E56" s="325"/>
      <c r="F56" s="325"/>
      <c r="G56" s="29">
        <f t="shared" si="15"/>
        <v>0</v>
      </c>
      <c r="H56" s="326" t="s">
        <v>132</v>
      </c>
      <c r="I56" s="93"/>
      <c r="J56" s="93"/>
    </row>
    <row r="57" spans="1:10" ht="14.25" customHeight="1">
      <c r="A57" s="356"/>
      <c r="B57" s="314">
        <v>5</v>
      </c>
      <c r="C57" s="325"/>
      <c r="D57" s="325"/>
      <c r="E57" s="325"/>
      <c r="F57" s="325"/>
      <c r="G57" s="29">
        <f t="shared" ref="G57" si="17">SUM(C57:F57)</f>
        <v>0</v>
      </c>
      <c r="H57" s="326" t="s">
        <v>132</v>
      </c>
      <c r="I57" s="93"/>
      <c r="J57" s="93"/>
    </row>
    <row r="58" spans="1:10" ht="14.25" customHeight="1">
      <c r="A58" s="335" t="s">
        <v>133</v>
      </c>
      <c r="B58" s="314"/>
      <c r="C58" s="325">
        <f>AVERAGE(C53:C55)</f>
        <v>1859.6666666666667</v>
      </c>
      <c r="D58" s="325">
        <f t="shared" ref="D58:F58" si="18">AVERAGE(D53:D55)</f>
        <v>2087.3333333333335</v>
      </c>
      <c r="E58" s="325">
        <f t="shared" si="18"/>
        <v>1030.3566666666668</v>
      </c>
      <c r="F58" s="325">
        <f t="shared" si="18"/>
        <v>2152.6666666666665</v>
      </c>
      <c r="G58" s="29">
        <f>SUM(C58:F58)</f>
        <v>7130.0233333333326</v>
      </c>
      <c r="H58" s="87">
        <f>G58/J53</f>
        <v>0.81392960426179595</v>
      </c>
      <c r="I58" s="93"/>
      <c r="J58" s="93"/>
    </row>
    <row r="59" spans="1:10" ht="14.25" customHeight="1">
      <c r="A59" s="335" t="s">
        <v>134</v>
      </c>
      <c r="B59" s="314">
        <v>1</v>
      </c>
      <c r="C59" s="325">
        <v>1954</v>
      </c>
      <c r="D59" s="325">
        <v>2154</v>
      </c>
      <c r="E59" s="325">
        <v>918.01</v>
      </c>
      <c r="F59" s="325">
        <v>2178.29</v>
      </c>
      <c r="G59" s="29">
        <f t="shared" si="15"/>
        <v>7204.3</v>
      </c>
      <c r="H59" s="326">
        <f>G59/J53</f>
        <v>0.82240867579908683</v>
      </c>
      <c r="I59" s="93"/>
      <c r="J59" s="93"/>
    </row>
    <row r="60" spans="1:10">
      <c r="A60" s="335" t="s">
        <v>134</v>
      </c>
      <c r="B60" s="314">
        <v>2</v>
      </c>
      <c r="C60" s="108"/>
      <c r="D60" s="108"/>
      <c r="E60" s="108"/>
      <c r="F60" s="108"/>
      <c r="G60" s="29">
        <f t="shared" si="15"/>
        <v>0</v>
      </c>
      <c r="H60" s="326" t="s">
        <v>132</v>
      </c>
      <c r="I60" s="93"/>
      <c r="J60" s="93"/>
    </row>
    <row r="61" spans="1:10">
      <c r="A61" s="335" t="s">
        <v>135</v>
      </c>
      <c r="B61" s="314"/>
      <c r="C61" s="108"/>
      <c r="D61" s="108"/>
      <c r="E61" s="108"/>
      <c r="F61" s="108"/>
      <c r="G61" s="29">
        <f t="shared" si="15"/>
        <v>0</v>
      </c>
      <c r="H61" s="326" t="str">
        <f>IF(B61&gt;0,G60/J53,"n/a")</f>
        <v>n/a</v>
      </c>
      <c r="I61" s="93"/>
      <c r="J61" s="93"/>
    </row>
    <row r="62" spans="1:10">
      <c r="A62" s="335" t="s">
        <v>136</v>
      </c>
      <c r="B62" s="314" t="s">
        <v>137</v>
      </c>
      <c r="C62" s="108"/>
      <c r="D62" s="108"/>
      <c r="E62" s="108"/>
      <c r="F62" s="108"/>
      <c r="G62" s="29"/>
      <c r="H62" s="357" t="s">
        <v>138</v>
      </c>
      <c r="I62" s="93"/>
      <c r="J62" s="93"/>
    </row>
    <row r="63" spans="1:10">
      <c r="A63" s="335" t="s">
        <v>139</v>
      </c>
      <c r="B63" s="314" t="s">
        <v>140</v>
      </c>
      <c r="C63" s="108">
        <v>0</v>
      </c>
      <c r="D63" s="108">
        <v>0</v>
      </c>
      <c r="E63" s="108">
        <v>0</v>
      </c>
      <c r="F63" s="108">
        <v>1</v>
      </c>
      <c r="G63" s="29">
        <f t="shared" si="15"/>
        <v>1</v>
      </c>
      <c r="H63" s="336" t="str">
        <f>IF(G63&gt;0,"yes","no")</f>
        <v>yes</v>
      </c>
      <c r="I63" s="93"/>
      <c r="J63" s="93"/>
    </row>
    <row r="64" spans="1:10">
      <c r="A64" s="335" t="s">
        <v>141</v>
      </c>
      <c r="B64" s="314" t="s">
        <v>142</v>
      </c>
      <c r="C64" s="108">
        <v>0</v>
      </c>
      <c r="D64" s="108">
        <v>0</v>
      </c>
      <c r="E64" s="108">
        <v>0</v>
      </c>
      <c r="F64" s="108">
        <v>3.15</v>
      </c>
      <c r="G64" s="29">
        <f t="shared" si="15"/>
        <v>3.15</v>
      </c>
      <c r="H64" s="358">
        <f>+(G64)/J53</f>
        <v>3.5958904109589042E-4</v>
      </c>
      <c r="I64" s="93"/>
      <c r="J64" s="93"/>
    </row>
    <row r="65" spans="1:8">
      <c r="A65" s="100" t="s">
        <v>143</v>
      </c>
      <c r="B65" s="359" t="s">
        <v>140</v>
      </c>
      <c r="C65" s="348">
        <v>2</v>
      </c>
      <c r="D65" s="348">
        <v>3</v>
      </c>
      <c r="E65" s="348">
        <v>3</v>
      </c>
      <c r="F65" s="348">
        <v>3</v>
      </c>
      <c r="G65" s="30">
        <f t="shared" si="15"/>
        <v>11</v>
      </c>
      <c r="H65" s="360" t="str">
        <f>IF(G65&gt;0,"yes","no")</f>
        <v>yes</v>
      </c>
    </row>
    <row r="78" spans="1:8">
      <c r="A78" s="93"/>
      <c r="B78" s="109"/>
      <c r="C78" s="109"/>
      <c r="D78" s="109"/>
      <c r="E78" s="109"/>
      <c r="F78" s="3"/>
      <c r="H78" s="314"/>
    </row>
  </sheetData>
  <mergeCells count="8">
    <mergeCell ref="A53:A57"/>
    <mergeCell ref="K6:K7"/>
    <mergeCell ref="K8:K19"/>
    <mergeCell ref="B34:B39"/>
    <mergeCell ref="B4:C4"/>
    <mergeCell ref="B8:B20"/>
    <mergeCell ref="B24:B27"/>
    <mergeCell ref="B29:B30"/>
  </mergeCells>
  <phoneticPr fontId="25" type="noConversion"/>
  <pageMargins left="0.23622047244094491" right="0.23622047244094491" top="0.74803149606299213" bottom="0.74803149606299213" header="0.31496062992125984" footer="0.31496062992125984"/>
  <pageSetup paperSize="9" scale="77" fitToHeight="0"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E53" sqref="E53"/>
    </sheetView>
  </sheetViews>
  <sheetFormatPr defaultColWidth="9.42578125" defaultRowHeight="15.6"/>
  <cols>
    <col min="1" max="1" width="9.42578125" style="2" customWidth="1"/>
    <col min="2" max="2" width="14.5703125" style="2" bestFit="1" customWidth="1"/>
    <col min="3" max="9" width="9.42578125" style="2"/>
    <col min="10" max="10" width="11.5703125" style="2" customWidth="1"/>
    <col min="11" max="16384" width="9.42578125" style="2"/>
  </cols>
  <sheetData>
    <row r="1" spans="1:14">
      <c r="A1" s="93" t="str">
        <f>+'Cover Page'!$B$29</f>
        <v>Annual Performance Report 2022</v>
      </c>
      <c r="B1" s="93"/>
      <c r="C1" s="93"/>
      <c r="D1" s="93"/>
      <c r="E1" s="93" t="str">
        <f>+'Cover Page'!$B$33</f>
        <v>Rookery Pit Energy Recovery Facility</v>
      </c>
      <c r="F1" s="93"/>
      <c r="G1" s="93"/>
      <c r="H1" s="93"/>
      <c r="I1" s="93"/>
      <c r="J1" s="93"/>
      <c r="K1" s="93"/>
      <c r="L1" s="93"/>
      <c r="M1" s="93"/>
      <c r="N1" s="93"/>
    </row>
    <row r="3" spans="1:14">
      <c r="A3" s="51" t="s">
        <v>144</v>
      </c>
      <c r="B3" s="301"/>
      <c r="C3" s="301"/>
      <c r="D3" s="301"/>
      <c r="E3" s="301"/>
      <c r="F3" s="301"/>
      <c r="G3" s="301"/>
      <c r="H3" s="301"/>
      <c r="I3" s="302"/>
      <c r="J3" s="93"/>
      <c r="K3" s="81" t="s">
        <v>3</v>
      </c>
      <c r="L3" s="93"/>
      <c r="M3" s="93"/>
      <c r="N3" s="93"/>
    </row>
    <row r="4" spans="1:14">
      <c r="A4" s="303"/>
      <c r="B4" s="304"/>
      <c r="C4" s="304"/>
      <c r="D4" s="304"/>
      <c r="E4" s="304"/>
      <c r="F4" s="304"/>
      <c r="G4" s="304"/>
      <c r="H4" s="304"/>
      <c r="I4" s="305"/>
      <c r="J4" s="93"/>
      <c r="K4" s="93"/>
      <c r="L4" s="93"/>
      <c r="M4" s="93"/>
      <c r="N4" s="93"/>
    </row>
    <row r="5" spans="1:14" ht="15.75" customHeight="1">
      <c r="A5" s="140" t="s">
        <v>145</v>
      </c>
      <c r="B5" s="293"/>
      <c r="C5" s="293"/>
      <c r="D5" s="293"/>
      <c r="E5" s="293"/>
      <c r="F5" s="293"/>
      <c r="G5" s="293"/>
      <c r="H5" s="293"/>
      <c r="I5" s="294"/>
      <c r="J5" s="93"/>
      <c r="K5" s="224" t="s">
        <v>146</v>
      </c>
      <c r="L5" s="224"/>
      <c r="M5" s="224"/>
      <c r="N5" s="224"/>
    </row>
    <row r="6" spans="1:14">
      <c r="A6" s="295"/>
      <c r="B6" s="296"/>
      <c r="C6" s="296"/>
      <c r="D6" s="296"/>
      <c r="E6" s="296"/>
      <c r="F6" s="296"/>
      <c r="G6" s="296"/>
      <c r="H6" s="296"/>
      <c r="I6" s="297"/>
      <c r="J6" s="93"/>
      <c r="K6" s="224"/>
      <c r="L6" s="224"/>
      <c r="M6" s="224"/>
      <c r="N6" s="224"/>
    </row>
    <row r="7" spans="1:14">
      <c r="A7" s="295"/>
      <c r="B7" s="296"/>
      <c r="C7" s="296"/>
      <c r="D7" s="296"/>
      <c r="E7" s="296"/>
      <c r="F7" s="296"/>
      <c r="G7" s="296"/>
      <c r="H7" s="296"/>
      <c r="I7" s="297"/>
      <c r="J7" s="93"/>
      <c r="K7" s="224"/>
      <c r="L7" s="224"/>
      <c r="M7" s="224"/>
      <c r="N7" s="224"/>
    </row>
    <row r="8" spans="1:14" ht="15.75" customHeight="1">
      <c r="A8" s="295"/>
      <c r="B8" s="296"/>
      <c r="C8" s="296"/>
      <c r="D8" s="296"/>
      <c r="E8" s="296"/>
      <c r="F8" s="296"/>
      <c r="G8" s="296"/>
      <c r="H8" s="296"/>
      <c r="I8" s="297"/>
      <c r="J8" s="93"/>
      <c r="K8" s="224"/>
      <c r="L8" s="224"/>
      <c r="M8" s="224"/>
      <c r="N8" s="224"/>
    </row>
    <row r="9" spans="1:14" ht="15.75" customHeight="1">
      <c r="A9" s="295"/>
      <c r="B9" s="296"/>
      <c r="C9" s="296"/>
      <c r="D9" s="296"/>
      <c r="E9" s="296"/>
      <c r="F9" s="296"/>
      <c r="G9" s="296"/>
      <c r="H9" s="296"/>
      <c r="I9" s="297"/>
      <c r="J9" s="93"/>
      <c r="K9" s="224"/>
      <c r="L9" s="224"/>
      <c r="M9" s="224"/>
      <c r="N9" s="224"/>
    </row>
    <row r="10" spans="1:14" ht="15.75" customHeight="1">
      <c r="A10" s="295"/>
      <c r="B10" s="296"/>
      <c r="C10" s="296"/>
      <c r="D10" s="296"/>
      <c r="E10" s="296"/>
      <c r="F10" s="296"/>
      <c r="G10" s="296"/>
      <c r="H10" s="296"/>
      <c r="I10" s="297"/>
      <c r="J10" s="93"/>
      <c r="K10" s="224"/>
      <c r="L10" s="224"/>
      <c r="M10" s="224"/>
      <c r="N10" s="224"/>
    </row>
    <row r="11" spans="1:14" ht="15.75" customHeight="1">
      <c r="A11" s="295"/>
      <c r="B11" s="296"/>
      <c r="C11" s="296"/>
      <c r="D11" s="296"/>
      <c r="E11" s="296"/>
      <c r="F11" s="296"/>
      <c r="G11" s="296"/>
      <c r="H11" s="296"/>
      <c r="I11" s="297"/>
      <c r="J11" s="93"/>
      <c r="K11" s="224"/>
      <c r="L11" s="224"/>
      <c r="M11" s="224"/>
      <c r="N11" s="224"/>
    </row>
    <row r="12" spans="1:14" ht="15.75" customHeight="1">
      <c r="A12" s="295"/>
      <c r="B12" s="296"/>
      <c r="C12" s="296"/>
      <c r="D12" s="296"/>
      <c r="E12" s="296"/>
      <c r="F12" s="296"/>
      <c r="G12" s="296"/>
      <c r="H12" s="296"/>
      <c r="I12" s="297"/>
      <c r="J12" s="93"/>
      <c r="K12" s="224"/>
      <c r="L12" s="224"/>
      <c r="M12" s="224"/>
      <c r="N12" s="224"/>
    </row>
    <row r="13" spans="1:14" ht="15.75" customHeight="1">
      <c r="A13" s="295"/>
      <c r="B13" s="296"/>
      <c r="C13" s="296"/>
      <c r="D13" s="296"/>
      <c r="E13" s="296"/>
      <c r="F13" s="296"/>
      <c r="G13" s="296"/>
      <c r="H13" s="296"/>
      <c r="I13" s="297"/>
      <c r="J13" s="93"/>
      <c r="K13" s="224"/>
      <c r="L13" s="224"/>
      <c r="M13" s="224"/>
      <c r="N13" s="224"/>
    </row>
    <row r="14" spans="1:14" ht="15.75" customHeight="1">
      <c r="A14" s="295"/>
      <c r="B14" s="296"/>
      <c r="C14" s="296"/>
      <c r="D14" s="296"/>
      <c r="E14" s="296"/>
      <c r="F14" s="296"/>
      <c r="G14" s="296"/>
      <c r="H14" s="296"/>
      <c r="I14" s="297"/>
      <c r="J14" s="93"/>
      <c r="K14" s="224"/>
      <c r="L14" s="224"/>
      <c r="M14" s="224"/>
      <c r="N14" s="224"/>
    </row>
    <row r="15" spans="1:14" ht="15.75" customHeight="1">
      <c r="A15" s="295"/>
      <c r="B15" s="296"/>
      <c r="C15" s="296"/>
      <c r="D15" s="296"/>
      <c r="E15" s="296"/>
      <c r="F15" s="296"/>
      <c r="G15" s="296"/>
      <c r="H15" s="296"/>
      <c r="I15" s="297"/>
      <c r="J15" s="93"/>
      <c r="K15" s="93"/>
      <c r="L15" s="93"/>
      <c r="M15" s="93"/>
      <c r="N15" s="93"/>
    </row>
    <row r="16" spans="1:14" ht="15.75" customHeight="1">
      <c r="A16" s="295"/>
      <c r="B16" s="296"/>
      <c r="C16" s="296"/>
      <c r="D16" s="296"/>
      <c r="E16" s="296"/>
      <c r="F16" s="296"/>
      <c r="G16" s="296"/>
      <c r="H16" s="296"/>
      <c r="I16" s="297"/>
      <c r="J16" s="93"/>
      <c r="K16" s="93"/>
      <c r="L16" s="93"/>
      <c r="M16" s="93"/>
      <c r="N16" s="93"/>
    </row>
    <row r="17" spans="1:14" ht="15.75" customHeight="1">
      <c r="A17" s="295"/>
      <c r="B17" s="296"/>
      <c r="C17" s="296"/>
      <c r="D17" s="296"/>
      <c r="E17" s="296"/>
      <c r="F17" s="296"/>
      <c r="G17" s="296"/>
      <c r="H17" s="296"/>
      <c r="I17" s="297"/>
      <c r="J17" s="93"/>
      <c r="K17" s="93"/>
      <c r="L17" s="93"/>
      <c r="M17" s="93"/>
      <c r="N17" s="93"/>
    </row>
    <row r="18" spans="1:14">
      <c r="A18" s="295"/>
      <c r="B18" s="296"/>
      <c r="C18" s="296"/>
      <c r="D18" s="296"/>
      <c r="E18" s="296"/>
      <c r="F18" s="296"/>
      <c r="G18" s="296"/>
      <c r="H18" s="296"/>
      <c r="I18" s="297"/>
      <c r="J18" s="93"/>
      <c r="K18" s="93"/>
      <c r="L18" s="93"/>
      <c r="M18" s="93"/>
      <c r="N18" s="93"/>
    </row>
    <row r="19" spans="1:14">
      <c r="A19" s="295"/>
      <c r="B19" s="296"/>
      <c r="C19" s="296"/>
      <c r="D19" s="296"/>
      <c r="E19" s="296"/>
      <c r="F19" s="296"/>
      <c r="G19" s="296"/>
      <c r="H19" s="296"/>
      <c r="I19" s="297"/>
      <c r="J19" s="93"/>
      <c r="K19" s="93"/>
      <c r="L19" s="93"/>
      <c r="M19" s="93"/>
      <c r="N19" s="93"/>
    </row>
    <row r="20" spans="1:14">
      <c r="A20" s="295"/>
      <c r="B20" s="296"/>
      <c r="C20" s="296"/>
      <c r="D20" s="296"/>
      <c r="E20" s="296"/>
      <c r="F20" s="296"/>
      <c r="G20" s="296"/>
      <c r="H20" s="296"/>
      <c r="I20" s="297"/>
      <c r="J20" s="93"/>
      <c r="K20" s="93"/>
      <c r="L20" s="93"/>
      <c r="M20" s="93"/>
      <c r="N20" s="93"/>
    </row>
    <row r="21" spans="1:14">
      <c r="A21" s="295"/>
      <c r="B21" s="296"/>
      <c r="C21" s="296"/>
      <c r="D21" s="296"/>
      <c r="E21" s="296"/>
      <c r="F21" s="296"/>
      <c r="G21" s="296"/>
      <c r="H21" s="296"/>
      <c r="I21" s="297"/>
      <c r="J21" s="93"/>
      <c r="K21" s="93"/>
      <c r="L21" s="93"/>
      <c r="M21" s="93"/>
      <c r="N21" s="93"/>
    </row>
    <row r="22" spans="1:14" ht="15.6" customHeight="1">
      <c r="A22" s="295"/>
      <c r="B22" s="296"/>
      <c r="C22" s="296"/>
      <c r="D22" s="296"/>
      <c r="E22" s="296"/>
      <c r="F22" s="296"/>
      <c r="G22" s="296"/>
      <c r="H22" s="296"/>
      <c r="I22" s="297"/>
      <c r="J22" s="93"/>
      <c r="K22" s="95"/>
      <c r="L22" s="95"/>
      <c r="M22" s="95"/>
      <c r="N22" s="95"/>
    </row>
    <row r="23" spans="1:14">
      <c r="A23" s="295"/>
      <c r="B23" s="296"/>
      <c r="C23" s="296"/>
      <c r="D23" s="296"/>
      <c r="E23" s="296"/>
      <c r="F23" s="296"/>
      <c r="G23" s="296"/>
      <c r="H23" s="296"/>
      <c r="I23" s="297"/>
      <c r="J23" s="93"/>
      <c r="K23" s="95"/>
      <c r="L23" s="95"/>
      <c r="M23" s="95"/>
      <c r="N23" s="95"/>
    </row>
    <row r="24" spans="1:14">
      <c r="A24" s="295"/>
      <c r="B24" s="296"/>
      <c r="C24" s="296"/>
      <c r="D24" s="296"/>
      <c r="E24" s="296"/>
      <c r="F24" s="296"/>
      <c r="G24" s="296"/>
      <c r="H24" s="296"/>
      <c r="I24" s="297"/>
      <c r="J24" s="93"/>
      <c r="K24" s="95"/>
      <c r="L24" s="95"/>
      <c r="M24" s="95"/>
      <c r="N24" s="95"/>
    </row>
    <row r="25" spans="1:14">
      <c r="A25" s="295"/>
      <c r="B25" s="296"/>
      <c r="C25" s="296"/>
      <c r="D25" s="296"/>
      <c r="E25" s="296"/>
      <c r="F25" s="296"/>
      <c r="G25" s="296"/>
      <c r="H25" s="296"/>
      <c r="I25" s="297"/>
      <c r="J25" s="93"/>
      <c r="K25" s="95"/>
      <c r="L25" s="95"/>
      <c r="M25" s="95"/>
      <c r="N25" s="95"/>
    </row>
    <row r="26" spans="1:14">
      <c r="A26" s="295"/>
      <c r="B26" s="296"/>
      <c r="C26" s="296"/>
      <c r="D26" s="296"/>
      <c r="E26" s="296"/>
      <c r="F26" s="296"/>
      <c r="G26" s="296"/>
      <c r="H26" s="296"/>
      <c r="I26" s="297"/>
      <c r="J26" s="93"/>
      <c r="K26" s="95"/>
      <c r="L26" s="95"/>
      <c r="M26" s="95"/>
      <c r="N26" s="95"/>
    </row>
    <row r="27" spans="1:14">
      <c r="A27" s="298"/>
      <c r="B27" s="299"/>
      <c r="C27" s="299"/>
      <c r="D27" s="299"/>
      <c r="E27" s="299"/>
      <c r="F27" s="299"/>
      <c r="G27" s="299"/>
      <c r="H27" s="299"/>
      <c r="I27" s="300"/>
      <c r="J27" s="93"/>
      <c r="K27" s="95"/>
      <c r="L27" s="95"/>
      <c r="M27" s="95"/>
      <c r="N27" s="95"/>
    </row>
    <row r="28" spans="1:14">
      <c r="A28" s="93"/>
      <c r="B28" s="93"/>
      <c r="C28" s="93"/>
      <c r="D28" s="93"/>
      <c r="E28" s="93"/>
      <c r="F28" s="93"/>
      <c r="G28" s="93"/>
      <c r="H28" s="93"/>
      <c r="I28" s="93"/>
      <c r="J28" s="93"/>
      <c r="K28" s="95"/>
      <c r="L28" s="95"/>
      <c r="M28" s="95"/>
      <c r="N28" s="95"/>
    </row>
    <row r="29" spans="1:14">
      <c r="A29" s="51" t="s">
        <v>147</v>
      </c>
      <c r="B29" s="301"/>
      <c r="C29" s="301"/>
      <c r="D29" s="301"/>
      <c r="E29" s="301"/>
      <c r="F29" s="301"/>
      <c r="G29" s="301"/>
      <c r="H29" s="301"/>
      <c r="I29" s="302"/>
      <c r="J29" s="93"/>
      <c r="K29" s="95"/>
      <c r="L29" s="95"/>
      <c r="M29" s="95"/>
      <c r="N29" s="95"/>
    </row>
    <row r="30" spans="1:14">
      <c r="A30" s="303"/>
      <c r="B30" s="304"/>
      <c r="C30" s="304"/>
      <c r="D30" s="304"/>
      <c r="E30" s="304"/>
      <c r="F30" s="304"/>
      <c r="G30" s="304"/>
      <c r="H30" s="304"/>
      <c r="I30" s="305"/>
      <c r="J30" s="93"/>
      <c r="K30" s="95"/>
      <c r="L30" s="95"/>
      <c r="M30" s="95"/>
      <c r="N30" s="95"/>
    </row>
    <row r="31" spans="1:14">
      <c r="A31" s="137" t="s">
        <v>148</v>
      </c>
      <c r="B31" s="306"/>
      <c r="C31" s="306"/>
      <c r="D31" s="306"/>
      <c r="E31" s="306"/>
      <c r="F31" s="306"/>
      <c r="G31" s="306"/>
      <c r="H31" s="306"/>
      <c r="I31" s="307"/>
      <c r="J31" s="93"/>
      <c r="K31" s="224" t="s">
        <v>149</v>
      </c>
      <c r="L31" s="224"/>
      <c r="M31" s="224"/>
      <c r="N31" s="224"/>
    </row>
    <row r="32" spans="1:14">
      <c r="A32" s="308"/>
      <c r="B32" s="309"/>
      <c r="C32" s="309"/>
      <c r="D32" s="309"/>
      <c r="E32" s="309"/>
      <c r="F32" s="309"/>
      <c r="G32" s="309"/>
      <c r="H32" s="309"/>
      <c r="I32" s="310"/>
      <c r="J32" s="93"/>
      <c r="K32" s="224"/>
      <c r="L32" s="224"/>
      <c r="M32" s="224"/>
      <c r="N32" s="224"/>
    </row>
    <row r="33" spans="1:14">
      <c r="A33" s="308"/>
      <c r="B33" s="309"/>
      <c r="C33" s="309"/>
      <c r="D33" s="309"/>
      <c r="E33" s="309"/>
      <c r="F33" s="309"/>
      <c r="G33" s="309"/>
      <c r="H33" s="309"/>
      <c r="I33" s="310"/>
      <c r="J33" s="93"/>
      <c r="K33" s="224"/>
      <c r="L33" s="224"/>
      <c r="M33" s="224"/>
      <c r="N33" s="224"/>
    </row>
    <row r="34" spans="1:14">
      <c r="A34" s="308"/>
      <c r="B34" s="309"/>
      <c r="C34" s="309"/>
      <c r="D34" s="309"/>
      <c r="E34" s="309"/>
      <c r="F34" s="309"/>
      <c r="G34" s="309"/>
      <c r="H34" s="309"/>
      <c r="I34" s="310"/>
      <c r="J34" s="93"/>
      <c r="K34" s="224"/>
      <c r="L34" s="224"/>
      <c r="M34" s="224"/>
      <c r="N34" s="224"/>
    </row>
    <row r="35" spans="1:14">
      <c r="A35" s="308"/>
      <c r="B35" s="309"/>
      <c r="C35" s="309"/>
      <c r="D35" s="309"/>
      <c r="E35" s="309"/>
      <c r="F35" s="309"/>
      <c r="G35" s="309"/>
      <c r="H35" s="309"/>
      <c r="I35" s="310"/>
      <c r="J35" s="93"/>
      <c r="K35" s="224"/>
      <c r="L35" s="224"/>
      <c r="M35" s="224"/>
      <c r="N35" s="224"/>
    </row>
    <row r="36" spans="1:14">
      <c r="A36" s="308"/>
      <c r="B36" s="309"/>
      <c r="C36" s="309"/>
      <c r="D36" s="309"/>
      <c r="E36" s="309"/>
      <c r="F36" s="309"/>
      <c r="G36" s="309"/>
      <c r="H36" s="309"/>
      <c r="I36" s="310"/>
      <c r="J36" s="93"/>
      <c r="K36" s="224"/>
      <c r="L36" s="224"/>
      <c r="M36" s="224"/>
      <c r="N36" s="224"/>
    </row>
    <row r="37" spans="1:14">
      <c r="A37" s="308"/>
      <c r="B37" s="309"/>
      <c r="C37" s="309"/>
      <c r="D37" s="309"/>
      <c r="E37" s="309"/>
      <c r="F37" s="309"/>
      <c r="G37" s="309"/>
      <c r="H37" s="309"/>
      <c r="I37" s="310"/>
      <c r="J37" s="93"/>
      <c r="K37" s="224"/>
      <c r="L37" s="224"/>
      <c r="M37" s="224"/>
      <c r="N37" s="224"/>
    </row>
    <row r="38" spans="1:14" ht="14.25" customHeight="1">
      <c r="A38" s="308"/>
      <c r="B38" s="309"/>
      <c r="C38" s="309"/>
      <c r="D38" s="309"/>
      <c r="E38" s="309"/>
      <c r="F38" s="309"/>
      <c r="G38" s="309"/>
      <c r="H38" s="309"/>
      <c r="I38" s="310"/>
      <c r="J38" s="93"/>
      <c r="K38" s="224"/>
      <c r="L38" s="224"/>
      <c r="M38" s="224"/>
      <c r="N38" s="224"/>
    </row>
    <row r="39" spans="1:14">
      <c r="A39" s="308"/>
      <c r="B39" s="309"/>
      <c r="C39" s="309"/>
      <c r="D39" s="309"/>
      <c r="E39" s="309"/>
      <c r="F39" s="309"/>
      <c r="G39" s="309"/>
      <c r="H39" s="309"/>
      <c r="I39" s="310"/>
      <c r="J39" s="93"/>
      <c r="K39" s="224"/>
      <c r="L39" s="224"/>
      <c r="M39" s="224"/>
      <c r="N39" s="224"/>
    </row>
    <row r="40" spans="1:14">
      <c r="A40" s="308"/>
      <c r="B40" s="309"/>
      <c r="C40" s="309"/>
      <c r="D40" s="309"/>
      <c r="E40" s="309"/>
      <c r="F40" s="309"/>
      <c r="G40" s="309"/>
      <c r="H40" s="309"/>
      <c r="I40" s="310"/>
      <c r="J40" s="93"/>
      <c r="K40" s="224"/>
      <c r="L40" s="224"/>
      <c r="M40" s="224"/>
      <c r="N40" s="224"/>
    </row>
    <row r="41" spans="1:14">
      <c r="A41" s="308"/>
      <c r="B41" s="309"/>
      <c r="C41" s="309"/>
      <c r="D41" s="309"/>
      <c r="E41" s="309"/>
      <c r="F41" s="309"/>
      <c r="G41" s="309"/>
      <c r="H41" s="309"/>
      <c r="I41" s="310"/>
      <c r="J41" s="93"/>
      <c r="K41" s="93"/>
      <c r="L41" s="93"/>
      <c r="M41" s="93"/>
      <c r="N41" s="93"/>
    </row>
    <row r="42" spans="1:14">
      <c r="A42" s="308"/>
      <c r="B42" s="309"/>
      <c r="C42" s="309"/>
      <c r="D42" s="309"/>
      <c r="E42" s="309"/>
      <c r="F42" s="309"/>
      <c r="G42" s="309"/>
      <c r="H42" s="309"/>
      <c r="I42" s="310"/>
      <c r="J42" s="93"/>
      <c r="K42" s="93"/>
      <c r="L42" s="93"/>
      <c r="M42" s="93"/>
      <c r="N42" s="93"/>
    </row>
    <row r="43" spans="1:14">
      <c r="A43" s="308"/>
      <c r="B43" s="309"/>
      <c r="C43" s="309"/>
      <c r="D43" s="309"/>
      <c r="E43" s="309"/>
      <c r="F43" s="309"/>
      <c r="G43" s="309"/>
      <c r="H43" s="309"/>
      <c r="I43" s="310"/>
      <c r="J43" s="93"/>
      <c r="K43" s="93"/>
      <c r="L43" s="93"/>
      <c r="M43" s="93"/>
      <c r="N43" s="93"/>
    </row>
    <row r="44" spans="1:14">
      <c r="A44" s="308"/>
      <c r="B44" s="309"/>
      <c r="C44" s="309"/>
      <c r="D44" s="309"/>
      <c r="E44" s="309"/>
      <c r="F44" s="309"/>
      <c r="G44" s="309"/>
      <c r="H44" s="309"/>
      <c r="I44" s="310"/>
      <c r="J44" s="93"/>
      <c r="K44" s="93"/>
      <c r="L44" s="93"/>
      <c r="M44" s="93"/>
      <c r="N44" s="93"/>
    </row>
    <row r="45" spans="1:14">
      <c r="A45" s="308"/>
      <c r="B45" s="309"/>
      <c r="C45" s="309"/>
      <c r="D45" s="309"/>
      <c r="E45" s="309"/>
      <c r="F45" s="309"/>
      <c r="G45" s="309"/>
      <c r="H45" s="309"/>
      <c r="I45" s="310"/>
      <c r="J45" s="93"/>
      <c r="K45" s="93"/>
      <c r="L45" s="93"/>
      <c r="M45" s="93"/>
      <c r="N45" s="93"/>
    </row>
    <row r="46" spans="1:14">
      <c r="A46" s="308"/>
      <c r="B46" s="309"/>
      <c r="C46" s="309"/>
      <c r="D46" s="309"/>
      <c r="E46" s="309"/>
      <c r="F46" s="309"/>
      <c r="G46" s="309"/>
      <c r="H46" s="309"/>
      <c r="I46" s="310"/>
      <c r="J46" s="93"/>
      <c r="K46" s="93"/>
      <c r="L46" s="93"/>
      <c r="M46" s="93"/>
      <c r="N46" s="93"/>
    </row>
    <row r="47" spans="1:14">
      <c r="A47" s="308"/>
      <c r="B47" s="309"/>
      <c r="C47" s="309"/>
      <c r="D47" s="309"/>
      <c r="E47" s="309"/>
      <c r="F47" s="309"/>
      <c r="G47" s="309"/>
      <c r="H47" s="309"/>
      <c r="I47" s="310"/>
      <c r="J47" s="93"/>
      <c r="K47" s="93"/>
      <c r="L47" s="93"/>
      <c r="M47" s="93"/>
      <c r="N47" s="93"/>
    </row>
    <row r="48" spans="1:14">
      <c r="A48" s="308"/>
      <c r="B48" s="309"/>
      <c r="C48" s="309"/>
      <c r="D48" s="309"/>
      <c r="E48" s="309"/>
      <c r="F48" s="309"/>
      <c r="G48" s="309"/>
      <c r="H48" s="309"/>
      <c r="I48" s="310"/>
      <c r="J48" s="93"/>
      <c r="K48" s="93"/>
      <c r="L48" s="93"/>
      <c r="M48" s="93"/>
      <c r="N48" s="93"/>
    </row>
    <row r="49" spans="1:9">
      <c r="A49" s="308"/>
      <c r="B49" s="309"/>
      <c r="C49" s="309"/>
      <c r="D49" s="309"/>
      <c r="E49" s="309"/>
      <c r="F49" s="309"/>
      <c r="G49" s="309"/>
      <c r="H49" s="309"/>
      <c r="I49" s="310"/>
    </row>
    <row r="50" spans="1:9">
      <c r="A50" s="308"/>
      <c r="B50" s="309"/>
      <c r="C50" s="309"/>
      <c r="D50" s="309"/>
      <c r="E50" s="309"/>
      <c r="F50" s="309"/>
      <c r="G50" s="309"/>
      <c r="H50" s="309"/>
      <c r="I50" s="310"/>
    </row>
    <row r="51" spans="1:9">
      <c r="A51" s="308"/>
      <c r="B51" s="309"/>
      <c r="C51" s="309"/>
      <c r="D51" s="309"/>
      <c r="E51" s="309"/>
      <c r="F51" s="309"/>
      <c r="G51" s="309"/>
      <c r="H51" s="309"/>
      <c r="I51" s="310"/>
    </row>
    <row r="52" spans="1:9">
      <c r="A52" s="311"/>
      <c r="B52" s="312"/>
      <c r="C52" s="312"/>
      <c r="D52" s="312"/>
      <c r="E52" s="312"/>
      <c r="F52" s="312"/>
      <c r="G52" s="312"/>
      <c r="H52" s="312"/>
      <c r="I52" s="313"/>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25" workbookViewId="0">
      <selection activeCell="N36" sqref="N36"/>
    </sheetView>
  </sheetViews>
  <sheetFormatPr defaultColWidth="9.42578125" defaultRowHeight="15.6"/>
  <cols>
    <col min="1" max="7" width="9.42578125" style="2"/>
    <col min="8" max="8" width="10.5703125" style="2" bestFit="1" customWidth="1"/>
    <col min="9" max="16384" width="9.42578125" style="2"/>
  </cols>
  <sheetData>
    <row r="1" spans="1:10">
      <c r="A1" s="33">
        <f>+'Cover Page'!C39</f>
        <v>2022</v>
      </c>
      <c r="B1" s="34" t="s">
        <v>150</v>
      </c>
      <c r="C1" s="34"/>
      <c r="D1" s="34"/>
      <c r="E1" s="34"/>
      <c r="F1" s="34"/>
      <c r="G1" s="34"/>
      <c r="H1" s="34"/>
      <c r="I1" s="34"/>
      <c r="J1" s="34"/>
    </row>
    <row r="2" spans="1:10" ht="8.25" customHeight="1">
      <c r="A2" s="93"/>
      <c r="B2" s="93"/>
      <c r="C2" s="93"/>
      <c r="D2" s="93"/>
      <c r="E2" s="93"/>
      <c r="F2" s="93"/>
      <c r="G2" s="93"/>
      <c r="H2" s="93"/>
      <c r="I2" s="93"/>
      <c r="J2" s="93"/>
    </row>
    <row r="3" spans="1:10" s="3" customFormat="1" ht="14.1">
      <c r="A3" s="152" t="str">
        <f>+'Cover Page'!B31</f>
        <v>Permit EPR/WP3234DY/V002</v>
      </c>
      <c r="B3" s="152"/>
      <c r="C3" s="152"/>
      <c r="D3" s="152"/>
      <c r="E3" s="152"/>
      <c r="F3" s="3" t="s">
        <v>151</v>
      </c>
      <c r="G3" s="153" t="s">
        <v>9</v>
      </c>
      <c r="H3" s="153"/>
      <c r="I3" s="153"/>
    </row>
    <row r="4" spans="1:10" s="3" customFormat="1" ht="14.1">
      <c r="A4" s="3" t="s">
        <v>152</v>
      </c>
      <c r="B4" s="152" t="str">
        <f>+'Cover Page'!B33:I33</f>
        <v>Rookery Pit Energy Recovery Facility</v>
      </c>
      <c r="C4" s="152"/>
      <c r="D4" s="152"/>
      <c r="E4" s="152"/>
      <c r="F4" s="3" t="s">
        <v>153</v>
      </c>
      <c r="G4" s="3" t="s">
        <v>154</v>
      </c>
    </row>
    <row r="5" spans="1:10" s="3" customFormat="1" ht="6.75" customHeight="1"/>
    <row r="6" spans="1:10" s="3" customFormat="1" ht="15.75" customHeight="1">
      <c r="A6" s="3" t="s">
        <v>155</v>
      </c>
      <c r="D6" s="154">
        <v>44562</v>
      </c>
      <c r="E6" s="154"/>
      <c r="F6" s="35" t="s">
        <v>156</v>
      </c>
      <c r="G6" s="154">
        <v>44926</v>
      </c>
      <c r="H6" s="154"/>
    </row>
    <row r="7" spans="1:10" s="3" customFormat="1" ht="7.5" customHeight="1"/>
    <row r="8" spans="1:10" s="3" customFormat="1">
      <c r="A8" s="9">
        <f>+A1</f>
        <v>2022</v>
      </c>
      <c r="B8" s="34" t="s">
        <v>157</v>
      </c>
      <c r="C8"/>
      <c r="D8"/>
      <c r="E8"/>
      <c r="F8"/>
      <c r="G8"/>
    </row>
    <row r="9" spans="1:10" s="3" customFormat="1" ht="28.5" customHeight="1">
      <c r="A9" s="155" t="s">
        <v>158</v>
      </c>
      <c r="B9" s="155"/>
      <c r="C9" s="155" t="s">
        <v>159</v>
      </c>
      <c r="D9" s="155"/>
      <c r="E9" s="155" t="s">
        <v>160</v>
      </c>
      <c r="F9" s="155"/>
      <c r="G9" s="155" t="s">
        <v>161</v>
      </c>
      <c r="H9" s="155"/>
      <c r="I9" s="155" t="s">
        <v>162</v>
      </c>
      <c r="J9" s="155"/>
    </row>
    <row r="10" spans="1:10" s="3" customFormat="1" ht="14.25" customHeight="1">
      <c r="A10" s="361" t="s">
        <v>163</v>
      </c>
      <c r="B10" s="361"/>
      <c r="C10" s="361"/>
      <c r="D10" s="361"/>
      <c r="E10" s="361"/>
      <c r="F10" s="361"/>
      <c r="G10" s="361"/>
      <c r="H10" s="361"/>
      <c r="I10" s="361"/>
      <c r="J10" s="361"/>
    </row>
    <row r="11" spans="1:10" s="3" customFormat="1" ht="14.25" customHeight="1">
      <c r="A11" s="361" t="s">
        <v>164</v>
      </c>
      <c r="B11" s="361"/>
      <c r="C11" s="151" t="s">
        <v>165</v>
      </c>
      <c r="D11" s="151"/>
      <c r="E11" s="362">
        <v>11481</v>
      </c>
      <c r="F11" s="362"/>
      <c r="G11" s="362"/>
      <c r="H11" s="362"/>
      <c r="I11" s="363">
        <f>IF((E11+G11)&gt;0,(E11+G11)/'Operational Data'!$G$21, "-")</f>
        <v>2.4048162732830114E-2</v>
      </c>
      <c r="J11" s="363"/>
    </row>
    <row r="12" spans="1:10" s="3" customFormat="1" ht="14.25" customHeight="1">
      <c r="A12" s="361" t="s">
        <v>166</v>
      </c>
      <c r="B12" s="361"/>
      <c r="C12" s="151"/>
      <c r="D12" s="151"/>
      <c r="E12" s="362"/>
      <c r="F12" s="362"/>
      <c r="G12" s="362"/>
      <c r="H12" s="362"/>
      <c r="I12" s="363" t="str">
        <f>IF((E12+G12)&gt;0,(E12+G12)/'Operational Data'!$G$21, "-")</f>
        <v>-</v>
      </c>
      <c r="J12" s="363"/>
    </row>
    <row r="13" spans="1:10" s="3" customFormat="1" ht="14.25" customHeight="1">
      <c r="A13" s="364"/>
      <c r="B13" s="364"/>
      <c r="C13" s="151"/>
      <c r="D13" s="151"/>
      <c r="E13" s="362"/>
      <c r="F13" s="362"/>
      <c r="G13" s="362"/>
      <c r="H13" s="362"/>
      <c r="I13" s="363" t="str">
        <f>IF((E13+G13)&gt;0,(E13+G13)/'Operational Data'!$G$21, "-")</f>
        <v>-</v>
      </c>
      <c r="J13" s="363"/>
    </row>
    <row r="14" spans="1:10" s="3" customFormat="1" ht="14.25" customHeight="1">
      <c r="A14" s="364"/>
      <c r="B14" s="364"/>
      <c r="C14" s="151"/>
      <c r="D14" s="151"/>
      <c r="E14" s="362"/>
      <c r="F14" s="362"/>
      <c r="G14" s="362"/>
      <c r="H14" s="362"/>
      <c r="I14" s="363" t="str">
        <f>IF((E14+G14)&gt;0,(E14+G14)/'Operational Data'!$G$21, "-")</f>
        <v>-</v>
      </c>
      <c r="J14" s="363"/>
    </row>
    <row r="15" spans="1:10" s="3" customFormat="1" ht="14.25" customHeight="1">
      <c r="A15" s="365" t="s">
        <v>167</v>
      </c>
      <c r="B15" s="365"/>
      <c r="C15" s="365"/>
      <c r="D15" s="365"/>
      <c r="E15" s="366">
        <f>SUM(E11:F14)</f>
        <v>11481</v>
      </c>
      <c r="F15" s="366"/>
      <c r="G15" s="366">
        <f>SUM(G11:H14)</f>
        <v>0</v>
      </c>
      <c r="H15" s="366"/>
      <c r="I15" s="363">
        <f>IF((E15+G15)&gt;0,(E15+G15)/'Operational Data'!$G$21, "-")</f>
        <v>2.4048162732830114E-2</v>
      </c>
      <c r="J15" s="363"/>
    </row>
    <row r="16" spans="1:10" s="3" customFormat="1" ht="14.25" customHeight="1">
      <c r="A16" s="367"/>
      <c r="B16" s="368"/>
      <c r="C16" s="368"/>
      <c r="D16" s="368"/>
      <c r="E16" s="369"/>
      <c r="F16" s="369"/>
      <c r="G16" s="369"/>
      <c r="H16" s="369"/>
      <c r="I16" s="370"/>
      <c r="J16" s="371"/>
    </row>
    <row r="17" spans="1:10" s="3" customFormat="1" ht="14.25" customHeight="1">
      <c r="A17" s="372" t="s">
        <v>168</v>
      </c>
      <c r="B17" s="372"/>
      <c r="C17" s="372"/>
      <c r="D17" s="372"/>
      <c r="E17" s="372"/>
      <c r="F17" s="372"/>
      <c r="G17" s="372"/>
      <c r="H17" s="372"/>
      <c r="I17" s="372"/>
      <c r="J17" s="372"/>
    </row>
    <row r="18" spans="1:10" ht="14.25" customHeight="1">
      <c r="A18" s="361" t="s">
        <v>166</v>
      </c>
      <c r="B18" s="361"/>
      <c r="C18" s="151" t="s">
        <v>169</v>
      </c>
      <c r="D18" s="151"/>
      <c r="E18" s="362">
        <v>93831</v>
      </c>
      <c r="F18" s="362"/>
      <c r="G18" s="362"/>
      <c r="H18" s="362"/>
      <c r="I18" s="363">
        <f>IF((E18+G18)&gt;0,(E18+G18)/'Operational Data'!$G$21, "-")</f>
        <v>0.19653890404879212</v>
      </c>
      <c r="J18" s="363"/>
    </row>
    <row r="19" spans="1:10" s="3" customFormat="1" ht="14.25" customHeight="1">
      <c r="A19" s="361" t="s">
        <v>170</v>
      </c>
      <c r="B19" s="361"/>
      <c r="C19" s="151"/>
      <c r="D19" s="151"/>
      <c r="E19" s="362"/>
      <c r="F19" s="362"/>
      <c r="G19" s="362"/>
      <c r="H19" s="362"/>
      <c r="I19" s="363" t="str">
        <f>IF((E19+G19)&gt;0,(E19+G19)/'Operational Data'!$G$21, "-")</f>
        <v>-</v>
      </c>
      <c r="J19" s="363"/>
    </row>
    <row r="20" spans="1:10" s="3" customFormat="1" ht="14.25" customHeight="1">
      <c r="A20" s="361" t="s">
        <v>171</v>
      </c>
      <c r="B20" s="361"/>
      <c r="C20" s="151" t="s">
        <v>165</v>
      </c>
      <c r="D20" s="151"/>
      <c r="E20" s="362">
        <v>2719</v>
      </c>
      <c r="F20" s="362"/>
      <c r="G20" s="362"/>
      <c r="H20" s="362"/>
      <c r="I20" s="363">
        <f>IF((E20+G20)&gt;0,(E20+G20)/'Operational Data'!$G$21, "-")</f>
        <v>5.6952316410212589E-3</v>
      </c>
      <c r="J20" s="363"/>
    </row>
    <row r="21" spans="1:10" s="3" customFormat="1" ht="14.25" customHeight="1">
      <c r="A21" s="373"/>
      <c r="B21" s="373"/>
      <c r="C21" s="151"/>
      <c r="D21" s="151"/>
      <c r="E21" s="362"/>
      <c r="F21" s="362"/>
      <c r="G21" s="362"/>
      <c r="H21" s="362"/>
      <c r="I21" s="363" t="str">
        <f>IF((E21+G21)&gt;0,(E21+G21)/'Operational Data'!$G$21, "-")</f>
        <v>-</v>
      </c>
      <c r="J21" s="363"/>
    </row>
    <row r="22" spans="1:10" s="3" customFormat="1" ht="14.25" customHeight="1">
      <c r="A22" s="373"/>
      <c r="B22" s="373"/>
      <c r="C22" s="151"/>
      <c r="D22" s="151"/>
      <c r="E22" s="362"/>
      <c r="F22" s="362"/>
      <c r="G22" s="362"/>
      <c r="H22" s="362"/>
      <c r="I22" s="363" t="str">
        <f>IF((E22+G22)&gt;0,(E22+G22)/'Operational Data'!$G$21, "-")</f>
        <v>-</v>
      </c>
      <c r="J22" s="363"/>
    </row>
    <row r="23" spans="1:10" s="3" customFormat="1" ht="14.25" customHeight="1">
      <c r="A23" s="374" t="s">
        <v>172</v>
      </c>
      <c r="B23" s="374"/>
      <c r="C23" s="374"/>
      <c r="D23" s="374"/>
      <c r="E23" s="366">
        <f>SUM(E18:F22)</f>
        <v>96550</v>
      </c>
      <c r="F23" s="366"/>
      <c r="G23" s="366">
        <f>SUM(G18:H22)</f>
        <v>0</v>
      </c>
      <c r="H23" s="366"/>
      <c r="I23" s="363">
        <f>IF((E23+G23)&gt;0,(E23+G23)/'Operational Data'!$G$21, "-")</f>
        <v>0.20223413568981338</v>
      </c>
      <c r="J23" s="363"/>
    </row>
    <row r="24" spans="1:10" s="3" customFormat="1" ht="14.25" customHeight="1">
      <c r="A24" s="149" t="s">
        <v>173</v>
      </c>
      <c r="B24" s="149"/>
      <c r="C24" s="149"/>
      <c r="D24" s="149"/>
      <c r="E24" s="150">
        <f>+E23+E15</f>
        <v>108031</v>
      </c>
      <c r="F24" s="150"/>
      <c r="G24" s="150">
        <f>+G23+G15</f>
        <v>0</v>
      </c>
      <c r="H24" s="150"/>
      <c r="I24" s="375">
        <f>IF((E24+G24)&gt;0,(E24+G24)/'Operational Data'!$G$21, "-")</f>
        <v>0.2262822984226435</v>
      </c>
      <c r="J24" s="375"/>
    </row>
    <row r="25" spans="1:10" s="3" customFormat="1" ht="8.25" customHeight="1">
      <c r="A25" s="376"/>
      <c r="B25"/>
      <c r="C25"/>
      <c r="D25"/>
      <c r="E25"/>
      <c r="F25"/>
      <c r="G25"/>
    </row>
    <row r="26" spans="1:10" s="3" customFormat="1" ht="14.25" customHeight="1">
      <c r="A26" s="141" t="s">
        <v>174</v>
      </c>
      <c r="B26" s="141"/>
      <c r="C26" s="141"/>
      <c r="D26" s="141"/>
      <c r="E26" s="141"/>
      <c r="F26" s="141"/>
      <c r="G26" s="141"/>
      <c r="H26" s="141"/>
      <c r="I26" s="141"/>
      <c r="J26" s="141"/>
    </row>
    <row r="27" spans="1:10" s="3" customFormat="1" ht="14.25" customHeight="1">
      <c r="A27" s="142"/>
      <c r="B27" s="142"/>
      <c r="C27" s="142"/>
      <c r="D27" s="142"/>
      <c r="E27" s="142"/>
      <c r="F27" s="142"/>
      <c r="G27" s="142"/>
      <c r="H27" s="142"/>
      <c r="I27" s="142"/>
      <c r="J27" s="142"/>
    </row>
    <row r="28" spans="1:10" s="3" customFormat="1" ht="14.25" customHeight="1">
      <c r="A28" s="142"/>
      <c r="B28" s="142"/>
      <c r="C28" s="142"/>
      <c r="D28" s="142"/>
      <c r="E28" s="142"/>
      <c r="F28" s="142"/>
      <c r="G28" s="142"/>
      <c r="H28" s="142"/>
      <c r="I28" s="142"/>
      <c r="J28" s="142"/>
    </row>
    <row r="29" spans="1:10" s="3" customFormat="1" ht="14.25" customHeight="1">
      <c r="A29" s="142"/>
      <c r="B29" s="142"/>
      <c r="C29" s="142"/>
      <c r="D29" s="142"/>
      <c r="E29" s="142"/>
      <c r="F29" s="142"/>
      <c r="G29" s="142"/>
      <c r="H29" s="142"/>
      <c r="I29" s="142"/>
      <c r="J29" s="142"/>
    </row>
    <row r="30" spans="1:10" s="3" customFormat="1" ht="14.25" customHeight="1">
      <c r="A30" s="376"/>
      <c r="B30"/>
      <c r="C30"/>
      <c r="D30"/>
      <c r="E30"/>
      <c r="F30"/>
      <c r="G30"/>
    </row>
    <row r="31" spans="1:10" s="3" customFormat="1" ht="14.25" customHeight="1">
      <c r="A31" s="1">
        <f>+A1</f>
        <v>2022</v>
      </c>
      <c r="B31" s="34" t="s">
        <v>175</v>
      </c>
      <c r="C31" s="34"/>
      <c r="D31" s="34"/>
      <c r="E31" s="34"/>
      <c r="F31" s="34"/>
    </row>
    <row r="32" spans="1:10" s="3" customFormat="1" ht="24.75" customHeight="1">
      <c r="A32" s="144" t="s">
        <v>176</v>
      </c>
      <c r="B32" s="145"/>
      <c r="C32" s="145"/>
      <c r="D32" s="146"/>
      <c r="E32" s="38" t="s">
        <v>177</v>
      </c>
      <c r="F32" s="39"/>
      <c r="G32" s="40" t="s">
        <v>75</v>
      </c>
      <c r="H32" s="147" t="s">
        <v>178</v>
      </c>
      <c r="I32" s="148"/>
      <c r="J32" s="41" t="s">
        <v>75</v>
      </c>
    </row>
    <row r="33" spans="1:10" s="3" customFormat="1" ht="14.25" customHeight="1">
      <c r="A33" s="367" t="s">
        <v>116</v>
      </c>
      <c r="B33" s="368"/>
      <c r="C33" s="368"/>
      <c r="D33" s="377"/>
      <c r="E33" s="378">
        <f>+'Operational Data'!G42</f>
        <v>55982400</v>
      </c>
      <c r="F33" s="379"/>
      <c r="G33" s="380" t="s">
        <v>179</v>
      </c>
      <c r="H33" s="381">
        <f>IF(E33&gt;0,E33/'Operational Data'!$G$21,"-")</f>
        <v>117.26102825314769</v>
      </c>
      <c r="I33" s="382"/>
      <c r="J33" s="380" t="s">
        <v>180</v>
      </c>
    </row>
    <row r="34" spans="1:10" s="3" customFormat="1" ht="14.25" customHeight="1">
      <c r="A34" s="367" t="s">
        <v>181</v>
      </c>
      <c r="B34" s="368"/>
      <c r="C34" s="368"/>
      <c r="D34" s="377"/>
      <c r="E34" s="378">
        <f>+'Operational Data'!G43+'Operational Data'!G42</f>
        <v>55982400</v>
      </c>
      <c r="F34" s="379"/>
      <c r="G34" s="380" t="s">
        <v>179</v>
      </c>
      <c r="H34" s="381">
        <f>IF(E34&gt;0,E34/'Operational Data'!$G$21,"-")</f>
        <v>117.26102825314769</v>
      </c>
      <c r="I34" s="382"/>
      <c r="J34" s="380" t="s">
        <v>180</v>
      </c>
    </row>
    <row r="35" spans="1:10" s="3" customFormat="1" ht="14.25" customHeight="1">
      <c r="A35" s="367" t="s">
        <v>182</v>
      </c>
      <c r="B35" s="368"/>
      <c r="C35" s="368"/>
      <c r="D35" s="377"/>
      <c r="E35" s="378">
        <f>+'Operational Data'!G44</f>
        <v>255546.98639999999</v>
      </c>
      <c r="F35" s="379"/>
      <c r="G35" s="380" t="s">
        <v>183</v>
      </c>
      <c r="H35" s="381">
        <f>IF(E35&gt;0,E35/'Operational Data'!$G$21,"-")</f>
        <v>0.53527005616510093</v>
      </c>
      <c r="I35" s="382"/>
      <c r="J35" s="380" t="s">
        <v>184</v>
      </c>
    </row>
    <row r="36" spans="1:10" s="3" customFormat="1" ht="14.25" customHeight="1">
      <c r="A36" s="367" t="s">
        <v>123</v>
      </c>
      <c r="B36" s="368"/>
      <c r="C36" s="368"/>
      <c r="D36" s="377"/>
      <c r="E36" s="378">
        <f>+'Operational Data'!G46</f>
        <v>130451</v>
      </c>
      <c r="F36" s="379"/>
      <c r="G36" s="380" t="s">
        <v>183</v>
      </c>
      <c r="H36" s="381">
        <f>IF(E36&gt;0,E36/'Operational Data'!$G$21,"-")</f>
        <v>0.27324334784952714</v>
      </c>
      <c r="I36" s="382"/>
      <c r="J36" s="380" t="s">
        <v>184</v>
      </c>
    </row>
    <row r="37" spans="1:10" s="3" customFormat="1" ht="14.25" customHeight="1">
      <c r="A37" s="367" t="s">
        <v>185</v>
      </c>
      <c r="B37" s="368"/>
      <c r="C37" s="368"/>
      <c r="D37" s="377"/>
      <c r="E37" s="378">
        <f>+'Operational Data'!G47</f>
        <v>4047500</v>
      </c>
      <c r="F37" s="379"/>
      <c r="G37" s="380" t="s">
        <v>183</v>
      </c>
      <c r="H37" s="381">
        <f>IF(E37&gt;0,E37/'Operational Data'!$G$21,"-")</f>
        <v>8.4779146991664387</v>
      </c>
      <c r="I37" s="382"/>
      <c r="J37" s="380" t="s">
        <v>184</v>
      </c>
    </row>
    <row r="38" spans="1:10" s="3" customFormat="1" ht="14.25" customHeight="1">
      <c r="A38" s="383"/>
      <c r="B38" s="384"/>
      <c r="C38" s="384"/>
      <c r="D38" s="385"/>
      <c r="E38" s="378"/>
      <c r="F38" s="379"/>
      <c r="G38" s="386"/>
      <c r="H38" s="387"/>
      <c r="I38" s="388"/>
      <c r="J38" s="386"/>
    </row>
    <row r="39" spans="1:10" s="3" customFormat="1" ht="14.25" customHeight="1">
      <c r="A39" s="141" t="s">
        <v>174</v>
      </c>
      <c r="B39" s="141"/>
      <c r="C39" s="141"/>
      <c r="D39" s="141"/>
      <c r="E39" s="141"/>
      <c r="F39" s="141"/>
      <c r="G39" s="141"/>
      <c r="H39" s="141"/>
      <c r="I39" s="141"/>
      <c r="J39" s="141"/>
    </row>
    <row r="40" spans="1:10" s="3" customFormat="1" ht="14.25" customHeight="1">
      <c r="A40" s="142"/>
      <c r="B40" s="142"/>
      <c r="C40" s="142"/>
      <c r="D40" s="142"/>
      <c r="E40" s="142"/>
      <c r="F40" s="142"/>
      <c r="G40" s="142"/>
      <c r="H40" s="142"/>
      <c r="I40" s="142"/>
      <c r="J40" s="142"/>
    </row>
    <row r="41" spans="1:10" s="3" customFormat="1" ht="14.25" customHeight="1">
      <c r="A41" s="142"/>
      <c r="B41" s="142"/>
      <c r="C41" s="142"/>
      <c r="D41" s="142"/>
      <c r="E41" s="142"/>
      <c r="F41" s="142"/>
      <c r="G41" s="142"/>
      <c r="H41" s="142"/>
      <c r="I41" s="142"/>
      <c r="J41" s="142"/>
    </row>
    <row r="42" spans="1:10" s="3" customFormat="1" ht="14.25" customHeight="1">
      <c r="A42" s="42"/>
      <c r="B42" s="42"/>
      <c r="C42" s="42"/>
      <c r="D42" s="42"/>
      <c r="E42" s="42"/>
      <c r="F42" s="42"/>
      <c r="G42" s="42"/>
      <c r="H42" s="42"/>
      <c r="I42" s="42"/>
      <c r="J42" s="42"/>
    </row>
    <row r="43" spans="1:10" s="3" customFormat="1" ht="14.25" customHeight="1">
      <c r="A43" s="34">
        <f>+A31</f>
        <v>2022</v>
      </c>
      <c r="B43" s="34" t="s">
        <v>186</v>
      </c>
      <c r="C43" s="34"/>
      <c r="D43" s="34"/>
      <c r="E43" s="34"/>
      <c r="F43" s="34"/>
      <c r="G43" s="93"/>
    </row>
    <row r="44" spans="1:10" ht="14.25" customHeight="1">
      <c r="A44" s="143" t="s">
        <v>187</v>
      </c>
      <c r="B44" s="143"/>
      <c r="C44" s="143" t="s">
        <v>188</v>
      </c>
      <c r="D44" s="143"/>
      <c r="E44" s="143"/>
      <c r="F44" s="143"/>
      <c r="G44" s="143"/>
      <c r="H44" s="143"/>
      <c r="I44" s="143"/>
      <c r="J44" s="143"/>
    </row>
    <row r="45" spans="1:10" ht="14.25" customHeight="1">
      <c r="A45" s="43"/>
      <c r="B45" s="43"/>
      <c r="C45" s="36" t="s">
        <v>189</v>
      </c>
      <c r="D45" s="36" t="s">
        <v>190</v>
      </c>
      <c r="E45" s="36" t="s">
        <v>191</v>
      </c>
      <c r="F45" s="36" t="s">
        <v>192</v>
      </c>
      <c r="G45" s="36" t="s">
        <v>193</v>
      </c>
      <c r="H45" s="36"/>
      <c r="I45" s="36" t="s">
        <v>194</v>
      </c>
      <c r="J45" s="36" t="s">
        <v>195</v>
      </c>
    </row>
    <row r="46" spans="1:10" ht="31.5" customHeight="1">
      <c r="A46" s="361" t="s">
        <v>196</v>
      </c>
      <c r="B46" s="361"/>
      <c r="C46" s="116">
        <v>6998.3700000000008</v>
      </c>
      <c r="D46" s="116">
        <v>7117.09</v>
      </c>
      <c r="E46" s="116">
        <v>6534.24</v>
      </c>
      <c r="F46" s="389"/>
      <c r="G46" s="389"/>
      <c r="H46" s="389"/>
      <c r="I46" s="389">
        <v>7078.72</v>
      </c>
      <c r="J46" s="389"/>
    </row>
    <row r="47" spans="1:10" ht="43.5" customHeight="1">
      <c r="A47" s="361" t="s">
        <v>197</v>
      </c>
      <c r="B47" s="361"/>
      <c r="C47" s="116"/>
      <c r="D47" s="116"/>
      <c r="E47" s="116">
        <v>1</v>
      </c>
      <c r="F47" s="389"/>
      <c r="G47" s="389"/>
      <c r="H47" s="389"/>
      <c r="I47" s="389"/>
      <c r="J47" s="389"/>
    </row>
    <row r="48" spans="1:10" ht="42.75" customHeight="1">
      <c r="A48" s="361" t="s">
        <v>198</v>
      </c>
      <c r="B48" s="361"/>
      <c r="C48" s="116"/>
      <c r="D48" s="116"/>
      <c r="E48" s="116" t="s">
        <v>199</v>
      </c>
      <c r="F48" s="389"/>
      <c r="G48" s="389"/>
      <c r="H48" s="389"/>
      <c r="I48" s="389"/>
      <c r="J48" s="389"/>
    </row>
    <row r="49" spans="1:10" ht="8.25" customHeight="1">
      <c r="A49" s="93"/>
      <c r="B49" s="93"/>
      <c r="C49" s="93"/>
      <c r="D49" s="93"/>
      <c r="E49" s="93"/>
      <c r="F49" s="93"/>
      <c r="G49" s="93"/>
      <c r="H49" s="93"/>
      <c r="I49" s="93"/>
      <c r="J49" s="93"/>
    </row>
    <row r="50" spans="1:10">
      <c r="A50" s="141" t="s">
        <v>174</v>
      </c>
      <c r="B50" s="141"/>
      <c r="C50" s="141"/>
      <c r="D50" s="141"/>
      <c r="E50" s="141"/>
      <c r="F50" s="141"/>
      <c r="G50" s="141"/>
      <c r="H50" s="141"/>
      <c r="I50" s="141"/>
      <c r="J50" s="141"/>
    </row>
    <row r="51" spans="1:10">
      <c r="A51" s="142" t="s">
        <v>200</v>
      </c>
      <c r="B51" s="142"/>
      <c r="C51" s="142"/>
      <c r="D51" s="142"/>
      <c r="E51" s="142"/>
      <c r="F51" s="142"/>
      <c r="G51" s="142"/>
      <c r="H51" s="142"/>
      <c r="I51" s="142"/>
      <c r="J51" s="142"/>
    </row>
    <row r="52" spans="1:10">
      <c r="A52" s="142"/>
      <c r="B52" s="142"/>
      <c r="C52" s="142"/>
      <c r="D52" s="142"/>
      <c r="E52" s="142"/>
      <c r="F52" s="142"/>
      <c r="G52" s="142"/>
      <c r="H52" s="142"/>
      <c r="I52" s="142"/>
      <c r="J52" s="142"/>
    </row>
    <row r="54" spans="1:10">
      <c r="A54" s="3" t="s">
        <v>201</v>
      </c>
      <c r="B54" s="44" t="s">
        <v>17</v>
      </c>
      <c r="C54" s="44"/>
      <c r="D54" s="44"/>
      <c r="E54" s="44"/>
      <c r="F54" s="3"/>
      <c r="G54" s="3" t="s">
        <v>202</v>
      </c>
      <c r="H54" s="111">
        <v>44953</v>
      </c>
      <c r="I54" s="44"/>
      <c r="J54" s="93"/>
    </row>
    <row r="62" spans="1:10">
      <c r="A62" s="93"/>
      <c r="B62" s="93"/>
      <c r="C62" s="93"/>
      <c r="D62" s="93"/>
      <c r="E62" s="93"/>
      <c r="F62" s="3"/>
      <c r="G62" s="93"/>
      <c r="H62" s="93"/>
      <c r="I62" s="93"/>
      <c r="J62" s="93"/>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25" right="0.25" top="0.75" bottom="0.75" header="0.3" footer="0.3"/>
  <pageSetup paperSize="9" scale="87" orientation="portrait" r:id="rId1"/>
  <headerFooter scaleWithDoc="0">
    <oddFooter>&amp;C&amp;"Arial,Regular"Page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topLeftCell="A4" workbookViewId="0">
      <selection activeCell="E53" sqref="E53"/>
    </sheetView>
  </sheetViews>
  <sheetFormatPr defaultColWidth="9.42578125" defaultRowHeight="15.6"/>
  <cols>
    <col min="1" max="1" width="9.42578125" style="2" bestFit="1" customWidth="1"/>
    <col min="2" max="7" width="9.42578125" style="2"/>
    <col min="8" max="8" width="10.5703125" style="2" bestFit="1" customWidth="1"/>
    <col min="9" max="16384" width="9.42578125" style="2"/>
  </cols>
  <sheetData>
    <row r="1" spans="1:10">
      <c r="A1" s="33">
        <f>+'Cover Page'!C39</f>
        <v>2022</v>
      </c>
      <c r="B1" s="34" t="s">
        <v>203</v>
      </c>
      <c r="C1" s="34"/>
      <c r="D1" s="34"/>
      <c r="E1" s="34"/>
      <c r="F1" s="34"/>
      <c r="G1" s="34"/>
      <c r="H1" s="34"/>
      <c r="I1" s="34"/>
      <c r="J1" s="34"/>
    </row>
    <row r="3" spans="1:10" s="3" customFormat="1" ht="15" customHeight="1">
      <c r="A3" s="3" t="str">
        <f>+'Cover Page'!B31</f>
        <v>Permit EPR/WP3234DY/V002</v>
      </c>
      <c r="F3" s="3" t="s">
        <v>151</v>
      </c>
      <c r="G3" s="156" t="s">
        <v>9</v>
      </c>
      <c r="H3" s="156"/>
      <c r="I3" s="156"/>
    </row>
    <row r="4" spans="1:10" s="3" customFormat="1" ht="14.1"/>
    <row r="5" spans="1:10" s="3" customFormat="1" ht="14.1">
      <c r="A5" s="3" t="s">
        <v>152</v>
      </c>
      <c r="B5" s="152" t="str">
        <f>+'Cover Page'!B33:I33</f>
        <v>Rookery Pit Energy Recovery Facility</v>
      </c>
      <c r="C5" s="152"/>
      <c r="D5" s="152"/>
      <c r="E5" s="152"/>
      <c r="F5" s="3" t="s">
        <v>153</v>
      </c>
      <c r="G5" s="3" t="s">
        <v>204</v>
      </c>
    </row>
    <row r="6" spans="1:10" s="3" customFormat="1" ht="14.1"/>
    <row r="7" spans="1:10" s="3" customFormat="1" ht="15.75" customHeight="1">
      <c r="A7" s="3" t="s">
        <v>155</v>
      </c>
      <c r="D7" s="157">
        <f>+'Perf. Form 1'!D6:E6</f>
        <v>44562</v>
      </c>
      <c r="E7" s="157"/>
      <c r="F7" s="35" t="s">
        <v>156</v>
      </c>
      <c r="G7" s="157">
        <f>+'Perf. Form 1'!G6:H6</f>
        <v>44926</v>
      </c>
      <c r="H7" s="157"/>
    </row>
    <row r="8" spans="1:10" s="3" customFormat="1" ht="14.45">
      <c r="B8"/>
      <c r="C8"/>
      <c r="D8"/>
    </row>
    <row r="9" spans="1:10" s="3" customFormat="1" ht="37.5" customHeight="1">
      <c r="A9" s="143" t="s">
        <v>205</v>
      </c>
      <c r="B9" s="143"/>
      <c r="C9" s="143"/>
      <c r="D9" s="155" t="s">
        <v>206</v>
      </c>
      <c r="E9" s="155"/>
      <c r="F9" s="36" t="s">
        <v>75</v>
      </c>
      <c r="G9" s="143" t="s">
        <v>207</v>
      </c>
      <c r="H9" s="143"/>
      <c r="I9" s="143"/>
    </row>
    <row r="10" spans="1:10" s="3" customFormat="1" ht="24.75" customHeight="1">
      <c r="A10" s="361" t="s">
        <v>208</v>
      </c>
      <c r="B10" s="361"/>
      <c r="C10" s="361"/>
      <c r="D10" s="390">
        <f>+'Operational Data'!G24</f>
        <v>438374.06399999995</v>
      </c>
      <c r="E10" s="390"/>
      <c r="F10" s="391" t="s">
        <v>99</v>
      </c>
      <c r="G10" s="392">
        <f>+'Operational Data'!H24</f>
        <v>918.22061048027888</v>
      </c>
      <c r="H10" s="392"/>
      <c r="I10" s="392"/>
    </row>
    <row r="11" spans="1:10" s="3" customFormat="1" ht="24.75" customHeight="1">
      <c r="A11" s="361" t="s">
        <v>209</v>
      </c>
      <c r="B11" s="361"/>
      <c r="C11" s="361"/>
      <c r="D11" s="393">
        <f>+'Operational Data'!G27</f>
        <v>2253.9250000000002</v>
      </c>
      <c r="E11" s="393"/>
      <c r="F11" s="391" t="s">
        <v>99</v>
      </c>
      <c r="G11" s="392">
        <f>+'Operational Data'!H27</f>
        <v>4.7210831101466866</v>
      </c>
      <c r="H11" s="392"/>
      <c r="I11" s="392"/>
    </row>
    <row r="12" spans="1:10" s="3" customFormat="1" ht="24.75" customHeight="1">
      <c r="A12" s="361" t="s">
        <v>210</v>
      </c>
      <c r="B12" s="361"/>
      <c r="C12" s="361"/>
      <c r="D12" s="390">
        <f>+'Operational Data'!G25</f>
        <v>409233</v>
      </c>
      <c r="E12" s="390"/>
      <c r="F12" s="391" t="s">
        <v>99</v>
      </c>
      <c r="G12" s="392">
        <f>+'Operational Data'!H25</f>
        <v>857.18158519678298</v>
      </c>
      <c r="H12" s="392"/>
      <c r="I12" s="392"/>
    </row>
    <row r="13" spans="1:10" s="3" customFormat="1" ht="24.75" customHeight="1">
      <c r="A13" s="361" t="s">
        <v>211</v>
      </c>
      <c r="B13" s="361"/>
      <c r="C13" s="361"/>
      <c r="D13" s="229">
        <v>643.29999999999995</v>
      </c>
      <c r="E13" s="229"/>
      <c r="F13" s="391" t="s">
        <v>83</v>
      </c>
      <c r="G13" s="394"/>
      <c r="H13" s="394"/>
      <c r="I13" s="394"/>
    </row>
    <row r="14" spans="1:10" s="3" customFormat="1" ht="24.75" customHeight="1">
      <c r="A14" s="361" t="s">
        <v>212</v>
      </c>
      <c r="B14" s="361"/>
      <c r="C14" s="361"/>
      <c r="D14" s="390">
        <f>+'Operational Data'!G30</f>
        <v>0</v>
      </c>
      <c r="E14" s="390"/>
      <c r="F14" s="391" t="s">
        <v>213</v>
      </c>
      <c r="G14" s="392" t="str">
        <f>+'Operational Data'!H30</f>
        <v>-</v>
      </c>
      <c r="H14" s="392"/>
      <c r="I14" s="392"/>
    </row>
    <row r="15" spans="1:10" s="3" customFormat="1" ht="24.75" customHeight="1">
      <c r="A15" s="364"/>
      <c r="B15" s="364"/>
      <c r="C15" s="364"/>
      <c r="D15" s="364"/>
      <c r="E15" s="364"/>
      <c r="F15" s="118"/>
      <c r="G15" s="158"/>
      <c r="H15" s="158"/>
      <c r="I15" s="158"/>
    </row>
    <row r="16" spans="1:10" s="3" customFormat="1" ht="24.75" customHeight="1">
      <c r="A16" s="364"/>
      <c r="B16" s="364"/>
      <c r="C16" s="364"/>
      <c r="D16" s="364"/>
      <c r="E16" s="364"/>
      <c r="F16" s="118"/>
      <c r="G16" s="158"/>
      <c r="H16" s="158"/>
      <c r="I16" s="158"/>
    </row>
    <row r="17" spans="1:9" s="3" customFormat="1" ht="14.45">
      <c r="A17" s="45"/>
      <c r="B17"/>
      <c r="C17"/>
      <c r="D17"/>
    </row>
    <row r="18" spans="1:9" s="3" customFormat="1" ht="24" customHeight="1">
      <c r="A18" s="141" t="s">
        <v>174</v>
      </c>
      <c r="B18" s="141"/>
      <c r="C18" s="141"/>
      <c r="D18" s="141"/>
      <c r="E18" s="141"/>
      <c r="F18" s="141"/>
      <c r="G18" s="141"/>
      <c r="H18" s="141"/>
      <c r="I18" s="141"/>
    </row>
    <row r="19" spans="1:9" s="3" customFormat="1" ht="14.1">
      <c r="A19" s="395"/>
      <c r="B19" s="395"/>
      <c r="C19" s="395"/>
      <c r="D19" s="395"/>
      <c r="E19" s="395"/>
      <c r="F19" s="395"/>
      <c r="G19" s="395"/>
      <c r="H19" s="395"/>
      <c r="I19" s="395"/>
    </row>
    <row r="20" spans="1:9" s="3" customFormat="1" ht="14.1">
      <c r="A20" s="395"/>
      <c r="B20" s="395"/>
      <c r="C20" s="395"/>
      <c r="D20" s="395"/>
      <c r="E20" s="395"/>
      <c r="F20" s="395"/>
      <c r="G20" s="395"/>
      <c r="H20" s="395"/>
      <c r="I20" s="395"/>
    </row>
    <row r="21" spans="1:9" s="3" customFormat="1" ht="14.1">
      <c r="A21" s="395"/>
      <c r="B21" s="395"/>
      <c r="C21" s="395"/>
      <c r="D21" s="395"/>
      <c r="E21" s="395"/>
      <c r="F21" s="395"/>
      <c r="G21" s="395"/>
      <c r="H21" s="395"/>
      <c r="I21" s="395"/>
    </row>
    <row r="22" spans="1:9" s="3" customFormat="1" ht="14.1">
      <c r="A22" s="395"/>
      <c r="B22" s="395"/>
      <c r="C22" s="395"/>
      <c r="D22" s="395"/>
      <c r="E22" s="395"/>
      <c r="F22" s="395"/>
      <c r="G22" s="395"/>
      <c r="H22" s="395"/>
      <c r="I22" s="395"/>
    </row>
    <row r="23" spans="1:9" s="3" customFormat="1" ht="14.1">
      <c r="A23" s="395"/>
      <c r="B23" s="395"/>
      <c r="C23" s="395"/>
      <c r="D23" s="395"/>
      <c r="E23" s="395"/>
      <c r="F23" s="395"/>
      <c r="G23" s="395"/>
      <c r="H23" s="395"/>
      <c r="I23" s="395"/>
    </row>
    <row r="24" spans="1:9" s="3" customFormat="1" ht="14.1">
      <c r="A24" s="395"/>
      <c r="B24" s="395"/>
      <c r="C24" s="395"/>
      <c r="D24" s="395"/>
      <c r="E24" s="395"/>
      <c r="F24" s="395"/>
      <c r="G24" s="395"/>
      <c r="H24" s="395"/>
      <c r="I24" s="395"/>
    </row>
    <row r="25" spans="1:9" s="3" customFormat="1" ht="14.1">
      <c r="A25" s="395"/>
      <c r="B25" s="395"/>
      <c r="C25" s="395"/>
      <c r="D25" s="395"/>
      <c r="E25" s="395"/>
      <c r="F25" s="395"/>
      <c r="G25" s="395"/>
      <c r="H25" s="395"/>
      <c r="I25" s="395"/>
    </row>
    <row r="26" spans="1:9" s="3" customFormat="1" ht="14.1">
      <c r="A26" s="42"/>
      <c r="B26" s="42"/>
      <c r="C26" s="42"/>
      <c r="D26" s="42"/>
      <c r="E26" s="42"/>
      <c r="F26" s="42"/>
      <c r="G26" s="42"/>
      <c r="H26" s="42"/>
      <c r="I26" s="42"/>
    </row>
    <row r="27" spans="1:9" s="3" customFormat="1" ht="14.1"/>
    <row r="28" spans="1:9" s="3" customFormat="1" ht="14.1"/>
    <row r="29" spans="1:9" s="3" customFormat="1" ht="14.1">
      <c r="A29" s="3" t="s">
        <v>201</v>
      </c>
      <c r="B29" s="44"/>
      <c r="C29" s="44"/>
      <c r="D29" s="44" t="s">
        <v>17</v>
      </c>
      <c r="E29" s="44"/>
      <c r="G29" s="3" t="s">
        <v>202</v>
      </c>
      <c r="H29" s="111">
        <v>44946</v>
      </c>
      <c r="I29" s="44"/>
    </row>
    <row r="30" spans="1:9" s="3" customFormat="1" ht="14.1"/>
    <row r="31" spans="1:9" ht="14.25" customHeight="1">
      <c r="A31" s="3"/>
      <c r="B31" s="3"/>
      <c r="C31" s="3"/>
      <c r="D31" s="3"/>
      <c r="E31" s="3"/>
      <c r="F31" s="3"/>
      <c r="G31" s="3"/>
      <c r="H31" s="3"/>
      <c r="I31" s="3"/>
    </row>
    <row r="32" spans="1:9" s="3" customFormat="1" ht="14.1"/>
    <row r="33" spans="1:9" s="3" customFormat="1" ht="14.1"/>
    <row r="34" spans="1:9" s="3" customFormat="1">
      <c r="A34" s="93"/>
      <c r="B34" s="93"/>
      <c r="C34" s="93"/>
      <c r="D34" s="93"/>
      <c r="E34" s="93"/>
      <c r="F34" s="93"/>
      <c r="G34" s="93"/>
      <c r="H34" s="93"/>
      <c r="I34" s="93"/>
    </row>
    <row r="35" spans="1:9" s="3" customFormat="1" ht="14.1"/>
    <row r="36" spans="1:9" s="3" customFormat="1" ht="14.1"/>
    <row r="37" spans="1:9" s="3" customFormat="1" ht="14.1"/>
    <row r="38" spans="1:9" s="3" customFormat="1" ht="14.1"/>
    <row r="39" spans="1:9" s="3" customFormat="1" ht="14.1"/>
    <row r="40" spans="1:9" s="3" customFormat="1" ht="14.1"/>
    <row r="41" spans="1:9" s="3" customFormat="1" ht="14.1"/>
    <row r="42" spans="1:9" s="3" customFormat="1" ht="14.1"/>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76"/>
  <sheetViews>
    <sheetView topLeftCell="A41" zoomScaleNormal="100" workbookViewId="0">
      <selection activeCell="E53" sqref="E53"/>
    </sheetView>
  </sheetViews>
  <sheetFormatPr defaultColWidth="9.42578125" defaultRowHeight="15.6"/>
  <cols>
    <col min="1" max="1" width="12.42578125" style="2" customWidth="1"/>
    <col min="2" max="2" width="39.85546875" style="2" customWidth="1"/>
    <col min="3" max="3" width="18.42578125" style="2" bestFit="1" customWidth="1"/>
    <col min="4" max="4" width="24" style="2" customWidth="1"/>
    <col min="5" max="5" width="17.85546875" style="2" customWidth="1"/>
    <col min="6" max="8" width="9.42578125" style="2"/>
    <col min="9" max="9" width="8.5703125" style="2" customWidth="1"/>
    <col min="10" max="10" width="9.42578125" style="2" hidden="1" customWidth="1"/>
    <col min="11" max="11" width="10.5703125" style="2" bestFit="1" customWidth="1"/>
    <col min="12" max="12" width="31.85546875" style="2" customWidth="1"/>
    <col min="13" max="16384" width="9.42578125" style="2"/>
  </cols>
  <sheetData>
    <row r="1" spans="1:15">
      <c r="A1" s="93" t="str">
        <f>+'Cover Page'!$B$29</f>
        <v>Annual Performance Report 2022</v>
      </c>
      <c r="B1" s="93"/>
      <c r="C1" s="93"/>
      <c r="D1" s="93"/>
      <c r="E1" s="93" t="str">
        <f>+'Cover Page'!$B$33</f>
        <v>Rookery Pit Energy Recovery Facility</v>
      </c>
      <c r="F1" s="93"/>
      <c r="G1" s="93"/>
      <c r="H1" s="93"/>
      <c r="I1" s="93"/>
      <c r="J1" s="93"/>
      <c r="K1" s="93"/>
      <c r="L1" s="93"/>
      <c r="M1" s="93"/>
      <c r="N1" s="93"/>
      <c r="O1" s="93"/>
    </row>
    <row r="3" spans="1:15">
      <c r="A3" s="1" t="s">
        <v>214</v>
      </c>
      <c r="B3" s="93"/>
      <c r="C3" s="93"/>
      <c r="D3" s="93"/>
      <c r="E3" s="93"/>
      <c r="F3" s="93"/>
      <c r="G3" s="93"/>
      <c r="H3" s="93"/>
      <c r="I3" s="93"/>
      <c r="J3" s="93"/>
      <c r="K3" s="93"/>
      <c r="L3" s="93"/>
      <c r="M3" s="93"/>
      <c r="N3" s="93"/>
      <c r="O3" s="93"/>
    </row>
    <row r="4" spans="1:15">
      <c r="A4" s="1"/>
      <c r="B4" s="93"/>
      <c r="C4" s="93"/>
      <c r="D4" s="93"/>
      <c r="E4" s="93"/>
      <c r="F4" s="93"/>
      <c r="G4" s="93"/>
      <c r="H4" s="93"/>
      <c r="I4" s="93"/>
      <c r="J4" s="93"/>
      <c r="K4" s="93"/>
      <c r="L4" s="93"/>
      <c r="M4" s="93"/>
      <c r="N4" s="93"/>
      <c r="O4" s="93"/>
    </row>
    <row r="5" spans="1:15">
      <c r="A5" s="9" t="s">
        <v>215</v>
      </c>
      <c r="B5" s="93"/>
      <c r="C5" s="93"/>
      <c r="D5" s="93"/>
      <c r="E5" s="93"/>
      <c r="F5" s="93"/>
      <c r="G5" s="93"/>
      <c r="H5" s="93"/>
      <c r="I5" s="93"/>
      <c r="J5" s="93"/>
      <c r="K5" s="93"/>
      <c r="L5" s="93"/>
      <c r="M5" s="93"/>
      <c r="N5" s="93"/>
      <c r="O5" s="93"/>
    </row>
    <row r="6" spans="1:15">
      <c r="A6" s="9"/>
      <c r="B6" s="93"/>
      <c r="C6" s="93"/>
      <c r="D6" s="93"/>
      <c r="E6" s="93"/>
      <c r="F6" s="93"/>
      <c r="G6" s="93"/>
      <c r="H6" s="93"/>
      <c r="I6" s="93"/>
      <c r="J6" s="93"/>
      <c r="K6" s="93"/>
      <c r="L6" s="93"/>
      <c r="M6" s="93"/>
      <c r="N6" s="93"/>
      <c r="O6" s="93"/>
    </row>
    <row r="7" spans="1:15">
      <c r="A7" s="109" t="s">
        <v>216</v>
      </c>
      <c r="B7" s="93"/>
      <c r="C7" s="93"/>
      <c r="D7" s="93"/>
      <c r="E7" s="93"/>
      <c r="F7" s="93"/>
      <c r="G7" s="93"/>
      <c r="H7" s="93"/>
      <c r="I7" s="93"/>
      <c r="J7" s="93"/>
      <c r="K7" s="93"/>
      <c r="L7" s="93"/>
      <c r="M7" s="93"/>
      <c r="N7" s="93"/>
      <c r="O7" s="93"/>
    </row>
    <row r="8" spans="1:15" s="3" customFormat="1" ht="25.5" customHeight="1">
      <c r="A8" s="187" t="s">
        <v>217</v>
      </c>
      <c r="B8" s="188"/>
      <c r="C8" s="187" t="s">
        <v>218</v>
      </c>
      <c r="D8" s="189"/>
      <c r="E8" s="189"/>
      <c r="F8" s="189"/>
      <c r="G8" s="189"/>
      <c r="H8" s="189"/>
      <c r="I8" s="188"/>
      <c r="L8" s="81" t="s">
        <v>3</v>
      </c>
    </row>
    <row r="9" spans="1:15" s="3" customFormat="1" ht="22.5" customHeight="1">
      <c r="A9" s="190"/>
      <c r="B9" s="191"/>
      <c r="C9" s="192" t="s">
        <v>219</v>
      </c>
      <c r="D9" s="192"/>
      <c r="E9" s="192"/>
      <c r="F9" s="192" t="s">
        <v>220</v>
      </c>
      <c r="G9" s="192"/>
      <c r="H9" s="192"/>
      <c r="I9" s="192"/>
      <c r="L9" s="224" t="s">
        <v>221</v>
      </c>
      <c r="M9" s="224"/>
      <c r="N9" s="224"/>
      <c r="O9" s="224"/>
    </row>
    <row r="10" spans="1:15" s="3" customFormat="1" ht="22.5" customHeight="1">
      <c r="A10" s="179" t="s">
        <v>222</v>
      </c>
      <c r="B10" s="179"/>
      <c r="C10" s="180">
        <v>1</v>
      </c>
      <c r="D10" s="181"/>
      <c r="E10" s="181"/>
      <c r="F10" s="182">
        <v>1</v>
      </c>
      <c r="G10" s="183"/>
      <c r="H10" s="183"/>
      <c r="I10" s="184"/>
      <c r="L10" s="224"/>
      <c r="M10" s="224"/>
      <c r="N10" s="224"/>
      <c r="O10" s="224"/>
    </row>
    <row r="11" spans="1:15" s="3" customFormat="1" ht="22.5" customHeight="1">
      <c r="A11" s="179" t="s">
        <v>223</v>
      </c>
      <c r="B11" s="179"/>
      <c r="C11" s="180">
        <v>1</v>
      </c>
      <c r="D11" s="181"/>
      <c r="E11" s="181"/>
      <c r="F11" s="182">
        <v>1</v>
      </c>
      <c r="G11" s="183"/>
      <c r="H11" s="183"/>
      <c r="I11" s="184"/>
      <c r="L11" s="224"/>
      <c r="M11" s="224"/>
      <c r="N11" s="224"/>
      <c r="O11" s="224"/>
    </row>
    <row r="12" spans="1:15" s="3" customFormat="1" ht="22.5" customHeight="1">
      <c r="A12" s="179" t="s">
        <v>224</v>
      </c>
      <c r="B12" s="179"/>
      <c r="C12" s="180">
        <v>1</v>
      </c>
      <c r="D12" s="181"/>
      <c r="E12" s="181"/>
      <c r="F12" s="182">
        <v>1</v>
      </c>
      <c r="G12" s="183"/>
      <c r="H12" s="183"/>
      <c r="I12" s="184"/>
      <c r="L12" s="224"/>
      <c r="M12" s="224"/>
      <c r="N12" s="224"/>
      <c r="O12" s="224"/>
    </row>
    <row r="13" spans="1:15" s="3" customFormat="1" ht="22.5" customHeight="1">
      <c r="A13" s="179" t="s">
        <v>225</v>
      </c>
      <c r="B13" s="179"/>
      <c r="C13" s="151" t="s">
        <v>226</v>
      </c>
      <c r="D13" s="181"/>
      <c r="E13" s="181"/>
      <c r="F13" s="180">
        <v>0.99260000000000004</v>
      </c>
      <c r="G13" s="181"/>
      <c r="H13" s="181"/>
      <c r="I13" s="181"/>
      <c r="L13" s="224"/>
      <c r="M13" s="224"/>
      <c r="N13" s="224"/>
      <c r="O13" s="224"/>
    </row>
    <row r="14" spans="1:15" s="3" customFormat="1" ht="22.5" customHeight="1">
      <c r="A14" s="179" t="s">
        <v>227</v>
      </c>
      <c r="B14" s="179"/>
      <c r="C14" s="180">
        <v>0.99939999999999996</v>
      </c>
      <c r="D14" s="181"/>
      <c r="E14" s="181"/>
      <c r="F14" s="182">
        <v>0.99990000000000001</v>
      </c>
      <c r="G14" s="183"/>
      <c r="H14" s="183"/>
      <c r="I14" s="184"/>
      <c r="L14" s="224"/>
      <c r="M14" s="224"/>
      <c r="N14" s="224"/>
      <c r="O14" s="224"/>
    </row>
    <row r="15" spans="1:15" s="3" customFormat="1" ht="22.5" customHeight="1">
      <c r="A15" s="179" t="s">
        <v>228</v>
      </c>
      <c r="B15" s="179"/>
      <c r="C15" s="180">
        <v>0.99990000000000001</v>
      </c>
      <c r="D15" s="181"/>
      <c r="E15" s="181"/>
      <c r="F15" s="182">
        <v>1</v>
      </c>
      <c r="G15" s="183"/>
      <c r="H15" s="183"/>
      <c r="I15" s="184"/>
      <c r="L15" s="224"/>
      <c r="M15" s="224"/>
      <c r="N15" s="224"/>
      <c r="O15" s="224"/>
    </row>
    <row r="16" spans="1:15" s="3" customFormat="1" ht="22.5" customHeight="1">
      <c r="A16" s="179" t="s">
        <v>229</v>
      </c>
      <c r="B16" s="179"/>
      <c r="C16" s="180">
        <v>1</v>
      </c>
      <c r="D16" s="181"/>
      <c r="E16" s="181"/>
      <c r="F16" s="182">
        <v>1</v>
      </c>
      <c r="G16" s="183"/>
      <c r="H16" s="183"/>
      <c r="I16" s="184"/>
      <c r="L16" s="224"/>
      <c r="M16" s="224"/>
      <c r="N16" s="224"/>
      <c r="O16" s="224"/>
    </row>
    <row r="17" spans="1:15" s="3" customFormat="1" ht="22.5" customHeight="1">
      <c r="A17" s="185"/>
      <c r="B17" s="186"/>
      <c r="C17" s="181"/>
      <c r="D17" s="181"/>
      <c r="E17" s="181"/>
      <c r="F17" s="181"/>
      <c r="G17" s="181"/>
      <c r="H17" s="181"/>
      <c r="I17" s="181"/>
      <c r="L17" s="224"/>
      <c r="M17" s="224"/>
      <c r="N17" s="224"/>
      <c r="O17" s="224"/>
    </row>
    <row r="18" spans="1:15" s="3" customFormat="1" ht="14.1">
      <c r="L18" s="224"/>
      <c r="M18" s="224"/>
      <c r="N18" s="224"/>
      <c r="O18" s="224"/>
    </row>
    <row r="19" spans="1:15" s="45" customFormat="1" ht="21.75" customHeight="1">
      <c r="A19" s="167" t="s">
        <v>230</v>
      </c>
      <c r="B19" s="168"/>
      <c r="C19" s="168"/>
      <c r="D19" s="168"/>
      <c r="E19" s="168"/>
      <c r="F19" s="168"/>
      <c r="G19" s="168"/>
      <c r="H19" s="168"/>
      <c r="I19" s="168"/>
      <c r="J19" s="168"/>
      <c r="K19" s="169"/>
    </row>
    <row r="20" spans="1:15" s="3" customFormat="1" ht="38.25" customHeight="1">
      <c r="A20" s="46" t="s">
        <v>53</v>
      </c>
      <c r="B20" s="174" t="s">
        <v>231</v>
      </c>
      <c r="C20" s="174"/>
      <c r="D20" s="174"/>
      <c r="E20" s="174" t="s">
        <v>232</v>
      </c>
      <c r="F20" s="174"/>
      <c r="G20" s="174"/>
      <c r="H20" s="174" t="s">
        <v>233</v>
      </c>
      <c r="I20" s="174"/>
      <c r="J20" s="178"/>
      <c r="K20" s="72"/>
    </row>
    <row r="21" spans="1:15" s="3" customFormat="1" ht="23.1" customHeight="1">
      <c r="A21" s="112">
        <v>44610</v>
      </c>
      <c r="B21" s="173" t="s">
        <v>234</v>
      </c>
      <c r="C21" s="173"/>
      <c r="D21" s="173"/>
      <c r="E21" s="158" t="s">
        <v>235</v>
      </c>
      <c r="F21" s="158"/>
      <c r="G21" s="158"/>
      <c r="H21" s="158" t="s">
        <v>236</v>
      </c>
      <c r="I21" s="158"/>
      <c r="J21" s="396"/>
      <c r="K21" s="72"/>
    </row>
    <row r="22" spans="1:15" s="3" customFormat="1" ht="14.45">
      <c r="A22" s="112">
        <v>44620</v>
      </c>
      <c r="B22" s="173" t="s">
        <v>237</v>
      </c>
      <c r="C22" s="173"/>
      <c r="D22" s="173"/>
      <c r="E22" s="158" t="s">
        <v>238</v>
      </c>
      <c r="F22" s="158"/>
      <c r="G22" s="158"/>
      <c r="H22" s="158" t="s">
        <v>239</v>
      </c>
      <c r="I22" s="158"/>
      <c r="J22" s="396"/>
      <c r="K22" s="72"/>
    </row>
    <row r="23" spans="1:15" s="3" customFormat="1" ht="14.45">
      <c r="A23" s="112">
        <v>44669</v>
      </c>
      <c r="B23" s="173" t="s">
        <v>240</v>
      </c>
      <c r="C23" s="173"/>
      <c r="D23" s="173"/>
      <c r="E23" s="158" t="s">
        <v>238</v>
      </c>
      <c r="F23" s="158"/>
      <c r="G23" s="158"/>
      <c r="H23" s="158" t="s">
        <v>239</v>
      </c>
      <c r="I23" s="158"/>
      <c r="J23" s="396"/>
      <c r="K23" s="72"/>
    </row>
    <row r="24" spans="1:15" s="3" customFormat="1" ht="32.1" customHeight="1">
      <c r="A24" s="112">
        <v>44690</v>
      </c>
      <c r="B24" s="173" t="s">
        <v>241</v>
      </c>
      <c r="C24" s="173"/>
      <c r="D24" s="173"/>
      <c r="E24" s="159" t="s">
        <v>242</v>
      </c>
      <c r="F24" s="160"/>
      <c r="G24" s="160"/>
      <c r="H24" s="160"/>
      <c r="I24" s="160"/>
      <c r="J24" s="161"/>
      <c r="K24" s="72"/>
    </row>
    <row r="25" spans="1:15" s="3" customFormat="1" ht="17.100000000000001" customHeight="1">
      <c r="A25" s="112">
        <v>44694</v>
      </c>
      <c r="B25" s="173" t="s">
        <v>243</v>
      </c>
      <c r="C25" s="173"/>
      <c r="D25" s="173"/>
      <c r="E25" s="117" t="s">
        <v>244</v>
      </c>
      <c r="F25" s="397"/>
      <c r="G25" s="398"/>
      <c r="H25" s="158" t="s">
        <v>236</v>
      </c>
      <c r="I25" s="158"/>
      <c r="J25" s="396"/>
      <c r="K25" s="72"/>
    </row>
    <row r="26" spans="1:15" s="3" customFormat="1" ht="14.45">
      <c r="A26" s="112">
        <v>44752</v>
      </c>
      <c r="B26" s="173" t="s">
        <v>245</v>
      </c>
      <c r="C26" s="173"/>
      <c r="D26" s="173"/>
      <c r="E26" s="117" t="s">
        <v>246</v>
      </c>
      <c r="F26" s="397"/>
      <c r="G26" s="398"/>
      <c r="H26" s="158" t="s">
        <v>236</v>
      </c>
      <c r="I26" s="158"/>
      <c r="J26" s="396"/>
      <c r="K26" s="72"/>
    </row>
    <row r="27" spans="1:15" s="3" customFormat="1" ht="14.45">
      <c r="A27" s="112">
        <v>44831</v>
      </c>
      <c r="B27" s="173" t="s">
        <v>247</v>
      </c>
      <c r="C27" s="173"/>
      <c r="D27" s="173"/>
      <c r="E27" s="158" t="s">
        <v>238</v>
      </c>
      <c r="F27" s="158"/>
      <c r="G27" s="158"/>
      <c r="H27" s="158" t="s">
        <v>239</v>
      </c>
      <c r="I27" s="158"/>
      <c r="J27" s="396"/>
      <c r="K27" s="72"/>
    </row>
    <row r="28" spans="1:15" s="3" customFormat="1" ht="14.45">
      <c r="A28" s="113" t="s">
        <v>248</v>
      </c>
      <c r="B28" s="173" t="s">
        <v>249</v>
      </c>
      <c r="C28" s="173"/>
      <c r="D28" s="173"/>
      <c r="E28" s="159" t="s">
        <v>250</v>
      </c>
      <c r="F28" s="160"/>
      <c r="G28" s="160"/>
      <c r="H28" s="160"/>
      <c r="I28" s="161"/>
      <c r="J28" s="117"/>
      <c r="K28" s="72"/>
    </row>
    <row r="29" spans="1:15" s="3" customFormat="1" ht="27.95" customHeight="1">
      <c r="A29" s="114">
        <v>44867</v>
      </c>
      <c r="B29" s="173" t="s">
        <v>251</v>
      </c>
      <c r="C29" s="173"/>
      <c r="D29" s="173"/>
      <c r="E29" s="159" t="s">
        <v>250</v>
      </c>
      <c r="F29" s="160"/>
      <c r="G29" s="160"/>
      <c r="H29" s="160"/>
      <c r="I29" s="161"/>
      <c r="J29" s="117"/>
      <c r="K29" s="72"/>
    </row>
    <row r="30" spans="1:15" s="3" customFormat="1" ht="14.45">
      <c r="A30" s="115">
        <v>44911</v>
      </c>
      <c r="B30" s="193" t="s">
        <v>252</v>
      </c>
      <c r="C30" s="193"/>
      <c r="D30" s="193"/>
      <c r="E30" s="117" t="s">
        <v>253</v>
      </c>
      <c r="F30" s="397"/>
      <c r="G30" s="398"/>
      <c r="H30" s="158" t="s">
        <v>254</v>
      </c>
      <c r="I30" s="158"/>
      <c r="J30" s="396"/>
      <c r="K30" s="72"/>
    </row>
    <row r="31" spans="1:15" s="3" customFormat="1" ht="14.45">
      <c r="A31" s="115">
        <v>44916</v>
      </c>
      <c r="B31" s="194" t="s">
        <v>255</v>
      </c>
      <c r="C31" s="194"/>
      <c r="D31" s="194"/>
      <c r="E31" s="159" t="s">
        <v>250</v>
      </c>
      <c r="F31" s="160"/>
      <c r="G31" s="160"/>
      <c r="H31" s="160"/>
      <c r="I31" s="161"/>
      <c r="J31" s="117"/>
      <c r="K31" s="72"/>
    </row>
    <row r="32" spans="1:15" s="3" customFormat="1" ht="14.1">
      <c r="A32" s="119"/>
      <c r="B32" s="399"/>
      <c r="C32" s="400"/>
      <c r="D32" s="401"/>
      <c r="E32" s="159"/>
      <c r="F32" s="160"/>
      <c r="G32" s="161"/>
      <c r="H32" s="159"/>
      <c r="I32" s="161"/>
      <c r="J32" s="117"/>
      <c r="K32" s="72"/>
    </row>
    <row r="33" spans="1:11" s="3" customFormat="1" ht="14.1">
      <c r="A33" s="119"/>
      <c r="B33" s="402"/>
      <c r="C33" s="402"/>
      <c r="D33" s="402"/>
      <c r="E33" s="158"/>
      <c r="F33" s="158"/>
      <c r="G33" s="158"/>
      <c r="H33" s="158"/>
      <c r="I33" s="158"/>
      <c r="J33" s="396"/>
      <c r="K33" s="72"/>
    </row>
    <row r="34" spans="1:11" s="3" customFormat="1" ht="14.1">
      <c r="A34" s="403"/>
      <c r="B34" s="403"/>
      <c r="C34" s="403"/>
      <c r="D34" s="403"/>
      <c r="E34" s="403"/>
      <c r="F34" s="403"/>
      <c r="G34" s="403"/>
      <c r="H34" s="403"/>
      <c r="I34" s="403"/>
      <c r="J34" s="403"/>
    </row>
    <row r="35" spans="1:11" s="3" customFormat="1" ht="14.1"/>
    <row r="36" spans="1:11" s="45" customFormat="1" ht="22.5" customHeight="1">
      <c r="A36" s="167" t="s">
        <v>256</v>
      </c>
      <c r="B36" s="168"/>
      <c r="C36" s="168"/>
      <c r="D36" s="168"/>
      <c r="E36" s="168"/>
      <c r="F36" s="168"/>
      <c r="G36" s="168"/>
      <c r="H36" s="168"/>
      <c r="I36" s="168"/>
      <c r="J36" s="168"/>
      <c r="K36" s="169"/>
    </row>
    <row r="37" spans="1:11" s="3" customFormat="1" ht="39" customHeight="1" thickBot="1">
      <c r="A37" s="46" t="s">
        <v>53</v>
      </c>
      <c r="B37" s="174" t="s">
        <v>257</v>
      </c>
      <c r="C37" s="174"/>
      <c r="D37" s="174"/>
      <c r="E37" s="174" t="s">
        <v>258</v>
      </c>
      <c r="F37" s="174"/>
      <c r="G37" s="174"/>
      <c r="H37" s="174" t="s">
        <v>233</v>
      </c>
      <c r="I37" s="174"/>
      <c r="J37" s="174"/>
    </row>
    <row r="38" spans="1:11" s="3" customFormat="1" ht="23.1" customHeight="1">
      <c r="A38" s="101">
        <v>44684</v>
      </c>
      <c r="B38" s="175" t="s">
        <v>259</v>
      </c>
      <c r="C38" s="176"/>
      <c r="D38" s="177"/>
      <c r="E38" s="162" t="s">
        <v>260</v>
      </c>
      <c r="F38" s="162"/>
      <c r="G38" s="162"/>
      <c r="H38" s="158" t="s">
        <v>261</v>
      </c>
      <c r="I38" s="158"/>
      <c r="J38" s="158"/>
    </row>
    <row r="39" spans="1:11" s="3" customFormat="1" ht="27.6" customHeight="1">
      <c r="A39" s="102">
        <v>44703</v>
      </c>
      <c r="B39" s="170" t="s">
        <v>262</v>
      </c>
      <c r="C39" s="171"/>
      <c r="D39" s="172"/>
      <c r="E39" s="162" t="s">
        <v>263</v>
      </c>
      <c r="F39" s="162"/>
      <c r="G39" s="162"/>
      <c r="H39" s="158" t="s">
        <v>264</v>
      </c>
      <c r="I39" s="158"/>
      <c r="J39" s="158"/>
    </row>
    <row r="40" spans="1:11" ht="27" customHeight="1">
      <c r="A40" s="102">
        <v>44790</v>
      </c>
      <c r="B40" s="170" t="s">
        <v>265</v>
      </c>
      <c r="C40" s="171"/>
      <c r="D40" s="172"/>
      <c r="E40" s="162" t="s">
        <v>266</v>
      </c>
      <c r="F40" s="162"/>
      <c r="G40" s="162"/>
      <c r="H40" s="158" t="s">
        <v>267</v>
      </c>
      <c r="I40" s="158"/>
      <c r="J40" s="158"/>
      <c r="K40" s="3"/>
    </row>
    <row r="41" spans="1:11" s="3" customFormat="1" ht="27" customHeight="1" thickBot="1">
      <c r="A41" s="103">
        <v>44794</v>
      </c>
      <c r="B41" s="170" t="s">
        <v>265</v>
      </c>
      <c r="C41" s="171"/>
      <c r="D41" s="172"/>
      <c r="E41" s="162" t="s">
        <v>268</v>
      </c>
      <c r="F41" s="162"/>
      <c r="G41" s="162"/>
      <c r="H41" s="158" t="s">
        <v>267</v>
      </c>
      <c r="I41" s="158"/>
      <c r="J41" s="158"/>
    </row>
    <row r="42" spans="1:11" s="3" customFormat="1" ht="28.5" customHeight="1">
      <c r="A42" s="104">
        <v>44893</v>
      </c>
      <c r="B42" s="170" t="s">
        <v>269</v>
      </c>
      <c r="C42" s="171"/>
      <c r="D42" s="172"/>
      <c r="E42" s="162" t="s">
        <v>260</v>
      </c>
      <c r="F42" s="162"/>
      <c r="G42" s="162"/>
      <c r="H42" s="158" t="s">
        <v>261</v>
      </c>
      <c r="I42" s="158"/>
      <c r="J42" s="158"/>
    </row>
    <row r="43" spans="1:11" s="3" customFormat="1" ht="33.950000000000003" customHeight="1">
      <c r="A43" s="105">
        <v>44895</v>
      </c>
      <c r="B43" s="164" t="s">
        <v>270</v>
      </c>
      <c r="C43" s="165"/>
      <c r="D43" s="166"/>
      <c r="E43" s="162" t="s">
        <v>260</v>
      </c>
      <c r="F43" s="162"/>
      <c r="G43" s="162"/>
      <c r="H43" s="158" t="s">
        <v>261</v>
      </c>
      <c r="I43" s="158"/>
      <c r="J43" s="158"/>
    </row>
    <row r="44" spans="1:11" ht="29.1" customHeight="1">
      <c r="A44" s="105">
        <v>44903</v>
      </c>
      <c r="B44" s="164" t="s">
        <v>271</v>
      </c>
      <c r="C44" s="165"/>
      <c r="D44" s="166"/>
      <c r="E44" s="162" t="s">
        <v>260</v>
      </c>
      <c r="F44" s="162"/>
      <c r="G44" s="162"/>
      <c r="H44" s="158" t="s">
        <v>261</v>
      </c>
      <c r="I44" s="158"/>
      <c r="J44" s="158"/>
      <c r="K44" s="93"/>
    </row>
    <row r="45" spans="1:11" ht="28.5" customHeight="1">
      <c r="A45" s="105">
        <v>44925</v>
      </c>
      <c r="B45" s="164" t="s">
        <v>272</v>
      </c>
      <c r="C45" s="165"/>
      <c r="D45" s="166"/>
      <c r="E45" s="162" t="s">
        <v>273</v>
      </c>
      <c r="F45" s="162"/>
      <c r="G45" s="162"/>
      <c r="H45" s="158" t="s">
        <v>261</v>
      </c>
      <c r="I45" s="158"/>
      <c r="J45" s="158"/>
      <c r="K45" s="93"/>
    </row>
    <row r="46" spans="1:11">
      <c r="A46" s="93"/>
      <c r="B46" s="93"/>
      <c r="C46" s="93"/>
      <c r="D46" s="93"/>
      <c r="E46" s="163" t="s">
        <v>274</v>
      </c>
      <c r="F46" s="163"/>
      <c r="G46" s="163"/>
      <c r="H46" s="163"/>
      <c r="I46" s="163"/>
      <c r="J46" s="93"/>
      <c r="K46" s="93"/>
    </row>
    <row r="76" spans="6:6">
      <c r="F76" s="3"/>
    </row>
  </sheetData>
  <mergeCells count="93">
    <mergeCell ref="B30:D30"/>
    <mergeCell ref="B31:D31"/>
    <mergeCell ref="L9:O18"/>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A8:B8"/>
    <mergeCell ref="C8:I8"/>
    <mergeCell ref="A9:B9"/>
    <mergeCell ref="C9:E9"/>
    <mergeCell ref="F9:I9"/>
    <mergeCell ref="F14:I14"/>
    <mergeCell ref="A15:B15"/>
    <mergeCell ref="C15:E15"/>
    <mergeCell ref="F15:I15"/>
    <mergeCell ref="A16:B16"/>
    <mergeCell ref="C17:E17"/>
    <mergeCell ref="F17:I17"/>
    <mergeCell ref="C16:E16"/>
    <mergeCell ref="F16:I16"/>
    <mergeCell ref="A17:B17"/>
    <mergeCell ref="H22:J22"/>
    <mergeCell ref="B23:D23"/>
    <mergeCell ref="E23:G23"/>
    <mergeCell ref="H23:J23"/>
    <mergeCell ref="B20:D20"/>
    <mergeCell ref="E20:G20"/>
    <mergeCell ref="H20:J20"/>
    <mergeCell ref="B21:D21"/>
    <mergeCell ref="E21:G21"/>
    <mergeCell ref="H21:J21"/>
    <mergeCell ref="A19:K19"/>
    <mergeCell ref="B41:D41"/>
    <mergeCell ref="E41:G41"/>
    <mergeCell ref="H41:J41"/>
    <mergeCell ref="B37:D37"/>
    <mergeCell ref="E37:G37"/>
    <mergeCell ref="H37:J37"/>
    <mergeCell ref="B38:D38"/>
    <mergeCell ref="E38:G38"/>
    <mergeCell ref="H38:J38"/>
    <mergeCell ref="B24:D24"/>
    <mergeCell ref="E33:G33"/>
    <mergeCell ref="B39:D39"/>
    <mergeCell ref="E39:G39"/>
    <mergeCell ref="B22:D22"/>
    <mergeCell ref="E22:G22"/>
    <mergeCell ref="B25:D25"/>
    <mergeCell ref="B26:D26"/>
    <mergeCell ref="B27:D27"/>
    <mergeCell ref="B28:D28"/>
    <mergeCell ref="B29:D29"/>
    <mergeCell ref="E46:I46"/>
    <mergeCell ref="B43:D43"/>
    <mergeCell ref="B44:D44"/>
    <mergeCell ref="E32:G32"/>
    <mergeCell ref="H32:I32"/>
    <mergeCell ref="A36:K36"/>
    <mergeCell ref="B42:D42"/>
    <mergeCell ref="E42:G42"/>
    <mergeCell ref="H42:J42"/>
    <mergeCell ref="H39:J39"/>
    <mergeCell ref="B40:D40"/>
    <mergeCell ref="E40:G40"/>
    <mergeCell ref="H40:J40"/>
    <mergeCell ref="H33:J33"/>
    <mergeCell ref="B45:D45"/>
    <mergeCell ref="E43:G43"/>
    <mergeCell ref="E44:G44"/>
    <mergeCell ref="E45:G45"/>
    <mergeCell ref="H43:J43"/>
    <mergeCell ref="H44:J44"/>
    <mergeCell ref="H45:J45"/>
    <mergeCell ref="H26:J26"/>
    <mergeCell ref="H25:J25"/>
    <mergeCell ref="E24:J24"/>
    <mergeCell ref="E31:I31"/>
    <mergeCell ref="H30:J30"/>
    <mergeCell ref="E29:I29"/>
    <mergeCell ref="E28:I28"/>
    <mergeCell ref="E27:G27"/>
    <mergeCell ref="H27:J27"/>
  </mergeCells>
  <pageMargins left="0.7" right="0.7" top="0.75" bottom="0.75" header="0.3" footer="0.3"/>
  <pageSetup paperSize="9" scale="58"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A17" sqref="A17:I25"/>
    </sheetView>
  </sheetViews>
  <sheetFormatPr defaultColWidth="9.42578125" defaultRowHeight="15.6"/>
  <cols>
    <col min="1" max="1" width="9.42578125" style="2" customWidth="1"/>
    <col min="2" max="2" width="14.5703125" style="2" bestFit="1" customWidth="1"/>
    <col min="3" max="8" width="9.42578125" style="2"/>
    <col min="9" max="9" width="11.5703125" style="2" customWidth="1"/>
    <col min="10" max="16384" width="9.42578125" style="2"/>
  </cols>
  <sheetData>
    <row r="1" spans="1:9">
      <c r="A1" s="93" t="str">
        <f>+'Cover Page'!$B$29</f>
        <v>Annual Performance Report 2022</v>
      </c>
      <c r="B1" s="93"/>
      <c r="C1" s="93"/>
      <c r="D1" s="93"/>
      <c r="E1" s="93" t="str">
        <f>+'Cover Page'!$B$33</f>
        <v>Rookery Pit Energy Recovery Facility</v>
      </c>
      <c r="F1" s="93"/>
      <c r="G1" s="93"/>
      <c r="H1" s="93"/>
      <c r="I1" s="93"/>
    </row>
    <row r="3" spans="1:9">
      <c r="A3" s="1" t="s">
        <v>275</v>
      </c>
      <c r="B3" s="93"/>
      <c r="C3" s="93"/>
      <c r="D3" s="93"/>
      <c r="E3" s="93"/>
      <c r="F3" s="93"/>
      <c r="G3" s="93"/>
      <c r="H3" s="93"/>
      <c r="I3" s="93"/>
    </row>
    <row r="4" spans="1:9">
      <c r="A4" s="1"/>
      <c r="B4" s="93"/>
      <c r="C4" s="93"/>
      <c r="D4" s="93"/>
      <c r="E4" s="93"/>
      <c r="F4" s="93"/>
      <c r="G4" s="93"/>
      <c r="H4" s="93"/>
      <c r="I4" s="93"/>
    </row>
    <row r="5" spans="1:9" s="3" customFormat="1" ht="14.1">
      <c r="A5" s="199" t="s">
        <v>276</v>
      </c>
      <c r="B5" s="200"/>
      <c r="C5" s="200"/>
      <c r="D5" s="200"/>
      <c r="E5" s="200"/>
      <c r="F5" s="200"/>
      <c r="G5" s="200"/>
      <c r="H5" s="200"/>
      <c r="I5" s="201"/>
    </row>
    <row r="6" spans="1:9" s="3" customFormat="1" ht="15.75" customHeight="1">
      <c r="A6" s="198" t="s">
        <v>277</v>
      </c>
      <c r="B6" s="306"/>
      <c r="C6" s="306"/>
      <c r="D6" s="306"/>
      <c r="E6" s="306"/>
      <c r="F6" s="306"/>
      <c r="G6" s="306"/>
      <c r="H6" s="306"/>
      <c r="I6" s="307"/>
    </row>
    <row r="7" spans="1:9" s="3" customFormat="1" ht="15.75" customHeight="1">
      <c r="A7" s="308"/>
      <c r="B7" s="309"/>
      <c r="C7" s="309"/>
      <c r="D7" s="309"/>
      <c r="E7" s="309"/>
      <c r="F7" s="309"/>
      <c r="G7" s="309"/>
      <c r="H7" s="309"/>
      <c r="I7" s="310"/>
    </row>
    <row r="8" spans="1:9" s="3" customFormat="1" ht="15.75" customHeight="1">
      <c r="A8" s="308"/>
      <c r="B8" s="309"/>
      <c r="C8" s="309"/>
      <c r="D8" s="309"/>
      <c r="E8" s="309"/>
      <c r="F8" s="309"/>
      <c r="G8" s="309"/>
      <c r="H8" s="309"/>
      <c r="I8" s="310"/>
    </row>
    <row r="9" spans="1:9" s="3" customFormat="1" ht="15.75" customHeight="1">
      <c r="A9" s="308"/>
      <c r="B9" s="309"/>
      <c r="C9" s="309"/>
      <c r="D9" s="309"/>
      <c r="E9" s="309"/>
      <c r="F9" s="309"/>
      <c r="G9" s="309"/>
      <c r="H9" s="309"/>
      <c r="I9" s="310"/>
    </row>
    <row r="10" spans="1:9" s="3" customFormat="1" ht="15.75" customHeight="1">
      <c r="A10" s="308"/>
      <c r="B10" s="309"/>
      <c r="C10" s="309"/>
      <c r="D10" s="309"/>
      <c r="E10" s="309"/>
      <c r="F10" s="309"/>
      <c r="G10" s="309"/>
      <c r="H10" s="309"/>
      <c r="I10" s="310"/>
    </row>
    <row r="11" spans="1:9" s="3" customFormat="1" ht="15.75" customHeight="1">
      <c r="A11" s="308"/>
      <c r="B11" s="309"/>
      <c r="C11" s="309"/>
      <c r="D11" s="309"/>
      <c r="E11" s="309"/>
      <c r="F11" s="309"/>
      <c r="G11" s="309"/>
      <c r="H11" s="309"/>
      <c r="I11" s="310"/>
    </row>
    <row r="12" spans="1:9" s="3" customFormat="1" ht="15.75" customHeight="1">
      <c r="A12" s="308"/>
      <c r="B12" s="309"/>
      <c r="C12" s="309"/>
      <c r="D12" s="309"/>
      <c r="E12" s="309"/>
      <c r="F12" s="309"/>
      <c r="G12" s="309"/>
      <c r="H12" s="309"/>
      <c r="I12" s="310"/>
    </row>
    <row r="13" spans="1:9" s="3" customFormat="1" ht="15.75" customHeight="1">
      <c r="A13" s="308"/>
      <c r="B13" s="309"/>
      <c r="C13" s="309"/>
      <c r="D13" s="309"/>
      <c r="E13" s="309"/>
      <c r="F13" s="309"/>
      <c r="G13" s="309"/>
      <c r="H13" s="309"/>
      <c r="I13" s="310"/>
    </row>
    <row r="14" spans="1:9" s="3" customFormat="1" ht="15.75" customHeight="1">
      <c r="A14" s="311"/>
      <c r="B14" s="312"/>
      <c r="C14" s="312"/>
      <c r="D14" s="312"/>
      <c r="E14" s="312"/>
      <c r="F14" s="312"/>
      <c r="G14" s="312"/>
      <c r="H14" s="312"/>
      <c r="I14" s="313"/>
    </row>
    <row r="15" spans="1:9" s="3" customFormat="1" ht="14.1"/>
    <row r="16" spans="1:9" s="47" customFormat="1" ht="33.75" customHeight="1">
      <c r="A16" s="195" t="s">
        <v>278</v>
      </c>
      <c r="B16" s="196"/>
      <c r="C16" s="196"/>
      <c r="D16" s="196"/>
      <c r="E16" s="196"/>
      <c r="F16" s="196"/>
      <c r="G16" s="196"/>
      <c r="H16" s="196"/>
      <c r="I16" s="197"/>
    </row>
    <row r="17" spans="1:9" ht="15.75" customHeight="1">
      <c r="A17" s="198" t="s">
        <v>279</v>
      </c>
      <c r="B17" s="306"/>
      <c r="C17" s="306"/>
      <c r="D17" s="306"/>
      <c r="E17" s="306"/>
      <c r="F17" s="306"/>
      <c r="G17" s="306"/>
      <c r="H17" s="306"/>
      <c r="I17" s="307"/>
    </row>
    <row r="18" spans="1:9" ht="15.75" customHeight="1">
      <c r="A18" s="308"/>
      <c r="B18" s="309"/>
      <c r="C18" s="309"/>
      <c r="D18" s="309"/>
      <c r="E18" s="309"/>
      <c r="F18" s="309"/>
      <c r="G18" s="309"/>
      <c r="H18" s="309"/>
      <c r="I18" s="310"/>
    </row>
    <row r="19" spans="1:9" ht="15.75" customHeight="1">
      <c r="A19" s="308"/>
      <c r="B19" s="309"/>
      <c r="C19" s="309"/>
      <c r="D19" s="309"/>
      <c r="E19" s="309"/>
      <c r="F19" s="309"/>
      <c r="G19" s="309"/>
      <c r="H19" s="309"/>
      <c r="I19" s="310"/>
    </row>
    <row r="20" spans="1:9" ht="15.75" customHeight="1">
      <c r="A20" s="308"/>
      <c r="B20" s="309"/>
      <c r="C20" s="309"/>
      <c r="D20" s="309"/>
      <c r="E20" s="309"/>
      <c r="F20" s="309"/>
      <c r="G20" s="309"/>
      <c r="H20" s="309"/>
      <c r="I20" s="310"/>
    </row>
    <row r="21" spans="1:9" ht="15.75" customHeight="1">
      <c r="A21" s="308"/>
      <c r="B21" s="309"/>
      <c r="C21" s="309"/>
      <c r="D21" s="309"/>
      <c r="E21" s="309"/>
      <c r="F21" s="309"/>
      <c r="G21" s="309"/>
      <c r="H21" s="309"/>
      <c r="I21" s="310"/>
    </row>
    <row r="22" spans="1:9" ht="15.75" customHeight="1">
      <c r="A22" s="308"/>
      <c r="B22" s="309"/>
      <c r="C22" s="309"/>
      <c r="D22" s="309"/>
      <c r="E22" s="309"/>
      <c r="F22" s="309"/>
      <c r="G22" s="309"/>
      <c r="H22" s="309"/>
      <c r="I22" s="310"/>
    </row>
    <row r="23" spans="1:9" ht="15.75" customHeight="1">
      <c r="A23" s="308"/>
      <c r="B23" s="309"/>
      <c r="C23" s="309"/>
      <c r="D23" s="309"/>
      <c r="E23" s="309"/>
      <c r="F23" s="309"/>
      <c r="G23" s="309"/>
      <c r="H23" s="309"/>
      <c r="I23" s="310"/>
    </row>
    <row r="24" spans="1:9" ht="15.75" customHeight="1">
      <c r="A24" s="308"/>
      <c r="B24" s="309"/>
      <c r="C24" s="309"/>
      <c r="D24" s="309"/>
      <c r="E24" s="309"/>
      <c r="F24" s="309"/>
      <c r="G24" s="309"/>
      <c r="H24" s="309"/>
      <c r="I24" s="310"/>
    </row>
    <row r="25" spans="1:9" ht="15.75" customHeight="1">
      <c r="A25" s="311"/>
      <c r="B25" s="312"/>
      <c r="C25" s="312"/>
      <c r="D25" s="312"/>
      <c r="E25" s="312"/>
      <c r="F25" s="312"/>
      <c r="G25" s="312"/>
      <c r="H25" s="312"/>
      <c r="I25" s="313"/>
    </row>
    <row r="26" spans="1:9">
      <c r="A26" s="1"/>
      <c r="B26" s="93"/>
      <c r="C26" s="93"/>
      <c r="D26" s="93"/>
      <c r="E26" s="93"/>
      <c r="F26" s="93"/>
      <c r="G26" s="93"/>
      <c r="H26" s="93"/>
      <c r="I26" s="93"/>
    </row>
    <row r="27" spans="1:9" ht="36.75" customHeight="1">
      <c r="A27" s="195" t="s">
        <v>280</v>
      </c>
      <c r="B27" s="196"/>
      <c r="C27" s="196"/>
      <c r="D27" s="196"/>
      <c r="E27" s="196"/>
      <c r="F27" s="196"/>
      <c r="G27" s="196"/>
      <c r="H27" s="196"/>
      <c r="I27" s="197"/>
    </row>
    <row r="28" spans="1:9" ht="15.75" customHeight="1">
      <c r="A28" s="198" t="s">
        <v>277</v>
      </c>
      <c r="B28" s="306"/>
      <c r="C28" s="306"/>
      <c r="D28" s="306"/>
      <c r="E28" s="306"/>
      <c r="F28" s="306"/>
      <c r="G28" s="306"/>
      <c r="H28" s="306"/>
      <c r="I28" s="307"/>
    </row>
    <row r="29" spans="1:9" ht="15.75" customHeight="1">
      <c r="A29" s="308"/>
      <c r="B29" s="309"/>
      <c r="C29" s="309"/>
      <c r="D29" s="309"/>
      <c r="E29" s="309"/>
      <c r="F29" s="309"/>
      <c r="G29" s="309"/>
      <c r="H29" s="309"/>
      <c r="I29" s="310"/>
    </row>
    <row r="30" spans="1:9" ht="15.75" customHeight="1">
      <c r="A30" s="308"/>
      <c r="B30" s="309"/>
      <c r="C30" s="309"/>
      <c r="D30" s="309"/>
      <c r="E30" s="309"/>
      <c r="F30" s="309"/>
      <c r="G30" s="309"/>
      <c r="H30" s="309"/>
      <c r="I30" s="310"/>
    </row>
    <row r="31" spans="1:9" ht="15.75" customHeight="1">
      <c r="A31" s="308"/>
      <c r="B31" s="309"/>
      <c r="C31" s="309"/>
      <c r="D31" s="309"/>
      <c r="E31" s="309"/>
      <c r="F31" s="309"/>
      <c r="G31" s="309"/>
      <c r="H31" s="309"/>
      <c r="I31" s="310"/>
    </row>
    <row r="32" spans="1:9" ht="15.75" customHeight="1">
      <c r="A32" s="308"/>
      <c r="B32" s="309"/>
      <c r="C32" s="309"/>
      <c r="D32" s="309"/>
      <c r="E32" s="309"/>
      <c r="F32" s="309"/>
      <c r="G32" s="309"/>
      <c r="H32" s="309"/>
      <c r="I32" s="310"/>
    </row>
    <row r="33" spans="1:9" ht="15.75" customHeight="1">
      <c r="A33" s="308"/>
      <c r="B33" s="309"/>
      <c r="C33" s="309"/>
      <c r="D33" s="309"/>
      <c r="E33" s="309"/>
      <c r="F33" s="309"/>
      <c r="G33" s="309"/>
      <c r="H33" s="309"/>
      <c r="I33" s="310"/>
    </row>
    <row r="34" spans="1:9" ht="15.75" customHeight="1">
      <c r="A34" s="308"/>
      <c r="B34" s="309"/>
      <c r="C34" s="309"/>
      <c r="D34" s="309"/>
      <c r="E34" s="309"/>
      <c r="F34" s="309"/>
      <c r="G34" s="309"/>
      <c r="H34" s="309"/>
      <c r="I34" s="310"/>
    </row>
    <row r="35" spans="1:9" ht="15.75" customHeight="1">
      <c r="A35" s="308"/>
      <c r="B35" s="309"/>
      <c r="C35" s="309"/>
      <c r="D35" s="309"/>
      <c r="E35" s="309"/>
      <c r="F35" s="309"/>
      <c r="G35" s="309"/>
      <c r="H35" s="309"/>
      <c r="I35" s="310"/>
    </row>
    <row r="36" spans="1:9" ht="15.75" customHeight="1">
      <c r="A36" s="311"/>
      <c r="B36" s="312"/>
      <c r="C36" s="312"/>
      <c r="D36" s="312"/>
      <c r="E36" s="312"/>
      <c r="F36" s="312"/>
      <c r="G36" s="312"/>
      <c r="H36" s="312"/>
      <c r="I36" s="313"/>
    </row>
    <row r="38" spans="1:9" ht="33" customHeight="1">
      <c r="A38" s="195" t="s">
        <v>281</v>
      </c>
      <c r="B38" s="196"/>
      <c r="C38" s="196"/>
      <c r="D38" s="196"/>
      <c r="E38" s="196"/>
      <c r="F38" s="196"/>
      <c r="G38" s="196"/>
      <c r="H38" s="196"/>
      <c r="I38" s="197"/>
    </row>
    <row r="39" spans="1:9" ht="15.75" customHeight="1">
      <c r="A39" s="198" t="s">
        <v>282</v>
      </c>
      <c r="B39" s="306"/>
      <c r="C39" s="306"/>
      <c r="D39" s="306"/>
      <c r="E39" s="306"/>
      <c r="F39" s="306"/>
      <c r="G39" s="306"/>
      <c r="H39" s="306"/>
      <c r="I39" s="307"/>
    </row>
    <row r="40" spans="1:9" ht="15.75" customHeight="1">
      <c r="A40" s="308"/>
      <c r="B40" s="309"/>
      <c r="C40" s="309"/>
      <c r="D40" s="309"/>
      <c r="E40" s="309"/>
      <c r="F40" s="309"/>
      <c r="G40" s="309"/>
      <c r="H40" s="309"/>
      <c r="I40" s="310"/>
    </row>
    <row r="41" spans="1:9" ht="15.75" customHeight="1">
      <c r="A41" s="308"/>
      <c r="B41" s="309"/>
      <c r="C41" s="309"/>
      <c r="D41" s="309"/>
      <c r="E41" s="309"/>
      <c r="F41" s="309"/>
      <c r="G41" s="309"/>
      <c r="H41" s="309"/>
      <c r="I41" s="310"/>
    </row>
    <row r="42" spans="1:9" ht="15.75" customHeight="1">
      <c r="A42" s="308"/>
      <c r="B42" s="309"/>
      <c r="C42" s="309"/>
      <c r="D42" s="309"/>
      <c r="E42" s="309"/>
      <c r="F42" s="309"/>
      <c r="G42" s="309"/>
      <c r="H42" s="309"/>
      <c r="I42" s="310"/>
    </row>
    <row r="43" spans="1:9" ht="15.75" customHeight="1">
      <c r="A43" s="308"/>
      <c r="B43" s="309"/>
      <c r="C43" s="309"/>
      <c r="D43" s="309"/>
      <c r="E43" s="309"/>
      <c r="F43" s="309"/>
      <c r="G43" s="309"/>
      <c r="H43" s="309"/>
      <c r="I43" s="310"/>
    </row>
    <row r="44" spans="1:9" ht="15.75" customHeight="1">
      <c r="A44" s="308"/>
      <c r="B44" s="309"/>
      <c r="C44" s="309"/>
      <c r="D44" s="309"/>
      <c r="E44" s="309"/>
      <c r="F44" s="309"/>
      <c r="G44" s="309"/>
      <c r="H44" s="309"/>
      <c r="I44" s="310"/>
    </row>
    <row r="45" spans="1:9" ht="15.75" customHeight="1">
      <c r="A45" s="308"/>
      <c r="B45" s="309"/>
      <c r="C45" s="309"/>
      <c r="D45" s="309"/>
      <c r="E45" s="309"/>
      <c r="F45" s="309"/>
      <c r="G45" s="309"/>
      <c r="H45" s="309"/>
      <c r="I45" s="310"/>
    </row>
    <row r="46" spans="1:9" ht="15.75" customHeight="1">
      <c r="A46" s="308"/>
      <c r="B46" s="309"/>
      <c r="C46" s="309"/>
      <c r="D46" s="309"/>
      <c r="E46" s="309"/>
      <c r="F46" s="309"/>
      <c r="G46" s="309"/>
      <c r="H46" s="309"/>
      <c r="I46" s="310"/>
    </row>
    <row r="47" spans="1:9" ht="15.75" customHeight="1">
      <c r="A47" s="308"/>
      <c r="B47" s="309"/>
      <c r="C47" s="309"/>
      <c r="D47" s="309"/>
      <c r="E47" s="309"/>
      <c r="F47" s="309"/>
      <c r="G47" s="309"/>
      <c r="H47" s="309"/>
      <c r="I47" s="310"/>
    </row>
    <row r="48" spans="1:9" ht="15.75" customHeight="1">
      <c r="A48" s="311"/>
      <c r="B48" s="312"/>
      <c r="C48" s="312"/>
      <c r="D48" s="312"/>
      <c r="E48" s="312"/>
      <c r="F48" s="312"/>
      <c r="G48" s="312"/>
      <c r="H48" s="312"/>
      <c r="I48" s="313"/>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E53" sqref="E53"/>
    </sheetView>
  </sheetViews>
  <sheetFormatPr defaultColWidth="9.42578125" defaultRowHeight="15.6"/>
  <cols>
    <col min="1" max="1" width="9.42578125" style="2" customWidth="1"/>
    <col min="2" max="2" width="14.5703125" style="2" bestFit="1" customWidth="1"/>
    <col min="3" max="8" width="9.42578125" style="2"/>
    <col min="9" max="9" width="11.5703125" style="2" customWidth="1"/>
    <col min="10" max="16384" width="9.42578125" style="2"/>
  </cols>
  <sheetData>
    <row r="1" spans="1:9">
      <c r="A1" s="93" t="str">
        <f>+'Cover Page'!$B$29</f>
        <v>Annual Performance Report 2022</v>
      </c>
      <c r="B1" s="93"/>
      <c r="C1" s="93"/>
      <c r="D1" s="93"/>
      <c r="E1" s="93" t="str">
        <f>+'Cover Page'!$B$33</f>
        <v>Rookery Pit Energy Recovery Facility</v>
      </c>
      <c r="F1" s="93"/>
      <c r="G1" s="93"/>
      <c r="H1" s="93"/>
      <c r="I1" s="93"/>
    </row>
    <row r="3" spans="1:9">
      <c r="A3" s="1" t="s">
        <v>283</v>
      </c>
      <c r="B3" s="93"/>
      <c r="C3" s="93"/>
      <c r="D3" s="93"/>
      <c r="E3" s="93"/>
      <c r="F3" s="93"/>
      <c r="G3" s="93"/>
      <c r="H3" s="93"/>
      <c r="I3" s="93"/>
    </row>
    <row r="4" spans="1:9">
      <c r="A4" s="1"/>
      <c r="B4" s="93"/>
      <c r="C4" s="93"/>
      <c r="D4" s="93"/>
      <c r="E4" s="93"/>
      <c r="F4" s="93"/>
      <c r="G4" s="93"/>
      <c r="H4" s="93"/>
      <c r="I4" s="93"/>
    </row>
    <row r="5" spans="1:9" s="3" customFormat="1" ht="28.5" customHeight="1">
      <c r="A5" s="48" t="s">
        <v>284</v>
      </c>
      <c r="B5" s="49"/>
      <c r="C5" s="49"/>
      <c r="D5" s="49"/>
      <c r="E5" s="49"/>
      <c r="F5" s="49"/>
      <c r="G5" s="49"/>
      <c r="H5" s="49"/>
      <c r="I5" s="50"/>
    </row>
    <row r="6" spans="1:9" s="3" customFormat="1" ht="15.75" customHeight="1">
      <c r="A6" s="199" t="s">
        <v>53</v>
      </c>
      <c r="B6" s="201"/>
      <c r="C6" s="199" t="s">
        <v>285</v>
      </c>
      <c r="D6" s="200"/>
      <c r="E6" s="200"/>
      <c r="F6" s="200"/>
      <c r="G6" s="200"/>
      <c r="H6" s="200"/>
      <c r="I6" s="201"/>
    </row>
    <row r="7" spans="1:9" s="3" customFormat="1" ht="15.75" customHeight="1">
      <c r="A7" s="211" t="s">
        <v>286</v>
      </c>
      <c r="B7" s="212"/>
      <c r="C7" s="202" t="s">
        <v>287</v>
      </c>
      <c r="D7" s="404"/>
      <c r="E7" s="404"/>
      <c r="F7" s="404"/>
      <c r="G7" s="404"/>
      <c r="H7" s="404"/>
      <c r="I7" s="405"/>
    </row>
    <row r="8" spans="1:9" s="3" customFormat="1" ht="15.75" customHeight="1">
      <c r="A8" s="213"/>
      <c r="B8" s="214"/>
      <c r="C8" s="406"/>
      <c r="D8" s="407"/>
      <c r="E8" s="407"/>
      <c r="F8" s="407"/>
      <c r="G8" s="407"/>
      <c r="H8" s="407"/>
      <c r="I8" s="408"/>
    </row>
    <row r="9" spans="1:9" s="3" customFormat="1" ht="15.75" customHeight="1">
      <c r="A9" s="213"/>
      <c r="B9" s="214"/>
      <c r="C9" s="406"/>
      <c r="D9" s="407"/>
      <c r="E9" s="407"/>
      <c r="F9" s="407"/>
      <c r="G9" s="407"/>
      <c r="H9" s="407"/>
      <c r="I9" s="408"/>
    </row>
    <row r="10" spans="1:9" s="3" customFormat="1" ht="15.75" customHeight="1">
      <c r="A10" s="215"/>
      <c r="B10" s="216"/>
      <c r="C10" s="409"/>
      <c r="D10" s="410"/>
      <c r="E10" s="410"/>
      <c r="F10" s="410"/>
      <c r="G10" s="410"/>
      <c r="H10" s="410"/>
      <c r="I10" s="411"/>
    </row>
    <row r="11" spans="1:9" s="3" customFormat="1" ht="15.75" customHeight="1">
      <c r="A11" s="198"/>
      <c r="B11" s="307"/>
      <c r="C11" s="198"/>
      <c r="D11" s="306"/>
      <c r="E11" s="306"/>
      <c r="F11" s="306"/>
      <c r="G11" s="306"/>
      <c r="H11" s="306"/>
      <c r="I11" s="307"/>
    </row>
    <row r="12" spans="1:9" s="3" customFormat="1" ht="15.75" customHeight="1">
      <c r="A12" s="311"/>
      <c r="B12" s="313"/>
      <c r="C12" s="311"/>
      <c r="D12" s="312"/>
      <c r="E12" s="312"/>
      <c r="F12" s="312"/>
      <c r="G12" s="312"/>
      <c r="H12" s="312"/>
      <c r="I12" s="313"/>
    </row>
    <row r="13" spans="1:9" s="3" customFormat="1" ht="15.75" customHeight="1">
      <c r="A13" s="198"/>
      <c r="B13" s="307"/>
      <c r="C13" s="198"/>
      <c r="D13" s="306"/>
      <c r="E13" s="306"/>
      <c r="F13" s="306"/>
      <c r="G13" s="306"/>
      <c r="H13" s="306"/>
      <c r="I13" s="307"/>
    </row>
    <row r="14" spans="1:9" s="3" customFormat="1" ht="15.75" customHeight="1">
      <c r="A14" s="311"/>
      <c r="B14" s="313"/>
      <c r="C14" s="311"/>
      <c r="D14" s="312"/>
      <c r="E14" s="312"/>
      <c r="F14" s="312"/>
      <c r="G14" s="312"/>
      <c r="H14" s="312"/>
      <c r="I14" s="313"/>
    </row>
    <row r="15" spans="1:9" s="3" customFormat="1" ht="14.1"/>
    <row r="16" spans="1:9" s="47" customFormat="1" ht="33.75" customHeight="1">
      <c r="A16" s="195" t="s">
        <v>288</v>
      </c>
      <c r="B16" s="196"/>
      <c r="C16" s="196"/>
      <c r="D16" s="196"/>
      <c r="E16" s="196"/>
      <c r="F16" s="196"/>
      <c r="G16" s="196"/>
      <c r="H16" s="196"/>
      <c r="I16" s="197"/>
    </row>
    <row r="17" spans="1:9" ht="15.75" customHeight="1">
      <c r="A17" s="199" t="s">
        <v>53</v>
      </c>
      <c r="B17" s="201"/>
      <c r="C17" s="199" t="s">
        <v>285</v>
      </c>
      <c r="D17" s="200"/>
      <c r="E17" s="200"/>
      <c r="F17" s="200"/>
      <c r="G17" s="200"/>
      <c r="H17" s="200"/>
      <c r="I17" s="200"/>
    </row>
    <row r="18" spans="1:9" ht="15.75" customHeight="1">
      <c r="A18" s="137" t="s">
        <v>289</v>
      </c>
      <c r="B18" s="203"/>
      <c r="C18" s="203"/>
      <c r="D18" s="203"/>
      <c r="E18" s="203"/>
      <c r="F18" s="203"/>
      <c r="G18" s="203"/>
      <c r="H18" s="203"/>
      <c r="I18" s="204"/>
    </row>
    <row r="19" spans="1:9" ht="15.75" customHeight="1">
      <c r="A19" s="205"/>
      <c r="B19" s="206"/>
      <c r="C19" s="206"/>
      <c r="D19" s="206"/>
      <c r="E19" s="206"/>
      <c r="F19" s="206"/>
      <c r="G19" s="206"/>
      <c r="H19" s="206"/>
      <c r="I19" s="207"/>
    </row>
    <row r="20" spans="1:9" ht="15.75" customHeight="1">
      <c r="A20" s="205"/>
      <c r="B20" s="206"/>
      <c r="C20" s="206"/>
      <c r="D20" s="206"/>
      <c r="E20" s="206"/>
      <c r="F20" s="206"/>
      <c r="G20" s="206"/>
      <c r="H20" s="206"/>
      <c r="I20" s="207"/>
    </row>
    <row r="21" spans="1:9" ht="15.75" customHeight="1">
      <c r="A21" s="205"/>
      <c r="B21" s="206"/>
      <c r="C21" s="206"/>
      <c r="D21" s="206"/>
      <c r="E21" s="206"/>
      <c r="F21" s="206"/>
      <c r="G21" s="206"/>
      <c r="H21" s="206"/>
      <c r="I21" s="207"/>
    </row>
    <row r="22" spans="1:9" ht="15.75" customHeight="1">
      <c r="A22" s="205"/>
      <c r="B22" s="206"/>
      <c r="C22" s="206"/>
      <c r="D22" s="206"/>
      <c r="E22" s="206"/>
      <c r="F22" s="206"/>
      <c r="G22" s="206"/>
      <c r="H22" s="206"/>
      <c r="I22" s="207"/>
    </row>
    <row r="23" spans="1:9" ht="15.75" customHeight="1">
      <c r="A23" s="208"/>
      <c r="B23" s="209"/>
      <c r="C23" s="209"/>
      <c r="D23" s="209"/>
      <c r="E23" s="209"/>
      <c r="F23" s="209"/>
      <c r="G23" s="209"/>
      <c r="H23" s="209"/>
      <c r="I23" s="210"/>
    </row>
    <row r="24" spans="1:9" ht="15.75" customHeight="1">
      <c r="A24" s="198"/>
      <c r="B24" s="307"/>
      <c r="C24" s="198"/>
      <c r="D24" s="306"/>
      <c r="E24" s="306"/>
      <c r="F24" s="306"/>
      <c r="G24" s="306"/>
      <c r="H24" s="306"/>
      <c r="I24" s="307"/>
    </row>
    <row r="25" spans="1:9" ht="15.75" customHeight="1">
      <c r="A25" s="311"/>
      <c r="B25" s="313"/>
      <c r="C25" s="311"/>
      <c r="D25" s="312"/>
      <c r="E25" s="312"/>
      <c r="F25" s="312"/>
      <c r="G25" s="312"/>
      <c r="H25" s="312"/>
      <c r="I25" s="313"/>
    </row>
    <row r="26" spans="1:9" ht="15.75" customHeight="1">
      <c r="A26" s="198"/>
      <c r="B26" s="307"/>
      <c r="C26" s="198"/>
      <c r="D26" s="306"/>
      <c r="E26" s="306"/>
      <c r="F26" s="306"/>
      <c r="G26" s="306"/>
      <c r="H26" s="306"/>
      <c r="I26" s="307"/>
    </row>
    <row r="27" spans="1:9" ht="15.75" customHeight="1">
      <c r="A27" s="311"/>
      <c r="B27" s="313"/>
      <c r="C27" s="311"/>
      <c r="D27" s="312"/>
      <c r="E27" s="312"/>
      <c r="F27" s="312"/>
      <c r="G27" s="312"/>
      <c r="H27" s="312"/>
      <c r="I27" s="313"/>
    </row>
    <row r="28" spans="1:9">
      <c r="A28" s="1"/>
      <c r="B28" s="93"/>
      <c r="C28" s="93"/>
      <c r="D28" s="93"/>
      <c r="E28" s="93"/>
      <c r="F28" s="93"/>
      <c r="G28" s="93"/>
      <c r="H28" s="93"/>
      <c r="I28" s="93"/>
    </row>
    <row r="29" spans="1:9" ht="36.75" customHeight="1">
      <c r="A29" s="195" t="s">
        <v>290</v>
      </c>
      <c r="B29" s="196"/>
      <c r="C29" s="196"/>
      <c r="D29" s="196"/>
      <c r="E29" s="196"/>
      <c r="F29" s="196"/>
      <c r="G29" s="196"/>
      <c r="H29" s="196"/>
      <c r="I29" s="197"/>
    </row>
    <row r="66" spans="6:6">
      <c r="F66" s="3"/>
    </row>
  </sheetData>
  <mergeCells count="17">
    <mergeCell ref="A6:B6"/>
    <mergeCell ref="C6:I6"/>
    <mergeCell ref="A11:B12"/>
    <mergeCell ref="C11:I12"/>
    <mergeCell ref="A13:B14"/>
    <mergeCell ref="C13:I14"/>
    <mergeCell ref="A7:B10"/>
    <mergeCell ref="A26:B27"/>
    <mergeCell ref="C26:I27"/>
    <mergeCell ref="A29:I29"/>
    <mergeCell ref="C7:I10"/>
    <mergeCell ref="A18:I23"/>
    <mergeCell ref="A24:B25"/>
    <mergeCell ref="C24:I25"/>
    <mergeCell ref="A17:B17"/>
    <mergeCell ref="C17:I17"/>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topLeftCell="A10" zoomScaleNormal="100" workbookViewId="0">
      <selection activeCell="C15" sqref="C15"/>
    </sheetView>
  </sheetViews>
  <sheetFormatPr defaultColWidth="8.85546875" defaultRowHeight="15.6"/>
  <cols>
    <col min="1" max="1" width="36.5703125" style="93" customWidth="1"/>
    <col min="2" max="2" width="17.5703125" style="93" customWidth="1"/>
    <col min="3" max="3" width="37.42578125" style="93" customWidth="1"/>
    <col min="4" max="14" width="8.85546875" style="93"/>
    <col min="15" max="15" width="9" style="93" customWidth="1"/>
    <col min="16" max="16384" width="8.85546875" style="93"/>
  </cols>
  <sheetData>
    <row r="1" spans="1:15">
      <c r="A1" s="93" t="str">
        <f>+'Cover Page'!$B$29</f>
        <v>Annual Performance Report 2022</v>
      </c>
      <c r="C1" s="93" t="str">
        <f>+'Cover Page'!$B$33</f>
        <v>Rookery Pit Energy Recovery Facility</v>
      </c>
    </row>
    <row r="2" spans="1:15" ht="9.9499999999999993" customHeight="1"/>
    <row r="3" spans="1:15">
      <c r="A3" s="1" t="s">
        <v>291</v>
      </c>
      <c r="E3" s="81" t="s">
        <v>3</v>
      </c>
    </row>
    <row r="4" spans="1:15" ht="9.6" customHeight="1"/>
    <row r="5" spans="1:15">
      <c r="A5" s="217" t="s">
        <v>292</v>
      </c>
      <c r="B5" s="218"/>
      <c r="C5" s="218"/>
    </row>
    <row r="6" spans="1:15" ht="30.95">
      <c r="A6" s="94" t="s">
        <v>293</v>
      </c>
      <c r="B6" s="98" t="s">
        <v>294</v>
      </c>
      <c r="C6" s="120" t="s">
        <v>295</v>
      </c>
    </row>
    <row r="7" spans="1:15" ht="30.95">
      <c r="A7" s="94" t="s">
        <v>296</v>
      </c>
      <c r="B7" s="98" t="s">
        <v>297</v>
      </c>
      <c r="C7" s="97" t="s">
        <v>298</v>
      </c>
    </row>
    <row r="8" spans="1:15" ht="46.5">
      <c r="A8" s="94" t="s">
        <v>299</v>
      </c>
      <c r="B8" s="98" t="s">
        <v>300</v>
      </c>
      <c r="C8" s="97" t="s">
        <v>301</v>
      </c>
    </row>
    <row r="9" spans="1:15" ht="141" customHeight="1">
      <c r="A9" s="94" t="s">
        <v>302</v>
      </c>
      <c r="B9" s="219" t="s">
        <v>303</v>
      </c>
      <c r="C9" s="220"/>
      <c r="E9" s="226" t="s">
        <v>304</v>
      </c>
      <c r="F9" s="225"/>
      <c r="G9" s="225"/>
      <c r="H9" s="225"/>
      <c r="I9" s="225"/>
      <c r="J9" s="225"/>
      <c r="K9" s="225"/>
      <c r="L9" s="225"/>
      <c r="M9" s="225"/>
      <c r="N9" s="225"/>
      <c r="O9" s="225"/>
    </row>
    <row r="10" spans="1:15" ht="8.4499999999999993" customHeight="1">
      <c r="A10" s="95"/>
      <c r="B10" s="96"/>
      <c r="C10" s="96"/>
    </row>
    <row r="11" spans="1:15">
      <c r="A11" s="221" t="s">
        <v>305</v>
      </c>
      <c r="B11" s="218"/>
      <c r="C11" s="218"/>
    </row>
    <row r="12" spans="1:15" ht="33.6" customHeight="1">
      <c r="A12" s="94" t="s">
        <v>306</v>
      </c>
      <c r="B12" s="98" t="s">
        <v>307</v>
      </c>
      <c r="C12" s="120" t="s">
        <v>308</v>
      </c>
    </row>
    <row r="13" spans="1:15" ht="101.45" customHeight="1">
      <c r="A13" s="94" t="s">
        <v>309</v>
      </c>
      <c r="B13" s="222" t="s">
        <v>310</v>
      </c>
      <c r="C13" s="223"/>
      <c r="E13" s="224" t="s">
        <v>311</v>
      </c>
      <c r="F13" s="225"/>
      <c r="G13" s="225"/>
      <c r="H13" s="225"/>
      <c r="I13" s="225"/>
      <c r="J13" s="225"/>
      <c r="K13" s="225"/>
      <c r="L13" s="225"/>
      <c r="M13" s="225"/>
      <c r="N13" s="225"/>
      <c r="O13" s="225"/>
    </row>
    <row r="14" spans="1:15" ht="58.7" customHeight="1">
      <c r="A14" s="94" t="s">
        <v>312</v>
      </c>
      <c r="B14" s="99" t="s">
        <v>313</v>
      </c>
      <c r="C14" s="97" t="s">
        <v>314</v>
      </c>
    </row>
    <row r="15" spans="1:15" ht="6.6" customHeight="1">
      <c r="A15" s="95"/>
      <c r="B15" s="96"/>
      <c r="C15" s="96"/>
    </row>
    <row r="16" spans="1:15" ht="39" customHeight="1">
      <c r="A16" s="217" t="s">
        <v>315</v>
      </c>
      <c r="B16" s="218"/>
      <c r="C16" s="218"/>
    </row>
    <row r="17" spans="1:15" ht="49.35" customHeight="1">
      <c r="A17" s="94" t="s">
        <v>316</v>
      </c>
      <c r="B17" s="110">
        <v>0.51800000000000002</v>
      </c>
      <c r="C17" s="97"/>
    </row>
    <row r="18" spans="1:15" ht="103.35" customHeight="1">
      <c r="A18" s="94" t="s">
        <v>317</v>
      </c>
      <c r="B18" s="222" t="s">
        <v>318</v>
      </c>
      <c r="C18" s="223"/>
      <c r="E18" s="224" t="s">
        <v>319</v>
      </c>
      <c r="F18" s="225"/>
      <c r="G18" s="225"/>
      <c r="H18" s="225"/>
      <c r="I18" s="225"/>
      <c r="J18" s="225"/>
      <c r="K18" s="225"/>
      <c r="L18" s="225"/>
      <c r="M18" s="225"/>
      <c r="N18" s="225"/>
      <c r="O18" s="225"/>
    </row>
    <row r="19" spans="1:15" ht="33.950000000000003" customHeight="1">
      <c r="A19" s="94" t="s">
        <v>320</v>
      </c>
      <c r="B19" s="98" t="s">
        <v>132</v>
      </c>
      <c r="C19" s="97"/>
    </row>
    <row r="20" spans="1:15" ht="92.45" customHeight="1">
      <c r="A20" s="94" t="s">
        <v>321</v>
      </c>
      <c r="B20" s="222"/>
      <c r="C20" s="223"/>
      <c r="E20" s="224" t="s">
        <v>322</v>
      </c>
      <c r="F20" s="225"/>
      <c r="G20" s="225"/>
      <c r="H20" s="225"/>
      <c r="I20" s="225"/>
      <c r="J20" s="225"/>
      <c r="K20" s="225"/>
      <c r="L20" s="225"/>
      <c r="M20" s="225"/>
      <c r="N20" s="225"/>
      <c r="O20" s="225"/>
    </row>
    <row r="21" spans="1:15" ht="9.9499999999999993" customHeight="1"/>
    <row r="22" spans="1:15">
      <c r="A22" s="93" t="s">
        <v>323</v>
      </c>
    </row>
    <row r="23" spans="1:15">
      <c r="A23" s="395"/>
      <c r="B23" s="395"/>
      <c r="C23" s="395"/>
    </row>
    <row r="24" spans="1:15" ht="64.7" customHeight="1">
      <c r="A24" s="395"/>
      <c r="B24" s="395"/>
      <c r="C24" s="395"/>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scale="81" orientation="portrait" r:id="rId1"/>
  <rowBreaks count="1" manualBreakCount="1">
    <brk id="10" max="14" man="1"/>
  </rowBreaks>
  <colBreaks count="1" manualBreakCount="1">
    <brk id="3" max="23" man="1"/>
  </colBreaks>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63500</xdr:colOff>
                <xdr:row>1</xdr:row>
                <xdr:rowOff>38100</xdr:rowOff>
              </from>
              <to>
                <xdr:col>8</xdr:col>
                <xdr:colOff>368300</xdr:colOff>
                <xdr:row>7</xdr:row>
                <xdr:rowOff>317500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topLeftCell="A36" zoomScaleNormal="100" workbookViewId="0">
      <selection activeCell="E53" sqref="E53"/>
    </sheetView>
  </sheetViews>
  <sheetFormatPr defaultColWidth="9.42578125" defaultRowHeight="15.6"/>
  <cols>
    <col min="1" max="1" width="9.42578125" style="2" customWidth="1"/>
    <col min="2" max="2" width="14.5703125" style="2" bestFit="1" customWidth="1"/>
    <col min="3" max="3" width="9.42578125" style="2"/>
    <col min="4" max="4" width="17.5703125" style="2" customWidth="1"/>
    <col min="5" max="5" width="9.42578125" style="2" customWidth="1"/>
    <col min="6" max="6" width="21.5703125" style="2" customWidth="1"/>
    <col min="7" max="7" width="10.42578125" style="2" customWidth="1"/>
    <col min="8" max="16384" width="9.42578125" style="2"/>
  </cols>
  <sheetData>
    <row r="1" spans="1:7">
      <c r="A1" s="93" t="str">
        <f>+'Cover Page'!$B$29</f>
        <v>Annual Performance Report 2022</v>
      </c>
      <c r="B1" s="93"/>
      <c r="C1" s="93"/>
      <c r="D1" s="93"/>
      <c r="E1" s="93" t="str">
        <f>+'Cover Page'!$B$33</f>
        <v>Rookery Pit Energy Recovery Facility</v>
      </c>
      <c r="F1" s="93"/>
      <c r="G1" s="93"/>
    </row>
    <row r="3" spans="1:7">
      <c r="A3" s="1" t="s">
        <v>324</v>
      </c>
      <c r="B3" s="93"/>
      <c r="C3" s="93"/>
      <c r="D3" s="93"/>
      <c r="E3" s="93"/>
      <c r="F3" s="93"/>
      <c r="G3" s="93"/>
    </row>
    <row r="4" spans="1:7">
      <c r="A4" s="1"/>
      <c r="B4" s="93"/>
      <c r="C4" s="93"/>
      <c r="D4" s="93"/>
      <c r="E4" s="93"/>
      <c r="F4" s="93"/>
      <c r="G4" s="93"/>
    </row>
    <row r="5" spans="1:7" s="3" customFormat="1" ht="21.75" customHeight="1">
      <c r="A5" s="48" t="s">
        <v>325</v>
      </c>
      <c r="B5" s="49"/>
      <c r="C5" s="49"/>
      <c r="D5" s="49"/>
      <c r="E5" s="49"/>
      <c r="F5" s="49"/>
      <c r="G5" s="50"/>
    </row>
    <row r="6" spans="1:7" s="3" customFormat="1" ht="15.75" customHeight="1">
      <c r="A6" s="198" t="s">
        <v>326</v>
      </c>
      <c r="B6" s="306"/>
      <c r="C6" s="306"/>
      <c r="D6" s="306"/>
      <c r="E6" s="306"/>
      <c r="F6" s="306"/>
      <c r="G6" s="307"/>
    </row>
    <row r="7" spans="1:7" s="3" customFormat="1" ht="15.75" customHeight="1">
      <c r="A7" s="311"/>
      <c r="B7" s="312"/>
      <c r="C7" s="312"/>
      <c r="D7" s="312"/>
      <c r="E7" s="312"/>
      <c r="F7" s="312"/>
      <c r="G7" s="313"/>
    </row>
    <row r="8" spans="1:7" s="3" customFormat="1" ht="15.75" customHeight="1">
      <c r="A8" s="137" t="s">
        <v>327</v>
      </c>
      <c r="B8" s="203"/>
      <c r="C8" s="203"/>
      <c r="D8" s="203"/>
      <c r="E8" s="203"/>
      <c r="F8" s="203"/>
      <c r="G8" s="204"/>
    </row>
    <row r="9" spans="1:7" s="3" customFormat="1" ht="15.75" customHeight="1">
      <c r="A9" s="208"/>
      <c r="B9" s="209"/>
      <c r="C9" s="209"/>
      <c r="D9" s="209"/>
      <c r="E9" s="209"/>
      <c r="F9" s="209"/>
      <c r="G9" s="210"/>
    </row>
    <row r="10" spans="1:7" s="3" customFormat="1" ht="15.75" customHeight="1">
      <c r="A10" s="137"/>
      <c r="B10" s="203"/>
      <c r="C10" s="203"/>
      <c r="D10" s="203"/>
      <c r="E10" s="203"/>
      <c r="F10" s="203"/>
      <c r="G10" s="204"/>
    </row>
    <row r="11" spans="1:7" s="3" customFormat="1" ht="15.75" customHeight="1">
      <c r="A11" s="208"/>
      <c r="B11" s="209"/>
      <c r="C11" s="209"/>
      <c r="D11" s="209"/>
      <c r="E11" s="209"/>
      <c r="F11" s="209"/>
      <c r="G11" s="210"/>
    </row>
    <row r="12" spans="1:7" s="3" customFormat="1" ht="14.1"/>
    <row r="13" spans="1:7" s="47" customFormat="1" ht="33.75" customHeight="1">
      <c r="A13" s="195" t="s">
        <v>328</v>
      </c>
      <c r="B13" s="196"/>
      <c r="C13" s="196"/>
      <c r="D13" s="196"/>
      <c r="E13" s="196"/>
      <c r="F13" s="196"/>
      <c r="G13" s="197"/>
    </row>
    <row r="14" spans="1:7" ht="15.75" customHeight="1">
      <c r="A14" s="199" t="s">
        <v>329</v>
      </c>
      <c r="B14" s="201"/>
      <c r="C14" s="199" t="s">
        <v>285</v>
      </c>
      <c r="D14" s="200"/>
      <c r="E14" s="200"/>
      <c r="F14" s="200"/>
      <c r="G14" s="200"/>
    </row>
    <row r="15" spans="1:7" ht="15.75" customHeight="1">
      <c r="A15" s="137"/>
      <c r="B15" s="204"/>
      <c r="C15" s="198"/>
      <c r="D15" s="306"/>
      <c r="E15" s="306"/>
      <c r="F15" s="306"/>
      <c r="G15" s="307"/>
    </row>
    <row r="16" spans="1:7" ht="15.75" customHeight="1">
      <c r="A16" s="208"/>
      <c r="B16" s="210"/>
      <c r="C16" s="311"/>
      <c r="D16" s="312"/>
      <c r="E16" s="312"/>
      <c r="F16" s="312"/>
      <c r="G16" s="313"/>
    </row>
    <row r="17" spans="1:11" ht="15.75" customHeight="1">
      <c r="A17" s="198"/>
      <c r="B17" s="307"/>
      <c r="C17" s="198"/>
      <c r="D17" s="306"/>
      <c r="E17" s="306"/>
      <c r="F17" s="306"/>
      <c r="G17" s="307"/>
      <c r="H17" s="93"/>
      <c r="I17" s="93"/>
      <c r="J17" s="93"/>
      <c r="K17" s="93"/>
    </row>
    <row r="18" spans="1:11" ht="15.75" customHeight="1">
      <c r="A18" s="311"/>
      <c r="B18" s="313"/>
      <c r="C18" s="311"/>
      <c r="D18" s="312"/>
      <c r="E18" s="312"/>
      <c r="F18" s="312"/>
      <c r="G18" s="313"/>
      <c r="H18" s="93"/>
      <c r="I18" s="93"/>
      <c r="J18" s="93"/>
      <c r="K18" s="93"/>
    </row>
    <row r="19" spans="1:11" ht="15.75" customHeight="1">
      <c r="A19" s="198"/>
      <c r="B19" s="307"/>
      <c r="C19" s="198"/>
      <c r="D19" s="306"/>
      <c r="E19" s="306"/>
      <c r="F19" s="306"/>
      <c r="G19" s="307"/>
      <c r="H19" s="93"/>
      <c r="I19" s="93"/>
      <c r="J19" s="93"/>
      <c r="K19" s="93"/>
    </row>
    <row r="20" spans="1:11" ht="15.75" customHeight="1">
      <c r="A20" s="311"/>
      <c r="B20" s="313"/>
      <c r="C20" s="311"/>
      <c r="D20" s="312"/>
      <c r="E20" s="312"/>
      <c r="F20" s="312"/>
      <c r="G20" s="313"/>
      <c r="H20" s="93"/>
      <c r="I20" s="93"/>
      <c r="J20" s="93"/>
      <c r="K20" s="93"/>
    </row>
    <row r="21" spans="1:11" ht="15.75" customHeight="1">
      <c r="A21" s="198"/>
      <c r="B21" s="307"/>
      <c r="C21" s="198"/>
      <c r="D21" s="306"/>
      <c r="E21" s="306"/>
      <c r="F21" s="306"/>
      <c r="G21" s="307"/>
      <c r="H21" s="93"/>
      <c r="I21" s="93"/>
      <c r="J21" s="93"/>
      <c r="K21" s="93"/>
    </row>
    <row r="22" spans="1:11" ht="15.75" customHeight="1">
      <c r="A22" s="311"/>
      <c r="B22" s="313"/>
      <c r="C22" s="311"/>
      <c r="D22" s="312"/>
      <c r="E22" s="312"/>
      <c r="F22" s="312"/>
      <c r="G22" s="313"/>
      <c r="H22" s="93"/>
      <c r="I22" s="93"/>
      <c r="J22" s="93"/>
      <c r="K22" s="93"/>
    </row>
    <row r="23" spans="1:11" ht="15.75" customHeight="1">
      <c r="A23" s="198"/>
      <c r="B23" s="307"/>
      <c r="C23" s="198"/>
      <c r="D23" s="306"/>
      <c r="E23" s="306"/>
      <c r="F23" s="306"/>
      <c r="G23" s="307"/>
      <c r="H23" s="93"/>
      <c r="I23" s="93"/>
      <c r="J23" s="93"/>
      <c r="K23" s="93"/>
    </row>
    <row r="24" spans="1:11" ht="15.75" customHeight="1">
      <c r="A24" s="311"/>
      <c r="B24" s="313"/>
      <c r="C24" s="311"/>
      <c r="D24" s="312"/>
      <c r="E24" s="312"/>
      <c r="F24" s="312"/>
      <c r="G24" s="313"/>
      <c r="H24" s="93"/>
      <c r="I24" s="93"/>
      <c r="J24" s="93"/>
      <c r="K24" s="93"/>
    </row>
    <row r="26" spans="1:11">
      <c r="A26" s="109"/>
      <c r="B26" s="109"/>
      <c r="C26" s="109"/>
      <c r="D26" s="109"/>
      <c r="E26" s="109"/>
      <c r="F26" s="109"/>
      <c r="G26" s="109"/>
      <c r="H26" s="93"/>
      <c r="I26" s="93"/>
      <c r="J26" s="93"/>
      <c r="K26" s="93"/>
    </row>
    <row r="27" spans="1:11" s="56" customFormat="1" ht="16.5" customHeight="1">
      <c r="A27" s="230" t="s">
        <v>330</v>
      </c>
      <c r="B27" s="230"/>
      <c r="C27" s="230"/>
      <c r="D27" s="230"/>
      <c r="E27" s="230"/>
      <c r="F27" s="230"/>
      <c r="G27" s="230"/>
    </row>
    <row r="28" spans="1:11" s="12" customFormat="1" ht="17.25" customHeight="1">
      <c r="A28" s="228" t="s">
        <v>331</v>
      </c>
      <c r="B28" s="228"/>
      <c r="C28" s="174" t="s">
        <v>332</v>
      </c>
      <c r="D28" s="174" t="s">
        <v>333</v>
      </c>
      <c r="E28" s="174"/>
      <c r="F28" s="174"/>
      <c r="G28" s="174"/>
      <c r="H28" s="109"/>
      <c r="I28" s="109"/>
      <c r="J28" s="109"/>
      <c r="K28" s="109"/>
    </row>
    <row r="29" spans="1:11" s="12" customFormat="1" ht="17.25" customHeight="1">
      <c r="A29" s="228"/>
      <c r="B29" s="228"/>
      <c r="C29" s="174"/>
      <c r="D29" s="174" t="s">
        <v>334</v>
      </c>
      <c r="E29" s="174"/>
      <c r="F29" s="174" t="s">
        <v>164</v>
      </c>
      <c r="G29" s="174"/>
      <c r="H29" s="109"/>
      <c r="I29" s="109"/>
      <c r="J29" s="109"/>
      <c r="K29" s="109"/>
    </row>
    <row r="30" spans="1:11" s="37" customFormat="1" ht="38.25" customHeight="1">
      <c r="A30" s="361" t="s">
        <v>335</v>
      </c>
      <c r="B30" s="361"/>
      <c r="C30" s="412" t="s">
        <v>336</v>
      </c>
      <c r="D30" s="229" t="s">
        <v>261</v>
      </c>
      <c r="E30" s="229"/>
      <c r="F30" s="413"/>
      <c r="G30" s="414"/>
      <c r="H30" s="376"/>
      <c r="I30" s="376"/>
      <c r="J30" s="109"/>
      <c r="K30" s="109"/>
    </row>
    <row r="31" spans="1:11" s="37" customFormat="1" ht="38.25" customHeight="1">
      <c r="A31" s="361" t="s">
        <v>337</v>
      </c>
      <c r="B31" s="361"/>
      <c r="C31" s="391" t="s">
        <v>338</v>
      </c>
      <c r="D31" s="229">
        <v>1.03</v>
      </c>
      <c r="E31" s="229"/>
      <c r="F31" s="413"/>
      <c r="G31" s="414"/>
      <c r="H31" s="376"/>
      <c r="I31" s="376"/>
      <c r="J31" s="109"/>
      <c r="K31" s="109"/>
    </row>
    <row r="32" spans="1:11" s="37" customFormat="1" ht="38.25" customHeight="1">
      <c r="A32" s="361" t="s">
        <v>339</v>
      </c>
      <c r="B32" s="361"/>
      <c r="C32" s="391" t="s">
        <v>340</v>
      </c>
      <c r="D32" s="229">
        <v>12</v>
      </c>
      <c r="E32" s="229"/>
      <c r="F32" s="415">
        <v>12</v>
      </c>
      <c r="G32" s="416"/>
      <c r="H32" s="376"/>
      <c r="I32" s="376"/>
      <c r="J32" s="109"/>
      <c r="K32" s="109"/>
    </row>
    <row r="33" spans="1:7" s="37" customFormat="1" ht="38.25" customHeight="1">
      <c r="A33" s="361" t="s">
        <v>341</v>
      </c>
      <c r="B33" s="361"/>
      <c r="C33" s="391" t="s">
        <v>340</v>
      </c>
      <c r="D33" s="229">
        <v>24</v>
      </c>
      <c r="E33" s="229"/>
      <c r="F33" s="413"/>
      <c r="G33" s="414"/>
    </row>
    <row r="35" spans="1:7">
      <c r="A35" s="141" t="s">
        <v>342</v>
      </c>
      <c r="B35" s="141"/>
      <c r="C35" s="141"/>
      <c r="D35" s="141"/>
      <c r="E35" s="141"/>
      <c r="F35" s="141"/>
      <c r="G35" s="141"/>
    </row>
    <row r="36" spans="1:7">
      <c r="A36" s="227"/>
      <c r="B36" s="227"/>
      <c r="C36" s="227"/>
      <c r="D36" s="227"/>
      <c r="E36" s="227"/>
      <c r="F36" s="227"/>
      <c r="G36" s="227"/>
    </row>
    <row r="37" spans="1:7">
      <c r="A37" s="227"/>
      <c r="B37" s="227"/>
      <c r="C37" s="227"/>
      <c r="D37" s="227"/>
      <c r="E37" s="227"/>
      <c r="F37" s="227"/>
      <c r="G37" s="227"/>
    </row>
    <row r="38" spans="1:7">
      <c r="A38" s="227"/>
      <c r="B38" s="227"/>
      <c r="C38" s="227"/>
      <c r="D38" s="227"/>
      <c r="E38" s="227"/>
      <c r="F38" s="227"/>
      <c r="G38" s="227"/>
    </row>
    <row r="39" spans="1:7">
      <c r="A39" s="227"/>
      <c r="B39" s="227"/>
      <c r="C39" s="227"/>
      <c r="D39" s="227"/>
      <c r="E39" s="227"/>
      <c r="F39" s="227"/>
      <c r="G39" s="227"/>
    </row>
    <row r="40" spans="1:7">
      <c r="A40" s="227"/>
      <c r="B40" s="227"/>
      <c r="C40" s="227"/>
      <c r="D40" s="227"/>
      <c r="E40" s="227"/>
      <c r="F40" s="227"/>
      <c r="G40" s="227"/>
    </row>
    <row r="41" spans="1:7">
      <c r="A41" s="227"/>
      <c r="B41" s="227"/>
      <c r="C41" s="227"/>
      <c r="D41" s="227"/>
      <c r="E41" s="227"/>
      <c r="F41" s="227"/>
      <c r="G41" s="227"/>
    </row>
    <row r="56" spans="6:6">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election activeCell="E53" sqref="E53"/>
    </sheetView>
  </sheetViews>
  <sheetFormatPr defaultColWidth="9.42578125" defaultRowHeight="15.6"/>
  <cols>
    <col min="1" max="1" width="9.42578125" style="2" customWidth="1"/>
    <col min="2" max="2" width="14.5703125" style="2" bestFit="1" customWidth="1"/>
    <col min="3" max="8" width="9.42578125" style="2"/>
    <col min="9" max="9" width="11.5703125" style="2" customWidth="1"/>
    <col min="10" max="16384" width="9.42578125" style="2"/>
  </cols>
  <sheetData>
    <row r="1" spans="1:9">
      <c r="A1" s="93" t="str">
        <f>+'Cover Page'!$B$29</f>
        <v>Annual Performance Report 2022</v>
      </c>
      <c r="B1" s="93"/>
      <c r="C1" s="93"/>
      <c r="D1" s="93"/>
      <c r="E1" s="93" t="str">
        <f>+'Cover Page'!$B$33</f>
        <v>Rookery Pit Energy Recovery Facility</v>
      </c>
      <c r="F1" s="93"/>
      <c r="G1" s="93"/>
      <c r="H1" s="93"/>
      <c r="I1" s="93"/>
    </row>
    <row r="3" spans="1:9">
      <c r="A3" s="1" t="s">
        <v>41</v>
      </c>
      <c r="B3" s="93"/>
      <c r="C3" s="93"/>
      <c r="D3" s="93"/>
      <c r="E3" s="93"/>
      <c r="F3" s="93"/>
      <c r="G3" s="93"/>
      <c r="H3" s="93"/>
      <c r="I3" s="93"/>
    </row>
    <row r="4" spans="1:9">
      <c r="A4" s="1"/>
      <c r="B4" s="93"/>
      <c r="C4" s="93"/>
      <c r="D4" s="93"/>
      <c r="E4" s="93"/>
      <c r="F4" s="93"/>
      <c r="G4" s="93"/>
      <c r="H4" s="93"/>
      <c r="I4" s="93"/>
    </row>
    <row r="5" spans="1:9" s="3" customFormat="1" ht="21.75" customHeight="1">
      <c r="A5" s="48" t="s">
        <v>325</v>
      </c>
      <c r="B5" s="49"/>
      <c r="C5" s="49"/>
      <c r="D5" s="49"/>
      <c r="E5" s="49"/>
      <c r="F5" s="49"/>
      <c r="G5" s="49"/>
      <c r="H5" s="49"/>
      <c r="I5" s="50"/>
    </row>
    <row r="6" spans="1:9" s="3" customFormat="1" ht="15.75" customHeight="1">
      <c r="A6" s="198" t="s">
        <v>261</v>
      </c>
      <c r="B6" s="306"/>
      <c r="C6" s="306"/>
      <c r="D6" s="306"/>
      <c r="E6" s="306"/>
      <c r="F6" s="306"/>
      <c r="G6" s="306"/>
      <c r="H6" s="306"/>
      <c r="I6" s="307"/>
    </row>
    <row r="7" spans="1:9" s="3" customFormat="1" ht="15.75" customHeight="1">
      <c r="A7" s="311"/>
      <c r="B7" s="312"/>
      <c r="C7" s="312"/>
      <c r="D7" s="312"/>
      <c r="E7" s="312"/>
      <c r="F7" s="312"/>
      <c r="G7" s="312"/>
      <c r="H7" s="312"/>
      <c r="I7" s="313"/>
    </row>
    <row r="8" spans="1:9" s="3" customFormat="1" ht="15.75" customHeight="1">
      <c r="A8" s="137"/>
      <c r="B8" s="203"/>
      <c r="C8" s="203"/>
      <c r="D8" s="203"/>
      <c r="E8" s="203"/>
      <c r="F8" s="203"/>
      <c r="G8" s="203"/>
      <c r="H8" s="203"/>
      <c r="I8" s="204"/>
    </row>
    <row r="9" spans="1:9" s="3" customFormat="1" ht="15.75" customHeight="1">
      <c r="A9" s="208"/>
      <c r="B9" s="209"/>
      <c r="C9" s="209"/>
      <c r="D9" s="209"/>
      <c r="E9" s="209"/>
      <c r="F9" s="209"/>
      <c r="G9" s="209"/>
      <c r="H9" s="209"/>
      <c r="I9" s="210"/>
    </row>
    <row r="10" spans="1:9" s="3" customFormat="1" ht="15.75" customHeight="1">
      <c r="A10" s="137"/>
      <c r="B10" s="203"/>
      <c r="C10" s="203"/>
      <c r="D10" s="203"/>
      <c r="E10" s="203"/>
      <c r="F10" s="203"/>
      <c r="G10" s="203"/>
      <c r="H10" s="203"/>
      <c r="I10" s="204"/>
    </row>
    <row r="11" spans="1:9" s="3" customFormat="1" ht="15.75" customHeight="1">
      <c r="A11" s="208"/>
      <c r="B11" s="209"/>
      <c r="C11" s="209"/>
      <c r="D11" s="209"/>
      <c r="E11" s="209"/>
      <c r="F11" s="209"/>
      <c r="G11" s="209"/>
      <c r="H11" s="209"/>
      <c r="I11" s="210"/>
    </row>
    <row r="12" spans="1:9" s="3" customFormat="1" ht="14.1"/>
    <row r="13" spans="1:9" s="47" customFormat="1" ht="33.75" customHeight="1">
      <c r="A13" s="195" t="s">
        <v>328</v>
      </c>
      <c r="B13" s="196"/>
      <c r="C13" s="196"/>
      <c r="D13" s="196"/>
      <c r="E13" s="196"/>
      <c r="F13" s="196"/>
      <c r="G13" s="196"/>
      <c r="H13" s="196"/>
      <c r="I13" s="197"/>
    </row>
    <row r="14" spans="1:9" ht="15.75" customHeight="1">
      <c r="A14" s="199" t="s">
        <v>329</v>
      </c>
      <c r="B14" s="201"/>
      <c r="C14" s="199" t="s">
        <v>285</v>
      </c>
      <c r="D14" s="200"/>
      <c r="E14" s="200"/>
      <c r="F14" s="200"/>
      <c r="G14" s="200"/>
      <c r="H14" s="200"/>
      <c r="I14" s="200"/>
    </row>
    <row r="15" spans="1:9" ht="15.75" customHeight="1">
      <c r="A15" s="137"/>
      <c r="B15" s="204"/>
      <c r="C15" s="198"/>
      <c r="D15" s="306"/>
      <c r="E15" s="306"/>
      <c r="F15" s="306"/>
      <c r="G15" s="306"/>
      <c r="H15" s="306"/>
      <c r="I15" s="307"/>
    </row>
    <row r="16" spans="1:9" ht="15.75" customHeight="1">
      <c r="A16" s="208"/>
      <c r="B16" s="210"/>
      <c r="C16" s="311"/>
      <c r="D16" s="312"/>
      <c r="E16" s="312"/>
      <c r="F16" s="312"/>
      <c r="G16" s="312"/>
      <c r="H16" s="312"/>
      <c r="I16" s="313"/>
    </row>
    <row r="17" spans="1:9" ht="15.75" customHeight="1">
      <c r="A17" s="198"/>
      <c r="B17" s="307"/>
      <c r="C17" s="198"/>
      <c r="D17" s="306"/>
      <c r="E17" s="306"/>
      <c r="F17" s="306"/>
      <c r="G17" s="306"/>
      <c r="H17" s="306"/>
      <c r="I17" s="307"/>
    </row>
    <row r="18" spans="1:9" ht="15.75" customHeight="1">
      <c r="A18" s="311"/>
      <c r="B18" s="313"/>
      <c r="C18" s="311"/>
      <c r="D18" s="312"/>
      <c r="E18" s="312"/>
      <c r="F18" s="312"/>
      <c r="G18" s="312"/>
      <c r="H18" s="312"/>
      <c r="I18" s="313"/>
    </row>
    <row r="19" spans="1:9" ht="15.75" customHeight="1">
      <c r="A19" s="198"/>
      <c r="B19" s="307"/>
      <c r="C19" s="198"/>
      <c r="D19" s="306"/>
      <c r="E19" s="306"/>
      <c r="F19" s="306"/>
      <c r="G19" s="306"/>
      <c r="H19" s="306"/>
      <c r="I19" s="307"/>
    </row>
    <row r="20" spans="1:9" ht="15.75" customHeight="1">
      <c r="A20" s="311"/>
      <c r="B20" s="313"/>
      <c r="C20" s="311"/>
      <c r="D20" s="312"/>
      <c r="E20" s="312"/>
      <c r="F20" s="312"/>
      <c r="G20" s="312"/>
      <c r="H20" s="312"/>
      <c r="I20" s="313"/>
    </row>
    <row r="22" spans="1:9" ht="22.5" customHeight="1">
      <c r="A22" s="231" t="s">
        <v>343</v>
      </c>
      <c r="B22" s="232"/>
      <c r="C22" s="232"/>
      <c r="D22" s="232"/>
      <c r="E22" s="232"/>
      <c r="F22" s="232"/>
      <c r="G22" s="232"/>
      <c r="H22" s="232"/>
      <c r="I22" s="232"/>
    </row>
    <row r="23" spans="1:9" ht="19.5" customHeight="1">
      <c r="A23" s="233" t="s">
        <v>187</v>
      </c>
      <c r="B23" s="234"/>
      <c r="C23" s="235"/>
      <c r="D23" s="236" t="s">
        <v>344</v>
      </c>
      <c r="E23" s="237"/>
      <c r="F23" s="54" t="s">
        <v>332</v>
      </c>
      <c r="G23" s="54" t="s">
        <v>345</v>
      </c>
      <c r="H23" s="54" t="s">
        <v>346</v>
      </c>
      <c r="I23" s="54" t="s">
        <v>347</v>
      </c>
    </row>
    <row r="24" spans="1:9">
      <c r="A24" s="417"/>
      <c r="B24" s="418"/>
      <c r="C24" s="419"/>
      <c r="D24" s="420"/>
      <c r="E24" s="421"/>
      <c r="F24" s="106"/>
      <c r="G24" s="106"/>
      <c r="H24" s="106"/>
      <c r="I24" s="106"/>
    </row>
    <row r="25" spans="1:9">
      <c r="A25" s="417"/>
      <c r="B25" s="418"/>
      <c r="C25" s="419"/>
      <c r="D25" s="420"/>
      <c r="E25" s="421"/>
      <c r="F25" s="106"/>
      <c r="G25" s="106"/>
      <c r="H25" s="106"/>
      <c r="I25" s="106"/>
    </row>
    <row r="26" spans="1:9">
      <c r="A26" s="417"/>
      <c r="B26" s="418"/>
      <c r="C26" s="419"/>
      <c r="D26" s="420"/>
      <c r="E26" s="421"/>
      <c r="F26" s="106"/>
      <c r="G26" s="106"/>
      <c r="H26" s="106"/>
      <c r="I26" s="106"/>
    </row>
    <row r="27" spans="1:9">
      <c r="A27" s="417"/>
      <c r="B27" s="418"/>
      <c r="C27" s="419"/>
      <c r="D27" s="420"/>
      <c r="E27" s="421"/>
      <c r="F27" s="106"/>
      <c r="G27" s="106"/>
      <c r="H27" s="106"/>
      <c r="I27" s="106"/>
    </row>
    <row r="28" spans="1:9">
      <c r="A28" s="417"/>
      <c r="B28" s="418"/>
      <c r="C28" s="419"/>
      <c r="D28" s="420"/>
      <c r="E28" s="421"/>
      <c r="F28" s="106"/>
      <c r="G28" s="106"/>
      <c r="H28" s="106"/>
      <c r="I28" s="106"/>
    </row>
    <row r="29" spans="1:9">
      <c r="A29" s="417"/>
      <c r="B29" s="418"/>
      <c r="C29" s="419"/>
      <c r="D29" s="420"/>
      <c r="E29" s="421"/>
      <c r="F29" s="106"/>
      <c r="G29" s="106"/>
      <c r="H29" s="106"/>
      <c r="I29" s="106"/>
    </row>
    <row r="30" spans="1:9">
      <c r="A30" s="422"/>
      <c r="B30" s="422"/>
      <c r="C30" s="422"/>
      <c r="D30" s="420"/>
      <c r="E30" s="421"/>
      <c r="F30" s="106"/>
      <c r="G30" s="106"/>
      <c r="H30" s="106"/>
      <c r="I30" s="106"/>
    </row>
    <row r="31" spans="1:9">
      <c r="A31" s="109"/>
      <c r="B31" s="109"/>
      <c r="C31" s="109"/>
      <c r="D31" s="109"/>
      <c r="E31" s="109"/>
      <c r="F31" s="109"/>
      <c r="G31" s="109"/>
      <c r="H31" s="109"/>
      <c r="I31" s="109"/>
    </row>
    <row r="32" spans="1:9">
      <c r="A32" s="109"/>
      <c r="B32" s="109"/>
      <c r="C32" s="109"/>
      <c r="D32" s="109"/>
      <c r="E32" s="109"/>
      <c r="F32" s="109"/>
      <c r="G32" s="109"/>
      <c r="H32" s="109"/>
      <c r="I32" s="109"/>
    </row>
    <row r="33" spans="1:9">
      <c r="A33" s="109"/>
      <c r="B33" s="109"/>
      <c r="C33" s="109"/>
      <c r="D33" s="109"/>
      <c r="E33" s="109"/>
      <c r="F33" s="109"/>
      <c r="G33" s="109"/>
      <c r="H33" s="109"/>
      <c r="I33" s="109"/>
    </row>
    <row r="66" spans="5:5">
      <c r="E66" s="3"/>
    </row>
  </sheetData>
  <mergeCells count="29">
    <mergeCell ref="A6:I7"/>
    <mergeCell ref="A8:I9"/>
    <mergeCell ref="A10:I11"/>
    <mergeCell ref="A13:I13"/>
    <mergeCell ref="A14:B14"/>
    <mergeCell ref="C14:I14"/>
    <mergeCell ref="A22:I22"/>
    <mergeCell ref="A23:C23"/>
    <mergeCell ref="D23:E23"/>
    <mergeCell ref="A15:B16"/>
    <mergeCell ref="C15:I16"/>
    <mergeCell ref="A17:B18"/>
    <mergeCell ref="C17:I18"/>
    <mergeCell ref="A19:B20"/>
    <mergeCell ref="C19:I20"/>
    <mergeCell ref="A24:C24"/>
    <mergeCell ref="D24:E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zoomScale="110" zoomScaleNormal="110" workbookViewId="0">
      <selection activeCell="E53" sqref="E53"/>
    </sheetView>
  </sheetViews>
  <sheetFormatPr defaultColWidth="9.42578125" defaultRowHeight="15.6"/>
  <cols>
    <col min="1" max="1" width="9.42578125" style="2" customWidth="1"/>
    <col min="2" max="2" width="14.5703125" style="2" bestFit="1" customWidth="1"/>
    <col min="3" max="9" width="9.42578125" style="2"/>
    <col min="10" max="10" width="10.42578125" style="2" customWidth="1"/>
    <col min="11" max="16384" width="9.42578125" style="2"/>
  </cols>
  <sheetData>
    <row r="1" spans="1:16">
      <c r="A1" s="93" t="str">
        <f>+'Cover Page'!$B$29</f>
        <v>Annual Performance Report 2022</v>
      </c>
      <c r="B1" s="93"/>
      <c r="C1" s="93"/>
      <c r="D1" s="93"/>
      <c r="E1" s="93" t="str">
        <f>+'Cover Page'!$B$33</f>
        <v>Rookery Pit Energy Recovery Facility</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c r="A3" s="1" t="s">
        <v>42</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348</v>
      </c>
      <c r="B5" s="49"/>
      <c r="C5" s="49"/>
      <c r="D5" s="49"/>
      <c r="E5" s="49"/>
      <c r="F5" s="49"/>
      <c r="G5" s="49"/>
      <c r="H5" s="49"/>
      <c r="I5" s="49"/>
      <c r="J5" s="50"/>
      <c r="M5" s="82" t="s">
        <v>3</v>
      </c>
    </row>
    <row r="6" spans="1:16" s="3" customFormat="1" ht="15.75" customHeight="1">
      <c r="A6" s="198" t="s">
        <v>349</v>
      </c>
      <c r="B6" s="306"/>
      <c r="C6" s="306"/>
      <c r="D6" s="306"/>
      <c r="E6" s="306"/>
      <c r="F6" s="306"/>
      <c r="G6" s="306"/>
      <c r="H6" s="306"/>
      <c r="I6" s="306"/>
      <c r="J6" s="307"/>
      <c r="M6" s="251" t="s">
        <v>350</v>
      </c>
      <c r="N6" s="251"/>
      <c r="O6" s="251"/>
      <c r="P6" s="251"/>
    </row>
    <row r="7" spans="1:16" s="3" customFormat="1" ht="15.75" customHeight="1">
      <c r="A7" s="311"/>
      <c r="B7" s="312"/>
      <c r="C7" s="312"/>
      <c r="D7" s="312"/>
      <c r="E7" s="312"/>
      <c r="F7" s="312"/>
      <c r="G7" s="312"/>
      <c r="H7" s="312"/>
      <c r="I7" s="312"/>
      <c r="J7" s="313"/>
      <c r="M7" s="251"/>
      <c r="N7" s="251"/>
      <c r="O7" s="251"/>
      <c r="P7" s="251"/>
    </row>
    <row r="8" spans="1:16" s="3" customFormat="1" ht="14.1">
      <c r="M8" s="251"/>
      <c r="N8" s="251"/>
      <c r="O8" s="251"/>
      <c r="P8" s="251"/>
    </row>
    <row r="9" spans="1:16" s="56" customFormat="1" ht="16.5" customHeight="1">
      <c r="A9" s="230" t="s">
        <v>351</v>
      </c>
      <c r="B9" s="230"/>
      <c r="C9" s="230"/>
      <c r="D9" s="230"/>
      <c r="E9" s="230"/>
      <c r="F9" s="230"/>
      <c r="G9" s="230"/>
      <c r="H9" s="230"/>
      <c r="I9" s="230"/>
      <c r="J9" s="230"/>
      <c r="M9" s="251"/>
      <c r="N9" s="251"/>
      <c r="O9" s="251"/>
      <c r="P9" s="251"/>
    </row>
    <row r="10" spans="1:16" s="56" customFormat="1" ht="16.5" customHeight="1">
      <c r="A10" s="238" t="s">
        <v>217</v>
      </c>
      <c r="B10" s="239"/>
      <c r="C10" s="249" t="s">
        <v>352</v>
      </c>
      <c r="D10" s="245" t="s">
        <v>353</v>
      </c>
      <c r="E10" s="246"/>
      <c r="F10" s="242" t="s">
        <v>347</v>
      </c>
      <c r="G10" s="243"/>
      <c r="H10" s="243"/>
      <c r="I10" s="243"/>
      <c r="J10" s="244"/>
      <c r="M10" s="251" t="s">
        <v>354</v>
      </c>
      <c r="N10" s="251"/>
      <c r="O10" s="251"/>
      <c r="P10" s="251"/>
    </row>
    <row r="11" spans="1:16" s="12" customFormat="1" ht="17.25" customHeight="1">
      <c r="A11" s="240"/>
      <c r="B11" s="241"/>
      <c r="C11" s="250"/>
      <c r="D11" s="247"/>
      <c r="E11" s="248"/>
      <c r="F11" s="46" t="s">
        <v>189</v>
      </c>
      <c r="G11" s="46" t="s">
        <v>190</v>
      </c>
      <c r="H11" s="46" t="s">
        <v>191</v>
      </c>
      <c r="I11" s="46" t="s">
        <v>192</v>
      </c>
      <c r="J11" s="46" t="s">
        <v>193</v>
      </c>
      <c r="K11" s="109"/>
      <c r="L11" s="109"/>
      <c r="M11" s="251"/>
      <c r="N11" s="251"/>
      <c r="O11" s="251"/>
      <c r="P11" s="251"/>
    </row>
    <row r="12" spans="1:16" s="12" customFormat="1" ht="23.25" customHeight="1">
      <c r="A12" s="361" t="s">
        <v>229</v>
      </c>
      <c r="B12" s="361"/>
      <c r="C12" s="423" t="s">
        <v>355</v>
      </c>
      <c r="D12" s="393" t="s">
        <v>356</v>
      </c>
      <c r="E12" s="393"/>
      <c r="F12" s="106">
        <v>3.875E-2</v>
      </c>
      <c r="G12" s="106">
        <v>3.3000000000000002E-2</v>
      </c>
      <c r="H12" s="106">
        <v>3.7249999999999998E-2</v>
      </c>
      <c r="I12" s="106"/>
      <c r="J12" s="106"/>
      <c r="K12" s="109"/>
      <c r="L12" s="109"/>
      <c r="M12" s="251"/>
      <c r="N12" s="251"/>
      <c r="O12" s="251"/>
      <c r="P12" s="251"/>
    </row>
    <row r="13" spans="1:16" s="12" customFormat="1" ht="23.25" customHeight="1">
      <c r="A13" s="361" t="s">
        <v>357</v>
      </c>
      <c r="B13" s="361"/>
      <c r="C13" s="423" t="s">
        <v>358</v>
      </c>
      <c r="D13" s="393" t="s">
        <v>359</v>
      </c>
      <c r="E13" s="393"/>
      <c r="F13" s="106">
        <v>2.8474999999999998E-3</v>
      </c>
      <c r="G13" s="106">
        <v>7.1500000000000014E-4</v>
      </c>
      <c r="H13" s="106">
        <v>7.8750000000000001E-4</v>
      </c>
      <c r="I13" s="106"/>
      <c r="J13" s="106"/>
      <c r="K13" s="109"/>
      <c r="L13" s="109"/>
      <c r="M13" s="109"/>
      <c r="N13" s="109"/>
      <c r="O13" s="109"/>
      <c r="P13" s="109"/>
    </row>
    <row r="14" spans="1:16" s="12" customFormat="1" ht="23.25" customHeight="1">
      <c r="A14" s="361" t="s">
        <v>360</v>
      </c>
      <c r="B14" s="361"/>
      <c r="C14" s="423" t="s">
        <v>358</v>
      </c>
      <c r="D14" s="393" t="s">
        <v>359</v>
      </c>
      <c r="E14" s="393"/>
      <c r="F14" s="106">
        <v>9.850000000000002E-4</v>
      </c>
      <c r="G14" s="106">
        <v>1.335E-3</v>
      </c>
      <c r="H14" s="106">
        <v>7.7487499999999996E-4</v>
      </c>
      <c r="I14" s="106"/>
      <c r="J14" s="106"/>
      <c r="K14" s="109"/>
      <c r="L14" s="109"/>
      <c r="M14" s="109"/>
      <c r="N14" s="109"/>
      <c r="O14" s="109"/>
      <c r="P14" s="109"/>
    </row>
    <row r="15" spans="1:16" s="12" customFormat="1" ht="23.25" customHeight="1">
      <c r="A15" s="361" t="s">
        <v>361</v>
      </c>
      <c r="B15" s="361"/>
      <c r="C15" s="423" t="s">
        <v>358</v>
      </c>
      <c r="D15" s="393" t="s">
        <v>362</v>
      </c>
      <c r="E15" s="393"/>
      <c r="F15" s="106">
        <v>6.9849999999999995E-2</v>
      </c>
      <c r="G15" s="106">
        <v>3.2500000000000001E-2</v>
      </c>
      <c r="H15" s="106">
        <v>2.2499999999999999E-2</v>
      </c>
      <c r="I15" s="106"/>
      <c r="J15" s="106"/>
      <c r="K15" s="109"/>
      <c r="L15" s="109"/>
      <c r="M15" s="109"/>
      <c r="N15" s="109"/>
      <c r="O15" s="109"/>
      <c r="P15" s="109"/>
    </row>
    <row r="16" spans="1:16" s="12" customFormat="1" ht="23.25" customHeight="1">
      <c r="A16" s="361" t="s">
        <v>363</v>
      </c>
      <c r="B16" s="361"/>
      <c r="C16" s="423" t="s">
        <v>358</v>
      </c>
      <c r="D16" s="393" t="s">
        <v>364</v>
      </c>
      <c r="E16" s="393"/>
      <c r="F16" s="106">
        <v>2.7900000000000001E-2</v>
      </c>
      <c r="G16" s="106">
        <v>7.1000000000000004E-3</v>
      </c>
      <c r="H16" s="106">
        <v>1.2725E-2</v>
      </c>
      <c r="I16" s="106"/>
      <c r="J16" s="106"/>
      <c r="K16" s="109"/>
      <c r="L16" s="109"/>
      <c r="M16" s="109"/>
      <c r="N16" s="109"/>
      <c r="O16" s="109"/>
      <c r="P16" s="109"/>
    </row>
    <row r="17" spans="1:10" s="12" customFormat="1" ht="23.25" customHeight="1">
      <c r="A17" s="361" t="s">
        <v>365</v>
      </c>
      <c r="B17" s="361"/>
      <c r="C17" s="423" t="s">
        <v>358</v>
      </c>
      <c r="D17" s="393" t="s">
        <v>366</v>
      </c>
      <c r="E17" s="393"/>
      <c r="F17" s="106">
        <v>4.32775E-3</v>
      </c>
      <c r="G17" s="106">
        <v>8.0000000000000004E-4</v>
      </c>
      <c r="H17" s="106">
        <v>3.3907499999999997E-3</v>
      </c>
      <c r="I17" s="106"/>
      <c r="J17" s="106"/>
    </row>
    <row r="18" spans="1:10" s="12" customFormat="1" ht="23.25" customHeight="1">
      <c r="A18" s="361" t="s">
        <v>367</v>
      </c>
      <c r="B18" s="361"/>
      <c r="C18" s="423" t="s">
        <v>358</v>
      </c>
      <c r="D18" s="393" t="s">
        <v>366</v>
      </c>
      <c r="E18" s="393"/>
      <c r="F18" s="106">
        <v>2.0824999999999999E-4</v>
      </c>
      <c r="G18" s="106">
        <v>3.65E-5</v>
      </c>
      <c r="H18" s="106">
        <v>1.5750000000000001E-4</v>
      </c>
      <c r="I18" s="106"/>
      <c r="J18" s="106"/>
    </row>
    <row r="19" spans="1:10" s="12" customFormat="1" ht="23.25" customHeight="1">
      <c r="A19" s="361" t="s">
        <v>368</v>
      </c>
      <c r="B19" s="361"/>
      <c r="C19" s="423" t="s">
        <v>358</v>
      </c>
      <c r="D19" s="393" t="s">
        <v>366</v>
      </c>
      <c r="E19" s="393"/>
      <c r="F19" s="106">
        <v>7.2520000000000006E-3</v>
      </c>
      <c r="G19" s="106">
        <v>1.7075E-3</v>
      </c>
      <c r="H19" s="106">
        <v>5.9777500000000004E-3</v>
      </c>
      <c r="I19" s="106"/>
      <c r="J19" s="106"/>
    </row>
    <row r="20" spans="1:10" s="12" customFormat="1" ht="23.25" customHeight="1">
      <c r="A20" s="361" t="s">
        <v>369</v>
      </c>
      <c r="B20" s="361"/>
      <c r="C20" s="423" t="s">
        <v>358</v>
      </c>
      <c r="D20" s="393" t="s">
        <v>366</v>
      </c>
      <c r="E20" s="393"/>
      <c r="F20" s="106">
        <v>3.0350000000000002E-2</v>
      </c>
      <c r="G20" s="106">
        <v>3.0500000000000002E-3</v>
      </c>
      <c r="H20" s="106">
        <v>1.8775E-2</v>
      </c>
      <c r="I20" s="106"/>
      <c r="J20" s="106"/>
    </row>
    <row r="21" spans="1:10" s="12" customFormat="1" ht="23.25" customHeight="1">
      <c r="A21" s="361" t="s">
        <v>370</v>
      </c>
      <c r="B21" s="361"/>
      <c r="C21" s="423" t="s">
        <v>358</v>
      </c>
      <c r="D21" s="393" t="s">
        <v>366</v>
      </c>
      <c r="E21" s="393"/>
      <c r="F21" s="106">
        <v>3.4700000000000002E-2</v>
      </c>
      <c r="G21" s="106">
        <v>7.6749999999999995E-3</v>
      </c>
      <c r="H21" s="106">
        <v>2.0025000000000001E-2</v>
      </c>
      <c r="I21" s="106"/>
      <c r="J21" s="106"/>
    </row>
    <row r="22" spans="1:10" s="12" customFormat="1" ht="23.25" customHeight="1">
      <c r="A22" s="361" t="s">
        <v>371</v>
      </c>
      <c r="B22" s="361"/>
      <c r="C22" s="423" t="s">
        <v>358</v>
      </c>
      <c r="D22" s="393" t="s">
        <v>366</v>
      </c>
      <c r="E22" s="393"/>
      <c r="F22" s="106">
        <v>5.1075000000000002E-2</v>
      </c>
      <c r="G22" s="106">
        <v>1.0200000000000001E-2</v>
      </c>
      <c r="H22" s="106">
        <v>3.0925000000000001E-2</v>
      </c>
      <c r="I22" s="106"/>
      <c r="J22" s="106"/>
    </row>
    <row r="23" spans="1:10" s="12" customFormat="1" ht="23.25" customHeight="1">
      <c r="A23" s="361" t="s">
        <v>372</v>
      </c>
      <c r="B23" s="361"/>
      <c r="C23" s="423" t="s">
        <v>358</v>
      </c>
      <c r="D23" s="393" t="s">
        <v>373</v>
      </c>
      <c r="E23" s="393"/>
      <c r="F23" s="106">
        <v>1.7750000000000001E-3</v>
      </c>
      <c r="G23" s="106">
        <v>2.3725E-2</v>
      </c>
      <c r="H23" s="106">
        <v>1.65E-3</v>
      </c>
      <c r="I23" s="106"/>
      <c r="J23" s="106"/>
    </row>
    <row r="24" spans="1:10" s="12" customFormat="1" ht="23.25" customHeight="1">
      <c r="A24" s="361" t="s">
        <v>374</v>
      </c>
      <c r="B24" s="361"/>
      <c r="C24" s="423" t="s">
        <v>358</v>
      </c>
      <c r="D24" s="393" t="s">
        <v>373</v>
      </c>
      <c r="E24" s="393"/>
      <c r="F24" s="106">
        <v>1.3850000000000001E-2</v>
      </c>
      <c r="G24" s="106">
        <v>2.1700000000000001E-2</v>
      </c>
      <c r="H24" s="106">
        <v>4.9249999999999997E-3</v>
      </c>
      <c r="I24" s="106"/>
      <c r="J24" s="106"/>
    </row>
    <row r="25" spans="1:10" s="12" customFormat="1" ht="23.25" customHeight="1">
      <c r="A25" s="361" t="s">
        <v>375</v>
      </c>
      <c r="B25" s="361"/>
      <c r="C25" s="423" t="s">
        <v>358</v>
      </c>
      <c r="D25" s="393" t="s">
        <v>373</v>
      </c>
      <c r="E25" s="393"/>
      <c r="F25" s="106">
        <v>2.9250000000000001E-3</v>
      </c>
      <c r="G25" s="106">
        <v>6.6074999999999995E-2</v>
      </c>
      <c r="H25" s="106">
        <v>3.9750000000000002E-3</v>
      </c>
      <c r="I25" s="106"/>
      <c r="J25" s="106"/>
    </row>
    <row r="26" spans="1:10" s="12" customFormat="1" ht="23.25" customHeight="1">
      <c r="A26" s="361" t="s">
        <v>376</v>
      </c>
      <c r="B26" s="361"/>
      <c r="C26" s="423" t="s">
        <v>358</v>
      </c>
      <c r="D26" s="393" t="s">
        <v>373</v>
      </c>
      <c r="E26" s="393"/>
      <c r="F26" s="106">
        <v>8.2500000000000004E-3</v>
      </c>
      <c r="G26" s="106">
        <v>2.5224999999999997E-2</v>
      </c>
      <c r="H26" s="106">
        <v>2.4749999999999998E-3</v>
      </c>
      <c r="I26" s="106"/>
      <c r="J26" s="106"/>
    </row>
    <row r="27" spans="1:10" s="12" customFormat="1" ht="23.25" customHeight="1">
      <c r="A27" s="361" t="s">
        <v>377</v>
      </c>
      <c r="B27" s="361"/>
      <c r="C27" s="423" t="s">
        <v>358</v>
      </c>
      <c r="D27" s="393" t="s">
        <v>373</v>
      </c>
      <c r="E27" s="393"/>
      <c r="F27" s="106">
        <v>1.9749999999999998E-3</v>
      </c>
      <c r="G27" s="106">
        <v>3.0499999999999998E-3</v>
      </c>
      <c r="H27" s="106">
        <v>2.3249999999999998E-3</v>
      </c>
      <c r="I27" s="106"/>
      <c r="J27" s="106"/>
    </row>
    <row r="28" spans="1:10" s="12" customFormat="1" ht="23.25" customHeight="1">
      <c r="A28" s="361" t="s">
        <v>378</v>
      </c>
      <c r="B28" s="361"/>
      <c r="C28" s="423" t="s">
        <v>358</v>
      </c>
      <c r="D28" s="393" t="s">
        <v>373</v>
      </c>
      <c r="E28" s="393"/>
      <c r="F28" s="106">
        <v>9.1750000000000009E-3</v>
      </c>
      <c r="G28" s="106">
        <v>1.4075000000000001E-2</v>
      </c>
      <c r="H28" s="106">
        <v>2.1000000000000003E-3</v>
      </c>
      <c r="I28" s="106"/>
      <c r="J28" s="106"/>
    </row>
    <row r="29" spans="1:10" s="12" customFormat="1" ht="23.25" customHeight="1">
      <c r="A29" s="361" t="s">
        <v>379</v>
      </c>
      <c r="B29" s="361"/>
      <c r="C29" s="423" t="s">
        <v>358</v>
      </c>
      <c r="D29" s="393" t="s">
        <v>373</v>
      </c>
      <c r="E29" s="393"/>
      <c r="F29" s="106">
        <v>2.3E-3</v>
      </c>
      <c r="G29" s="106">
        <v>0.10305</v>
      </c>
      <c r="H29" s="106">
        <v>4.2750000000000002E-3</v>
      </c>
      <c r="I29" s="106"/>
      <c r="J29" s="106"/>
    </row>
    <row r="30" spans="1:10" s="12" customFormat="1" ht="23.25" customHeight="1">
      <c r="A30" s="361" t="s">
        <v>380</v>
      </c>
      <c r="B30" s="361"/>
      <c r="C30" s="423" t="s">
        <v>358</v>
      </c>
      <c r="D30" s="393" t="s">
        <v>373</v>
      </c>
      <c r="E30" s="393"/>
      <c r="F30" s="106">
        <v>3.0999999999999999E-3</v>
      </c>
      <c r="G30" s="106">
        <v>9.9699999999999997E-2</v>
      </c>
      <c r="H30" s="106">
        <v>3.0249999999999999E-3</v>
      </c>
      <c r="I30" s="106"/>
      <c r="J30" s="106"/>
    </row>
    <row r="31" spans="1:10" s="12" customFormat="1" ht="23.25" customHeight="1">
      <c r="A31" s="361" t="s">
        <v>381</v>
      </c>
      <c r="B31" s="361"/>
      <c r="C31" s="423" t="s">
        <v>358</v>
      </c>
      <c r="D31" s="393" t="s">
        <v>373</v>
      </c>
      <c r="E31" s="393"/>
      <c r="F31" s="106">
        <v>1.7750000000000001E-3</v>
      </c>
      <c r="G31" s="106">
        <v>1.6000000000000001E-3</v>
      </c>
      <c r="H31" s="106">
        <v>4.5750000000000001E-3</v>
      </c>
      <c r="I31" s="106"/>
      <c r="J31" s="106"/>
    </row>
    <row r="32" spans="1:10" s="12" customFormat="1" ht="23.25" customHeight="1">
      <c r="A32" s="361" t="s">
        <v>382</v>
      </c>
      <c r="B32" s="361"/>
      <c r="C32" s="423" t="s">
        <v>358</v>
      </c>
      <c r="D32" s="393" t="s">
        <v>373</v>
      </c>
      <c r="E32" s="393"/>
      <c r="F32" s="106">
        <v>2.2425E-2</v>
      </c>
      <c r="G32" s="106">
        <v>4.1500000000000002E-2</v>
      </c>
      <c r="H32" s="106">
        <v>6.6000000000000008E-3</v>
      </c>
      <c r="I32" s="106"/>
      <c r="J32" s="106"/>
    </row>
    <row r="33" spans="1:10" s="12" customFormat="1" ht="23.25" customHeight="1">
      <c r="A33" s="361" t="s">
        <v>383</v>
      </c>
      <c r="B33" s="361"/>
      <c r="C33" s="423" t="s">
        <v>358</v>
      </c>
      <c r="D33" s="393" t="s">
        <v>373</v>
      </c>
      <c r="E33" s="393"/>
      <c r="F33" s="106">
        <v>1.7750000000000001E-3</v>
      </c>
      <c r="G33" s="106">
        <v>1.9250000000000001E-3</v>
      </c>
      <c r="H33" s="106">
        <v>2.0499999999999997E-3</v>
      </c>
      <c r="I33" s="106"/>
      <c r="J33" s="106"/>
    </row>
    <row r="34" spans="1:10" s="12" customFormat="1" ht="23.25" customHeight="1">
      <c r="A34" s="361" t="s">
        <v>384</v>
      </c>
      <c r="B34" s="361"/>
      <c r="C34" s="423" t="s">
        <v>358</v>
      </c>
      <c r="D34" s="393" t="s">
        <v>373</v>
      </c>
      <c r="E34" s="393"/>
      <c r="F34" s="106">
        <v>1.7750000000000001E-3</v>
      </c>
      <c r="G34" s="106">
        <v>4.1375000000000002E-2</v>
      </c>
      <c r="H34" s="106">
        <v>1.75E-3</v>
      </c>
      <c r="I34" s="106"/>
      <c r="J34" s="106"/>
    </row>
    <row r="35" spans="1:10" s="12" customFormat="1" ht="23.25" customHeight="1">
      <c r="A35" s="361" t="s">
        <v>385</v>
      </c>
      <c r="B35" s="361"/>
      <c r="C35" s="423" t="s">
        <v>358</v>
      </c>
      <c r="D35" s="393" t="s">
        <v>373</v>
      </c>
      <c r="E35" s="393"/>
      <c r="F35" s="106">
        <v>1.7750000000000001E-3</v>
      </c>
      <c r="G35" s="106">
        <v>6.2250000000000005E-3</v>
      </c>
      <c r="H35" s="106">
        <v>1.65E-3</v>
      </c>
      <c r="I35" s="106"/>
      <c r="J35" s="106"/>
    </row>
    <row r="36" spans="1:10" s="12" customFormat="1" ht="23.25" customHeight="1">
      <c r="A36" s="361" t="s">
        <v>386</v>
      </c>
      <c r="B36" s="361"/>
      <c r="C36" s="423" t="s">
        <v>358</v>
      </c>
      <c r="D36" s="393" t="s">
        <v>373</v>
      </c>
      <c r="E36" s="393"/>
      <c r="F36" s="106">
        <v>6.2925000000000009E-2</v>
      </c>
      <c r="G36" s="106">
        <v>8.0424999999999996E-2</v>
      </c>
      <c r="H36" s="106">
        <v>6.1300000000000007E-2</v>
      </c>
      <c r="I36" s="106"/>
      <c r="J36" s="106"/>
    </row>
    <row r="37" spans="1:10" s="12" customFormat="1" ht="23.25" customHeight="1">
      <c r="A37" s="361" t="s">
        <v>387</v>
      </c>
      <c r="B37" s="361"/>
      <c r="C37" s="423" t="s">
        <v>358</v>
      </c>
      <c r="D37" s="393" t="s">
        <v>373</v>
      </c>
      <c r="E37" s="393"/>
      <c r="F37" s="106">
        <v>2.5249999999999999E-3</v>
      </c>
      <c r="G37" s="106">
        <v>0.15357500000000002</v>
      </c>
      <c r="H37" s="106">
        <v>4.1749999999999999E-3</v>
      </c>
      <c r="I37" s="106"/>
      <c r="J37" s="106"/>
    </row>
    <row r="38" spans="1:10" s="12" customFormat="1" ht="23.25" customHeight="1">
      <c r="A38" s="361" t="s">
        <v>388</v>
      </c>
      <c r="B38" s="361"/>
      <c r="C38" s="423" t="s">
        <v>358</v>
      </c>
      <c r="D38" s="393" t="s">
        <v>373</v>
      </c>
      <c r="E38" s="393"/>
      <c r="F38" s="106">
        <v>0.17725000000000002</v>
      </c>
      <c r="G38" s="106">
        <v>0.64</v>
      </c>
      <c r="H38" s="106">
        <v>0.63500000000000001</v>
      </c>
      <c r="I38" s="106"/>
      <c r="J38" s="106"/>
    </row>
    <row r="39" spans="1:10">
      <c r="A39" s="141" t="s">
        <v>342</v>
      </c>
      <c r="B39" s="141"/>
      <c r="C39" s="141"/>
      <c r="D39" s="141"/>
      <c r="E39" s="141"/>
      <c r="F39" s="141"/>
      <c r="G39" s="141"/>
      <c r="H39" s="141"/>
      <c r="I39" s="141"/>
      <c r="J39" s="141"/>
    </row>
    <row r="40" spans="1:10">
      <c r="A40" s="227"/>
      <c r="B40" s="227"/>
      <c r="C40" s="227"/>
      <c r="D40" s="227"/>
      <c r="E40" s="227"/>
      <c r="F40" s="227"/>
      <c r="G40" s="227"/>
      <c r="H40" s="227"/>
      <c r="I40" s="227"/>
      <c r="J40" s="227"/>
    </row>
    <row r="41" spans="1:10">
      <c r="A41" s="227"/>
      <c r="B41" s="227"/>
      <c r="C41" s="227"/>
      <c r="D41" s="227"/>
      <c r="E41" s="227"/>
      <c r="F41" s="227"/>
      <c r="G41" s="227"/>
      <c r="H41" s="227"/>
      <c r="I41" s="227"/>
      <c r="J41" s="227"/>
    </row>
    <row r="64" spans="6:6">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topLeftCell="A7" workbookViewId="0">
      <selection activeCell="E53" sqref="E53"/>
    </sheetView>
  </sheetViews>
  <sheetFormatPr defaultColWidth="9.42578125" defaultRowHeight="15.6"/>
  <cols>
    <col min="1" max="1" width="21.42578125" style="2" customWidth="1"/>
    <col min="2" max="2" width="13.5703125" style="2" customWidth="1"/>
    <col min="3" max="3" width="16.42578125" style="2" customWidth="1"/>
    <col min="4" max="5" width="11.5703125" style="2" bestFit="1" customWidth="1"/>
    <col min="6" max="12" width="9.42578125" style="2"/>
    <col min="13" max="13" width="10.42578125" style="2" customWidth="1"/>
    <col min="14" max="16384" width="9.42578125" style="2"/>
  </cols>
  <sheetData>
    <row r="1" spans="1:16">
      <c r="A1" s="93" t="str">
        <f>+'Cover Page'!$B$29</f>
        <v>Annual Performance Report 2022</v>
      </c>
      <c r="B1" s="93"/>
      <c r="C1" s="93"/>
      <c r="D1" s="93"/>
      <c r="E1" s="93"/>
      <c r="F1" s="93"/>
      <c r="G1" s="93"/>
      <c r="H1" s="93"/>
      <c r="I1" s="93" t="str">
        <f>+'Cover Page'!$B$33</f>
        <v>Rookery Pit Energy Recovery Facility</v>
      </c>
      <c r="J1" s="93"/>
      <c r="K1" s="93"/>
      <c r="L1" s="93"/>
      <c r="M1" s="93"/>
      <c r="N1" s="93"/>
      <c r="O1" s="93"/>
      <c r="P1" s="93"/>
    </row>
    <row r="3" spans="1:16">
      <c r="A3" s="1" t="s">
        <v>389</v>
      </c>
      <c r="B3" s="93"/>
      <c r="C3" s="93"/>
      <c r="D3" s="93"/>
      <c r="E3" s="93"/>
      <c r="F3" s="93"/>
      <c r="G3" s="93"/>
      <c r="H3" s="93"/>
      <c r="I3" s="93"/>
      <c r="J3" s="93"/>
      <c r="K3" s="93"/>
      <c r="L3" s="93"/>
      <c r="M3" s="93"/>
      <c r="N3" s="93"/>
      <c r="O3" s="93"/>
      <c r="P3" s="93"/>
    </row>
    <row r="4" spans="1:16">
      <c r="A4" s="1"/>
      <c r="B4" s="93"/>
      <c r="C4" s="93"/>
      <c r="D4" s="93"/>
      <c r="E4" s="93"/>
      <c r="F4" s="93"/>
      <c r="G4" s="93"/>
      <c r="H4" s="93"/>
      <c r="I4" s="93"/>
      <c r="J4" s="93"/>
      <c r="K4" s="93"/>
      <c r="L4" s="93"/>
      <c r="M4" s="93"/>
      <c r="N4" s="93"/>
      <c r="O4" s="93"/>
      <c r="P4" s="73" t="s">
        <v>3</v>
      </c>
    </row>
    <row r="5" spans="1:16" s="3" customFormat="1" ht="21.75" customHeight="1">
      <c r="A5" s="48" t="s">
        <v>348</v>
      </c>
      <c r="B5" s="49"/>
      <c r="C5" s="49"/>
      <c r="D5" s="49"/>
      <c r="E5" s="49"/>
      <c r="F5" s="49"/>
      <c r="G5" s="49"/>
      <c r="H5" s="49"/>
      <c r="I5" s="49"/>
      <c r="J5" s="49"/>
      <c r="K5" s="49"/>
      <c r="L5" s="49"/>
      <c r="M5" s="50"/>
      <c r="P5" s="74" t="s">
        <v>390</v>
      </c>
    </row>
    <row r="6" spans="1:16" s="3" customFormat="1" ht="15.75" customHeight="1">
      <c r="A6" s="198" t="s">
        <v>391</v>
      </c>
      <c r="B6" s="306"/>
      <c r="C6" s="306"/>
      <c r="D6" s="306"/>
      <c r="E6" s="306"/>
      <c r="F6" s="306"/>
      <c r="G6" s="306"/>
      <c r="H6" s="306"/>
      <c r="I6" s="306"/>
      <c r="J6" s="306"/>
      <c r="K6" s="306"/>
      <c r="L6" s="306"/>
      <c r="M6" s="307"/>
      <c r="P6" s="3" t="s">
        <v>392</v>
      </c>
    </row>
    <row r="7" spans="1:16" s="3" customFormat="1" ht="15.75" customHeight="1">
      <c r="A7" s="311"/>
      <c r="B7" s="312"/>
      <c r="C7" s="312"/>
      <c r="D7" s="312"/>
      <c r="E7" s="312"/>
      <c r="F7" s="312"/>
      <c r="G7" s="312"/>
      <c r="H7" s="312"/>
      <c r="I7" s="312"/>
      <c r="J7" s="312"/>
      <c r="K7" s="312"/>
      <c r="L7" s="312"/>
      <c r="M7" s="313"/>
    </row>
    <row r="8" spans="1:16" s="3" customFormat="1" ht="15.75" customHeight="1">
      <c r="A8" s="137"/>
      <c r="B8" s="203"/>
      <c r="C8" s="203"/>
      <c r="D8" s="203"/>
      <c r="E8" s="203"/>
      <c r="F8" s="203"/>
      <c r="G8" s="203"/>
      <c r="H8" s="203"/>
      <c r="I8" s="203"/>
      <c r="J8" s="203"/>
      <c r="K8" s="203"/>
      <c r="L8" s="203"/>
      <c r="M8" s="204"/>
    </row>
    <row r="9" spans="1:16" s="3" customFormat="1" ht="15.75" customHeight="1">
      <c r="A9" s="208"/>
      <c r="B9" s="209"/>
      <c r="C9" s="209"/>
      <c r="D9" s="209"/>
      <c r="E9" s="209"/>
      <c r="F9" s="209"/>
      <c r="G9" s="209"/>
      <c r="H9" s="209"/>
      <c r="I9" s="209"/>
      <c r="J9" s="209"/>
      <c r="K9" s="209"/>
      <c r="L9" s="209"/>
      <c r="M9" s="210"/>
    </row>
    <row r="10" spans="1:16" s="3" customFormat="1" ht="14.1"/>
    <row r="11" spans="1:16" s="56" customFormat="1" ht="16.5" customHeight="1">
      <c r="A11" s="230" t="s">
        <v>393</v>
      </c>
      <c r="B11" s="230"/>
      <c r="C11" s="230"/>
      <c r="D11" s="230"/>
      <c r="E11" s="230"/>
      <c r="F11" s="230"/>
      <c r="G11" s="230"/>
      <c r="H11" s="230"/>
      <c r="I11" s="230"/>
      <c r="J11" s="230"/>
      <c r="K11" s="230"/>
      <c r="L11" s="230"/>
      <c r="M11" s="230"/>
    </row>
    <row r="12" spans="1:16" s="56" customFormat="1" ht="16.5" customHeight="1">
      <c r="A12" s="256" t="s">
        <v>217</v>
      </c>
      <c r="B12" s="249" t="s">
        <v>394</v>
      </c>
      <c r="C12" s="174" t="s">
        <v>353</v>
      </c>
      <c r="D12" s="178" t="s">
        <v>189</v>
      </c>
      <c r="E12" s="258"/>
      <c r="F12" s="178" t="s">
        <v>190</v>
      </c>
      <c r="G12" s="258"/>
      <c r="H12" s="178" t="s">
        <v>191</v>
      </c>
      <c r="I12" s="258"/>
      <c r="J12" s="178" t="s">
        <v>192</v>
      </c>
      <c r="K12" s="258"/>
      <c r="L12" s="178" t="s">
        <v>193</v>
      </c>
      <c r="M12" s="258"/>
    </row>
    <row r="13" spans="1:16" s="12" customFormat="1" ht="17.25" customHeight="1">
      <c r="A13" s="256"/>
      <c r="B13" s="257"/>
      <c r="C13" s="174"/>
      <c r="D13" s="46" t="s">
        <v>346</v>
      </c>
      <c r="E13" s="57" t="s">
        <v>395</v>
      </c>
      <c r="F13" s="46" t="s">
        <v>346</v>
      </c>
      <c r="G13" s="57" t="s">
        <v>395</v>
      </c>
      <c r="H13" s="46" t="s">
        <v>346</v>
      </c>
      <c r="I13" s="57" t="s">
        <v>395</v>
      </c>
      <c r="J13" s="46" t="s">
        <v>346</v>
      </c>
      <c r="K13" s="57" t="s">
        <v>395</v>
      </c>
      <c r="L13" s="46" t="s">
        <v>346</v>
      </c>
      <c r="M13" s="57" t="s">
        <v>395</v>
      </c>
      <c r="N13" s="109"/>
      <c r="O13" s="109"/>
      <c r="P13" s="109"/>
    </row>
    <row r="14" spans="1:16" s="12" customFormat="1" ht="23.25" customHeight="1">
      <c r="A14" s="361" t="s">
        <v>223</v>
      </c>
      <c r="B14" s="391" t="s">
        <v>396</v>
      </c>
      <c r="C14" s="391" t="s">
        <v>397</v>
      </c>
      <c r="D14" s="106">
        <f>NOx!O19</f>
        <v>194.1</v>
      </c>
      <c r="E14" s="106">
        <f>NOx!N19</f>
        <v>173.42727272727274</v>
      </c>
      <c r="F14" s="106">
        <f>NOx!O34</f>
        <v>195.1</v>
      </c>
      <c r="G14" s="106">
        <f>NOx!N34</f>
        <v>173.55454545454543</v>
      </c>
      <c r="H14" s="106">
        <f>NOx!O49</f>
        <v>194.8</v>
      </c>
      <c r="I14" s="106">
        <f>NOx!N49</f>
        <v>173.4636363636364</v>
      </c>
      <c r="J14" s="106"/>
      <c r="K14" s="106"/>
      <c r="L14" s="106"/>
      <c r="M14" s="106"/>
      <c r="N14" s="109"/>
      <c r="O14" s="109"/>
      <c r="P14" s="109"/>
    </row>
    <row r="15" spans="1:16" s="12" customFormat="1" ht="23.25" customHeight="1">
      <c r="A15" s="361"/>
      <c r="B15" s="391" t="s">
        <v>398</v>
      </c>
      <c r="C15" s="391" t="s">
        <v>399</v>
      </c>
      <c r="D15" s="106">
        <f>NOx!M19</f>
        <v>259.7</v>
      </c>
      <c r="E15" s="106">
        <f>NOx!L19</f>
        <v>173.46363636363637</v>
      </c>
      <c r="F15" s="106">
        <f>NOx!M34</f>
        <v>252.8</v>
      </c>
      <c r="G15" s="106">
        <f>NOx!L34</f>
        <v>173.5181818181818</v>
      </c>
      <c r="H15" s="106">
        <f>NOx!M49</f>
        <v>254.8</v>
      </c>
      <c r="I15" s="106">
        <f>NOx!L49</f>
        <v>173.35454545454547</v>
      </c>
      <c r="J15" s="106"/>
      <c r="K15" s="106"/>
      <c r="L15" s="106"/>
      <c r="M15" s="106"/>
      <c r="N15" s="109"/>
      <c r="O15" s="109"/>
      <c r="P15" s="109"/>
    </row>
    <row r="16" spans="1:16" s="12" customFormat="1" ht="23.25" customHeight="1">
      <c r="A16" s="424" t="s">
        <v>222</v>
      </c>
      <c r="B16" s="425" t="s">
        <v>396</v>
      </c>
      <c r="C16" s="391" t="s">
        <v>400</v>
      </c>
      <c r="D16" s="106">
        <f>Particulates!O19</f>
        <v>1.5</v>
      </c>
      <c r="E16" s="106">
        <f>Particulates!N19</f>
        <v>0.25454545454545452</v>
      </c>
      <c r="F16" s="106">
        <f>Particulates!O34</f>
        <v>7.3</v>
      </c>
      <c r="G16" s="106">
        <f>Particulates!N34</f>
        <v>0.10909090909090909</v>
      </c>
      <c r="H16" s="106">
        <f>Particulates!O49</f>
        <v>0.3</v>
      </c>
      <c r="I16" s="106">
        <f>Particulates!N49</f>
        <v>9.0909090909090922E-3</v>
      </c>
      <c r="J16" s="106"/>
      <c r="K16" s="106"/>
      <c r="L16" s="106"/>
      <c r="M16" s="106"/>
      <c r="N16" s="109"/>
      <c r="O16" s="109"/>
      <c r="P16" s="109"/>
    </row>
    <row r="17" spans="1:13" s="12" customFormat="1" ht="23.25" customHeight="1">
      <c r="A17" s="424"/>
      <c r="B17" s="391" t="s">
        <v>398</v>
      </c>
      <c r="C17" s="391" t="s">
        <v>401</v>
      </c>
      <c r="D17" s="106">
        <f>Particulates!M19</f>
        <v>3.4</v>
      </c>
      <c r="E17" s="106">
        <f>Particulates!L19</f>
        <v>0.26363636363636367</v>
      </c>
      <c r="F17" s="106">
        <f>Particulates!M34</f>
        <v>17.2</v>
      </c>
      <c r="G17" s="106">
        <f>Particulates!L34</f>
        <v>0.13636363636363638</v>
      </c>
      <c r="H17" s="106">
        <f>Particulates!M49</f>
        <v>164.5</v>
      </c>
      <c r="I17" s="106">
        <f>Particulates!L49</f>
        <v>8.1818181818181818E-2</v>
      </c>
      <c r="J17" s="106"/>
      <c r="K17" s="106"/>
      <c r="L17" s="106"/>
      <c r="M17" s="106"/>
    </row>
    <row r="18" spans="1:13" s="12" customFormat="1" ht="23.25" customHeight="1">
      <c r="A18" s="424" t="s">
        <v>402</v>
      </c>
      <c r="B18" s="391" t="s">
        <v>396</v>
      </c>
      <c r="C18" s="391" t="s">
        <v>403</v>
      </c>
      <c r="D18" s="106">
        <f>TOC!O19</f>
        <v>2.7</v>
      </c>
      <c r="E18" s="106">
        <f>TOC!N19</f>
        <v>0.28181818181818186</v>
      </c>
      <c r="F18" s="106">
        <f>TOC!O34</f>
        <v>4.5</v>
      </c>
      <c r="G18" s="106">
        <f>TOC!N34</f>
        <v>0.23636363636363633</v>
      </c>
      <c r="H18" s="106">
        <f>TOC!O49</f>
        <v>14.3</v>
      </c>
      <c r="I18" s="106">
        <f>TOC!N49</f>
        <v>0.36363636363636365</v>
      </c>
      <c r="J18" s="106"/>
      <c r="K18" s="106"/>
      <c r="L18" s="106"/>
      <c r="M18" s="106"/>
    </row>
    <row r="19" spans="1:13" s="12" customFormat="1" ht="23.25" customHeight="1">
      <c r="A19" s="424"/>
      <c r="B19" s="391" t="s">
        <v>398</v>
      </c>
      <c r="C19" s="391" t="s">
        <v>404</v>
      </c>
      <c r="D19" s="106">
        <f>TOC!M19</f>
        <v>97.1</v>
      </c>
      <c r="E19" s="106">
        <f>TOC!L19</f>
        <v>0.31818181818181818</v>
      </c>
      <c r="F19" s="106">
        <f>TOC!M34</f>
        <v>109.5</v>
      </c>
      <c r="G19" s="106">
        <f>TOC!L34</f>
        <v>0.30909090909090908</v>
      </c>
      <c r="H19" s="106">
        <f>TOC!M49</f>
        <v>225.9</v>
      </c>
      <c r="I19" s="106">
        <f>TOC!L49</f>
        <v>0.42727272727272719</v>
      </c>
      <c r="J19" s="106"/>
      <c r="K19" s="106"/>
      <c r="L19" s="106"/>
      <c r="M19" s="106"/>
    </row>
    <row r="20" spans="1:13" s="12" customFormat="1" ht="23.25" customHeight="1">
      <c r="A20" s="424" t="s">
        <v>405</v>
      </c>
      <c r="B20" s="391" t="s">
        <v>396</v>
      </c>
      <c r="C20" s="391" t="s">
        <v>403</v>
      </c>
      <c r="D20" s="106">
        <f>HCl!O19</f>
        <v>5.4</v>
      </c>
      <c r="E20" s="106">
        <f>HCl!N19</f>
        <v>1.8636363636363635</v>
      </c>
      <c r="F20" s="106">
        <f>HCl!O34</f>
        <v>5.9</v>
      </c>
      <c r="G20" s="106">
        <f>HCl!N34</f>
        <v>2.8454545454545448</v>
      </c>
      <c r="H20" s="106">
        <f>HCl!O49</f>
        <v>4.8</v>
      </c>
      <c r="I20" s="106">
        <f>HCl!N49</f>
        <v>1.9818181818181819</v>
      </c>
      <c r="J20" s="106"/>
      <c r="K20" s="106"/>
      <c r="L20" s="106"/>
      <c r="M20" s="106"/>
    </row>
    <row r="21" spans="1:13" s="12" customFormat="1" ht="23.25" customHeight="1">
      <c r="A21" s="424"/>
      <c r="B21" s="391" t="s">
        <v>398</v>
      </c>
      <c r="C21" s="391" t="s">
        <v>406</v>
      </c>
      <c r="D21" s="106">
        <f>HCl!M19</f>
        <v>13.6</v>
      </c>
      <c r="E21" s="106">
        <f>HCl!L19</f>
        <v>1.918181818181818</v>
      </c>
      <c r="F21" s="106">
        <f>HCl!M34</f>
        <v>34</v>
      </c>
      <c r="G21" s="106">
        <f>HCl!L34</f>
        <v>2.8636363636363633</v>
      </c>
      <c r="H21" s="106">
        <f>HCl!M49</f>
        <v>32.700000000000003</v>
      </c>
      <c r="I21" s="106">
        <f>HCl!L49</f>
        <v>2.0090909090909088</v>
      </c>
      <c r="J21" s="106"/>
      <c r="K21" s="106"/>
      <c r="L21" s="106"/>
      <c r="M21" s="106"/>
    </row>
    <row r="22" spans="1:13" s="12" customFormat="1" ht="23.25" customHeight="1">
      <c r="A22" s="424" t="s">
        <v>224</v>
      </c>
      <c r="B22" s="391" t="s">
        <v>396</v>
      </c>
      <c r="C22" s="391" t="s">
        <v>407</v>
      </c>
      <c r="D22" s="106">
        <f>'SO2'!O19</f>
        <v>10.8</v>
      </c>
      <c r="E22" s="106">
        <f>'SO2'!N19</f>
        <v>4.081818181818182</v>
      </c>
      <c r="F22" s="106">
        <f>'SO2'!O34</f>
        <v>20.8</v>
      </c>
      <c r="G22" s="106">
        <f>'SO2'!N34</f>
        <v>6.7</v>
      </c>
      <c r="H22" s="106">
        <f>'SO2'!O49</f>
        <v>16.7</v>
      </c>
      <c r="I22" s="106">
        <f>'SO2'!N49</f>
        <v>4.5181818181818176</v>
      </c>
      <c r="J22" s="106"/>
      <c r="K22" s="106"/>
      <c r="L22" s="106"/>
      <c r="M22" s="106"/>
    </row>
    <row r="23" spans="1:13" s="12" customFormat="1" ht="23.25" customHeight="1">
      <c r="A23" s="424"/>
      <c r="B23" s="391" t="s">
        <v>398</v>
      </c>
      <c r="C23" s="391" t="s">
        <v>397</v>
      </c>
      <c r="D23" s="106">
        <f>'SO2'!M19</f>
        <v>121</v>
      </c>
      <c r="E23" s="106">
        <f>'SO2'!L19</f>
        <v>4.1272727272727279</v>
      </c>
      <c r="F23" s="106">
        <f>'SO2'!M34</f>
        <v>79.2</v>
      </c>
      <c r="G23" s="106">
        <f>'SO2'!L34</f>
        <v>6.7363636363636354</v>
      </c>
      <c r="H23" s="106">
        <f>'SO2'!M49</f>
        <v>68.8</v>
      </c>
      <c r="I23" s="106">
        <f>'SO2'!L49</f>
        <v>4.5545454545454538</v>
      </c>
      <c r="J23" s="106"/>
      <c r="K23" s="106"/>
      <c r="L23" s="106"/>
      <c r="M23" s="106"/>
    </row>
    <row r="24" spans="1:13" s="12" customFormat="1" ht="23.25" customHeight="1">
      <c r="A24" s="424" t="s">
        <v>408</v>
      </c>
      <c r="B24" s="391" t="s">
        <v>396</v>
      </c>
      <c r="C24" s="391" t="s">
        <v>407</v>
      </c>
      <c r="D24" s="106">
        <f>'CO 95% 10 min'!Q19</f>
        <v>46.3</v>
      </c>
      <c r="E24" s="106">
        <f>'CO 95% 10 min'!P19</f>
        <v>1.3181818181818181</v>
      </c>
      <c r="F24" s="106">
        <f>'CO 95% 10 min'!Q34</f>
        <v>164.5</v>
      </c>
      <c r="G24" s="106">
        <f>'CO 95% 10 min'!P34</f>
        <v>1.8</v>
      </c>
      <c r="H24" s="106">
        <f>'CO 95% 10 min'!Q49</f>
        <v>265.2</v>
      </c>
      <c r="I24" s="106">
        <f>'CO 95% 10 min'!P49</f>
        <v>1.8</v>
      </c>
      <c r="J24" s="106"/>
      <c r="K24" s="106"/>
      <c r="L24" s="106"/>
      <c r="M24" s="106"/>
    </row>
    <row r="25" spans="1:13" s="12" customFormat="1" ht="23.25" customHeight="1">
      <c r="A25" s="424"/>
      <c r="B25" s="106" t="s">
        <v>409</v>
      </c>
      <c r="C25" s="106" t="s">
        <v>410</v>
      </c>
      <c r="D25" s="106" t="s">
        <v>261</v>
      </c>
      <c r="E25" s="106" t="s">
        <v>261</v>
      </c>
      <c r="F25" s="106" t="s">
        <v>261</v>
      </c>
      <c r="G25" s="106" t="s">
        <v>261</v>
      </c>
      <c r="H25" s="106" t="s">
        <v>261</v>
      </c>
      <c r="I25" s="106" t="s">
        <v>261</v>
      </c>
      <c r="J25" s="106"/>
      <c r="K25" s="106"/>
      <c r="L25" s="106"/>
      <c r="M25" s="106"/>
    </row>
    <row r="26" spans="1:13" s="12" customFormat="1" ht="23.25" customHeight="1">
      <c r="A26" s="424"/>
      <c r="B26" s="106" t="s">
        <v>411</v>
      </c>
      <c r="C26" s="106" t="s">
        <v>412</v>
      </c>
      <c r="D26" s="106">
        <f>'CO 95% 10 min'!M19</f>
        <v>261.5181818181818</v>
      </c>
      <c r="E26" s="106" t="s">
        <v>261</v>
      </c>
      <c r="F26" s="106">
        <f>'CO 95% 10 min'!M34</f>
        <v>430.20909090909095</v>
      </c>
      <c r="G26" s="106" t="s">
        <v>261</v>
      </c>
      <c r="H26" s="106">
        <f>'CO 95% 10 min'!M49</f>
        <v>267.28181818181821</v>
      </c>
      <c r="I26" s="106" t="s">
        <v>261</v>
      </c>
      <c r="J26" s="106"/>
      <c r="K26" s="106"/>
      <c r="L26" s="106"/>
      <c r="M26" s="106"/>
    </row>
    <row r="27" spans="1:13" s="12" customFormat="1" ht="23.25" customHeight="1">
      <c r="A27" s="426" t="s">
        <v>413</v>
      </c>
      <c r="B27" s="427" t="s">
        <v>396</v>
      </c>
      <c r="C27" s="427" t="s">
        <v>414</v>
      </c>
      <c r="D27" s="428">
        <f>'NH3'!O19</f>
        <v>0.7</v>
      </c>
      <c r="E27" s="428">
        <f>'NH3'!N19</f>
        <v>0.12727272727272732</v>
      </c>
      <c r="F27" s="428">
        <f>'NH3'!O34</f>
        <v>0.6</v>
      </c>
      <c r="G27" s="428">
        <f>'NH3'!N34</f>
        <v>0.17272727272727276</v>
      </c>
      <c r="H27" s="428">
        <f>'NH3'!O49</f>
        <v>0.7</v>
      </c>
      <c r="I27" s="428">
        <f>'NH3'!N49</f>
        <v>0.13636363636363641</v>
      </c>
      <c r="J27" s="428"/>
      <c r="K27" s="428"/>
      <c r="L27" s="428"/>
      <c r="M27" s="428"/>
    </row>
    <row r="28" spans="1:13">
      <c r="A28" s="252" t="s">
        <v>415</v>
      </c>
      <c r="B28" s="253"/>
      <c r="C28" s="253"/>
      <c r="D28" s="253"/>
      <c r="E28" s="253"/>
      <c r="F28" s="253"/>
      <c r="G28" s="253"/>
      <c r="H28" s="253"/>
      <c r="I28" s="253"/>
      <c r="J28" s="253"/>
      <c r="K28" s="253"/>
      <c r="L28" s="253"/>
      <c r="M28" s="254"/>
    </row>
    <row r="29" spans="1:13">
      <c r="A29" s="83" t="s">
        <v>342</v>
      </c>
      <c r="B29" s="84"/>
      <c r="C29" s="84"/>
      <c r="D29" s="84"/>
      <c r="E29" s="84"/>
      <c r="F29" s="84"/>
      <c r="G29" s="84"/>
      <c r="H29" s="84"/>
      <c r="I29" s="84"/>
      <c r="J29" s="84"/>
      <c r="K29" s="84"/>
      <c r="L29" s="84"/>
      <c r="M29" s="85"/>
    </row>
    <row r="30" spans="1:13">
      <c r="A30" s="255"/>
      <c r="B30" s="255"/>
      <c r="C30" s="255"/>
      <c r="D30" s="255"/>
      <c r="E30" s="255"/>
      <c r="F30" s="255"/>
      <c r="G30" s="255"/>
      <c r="H30" s="255"/>
      <c r="I30" s="255"/>
      <c r="J30" s="255"/>
      <c r="K30" s="255"/>
      <c r="L30" s="255"/>
      <c r="M30" s="255"/>
    </row>
    <row r="31" spans="1:13">
      <c r="A31" s="227"/>
      <c r="B31" s="227"/>
      <c r="C31" s="227"/>
      <c r="D31" s="227"/>
      <c r="E31" s="227"/>
      <c r="F31" s="227"/>
      <c r="G31" s="227"/>
      <c r="H31" s="227"/>
      <c r="I31" s="227"/>
      <c r="J31" s="227"/>
      <c r="K31" s="227"/>
      <c r="L31" s="227"/>
      <c r="M31" s="227"/>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E53" sqref="E53"/>
    </sheetView>
  </sheetViews>
  <sheetFormatPr defaultRowHeight="14.1"/>
  <cols>
    <col min="1" max="1" width="14" style="3" customWidth="1"/>
    <col min="2"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Rookery Pit Energy Recovery Facility</v>
      </c>
      <c r="F1" s="93"/>
      <c r="G1" s="93"/>
    </row>
    <row r="3" spans="1:19" ht="14.45">
      <c r="A3" s="60" t="s">
        <v>416</v>
      </c>
      <c r="D3" s="76" t="s">
        <v>417</v>
      </c>
      <c r="G3" s="80" t="s">
        <v>418</v>
      </c>
      <c r="J3" s="9" t="str">
        <f>+A3</f>
        <v>Monitoring of Hydrogen Chloride emissions</v>
      </c>
      <c r="L3" s="9"/>
      <c r="N3" s="9" t="s">
        <v>419</v>
      </c>
      <c r="Q3" s="79" t="s">
        <v>3</v>
      </c>
      <c r="R3" s="74"/>
      <c r="S3" s="74"/>
    </row>
    <row r="4" spans="1:19" ht="14.1" customHeight="1">
      <c r="Q4" s="251" t="s">
        <v>420</v>
      </c>
      <c r="R4" s="251"/>
      <c r="S4" s="251"/>
    </row>
    <row r="5" spans="1:19" ht="15.95">
      <c r="A5" s="68" t="s">
        <v>421</v>
      </c>
      <c r="B5" s="262" t="s">
        <v>422</v>
      </c>
      <c r="C5" s="262"/>
      <c r="D5" s="262"/>
      <c r="E5" s="262" t="s">
        <v>423</v>
      </c>
      <c r="F5" s="262"/>
      <c r="G5" s="262"/>
      <c r="J5" s="261"/>
      <c r="K5" s="261"/>
      <c r="L5" s="261"/>
      <c r="M5" s="261"/>
      <c r="N5" s="261"/>
      <c r="O5" s="261"/>
      <c r="Q5" s="251"/>
      <c r="R5" s="251"/>
      <c r="S5" s="251"/>
    </row>
    <row r="6" spans="1:19" s="58" customFormat="1" ht="37.5" customHeight="1">
      <c r="A6" s="65">
        <f>+'Cover Page'!C39</f>
        <v>2022</v>
      </c>
      <c r="B6" s="55" t="s">
        <v>424</v>
      </c>
      <c r="C6" s="55" t="s">
        <v>425</v>
      </c>
      <c r="D6" s="55" t="s">
        <v>426</v>
      </c>
      <c r="E6" s="55" t="s">
        <v>427</v>
      </c>
      <c r="F6" s="55" t="s">
        <v>428</v>
      </c>
      <c r="G6" s="55" t="s">
        <v>429</v>
      </c>
      <c r="H6" s="59"/>
      <c r="J6" s="61">
        <f>+A6</f>
        <v>2022</v>
      </c>
      <c r="K6" s="61" t="s">
        <v>430</v>
      </c>
      <c r="L6" s="67" t="s">
        <v>425</v>
      </c>
      <c r="M6" s="67" t="s">
        <v>431</v>
      </c>
      <c r="N6" s="67" t="s">
        <v>428</v>
      </c>
      <c r="O6" s="67" t="s">
        <v>432</v>
      </c>
      <c r="Q6" s="251"/>
      <c r="R6" s="251"/>
      <c r="S6" s="251"/>
    </row>
    <row r="7" spans="1:19" ht="14.1" customHeight="1">
      <c r="A7" s="66" t="s">
        <v>433</v>
      </c>
      <c r="B7" s="63">
        <v>60</v>
      </c>
      <c r="C7" s="107">
        <f>AVERAGE(L7,L22,L37)</f>
        <v>1.4000000000000001</v>
      </c>
      <c r="D7" s="64">
        <f>MAX(M7,M22,M37)</f>
        <v>5.5</v>
      </c>
      <c r="E7" s="63">
        <v>10</v>
      </c>
      <c r="F7" s="107">
        <f>AVERAGE(N7,N22,N37)</f>
        <v>1.4000000000000001</v>
      </c>
      <c r="G7" s="64">
        <f>MAX(O7,O22,O37)</f>
        <v>2.8</v>
      </c>
      <c r="J7" s="260" t="s">
        <v>189</v>
      </c>
      <c r="K7" s="66" t="s">
        <v>433</v>
      </c>
      <c r="L7" s="64">
        <v>1.3</v>
      </c>
      <c r="M7" s="64">
        <v>4.9000000000000004</v>
      </c>
      <c r="N7" s="64">
        <v>1.3</v>
      </c>
      <c r="O7" s="64">
        <v>2.2000000000000002</v>
      </c>
      <c r="Q7" s="251"/>
      <c r="R7" s="251"/>
      <c r="S7" s="251"/>
    </row>
    <row r="8" spans="1:19">
      <c r="A8" s="66" t="s">
        <v>434</v>
      </c>
      <c r="B8" s="63">
        <v>60</v>
      </c>
      <c r="C8" s="107">
        <f t="shared" ref="C8:C18" si="0">AVERAGE(L8,L23,L38)</f>
        <v>1.3333333333333333</v>
      </c>
      <c r="D8" s="64">
        <f t="shared" ref="D8:D18" si="1">MAX(M8,M23,M38)</f>
        <v>6.9</v>
      </c>
      <c r="E8" s="63">
        <v>10</v>
      </c>
      <c r="F8" s="107">
        <f t="shared" ref="F8:F18" si="2">AVERAGE(N8,N23,N38)</f>
        <v>1.3333333333333333</v>
      </c>
      <c r="G8" s="64">
        <f t="shared" ref="G8:G18" si="3">MAX(O8,O23,O38)</f>
        <v>2.9</v>
      </c>
      <c r="J8" s="260"/>
      <c r="K8" s="66" t="s">
        <v>434</v>
      </c>
      <c r="L8" s="64">
        <v>1</v>
      </c>
      <c r="M8" s="64">
        <v>4.9000000000000004</v>
      </c>
      <c r="N8" s="64">
        <v>1</v>
      </c>
      <c r="O8" s="64">
        <v>1.7</v>
      </c>
      <c r="Q8" s="251"/>
      <c r="R8" s="251"/>
      <c r="S8" s="251"/>
    </row>
    <row r="9" spans="1:19">
      <c r="A9" s="66" t="s">
        <v>435</v>
      </c>
      <c r="B9" s="63">
        <v>60</v>
      </c>
      <c r="C9" s="107">
        <f t="shared" si="0"/>
        <v>1.0333333333333334</v>
      </c>
      <c r="D9" s="64">
        <f t="shared" si="1"/>
        <v>7.9</v>
      </c>
      <c r="E9" s="63">
        <v>10</v>
      </c>
      <c r="F9" s="107">
        <f t="shared" si="2"/>
        <v>0.93333333333333324</v>
      </c>
      <c r="G9" s="64">
        <f t="shared" si="3"/>
        <v>2.9</v>
      </c>
      <c r="J9" s="260"/>
      <c r="K9" s="66" t="s">
        <v>435</v>
      </c>
      <c r="L9" s="64">
        <v>0.9</v>
      </c>
      <c r="M9" s="64">
        <v>7.9</v>
      </c>
      <c r="N9" s="64">
        <v>0.8</v>
      </c>
      <c r="O9" s="64">
        <v>2</v>
      </c>
      <c r="Q9" s="78" t="s">
        <v>436</v>
      </c>
    </row>
    <row r="10" spans="1:19" ht="14.1" customHeight="1">
      <c r="A10" s="66" t="s">
        <v>437</v>
      </c>
      <c r="B10" s="63">
        <v>60</v>
      </c>
      <c r="C10" s="107">
        <f t="shared" si="0"/>
        <v>2.3333333333333335</v>
      </c>
      <c r="D10" s="64">
        <f t="shared" si="1"/>
        <v>7.3</v>
      </c>
      <c r="E10" s="63">
        <v>10</v>
      </c>
      <c r="F10" s="107">
        <f t="shared" si="2"/>
        <v>2.3000000000000003</v>
      </c>
      <c r="G10" s="64">
        <f t="shared" si="3"/>
        <v>3.9</v>
      </c>
      <c r="J10" s="260"/>
      <c r="K10" s="66" t="s">
        <v>437</v>
      </c>
      <c r="L10" s="64">
        <v>1.8</v>
      </c>
      <c r="M10" s="64">
        <v>5.7</v>
      </c>
      <c r="N10" s="64">
        <v>1.8</v>
      </c>
      <c r="O10" s="64">
        <v>3.3</v>
      </c>
      <c r="Q10" s="259" t="s">
        <v>438</v>
      </c>
      <c r="R10" s="259"/>
      <c r="S10" s="259"/>
    </row>
    <row r="11" spans="1:19">
      <c r="A11" s="66" t="s">
        <v>439</v>
      </c>
      <c r="B11" s="63">
        <v>60</v>
      </c>
      <c r="C11" s="107">
        <f t="shared" si="0"/>
        <v>2.2666666666666671</v>
      </c>
      <c r="D11" s="64">
        <f t="shared" si="1"/>
        <v>32.700000000000003</v>
      </c>
      <c r="E11" s="63">
        <v>10</v>
      </c>
      <c r="F11" s="107">
        <f t="shared" si="2"/>
        <v>2.1999999999999997</v>
      </c>
      <c r="G11" s="64">
        <f t="shared" si="3"/>
        <v>4.0999999999999996</v>
      </c>
      <c r="J11" s="260"/>
      <c r="K11" s="66" t="s">
        <v>439</v>
      </c>
      <c r="L11" s="64">
        <v>1.3</v>
      </c>
      <c r="M11" s="64">
        <v>8.8000000000000007</v>
      </c>
      <c r="N11" s="64">
        <v>1.2</v>
      </c>
      <c r="O11" s="64">
        <v>2.5</v>
      </c>
      <c r="Q11" s="259"/>
      <c r="R11" s="259"/>
      <c r="S11" s="259"/>
    </row>
    <row r="12" spans="1:19">
      <c r="A12" s="66" t="s">
        <v>440</v>
      </c>
      <c r="B12" s="63">
        <v>60</v>
      </c>
      <c r="C12" s="107">
        <f t="shared" si="0"/>
        <v>2.3666666666666667</v>
      </c>
      <c r="D12" s="64">
        <f t="shared" si="1"/>
        <v>8.4</v>
      </c>
      <c r="E12" s="63">
        <v>10</v>
      </c>
      <c r="F12" s="107">
        <f t="shared" si="2"/>
        <v>2.3333333333333335</v>
      </c>
      <c r="G12" s="64">
        <f t="shared" si="3"/>
        <v>4</v>
      </c>
      <c r="J12" s="260"/>
      <c r="K12" s="66" t="s">
        <v>440</v>
      </c>
      <c r="L12" s="64">
        <v>2.2999999999999998</v>
      </c>
      <c r="M12" s="64">
        <v>5.4</v>
      </c>
      <c r="N12" s="64">
        <v>2.2000000000000002</v>
      </c>
      <c r="O12" s="64">
        <v>4</v>
      </c>
      <c r="Q12" s="259"/>
      <c r="R12" s="259"/>
      <c r="S12" s="259"/>
    </row>
    <row r="13" spans="1:19" ht="14.1" customHeight="1">
      <c r="A13" s="66" t="s">
        <v>441</v>
      </c>
      <c r="B13" s="63">
        <v>60</v>
      </c>
      <c r="C13" s="107">
        <f t="shared" si="0"/>
        <v>2.7666666666666671</v>
      </c>
      <c r="D13" s="64">
        <f t="shared" si="1"/>
        <v>34</v>
      </c>
      <c r="E13" s="63">
        <v>10</v>
      </c>
      <c r="F13" s="107">
        <f t="shared" si="2"/>
        <v>2.7333333333333329</v>
      </c>
      <c r="G13" s="64">
        <f t="shared" si="3"/>
        <v>5.7</v>
      </c>
      <c r="J13" s="260"/>
      <c r="K13" s="66" t="s">
        <v>441</v>
      </c>
      <c r="L13" s="64">
        <v>2.7</v>
      </c>
      <c r="M13" s="64">
        <v>13.6</v>
      </c>
      <c r="N13" s="64">
        <v>2.6</v>
      </c>
      <c r="O13" s="64">
        <v>3.7</v>
      </c>
      <c r="Q13" s="259" t="s">
        <v>442</v>
      </c>
      <c r="R13" s="259"/>
      <c r="S13" s="259"/>
    </row>
    <row r="14" spans="1:19">
      <c r="A14" s="66" t="s">
        <v>443</v>
      </c>
      <c r="B14" s="63">
        <v>60</v>
      </c>
      <c r="C14" s="107" t="s">
        <v>444</v>
      </c>
      <c r="D14" s="64" t="s">
        <v>444</v>
      </c>
      <c r="E14" s="63">
        <v>10</v>
      </c>
      <c r="F14" s="107" t="s">
        <v>444</v>
      </c>
      <c r="G14" s="64" t="s">
        <v>444</v>
      </c>
      <c r="J14" s="260"/>
      <c r="K14" s="66" t="s">
        <v>443</v>
      </c>
      <c r="L14" s="64" t="s">
        <v>138</v>
      </c>
      <c r="M14" s="64" t="s">
        <v>138</v>
      </c>
      <c r="N14" s="64" t="s">
        <v>138</v>
      </c>
      <c r="O14" s="64" t="s">
        <v>138</v>
      </c>
      <c r="Q14" s="259"/>
      <c r="R14" s="259"/>
      <c r="S14" s="259"/>
    </row>
    <row r="15" spans="1:19">
      <c r="A15" s="66" t="s">
        <v>445</v>
      </c>
      <c r="B15" s="63">
        <v>60</v>
      </c>
      <c r="C15" s="107">
        <f t="shared" si="0"/>
        <v>2.9666666666666663</v>
      </c>
      <c r="D15" s="64">
        <f t="shared" si="1"/>
        <v>9.3000000000000007</v>
      </c>
      <c r="E15" s="63">
        <v>10</v>
      </c>
      <c r="F15" s="107">
        <f t="shared" si="2"/>
        <v>2.9</v>
      </c>
      <c r="G15" s="64">
        <f t="shared" si="3"/>
        <v>5.9</v>
      </c>
      <c r="J15" s="260"/>
      <c r="K15" s="66" t="s">
        <v>445</v>
      </c>
      <c r="L15" s="64">
        <v>2.2000000000000002</v>
      </c>
      <c r="M15" s="64">
        <v>9.1</v>
      </c>
      <c r="N15" s="64">
        <v>2.1</v>
      </c>
      <c r="O15" s="64">
        <v>3.1</v>
      </c>
      <c r="Q15" s="259"/>
      <c r="R15" s="259"/>
      <c r="S15" s="259"/>
    </row>
    <row r="16" spans="1:19">
      <c r="A16" s="66" t="s">
        <v>446</v>
      </c>
      <c r="B16" s="63">
        <v>60</v>
      </c>
      <c r="C16" s="107">
        <f t="shared" si="0"/>
        <v>2.9333333333333336</v>
      </c>
      <c r="D16" s="64">
        <f t="shared" si="1"/>
        <v>8.9</v>
      </c>
      <c r="E16" s="63">
        <v>10</v>
      </c>
      <c r="F16" s="107">
        <f t="shared" si="2"/>
        <v>2.9333333333333336</v>
      </c>
      <c r="G16" s="64">
        <f t="shared" si="3"/>
        <v>4.5999999999999996</v>
      </c>
      <c r="J16" s="260"/>
      <c r="K16" s="66" t="s">
        <v>446</v>
      </c>
      <c r="L16" s="64">
        <v>2.9</v>
      </c>
      <c r="M16" s="64">
        <v>8.1999999999999993</v>
      </c>
      <c r="N16" s="64">
        <v>2.9</v>
      </c>
      <c r="O16" s="64">
        <v>4.3</v>
      </c>
      <c r="Q16" s="259"/>
      <c r="R16" s="259"/>
      <c r="S16" s="259"/>
    </row>
    <row r="17" spans="1:15">
      <c r="A17" s="66" t="s">
        <v>447</v>
      </c>
      <c r="B17" s="63">
        <v>60</v>
      </c>
      <c r="C17" s="107">
        <f t="shared" si="0"/>
        <v>3.0666666666666664</v>
      </c>
      <c r="D17" s="64">
        <f t="shared" si="1"/>
        <v>21</v>
      </c>
      <c r="E17" s="63">
        <v>10</v>
      </c>
      <c r="F17" s="107">
        <f t="shared" si="2"/>
        <v>3.0666666666666664</v>
      </c>
      <c r="G17" s="64">
        <f t="shared" si="3"/>
        <v>5.5</v>
      </c>
      <c r="J17" s="260"/>
      <c r="K17" s="66" t="s">
        <v>447</v>
      </c>
      <c r="L17" s="64">
        <v>2.7</v>
      </c>
      <c r="M17" s="64">
        <v>9.5</v>
      </c>
      <c r="N17" s="64">
        <v>2.7</v>
      </c>
      <c r="O17" s="64">
        <v>5.4</v>
      </c>
    </row>
    <row r="18" spans="1:15">
      <c r="A18" s="66" t="s">
        <v>448</v>
      </c>
      <c r="B18" s="63">
        <v>60</v>
      </c>
      <c r="C18" s="107">
        <f t="shared" si="0"/>
        <v>2.4333333333333336</v>
      </c>
      <c r="D18" s="64">
        <f t="shared" si="1"/>
        <v>9.6999999999999993</v>
      </c>
      <c r="E18" s="63">
        <v>10</v>
      </c>
      <c r="F18" s="64">
        <f t="shared" si="2"/>
        <v>2.4</v>
      </c>
      <c r="G18" s="64">
        <f t="shared" si="3"/>
        <v>5.7</v>
      </c>
      <c r="J18" s="260"/>
      <c r="K18" s="66" t="s">
        <v>448</v>
      </c>
      <c r="L18" s="64">
        <v>2</v>
      </c>
      <c r="M18" s="64">
        <v>7.3</v>
      </c>
      <c r="N18" s="64">
        <v>1.9</v>
      </c>
      <c r="O18" s="64">
        <v>2.9</v>
      </c>
    </row>
    <row r="19" spans="1:15">
      <c r="J19" s="260"/>
      <c r="K19" s="62" t="s">
        <v>449</v>
      </c>
      <c r="L19" s="62">
        <f>AVERAGE(L7:L18)</f>
        <v>1.918181818181818</v>
      </c>
      <c r="M19" s="62">
        <f>MAX(M7:M18)</f>
        <v>13.6</v>
      </c>
      <c r="N19" s="62">
        <f>AVERAGE(N7:N18)</f>
        <v>1.8636363636363635</v>
      </c>
      <c r="O19" s="62">
        <f>MAX(O7:O18)</f>
        <v>5.4</v>
      </c>
    </row>
    <row r="21" spans="1:15" ht="27.95">
      <c r="J21" s="61">
        <f>+A6</f>
        <v>2022</v>
      </c>
      <c r="K21" s="61" t="s">
        <v>430</v>
      </c>
      <c r="L21" s="67" t="s">
        <v>425</v>
      </c>
      <c r="M21" s="67" t="s">
        <v>431</v>
      </c>
      <c r="N21" s="67" t="s">
        <v>428</v>
      </c>
      <c r="O21" s="67" t="s">
        <v>432</v>
      </c>
    </row>
    <row r="22" spans="1:15">
      <c r="J22" s="260" t="s">
        <v>190</v>
      </c>
      <c r="K22" s="66" t="s">
        <v>433</v>
      </c>
      <c r="L22" s="64">
        <v>2</v>
      </c>
      <c r="M22" s="64">
        <v>5.5</v>
      </c>
      <c r="N22" s="64">
        <v>2</v>
      </c>
      <c r="O22" s="64">
        <v>2.8</v>
      </c>
    </row>
    <row r="23" spans="1:15">
      <c r="J23" s="260"/>
      <c r="K23" s="66" t="s">
        <v>434</v>
      </c>
      <c r="L23" s="64">
        <v>1.9</v>
      </c>
      <c r="M23" s="64">
        <v>6.9</v>
      </c>
      <c r="N23" s="64">
        <v>1.9</v>
      </c>
      <c r="O23" s="64">
        <v>2.9</v>
      </c>
    </row>
    <row r="24" spans="1:15">
      <c r="J24" s="260"/>
      <c r="K24" s="66" t="s">
        <v>435</v>
      </c>
      <c r="L24" s="64">
        <v>1.3</v>
      </c>
      <c r="M24" s="64">
        <v>4.9000000000000004</v>
      </c>
      <c r="N24" s="64">
        <v>1.2</v>
      </c>
      <c r="O24" s="64">
        <v>2.9</v>
      </c>
    </row>
    <row r="25" spans="1:15">
      <c r="J25" s="260"/>
      <c r="K25" s="66" t="s">
        <v>437</v>
      </c>
      <c r="L25" s="64">
        <v>3.1</v>
      </c>
      <c r="M25" s="64">
        <v>7.3</v>
      </c>
      <c r="N25" s="64">
        <v>3</v>
      </c>
      <c r="O25" s="64">
        <v>3.9</v>
      </c>
    </row>
    <row r="26" spans="1:15">
      <c r="J26" s="260"/>
      <c r="K26" s="66" t="s">
        <v>439</v>
      </c>
      <c r="L26" s="64">
        <v>2.9</v>
      </c>
      <c r="M26" s="64">
        <v>5.8</v>
      </c>
      <c r="N26" s="64">
        <v>2.9</v>
      </c>
      <c r="O26" s="64">
        <v>4.0999999999999996</v>
      </c>
    </row>
    <row r="27" spans="1:15">
      <c r="J27" s="260"/>
      <c r="K27" s="66" t="s">
        <v>440</v>
      </c>
      <c r="L27" s="64">
        <v>2.7</v>
      </c>
      <c r="M27" s="64">
        <v>7.8</v>
      </c>
      <c r="N27" s="64">
        <v>2.7</v>
      </c>
      <c r="O27" s="64">
        <v>3.9</v>
      </c>
    </row>
    <row r="28" spans="1:15">
      <c r="J28" s="260"/>
      <c r="K28" s="66" t="s">
        <v>441</v>
      </c>
      <c r="L28" s="64">
        <v>3.5</v>
      </c>
      <c r="M28" s="64">
        <v>34</v>
      </c>
      <c r="N28" s="64">
        <v>3.5</v>
      </c>
      <c r="O28" s="64">
        <v>5.7</v>
      </c>
    </row>
    <row r="29" spans="1:15">
      <c r="J29" s="260"/>
      <c r="K29" s="66" t="s">
        <v>443</v>
      </c>
      <c r="L29" s="64" t="s">
        <v>138</v>
      </c>
      <c r="M29" s="64" t="s">
        <v>138</v>
      </c>
      <c r="N29" s="64" t="s">
        <v>138</v>
      </c>
      <c r="O29" s="64" t="s">
        <v>138</v>
      </c>
    </row>
    <row r="30" spans="1:15">
      <c r="J30" s="260"/>
      <c r="K30" s="66" t="s">
        <v>445</v>
      </c>
      <c r="L30" s="64">
        <v>3.4</v>
      </c>
      <c r="M30" s="64">
        <v>9.3000000000000007</v>
      </c>
      <c r="N30" s="64">
        <v>3.4</v>
      </c>
      <c r="O30" s="64">
        <v>5.9</v>
      </c>
    </row>
    <row r="31" spans="1:15">
      <c r="J31" s="260"/>
      <c r="K31" s="66" t="s">
        <v>446</v>
      </c>
      <c r="L31" s="64">
        <v>3.4</v>
      </c>
      <c r="M31" s="64">
        <v>8.9</v>
      </c>
      <c r="N31" s="64">
        <v>3.4</v>
      </c>
      <c r="O31" s="64">
        <v>4.5999999999999996</v>
      </c>
    </row>
    <row r="32" spans="1:15">
      <c r="J32" s="260"/>
      <c r="K32" s="66" t="s">
        <v>447</v>
      </c>
      <c r="L32" s="64">
        <v>3.9</v>
      </c>
      <c r="M32" s="64">
        <v>15.7</v>
      </c>
      <c r="N32" s="64">
        <v>3.9</v>
      </c>
      <c r="O32" s="64">
        <v>5.5</v>
      </c>
    </row>
    <row r="33" spans="1:15">
      <c r="J33" s="260"/>
      <c r="K33" s="66" t="s">
        <v>448</v>
      </c>
      <c r="L33" s="64">
        <v>3.4</v>
      </c>
      <c r="M33" s="64">
        <v>8.6999999999999993</v>
      </c>
      <c r="N33" s="64">
        <v>3.4</v>
      </c>
      <c r="O33" s="64">
        <v>5.7</v>
      </c>
    </row>
    <row r="34" spans="1:15">
      <c r="J34" s="260"/>
      <c r="K34" s="62" t="s">
        <v>449</v>
      </c>
      <c r="L34" s="62">
        <f>AVERAGE(L22:L33)</f>
        <v>2.8636363636363633</v>
      </c>
      <c r="M34" s="62">
        <f>MAX(M22:M33)</f>
        <v>34</v>
      </c>
      <c r="N34" s="62">
        <f>AVERAGE(N22:N33)</f>
        <v>2.8454545454545448</v>
      </c>
      <c r="O34" s="62">
        <f>MAX(O22:O33)</f>
        <v>5.9</v>
      </c>
    </row>
    <row r="36" spans="1:15" ht="27.95">
      <c r="J36" s="61">
        <f>+A6</f>
        <v>2022</v>
      </c>
      <c r="K36" s="61" t="s">
        <v>430</v>
      </c>
      <c r="L36" s="67" t="s">
        <v>425</v>
      </c>
      <c r="M36" s="67" t="s">
        <v>431</v>
      </c>
      <c r="N36" s="67" t="s">
        <v>428</v>
      </c>
      <c r="O36" s="67" t="s">
        <v>432</v>
      </c>
    </row>
    <row r="37" spans="1:15">
      <c r="J37" s="260" t="s">
        <v>191</v>
      </c>
      <c r="K37" s="66" t="s">
        <v>433</v>
      </c>
      <c r="L37" s="64">
        <v>0.9</v>
      </c>
      <c r="M37" s="64">
        <v>3.3</v>
      </c>
      <c r="N37" s="64">
        <v>0.9</v>
      </c>
      <c r="O37" s="64">
        <v>1.3</v>
      </c>
    </row>
    <row r="38" spans="1:15">
      <c r="J38" s="260"/>
      <c r="K38" s="66" t="s">
        <v>434</v>
      </c>
      <c r="L38" s="64">
        <v>1.1000000000000001</v>
      </c>
      <c r="M38" s="64">
        <v>5.3</v>
      </c>
      <c r="N38" s="64">
        <v>1.1000000000000001</v>
      </c>
      <c r="O38" s="64">
        <v>1.6</v>
      </c>
    </row>
    <row r="39" spans="1:15">
      <c r="J39" s="260"/>
      <c r="K39" s="66" t="s">
        <v>435</v>
      </c>
      <c r="L39" s="64">
        <v>0.9</v>
      </c>
      <c r="M39" s="64">
        <v>3.8</v>
      </c>
      <c r="N39" s="64">
        <v>0.8</v>
      </c>
      <c r="O39" s="64">
        <v>1.1000000000000001</v>
      </c>
    </row>
    <row r="40" spans="1:15">
      <c r="J40" s="260"/>
      <c r="K40" s="66" t="s">
        <v>437</v>
      </c>
      <c r="L40" s="64">
        <v>2.1</v>
      </c>
      <c r="M40" s="64">
        <v>5.2</v>
      </c>
      <c r="N40" s="64">
        <v>2.1</v>
      </c>
      <c r="O40" s="64">
        <v>3.3</v>
      </c>
    </row>
    <row r="41" spans="1:15">
      <c r="J41" s="260"/>
      <c r="K41" s="66" t="s">
        <v>439</v>
      </c>
      <c r="L41" s="64">
        <v>2.6</v>
      </c>
      <c r="M41" s="64">
        <v>32.700000000000003</v>
      </c>
      <c r="N41" s="64">
        <v>2.5</v>
      </c>
      <c r="O41" s="64">
        <v>4.0999999999999996</v>
      </c>
    </row>
    <row r="42" spans="1:15">
      <c r="J42" s="260"/>
      <c r="K42" s="66" t="s">
        <v>440</v>
      </c>
      <c r="L42" s="64">
        <v>2.1</v>
      </c>
      <c r="M42" s="64">
        <v>8.4</v>
      </c>
      <c r="N42" s="64">
        <v>2.1</v>
      </c>
      <c r="O42" s="64">
        <v>3.1</v>
      </c>
    </row>
    <row r="43" spans="1:15">
      <c r="J43" s="260"/>
      <c r="K43" s="66" t="s">
        <v>441</v>
      </c>
      <c r="L43" s="64">
        <v>2.1</v>
      </c>
      <c r="M43" s="64">
        <v>5.3</v>
      </c>
      <c r="N43" s="64">
        <v>2.1</v>
      </c>
      <c r="O43" s="64">
        <v>2.5</v>
      </c>
    </row>
    <row r="44" spans="1:15">
      <c r="J44" s="260"/>
      <c r="K44" s="66" t="s">
        <v>443</v>
      </c>
      <c r="L44" s="64" t="s">
        <v>138</v>
      </c>
      <c r="M44" s="64" t="s">
        <v>138</v>
      </c>
      <c r="N44" s="64" t="s">
        <v>138</v>
      </c>
      <c r="O44" s="64" t="s">
        <v>138</v>
      </c>
    </row>
    <row r="45" spans="1:15">
      <c r="J45" s="260"/>
      <c r="K45" s="66" t="s">
        <v>445</v>
      </c>
      <c r="L45" s="64">
        <v>3.3</v>
      </c>
      <c r="M45" s="64">
        <v>8.5</v>
      </c>
      <c r="N45" s="64">
        <v>3.2</v>
      </c>
      <c r="O45" s="64">
        <v>4.8</v>
      </c>
    </row>
    <row r="46" spans="1:15">
      <c r="J46" s="260"/>
      <c r="K46" s="66" t="s">
        <v>446</v>
      </c>
      <c r="L46" s="64">
        <v>2.5</v>
      </c>
      <c r="M46" s="64">
        <v>8.4</v>
      </c>
      <c r="N46" s="64">
        <v>2.5</v>
      </c>
      <c r="O46" s="64">
        <v>3.3</v>
      </c>
    </row>
    <row r="47" spans="1:15">
      <c r="J47" s="260"/>
      <c r="K47" s="66" t="s">
        <v>447</v>
      </c>
      <c r="L47" s="64">
        <v>2.6</v>
      </c>
      <c r="M47" s="64">
        <v>21</v>
      </c>
      <c r="N47" s="64">
        <v>2.6</v>
      </c>
      <c r="O47" s="64">
        <v>4.0999999999999996</v>
      </c>
    </row>
    <row r="48" spans="1:15">
      <c r="A48" s="272" t="s">
        <v>342</v>
      </c>
      <c r="B48" s="273"/>
      <c r="C48" s="273"/>
      <c r="D48" s="273"/>
      <c r="E48" s="273"/>
      <c r="F48" s="273"/>
      <c r="G48" s="274"/>
      <c r="J48" s="260"/>
      <c r="K48" s="66" t="s">
        <v>448</v>
      </c>
      <c r="L48" s="64">
        <v>1.9</v>
      </c>
      <c r="M48" s="64">
        <v>9.6999999999999993</v>
      </c>
      <c r="N48" s="64">
        <v>1.9</v>
      </c>
      <c r="O48" s="64">
        <v>4.4000000000000004</v>
      </c>
    </row>
    <row r="49" spans="1:15">
      <c r="A49" s="263"/>
      <c r="B49" s="264"/>
      <c r="C49" s="264"/>
      <c r="D49" s="264"/>
      <c r="E49" s="264"/>
      <c r="F49" s="264"/>
      <c r="G49" s="265"/>
      <c r="J49" s="260"/>
      <c r="K49" s="62" t="s">
        <v>449</v>
      </c>
      <c r="L49" s="62">
        <f>AVERAGE(L37:L48)</f>
        <v>2.0090909090909088</v>
      </c>
      <c r="M49" s="62">
        <f>MAX(M37:M48)</f>
        <v>32.700000000000003</v>
      </c>
      <c r="N49" s="62">
        <f>AVERAGE(N37:N48)</f>
        <v>1.9818181818181819</v>
      </c>
      <c r="O49" s="62">
        <f>MAX(O37:O48)</f>
        <v>4.8</v>
      </c>
    </row>
    <row r="50" spans="1:15">
      <c r="A50" s="266"/>
      <c r="B50" s="267"/>
      <c r="C50" s="267"/>
      <c r="D50" s="267"/>
      <c r="E50" s="267"/>
      <c r="F50" s="267"/>
      <c r="G50" s="268"/>
    </row>
    <row r="51" spans="1:15" ht="27.95">
      <c r="A51" s="266"/>
      <c r="B51" s="267"/>
      <c r="C51" s="267"/>
      <c r="D51" s="267"/>
      <c r="E51" s="267"/>
      <c r="F51" s="267"/>
      <c r="G51" s="268"/>
      <c r="J51" s="61">
        <f>+A6</f>
        <v>2022</v>
      </c>
      <c r="K51" s="61" t="s">
        <v>430</v>
      </c>
      <c r="L51" s="67" t="s">
        <v>425</v>
      </c>
      <c r="M51" s="67" t="s">
        <v>431</v>
      </c>
      <c r="N51" s="67" t="s">
        <v>428</v>
      </c>
      <c r="O51" s="67" t="s">
        <v>432</v>
      </c>
    </row>
    <row r="52" spans="1:15">
      <c r="A52" s="269"/>
      <c r="B52" s="270"/>
      <c r="C52" s="270"/>
      <c r="D52" s="270"/>
      <c r="E52" s="270"/>
      <c r="F52" s="270"/>
      <c r="G52" s="271"/>
      <c r="J52" s="260" t="s">
        <v>192</v>
      </c>
      <c r="K52" s="66" t="s">
        <v>433</v>
      </c>
      <c r="L52" s="64"/>
      <c r="M52" s="64"/>
      <c r="N52" s="64"/>
      <c r="O52" s="64"/>
    </row>
    <row r="53" spans="1:15">
      <c r="J53" s="260"/>
      <c r="K53" s="66" t="s">
        <v>434</v>
      </c>
      <c r="L53" s="64"/>
      <c r="M53" s="64"/>
      <c r="N53" s="64"/>
      <c r="O53" s="64"/>
    </row>
    <row r="54" spans="1:15">
      <c r="J54" s="260"/>
      <c r="K54" s="66" t="s">
        <v>435</v>
      </c>
      <c r="L54" s="64"/>
      <c r="M54" s="64"/>
      <c r="N54" s="64"/>
      <c r="O54" s="64"/>
    </row>
    <row r="55" spans="1:15">
      <c r="J55" s="260"/>
      <c r="K55" s="66" t="s">
        <v>437</v>
      </c>
      <c r="L55" s="64"/>
      <c r="M55" s="64"/>
      <c r="N55" s="64"/>
      <c r="O55" s="64"/>
    </row>
    <row r="56" spans="1:15">
      <c r="J56" s="260"/>
      <c r="K56" s="66" t="s">
        <v>439</v>
      </c>
      <c r="L56" s="64"/>
      <c r="M56" s="64"/>
      <c r="N56" s="64"/>
      <c r="O56" s="64"/>
    </row>
    <row r="57" spans="1:15">
      <c r="J57" s="260"/>
      <c r="K57" s="66" t="s">
        <v>440</v>
      </c>
      <c r="L57" s="64"/>
      <c r="M57" s="64"/>
      <c r="N57" s="64"/>
      <c r="O57" s="64"/>
    </row>
    <row r="58" spans="1:15">
      <c r="J58" s="260"/>
      <c r="K58" s="66" t="s">
        <v>441</v>
      </c>
      <c r="L58" s="64"/>
      <c r="M58" s="64"/>
      <c r="N58" s="64"/>
      <c r="O58" s="64"/>
    </row>
    <row r="59" spans="1:15">
      <c r="J59" s="260"/>
      <c r="K59" s="66" t="s">
        <v>443</v>
      </c>
      <c r="L59" s="64"/>
      <c r="M59" s="64"/>
      <c r="N59" s="64"/>
      <c r="O59" s="64"/>
    </row>
    <row r="60" spans="1:15">
      <c r="J60" s="260"/>
      <c r="K60" s="66" t="s">
        <v>445</v>
      </c>
      <c r="L60" s="64"/>
      <c r="M60" s="64"/>
      <c r="N60" s="64"/>
      <c r="O60" s="64"/>
    </row>
    <row r="61" spans="1:15">
      <c r="J61" s="260"/>
      <c r="K61" s="66" t="s">
        <v>446</v>
      </c>
      <c r="L61" s="64"/>
      <c r="M61" s="64"/>
      <c r="N61" s="64"/>
      <c r="O61" s="64"/>
    </row>
    <row r="62" spans="1:15">
      <c r="J62" s="260"/>
      <c r="K62" s="66" t="s">
        <v>447</v>
      </c>
      <c r="L62" s="64"/>
      <c r="M62" s="64"/>
      <c r="N62" s="64"/>
      <c r="O62" s="64"/>
    </row>
    <row r="63" spans="1:15">
      <c r="J63" s="260"/>
      <c r="K63" s="66" t="s">
        <v>448</v>
      </c>
      <c r="L63" s="64"/>
      <c r="M63" s="64"/>
      <c r="N63" s="64"/>
      <c r="O63" s="64"/>
    </row>
    <row r="64" spans="1:15">
      <c r="J64" s="260"/>
      <c r="K64" s="62" t="s">
        <v>449</v>
      </c>
      <c r="L64" s="62" t="e">
        <f>AVERAGE(L52:L63)</f>
        <v>#DIV/0!</v>
      </c>
      <c r="M64" s="62">
        <f>MAX(M52:M63)</f>
        <v>0</v>
      </c>
      <c r="N64" s="62" t="e">
        <f>AVERAGE(N52:N63)</f>
        <v>#DIV/0!</v>
      </c>
      <c r="O64" s="62">
        <f>MAX(O52:O63)</f>
        <v>0</v>
      </c>
    </row>
    <row r="66" spans="10:15" ht="27.95">
      <c r="J66" s="61">
        <f>+A6</f>
        <v>2022</v>
      </c>
      <c r="K66" s="61" t="s">
        <v>430</v>
      </c>
      <c r="L66" s="67" t="s">
        <v>425</v>
      </c>
      <c r="M66" s="67" t="s">
        <v>431</v>
      </c>
      <c r="N66" s="67" t="s">
        <v>428</v>
      </c>
      <c r="O66" s="67" t="s">
        <v>432</v>
      </c>
    </row>
    <row r="67" spans="10:15">
      <c r="J67" s="260" t="s">
        <v>193</v>
      </c>
      <c r="K67" s="66" t="s">
        <v>433</v>
      </c>
      <c r="L67" s="64"/>
      <c r="M67" s="64"/>
      <c r="N67" s="64"/>
      <c r="O67" s="64"/>
    </row>
    <row r="68" spans="10:15">
      <c r="J68" s="260"/>
      <c r="K68" s="66" t="s">
        <v>434</v>
      </c>
      <c r="L68" s="64"/>
      <c r="M68" s="64"/>
      <c r="N68" s="64"/>
      <c r="O68" s="64"/>
    </row>
    <row r="69" spans="10:15">
      <c r="J69" s="260"/>
      <c r="K69" s="66" t="s">
        <v>435</v>
      </c>
      <c r="L69" s="64"/>
      <c r="M69" s="64"/>
      <c r="N69" s="64"/>
      <c r="O69" s="64"/>
    </row>
    <row r="70" spans="10:15">
      <c r="J70" s="260"/>
      <c r="K70" s="66" t="s">
        <v>437</v>
      </c>
      <c r="L70" s="64"/>
      <c r="M70" s="64"/>
      <c r="N70" s="64"/>
      <c r="O70" s="64"/>
    </row>
    <row r="71" spans="10:15">
      <c r="J71" s="260"/>
      <c r="K71" s="66" t="s">
        <v>439</v>
      </c>
      <c r="L71" s="64"/>
      <c r="M71" s="64"/>
      <c r="N71" s="64"/>
      <c r="O71" s="64"/>
    </row>
    <row r="72" spans="10:15">
      <c r="J72" s="260"/>
      <c r="K72" s="66" t="s">
        <v>440</v>
      </c>
      <c r="L72" s="64"/>
      <c r="M72" s="64"/>
      <c r="N72" s="64"/>
      <c r="O72" s="64"/>
    </row>
    <row r="73" spans="10:15">
      <c r="J73" s="260"/>
      <c r="K73" s="66" t="s">
        <v>441</v>
      </c>
      <c r="L73" s="64"/>
      <c r="M73" s="64"/>
      <c r="N73" s="64"/>
      <c r="O73" s="64"/>
    </row>
    <row r="74" spans="10:15">
      <c r="J74" s="260"/>
      <c r="K74" s="66" t="s">
        <v>443</v>
      </c>
      <c r="L74" s="64"/>
      <c r="M74" s="64"/>
      <c r="N74" s="64"/>
      <c r="O74" s="64"/>
    </row>
    <row r="75" spans="10:15">
      <c r="J75" s="260"/>
      <c r="K75" s="66" t="s">
        <v>445</v>
      </c>
      <c r="L75" s="64"/>
      <c r="M75" s="64"/>
      <c r="N75" s="64"/>
      <c r="O75" s="64"/>
    </row>
    <row r="76" spans="10:15">
      <c r="J76" s="260"/>
      <c r="K76" s="66" t="s">
        <v>446</v>
      </c>
      <c r="L76" s="64"/>
      <c r="M76" s="64"/>
      <c r="N76" s="64"/>
      <c r="O76" s="64"/>
    </row>
    <row r="77" spans="10:15">
      <c r="J77" s="260"/>
      <c r="K77" s="66" t="s">
        <v>447</v>
      </c>
      <c r="L77" s="64"/>
      <c r="M77" s="64"/>
      <c r="N77" s="64"/>
      <c r="O77" s="64"/>
    </row>
    <row r="78" spans="10:15">
      <c r="J78" s="260"/>
      <c r="K78" s="66" t="s">
        <v>448</v>
      </c>
      <c r="L78" s="64"/>
      <c r="M78" s="64"/>
      <c r="N78" s="64"/>
      <c r="O78" s="64"/>
    </row>
    <row r="79" spans="10:15">
      <c r="J79" s="260"/>
      <c r="K79" s="62" t="s">
        <v>449</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workbookViewId="0">
      <selection activeCell="E53" sqref="E53"/>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Rookery Pit Energy Recovery Facility</v>
      </c>
      <c r="F1" s="93"/>
      <c r="G1" s="93"/>
    </row>
    <row r="3" spans="1:19" ht="14.45">
      <c r="A3" s="60" t="s">
        <v>450</v>
      </c>
      <c r="D3" s="76" t="s">
        <v>417</v>
      </c>
      <c r="G3" s="80" t="s">
        <v>418</v>
      </c>
      <c r="J3" s="9" t="str">
        <f>+A3</f>
        <v>Monitoring of Sulphur dioxide emissions</v>
      </c>
      <c r="L3" s="9"/>
      <c r="N3" s="9" t="s">
        <v>419</v>
      </c>
      <c r="Q3" s="79" t="s">
        <v>3</v>
      </c>
      <c r="R3" s="74"/>
      <c r="S3" s="74"/>
    </row>
    <row r="4" spans="1:19" ht="14.1" customHeight="1">
      <c r="Q4" s="251" t="s">
        <v>420</v>
      </c>
      <c r="R4" s="251"/>
      <c r="S4" s="251"/>
    </row>
    <row r="5" spans="1:19" ht="15.95">
      <c r="A5" s="68" t="s">
        <v>421</v>
      </c>
      <c r="B5" s="262" t="s">
        <v>422</v>
      </c>
      <c r="C5" s="262"/>
      <c r="D5" s="262"/>
      <c r="E5" s="262" t="s">
        <v>423</v>
      </c>
      <c r="F5" s="262"/>
      <c r="G5" s="262"/>
      <c r="J5" s="261"/>
      <c r="K5" s="261"/>
      <c r="L5" s="261"/>
      <c r="M5" s="261"/>
      <c r="N5" s="261"/>
      <c r="O5" s="261"/>
      <c r="Q5" s="251"/>
      <c r="R5" s="251"/>
      <c r="S5" s="251"/>
    </row>
    <row r="6" spans="1:19" s="58" customFormat="1" ht="37.5" customHeight="1">
      <c r="A6" s="65">
        <f>+'Cover Page'!C39</f>
        <v>2022</v>
      </c>
      <c r="B6" s="55" t="s">
        <v>451</v>
      </c>
      <c r="C6" s="55" t="s">
        <v>425</v>
      </c>
      <c r="D6" s="55" t="s">
        <v>426</v>
      </c>
      <c r="E6" s="55" t="s">
        <v>452</v>
      </c>
      <c r="F6" s="55" t="s">
        <v>428</v>
      </c>
      <c r="G6" s="55" t="s">
        <v>429</v>
      </c>
      <c r="H6" s="59"/>
      <c r="J6" s="61">
        <f>+A6</f>
        <v>2022</v>
      </c>
      <c r="K6" s="61" t="s">
        <v>430</v>
      </c>
      <c r="L6" s="67" t="s">
        <v>425</v>
      </c>
      <c r="M6" s="67" t="s">
        <v>431</v>
      </c>
      <c r="N6" s="67" t="s">
        <v>428</v>
      </c>
      <c r="O6" s="67" t="s">
        <v>432</v>
      </c>
      <c r="Q6" s="251"/>
      <c r="R6" s="251"/>
      <c r="S6" s="251"/>
    </row>
    <row r="7" spans="1:19">
      <c r="A7" s="66" t="s">
        <v>433</v>
      </c>
      <c r="B7" s="63">
        <v>200</v>
      </c>
      <c r="C7" s="107">
        <f>AVERAGE(L7,L22,L37)</f>
        <v>5.8999999999999995</v>
      </c>
      <c r="D7" s="64">
        <f>MAX(M7,M22,M37)</f>
        <v>68.8</v>
      </c>
      <c r="E7" s="63">
        <v>50</v>
      </c>
      <c r="F7" s="107">
        <f>AVERAGE(N7,N22,N37)</f>
        <v>5.8999999999999995</v>
      </c>
      <c r="G7" s="64">
        <f>MAX(O7,O22,O37)</f>
        <v>12.5</v>
      </c>
      <c r="J7" s="260" t="s">
        <v>189</v>
      </c>
      <c r="K7" s="66" t="s">
        <v>433</v>
      </c>
      <c r="L7" s="64">
        <v>4.7</v>
      </c>
      <c r="M7" s="64">
        <v>39.799999999999997</v>
      </c>
      <c r="N7" s="64">
        <v>4.7</v>
      </c>
      <c r="O7" s="64">
        <v>8.4</v>
      </c>
      <c r="Q7" s="251"/>
      <c r="R7" s="251"/>
      <c r="S7" s="251"/>
    </row>
    <row r="8" spans="1:19">
      <c r="A8" s="66" t="s">
        <v>434</v>
      </c>
      <c r="B8" s="63">
        <v>200</v>
      </c>
      <c r="C8" s="107">
        <f t="shared" ref="C8:C18" si="0">AVERAGE(L8,L23,L38)</f>
        <v>6.6333333333333329</v>
      </c>
      <c r="D8" s="64">
        <f t="shared" ref="D8:D18" si="1">MAX(M8,M23,M38)</f>
        <v>42.2</v>
      </c>
      <c r="E8" s="63">
        <v>50</v>
      </c>
      <c r="F8" s="107">
        <f t="shared" ref="F8:F17" si="2">AVERAGE(N8,N23,N38)</f>
        <v>6.666666666666667</v>
      </c>
      <c r="G8" s="64">
        <f t="shared" ref="G8:G17" si="3">MAX(O8,O23,O38)</f>
        <v>20.8</v>
      </c>
      <c r="J8" s="260"/>
      <c r="K8" s="66" t="s">
        <v>434</v>
      </c>
      <c r="L8" s="64">
        <v>4.8</v>
      </c>
      <c r="M8" s="64">
        <v>37.6</v>
      </c>
      <c r="N8" s="64">
        <v>4.8</v>
      </c>
      <c r="O8" s="64">
        <v>10.8</v>
      </c>
      <c r="Q8" s="251"/>
      <c r="R8" s="251"/>
      <c r="S8" s="251"/>
    </row>
    <row r="9" spans="1:19">
      <c r="A9" s="66" t="s">
        <v>435</v>
      </c>
      <c r="B9" s="63">
        <v>200</v>
      </c>
      <c r="C9" s="107">
        <f t="shared" si="0"/>
        <v>5.7666666666666657</v>
      </c>
      <c r="D9" s="64">
        <f t="shared" si="1"/>
        <v>79.2</v>
      </c>
      <c r="E9" s="63">
        <v>50</v>
      </c>
      <c r="F9" s="107">
        <f t="shared" si="2"/>
        <v>5.7333333333333334</v>
      </c>
      <c r="G9" s="64">
        <f t="shared" si="3"/>
        <v>16.600000000000001</v>
      </c>
      <c r="J9" s="260"/>
      <c r="K9" s="66" t="s">
        <v>435</v>
      </c>
      <c r="L9" s="64">
        <v>4.5999999999999996</v>
      </c>
      <c r="M9" s="64">
        <v>32</v>
      </c>
      <c r="N9" s="64">
        <v>4.5</v>
      </c>
      <c r="O9" s="64">
        <v>9.3000000000000007</v>
      </c>
      <c r="Q9" s="78" t="s">
        <v>436</v>
      </c>
    </row>
    <row r="10" spans="1:19" ht="14.25" customHeight="1">
      <c r="A10" s="66" t="s">
        <v>437</v>
      </c>
      <c r="B10" s="63">
        <v>200</v>
      </c>
      <c r="C10" s="107">
        <f t="shared" si="0"/>
        <v>5.0666666666666664</v>
      </c>
      <c r="D10" s="64">
        <f t="shared" si="1"/>
        <v>50.8</v>
      </c>
      <c r="E10" s="63">
        <v>50</v>
      </c>
      <c r="F10" s="107">
        <f t="shared" si="2"/>
        <v>4.9666666666666668</v>
      </c>
      <c r="G10" s="64">
        <f t="shared" si="3"/>
        <v>15.6</v>
      </c>
      <c r="J10" s="260"/>
      <c r="K10" s="66" t="s">
        <v>437</v>
      </c>
      <c r="L10" s="64">
        <v>4</v>
      </c>
      <c r="M10" s="64">
        <v>29.3</v>
      </c>
      <c r="N10" s="64">
        <v>3.9</v>
      </c>
      <c r="O10" s="64">
        <v>4.8</v>
      </c>
      <c r="Q10" s="259" t="s">
        <v>438</v>
      </c>
      <c r="R10" s="259"/>
      <c r="S10" s="259"/>
    </row>
    <row r="11" spans="1:19">
      <c r="A11" s="66" t="s">
        <v>439</v>
      </c>
      <c r="B11" s="63">
        <v>200</v>
      </c>
      <c r="C11" s="107">
        <f t="shared" si="0"/>
        <v>4.5666666666666664</v>
      </c>
      <c r="D11" s="64">
        <f t="shared" si="1"/>
        <v>43.6</v>
      </c>
      <c r="E11" s="63">
        <v>50</v>
      </c>
      <c r="F11" s="107">
        <f t="shared" si="2"/>
        <v>4.4666666666666668</v>
      </c>
      <c r="G11" s="64">
        <f t="shared" si="3"/>
        <v>9.9</v>
      </c>
      <c r="J11" s="260"/>
      <c r="K11" s="66" t="s">
        <v>439</v>
      </c>
      <c r="L11" s="64">
        <v>3.8</v>
      </c>
      <c r="M11" s="64">
        <v>29.6</v>
      </c>
      <c r="N11" s="64">
        <v>3.7</v>
      </c>
      <c r="O11" s="64">
        <v>6.6</v>
      </c>
      <c r="Q11" s="259"/>
      <c r="R11" s="259"/>
      <c r="S11" s="259"/>
    </row>
    <row r="12" spans="1:19">
      <c r="A12" s="66" t="s">
        <v>440</v>
      </c>
      <c r="B12" s="63">
        <v>200</v>
      </c>
      <c r="C12" s="107">
        <f t="shared" si="0"/>
        <v>4.333333333333333</v>
      </c>
      <c r="D12" s="64">
        <f t="shared" si="1"/>
        <v>54.1</v>
      </c>
      <c r="E12" s="63">
        <v>50</v>
      </c>
      <c r="F12" s="107">
        <f t="shared" si="2"/>
        <v>4.2666666666666666</v>
      </c>
      <c r="G12" s="64">
        <f t="shared" si="3"/>
        <v>9.5</v>
      </c>
      <c r="J12" s="260"/>
      <c r="K12" s="66" t="s">
        <v>440</v>
      </c>
      <c r="L12" s="64">
        <v>3.6</v>
      </c>
      <c r="M12" s="64">
        <v>18.399999999999999</v>
      </c>
      <c r="N12" s="64">
        <v>3.6</v>
      </c>
      <c r="O12" s="64">
        <v>5.4</v>
      </c>
      <c r="Q12" s="259"/>
      <c r="R12" s="259"/>
      <c r="S12" s="259"/>
    </row>
    <row r="13" spans="1:19" ht="14.25" customHeight="1">
      <c r="A13" s="66" t="s">
        <v>441</v>
      </c>
      <c r="B13" s="63">
        <v>200</v>
      </c>
      <c r="C13" s="107">
        <f t="shared" si="0"/>
        <v>3.7333333333333329</v>
      </c>
      <c r="D13" s="64">
        <f t="shared" si="1"/>
        <v>68.8</v>
      </c>
      <c r="E13" s="63">
        <v>50</v>
      </c>
      <c r="F13" s="107">
        <f t="shared" si="2"/>
        <v>3.6333333333333333</v>
      </c>
      <c r="G13" s="64">
        <f t="shared" si="3"/>
        <v>8</v>
      </c>
      <c r="J13" s="260"/>
      <c r="K13" s="66" t="s">
        <v>441</v>
      </c>
      <c r="L13" s="64">
        <v>3.3</v>
      </c>
      <c r="M13" s="64">
        <v>17.600000000000001</v>
      </c>
      <c r="N13" s="64">
        <v>3.2</v>
      </c>
      <c r="O13" s="64">
        <v>4.2</v>
      </c>
      <c r="Q13" s="259" t="s">
        <v>442</v>
      </c>
      <c r="R13" s="259"/>
      <c r="S13" s="259"/>
    </row>
    <row r="14" spans="1:19">
      <c r="A14" s="66" t="s">
        <v>443</v>
      </c>
      <c r="B14" s="63">
        <v>200</v>
      </c>
      <c r="C14" s="107" t="s">
        <v>444</v>
      </c>
      <c r="D14" s="107" t="s">
        <v>444</v>
      </c>
      <c r="E14" s="63">
        <v>50</v>
      </c>
      <c r="F14" s="107" t="s">
        <v>444</v>
      </c>
      <c r="G14" s="107" t="s">
        <v>444</v>
      </c>
      <c r="J14" s="260"/>
      <c r="K14" s="66" t="s">
        <v>443</v>
      </c>
      <c r="L14" s="64" t="s">
        <v>138</v>
      </c>
      <c r="M14" s="64" t="s">
        <v>138</v>
      </c>
      <c r="N14" s="64" t="s">
        <v>138</v>
      </c>
      <c r="O14" s="64" t="s">
        <v>138</v>
      </c>
      <c r="Q14" s="259"/>
      <c r="R14" s="259"/>
      <c r="S14" s="259"/>
    </row>
    <row r="15" spans="1:19">
      <c r="A15" s="66" t="s">
        <v>445</v>
      </c>
      <c r="B15" s="63">
        <v>200</v>
      </c>
      <c r="C15" s="107">
        <f t="shared" si="0"/>
        <v>5.6333333333333337</v>
      </c>
      <c r="D15" s="64">
        <f t="shared" si="1"/>
        <v>38.299999999999997</v>
      </c>
      <c r="E15" s="63">
        <v>50</v>
      </c>
      <c r="F15" s="107">
        <f t="shared" si="2"/>
        <v>5.6000000000000005</v>
      </c>
      <c r="G15" s="64">
        <f t="shared" si="3"/>
        <v>16</v>
      </c>
      <c r="J15" s="260"/>
      <c r="K15" s="66" t="s">
        <v>445</v>
      </c>
      <c r="L15" s="64">
        <v>3.7</v>
      </c>
      <c r="M15" s="64">
        <v>23.2</v>
      </c>
      <c r="N15" s="64">
        <v>3.6</v>
      </c>
      <c r="O15" s="64">
        <v>5.2</v>
      </c>
      <c r="Q15" s="259"/>
      <c r="R15" s="259"/>
      <c r="S15" s="259"/>
    </row>
    <row r="16" spans="1:19">
      <c r="A16" s="66" t="s">
        <v>446</v>
      </c>
      <c r="B16" s="63">
        <v>200</v>
      </c>
      <c r="C16" s="107">
        <f t="shared" si="0"/>
        <v>5.0666666666666664</v>
      </c>
      <c r="D16" s="64">
        <f t="shared" si="1"/>
        <v>49.1</v>
      </c>
      <c r="E16" s="63">
        <v>50</v>
      </c>
      <c r="F16" s="107">
        <f t="shared" si="2"/>
        <v>5.0333333333333332</v>
      </c>
      <c r="G16" s="64">
        <f t="shared" si="3"/>
        <v>11.2</v>
      </c>
      <c r="J16" s="260"/>
      <c r="K16" s="66" t="s">
        <v>446</v>
      </c>
      <c r="L16" s="64">
        <v>3.9</v>
      </c>
      <c r="M16" s="64">
        <v>43.5</v>
      </c>
      <c r="N16" s="64">
        <v>3.9</v>
      </c>
      <c r="O16" s="64">
        <v>8.9</v>
      </c>
      <c r="Q16" s="259"/>
      <c r="R16" s="259"/>
      <c r="S16" s="259"/>
    </row>
    <row r="17" spans="1:15">
      <c r="A17" s="66" t="s">
        <v>447</v>
      </c>
      <c r="B17" s="63">
        <v>200</v>
      </c>
      <c r="C17" s="107">
        <f t="shared" si="0"/>
        <v>5.0000000000000009</v>
      </c>
      <c r="D17" s="64">
        <f t="shared" si="1"/>
        <v>52.2</v>
      </c>
      <c r="E17" s="63">
        <v>50</v>
      </c>
      <c r="F17" s="107">
        <f t="shared" si="2"/>
        <v>5.0333333333333332</v>
      </c>
      <c r="G17" s="64">
        <f t="shared" si="3"/>
        <v>10.1</v>
      </c>
      <c r="J17" s="260"/>
      <c r="K17" s="66" t="s">
        <v>447</v>
      </c>
      <c r="L17" s="64">
        <v>4.4000000000000004</v>
      </c>
      <c r="M17" s="64">
        <v>52.2</v>
      </c>
      <c r="N17" s="64">
        <v>4.4000000000000004</v>
      </c>
      <c r="O17" s="64">
        <v>10.1</v>
      </c>
    </row>
    <row r="18" spans="1:15">
      <c r="A18" s="66" t="s">
        <v>448</v>
      </c>
      <c r="B18" s="63">
        <v>200</v>
      </c>
      <c r="C18" s="107">
        <f t="shared" si="0"/>
        <v>4.833333333333333</v>
      </c>
      <c r="D18" s="64">
        <f t="shared" si="1"/>
        <v>121</v>
      </c>
      <c r="E18" s="63">
        <v>50</v>
      </c>
      <c r="F18" s="107"/>
      <c r="G18" s="64"/>
      <c r="J18" s="260"/>
      <c r="K18" s="66" t="s">
        <v>448</v>
      </c>
      <c r="L18" s="64">
        <v>4.5999999999999996</v>
      </c>
      <c r="M18" s="64">
        <v>121</v>
      </c>
      <c r="N18" s="64">
        <v>4.5999999999999996</v>
      </c>
      <c r="O18" s="64">
        <v>10.3</v>
      </c>
    </row>
    <row r="19" spans="1:15">
      <c r="J19" s="260"/>
      <c r="K19" s="62" t="s">
        <v>449</v>
      </c>
      <c r="L19" s="62">
        <f>AVERAGE(L7:L18)</f>
        <v>4.1272727272727279</v>
      </c>
      <c r="M19" s="62">
        <f>MAX(M7:M18)</f>
        <v>121</v>
      </c>
      <c r="N19" s="62">
        <f>AVERAGE(N7:N18)</f>
        <v>4.081818181818182</v>
      </c>
      <c r="O19" s="62">
        <f>MAX(O7:O18)</f>
        <v>10.8</v>
      </c>
    </row>
    <row r="21" spans="1:15" ht="27.95">
      <c r="J21" s="61">
        <f>+A6</f>
        <v>2022</v>
      </c>
      <c r="K21" s="61" t="s">
        <v>430</v>
      </c>
      <c r="L21" s="67" t="s">
        <v>425</v>
      </c>
      <c r="M21" s="67" t="s">
        <v>431</v>
      </c>
      <c r="N21" s="67" t="s">
        <v>428</v>
      </c>
      <c r="O21" s="67" t="s">
        <v>432</v>
      </c>
    </row>
    <row r="22" spans="1:15">
      <c r="J22" s="260" t="s">
        <v>190</v>
      </c>
      <c r="K22" s="66" t="s">
        <v>433</v>
      </c>
      <c r="L22" s="64">
        <v>7.5</v>
      </c>
      <c r="M22" s="64">
        <v>33.299999999999997</v>
      </c>
      <c r="N22" s="64">
        <v>7.5</v>
      </c>
      <c r="O22" s="64">
        <v>12.5</v>
      </c>
    </row>
    <row r="23" spans="1:15">
      <c r="J23" s="260"/>
      <c r="K23" s="66" t="s">
        <v>434</v>
      </c>
      <c r="L23" s="64">
        <v>8.5</v>
      </c>
      <c r="M23" s="64">
        <v>40.200000000000003</v>
      </c>
      <c r="N23" s="64">
        <v>8.4</v>
      </c>
      <c r="O23" s="64">
        <v>20.8</v>
      </c>
    </row>
    <row r="24" spans="1:15">
      <c r="J24" s="260"/>
      <c r="K24" s="66" t="s">
        <v>435</v>
      </c>
      <c r="L24" s="64">
        <v>7.6</v>
      </c>
      <c r="M24" s="64">
        <v>79.2</v>
      </c>
      <c r="N24" s="64">
        <v>7.6</v>
      </c>
      <c r="O24" s="64">
        <v>16.600000000000001</v>
      </c>
    </row>
    <row r="25" spans="1:15">
      <c r="J25" s="260"/>
      <c r="K25" s="66" t="s">
        <v>437</v>
      </c>
      <c r="L25" s="64">
        <v>5.9</v>
      </c>
      <c r="M25" s="64">
        <v>22.8</v>
      </c>
      <c r="N25" s="64">
        <v>5.9</v>
      </c>
      <c r="O25" s="64">
        <v>8.6</v>
      </c>
    </row>
    <row r="26" spans="1:15">
      <c r="J26" s="260"/>
      <c r="K26" s="66" t="s">
        <v>439</v>
      </c>
      <c r="L26" s="64">
        <v>5.8</v>
      </c>
      <c r="M26" s="64">
        <v>43.6</v>
      </c>
      <c r="N26" s="64">
        <v>5.7</v>
      </c>
      <c r="O26" s="64">
        <v>9.9</v>
      </c>
    </row>
    <row r="27" spans="1:15">
      <c r="J27" s="260"/>
      <c r="K27" s="66" t="s">
        <v>440</v>
      </c>
      <c r="L27" s="64">
        <v>6.2</v>
      </c>
      <c r="M27" s="64">
        <v>54.1</v>
      </c>
      <c r="N27" s="64">
        <v>6</v>
      </c>
      <c r="O27" s="64">
        <v>9.5</v>
      </c>
    </row>
    <row r="28" spans="1:15">
      <c r="J28" s="260"/>
      <c r="K28" s="66" t="s">
        <v>441</v>
      </c>
      <c r="L28" s="64">
        <v>4.9000000000000004</v>
      </c>
      <c r="M28" s="64">
        <v>68.8</v>
      </c>
      <c r="N28" s="64">
        <v>4.8</v>
      </c>
      <c r="O28" s="64">
        <v>8</v>
      </c>
    </row>
    <row r="29" spans="1:15">
      <c r="J29" s="260"/>
      <c r="K29" s="66" t="s">
        <v>443</v>
      </c>
      <c r="L29" s="64" t="s">
        <v>138</v>
      </c>
      <c r="M29" s="64" t="s">
        <v>138</v>
      </c>
      <c r="N29" s="64" t="s">
        <v>138</v>
      </c>
      <c r="O29" s="64" t="s">
        <v>138</v>
      </c>
    </row>
    <row r="30" spans="1:15">
      <c r="J30" s="260"/>
      <c r="K30" s="66" t="s">
        <v>445</v>
      </c>
      <c r="L30" s="64">
        <v>8.4</v>
      </c>
      <c r="M30" s="64">
        <v>38.299999999999997</v>
      </c>
      <c r="N30" s="64">
        <v>8.4</v>
      </c>
      <c r="O30" s="64">
        <v>16</v>
      </c>
    </row>
    <row r="31" spans="1:15">
      <c r="J31" s="260"/>
      <c r="K31" s="66" t="s">
        <v>446</v>
      </c>
      <c r="L31" s="64">
        <v>7.1</v>
      </c>
      <c r="M31" s="64">
        <v>46.6</v>
      </c>
      <c r="N31" s="64">
        <v>7.1</v>
      </c>
      <c r="O31" s="64">
        <v>10.4</v>
      </c>
    </row>
    <row r="32" spans="1:15">
      <c r="J32" s="260"/>
      <c r="K32" s="66" t="s">
        <v>447</v>
      </c>
      <c r="L32" s="64">
        <v>6.2</v>
      </c>
      <c r="M32" s="64">
        <v>48.1</v>
      </c>
      <c r="N32" s="64">
        <v>6.3</v>
      </c>
      <c r="O32" s="64">
        <v>8.4</v>
      </c>
    </row>
    <row r="33" spans="1:15">
      <c r="J33" s="260"/>
      <c r="K33" s="66" t="s">
        <v>448</v>
      </c>
      <c r="L33" s="64">
        <v>6</v>
      </c>
      <c r="M33" s="64">
        <v>59.5</v>
      </c>
      <c r="N33" s="64">
        <v>6</v>
      </c>
      <c r="O33" s="64">
        <v>9.8000000000000007</v>
      </c>
    </row>
    <row r="34" spans="1:15">
      <c r="J34" s="260"/>
      <c r="K34" s="62" t="s">
        <v>449</v>
      </c>
      <c r="L34" s="62">
        <f>AVERAGE(L22:L33)</f>
        <v>6.7363636363636354</v>
      </c>
      <c r="M34" s="62">
        <f>MAX(M22:M33)</f>
        <v>79.2</v>
      </c>
      <c r="N34" s="62">
        <f>AVERAGE(N22:N33)</f>
        <v>6.7</v>
      </c>
      <c r="O34" s="62">
        <f>MAX(O22:O33)</f>
        <v>20.8</v>
      </c>
    </row>
    <row r="36" spans="1:15" ht="27.95">
      <c r="J36" s="61">
        <f>+A6</f>
        <v>2022</v>
      </c>
      <c r="K36" s="61" t="s">
        <v>430</v>
      </c>
      <c r="L36" s="67" t="s">
        <v>425</v>
      </c>
      <c r="M36" s="67" t="s">
        <v>431</v>
      </c>
      <c r="N36" s="67" t="s">
        <v>428</v>
      </c>
      <c r="O36" s="67" t="s">
        <v>432</v>
      </c>
    </row>
    <row r="37" spans="1:15">
      <c r="J37" s="260" t="s">
        <v>191</v>
      </c>
      <c r="K37" s="66" t="s">
        <v>433</v>
      </c>
      <c r="L37" s="64">
        <v>5.5</v>
      </c>
      <c r="M37" s="64">
        <v>68.8</v>
      </c>
      <c r="N37" s="64">
        <v>5.5</v>
      </c>
      <c r="O37" s="64">
        <v>11.4</v>
      </c>
    </row>
    <row r="38" spans="1:15">
      <c r="J38" s="260"/>
      <c r="K38" s="66" t="s">
        <v>434</v>
      </c>
      <c r="L38" s="64">
        <v>6.6</v>
      </c>
      <c r="M38" s="64">
        <v>42.2</v>
      </c>
      <c r="N38" s="64">
        <v>6.8</v>
      </c>
      <c r="O38" s="64">
        <v>16.7</v>
      </c>
    </row>
    <row r="39" spans="1:15">
      <c r="J39" s="260"/>
      <c r="K39" s="66" t="s">
        <v>435</v>
      </c>
      <c r="L39" s="64">
        <v>5.0999999999999996</v>
      </c>
      <c r="M39" s="64">
        <v>40.5</v>
      </c>
      <c r="N39" s="64">
        <v>5.0999999999999996</v>
      </c>
      <c r="O39" s="64">
        <v>8</v>
      </c>
    </row>
    <row r="40" spans="1:15">
      <c r="J40" s="260"/>
      <c r="K40" s="66" t="s">
        <v>437</v>
      </c>
      <c r="L40" s="64">
        <v>5.3</v>
      </c>
      <c r="M40" s="64">
        <v>50.8</v>
      </c>
      <c r="N40" s="64">
        <v>5.0999999999999996</v>
      </c>
      <c r="O40" s="64">
        <v>15.6</v>
      </c>
    </row>
    <row r="41" spans="1:15">
      <c r="J41" s="260"/>
      <c r="K41" s="66" t="s">
        <v>439</v>
      </c>
      <c r="L41" s="64">
        <v>4.0999999999999996</v>
      </c>
      <c r="M41" s="64">
        <v>36.700000000000003</v>
      </c>
      <c r="N41" s="64">
        <v>4</v>
      </c>
      <c r="O41" s="64">
        <v>7.1</v>
      </c>
    </row>
    <row r="42" spans="1:15">
      <c r="J42" s="260"/>
      <c r="K42" s="66" t="s">
        <v>440</v>
      </c>
      <c r="L42" s="64">
        <v>3.2</v>
      </c>
      <c r="M42" s="64">
        <v>16.399999999999999</v>
      </c>
      <c r="N42" s="64">
        <v>3.2</v>
      </c>
      <c r="O42" s="64">
        <v>4.5999999999999996</v>
      </c>
    </row>
    <row r="43" spans="1:15">
      <c r="J43" s="260"/>
      <c r="K43" s="66" t="s">
        <v>441</v>
      </c>
      <c r="L43" s="64">
        <v>3</v>
      </c>
      <c r="M43" s="64">
        <v>18.5</v>
      </c>
      <c r="N43" s="64">
        <v>2.9</v>
      </c>
      <c r="O43" s="64">
        <v>3.8</v>
      </c>
    </row>
    <row r="44" spans="1:15">
      <c r="J44" s="260"/>
      <c r="K44" s="66" t="s">
        <v>443</v>
      </c>
      <c r="L44" s="64" t="s">
        <v>138</v>
      </c>
      <c r="M44" s="64" t="s">
        <v>138</v>
      </c>
      <c r="N44" s="64" t="s">
        <v>138</v>
      </c>
      <c r="O44" s="64" t="s">
        <v>138</v>
      </c>
    </row>
    <row r="45" spans="1:15">
      <c r="J45" s="260"/>
      <c r="K45" s="66" t="s">
        <v>445</v>
      </c>
      <c r="L45" s="64">
        <v>4.8</v>
      </c>
      <c r="M45" s="64">
        <v>33</v>
      </c>
      <c r="N45" s="64">
        <v>4.8</v>
      </c>
      <c r="O45" s="64">
        <v>9.1</v>
      </c>
    </row>
    <row r="46" spans="1:15">
      <c r="J46" s="260"/>
      <c r="K46" s="66" t="s">
        <v>446</v>
      </c>
      <c r="L46" s="64">
        <v>4.2</v>
      </c>
      <c r="M46" s="64">
        <v>49.1</v>
      </c>
      <c r="N46" s="64">
        <v>4.0999999999999996</v>
      </c>
      <c r="O46" s="64">
        <v>11.2</v>
      </c>
    </row>
    <row r="47" spans="1:15">
      <c r="J47" s="260"/>
      <c r="K47" s="66" t="s">
        <v>447</v>
      </c>
      <c r="L47" s="64">
        <v>4.4000000000000004</v>
      </c>
      <c r="M47" s="64">
        <v>40.6</v>
      </c>
      <c r="N47" s="64">
        <v>4.4000000000000004</v>
      </c>
      <c r="O47" s="64">
        <v>8.9</v>
      </c>
    </row>
    <row r="48" spans="1:15">
      <c r="A48" s="272" t="s">
        <v>342</v>
      </c>
      <c r="B48" s="273"/>
      <c r="C48" s="273"/>
      <c r="D48" s="273"/>
      <c r="E48" s="273"/>
      <c r="F48" s="273"/>
      <c r="G48" s="274"/>
      <c r="J48" s="260"/>
      <c r="K48" s="66" t="s">
        <v>448</v>
      </c>
      <c r="L48" s="64">
        <v>3.9</v>
      </c>
      <c r="M48" s="64">
        <v>28.6</v>
      </c>
      <c r="N48" s="64">
        <v>3.8</v>
      </c>
      <c r="O48" s="64">
        <v>7.9</v>
      </c>
    </row>
    <row r="49" spans="1:15">
      <c r="A49" s="263"/>
      <c r="B49" s="264"/>
      <c r="C49" s="264"/>
      <c r="D49" s="264"/>
      <c r="E49" s="264"/>
      <c r="F49" s="264"/>
      <c r="G49" s="265"/>
      <c r="J49" s="260"/>
      <c r="K49" s="62" t="s">
        <v>449</v>
      </c>
      <c r="L49" s="62">
        <f>AVERAGE(L37:L48)</f>
        <v>4.5545454545454538</v>
      </c>
      <c r="M49" s="62">
        <f>MAX(M37:M48)</f>
        <v>68.8</v>
      </c>
      <c r="N49" s="62">
        <f>AVERAGE(N37:N48)</f>
        <v>4.5181818181818176</v>
      </c>
      <c r="O49" s="62">
        <f>MAX(O37:O48)</f>
        <v>16.7</v>
      </c>
    </row>
    <row r="50" spans="1:15">
      <c r="A50" s="266"/>
      <c r="B50" s="267"/>
      <c r="C50" s="267"/>
      <c r="D50" s="267"/>
      <c r="E50" s="267"/>
      <c r="F50" s="267"/>
      <c r="G50" s="268"/>
    </row>
    <row r="51" spans="1:15" ht="27.95">
      <c r="A51" s="266"/>
      <c r="B51" s="267"/>
      <c r="C51" s="267"/>
      <c r="D51" s="267"/>
      <c r="E51" s="267"/>
      <c r="F51" s="267"/>
      <c r="G51" s="268"/>
      <c r="J51" s="61">
        <f>+A6</f>
        <v>2022</v>
      </c>
      <c r="K51" s="61" t="s">
        <v>430</v>
      </c>
      <c r="L51" s="67" t="s">
        <v>425</v>
      </c>
      <c r="M51" s="67" t="s">
        <v>431</v>
      </c>
      <c r="N51" s="67" t="s">
        <v>428</v>
      </c>
      <c r="O51" s="67" t="s">
        <v>432</v>
      </c>
    </row>
    <row r="52" spans="1:15">
      <c r="A52" s="269"/>
      <c r="B52" s="270"/>
      <c r="C52" s="270"/>
      <c r="D52" s="270"/>
      <c r="E52" s="270"/>
      <c r="F52" s="270"/>
      <c r="G52" s="271"/>
      <c r="J52" s="260" t="s">
        <v>192</v>
      </c>
      <c r="K52" s="66" t="s">
        <v>433</v>
      </c>
      <c r="L52" s="64"/>
      <c r="M52" s="64"/>
      <c r="N52" s="64"/>
      <c r="O52" s="64"/>
    </row>
    <row r="53" spans="1:15">
      <c r="J53" s="260"/>
      <c r="K53" s="66" t="s">
        <v>434</v>
      </c>
      <c r="L53" s="64"/>
      <c r="M53" s="64"/>
      <c r="N53" s="64"/>
      <c r="O53" s="64"/>
    </row>
    <row r="54" spans="1:15">
      <c r="J54" s="260"/>
      <c r="K54" s="66" t="s">
        <v>435</v>
      </c>
      <c r="L54" s="64"/>
      <c r="M54" s="64"/>
      <c r="N54" s="64"/>
      <c r="O54" s="64"/>
    </row>
    <row r="55" spans="1:15">
      <c r="J55" s="260"/>
      <c r="K55" s="66" t="s">
        <v>437</v>
      </c>
      <c r="L55" s="64"/>
      <c r="M55" s="64"/>
      <c r="N55" s="64"/>
      <c r="O55" s="64"/>
    </row>
    <row r="56" spans="1:15">
      <c r="J56" s="260"/>
      <c r="K56" s="66" t="s">
        <v>439</v>
      </c>
      <c r="L56" s="64"/>
      <c r="M56" s="64"/>
      <c r="N56" s="64"/>
      <c r="O56" s="64"/>
    </row>
    <row r="57" spans="1:15">
      <c r="J57" s="260"/>
      <c r="K57" s="66" t="s">
        <v>440</v>
      </c>
      <c r="L57" s="64"/>
      <c r="M57" s="64"/>
      <c r="N57" s="64"/>
      <c r="O57" s="64"/>
    </row>
    <row r="58" spans="1:15">
      <c r="J58" s="260"/>
      <c r="K58" s="66" t="s">
        <v>441</v>
      </c>
      <c r="L58" s="64"/>
      <c r="M58" s="64"/>
      <c r="N58" s="64"/>
      <c r="O58" s="64"/>
    </row>
    <row r="59" spans="1:15">
      <c r="J59" s="260"/>
      <c r="K59" s="66" t="s">
        <v>443</v>
      </c>
      <c r="L59" s="64"/>
      <c r="M59" s="64"/>
      <c r="N59" s="64"/>
      <c r="O59" s="64"/>
    </row>
    <row r="60" spans="1:15">
      <c r="J60" s="260"/>
      <c r="K60" s="66" t="s">
        <v>445</v>
      </c>
      <c r="L60" s="64"/>
      <c r="M60" s="64"/>
      <c r="N60" s="64"/>
      <c r="O60" s="64"/>
    </row>
    <row r="61" spans="1:15">
      <c r="J61" s="260"/>
      <c r="K61" s="66" t="s">
        <v>446</v>
      </c>
      <c r="L61" s="64"/>
      <c r="M61" s="64"/>
      <c r="N61" s="64"/>
      <c r="O61" s="64"/>
    </row>
    <row r="62" spans="1:15">
      <c r="J62" s="260"/>
      <c r="K62" s="66" t="s">
        <v>447</v>
      </c>
      <c r="L62" s="64"/>
      <c r="M62" s="64"/>
      <c r="N62" s="64"/>
      <c r="O62" s="64"/>
    </row>
    <row r="63" spans="1:15">
      <c r="J63" s="260"/>
      <c r="K63" s="66" t="s">
        <v>448</v>
      </c>
      <c r="L63" s="64"/>
      <c r="M63" s="64"/>
      <c r="N63" s="64"/>
      <c r="O63" s="64"/>
    </row>
    <row r="64" spans="1:15">
      <c r="J64" s="260"/>
      <c r="K64" s="62" t="s">
        <v>449</v>
      </c>
      <c r="L64" s="62" t="e">
        <f>AVERAGE(L52:L63)</f>
        <v>#DIV/0!</v>
      </c>
      <c r="M64" s="62">
        <f>MAX(M52:M63)</f>
        <v>0</v>
      </c>
      <c r="N64" s="62" t="e">
        <f>AVERAGE(N52:N63)</f>
        <v>#DIV/0!</v>
      </c>
      <c r="O64" s="62">
        <f>MAX(O52:O63)</f>
        <v>0</v>
      </c>
    </row>
    <row r="66" spans="10:15" ht="27.95">
      <c r="J66" s="61">
        <f>+A6</f>
        <v>2022</v>
      </c>
      <c r="K66" s="61" t="s">
        <v>430</v>
      </c>
      <c r="L66" s="67" t="s">
        <v>425</v>
      </c>
      <c r="M66" s="67" t="s">
        <v>431</v>
      </c>
      <c r="N66" s="67" t="s">
        <v>428</v>
      </c>
      <c r="O66" s="67" t="s">
        <v>432</v>
      </c>
    </row>
    <row r="67" spans="10:15">
      <c r="J67" s="260" t="s">
        <v>193</v>
      </c>
      <c r="K67" s="66" t="s">
        <v>433</v>
      </c>
      <c r="L67" s="64"/>
      <c r="M67" s="64"/>
      <c r="N67" s="64"/>
      <c r="O67" s="64"/>
    </row>
    <row r="68" spans="10:15">
      <c r="J68" s="260"/>
      <c r="K68" s="66" t="s">
        <v>434</v>
      </c>
      <c r="L68" s="64"/>
      <c r="M68" s="64"/>
      <c r="N68" s="64"/>
      <c r="O68" s="64"/>
    </row>
    <row r="69" spans="10:15">
      <c r="J69" s="260"/>
      <c r="K69" s="66" t="s">
        <v>435</v>
      </c>
      <c r="L69" s="64"/>
      <c r="M69" s="64"/>
      <c r="N69" s="64"/>
      <c r="O69" s="64"/>
    </row>
    <row r="70" spans="10:15">
      <c r="J70" s="260"/>
      <c r="K70" s="66" t="s">
        <v>437</v>
      </c>
      <c r="L70" s="64"/>
      <c r="M70" s="64"/>
      <c r="N70" s="64"/>
      <c r="O70" s="64"/>
    </row>
    <row r="71" spans="10:15">
      <c r="J71" s="260"/>
      <c r="K71" s="66" t="s">
        <v>439</v>
      </c>
      <c r="L71" s="64"/>
      <c r="M71" s="64"/>
      <c r="N71" s="64"/>
      <c r="O71" s="64"/>
    </row>
    <row r="72" spans="10:15">
      <c r="J72" s="260"/>
      <c r="K72" s="66" t="s">
        <v>440</v>
      </c>
      <c r="L72" s="64"/>
      <c r="M72" s="64"/>
      <c r="N72" s="64"/>
      <c r="O72" s="64"/>
    </row>
    <row r="73" spans="10:15">
      <c r="J73" s="260"/>
      <c r="K73" s="66" t="s">
        <v>441</v>
      </c>
      <c r="L73" s="64"/>
      <c r="M73" s="64"/>
      <c r="N73" s="64"/>
      <c r="O73" s="64"/>
    </row>
    <row r="74" spans="10:15">
      <c r="J74" s="260"/>
      <c r="K74" s="66" t="s">
        <v>443</v>
      </c>
      <c r="L74" s="64"/>
      <c r="M74" s="64"/>
      <c r="N74" s="64"/>
      <c r="O74" s="64"/>
    </row>
    <row r="75" spans="10:15">
      <c r="J75" s="260"/>
      <c r="K75" s="66" t="s">
        <v>445</v>
      </c>
      <c r="L75" s="64"/>
      <c r="M75" s="64"/>
      <c r="N75" s="64"/>
      <c r="O75" s="64"/>
    </row>
    <row r="76" spans="10:15">
      <c r="J76" s="260"/>
      <c r="K76" s="66" t="s">
        <v>446</v>
      </c>
      <c r="L76" s="64"/>
      <c r="M76" s="64"/>
      <c r="N76" s="64"/>
      <c r="O76" s="64"/>
    </row>
    <row r="77" spans="10:15">
      <c r="J77" s="260"/>
      <c r="K77" s="66" t="s">
        <v>447</v>
      </c>
      <c r="L77" s="64"/>
      <c r="M77" s="64"/>
      <c r="N77" s="64"/>
      <c r="O77" s="64"/>
    </row>
    <row r="78" spans="10:15">
      <c r="J78" s="260"/>
      <c r="K78" s="66" t="s">
        <v>448</v>
      </c>
      <c r="L78" s="64"/>
      <c r="M78" s="64"/>
      <c r="N78" s="64"/>
      <c r="O78" s="64"/>
    </row>
    <row r="79" spans="10:15">
      <c r="J79" s="26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E53" sqref="E53"/>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Rookery Pit Energy Recovery Facility</v>
      </c>
      <c r="F1" s="93"/>
    </row>
    <row r="3" spans="1:19" ht="14.45">
      <c r="A3" s="60" t="s">
        <v>453</v>
      </c>
      <c r="D3" s="76" t="s">
        <v>417</v>
      </c>
      <c r="G3" s="80" t="s">
        <v>418</v>
      </c>
      <c r="J3" s="9" t="str">
        <f>+A3</f>
        <v>Monitoring of Oxides of Nitrogen emissions</v>
      </c>
      <c r="L3" s="9"/>
      <c r="N3" s="9" t="s">
        <v>419</v>
      </c>
      <c r="Q3" s="79" t="s">
        <v>3</v>
      </c>
      <c r="R3" s="74"/>
      <c r="S3" s="74"/>
    </row>
    <row r="4" spans="1:19" ht="14.1" customHeight="1">
      <c r="Q4" s="251" t="s">
        <v>420</v>
      </c>
      <c r="R4" s="251"/>
      <c r="S4" s="251"/>
    </row>
    <row r="5" spans="1:19" ht="15.95">
      <c r="A5" s="68" t="s">
        <v>421</v>
      </c>
      <c r="B5" s="262" t="s">
        <v>422</v>
      </c>
      <c r="C5" s="262"/>
      <c r="D5" s="262"/>
      <c r="E5" s="262" t="s">
        <v>423</v>
      </c>
      <c r="F5" s="262"/>
      <c r="G5" s="262"/>
      <c r="J5" s="261"/>
      <c r="K5" s="261"/>
      <c r="L5" s="261"/>
      <c r="M5" s="261"/>
      <c r="N5" s="261"/>
      <c r="O5" s="261"/>
      <c r="Q5" s="251"/>
      <c r="R5" s="251"/>
      <c r="S5" s="251"/>
    </row>
    <row r="6" spans="1:19" s="58" customFormat="1" ht="37.5" customHeight="1">
      <c r="A6" s="65">
        <f>+'Cover Page'!C39</f>
        <v>2022</v>
      </c>
      <c r="B6" s="55" t="s">
        <v>454</v>
      </c>
      <c r="C6" s="55" t="s">
        <v>425</v>
      </c>
      <c r="D6" s="55" t="s">
        <v>426</v>
      </c>
      <c r="E6" s="55" t="s">
        <v>455</v>
      </c>
      <c r="F6" s="55" t="s">
        <v>428</v>
      </c>
      <c r="G6" s="55" t="s">
        <v>429</v>
      </c>
      <c r="H6" s="59"/>
      <c r="J6" s="61">
        <f>+A6</f>
        <v>2022</v>
      </c>
      <c r="K6" s="61" t="s">
        <v>430</v>
      </c>
      <c r="L6" s="67" t="s">
        <v>425</v>
      </c>
      <c r="M6" s="67" t="s">
        <v>431</v>
      </c>
      <c r="N6" s="67" t="s">
        <v>428</v>
      </c>
      <c r="O6" s="67" t="s">
        <v>432</v>
      </c>
      <c r="Q6" s="251"/>
      <c r="R6" s="251"/>
      <c r="S6" s="251"/>
    </row>
    <row r="7" spans="1:19">
      <c r="A7" s="66" t="s">
        <v>433</v>
      </c>
      <c r="B7" s="63">
        <v>400</v>
      </c>
      <c r="C7" s="107">
        <f>AVERAGE(L7,L22,L37)</f>
        <v>159.13333333333333</v>
      </c>
      <c r="D7" s="64">
        <f>MAX(M7,M22,M37)</f>
        <v>228</v>
      </c>
      <c r="E7" s="63">
        <v>200</v>
      </c>
      <c r="F7" s="107">
        <f>AVERAGE(N7,N22,N37)</f>
        <v>159.1</v>
      </c>
      <c r="G7" s="64">
        <f>MAX(O7,O22,O37)</f>
        <v>162.5</v>
      </c>
      <c r="J7" s="260" t="s">
        <v>189</v>
      </c>
      <c r="K7" s="66" t="s">
        <v>433</v>
      </c>
      <c r="L7" s="64">
        <v>159</v>
      </c>
      <c r="M7" s="64">
        <v>186.7</v>
      </c>
      <c r="N7" s="64">
        <v>159</v>
      </c>
      <c r="O7" s="64">
        <v>160</v>
      </c>
      <c r="Q7" s="251"/>
      <c r="R7" s="251"/>
      <c r="S7" s="251"/>
    </row>
    <row r="8" spans="1:19">
      <c r="A8" s="66" t="s">
        <v>434</v>
      </c>
      <c r="B8" s="63">
        <v>400</v>
      </c>
      <c r="C8" s="107">
        <f t="shared" ref="C8:C17" si="0">AVERAGE(L8,L23,L38)</f>
        <v>158.63333333333333</v>
      </c>
      <c r="D8" s="64">
        <f t="shared" ref="D8:D17" si="1">MAX(M8,M23,M38)</f>
        <v>231.3</v>
      </c>
      <c r="E8" s="63">
        <v>200</v>
      </c>
      <c r="F8" s="107">
        <f t="shared" ref="F8:F17" si="2">AVERAGE(N8,N23,N38)</f>
        <v>158.53333333333333</v>
      </c>
      <c r="G8" s="64">
        <f t="shared" ref="G8:G17" si="3">MAX(O8,O23,O38)</f>
        <v>162.69999999999999</v>
      </c>
      <c r="J8" s="260"/>
      <c r="K8" s="66" t="s">
        <v>434</v>
      </c>
      <c r="L8" s="64">
        <v>159.19999999999999</v>
      </c>
      <c r="M8" s="64">
        <v>231.3</v>
      </c>
      <c r="N8" s="64">
        <v>159.1</v>
      </c>
      <c r="O8" s="64">
        <v>160.19999999999999</v>
      </c>
      <c r="Q8" s="251"/>
      <c r="R8" s="251"/>
      <c r="S8" s="251"/>
    </row>
    <row r="9" spans="1:19">
      <c r="A9" s="66" t="s">
        <v>435</v>
      </c>
      <c r="B9" s="63">
        <v>400</v>
      </c>
      <c r="C9" s="107">
        <f t="shared" si="0"/>
        <v>159.5</v>
      </c>
      <c r="D9" s="64">
        <f t="shared" si="1"/>
        <v>236.1</v>
      </c>
      <c r="E9" s="63">
        <v>200</v>
      </c>
      <c r="F9" s="107">
        <f t="shared" si="2"/>
        <v>159.43333333333334</v>
      </c>
      <c r="G9" s="64">
        <f t="shared" si="3"/>
        <v>161.80000000000001</v>
      </c>
      <c r="J9" s="260"/>
      <c r="K9" s="66" t="s">
        <v>435</v>
      </c>
      <c r="L9" s="64">
        <v>159.1</v>
      </c>
      <c r="M9" s="64">
        <v>236.1</v>
      </c>
      <c r="N9" s="64">
        <v>159.1</v>
      </c>
      <c r="O9" s="64">
        <v>160.5</v>
      </c>
      <c r="Q9" s="78" t="s">
        <v>436</v>
      </c>
    </row>
    <row r="10" spans="1:19" ht="14.25" customHeight="1">
      <c r="A10" s="66" t="s">
        <v>437</v>
      </c>
      <c r="B10" s="63">
        <v>400</v>
      </c>
      <c r="C10" s="107">
        <f t="shared" si="0"/>
        <v>159.83333333333334</v>
      </c>
      <c r="D10" s="64">
        <f t="shared" si="1"/>
        <v>215.5</v>
      </c>
      <c r="E10" s="63">
        <v>200</v>
      </c>
      <c r="F10" s="107">
        <f t="shared" si="2"/>
        <v>159.76666666666665</v>
      </c>
      <c r="G10" s="64">
        <f t="shared" si="3"/>
        <v>163.1</v>
      </c>
      <c r="J10" s="260"/>
      <c r="K10" s="66" t="s">
        <v>437</v>
      </c>
      <c r="L10" s="64">
        <v>159.19999999999999</v>
      </c>
      <c r="M10" s="64">
        <v>185.8</v>
      </c>
      <c r="N10" s="64">
        <v>159.19999999999999</v>
      </c>
      <c r="O10" s="64">
        <v>160.80000000000001</v>
      </c>
      <c r="Q10" s="259" t="s">
        <v>438</v>
      </c>
      <c r="R10" s="259"/>
      <c r="S10" s="259"/>
    </row>
    <row r="11" spans="1:19">
      <c r="A11" s="66" t="s">
        <v>439</v>
      </c>
      <c r="B11" s="63">
        <v>400</v>
      </c>
      <c r="C11" s="107">
        <f t="shared" si="0"/>
        <v>160.16666666666669</v>
      </c>
      <c r="D11" s="64">
        <f t="shared" si="1"/>
        <v>252.7</v>
      </c>
      <c r="E11" s="63">
        <v>200</v>
      </c>
      <c r="F11" s="107">
        <f t="shared" si="2"/>
        <v>160.33333333333334</v>
      </c>
      <c r="G11" s="64">
        <f t="shared" si="3"/>
        <v>164.7</v>
      </c>
      <c r="J11" s="260"/>
      <c r="K11" s="66" t="s">
        <v>439</v>
      </c>
      <c r="L11" s="64">
        <v>159.9</v>
      </c>
      <c r="M11" s="64">
        <v>252.7</v>
      </c>
      <c r="N11" s="64">
        <v>159.9</v>
      </c>
      <c r="O11" s="64">
        <v>163.4</v>
      </c>
      <c r="Q11" s="259"/>
      <c r="R11" s="259"/>
      <c r="S11" s="259"/>
    </row>
    <row r="12" spans="1:19">
      <c r="A12" s="66" t="s">
        <v>440</v>
      </c>
      <c r="B12" s="63">
        <v>400</v>
      </c>
      <c r="C12" s="107">
        <f t="shared" si="0"/>
        <v>162.96666666666667</v>
      </c>
      <c r="D12" s="64">
        <f t="shared" si="1"/>
        <v>254.8</v>
      </c>
      <c r="E12" s="63">
        <v>200</v>
      </c>
      <c r="F12" s="107">
        <f t="shared" si="2"/>
        <v>163.06666666666666</v>
      </c>
      <c r="G12" s="64">
        <f t="shared" si="3"/>
        <v>195.1</v>
      </c>
      <c r="J12" s="260"/>
      <c r="K12" s="66" t="s">
        <v>440</v>
      </c>
      <c r="L12" s="64">
        <v>162.69999999999999</v>
      </c>
      <c r="M12" s="64">
        <v>215.1</v>
      </c>
      <c r="N12" s="64">
        <v>162.6</v>
      </c>
      <c r="O12" s="64">
        <v>194.1</v>
      </c>
      <c r="Q12" s="259"/>
      <c r="R12" s="259"/>
      <c r="S12" s="259"/>
    </row>
    <row r="13" spans="1:19" ht="14.25" customHeight="1">
      <c r="A13" s="66" t="s">
        <v>441</v>
      </c>
      <c r="B13" s="63">
        <v>400</v>
      </c>
      <c r="C13" s="107">
        <f t="shared" si="0"/>
        <v>189.80000000000004</v>
      </c>
      <c r="D13" s="64">
        <f t="shared" si="1"/>
        <v>232.8</v>
      </c>
      <c r="E13" s="63">
        <v>200</v>
      </c>
      <c r="F13" s="107">
        <f t="shared" si="2"/>
        <v>189.83333333333334</v>
      </c>
      <c r="G13" s="64">
        <f t="shared" si="3"/>
        <v>191</v>
      </c>
      <c r="J13" s="260"/>
      <c r="K13" s="66" t="s">
        <v>441</v>
      </c>
      <c r="L13" s="64">
        <v>189.8</v>
      </c>
      <c r="M13" s="64">
        <v>232.8</v>
      </c>
      <c r="N13" s="64">
        <v>189.8</v>
      </c>
      <c r="O13" s="64">
        <v>191</v>
      </c>
      <c r="Q13" s="259" t="s">
        <v>442</v>
      </c>
      <c r="R13" s="259"/>
      <c r="S13" s="259"/>
    </row>
    <row r="14" spans="1:19">
      <c r="A14" s="66" t="s">
        <v>443</v>
      </c>
      <c r="B14" s="63">
        <v>400</v>
      </c>
      <c r="C14" s="107" t="s">
        <v>444</v>
      </c>
      <c r="D14" s="64" t="s">
        <v>444</v>
      </c>
      <c r="E14" s="63">
        <v>200</v>
      </c>
      <c r="F14" s="64" t="s">
        <v>444</v>
      </c>
      <c r="G14" s="64" t="s">
        <v>444</v>
      </c>
      <c r="J14" s="260"/>
      <c r="K14" s="66" t="s">
        <v>443</v>
      </c>
      <c r="L14" s="64" t="s">
        <v>138</v>
      </c>
      <c r="M14" s="64" t="s">
        <v>138</v>
      </c>
      <c r="N14" s="64" t="s">
        <v>138</v>
      </c>
      <c r="O14" s="64" t="s">
        <v>138</v>
      </c>
      <c r="Q14" s="259"/>
      <c r="R14" s="259"/>
      <c r="S14" s="259"/>
    </row>
    <row r="15" spans="1:19">
      <c r="A15" s="66" t="s">
        <v>445</v>
      </c>
      <c r="B15" s="63">
        <v>400</v>
      </c>
      <c r="C15" s="107">
        <f t="shared" si="0"/>
        <v>189.19999999999996</v>
      </c>
      <c r="D15" s="64">
        <f t="shared" si="1"/>
        <v>236</v>
      </c>
      <c r="E15" s="63">
        <v>200</v>
      </c>
      <c r="F15" s="107">
        <f t="shared" si="2"/>
        <v>189.43333333333331</v>
      </c>
      <c r="G15" s="64">
        <f t="shared" si="3"/>
        <v>191.5</v>
      </c>
      <c r="J15" s="260"/>
      <c r="K15" s="66" t="s">
        <v>445</v>
      </c>
      <c r="L15" s="64">
        <v>189.8</v>
      </c>
      <c r="M15" s="64">
        <v>236</v>
      </c>
      <c r="N15" s="64">
        <v>189.7</v>
      </c>
      <c r="O15" s="64">
        <v>190.9</v>
      </c>
      <c r="Q15" s="259"/>
      <c r="R15" s="259"/>
      <c r="S15" s="259"/>
    </row>
    <row r="16" spans="1:19">
      <c r="A16" s="66" t="s">
        <v>446</v>
      </c>
      <c r="B16" s="63">
        <v>400</v>
      </c>
      <c r="C16" s="107">
        <f t="shared" si="0"/>
        <v>189.73333333333332</v>
      </c>
      <c r="D16" s="64">
        <f t="shared" si="1"/>
        <v>228.6</v>
      </c>
      <c r="E16" s="63">
        <v>200</v>
      </c>
      <c r="F16" s="107">
        <f t="shared" si="2"/>
        <v>189.73333333333332</v>
      </c>
      <c r="G16" s="64">
        <f t="shared" si="3"/>
        <v>192.2</v>
      </c>
      <c r="J16" s="260"/>
      <c r="K16" s="66" t="s">
        <v>446</v>
      </c>
      <c r="L16" s="64">
        <v>189.6</v>
      </c>
      <c r="M16" s="64">
        <v>227.7</v>
      </c>
      <c r="N16" s="64">
        <v>189.6</v>
      </c>
      <c r="O16" s="64">
        <v>192.2</v>
      </c>
      <c r="Q16" s="259"/>
      <c r="R16" s="259"/>
      <c r="S16" s="259"/>
    </row>
    <row r="17" spans="1:15">
      <c r="A17" s="66" t="s">
        <v>447</v>
      </c>
      <c r="B17" s="63">
        <v>400</v>
      </c>
      <c r="C17" s="107">
        <f t="shared" si="0"/>
        <v>189.29999999999998</v>
      </c>
      <c r="D17" s="64">
        <f t="shared" si="1"/>
        <v>259.7</v>
      </c>
      <c r="E17" s="63">
        <v>200</v>
      </c>
      <c r="F17" s="107">
        <f t="shared" si="2"/>
        <v>189.29999999999998</v>
      </c>
      <c r="G17" s="64">
        <f t="shared" si="3"/>
        <v>190.9</v>
      </c>
      <c r="J17" s="260"/>
      <c r="K17" s="66" t="s">
        <v>447</v>
      </c>
      <c r="L17" s="64">
        <v>189.9</v>
      </c>
      <c r="M17" s="64">
        <v>259.7</v>
      </c>
      <c r="N17" s="64">
        <v>189.9</v>
      </c>
      <c r="O17" s="64">
        <v>190.9</v>
      </c>
    </row>
    <row r="18" spans="1:15">
      <c r="A18" s="66" t="s">
        <v>448</v>
      </c>
      <c r="B18" s="63">
        <v>400</v>
      </c>
      <c r="C18" s="64"/>
      <c r="D18" s="64"/>
      <c r="E18" s="63">
        <v>200</v>
      </c>
      <c r="F18" s="64"/>
      <c r="G18" s="64"/>
      <c r="J18" s="260"/>
      <c r="K18" s="66" t="s">
        <v>448</v>
      </c>
      <c r="L18" s="64">
        <v>189.9</v>
      </c>
      <c r="M18" s="64">
        <v>220.3</v>
      </c>
      <c r="N18" s="64">
        <v>189.8</v>
      </c>
      <c r="O18" s="64">
        <v>190.8</v>
      </c>
    </row>
    <row r="19" spans="1:15">
      <c r="J19" s="260"/>
      <c r="K19" s="62" t="s">
        <v>449</v>
      </c>
      <c r="L19" s="62">
        <f>AVERAGE(L7:L18)</f>
        <v>173.46363636363637</v>
      </c>
      <c r="M19" s="62">
        <f>MAX(M7:M18)</f>
        <v>259.7</v>
      </c>
      <c r="N19" s="62">
        <f>AVERAGE(N7:N18)</f>
        <v>173.42727272727274</v>
      </c>
      <c r="O19" s="62">
        <f>MAX(O7:O18)</f>
        <v>194.1</v>
      </c>
    </row>
    <row r="21" spans="1:15" ht="27.95">
      <c r="J21" s="61">
        <f>+A6</f>
        <v>2022</v>
      </c>
      <c r="K21" s="61" t="s">
        <v>430</v>
      </c>
      <c r="L21" s="67" t="s">
        <v>425</v>
      </c>
      <c r="M21" s="67" t="s">
        <v>431</v>
      </c>
      <c r="N21" s="67" t="s">
        <v>428</v>
      </c>
      <c r="O21" s="67" t="s">
        <v>432</v>
      </c>
    </row>
    <row r="22" spans="1:15">
      <c r="J22" s="260" t="s">
        <v>190</v>
      </c>
      <c r="K22" s="66" t="s">
        <v>433</v>
      </c>
      <c r="L22" s="64">
        <v>159.4</v>
      </c>
      <c r="M22" s="64">
        <v>228</v>
      </c>
      <c r="N22" s="64">
        <v>159.4</v>
      </c>
      <c r="O22" s="64">
        <v>162.5</v>
      </c>
    </row>
    <row r="23" spans="1:15">
      <c r="J23" s="260"/>
      <c r="K23" s="66" t="s">
        <v>434</v>
      </c>
      <c r="L23" s="64">
        <v>157.6</v>
      </c>
      <c r="M23" s="64">
        <v>195.2</v>
      </c>
      <c r="N23" s="64">
        <v>157.30000000000001</v>
      </c>
      <c r="O23" s="64">
        <v>162.69999999999999</v>
      </c>
    </row>
    <row r="24" spans="1:15">
      <c r="J24" s="260"/>
      <c r="K24" s="66" t="s">
        <v>435</v>
      </c>
      <c r="L24" s="64">
        <v>160.5</v>
      </c>
      <c r="M24" s="64">
        <v>191.2</v>
      </c>
      <c r="N24" s="64">
        <v>160.4</v>
      </c>
      <c r="O24" s="64">
        <v>161.80000000000001</v>
      </c>
    </row>
    <row r="25" spans="1:15">
      <c r="J25" s="260"/>
      <c r="K25" s="66" t="s">
        <v>437</v>
      </c>
      <c r="L25" s="64">
        <v>160.80000000000001</v>
      </c>
      <c r="M25" s="64">
        <v>215.5</v>
      </c>
      <c r="N25" s="64">
        <v>160.69999999999999</v>
      </c>
      <c r="O25" s="64">
        <v>163.1</v>
      </c>
    </row>
    <row r="26" spans="1:15">
      <c r="J26" s="260"/>
      <c r="K26" s="66" t="s">
        <v>439</v>
      </c>
      <c r="L26" s="64">
        <v>161.30000000000001</v>
      </c>
      <c r="M26" s="64">
        <v>191.1</v>
      </c>
      <c r="N26" s="64">
        <v>161.30000000000001</v>
      </c>
      <c r="O26" s="64">
        <v>164.7</v>
      </c>
    </row>
    <row r="27" spans="1:15">
      <c r="J27" s="260"/>
      <c r="K27" s="66" t="s">
        <v>440</v>
      </c>
      <c r="L27" s="64">
        <v>162.9</v>
      </c>
      <c r="M27" s="64">
        <v>252.8</v>
      </c>
      <c r="N27" s="64">
        <v>163.1</v>
      </c>
      <c r="O27" s="64">
        <v>195.1</v>
      </c>
    </row>
    <row r="28" spans="1:15">
      <c r="J28" s="260"/>
      <c r="K28" s="66" t="s">
        <v>441</v>
      </c>
      <c r="L28" s="64">
        <v>189.9</v>
      </c>
      <c r="M28" s="64">
        <v>218.9</v>
      </c>
      <c r="N28" s="64">
        <v>190</v>
      </c>
      <c r="O28" s="64">
        <v>190.6</v>
      </c>
    </row>
    <row r="29" spans="1:15">
      <c r="J29" s="260"/>
      <c r="K29" s="66" t="s">
        <v>443</v>
      </c>
      <c r="L29" s="64" t="s">
        <v>138</v>
      </c>
      <c r="M29" s="64" t="s">
        <v>138</v>
      </c>
      <c r="N29" s="64" t="s">
        <v>138</v>
      </c>
      <c r="O29" s="64" t="s">
        <v>138</v>
      </c>
    </row>
    <row r="30" spans="1:15">
      <c r="J30" s="260"/>
      <c r="K30" s="66" t="s">
        <v>445</v>
      </c>
      <c r="L30" s="64">
        <v>188.6</v>
      </c>
      <c r="M30" s="64">
        <v>222.4</v>
      </c>
      <c r="N30" s="64">
        <v>189.1</v>
      </c>
      <c r="O30" s="64">
        <v>190.6</v>
      </c>
    </row>
    <row r="31" spans="1:15">
      <c r="J31" s="260"/>
      <c r="K31" s="66" t="s">
        <v>446</v>
      </c>
      <c r="L31" s="64">
        <v>189.7</v>
      </c>
      <c r="M31" s="64">
        <v>228.6</v>
      </c>
      <c r="N31" s="64">
        <v>189.7</v>
      </c>
      <c r="O31" s="64">
        <v>191.2</v>
      </c>
    </row>
    <row r="32" spans="1:15">
      <c r="J32" s="260"/>
      <c r="K32" s="66" t="s">
        <v>447</v>
      </c>
      <c r="L32" s="64">
        <v>188.5</v>
      </c>
      <c r="M32" s="64">
        <v>230.6</v>
      </c>
      <c r="N32" s="64">
        <v>188.5</v>
      </c>
      <c r="O32" s="64">
        <v>190.8</v>
      </c>
    </row>
    <row r="33" spans="1:15">
      <c r="J33" s="260"/>
      <c r="K33" s="66" t="s">
        <v>448</v>
      </c>
      <c r="L33" s="64">
        <v>189.5</v>
      </c>
      <c r="M33" s="64">
        <v>216.5</v>
      </c>
      <c r="N33" s="64">
        <v>189.6</v>
      </c>
      <c r="O33" s="64">
        <v>191.4</v>
      </c>
    </row>
    <row r="34" spans="1:15">
      <c r="J34" s="260"/>
      <c r="K34" s="62" t="s">
        <v>449</v>
      </c>
      <c r="L34" s="62">
        <f>AVERAGE(L22:L33)</f>
        <v>173.5181818181818</v>
      </c>
      <c r="M34" s="62">
        <f>MAX(M22:M33)</f>
        <v>252.8</v>
      </c>
      <c r="N34" s="62">
        <f>AVERAGE(N22:N33)</f>
        <v>173.55454545454543</v>
      </c>
      <c r="O34" s="62">
        <f>MAX(O22:O33)</f>
        <v>195.1</v>
      </c>
    </row>
    <row r="36" spans="1:15" ht="27.95">
      <c r="J36" s="61">
        <f>+A6</f>
        <v>2022</v>
      </c>
      <c r="K36" s="61" t="s">
        <v>430</v>
      </c>
      <c r="L36" s="67" t="s">
        <v>425</v>
      </c>
      <c r="M36" s="67" t="s">
        <v>431</v>
      </c>
      <c r="N36" s="67" t="s">
        <v>428</v>
      </c>
      <c r="O36" s="67" t="s">
        <v>432</v>
      </c>
    </row>
    <row r="37" spans="1:15">
      <c r="J37" s="260" t="s">
        <v>191</v>
      </c>
      <c r="K37" s="66" t="s">
        <v>433</v>
      </c>
      <c r="L37" s="64">
        <v>159</v>
      </c>
      <c r="M37" s="64">
        <v>189.9</v>
      </c>
      <c r="N37" s="64">
        <v>158.9</v>
      </c>
      <c r="O37" s="64">
        <v>161.6</v>
      </c>
    </row>
    <row r="38" spans="1:15">
      <c r="J38" s="260"/>
      <c r="K38" s="66" t="s">
        <v>434</v>
      </c>
      <c r="L38" s="64">
        <v>159.1</v>
      </c>
      <c r="M38" s="64">
        <v>193.2</v>
      </c>
      <c r="N38" s="64">
        <v>159.19999999999999</v>
      </c>
      <c r="O38" s="64">
        <v>161.19999999999999</v>
      </c>
    </row>
    <row r="39" spans="1:15">
      <c r="J39" s="260"/>
      <c r="K39" s="66" t="s">
        <v>435</v>
      </c>
      <c r="L39" s="64">
        <v>158.9</v>
      </c>
      <c r="M39" s="64">
        <v>184.1</v>
      </c>
      <c r="N39" s="64">
        <v>158.80000000000001</v>
      </c>
      <c r="O39" s="64">
        <v>159.4</v>
      </c>
    </row>
    <row r="40" spans="1:15">
      <c r="J40" s="260"/>
      <c r="K40" s="66" t="s">
        <v>437</v>
      </c>
      <c r="L40" s="64">
        <v>159.5</v>
      </c>
      <c r="M40" s="64">
        <v>212.2</v>
      </c>
      <c r="N40" s="64">
        <v>159.4</v>
      </c>
      <c r="O40" s="64">
        <v>162.5</v>
      </c>
    </row>
    <row r="41" spans="1:15">
      <c r="J41" s="260"/>
      <c r="K41" s="66" t="s">
        <v>439</v>
      </c>
      <c r="L41" s="64">
        <v>159.30000000000001</v>
      </c>
      <c r="M41" s="64">
        <v>208.5</v>
      </c>
      <c r="N41" s="64">
        <v>159.80000000000001</v>
      </c>
      <c r="O41" s="64">
        <v>163.5</v>
      </c>
    </row>
    <row r="42" spans="1:15">
      <c r="J42" s="260"/>
      <c r="K42" s="66" t="s">
        <v>440</v>
      </c>
      <c r="L42" s="64">
        <v>163.30000000000001</v>
      </c>
      <c r="M42" s="64">
        <v>254.8</v>
      </c>
      <c r="N42" s="64">
        <v>163.5</v>
      </c>
      <c r="O42" s="64">
        <v>194.8</v>
      </c>
    </row>
    <row r="43" spans="1:15">
      <c r="J43" s="260"/>
      <c r="K43" s="66" t="s">
        <v>441</v>
      </c>
      <c r="L43" s="64">
        <v>189.7</v>
      </c>
      <c r="M43" s="64">
        <v>213.4</v>
      </c>
      <c r="N43" s="64">
        <v>189.7</v>
      </c>
      <c r="O43" s="64">
        <v>190.5</v>
      </c>
    </row>
    <row r="44" spans="1:15">
      <c r="J44" s="260"/>
      <c r="K44" s="66" t="s">
        <v>443</v>
      </c>
      <c r="L44" s="64" t="s">
        <v>138</v>
      </c>
      <c r="M44" s="64" t="s">
        <v>138</v>
      </c>
      <c r="N44" s="64" t="s">
        <v>138</v>
      </c>
      <c r="O44" s="64" t="s">
        <v>138</v>
      </c>
    </row>
    <row r="45" spans="1:15">
      <c r="J45" s="260"/>
      <c r="K45" s="66" t="s">
        <v>445</v>
      </c>
      <c r="L45" s="64">
        <v>189.2</v>
      </c>
      <c r="M45" s="64">
        <v>224.6</v>
      </c>
      <c r="N45" s="64">
        <v>189.5</v>
      </c>
      <c r="O45" s="64">
        <v>191.5</v>
      </c>
    </row>
    <row r="46" spans="1:15">
      <c r="J46" s="260"/>
      <c r="K46" s="66" t="s">
        <v>446</v>
      </c>
      <c r="L46" s="64">
        <v>189.9</v>
      </c>
      <c r="M46" s="64">
        <v>219.7</v>
      </c>
      <c r="N46" s="64">
        <v>189.9</v>
      </c>
      <c r="O46" s="64">
        <v>191.9</v>
      </c>
    </row>
    <row r="47" spans="1:15">
      <c r="J47" s="260"/>
      <c r="K47" s="66" t="s">
        <v>447</v>
      </c>
      <c r="L47" s="64">
        <v>189.5</v>
      </c>
      <c r="M47" s="64">
        <v>235.6</v>
      </c>
      <c r="N47" s="64">
        <v>189.5</v>
      </c>
      <c r="O47" s="64">
        <v>190.7</v>
      </c>
    </row>
    <row r="48" spans="1:15">
      <c r="A48" s="272" t="s">
        <v>342</v>
      </c>
      <c r="B48" s="273"/>
      <c r="C48" s="273"/>
      <c r="D48" s="273"/>
      <c r="E48" s="273"/>
      <c r="F48" s="273"/>
      <c r="G48" s="274"/>
      <c r="J48" s="260"/>
      <c r="K48" s="66" t="s">
        <v>448</v>
      </c>
      <c r="L48" s="64">
        <v>189.5</v>
      </c>
      <c r="M48" s="64">
        <v>222.7</v>
      </c>
      <c r="N48" s="64">
        <v>189.9</v>
      </c>
      <c r="O48" s="64">
        <v>191.7</v>
      </c>
    </row>
    <row r="49" spans="1:15">
      <c r="A49" s="263"/>
      <c r="B49" s="264"/>
      <c r="C49" s="264"/>
      <c r="D49" s="264"/>
      <c r="E49" s="264"/>
      <c r="F49" s="264"/>
      <c r="G49" s="265"/>
      <c r="J49" s="260"/>
      <c r="K49" s="62" t="s">
        <v>449</v>
      </c>
      <c r="L49" s="62">
        <f>AVERAGE(L37:L48)</f>
        <v>173.35454545454547</v>
      </c>
      <c r="M49" s="62">
        <f>MAX(M37:M48)</f>
        <v>254.8</v>
      </c>
      <c r="N49" s="62">
        <f>AVERAGE(N37:N48)</f>
        <v>173.4636363636364</v>
      </c>
      <c r="O49" s="62">
        <f>MAX(O37:O48)</f>
        <v>194.8</v>
      </c>
    </row>
    <row r="50" spans="1:15">
      <c r="A50" s="266"/>
      <c r="B50" s="267"/>
      <c r="C50" s="267"/>
      <c r="D50" s="267"/>
      <c r="E50" s="267"/>
      <c r="F50" s="267"/>
      <c r="G50" s="268"/>
    </row>
    <row r="51" spans="1:15" ht="27.95">
      <c r="A51" s="266"/>
      <c r="B51" s="267"/>
      <c r="C51" s="267"/>
      <c r="D51" s="267"/>
      <c r="E51" s="267"/>
      <c r="F51" s="267"/>
      <c r="G51" s="268"/>
      <c r="J51" s="61">
        <f>+A6</f>
        <v>2022</v>
      </c>
      <c r="K51" s="61" t="s">
        <v>430</v>
      </c>
      <c r="L51" s="67" t="s">
        <v>425</v>
      </c>
      <c r="M51" s="67" t="s">
        <v>431</v>
      </c>
      <c r="N51" s="67" t="s">
        <v>428</v>
      </c>
      <c r="O51" s="67" t="s">
        <v>432</v>
      </c>
    </row>
    <row r="52" spans="1:15">
      <c r="A52" s="269"/>
      <c r="B52" s="270"/>
      <c r="C52" s="270"/>
      <c r="D52" s="270"/>
      <c r="E52" s="270"/>
      <c r="F52" s="270"/>
      <c r="G52" s="271"/>
      <c r="J52" s="260" t="s">
        <v>192</v>
      </c>
      <c r="K52" s="66" t="s">
        <v>433</v>
      </c>
      <c r="L52" s="64"/>
      <c r="M52" s="64"/>
      <c r="N52" s="64"/>
      <c r="O52" s="64"/>
    </row>
    <row r="53" spans="1:15">
      <c r="J53" s="260"/>
      <c r="K53" s="66" t="s">
        <v>434</v>
      </c>
      <c r="L53" s="64"/>
      <c r="M53" s="64"/>
      <c r="N53" s="64"/>
      <c r="O53" s="64"/>
    </row>
    <row r="54" spans="1:15">
      <c r="J54" s="260"/>
      <c r="K54" s="66" t="s">
        <v>435</v>
      </c>
      <c r="L54" s="64"/>
      <c r="M54" s="64"/>
      <c r="N54" s="64"/>
      <c r="O54" s="64"/>
    </row>
    <row r="55" spans="1:15">
      <c r="J55" s="260"/>
      <c r="K55" s="66" t="s">
        <v>437</v>
      </c>
      <c r="L55" s="64"/>
      <c r="M55" s="64"/>
      <c r="N55" s="64"/>
      <c r="O55" s="64"/>
    </row>
    <row r="56" spans="1:15">
      <c r="J56" s="260"/>
      <c r="K56" s="66" t="s">
        <v>439</v>
      </c>
      <c r="L56" s="64"/>
      <c r="M56" s="64"/>
      <c r="N56" s="64"/>
      <c r="O56" s="64"/>
    </row>
    <row r="57" spans="1:15">
      <c r="J57" s="260"/>
      <c r="K57" s="66" t="s">
        <v>440</v>
      </c>
      <c r="L57" s="64"/>
      <c r="M57" s="64"/>
      <c r="N57" s="64"/>
      <c r="O57" s="64"/>
    </row>
    <row r="58" spans="1:15">
      <c r="J58" s="260"/>
      <c r="K58" s="66" t="s">
        <v>441</v>
      </c>
      <c r="L58" s="64"/>
      <c r="M58" s="64"/>
      <c r="N58" s="64"/>
      <c r="O58" s="64"/>
    </row>
    <row r="59" spans="1:15">
      <c r="J59" s="260"/>
      <c r="K59" s="66" t="s">
        <v>443</v>
      </c>
      <c r="L59" s="64"/>
      <c r="M59" s="64"/>
      <c r="N59" s="64"/>
      <c r="O59" s="64"/>
    </row>
    <row r="60" spans="1:15">
      <c r="J60" s="260"/>
      <c r="K60" s="66" t="s">
        <v>445</v>
      </c>
      <c r="L60" s="64"/>
      <c r="M60" s="64"/>
      <c r="N60" s="64"/>
      <c r="O60" s="64"/>
    </row>
    <row r="61" spans="1:15">
      <c r="J61" s="260"/>
      <c r="K61" s="66" t="s">
        <v>446</v>
      </c>
      <c r="L61" s="64"/>
      <c r="M61" s="64"/>
      <c r="N61" s="64"/>
      <c r="O61" s="64"/>
    </row>
    <row r="62" spans="1:15">
      <c r="J62" s="260"/>
      <c r="K62" s="66" t="s">
        <v>447</v>
      </c>
      <c r="L62" s="64"/>
      <c r="M62" s="64"/>
      <c r="N62" s="64"/>
      <c r="O62" s="64"/>
    </row>
    <row r="63" spans="1:15">
      <c r="J63" s="260"/>
      <c r="K63" s="66" t="s">
        <v>448</v>
      </c>
      <c r="L63" s="64"/>
      <c r="M63" s="64"/>
      <c r="N63" s="64"/>
      <c r="O63" s="64"/>
    </row>
    <row r="64" spans="1:15">
      <c r="J64" s="260"/>
      <c r="K64" s="62" t="s">
        <v>449</v>
      </c>
      <c r="L64" s="62" t="e">
        <f>AVERAGE(L52:L63)</f>
        <v>#DIV/0!</v>
      </c>
      <c r="M64" s="62">
        <f>MAX(M52:M63)</f>
        <v>0</v>
      </c>
      <c r="N64" s="62" t="e">
        <f>AVERAGE(N52:N63)</f>
        <v>#DIV/0!</v>
      </c>
      <c r="O64" s="62">
        <f>MAX(O52:O63)</f>
        <v>0</v>
      </c>
    </row>
    <row r="66" spans="10:15" ht="27.95">
      <c r="J66" s="61">
        <f>+A6</f>
        <v>2022</v>
      </c>
      <c r="K66" s="61" t="s">
        <v>430</v>
      </c>
      <c r="L66" s="67" t="s">
        <v>425</v>
      </c>
      <c r="M66" s="67" t="s">
        <v>431</v>
      </c>
      <c r="N66" s="67" t="s">
        <v>428</v>
      </c>
      <c r="O66" s="67" t="s">
        <v>432</v>
      </c>
    </row>
    <row r="67" spans="10:15">
      <c r="J67" s="260" t="s">
        <v>193</v>
      </c>
      <c r="K67" s="66" t="s">
        <v>433</v>
      </c>
      <c r="L67" s="64"/>
      <c r="M67" s="64"/>
      <c r="N67" s="64"/>
      <c r="O67" s="64"/>
    </row>
    <row r="68" spans="10:15">
      <c r="J68" s="260"/>
      <c r="K68" s="66" t="s">
        <v>434</v>
      </c>
      <c r="L68" s="64"/>
      <c r="M68" s="64"/>
      <c r="N68" s="64"/>
      <c r="O68" s="64"/>
    </row>
    <row r="69" spans="10:15">
      <c r="J69" s="260"/>
      <c r="K69" s="66" t="s">
        <v>435</v>
      </c>
      <c r="L69" s="64"/>
      <c r="M69" s="64"/>
      <c r="N69" s="64"/>
      <c r="O69" s="64"/>
    </row>
    <row r="70" spans="10:15">
      <c r="J70" s="260"/>
      <c r="K70" s="66" t="s">
        <v>437</v>
      </c>
      <c r="L70" s="64"/>
      <c r="M70" s="64"/>
      <c r="N70" s="64"/>
      <c r="O70" s="64"/>
    </row>
    <row r="71" spans="10:15">
      <c r="J71" s="260"/>
      <c r="K71" s="66" t="s">
        <v>439</v>
      </c>
      <c r="L71" s="64"/>
      <c r="M71" s="64"/>
      <c r="N71" s="64"/>
      <c r="O71" s="64"/>
    </row>
    <row r="72" spans="10:15">
      <c r="J72" s="260"/>
      <c r="K72" s="66" t="s">
        <v>440</v>
      </c>
      <c r="L72" s="64"/>
      <c r="M72" s="64"/>
      <c r="N72" s="64"/>
      <c r="O72" s="64"/>
    </row>
    <row r="73" spans="10:15">
      <c r="J73" s="260"/>
      <c r="K73" s="66" t="s">
        <v>441</v>
      </c>
      <c r="L73" s="64"/>
      <c r="M73" s="64"/>
      <c r="N73" s="64"/>
      <c r="O73" s="64"/>
    </row>
    <row r="74" spans="10:15">
      <c r="J74" s="260"/>
      <c r="K74" s="66" t="s">
        <v>443</v>
      </c>
      <c r="L74" s="64"/>
      <c r="M74" s="64"/>
      <c r="N74" s="64"/>
      <c r="O74" s="64"/>
    </row>
    <row r="75" spans="10:15">
      <c r="J75" s="260"/>
      <c r="K75" s="66" t="s">
        <v>445</v>
      </c>
      <c r="L75" s="64"/>
      <c r="M75" s="64"/>
      <c r="N75" s="64"/>
      <c r="O75" s="64"/>
    </row>
    <row r="76" spans="10:15">
      <c r="J76" s="260"/>
      <c r="K76" s="66" t="s">
        <v>446</v>
      </c>
      <c r="L76" s="64"/>
      <c r="M76" s="64"/>
      <c r="N76" s="64"/>
      <c r="O76" s="64"/>
    </row>
    <row r="77" spans="10:15">
      <c r="J77" s="260"/>
      <c r="K77" s="66" t="s">
        <v>447</v>
      </c>
      <c r="L77" s="64"/>
      <c r="M77" s="64"/>
      <c r="N77" s="64"/>
      <c r="O77" s="64"/>
    </row>
    <row r="78" spans="10:15">
      <c r="J78" s="260"/>
      <c r="K78" s="66" t="s">
        <v>448</v>
      </c>
      <c r="L78" s="64"/>
      <c r="M78" s="64"/>
      <c r="N78" s="64"/>
      <c r="O78" s="64"/>
    </row>
    <row r="79" spans="10:15">
      <c r="J79" s="26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workbookViewId="0">
      <selection activeCell="G14" sqref="G14"/>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Rookery Pit Energy Recovery Facility</v>
      </c>
    </row>
    <row r="3" spans="1:19" ht="14.45">
      <c r="A3" s="60" t="s">
        <v>456</v>
      </c>
      <c r="D3" s="76" t="s">
        <v>417</v>
      </c>
      <c r="G3" s="80" t="s">
        <v>418</v>
      </c>
      <c r="J3" s="9" t="str">
        <f>+A3</f>
        <v>Monitoring of Total organic carbon emissions</v>
      </c>
      <c r="L3" s="9"/>
      <c r="N3" s="9" t="s">
        <v>419</v>
      </c>
      <c r="Q3" s="79" t="s">
        <v>3</v>
      </c>
      <c r="R3" s="74"/>
      <c r="S3" s="74"/>
    </row>
    <row r="4" spans="1:19" ht="14.1" customHeight="1">
      <c r="Q4" s="251" t="s">
        <v>420</v>
      </c>
      <c r="R4" s="251"/>
      <c r="S4" s="251"/>
    </row>
    <row r="5" spans="1:19" ht="15.95">
      <c r="A5" s="68" t="s">
        <v>421</v>
      </c>
      <c r="B5" s="262" t="s">
        <v>422</v>
      </c>
      <c r="C5" s="262"/>
      <c r="D5" s="262"/>
      <c r="E5" s="262" t="s">
        <v>423</v>
      </c>
      <c r="F5" s="262"/>
      <c r="G5" s="262"/>
      <c r="J5" s="261"/>
      <c r="K5" s="261"/>
      <c r="L5" s="261"/>
      <c r="M5" s="261"/>
      <c r="N5" s="261"/>
      <c r="O5" s="261"/>
      <c r="Q5" s="251"/>
      <c r="R5" s="251"/>
      <c r="S5" s="251"/>
    </row>
    <row r="6" spans="1:19" s="58" customFormat="1" ht="37.5" customHeight="1">
      <c r="A6" s="65">
        <f>+'Cover Page'!C39</f>
        <v>2022</v>
      </c>
      <c r="B6" s="55" t="s">
        <v>457</v>
      </c>
      <c r="C6" s="55" t="s">
        <v>425</v>
      </c>
      <c r="D6" s="55" t="s">
        <v>426</v>
      </c>
      <c r="E6" s="55" t="s">
        <v>458</v>
      </c>
      <c r="F6" s="55" t="s">
        <v>428</v>
      </c>
      <c r="G6" s="55" t="s">
        <v>429</v>
      </c>
      <c r="H6" s="59"/>
      <c r="J6" s="61">
        <f>+A6</f>
        <v>2022</v>
      </c>
      <c r="K6" s="61" t="s">
        <v>430</v>
      </c>
      <c r="L6" s="67" t="s">
        <v>425</v>
      </c>
      <c r="M6" s="67" t="s">
        <v>431</v>
      </c>
      <c r="N6" s="67" t="s">
        <v>428</v>
      </c>
      <c r="O6" s="67" t="s">
        <v>432</v>
      </c>
      <c r="Q6" s="251"/>
      <c r="R6" s="251"/>
      <c r="S6" s="251"/>
    </row>
    <row r="7" spans="1:19">
      <c r="A7" s="66" t="s">
        <v>433</v>
      </c>
      <c r="B7" s="63">
        <v>20</v>
      </c>
      <c r="C7" s="107">
        <f>AVERAGE(L7,L22,L37)</f>
        <v>0.40000000000000008</v>
      </c>
      <c r="D7" s="4">
        <f>MAX(M7,M22,M37)</f>
        <v>63.9</v>
      </c>
      <c r="E7" s="63">
        <v>10</v>
      </c>
      <c r="F7" s="107">
        <f>AVERAGE(N7,N22,N37)</f>
        <v>0.3666666666666667</v>
      </c>
      <c r="G7" s="64">
        <f>MAX(O7,O22,O37)</f>
        <v>1.8</v>
      </c>
      <c r="J7" s="260" t="s">
        <v>189</v>
      </c>
      <c r="K7" s="66" t="s">
        <v>433</v>
      </c>
      <c r="L7" s="64">
        <v>0.4</v>
      </c>
      <c r="M7" s="64">
        <v>2.2999999999999998</v>
      </c>
      <c r="N7" s="64">
        <v>0.3</v>
      </c>
      <c r="O7" s="64">
        <v>0.4</v>
      </c>
      <c r="Q7" s="251"/>
      <c r="R7" s="251"/>
      <c r="S7" s="251"/>
    </row>
    <row r="8" spans="1:19">
      <c r="A8" s="66" t="s">
        <v>434</v>
      </c>
      <c r="B8" s="63">
        <v>20</v>
      </c>
      <c r="C8" s="107">
        <f t="shared" ref="C8:C18" si="0">AVERAGE(L8,L23,L38)</f>
        <v>0.43333333333333335</v>
      </c>
      <c r="D8" s="4">
        <f t="shared" ref="D8:D18" si="1">MAX(M8,M23,M38)</f>
        <v>84.5</v>
      </c>
      <c r="E8" s="63">
        <v>10</v>
      </c>
      <c r="F8" s="107">
        <f t="shared" ref="F8:F17" si="2">AVERAGE(N8,N23,N38)</f>
        <v>0.33333333333333331</v>
      </c>
      <c r="G8" s="64">
        <f t="shared" ref="G8:G17" si="3">MAX(O8,O23,O38)</f>
        <v>2.7</v>
      </c>
      <c r="J8" s="260"/>
      <c r="K8" s="66" t="s">
        <v>434</v>
      </c>
      <c r="L8" s="64">
        <v>0.5</v>
      </c>
      <c r="M8" s="4">
        <v>70.2</v>
      </c>
      <c r="N8" s="64">
        <v>0.4</v>
      </c>
      <c r="O8" s="64">
        <v>2.7</v>
      </c>
      <c r="Q8" s="251"/>
      <c r="R8" s="251"/>
      <c r="S8" s="251"/>
    </row>
    <row r="9" spans="1:19">
      <c r="A9" s="66" t="s">
        <v>435</v>
      </c>
      <c r="B9" s="63">
        <v>20</v>
      </c>
      <c r="C9" s="107">
        <f t="shared" si="0"/>
        <v>0.3666666666666667</v>
      </c>
      <c r="D9" s="4">
        <f t="shared" si="1"/>
        <v>11.7</v>
      </c>
      <c r="E9" s="63">
        <v>10</v>
      </c>
      <c r="F9" s="107">
        <f t="shared" si="2"/>
        <v>0.3</v>
      </c>
      <c r="G9" s="64">
        <f t="shared" si="3"/>
        <v>0.6</v>
      </c>
      <c r="J9" s="260"/>
      <c r="K9" s="66" t="s">
        <v>435</v>
      </c>
      <c r="L9" s="64">
        <v>0.3</v>
      </c>
      <c r="M9" s="4">
        <v>11.7</v>
      </c>
      <c r="N9" s="64">
        <v>0.3</v>
      </c>
      <c r="O9" s="64">
        <v>0.5</v>
      </c>
      <c r="Q9" s="78" t="s">
        <v>436</v>
      </c>
    </row>
    <row r="10" spans="1:19" ht="14.25" customHeight="1">
      <c r="A10" s="66" t="s">
        <v>437</v>
      </c>
      <c r="B10" s="63">
        <v>20</v>
      </c>
      <c r="C10" s="107">
        <f t="shared" si="0"/>
        <v>0.3</v>
      </c>
      <c r="D10" s="4">
        <f t="shared" si="1"/>
        <v>139</v>
      </c>
      <c r="E10" s="63">
        <v>10</v>
      </c>
      <c r="F10" s="107">
        <f t="shared" si="2"/>
        <v>0.3</v>
      </c>
      <c r="G10" s="64">
        <f t="shared" si="3"/>
        <v>3.2</v>
      </c>
      <c r="J10" s="260"/>
      <c r="K10" s="66" t="s">
        <v>437</v>
      </c>
      <c r="L10" s="64">
        <v>0.3</v>
      </c>
      <c r="M10" s="4">
        <v>1.5</v>
      </c>
      <c r="N10" s="64">
        <v>0.3</v>
      </c>
      <c r="O10" s="64">
        <v>0.4</v>
      </c>
      <c r="Q10" s="259" t="s">
        <v>438</v>
      </c>
      <c r="R10" s="259"/>
      <c r="S10" s="259"/>
    </row>
    <row r="11" spans="1:19">
      <c r="A11" s="66" t="s">
        <v>439</v>
      </c>
      <c r="B11" s="63">
        <v>20</v>
      </c>
      <c r="C11" s="107">
        <f t="shared" si="0"/>
        <v>0.43333333333333329</v>
      </c>
      <c r="D11" s="4">
        <f t="shared" si="1"/>
        <v>127.9</v>
      </c>
      <c r="E11" s="63">
        <v>10</v>
      </c>
      <c r="F11" s="107">
        <f t="shared" si="2"/>
        <v>0.26666666666666666</v>
      </c>
      <c r="G11" s="64">
        <f t="shared" si="3"/>
        <v>0.5</v>
      </c>
      <c r="J11" s="260"/>
      <c r="K11" s="66" t="s">
        <v>439</v>
      </c>
      <c r="L11" s="64">
        <v>0.3</v>
      </c>
      <c r="M11" s="4">
        <v>4.8</v>
      </c>
      <c r="N11" s="64">
        <v>0.3</v>
      </c>
      <c r="O11" s="64">
        <v>0.5</v>
      </c>
      <c r="Q11" s="259"/>
      <c r="R11" s="259"/>
      <c r="S11" s="259"/>
    </row>
    <row r="12" spans="1:19">
      <c r="A12" s="66" t="s">
        <v>440</v>
      </c>
      <c r="B12" s="63">
        <v>20</v>
      </c>
      <c r="C12" s="107">
        <f t="shared" si="0"/>
        <v>0.3</v>
      </c>
      <c r="D12" s="4">
        <f t="shared" si="1"/>
        <v>8.6</v>
      </c>
      <c r="E12" s="63">
        <v>10</v>
      </c>
      <c r="F12" s="107">
        <f t="shared" si="2"/>
        <v>0.26666666666666666</v>
      </c>
      <c r="G12" s="64">
        <f t="shared" si="3"/>
        <v>0.5</v>
      </c>
      <c r="J12" s="260"/>
      <c r="K12" s="66" t="s">
        <v>440</v>
      </c>
      <c r="L12" s="64">
        <v>0.3</v>
      </c>
      <c r="M12" s="4">
        <v>8.6</v>
      </c>
      <c r="N12" s="64">
        <v>0.3</v>
      </c>
      <c r="O12" s="64">
        <v>0.5</v>
      </c>
      <c r="Q12" s="259"/>
      <c r="R12" s="259"/>
      <c r="S12" s="259"/>
    </row>
    <row r="13" spans="1:19" ht="14.25" customHeight="1">
      <c r="A13" s="66" t="s">
        <v>441</v>
      </c>
      <c r="B13" s="63">
        <v>20</v>
      </c>
      <c r="C13" s="107">
        <f t="shared" si="0"/>
        <v>0.3666666666666667</v>
      </c>
      <c r="D13" s="4">
        <f t="shared" si="1"/>
        <v>109.5</v>
      </c>
      <c r="E13" s="63">
        <v>10</v>
      </c>
      <c r="F13" s="107">
        <f t="shared" si="2"/>
        <v>0.23333333333333331</v>
      </c>
      <c r="G13" s="64">
        <f t="shared" si="3"/>
        <v>0.5</v>
      </c>
      <c r="J13" s="260"/>
      <c r="K13" s="66" t="s">
        <v>441</v>
      </c>
      <c r="L13" s="64">
        <v>0.4</v>
      </c>
      <c r="M13" s="4">
        <v>42.2</v>
      </c>
      <c r="N13" s="64">
        <v>0.3</v>
      </c>
      <c r="O13" s="64">
        <v>0.5</v>
      </c>
      <c r="Q13" s="259" t="s">
        <v>442</v>
      </c>
      <c r="R13" s="259"/>
      <c r="S13" s="259"/>
    </row>
    <row r="14" spans="1:19">
      <c r="A14" s="66" t="s">
        <v>443</v>
      </c>
      <c r="B14" s="63">
        <v>20</v>
      </c>
      <c r="C14" s="107" t="s">
        <v>444</v>
      </c>
      <c r="D14" s="4" t="s">
        <v>444</v>
      </c>
      <c r="E14" s="63">
        <v>10</v>
      </c>
      <c r="F14" s="107" t="s">
        <v>444</v>
      </c>
      <c r="G14" s="64" t="s">
        <v>444</v>
      </c>
      <c r="J14" s="260"/>
      <c r="K14" s="66" t="s">
        <v>443</v>
      </c>
      <c r="L14" s="64" t="s">
        <v>138</v>
      </c>
      <c r="M14" s="4" t="s">
        <v>138</v>
      </c>
      <c r="N14" s="64" t="s">
        <v>138</v>
      </c>
      <c r="O14" s="64" t="s">
        <v>138</v>
      </c>
      <c r="Q14" s="259"/>
      <c r="R14" s="259"/>
      <c r="S14" s="259"/>
    </row>
    <row r="15" spans="1:19">
      <c r="A15" s="66" t="s">
        <v>445</v>
      </c>
      <c r="B15" s="63">
        <v>20</v>
      </c>
      <c r="C15" s="107">
        <f t="shared" si="0"/>
        <v>0.3</v>
      </c>
      <c r="D15" s="4">
        <f t="shared" si="1"/>
        <v>97.1</v>
      </c>
      <c r="E15" s="63">
        <v>10</v>
      </c>
      <c r="F15" s="107">
        <f t="shared" si="2"/>
        <v>0.26666666666666666</v>
      </c>
      <c r="G15" s="64">
        <f t="shared" si="3"/>
        <v>2.2000000000000002</v>
      </c>
      <c r="J15" s="260"/>
      <c r="K15" s="66" t="s">
        <v>445</v>
      </c>
      <c r="L15" s="64">
        <v>0.3</v>
      </c>
      <c r="M15" s="4">
        <v>97.1</v>
      </c>
      <c r="N15" s="64">
        <v>0.3</v>
      </c>
      <c r="O15" s="64">
        <v>2.2000000000000002</v>
      </c>
      <c r="Q15" s="259"/>
      <c r="R15" s="259"/>
      <c r="S15" s="259"/>
    </row>
    <row r="16" spans="1:19">
      <c r="A16" s="66" t="s">
        <v>446</v>
      </c>
      <c r="B16" s="63">
        <v>20</v>
      </c>
      <c r="C16" s="107">
        <f t="shared" si="0"/>
        <v>0.26666666666666666</v>
      </c>
      <c r="D16" s="4">
        <f t="shared" si="1"/>
        <v>16.899999999999999</v>
      </c>
      <c r="E16" s="63">
        <v>10</v>
      </c>
      <c r="F16" s="107">
        <f t="shared" si="2"/>
        <v>0.26666666666666666</v>
      </c>
      <c r="G16" s="64">
        <f t="shared" si="3"/>
        <v>0.6</v>
      </c>
      <c r="J16" s="260"/>
      <c r="K16" s="66" t="s">
        <v>446</v>
      </c>
      <c r="L16" s="64">
        <v>0.2</v>
      </c>
      <c r="M16" s="64">
        <v>9.3000000000000007</v>
      </c>
      <c r="N16" s="64">
        <v>0.2</v>
      </c>
      <c r="O16" s="64">
        <v>0.4</v>
      </c>
      <c r="Q16" s="259"/>
      <c r="R16" s="259"/>
      <c r="S16" s="259"/>
    </row>
    <row r="17" spans="1:15">
      <c r="A17" s="66" t="s">
        <v>447</v>
      </c>
      <c r="B17" s="63">
        <v>20</v>
      </c>
      <c r="C17" s="107">
        <f t="shared" si="0"/>
        <v>0.46666666666666662</v>
      </c>
      <c r="D17" s="4">
        <f t="shared" si="1"/>
        <v>225.9</v>
      </c>
      <c r="E17" s="63">
        <v>10</v>
      </c>
      <c r="F17" s="107">
        <f t="shared" si="2"/>
        <v>0.43333333333333335</v>
      </c>
      <c r="G17" s="4">
        <f t="shared" si="3"/>
        <v>14.3</v>
      </c>
      <c r="J17" s="260"/>
      <c r="K17" s="66" t="s">
        <v>447</v>
      </c>
      <c r="L17" s="64">
        <v>0.3</v>
      </c>
      <c r="M17" s="64">
        <v>10.199999999999999</v>
      </c>
      <c r="N17" s="64">
        <v>0.2</v>
      </c>
      <c r="O17" s="64">
        <v>0.6</v>
      </c>
    </row>
    <row r="18" spans="1:15">
      <c r="A18" s="66" t="s">
        <v>448</v>
      </c>
      <c r="B18" s="63">
        <v>20</v>
      </c>
      <c r="C18" s="64">
        <f t="shared" si="0"/>
        <v>0.23333333333333331</v>
      </c>
      <c r="D18" s="4">
        <f t="shared" si="1"/>
        <v>72.900000000000006</v>
      </c>
      <c r="E18" s="63">
        <v>10</v>
      </c>
      <c r="F18" s="107">
        <f>AVERAGE(N18,N33,N48)</f>
        <v>0.20000000000000004</v>
      </c>
      <c r="G18" s="64"/>
      <c r="J18" s="260"/>
      <c r="K18" s="66" t="s">
        <v>448</v>
      </c>
      <c r="L18" s="64">
        <v>0.2</v>
      </c>
      <c r="M18" s="64">
        <v>9.3000000000000007</v>
      </c>
      <c r="N18" s="64">
        <v>0.2</v>
      </c>
      <c r="O18" s="64">
        <v>0.6</v>
      </c>
    </row>
    <row r="19" spans="1:15">
      <c r="J19" s="260"/>
      <c r="K19" s="62" t="s">
        <v>449</v>
      </c>
      <c r="L19" s="62">
        <f>AVERAGE(L7:L18)</f>
        <v>0.31818181818181818</v>
      </c>
      <c r="M19" s="62">
        <f>MAX(M7:M18)</f>
        <v>97.1</v>
      </c>
      <c r="N19" s="62">
        <f>AVERAGE(N7:N18)</f>
        <v>0.28181818181818186</v>
      </c>
      <c r="O19" s="62">
        <f>MAX(O7:O18)</f>
        <v>2.7</v>
      </c>
    </row>
    <row r="21" spans="1:15" ht="27.95">
      <c r="J21" s="61">
        <f>+A6</f>
        <v>2022</v>
      </c>
      <c r="K21" s="61" t="s">
        <v>430</v>
      </c>
      <c r="L21" s="67" t="s">
        <v>425</v>
      </c>
      <c r="M21" s="67" t="s">
        <v>431</v>
      </c>
      <c r="N21" s="67" t="s">
        <v>428</v>
      </c>
      <c r="O21" s="67" t="s">
        <v>432</v>
      </c>
    </row>
    <row r="22" spans="1:15">
      <c r="J22" s="260" t="s">
        <v>190</v>
      </c>
      <c r="K22" s="66" t="s">
        <v>433</v>
      </c>
      <c r="L22" s="64">
        <v>0.4</v>
      </c>
      <c r="M22" s="4">
        <v>63.9</v>
      </c>
      <c r="N22" s="64">
        <v>0.4</v>
      </c>
      <c r="O22" s="64">
        <v>1.8</v>
      </c>
    </row>
    <row r="23" spans="1:15">
      <c r="J23" s="260"/>
      <c r="K23" s="66" t="s">
        <v>434</v>
      </c>
      <c r="L23" s="64">
        <v>0.3</v>
      </c>
      <c r="M23" s="4">
        <v>10.199999999999999</v>
      </c>
      <c r="N23" s="64">
        <v>0.2</v>
      </c>
      <c r="O23" s="64">
        <v>0.4</v>
      </c>
    </row>
    <row r="24" spans="1:15">
      <c r="J24" s="260"/>
      <c r="K24" s="66" t="s">
        <v>435</v>
      </c>
      <c r="L24" s="64">
        <v>0.3</v>
      </c>
      <c r="M24" s="4">
        <v>11.2</v>
      </c>
      <c r="N24" s="64">
        <v>0.2</v>
      </c>
      <c r="O24" s="64">
        <v>0.5</v>
      </c>
    </row>
    <row r="25" spans="1:15">
      <c r="J25" s="260"/>
      <c r="K25" s="66" t="s">
        <v>437</v>
      </c>
      <c r="L25" s="64">
        <v>0.2</v>
      </c>
      <c r="M25" s="4">
        <v>5.7</v>
      </c>
      <c r="N25" s="64">
        <v>0.2</v>
      </c>
      <c r="O25" s="64">
        <v>0.3</v>
      </c>
    </row>
    <row r="26" spans="1:15">
      <c r="J26" s="260"/>
      <c r="K26" s="66" t="s">
        <v>439</v>
      </c>
      <c r="L26" s="64">
        <v>0.3</v>
      </c>
      <c r="M26" s="4">
        <v>3.3</v>
      </c>
      <c r="N26" s="64">
        <v>0.2</v>
      </c>
      <c r="O26" s="64">
        <v>0.3</v>
      </c>
    </row>
    <row r="27" spans="1:15">
      <c r="J27" s="260"/>
      <c r="K27" s="66" t="s">
        <v>440</v>
      </c>
      <c r="L27" s="64">
        <v>0.3</v>
      </c>
      <c r="M27" s="4">
        <v>3.9</v>
      </c>
      <c r="N27" s="64">
        <v>0.2</v>
      </c>
      <c r="O27" s="64">
        <v>0.3</v>
      </c>
    </row>
    <row r="28" spans="1:15">
      <c r="J28" s="260"/>
      <c r="K28" s="66" t="s">
        <v>441</v>
      </c>
      <c r="L28" s="64">
        <v>0.4</v>
      </c>
      <c r="M28" s="4">
        <v>109.5</v>
      </c>
      <c r="N28" s="64">
        <v>0.2</v>
      </c>
      <c r="O28" s="64">
        <v>0.4</v>
      </c>
    </row>
    <row r="29" spans="1:15">
      <c r="J29" s="260"/>
      <c r="K29" s="66" t="s">
        <v>443</v>
      </c>
      <c r="L29" s="64" t="s">
        <v>138</v>
      </c>
      <c r="M29" s="4" t="s">
        <v>138</v>
      </c>
      <c r="N29" s="64" t="s">
        <v>138</v>
      </c>
      <c r="O29" s="64" t="s">
        <v>138</v>
      </c>
    </row>
    <row r="30" spans="1:15">
      <c r="J30" s="260"/>
      <c r="K30" s="66" t="s">
        <v>445</v>
      </c>
      <c r="L30" s="64">
        <v>0.3</v>
      </c>
      <c r="M30" s="4">
        <v>5.0999999999999996</v>
      </c>
      <c r="N30" s="64">
        <v>0.2</v>
      </c>
      <c r="O30" s="64">
        <v>0.4</v>
      </c>
    </row>
    <row r="31" spans="1:15">
      <c r="J31" s="260"/>
      <c r="K31" s="66" t="s">
        <v>446</v>
      </c>
      <c r="L31" s="64">
        <v>0.3</v>
      </c>
      <c r="M31" s="4">
        <v>16.899999999999999</v>
      </c>
      <c r="N31" s="64">
        <v>0.3</v>
      </c>
      <c r="O31" s="64">
        <v>0.6</v>
      </c>
    </row>
    <row r="32" spans="1:15">
      <c r="J32" s="260"/>
      <c r="K32" s="66" t="s">
        <v>447</v>
      </c>
      <c r="L32" s="64">
        <v>0.4</v>
      </c>
      <c r="M32" s="4">
        <v>89.7</v>
      </c>
      <c r="N32" s="64">
        <v>0.4</v>
      </c>
      <c r="O32" s="64">
        <v>4.5</v>
      </c>
    </row>
    <row r="33" spans="1:15">
      <c r="J33" s="260"/>
      <c r="K33" s="66" t="s">
        <v>448</v>
      </c>
      <c r="L33" s="64">
        <v>0.2</v>
      </c>
      <c r="M33" s="64">
        <v>72.900000000000006</v>
      </c>
      <c r="N33" s="64">
        <v>0.1</v>
      </c>
      <c r="O33" s="64">
        <v>0.3</v>
      </c>
    </row>
    <row r="34" spans="1:15">
      <c r="J34" s="260"/>
      <c r="K34" s="62" t="s">
        <v>449</v>
      </c>
      <c r="L34" s="62">
        <f>AVERAGE(L22:L33)</f>
        <v>0.30909090909090908</v>
      </c>
      <c r="M34" s="62">
        <f>MAX(M22:M33)</f>
        <v>109.5</v>
      </c>
      <c r="N34" s="62">
        <f>AVERAGE(N22:N33)</f>
        <v>0.23636363636363633</v>
      </c>
      <c r="O34" s="62">
        <f>MAX(O22:O33)</f>
        <v>4.5</v>
      </c>
    </row>
    <row r="36" spans="1:15" ht="27.95">
      <c r="J36" s="61">
        <f>+A6</f>
        <v>2022</v>
      </c>
      <c r="K36" s="61" t="s">
        <v>430</v>
      </c>
      <c r="L36" s="67" t="s">
        <v>425</v>
      </c>
      <c r="M36" s="67" t="s">
        <v>431</v>
      </c>
      <c r="N36" s="67" t="s">
        <v>428</v>
      </c>
      <c r="O36" s="67" t="s">
        <v>432</v>
      </c>
    </row>
    <row r="37" spans="1:15">
      <c r="J37" s="260" t="s">
        <v>191</v>
      </c>
      <c r="K37" s="66" t="s">
        <v>433</v>
      </c>
      <c r="L37" s="64">
        <v>0.4</v>
      </c>
      <c r="M37" s="64">
        <v>9.5</v>
      </c>
      <c r="N37" s="64">
        <v>0.4</v>
      </c>
      <c r="O37" s="64">
        <v>0.9</v>
      </c>
    </row>
    <row r="38" spans="1:15">
      <c r="J38" s="260"/>
      <c r="K38" s="66" t="s">
        <v>434</v>
      </c>
      <c r="L38" s="64">
        <v>0.5</v>
      </c>
      <c r="M38" s="4">
        <v>84.5</v>
      </c>
      <c r="N38" s="64">
        <v>0.4</v>
      </c>
      <c r="O38" s="64">
        <v>0.5</v>
      </c>
    </row>
    <row r="39" spans="1:15">
      <c r="J39" s="260"/>
      <c r="K39" s="66" t="s">
        <v>435</v>
      </c>
      <c r="L39" s="64">
        <v>0.5</v>
      </c>
      <c r="M39" s="4">
        <v>2.7</v>
      </c>
      <c r="N39" s="64">
        <v>0.4</v>
      </c>
      <c r="O39" s="64">
        <v>0.6</v>
      </c>
    </row>
    <row r="40" spans="1:15">
      <c r="J40" s="260"/>
      <c r="K40" s="66" t="s">
        <v>437</v>
      </c>
      <c r="L40" s="64">
        <v>0.4</v>
      </c>
      <c r="M40" s="4">
        <v>139</v>
      </c>
      <c r="N40" s="64">
        <v>0.4</v>
      </c>
      <c r="O40" s="64">
        <v>3.2</v>
      </c>
    </row>
    <row r="41" spans="1:15">
      <c r="J41" s="260"/>
      <c r="K41" s="66" t="s">
        <v>439</v>
      </c>
      <c r="L41" s="64">
        <v>0.7</v>
      </c>
      <c r="M41" s="4">
        <v>127.9</v>
      </c>
      <c r="N41" s="64">
        <v>0.3</v>
      </c>
      <c r="O41" s="64">
        <v>0.5</v>
      </c>
    </row>
    <row r="42" spans="1:15">
      <c r="J42" s="260"/>
      <c r="K42" s="66" t="s">
        <v>440</v>
      </c>
      <c r="L42" s="64">
        <v>0.3</v>
      </c>
      <c r="M42" s="4">
        <v>3.9</v>
      </c>
      <c r="N42" s="64">
        <v>0.3</v>
      </c>
      <c r="O42" s="64">
        <v>0.4</v>
      </c>
    </row>
    <row r="43" spans="1:15">
      <c r="J43" s="260"/>
      <c r="K43" s="66" t="s">
        <v>441</v>
      </c>
      <c r="L43" s="64">
        <v>0.3</v>
      </c>
      <c r="M43" s="4">
        <v>6</v>
      </c>
      <c r="N43" s="64">
        <v>0.2</v>
      </c>
      <c r="O43" s="64">
        <v>0.4</v>
      </c>
    </row>
    <row r="44" spans="1:15">
      <c r="J44" s="260"/>
      <c r="K44" s="66" t="s">
        <v>443</v>
      </c>
      <c r="L44" s="64" t="s">
        <v>138</v>
      </c>
      <c r="M44" s="4" t="s">
        <v>138</v>
      </c>
      <c r="N44" s="64" t="s">
        <v>138</v>
      </c>
      <c r="O44" s="64" t="s">
        <v>138</v>
      </c>
    </row>
    <row r="45" spans="1:15">
      <c r="J45" s="260"/>
      <c r="K45" s="66" t="s">
        <v>445</v>
      </c>
      <c r="L45" s="64">
        <v>0.3</v>
      </c>
      <c r="M45" s="4">
        <v>6.3</v>
      </c>
      <c r="N45" s="64">
        <v>0.3</v>
      </c>
      <c r="O45" s="64">
        <v>0.4</v>
      </c>
    </row>
    <row r="46" spans="1:15">
      <c r="J46" s="260"/>
      <c r="K46" s="66" t="s">
        <v>446</v>
      </c>
      <c r="L46" s="64">
        <v>0.3</v>
      </c>
      <c r="M46" s="4">
        <v>6</v>
      </c>
      <c r="N46" s="64">
        <v>0.3</v>
      </c>
      <c r="O46" s="64">
        <v>0.4</v>
      </c>
    </row>
    <row r="47" spans="1:15">
      <c r="J47" s="260"/>
      <c r="K47" s="66" t="s">
        <v>447</v>
      </c>
      <c r="L47" s="64">
        <v>0.7</v>
      </c>
      <c r="M47" s="4">
        <v>225.9</v>
      </c>
      <c r="N47" s="64">
        <v>0.7</v>
      </c>
      <c r="O47" s="4">
        <v>14.3</v>
      </c>
    </row>
    <row r="48" spans="1:15">
      <c r="A48" s="272" t="s">
        <v>342</v>
      </c>
      <c r="B48" s="273"/>
      <c r="C48" s="273"/>
      <c r="D48" s="273"/>
      <c r="E48" s="273"/>
      <c r="F48" s="273"/>
      <c r="G48" s="274"/>
      <c r="J48" s="260"/>
      <c r="K48" s="66" t="s">
        <v>448</v>
      </c>
      <c r="L48" s="64">
        <v>0.3</v>
      </c>
      <c r="M48" s="64">
        <v>19.7</v>
      </c>
      <c r="N48" s="64">
        <v>0.3</v>
      </c>
      <c r="O48" s="64">
        <v>0.5</v>
      </c>
    </row>
    <row r="49" spans="1:15">
      <c r="A49" s="263" t="s">
        <v>459</v>
      </c>
      <c r="B49" s="264"/>
      <c r="C49" s="264"/>
      <c r="D49" s="264"/>
      <c r="E49" s="264"/>
      <c r="F49" s="264"/>
      <c r="G49" s="265"/>
      <c r="J49" s="260"/>
      <c r="K49" s="62" t="s">
        <v>449</v>
      </c>
      <c r="L49" s="62">
        <f>AVERAGE(L37:L48)</f>
        <v>0.42727272727272719</v>
      </c>
      <c r="M49" s="62">
        <f>MAX(M37:M48)</f>
        <v>225.9</v>
      </c>
      <c r="N49" s="62">
        <f>AVERAGE(N37:N48)</f>
        <v>0.36363636363636365</v>
      </c>
      <c r="O49" s="62">
        <f>MAX(O37:O48)</f>
        <v>14.3</v>
      </c>
    </row>
    <row r="50" spans="1:15">
      <c r="A50" s="266"/>
      <c r="B50" s="267"/>
      <c r="C50" s="267"/>
      <c r="D50" s="267"/>
      <c r="E50" s="267"/>
      <c r="F50" s="267"/>
      <c r="G50" s="268"/>
    </row>
    <row r="51" spans="1:15" ht="27.95">
      <c r="A51" s="266"/>
      <c r="B51" s="267"/>
      <c r="C51" s="267"/>
      <c r="D51" s="267"/>
      <c r="E51" s="267"/>
      <c r="F51" s="267"/>
      <c r="G51" s="268"/>
      <c r="J51" s="61">
        <f>+A6</f>
        <v>2022</v>
      </c>
      <c r="K51" s="61" t="s">
        <v>430</v>
      </c>
      <c r="L51" s="67" t="s">
        <v>425</v>
      </c>
      <c r="M51" s="67" t="s">
        <v>431</v>
      </c>
      <c r="N51" s="67" t="s">
        <v>428</v>
      </c>
      <c r="O51" s="67" t="s">
        <v>432</v>
      </c>
    </row>
    <row r="52" spans="1:15">
      <c r="A52" s="269"/>
      <c r="B52" s="270"/>
      <c r="C52" s="270"/>
      <c r="D52" s="270"/>
      <c r="E52" s="270"/>
      <c r="F52" s="270"/>
      <c r="G52" s="271"/>
      <c r="J52" s="260" t="s">
        <v>192</v>
      </c>
      <c r="K52" s="66" t="s">
        <v>433</v>
      </c>
      <c r="L52" s="64"/>
      <c r="M52" s="64"/>
      <c r="N52" s="64"/>
      <c r="O52" s="64"/>
    </row>
    <row r="53" spans="1:15">
      <c r="J53" s="260"/>
      <c r="K53" s="66" t="s">
        <v>434</v>
      </c>
      <c r="L53" s="64"/>
      <c r="M53" s="64"/>
      <c r="N53" s="64"/>
      <c r="O53" s="64"/>
    </row>
    <row r="54" spans="1:15">
      <c r="J54" s="260"/>
      <c r="K54" s="66" t="s">
        <v>435</v>
      </c>
      <c r="L54" s="64"/>
      <c r="M54" s="64"/>
      <c r="N54" s="64"/>
      <c r="O54" s="64"/>
    </row>
    <row r="55" spans="1:15">
      <c r="J55" s="260"/>
      <c r="K55" s="66" t="s">
        <v>437</v>
      </c>
      <c r="L55" s="64"/>
      <c r="M55" s="64"/>
      <c r="N55" s="64"/>
      <c r="O55" s="64"/>
    </row>
    <row r="56" spans="1:15">
      <c r="J56" s="260"/>
      <c r="K56" s="66" t="s">
        <v>439</v>
      </c>
      <c r="L56" s="64"/>
      <c r="M56" s="64"/>
      <c r="N56" s="64"/>
      <c r="O56" s="64"/>
    </row>
    <row r="57" spans="1:15">
      <c r="J57" s="260"/>
      <c r="K57" s="66" t="s">
        <v>440</v>
      </c>
      <c r="L57" s="64"/>
      <c r="M57" s="64"/>
      <c r="N57" s="64"/>
      <c r="O57" s="64"/>
    </row>
    <row r="58" spans="1:15">
      <c r="J58" s="260"/>
      <c r="K58" s="66" t="s">
        <v>441</v>
      </c>
      <c r="L58" s="64"/>
      <c r="M58" s="64"/>
      <c r="N58" s="64"/>
      <c r="O58" s="64"/>
    </row>
    <row r="59" spans="1:15">
      <c r="J59" s="260"/>
      <c r="K59" s="66" t="s">
        <v>443</v>
      </c>
      <c r="L59" s="64"/>
      <c r="M59" s="64"/>
      <c r="N59" s="64"/>
      <c r="O59" s="64"/>
    </row>
    <row r="60" spans="1:15">
      <c r="J60" s="260"/>
      <c r="K60" s="66" t="s">
        <v>445</v>
      </c>
      <c r="L60" s="64"/>
      <c r="M60" s="64"/>
      <c r="N60" s="64"/>
      <c r="O60" s="64"/>
    </row>
    <row r="61" spans="1:15">
      <c r="J61" s="260"/>
      <c r="K61" s="66" t="s">
        <v>446</v>
      </c>
      <c r="L61" s="64"/>
      <c r="M61" s="64"/>
      <c r="N61" s="64"/>
      <c r="O61" s="64"/>
    </row>
    <row r="62" spans="1:15">
      <c r="J62" s="260"/>
      <c r="K62" s="66" t="s">
        <v>447</v>
      </c>
      <c r="L62" s="64"/>
      <c r="M62" s="64"/>
      <c r="N62" s="64"/>
      <c r="O62" s="64"/>
    </row>
    <row r="63" spans="1:15">
      <c r="J63" s="260"/>
      <c r="K63" s="66" t="s">
        <v>448</v>
      </c>
      <c r="L63" s="64"/>
      <c r="M63" s="64"/>
      <c r="N63" s="64"/>
      <c r="O63" s="64"/>
    </row>
    <row r="64" spans="1:15">
      <c r="J64" s="260"/>
      <c r="K64" s="62" t="s">
        <v>449</v>
      </c>
      <c r="L64" s="62" t="e">
        <f>AVERAGE(L52:L63)</f>
        <v>#DIV/0!</v>
      </c>
      <c r="M64" s="62">
        <f>MAX(M52:M63)</f>
        <v>0</v>
      </c>
      <c r="N64" s="62" t="e">
        <f>AVERAGE(N52:N63)</f>
        <v>#DIV/0!</v>
      </c>
      <c r="O64" s="62">
        <f>MAX(O52:O63)</f>
        <v>0</v>
      </c>
    </row>
    <row r="66" spans="10:15" ht="27.95">
      <c r="J66" s="61">
        <f>+A6</f>
        <v>2022</v>
      </c>
      <c r="K66" s="61" t="s">
        <v>430</v>
      </c>
      <c r="L66" s="67" t="s">
        <v>425</v>
      </c>
      <c r="M66" s="67" t="s">
        <v>431</v>
      </c>
      <c r="N66" s="67" t="s">
        <v>428</v>
      </c>
      <c r="O66" s="67" t="s">
        <v>432</v>
      </c>
    </row>
    <row r="67" spans="10:15">
      <c r="J67" s="260" t="s">
        <v>193</v>
      </c>
      <c r="K67" s="66" t="s">
        <v>433</v>
      </c>
      <c r="L67" s="64"/>
      <c r="M67" s="64"/>
      <c r="N67" s="64"/>
      <c r="O67" s="64"/>
    </row>
    <row r="68" spans="10:15">
      <c r="J68" s="260"/>
      <c r="K68" s="66" t="s">
        <v>434</v>
      </c>
      <c r="L68" s="64"/>
      <c r="M68" s="64"/>
      <c r="N68" s="64"/>
      <c r="O68" s="64"/>
    </row>
    <row r="69" spans="10:15">
      <c r="J69" s="260"/>
      <c r="K69" s="66" t="s">
        <v>435</v>
      </c>
      <c r="L69" s="64"/>
      <c r="M69" s="64"/>
      <c r="N69" s="64"/>
      <c r="O69" s="64"/>
    </row>
    <row r="70" spans="10:15">
      <c r="J70" s="260"/>
      <c r="K70" s="66" t="s">
        <v>437</v>
      </c>
      <c r="L70" s="64"/>
      <c r="M70" s="64"/>
      <c r="N70" s="64"/>
      <c r="O70" s="64"/>
    </row>
    <row r="71" spans="10:15">
      <c r="J71" s="260"/>
      <c r="K71" s="66" t="s">
        <v>439</v>
      </c>
      <c r="L71" s="64"/>
      <c r="M71" s="64"/>
      <c r="N71" s="64"/>
      <c r="O71" s="64"/>
    </row>
    <row r="72" spans="10:15">
      <c r="J72" s="260"/>
      <c r="K72" s="66" t="s">
        <v>440</v>
      </c>
      <c r="L72" s="64"/>
      <c r="M72" s="64"/>
      <c r="N72" s="64"/>
      <c r="O72" s="64"/>
    </row>
    <row r="73" spans="10:15">
      <c r="J73" s="260"/>
      <c r="K73" s="66" t="s">
        <v>441</v>
      </c>
      <c r="L73" s="64"/>
      <c r="M73" s="64"/>
      <c r="N73" s="64"/>
      <c r="O73" s="64"/>
    </row>
    <row r="74" spans="10:15">
      <c r="J74" s="260"/>
      <c r="K74" s="66" t="s">
        <v>443</v>
      </c>
      <c r="L74" s="64"/>
      <c r="M74" s="64"/>
      <c r="N74" s="64"/>
      <c r="O74" s="64"/>
    </row>
    <row r="75" spans="10:15">
      <c r="J75" s="260"/>
      <c r="K75" s="66" t="s">
        <v>445</v>
      </c>
      <c r="L75" s="64"/>
      <c r="M75" s="64"/>
      <c r="N75" s="64"/>
      <c r="O75" s="64"/>
    </row>
    <row r="76" spans="10:15">
      <c r="J76" s="260"/>
      <c r="K76" s="66" t="s">
        <v>446</v>
      </c>
      <c r="L76" s="64"/>
      <c r="M76" s="64"/>
      <c r="N76" s="64"/>
      <c r="O76" s="64"/>
    </row>
    <row r="77" spans="10:15">
      <c r="J77" s="260"/>
      <c r="K77" s="66" t="s">
        <v>447</v>
      </c>
      <c r="L77" s="64"/>
      <c r="M77" s="64"/>
      <c r="N77" s="64"/>
      <c r="O77" s="64"/>
    </row>
    <row r="78" spans="10:15">
      <c r="J78" s="260"/>
      <c r="K78" s="66" t="s">
        <v>448</v>
      </c>
      <c r="L78" s="64"/>
      <c r="M78" s="64"/>
      <c r="N78" s="64"/>
      <c r="O78" s="64"/>
    </row>
    <row r="79" spans="10:15">
      <c r="J79" s="26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workbookViewId="0">
      <selection activeCell="I13" sqref="I13"/>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42578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Rookery Pit Energy Recovery Facility</v>
      </c>
    </row>
    <row r="3" spans="1:19" ht="14.45">
      <c r="A3" s="60" t="s">
        <v>460</v>
      </c>
      <c r="D3" s="76" t="s">
        <v>417</v>
      </c>
      <c r="G3" s="80" t="s">
        <v>418</v>
      </c>
      <c r="J3" s="9" t="str">
        <f>+A3</f>
        <v>Monitoring of Particulate matter emissions</v>
      </c>
      <c r="L3" s="9"/>
      <c r="N3" s="9" t="s">
        <v>419</v>
      </c>
      <c r="Q3" s="79" t="s">
        <v>3</v>
      </c>
      <c r="R3" s="74"/>
      <c r="S3" s="74"/>
    </row>
    <row r="4" spans="1:19" ht="14.1" customHeight="1">
      <c r="Q4" s="251" t="s">
        <v>420</v>
      </c>
      <c r="R4" s="251"/>
      <c r="S4" s="251"/>
    </row>
    <row r="5" spans="1:19" ht="15.95">
      <c r="A5" s="68" t="s">
        <v>421</v>
      </c>
      <c r="B5" s="262" t="s">
        <v>422</v>
      </c>
      <c r="C5" s="262"/>
      <c r="D5" s="262"/>
      <c r="E5" s="262" t="s">
        <v>423</v>
      </c>
      <c r="F5" s="262"/>
      <c r="G5" s="262"/>
      <c r="J5" s="261"/>
      <c r="K5" s="261"/>
      <c r="L5" s="261"/>
      <c r="M5" s="261"/>
      <c r="N5" s="261"/>
      <c r="O5" s="261"/>
      <c r="Q5" s="251"/>
      <c r="R5" s="251"/>
      <c r="S5" s="251"/>
    </row>
    <row r="6" spans="1:19" s="58" customFormat="1" ht="37.5" customHeight="1">
      <c r="A6" s="65">
        <f>+'Cover Page'!C39</f>
        <v>2022</v>
      </c>
      <c r="B6" s="55" t="s">
        <v>461</v>
      </c>
      <c r="C6" s="55" t="s">
        <v>425</v>
      </c>
      <c r="D6" s="55" t="s">
        <v>426</v>
      </c>
      <c r="E6" s="55" t="s">
        <v>462</v>
      </c>
      <c r="F6" s="55" t="s">
        <v>428</v>
      </c>
      <c r="G6" s="55" t="s">
        <v>429</v>
      </c>
      <c r="H6" s="59"/>
      <c r="J6" s="61">
        <f>+A6</f>
        <v>2022</v>
      </c>
      <c r="K6" s="61" t="s">
        <v>430</v>
      </c>
      <c r="L6" s="67" t="s">
        <v>425</v>
      </c>
      <c r="M6" s="67" t="s">
        <v>431</v>
      </c>
      <c r="N6" s="67" t="s">
        <v>428</v>
      </c>
      <c r="O6" s="67" t="s">
        <v>432</v>
      </c>
      <c r="Q6" s="251"/>
      <c r="R6" s="251"/>
      <c r="S6" s="251"/>
    </row>
    <row r="7" spans="1:19">
      <c r="A7" s="66" t="s">
        <v>433</v>
      </c>
      <c r="B7" s="63">
        <v>30</v>
      </c>
      <c r="C7" s="107">
        <f>AVERAGE(L7,L22,L37)</f>
        <v>0</v>
      </c>
      <c r="D7" s="64">
        <f>MAX(M7,M22,M37)</f>
        <v>0.3</v>
      </c>
      <c r="E7" s="63">
        <v>10</v>
      </c>
      <c r="F7" s="107">
        <f>AVERAGE(N7,N22,N37)</f>
        <v>0</v>
      </c>
      <c r="G7" s="64">
        <f>MAX(O7,O22,O37)</f>
        <v>0</v>
      </c>
      <c r="J7" s="260" t="s">
        <v>189</v>
      </c>
      <c r="K7" s="66" t="s">
        <v>433</v>
      </c>
      <c r="L7" s="64">
        <v>0</v>
      </c>
      <c r="M7" s="64">
        <v>0.3</v>
      </c>
      <c r="N7" s="64">
        <v>0</v>
      </c>
      <c r="O7" s="64">
        <v>0</v>
      </c>
      <c r="Q7" s="251"/>
      <c r="R7" s="251"/>
      <c r="S7" s="251"/>
    </row>
    <row r="8" spans="1:19">
      <c r="A8" s="66" t="s">
        <v>434</v>
      </c>
      <c r="B8" s="63">
        <v>30</v>
      </c>
      <c r="C8" s="107">
        <f t="shared" ref="C8:C17" si="0">AVERAGE(L8,L23,L38)</f>
        <v>0</v>
      </c>
      <c r="D8" s="64">
        <f t="shared" ref="D8:D17" si="1">MAX(M8,M23,M38)</f>
        <v>0.3</v>
      </c>
      <c r="E8" s="63">
        <v>10</v>
      </c>
      <c r="F8" s="107">
        <f t="shared" ref="F8:F17" si="2">AVERAGE(N8,N23,N38)</f>
        <v>0</v>
      </c>
      <c r="G8" s="64">
        <f t="shared" ref="G8:G17" si="3">MAX(O8,O23,O38)</f>
        <v>0.1</v>
      </c>
      <c r="J8" s="260"/>
      <c r="K8" s="66" t="s">
        <v>434</v>
      </c>
      <c r="L8" s="64">
        <v>0</v>
      </c>
      <c r="M8" s="64">
        <v>0.1</v>
      </c>
      <c r="N8" s="64">
        <v>0</v>
      </c>
      <c r="O8" s="64">
        <v>0</v>
      </c>
      <c r="Q8" s="251"/>
      <c r="R8" s="251"/>
      <c r="S8" s="251"/>
    </row>
    <row r="9" spans="1:19">
      <c r="A9" s="66" t="s">
        <v>435</v>
      </c>
      <c r="B9" s="63">
        <v>30</v>
      </c>
      <c r="C9" s="107">
        <f t="shared" si="0"/>
        <v>0.16666666666666666</v>
      </c>
      <c r="D9" s="64">
        <f t="shared" si="1"/>
        <v>3.5</v>
      </c>
      <c r="E9" s="63">
        <v>10</v>
      </c>
      <c r="F9" s="107">
        <f t="shared" si="2"/>
        <v>0.10000000000000002</v>
      </c>
      <c r="G9" s="64">
        <f t="shared" si="3"/>
        <v>1.9</v>
      </c>
      <c r="J9" s="260"/>
      <c r="K9" s="66" t="s">
        <v>435</v>
      </c>
      <c r="L9" s="64">
        <v>0.2</v>
      </c>
      <c r="M9" s="64">
        <v>1.3</v>
      </c>
      <c r="N9" s="64">
        <v>0.2</v>
      </c>
      <c r="O9" s="64">
        <v>0.7</v>
      </c>
      <c r="Q9" s="78" t="s">
        <v>436</v>
      </c>
    </row>
    <row r="10" spans="1:19" ht="14.25" customHeight="1">
      <c r="A10" s="66" t="s">
        <v>437</v>
      </c>
      <c r="B10" s="63">
        <v>30</v>
      </c>
      <c r="C10" s="107">
        <f t="shared" si="0"/>
        <v>0.46666666666666662</v>
      </c>
      <c r="D10" s="64">
        <f t="shared" si="1"/>
        <v>17.2</v>
      </c>
      <c r="E10" s="63">
        <v>10</v>
      </c>
      <c r="F10" s="107">
        <f t="shared" si="2"/>
        <v>0.43333333333333329</v>
      </c>
      <c r="G10" s="64">
        <f t="shared" si="3"/>
        <v>7.3</v>
      </c>
      <c r="J10" s="260"/>
      <c r="K10" s="66" t="s">
        <v>437</v>
      </c>
      <c r="L10" s="64">
        <v>0.7</v>
      </c>
      <c r="M10" s="64">
        <v>1.7</v>
      </c>
      <c r="N10" s="64">
        <v>0.6</v>
      </c>
      <c r="O10" s="64">
        <v>1.2</v>
      </c>
      <c r="Q10" s="259" t="s">
        <v>438</v>
      </c>
      <c r="R10" s="259"/>
      <c r="S10" s="259"/>
    </row>
    <row r="11" spans="1:19">
      <c r="A11" s="66" t="s">
        <v>439</v>
      </c>
      <c r="B11" s="63">
        <v>30</v>
      </c>
      <c r="C11" s="107">
        <f t="shared" si="0"/>
        <v>0.3</v>
      </c>
      <c r="D11" s="64">
        <f t="shared" si="1"/>
        <v>2.4</v>
      </c>
      <c r="E11" s="63">
        <v>10</v>
      </c>
      <c r="F11" s="107">
        <f t="shared" si="2"/>
        <v>0.3</v>
      </c>
      <c r="G11" s="64">
        <f t="shared" si="3"/>
        <v>1.9</v>
      </c>
      <c r="J11" s="260"/>
      <c r="K11" s="66" t="s">
        <v>439</v>
      </c>
      <c r="L11" s="64">
        <v>0.6</v>
      </c>
      <c r="M11" s="64">
        <v>1.7</v>
      </c>
      <c r="N11" s="64">
        <v>0.6</v>
      </c>
      <c r="O11" s="64">
        <v>1</v>
      </c>
      <c r="Q11" s="259"/>
      <c r="R11" s="259"/>
      <c r="S11" s="259"/>
    </row>
    <row r="12" spans="1:19">
      <c r="A12" s="66" t="s">
        <v>440</v>
      </c>
      <c r="B12" s="63">
        <v>30</v>
      </c>
      <c r="C12" s="107">
        <f t="shared" si="0"/>
        <v>0.19999999999999998</v>
      </c>
      <c r="D12" s="64">
        <f t="shared" si="1"/>
        <v>1.6</v>
      </c>
      <c r="E12" s="63">
        <v>10</v>
      </c>
      <c r="F12" s="107">
        <f t="shared" si="2"/>
        <v>0.19999999999999998</v>
      </c>
      <c r="G12" s="64">
        <f t="shared" si="3"/>
        <v>0.9</v>
      </c>
      <c r="J12" s="260"/>
      <c r="K12" s="66" t="s">
        <v>440</v>
      </c>
      <c r="L12" s="64">
        <v>0.6</v>
      </c>
      <c r="M12" s="64">
        <v>1.6</v>
      </c>
      <c r="N12" s="64">
        <v>0.6</v>
      </c>
      <c r="O12" s="64">
        <v>0.9</v>
      </c>
      <c r="Q12" s="259"/>
      <c r="R12" s="259"/>
      <c r="S12" s="259"/>
    </row>
    <row r="13" spans="1:19" ht="14.25" customHeight="1">
      <c r="A13" s="66" t="s">
        <v>441</v>
      </c>
      <c r="B13" s="63">
        <v>30</v>
      </c>
      <c r="C13" s="107">
        <f t="shared" si="0"/>
        <v>0.3</v>
      </c>
      <c r="D13" s="64">
        <f t="shared" si="1"/>
        <v>2.1</v>
      </c>
      <c r="E13" s="63">
        <v>10</v>
      </c>
      <c r="F13" s="107">
        <f t="shared" si="2"/>
        <v>0.26666666666666666</v>
      </c>
      <c r="G13" s="64">
        <f t="shared" si="3"/>
        <v>1.5</v>
      </c>
      <c r="J13" s="260"/>
      <c r="K13" s="66" t="s">
        <v>441</v>
      </c>
      <c r="L13" s="64">
        <v>0.8</v>
      </c>
      <c r="M13" s="64">
        <v>2.1</v>
      </c>
      <c r="N13" s="64">
        <v>0.8</v>
      </c>
      <c r="O13" s="64">
        <v>1.5</v>
      </c>
      <c r="Q13" s="259" t="s">
        <v>442</v>
      </c>
      <c r="R13" s="259"/>
      <c r="S13" s="259"/>
    </row>
    <row r="14" spans="1:19">
      <c r="A14" s="66" t="s">
        <v>443</v>
      </c>
      <c r="B14" s="63">
        <v>30</v>
      </c>
      <c r="C14" s="107" t="s">
        <v>444</v>
      </c>
      <c r="D14" s="64" t="s">
        <v>444</v>
      </c>
      <c r="E14" s="63">
        <v>10</v>
      </c>
      <c r="F14" s="107" t="s">
        <v>444</v>
      </c>
      <c r="G14" s="64" t="s">
        <v>444</v>
      </c>
      <c r="J14" s="260"/>
      <c r="K14" s="66" t="s">
        <v>443</v>
      </c>
      <c r="L14" s="64" t="s">
        <v>138</v>
      </c>
      <c r="M14" s="64" t="s">
        <v>138</v>
      </c>
      <c r="N14" s="64" t="s">
        <v>138</v>
      </c>
      <c r="O14" s="64" t="s">
        <v>138</v>
      </c>
      <c r="Q14" s="259"/>
      <c r="R14" s="259"/>
      <c r="S14" s="259"/>
    </row>
    <row r="15" spans="1:19">
      <c r="A15" s="66" t="s">
        <v>445</v>
      </c>
      <c r="B15" s="63">
        <v>30</v>
      </c>
      <c r="C15" s="107">
        <f t="shared" si="0"/>
        <v>3.3333333333333333E-2</v>
      </c>
      <c r="D15" s="64">
        <f t="shared" si="1"/>
        <v>0.7</v>
      </c>
      <c r="E15" s="63">
        <v>10</v>
      </c>
      <c r="F15" s="107">
        <f t="shared" si="2"/>
        <v>0</v>
      </c>
      <c r="G15" s="64">
        <f t="shared" si="3"/>
        <v>0.3</v>
      </c>
      <c r="J15" s="260"/>
      <c r="K15" s="66" t="s">
        <v>445</v>
      </c>
      <c r="L15" s="64">
        <v>0</v>
      </c>
      <c r="M15" s="64">
        <v>0.1</v>
      </c>
      <c r="N15" s="64">
        <v>0</v>
      </c>
      <c r="O15" s="64">
        <v>0.1</v>
      </c>
      <c r="Q15" s="259"/>
      <c r="R15" s="259"/>
      <c r="S15" s="259"/>
    </row>
    <row r="16" spans="1:19">
      <c r="A16" s="66" t="s">
        <v>446</v>
      </c>
      <c r="B16" s="63">
        <v>30</v>
      </c>
      <c r="C16" s="107">
        <f t="shared" si="0"/>
        <v>0</v>
      </c>
      <c r="D16" s="64">
        <f t="shared" si="1"/>
        <v>3.4</v>
      </c>
      <c r="E16" s="63">
        <v>10</v>
      </c>
      <c r="F16" s="107">
        <f t="shared" si="2"/>
        <v>0</v>
      </c>
      <c r="G16" s="64">
        <f t="shared" si="3"/>
        <v>0.1</v>
      </c>
      <c r="J16" s="260"/>
      <c r="K16" s="66" t="s">
        <v>446</v>
      </c>
      <c r="L16" s="64">
        <v>0</v>
      </c>
      <c r="M16" s="64">
        <v>3.4</v>
      </c>
      <c r="N16" s="64">
        <v>0</v>
      </c>
      <c r="O16" s="64">
        <v>0.1</v>
      </c>
      <c r="Q16" s="259"/>
      <c r="R16" s="259"/>
      <c r="S16" s="259"/>
    </row>
    <row r="17" spans="1:15">
      <c r="A17" s="66" t="s">
        <v>447</v>
      </c>
      <c r="B17" s="63">
        <v>30</v>
      </c>
      <c r="C17" s="107">
        <f t="shared" si="0"/>
        <v>6.6666666666666666E-2</v>
      </c>
      <c r="D17" s="64">
        <f t="shared" si="1"/>
        <v>0.6</v>
      </c>
      <c r="E17" s="63">
        <v>10</v>
      </c>
      <c r="F17" s="107">
        <f t="shared" si="2"/>
        <v>3.3333333333333333E-2</v>
      </c>
      <c r="G17" s="64">
        <f t="shared" si="3"/>
        <v>0.3</v>
      </c>
      <c r="J17" s="260"/>
      <c r="K17" s="66" t="s">
        <v>447</v>
      </c>
      <c r="L17" s="64">
        <v>0</v>
      </c>
      <c r="M17" s="64">
        <v>0.2</v>
      </c>
      <c r="N17" s="64">
        <v>0</v>
      </c>
      <c r="O17" s="64">
        <v>0.1</v>
      </c>
    </row>
    <row r="18" spans="1:15">
      <c r="A18" s="66" t="s">
        <v>448</v>
      </c>
      <c r="B18" s="63">
        <v>30</v>
      </c>
      <c r="C18" s="64"/>
      <c r="D18" s="64"/>
      <c r="E18" s="63">
        <v>10</v>
      </c>
      <c r="F18" s="64"/>
      <c r="G18" s="64"/>
      <c r="J18" s="260"/>
      <c r="K18" s="66" t="s">
        <v>448</v>
      </c>
      <c r="L18" s="64">
        <v>0</v>
      </c>
      <c r="M18" s="64">
        <v>0.2</v>
      </c>
      <c r="N18" s="64">
        <v>0</v>
      </c>
      <c r="O18" s="64">
        <v>0.1</v>
      </c>
    </row>
    <row r="19" spans="1:15">
      <c r="J19" s="260"/>
      <c r="K19" s="62" t="s">
        <v>449</v>
      </c>
      <c r="L19" s="62">
        <f>AVERAGE(L7:L18)</f>
        <v>0.26363636363636367</v>
      </c>
      <c r="M19" s="62">
        <f>MAX(M7:M18)</f>
        <v>3.4</v>
      </c>
      <c r="N19" s="62">
        <f>AVERAGE(N7:N18)</f>
        <v>0.25454545454545452</v>
      </c>
      <c r="O19" s="62">
        <f>MAX(O7:O18)</f>
        <v>1.5</v>
      </c>
    </row>
    <row r="21" spans="1:15" ht="27.95">
      <c r="J21" s="61">
        <f>+A6</f>
        <v>2022</v>
      </c>
      <c r="K21" s="61" t="s">
        <v>430</v>
      </c>
      <c r="L21" s="67" t="s">
        <v>425</v>
      </c>
      <c r="M21" s="67" t="s">
        <v>431</v>
      </c>
      <c r="N21" s="67" t="s">
        <v>428</v>
      </c>
      <c r="O21" s="67" t="s">
        <v>432</v>
      </c>
    </row>
    <row r="22" spans="1:15">
      <c r="J22" s="260" t="s">
        <v>190</v>
      </c>
      <c r="K22" s="66" t="s">
        <v>433</v>
      </c>
      <c r="L22" s="64">
        <v>0</v>
      </c>
      <c r="M22" s="64">
        <v>0.1</v>
      </c>
      <c r="N22" s="64">
        <v>0</v>
      </c>
      <c r="O22" s="64">
        <v>0</v>
      </c>
    </row>
    <row r="23" spans="1:15">
      <c r="J23" s="260"/>
      <c r="K23" s="66" t="s">
        <v>434</v>
      </c>
      <c r="L23" s="64">
        <v>0</v>
      </c>
      <c r="M23" s="64">
        <v>0.2</v>
      </c>
      <c r="N23" s="64">
        <v>0</v>
      </c>
      <c r="O23" s="64">
        <v>0.1</v>
      </c>
    </row>
    <row r="24" spans="1:15">
      <c r="J24" s="260"/>
      <c r="K24" s="66" t="s">
        <v>435</v>
      </c>
      <c r="L24" s="64">
        <v>0.3</v>
      </c>
      <c r="M24" s="64">
        <v>3.5</v>
      </c>
      <c r="N24" s="64">
        <v>0.2</v>
      </c>
      <c r="O24" s="64">
        <v>1.9</v>
      </c>
    </row>
    <row r="25" spans="1:15">
      <c r="J25" s="260"/>
      <c r="K25" s="66" t="s">
        <v>437</v>
      </c>
      <c r="L25" s="64">
        <v>0.7</v>
      </c>
      <c r="M25" s="64">
        <v>17.2</v>
      </c>
      <c r="N25" s="64">
        <v>0.7</v>
      </c>
      <c r="O25" s="64">
        <v>7.3</v>
      </c>
    </row>
    <row r="26" spans="1:15">
      <c r="J26" s="260"/>
      <c r="K26" s="66" t="s">
        <v>439</v>
      </c>
      <c r="L26" s="64">
        <v>0.3</v>
      </c>
      <c r="M26" s="64">
        <v>2.4</v>
      </c>
      <c r="N26" s="64">
        <v>0.3</v>
      </c>
      <c r="O26" s="64">
        <v>1.9</v>
      </c>
    </row>
    <row r="27" spans="1:15">
      <c r="J27" s="260"/>
      <c r="K27" s="66" t="s">
        <v>440</v>
      </c>
      <c r="L27" s="64">
        <v>0</v>
      </c>
      <c r="M27" s="64">
        <v>0.2</v>
      </c>
      <c r="N27" s="64">
        <v>0</v>
      </c>
      <c r="O27" s="64">
        <v>0.1</v>
      </c>
    </row>
    <row r="28" spans="1:15">
      <c r="J28" s="260"/>
      <c r="K28" s="66" t="s">
        <v>441</v>
      </c>
      <c r="L28" s="64">
        <v>0</v>
      </c>
      <c r="M28" s="64">
        <v>0.1</v>
      </c>
      <c r="N28" s="64">
        <v>0</v>
      </c>
      <c r="O28" s="64">
        <v>0.1</v>
      </c>
    </row>
    <row r="29" spans="1:15">
      <c r="J29" s="260"/>
      <c r="K29" s="66" t="s">
        <v>443</v>
      </c>
      <c r="L29" s="64" t="s">
        <v>138</v>
      </c>
      <c r="M29" s="64" t="s">
        <v>138</v>
      </c>
      <c r="N29" s="64" t="s">
        <v>138</v>
      </c>
      <c r="O29" s="64" t="s">
        <v>138</v>
      </c>
    </row>
    <row r="30" spans="1:15">
      <c r="J30" s="260"/>
      <c r="K30" s="66" t="s">
        <v>445</v>
      </c>
      <c r="L30" s="64">
        <v>0</v>
      </c>
      <c r="M30" s="64">
        <v>0.1</v>
      </c>
      <c r="N30" s="64">
        <v>0</v>
      </c>
      <c r="O30" s="64">
        <v>0.1</v>
      </c>
    </row>
    <row r="31" spans="1:15">
      <c r="J31" s="260"/>
      <c r="K31" s="66" t="s">
        <v>446</v>
      </c>
      <c r="L31" s="64">
        <v>0</v>
      </c>
      <c r="M31" s="64">
        <v>0.2</v>
      </c>
      <c r="N31" s="64">
        <v>0</v>
      </c>
      <c r="O31" s="64">
        <v>0.1</v>
      </c>
    </row>
    <row r="32" spans="1:15">
      <c r="J32" s="260"/>
      <c r="K32" s="66" t="s">
        <v>447</v>
      </c>
      <c r="L32" s="64">
        <v>0.1</v>
      </c>
      <c r="M32" s="64">
        <v>0.1</v>
      </c>
      <c r="N32" s="64">
        <v>0</v>
      </c>
      <c r="O32" s="64">
        <v>0.1</v>
      </c>
    </row>
    <row r="33" spans="1:15">
      <c r="J33" s="260"/>
      <c r="K33" s="66" t="s">
        <v>448</v>
      </c>
      <c r="L33" s="64">
        <v>0.1</v>
      </c>
      <c r="M33" s="64">
        <v>0.2</v>
      </c>
      <c r="N33" s="64">
        <v>0</v>
      </c>
      <c r="O33" s="64">
        <v>0.1</v>
      </c>
    </row>
    <row r="34" spans="1:15">
      <c r="J34" s="260"/>
      <c r="K34" s="62" t="s">
        <v>449</v>
      </c>
      <c r="L34" s="62">
        <f>AVERAGE(L22:L33)</f>
        <v>0.13636363636363638</v>
      </c>
      <c r="M34" s="62">
        <f>MAX(M22:M33)</f>
        <v>17.2</v>
      </c>
      <c r="N34" s="62">
        <f>AVERAGE(N22:N33)</f>
        <v>0.10909090909090909</v>
      </c>
      <c r="O34" s="62">
        <f>MAX(O22:O33)</f>
        <v>7.3</v>
      </c>
    </row>
    <row r="36" spans="1:15" ht="27.95">
      <c r="J36" s="61">
        <f>+A6</f>
        <v>2022</v>
      </c>
      <c r="K36" s="61" t="s">
        <v>430</v>
      </c>
      <c r="L36" s="67" t="s">
        <v>425</v>
      </c>
      <c r="M36" s="67" t="s">
        <v>431</v>
      </c>
      <c r="N36" s="67" t="s">
        <v>428</v>
      </c>
      <c r="O36" s="67" t="s">
        <v>432</v>
      </c>
    </row>
    <row r="37" spans="1:15">
      <c r="J37" s="260" t="s">
        <v>191</v>
      </c>
      <c r="K37" s="66" t="s">
        <v>433</v>
      </c>
      <c r="L37" s="64">
        <v>0</v>
      </c>
      <c r="M37" s="64">
        <v>0</v>
      </c>
      <c r="N37" s="64">
        <v>0</v>
      </c>
      <c r="O37" s="64">
        <v>0</v>
      </c>
    </row>
    <row r="38" spans="1:15">
      <c r="J38" s="260"/>
      <c r="K38" s="66" t="s">
        <v>434</v>
      </c>
      <c r="L38" s="64">
        <v>0</v>
      </c>
      <c r="M38" s="64">
        <v>0.3</v>
      </c>
      <c r="N38" s="64">
        <v>0</v>
      </c>
      <c r="O38" s="64">
        <v>0</v>
      </c>
    </row>
    <row r="39" spans="1:15">
      <c r="J39" s="260"/>
      <c r="K39" s="66" t="s">
        <v>435</v>
      </c>
      <c r="L39" s="64">
        <v>0</v>
      </c>
      <c r="M39" s="64">
        <v>0</v>
      </c>
      <c r="N39" s="64">
        <v>-0.1</v>
      </c>
      <c r="O39" s="64">
        <v>0</v>
      </c>
    </row>
    <row r="40" spans="1:15">
      <c r="J40" s="260"/>
      <c r="K40" s="66" t="s">
        <v>437</v>
      </c>
      <c r="L40" s="64">
        <v>0</v>
      </c>
      <c r="M40" s="64">
        <v>0</v>
      </c>
      <c r="N40" s="64">
        <v>0</v>
      </c>
      <c r="O40" s="64">
        <v>0</v>
      </c>
    </row>
    <row r="41" spans="1:15">
      <c r="J41" s="260"/>
      <c r="K41" s="66" t="s">
        <v>439</v>
      </c>
      <c r="L41" s="64">
        <v>0</v>
      </c>
      <c r="M41" s="64">
        <v>0.1</v>
      </c>
      <c r="N41" s="64">
        <v>0</v>
      </c>
      <c r="O41" s="64">
        <v>0</v>
      </c>
    </row>
    <row r="42" spans="1:15">
      <c r="J42" s="260"/>
      <c r="K42" s="66" t="s">
        <v>440</v>
      </c>
      <c r="L42" s="64">
        <v>0</v>
      </c>
      <c r="M42" s="64">
        <v>0.2</v>
      </c>
      <c r="N42" s="64">
        <v>0</v>
      </c>
      <c r="O42" s="64">
        <v>0</v>
      </c>
    </row>
    <row r="43" spans="1:15">
      <c r="J43" s="260"/>
      <c r="K43" s="66" t="s">
        <v>441</v>
      </c>
      <c r="L43" s="64">
        <v>0.1</v>
      </c>
      <c r="M43" s="64">
        <v>0.4</v>
      </c>
      <c r="N43" s="64">
        <v>0</v>
      </c>
      <c r="O43" s="64">
        <v>0.1</v>
      </c>
    </row>
    <row r="44" spans="1:15">
      <c r="J44" s="260"/>
      <c r="K44" s="66" t="s">
        <v>443</v>
      </c>
      <c r="L44" s="64" t="s">
        <v>138</v>
      </c>
      <c r="M44" s="64" t="s">
        <v>138</v>
      </c>
      <c r="N44" s="64" t="s">
        <v>138</v>
      </c>
      <c r="O44" s="64" t="s">
        <v>138</v>
      </c>
    </row>
    <row r="45" spans="1:15">
      <c r="J45" s="260"/>
      <c r="K45" s="66" t="s">
        <v>445</v>
      </c>
      <c r="L45" s="64">
        <v>0.1</v>
      </c>
      <c r="M45" s="64">
        <v>0.7</v>
      </c>
      <c r="N45" s="64">
        <v>0</v>
      </c>
      <c r="O45" s="64">
        <v>0.3</v>
      </c>
    </row>
    <row r="46" spans="1:15">
      <c r="J46" s="260"/>
      <c r="K46" s="66" t="s">
        <v>446</v>
      </c>
      <c r="L46" s="64">
        <v>0</v>
      </c>
      <c r="M46" s="64">
        <v>0.4</v>
      </c>
      <c r="N46" s="64">
        <v>0</v>
      </c>
      <c r="O46" s="64">
        <v>0.1</v>
      </c>
    </row>
    <row r="47" spans="1:15">
      <c r="J47" s="260"/>
      <c r="K47" s="66" t="s">
        <v>447</v>
      </c>
      <c r="L47" s="64">
        <v>0.1</v>
      </c>
      <c r="M47" s="64">
        <v>0.6</v>
      </c>
      <c r="N47" s="64">
        <v>0.1</v>
      </c>
      <c r="O47" s="64">
        <v>0.3</v>
      </c>
    </row>
    <row r="48" spans="1:15">
      <c r="A48" s="272" t="s">
        <v>342</v>
      </c>
      <c r="B48" s="273"/>
      <c r="C48" s="273"/>
      <c r="D48" s="273"/>
      <c r="E48" s="273"/>
      <c r="F48" s="273"/>
      <c r="G48" s="274"/>
      <c r="J48" s="260"/>
      <c r="K48" s="66" t="s">
        <v>448</v>
      </c>
      <c r="L48" s="64">
        <v>0.6</v>
      </c>
      <c r="M48" s="64">
        <v>164.5</v>
      </c>
      <c r="N48" s="64">
        <v>0.1</v>
      </c>
      <c r="O48" s="64">
        <v>0.2</v>
      </c>
    </row>
    <row r="49" spans="1:15">
      <c r="A49" s="263" t="s">
        <v>463</v>
      </c>
      <c r="B49" s="264"/>
      <c r="C49" s="264"/>
      <c r="D49" s="264"/>
      <c r="E49" s="264"/>
      <c r="F49" s="264"/>
      <c r="G49" s="265"/>
      <c r="J49" s="260"/>
      <c r="K49" s="62" t="s">
        <v>449</v>
      </c>
      <c r="L49" s="62">
        <f>AVERAGE(L37:L48)</f>
        <v>8.1818181818181818E-2</v>
      </c>
      <c r="M49" s="62">
        <f>MAX(M37:M48)</f>
        <v>164.5</v>
      </c>
      <c r="N49" s="62">
        <f>AVERAGE(N37:N48)</f>
        <v>9.0909090909090922E-3</v>
      </c>
      <c r="O49" s="62">
        <f>MAX(O37:O48)</f>
        <v>0.3</v>
      </c>
    </row>
    <row r="50" spans="1:15">
      <c r="A50" s="266"/>
      <c r="B50" s="267"/>
      <c r="C50" s="267"/>
      <c r="D50" s="267"/>
      <c r="E50" s="267"/>
      <c r="F50" s="267"/>
      <c r="G50" s="268"/>
    </row>
    <row r="51" spans="1:15" ht="27.95">
      <c r="A51" s="266"/>
      <c r="B51" s="267"/>
      <c r="C51" s="267"/>
      <c r="D51" s="267"/>
      <c r="E51" s="267"/>
      <c r="F51" s="267"/>
      <c r="G51" s="268"/>
      <c r="J51" s="61">
        <f>+A6</f>
        <v>2022</v>
      </c>
      <c r="K51" s="61" t="s">
        <v>430</v>
      </c>
      <c r="L51" s="67" t="s">
        <v>425</v>
      </c>
      <c r="M51" s="67" t="s">
        <v>431</v>
      </c>
      <c r="N51" s="67" t="s">
        <v>428</v>
      </c>
      <c r="O51" s="67" t="s">
        <v>432</v>
      </c>
    </row>
    <row r="52" spans="1:15">
      <c r="A52" s="269"/>
      <c r="B52" s="270"/>
      <c r="C52" s="270"/>
      <c r="D52" s="270"/>
      <c r="E52" s="270"/>
      <c r="F52" s="270"/>
      <c r="G52" s="271"/>
      <c r="J52" s="260" t="s">
        <v>192</v>
      </c>
      <c r="K52" s="66" t="s">
        <v>433</v>
      </c>
      <c r="L52" s="64"/>
      <c r="M52" s="64"/>
      <c r="N52" s="64"/>
      <c r="O52" s="64"/>
    </row>
    <row r="53" spans="1:15">
      <c r="J53" s="260"/>
      <c r="K53" s="66" t="s">
        <v>434</v>
      </c>
      <c r="L53" s="64"/>
      <c r="M53" s="64"/>
      <c r="N53" s="64"/>
      <c r="O53" s="64"/>
    </row>
    <row r="54" spans="1:15">
      <c r="J54" s="260"/>
      <c r="K54" s="66" t="s">
        <v>435</v>
      </c>
      <c r="L54" s="64"/>
      <c r="M54" s="64"/>
      <c r="N54" s="64"/>
      <c r="O54" s="64"/>
    </row>
    <row r="55" spans="1:15">
      <c r="J55" s="260"/>
      <c r="K55" s="66" t="s">
        <v>437</v>
      </c>
      <c r="L55" s="64"/>
      <c r="M55" s="64"/>
      <c r="N55" s="64"/>
      <c r="O55" s="64"/>
    </row>
    <row r="56" spans="1:15">
      <c r="J56" s="260"/>
      <c r="K56" s="66" t="s">
        <v>439</v>
      </c>
      <c r="L56" s="64"/>
      <c r="M56" s="64"/>
      <c r="N56" s="64"/>
      <c r="O56" s="64"/>
    </row>
    <row r="57" spans="1:15">
      <c r="J57" s="260"/>
      <c r="K57" s="66" t="s">
        <v>440</v>
      </c>
      <c r="L57" s="64"/>
      <c r="M57" s="64"/>
      <c r="N57" s="64"/>
      <c r="O57" s="64"/>
    </row>
    <row r="58" spans="1:15">
      <c r="J58" s="260"/>
      <c r="K58" s="66" t="s">
        <v>441</v>
      </c>
      <c r="L58" s="64"/>
      <c r="M58" s="64"/>
      <c r="N58" s="64"/>
      <c r="O58" s="64"/>
    </row>
    <row r="59" spans="1:15">
      <c r="J59" s="260"/>
      <c r="K59" s="66" t="s">
        <v>443</v>
      </c>
      <c r="L59" s="64"/>
      <c r="M59" s="64"/>
      <c r="N59" s="64"/>
      <c r="O59" s="64"/>
    </row>
    <row r="60" spans="1:15">
      <c r="J60" s="260"/>
      <c r="K60" s="66" t="s">
        <v>445</v>
      </c>
      <c r="L60" s="64"/>
      <c r="M60" s="64"/>
      <c r="N60" s="64"/>
      <c r="O60" s="64"/>
    </row>
    <row r="61" spans="1:15">
      <c r="J61" s="260"/>
      <c r="K61" s="66" t="s">
        <v>446</v>
      </c>
      <c r="L61" s="64"/>
      <c r="M61" s="64"/>
      <c r="N61" s="64"/>
      <c r="O61" s="64"/>
    </row>
    <row r="62" spans="1:15">
      <c r="J62" s="260"/>
      <c r="K62" s="66" t="s">
        <v>447</v>
      </c>
      <c r="L62" s="64"/>
      <c r="M62" s="64"/>
      <c r="N62" s="64"/>
      <c r="O62" s="64"/>
    </row>
    <row r="63" spans="1:15">
      <c r="J63" s="260"/>
      <c r="K63" s="66" t="s">
        <v>448</v>
      </c>
      <c r="L63" s="64"/>
      <c r="M63" s="64"/>
      <c r="N63" s="64"/>
      <c r="O63" s="64"/>
    </row>
    <row r="64" spans="1:15">
      <c r="J64" s="260"/>
      <c r="K64" s="62" t="s">
        <v>449</v>
      </c>
      <c r="L64" s="62" t="e">
        <f>AVERAGE(L52:L63)</f>
        <v>#DIV/0!</v>
      </c>
      <c r="M64" s="62">
        <f>MAX(M52:M63)</f>
        <v>0</v>
      </c>
      <c r="N64" s="62" t="e">
        <f>AVERAGE(N52:N63)</f>
        <v>#DIV/0!</v>
      </c>
      <c r="O64" s="62">
        <f>MAX(O52:O63)</f>
        <v>0</v>
      </c>
    </row>
    <row r="66" spans="10:15" ht="27.95">
      <c r="J66" s="61">
        <f>+A6</f>
        <v>2022</v>
      </c>
      <c r="K66" s="61" t="s">
        <v>430</v>
      </c>
      <c r="L66" s="67" t="s">
        <v>425</v>
      </c>
      <c r="M66" s="67" t="s">
        <v>431</v>
      </c>
      <c r="N66" s="67" t="s">
        <v>428</v>
      </c>
      <c r="O66" s="67" t="s">
        <v>432</v>
      </c>
    </row>
    <row r="67" spans="10:15">
      <c r="J67" s="260" t="s">
        <v>193</v>
      </c>
      <c r="K67" s="66" t="s">
        <v>433</v>
      </c>
      <c r="L67" s="64"/>
      <c r="M67" s="64"/>
      <c r="N67" s="64"/>
      <c r="O67" s="64"/>
    </row>
    <row r="68" spans="10:15">
      <c r="J68" s="260"/>
      <c r="K68" s="66" t="s">
        <v>434</v>
      </c>
      <c r="L68" s="64"/>
      <c r="M68" s="64"/>
      <c r="N68" s="64"/>
      <c r="O68" s="64"/>
    </row>
    <row r="69" spans="10:15">
      <c r="J69" s="260"/>
      <c r="K69" s="66" t="s">
        <v>435</v>
      </c>
      <c r="L69" s="64"/>
      <c r="M69" s="64"/>
      <c r="N69" s="64"/>
      <c r="O69" s="64"/>
    </row>
    <row r="70" spans="10:15">
      <c r="J70" s="260"/>
      <c r="K70" s="66" t="s">
        <v>437</v>
      </c>
      <c r="L70" s="64"/>
      <c r="M70" s="64"/>
      <c r="N70" s="64"/>
      <c r="O70" s="64"/>
    </row>
    <row r="71" spans="10:15">
      <c r="J71" s="260"/>
      <c r="K71" s="66" t="s">
        <v>439</v>
      </c>
      <c r="L71" s="64"/>
      <c r="M71" s="64"/>
      <c r="N71" s="64"/>
      <c r="O71" s="64"/>
    </row>
    <row r="72" spans="10:15">
      <c r="J72" s="260"/>
      <c r="K72" s="66" t="s">
        <v>440</v>
      </c>
      <c r="L72" s="64"/>
      <c r="M72" s="64"/>
      <c r="N72" s="64"/>
      <c r="O72" s="64"/>
    </row>
    <row r="73" spans="10:15">
      <c r="J73" s="260"/>
      <c r="K73" s="66" t="s">
        <v>441</v>
      </c>
      <c r="L73" s="64"/>
      <c r="M73" s="64"/>
      <c r="N73" s="64"/>
      <c r="O73" s="64"/>
    </row>
    <row r="74" spans="10:15">
      <c r="J74" s="260"/>
      <c r="K74" s="66" t="s">
        <v>443</v>
      </c>
      <c r="L74" s="64"/>
      <c r="M74" s="64"/>
      <c r="N74" s="64"/>
      <c r="O74" s="64"/>
    </row>
    <row r="75" spans="10:15">
      <c r="J75" s="260"/>
      <c r="K75" s="66" t="s">
        <v>445</v>
      </c>
      <c r="L75" s="64"/>
      <c r="M75" s="64"/>
      <c r="N75" s="64"/>
      <c r="O75" s="64"/>
    </row>
    <row r="76" spans="10:15">
      <c r="J76" s="260"/>
      <c r="K76" s="66" t="s">
        <v>446</v>
      </c>
      <c r="L76" s="64"/>
      <c r="M76" s="64"/>
      <c r="N76" s="64"/>
      <c r="O76" s="64"/>
    </row>
    <row r="77" spans="10:15">
      <c r="J77" s="260"/>
      <c r="K77" s="66" t="s">
        <v>447</v>
      </c>
      <c r="L77" s="64"/>
      <c r="M77" s="64"/>
      <c r="N77" s="64"/>
      <c r="O77" s="64"/>
    </row>
    <row r="78" spans="10:15">
      <c r="J78" s="260"/>
      <c r="K78" s="66" t="s">
        <v>448</v>
      </c>
      <c r="L78" s="64"/>
      <c r="M78" s="64"/>
      <c r="N78" s="64"/>
      <c r="O78" s="64"/>
    </row>
    <row r="79" spans="10:15">
      <c r="J79" s="26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topLeftCell="A37" workbookViewId="0">
      <selection activeCell="E53" sqref="E53"/>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Rookery Pit Energy Recovery Facility</v>
      </c>
    </row>
    <row r="3" spans="1:19" ht="14.45">
      <c r="A3" s="60" t="s">
        <v>464</v>
      </c>
      <c r="D3" s="76" t="s">
        <v>417</v>
      </c>
      <c r="G3" s="80" t="s">
        <v>418</v>
      </c>
      <c r="J3" s="9" t="str">
        <f>+A3</f>
        <v>Monitoring of Carbon Monoxide (half hourly)</v>
      </c>
      <c r="L3" s="9"/>
      <c r="N3" s="9" t="s">
        <v>419</v>
      </c>
      <c r="Q3" s="79" t="s">
        <v>3</v>
      </c>
      <c r="R3" s="74"/>
      <c r="S3" s="74"/>
    </row>
    <row r="4" spans="1:19" ht="14.1" customHeight="1">
      <c r="Q4" s="251" t="s">
        <v>420</v>
      </c>
      <c r="R4" s="251"/>
      <c r="S4" s="251"/>
    </row>
    <row r="5" spans="1:19" ht="15.95">
      <c r="A5" s="68" t="s">
        <v>421</v>
      </c>
      <c r="B5" s="262" t="s">
        <v>422</v>
      </c>
      <c r="C5" s="262"/>
      <c r="D5" s="262"/>
      <c r="E5" s="262" t="s">
        <v>423</v>
      </c>
      <c r="F5" s="262"/>
      <c r="G5" s="262"/>
      <c r="J5" s="261"/>
      <c r="K5" s="261"/>
      <c r="L5" s="261"/>
      <c r="M5" s="261"/>
      <c r="N5" s="261"/>
      <c r="O5" s="261"/>
      <c r="Q5" s="251"/>
      <c r="R5" s="251"/>
      <c r="S5" s="251"/>
    </row>
    <row r="6" spans="1:19" s="58" customFormat="1" ht="37.5" customHeight="1">
      <c r="A6" s="65">
        <f>+'Cover Page'!C39</f>
        <v>2022</v>
      </c>
      <c r="B6" s="55" t="s">
        <v>465</v>
      </c>
      <c r="C6" s="55" t="s">
        <v>425</v>
      </c>
      <c r="D6" s="55" t="s">
        <v>426</v>
      </c>
      <c r="E6" s="55" t="s">
        <v>466</v>
      </c>
      <c r="F6" s="55" t="s">
        <v>428</v>
      </c>
      <c r="G6" s="55" t="s">
        <v>429</v>
      </c>
      <c r="H6" s="59"/>
      <c r="J6" s="61">
        <f>+A6</f>
        <v>2022</v>
      </c>
      <c r="K6" s="61" t="s">
        <v>430</v>
      </c>
      <c r="L6" s="67" t="s">
        <v>425</v>
      </c>
      <c r="M6" s="67" t="s">
        <v>431</v>
      </c>
      <c r="N6" s="67" t="s">
        <v>428</v>
      </c>
      <c r="O6" s="67" t="s">
        <v>432</v>
      </c>
      <c r="Q6" s="251"/>
      <c r="R6" s="251"/>
      <c r="S6" s="251"/>
    </row>
    <row r="7" spans="1:19">
      <c r="A7" s="66" t="s">
        <v>433</v>
      </c>
      <c r="B7" s="69">
        <v>100</v>
      </c>
      <c r="C7" s="64"/>
      <c r="D7" s="64"/>
      <c r="E7" s="69">
        <v>50</v>
      </c>
      <c r="F7" s="64"/>
      <c r="G7" s="64"/>
      <c r="J7" s="260" t="s">
        <v>189</v>
      </c>
      <c r="K7" s="66" t="s">
        <v>433</v>
      </c>
      <c r="L7" s="64"/>
      <c r="M7" s="64"/>
      <c r="N7" s="64"/>
      <c r="O7" s="64"/>
      <c r="Q7" s="251"/>
      <c r="R7" s="251"/>
      <c r="S7" s="251"/>
    </row>
    <row r="8" spans="1:19">
      <c r="A8" s="66" t="s">
        <v>434</v>
      </c>
      <c r="B8" s="63">
        <f>+B7</f>
        <v>100</v>
      </c>
      <c r="C8" s="64"/>
      <c r="D8" s="64"/>
      <c r="E8" s="63">
        <f>+E7</f>
        <v>50</v>
      </c>
      <c r="F8" s="64"/>
      <c r="G8" s="64"/>
      <c r="J8" s="260"/>
      <c r="K8" s="66" t="s">
        <v>434</v>
      </c>
      <c r="L8" s="64"/>
      <c r="M8" s="64"/>
      <c r="N8" s="64"/>
      <c r="O8" s="64"/>
      <c r="Q8" s="251"/>
      <c r="R8" s="251"/>
      <c r="S8" s="251"/>
    </row>
    <row r="9" spans="1:19">
      <c r="A9" s="66" t="s">
        <v>435</v>
      </c>
      <c r="B9" s="63">
        <f t="shared" ref="B9:B18" si="0">+B8</f>
        <v>100</v>
      </c>
      <c r="C9" s="64"/>
      <c r="D9" s="64"/>
      <c r="E9" s="63">
        <f t="shared" ref="E9:E18" si="1">+E8</f>
        <v>50</v>
      </c>
      <c r="F9" s="64"/>
      <c r="G9" s="64"/>
      <c r="J9" s="260"/>
      <c r="K9" s="66" t="s">
        <v>435</v>
      </c>
      <c r="L9" s="64"/>
      <c r="M9" s="64"/>
      <c r="N9" s="64"/>
      <c r="O9" s="64"/>
      <c r="Q9" s="78" t="s">
        <v>436</v>
      </c>
    </row>
    <row r="10" spans="1:19" ht="14.25" customHeight="1">
      <c r="A10" s="66" t="s">
        <v>437</v>
      </c>
      <c r="B10" s="63">
        <f t="shared" si="0"/>
        <v>100</v>
      </c>
      <c r="C10" s="64"/>
      <c r="D10" s="64"/>
      <c r="E10" s="63">
        <f t="shared" si="1"/>
        <v>50</v>
      </c>
      <c r="F10" s="64"/>
      <c r="G10" s="64"/>
      <c r="J10" s="260"/>
      <c r="K10" s="66" t="s">
        <v>437</v>
      </c>
      <c r="L10" s="64"/>
      <c r="M10" s="64"/>
      <c r="N10" s="64"/>
      <c r="O10" s="64"/>
      <c r="Q10" s="259" t="s">
        <v>438</v>
      </c>
      <c r="R10" s="259"/>
      <c r="S10" s="259"/>
    </row>
    <row r="11" spans="1:19">
      <c r="A11" s="66" t="s">
        <v>439</v>
      </c>
      <c r="B11" s="63">
        <f t="shared" si="0"/>
        <v>100</v>
      </c>
      <c r="C11" s="64"/>
      <c r="D11" s="64"/>
      <c r="E11" s="63">
        <f t="shared" si="1"/>
        <v>50</v>
      </c>
      <c r="F11" s="64"/>
      <c r="G11" s="64"/>
      <c r="J11" s="260"/>
      <c r="K11" s="66" t="s">
        <v>439</v>
      </c>
      <c r="L11" s="64"/>
      <c r="M11" s="64"/>
      <c r="N11" s="64"/>
      <c r="O11" s="64"/>
      <c r="Q11" s="259"/>
      <c r="R11" s="259"/>
      <c r="S11" s="259"/>
    </row>
    <row r="12" spans="1:19">
      <c r="A12" s="66" t="s">
        <v>440</v>
      </c>
      <c r="B12" s="63">
        <f t="shared" si="0"/>
        <v>100</v>
      </c>
      <c r="C12" s="64"/>
      <c r="D12" s="64"/>
      <c r="E12" s="63">
        <f t="shared" si="1"/>
        <v>50</v>
      </c>
      <c r="F12" s="64"/>
      <c r="G12" s="64"/>
      <c r="J12" s="260"/>
      <c r="K12" s="66" t="s">
        <v>440</v>
      </c>
      <c r="L12" s="64"/>
      <c r="M12" s="64"/>
      <c r="N12" s="64"/>
      <c r="O12" s="64"/>
      <c r="Q12" s="259"/>
      <c r="R12" s="259"/>
      <c r="S12" s="259"/>
    </row>
    <row r="13" spans="1:19" ht="14.25" customHeight="1">
      <c r="A13" s="66" t="s">
        <v>441</v>
      </c>
      <c r="B13" s="63">
        <f t="shared" si="0"/>
        <v>100</v>
      </c>
      <c r="C13" s="64"/>
      <c r="D13" s="64"/>
      <c r="E13" s="63">
        <f t="shared" si="1"/>
        <v>50</v>
      </c>
      <c r="F13" s="64"/>
      <c r="G13" s="64"/>
      <c r="J13" s="260"/>
      <c r="K13" s="66" t="s">
        <v>441</v>
      </c>
      <c r="L13" s="64"/>
      <c r="M13" s="64"/>
      <c r="N13" s="64"/>
      <c r="O13" s="64"/>
      <c r="Q13" s="259" t="s">
        <v>442</v>
      </c>
      <c r="R13" s="259"/>
      <c r="S13" s="259"/>
    </row>
    <row r="14" spans="1:19">
      <c r="A14" s="66" t="s">
        <v>443</v>
      </c>
      <c r="B14" s="63">
        <f t="shared" si="0"/>
        <v>100</v>
      </c>
      <c r="C14" s="64"/>
      <c r="D14" s="64"/>
      <c r="E14" s="63">
        <f t="shared" si="1"/>
        <v>50</v>
      </c>
      <c r="F14" s="64"/>
      <c r="G14" s="64"/>
      <c r="J14" s="260"/>
      <c r="K14" s="66" t="s">
        <v>443</v>
      </c>
      <c r="L14" s="64"/>
      <c r="M14" s="64"/>
      <c r="N14" s="64"/>
      <c r="O14" s="64"/>
      <c r="Q14" s="259"/>
      <c r="R14" s="259"/>
      <c r="S14" s="259"/>
    </row>
    <row r="15" spans="1:19">
      <c r="A15" s="66" t="s">
        <v>445</v>
      </c>
      <c r="B15" s="63">
        <f t="shared" si="0"/>
        <v>100</v>
      </c>
      <c r="C15" s="64"/>
      <c r="D15" s="64"/>
      <c r="E15" s="63">
        <f t="shared" si="1"/>
        <v>50</v>
      </c>
      <c r="F15" s="64"/>
      <c r="G15" s="64"/>
      <c r="J15" s="260"/>
      <c r="K15" s="66" t="s">
        <v>445</v>
      </c>
      <c r="L15" s="64"/>
      <c r="M15" s="64"/>
      <c r="N15" s="64"/>
      <c r="O15" s="64"/>
      <c r="Q15" s="259"/>
      <c r="R15" s="259"/>
      <c r="S15" s="259"/>
    </row>
    <row r="16" spans="1:19">
      <c r="A16" s="66" t="s">
        <v>446</v>
      </c>
      <c r="B16" s="63">
        <f t="shared" si="0"/>
        <v>100</v>
      </c>
      <c r="C16" s="64"/>
      <c r="D16" s="64"/>
      <c r="E16" s="63">
        <f t="shared" si="1"/>
        <v>50</v>
      </c>
      <c r="F16" s="64"/>
      <c r="G16" s="64"/>
      <c r="J16" s="260"/>
      <c r="K16" s="66" t="s">
        <v>446</v>
      </c>
      <c r="L16" s="64"/>
      <c r="M16" s="64"/>
      <c r="N16" s="64"/>
      <c r="O16" s="64"/>
      <c r="Q16" s="259"/>
      <c r="R16" s="259"/>
      <c r="S16" s="259"/>
    </row>
    <row r="17" spans="1:15">
      <c r="A17" s="66" t="s">
        <v>447</v>
      </c>
      <c r="B17" s="63">
        <f t="shared" si="0"/>
        <v>100</v>
      </c>
      <c r="C17" s="64"/>
      <c r="D17" s="64"/>
      <c r="E17" s="63">
        <f t="shared" si="1"/>
        <v>50</v>
      </c>
      <c r="F17" s="64"/>
      <c r="G17" s="64"/>
      <c r="J17" s="260"/>
      <c r="K17" s="66" t="s">
        <v>447</v>
      </c>
      <c r="L17" s="64"/>
      <c r="M17" s="64"/>
      <c r="N17" s="64"/>
      <c r="O17" s="64"/>
    </row>
    <row r="18" spans="1:15">
      <c r="A18" s="66" t="s">
        <v>448</v>
      </c>
      <c r="B18" s="63">
        <f t="shared" si="0"/>
        <v>100</v>
      </c>
      <c r="C18" s="64"/>
      <c r="D18" s="64"/>
      <c r="E18" s="63">
        <f t="shared" si="1"/>
        <v>50</v>
      </c>
      <c r="F18" s="64"/>
      <c r="G18" s="64"/>
      <c r="J18" s="260"/>
      <c r="K18" s="66" t="s">
        <v>448</v>
      </c>
      <c r="L18" s="64"/>
      <c r="M18" s="64"/>
      <c r="N18" s="64"/>
      <c r="O18" s="64"/>
    </row>
    <row r="19" spans="1:15">
      <c r="J19" s="260"/>
      <c r="K19" s="62" t="s">
        <v>449</v>
      </c>
      <c r="L19" s="62" t="e">
        <f>AVERAGE(L7:L18)</f>
        <v>#DIV/0!</v>
      </c>
      <c r="M19" s="62">
        <f>MAX(M7:M18)</f>
        <v>0</v>
      </c>
      <c r="N19" s="62" t="e">
        <f>AVERAGE(N7:N18)</f>
        <v>#DIV/0!</v>
      </c>
      <c r="O19" s="62">
        <f>MAX(O7:O18)</f>
        <v>0</v>
      </c>
    </row>
    <row r="21" spans="1:15" ht="27.95">
      <c r="J21" s="61">
        <f>+A6</f>
        <v>2022</v>
      </c>
      <c r="K21" s="61" t="s">
        <v>430</v>
      </c>
      <c r="L21" s="67" t="s">
        <v>425</v>
      </c>
      <c r="M21" s="67" t="s">
        <v>431</v>
      </c>
      <c r="N21" s="67" t="s">
        <v>428</v>
      </c>
      <c r="O21" s="67" t="s">
        <v>432</v>
      </c>
    </row>
    <row r="22" spans="1:15">
      <c r="J22" s="260" t="s">
        <v>190</v>
      </c>
      <c r="K22" s="66" t="s">
        <v>433</v>
      </c>
      <c r="L22" s="64"/>
      <c r="M22" s="64"/>
      <c r="N22" s="64"/>
      <c r="O22" s="64"/>
    </row>
    <row r="23" spans="1:15">
      <c r="J23" s="260"/>
      <c r="K23" s="66" t="s">
        <v>434</v>
      </c>
      <c r="L23" s="64"/>
      <c r="M23" s="64"/>
      <c r="N23" s="64"/>
      <c r="O23" s="64"/>
    </row>
    <row r="24" spans="1:15">
      <c r="J24" s="260"/>
      <c r="K24" s="66" t="s">
        <v>435</v>
      </c>
      <c r="L24" s="64"/>
      <c r="M24" s="64"/>
      <c r="N24" s="64"/>
      <c r="O24" s="64"/>
    </row>
    <row r="25" spans="1:15">
      <c r="J25" s="260"/>
      <c r="K25" s="66" t="s">
        <v>437</v>
      </c>
      <c r="L25" s="64"/>
      <c r="M25" s="64"/>
      <c r="N25" s="64"/>
      <c r="O25" s="64"/>
    </row>
    <row r="26" spans="1:15">
      <c r="J26" s="260"/>
      <c r="K26" s="66" t="s">
        <v>439</v>
      </c>
      <c r="L26" s="64"/>
      <c r="M26" s="64"/>
      <c r="N26" s="64"/>
      <c r="O26" s="64"/>
    </row>
    <row r="27" spans="1:15">
      <c r="J27" s="260"/>
      <c r="K27" s="66" t="s">
        <v>440</v>
      </c>
      <c r="L27" s="64"/>
      <c r="M27" s="64"/>
      <c r="N27" s="64"/>
      <c r="O27" s="64"/>
    </row>
    <row r="28" spans="1:15">
      <c r="J28" s="260"/>
      <c r="K28" s="66" t="s">
        <v>441</v>
      </c>
      <c r="L28" s="64"/>
      <c r="M28" s="64"/>
      <c r="N28" s="64"/>
      <c r="O28" s="64"/>
    </row>
    <row r="29" spans="1:15">
      <c r="J29" s="260"/>
      <c r="K29" s="66" t="s">
        <v>443</v>
      </c>
      <c r="L29" s="64"/>
      <c r="M29" s="64"/>
      <c r="N29" s="64"/>
      <c r="O29" s="64"/>
    </row>
    <row r="30" spans="1:15">
      <c r="J30" s="260"/>
      <c r="K30" s="66" t="s">
        <v>445</v>
      </c>
      <c r="L30" s="64"/>
      <c r="M30" s="64"/>
      <c r="N30" s="64"/>
      <c r="O30" s="64"/>
    </row>
    <row r="31" spans="1:15">
      <c r="J31" s="260"/>
      <c r="K31" s="66" t="s">
        <v>446</v>
      </c>
      <c r="L31" s="64"/>
      <c r="M31" s="64"/>
      <c r="N31" s="64"/>
      <c r="O31" s="64"/>
    </row>
    <row r="32" spans="1:15">
      <c r="J32" s="260"/>
      <c r="K32" s="66" t="s">
        <v>447</v>
      </c>
      <c r="L32" s="64"/>
      <c r="M32" s="64"/>
      <c r="N32" s="64"/>
      <c r="O32" s="64"/>
    </row>
    <row r="33" spans="1:15">
      <c r="J33" s="260"/>
      <c r="K33" s="66" t="s">
        <v>448</v>
      </c>
      <c r="L33" s="64"/>
      <c r="M33" s="64"/>
      <c r="N33" s="64"/>
      <c r="O33" s="64"/>
    </row>
    <row r="34" spans="1:15">
      <c r="J34" s="260"/>
      <c r="K34" s="62" t="s">
        <v>449</v>
      </c>
      <c r="L34" s="62" t="e">
        <f>AVERAGE(L22:L33)</f>
        <v>#DIV/0!</v>
      </c>
      <c r="M34" s="62">
        <f>MAX(M22:M33)</f>
        <v>0</v>
      </c>
      <c r="N34" s="62" t="e">
        <f>AVERAGE(N22:N33)</f>
        <v>#DIV/0!</v>
      </c>
      <c r="O34" s="62">
        <f>MAX(O22:O33)</f>
        <v>0</v>
      </c>
    </row>
    <row r="36" spans="1:15" ht="27.95">
      <c r="J36" s="61">
        <f>+A6</f>
        <v>2022</v>
      </c>
      <c r="K36" s="61" t="s">
        <v>430</v>
      </c>
      <c r="L36" s="67" t="s">
        <v>425</v>
      </c>
      <c r="M36" s="67" t="s">
        <v>431</v>
      </c>
      <c r="N36" s="67" t="s">
        <v>428</v>
      </c>
      <c r="O36" s="67" t="s">
        <v>432</v>
      </c>
    </row>
    <row r="37" spans="1:15">
      <c r="J37" s="260" t="s">
        <v>191</v>
      </c>
      <c r="K37" s="66" t="s">
        <v>433</v>
      </c>
      <c r="L37" s="64"/>
      <c r="M37" s="64"/>
      <c r="N37" s="64"/>
      <c r="O37" s="64"/>
    </row>
    <row r="38" spans="1:15">
      <c r="J38" s="260"/>
      <c r="K38" s="66" t="s">
        <v>434</v>
      </c>
      <c r="L38" s="64"/>
      <c r="M38" s="64"/>
      <c r="N38" s="64"/>
      <c r="O38" s="64"/>
    </row>
    <row r="39" spans="1:15">
      <c r="J39" s="260"/>
      <c r="K39" s="66" t="s">
        <v>435</v>
      </c>
      <c r="L39" s="64"/>
      <c r="M39" s="64"/>
      <c r="N39" s="64"/>
      <c r="O39" s="64"/>
    </row>
    <row r="40" spans="1:15">
      <c r="J40" s="260"/>
      <c r="K40" s="66" t="s">
        <v>437</v>
      </c>
      <c r="L40" s="64"/>
      <c r="M40" s="64"/>
      <c r="N40" s="64"/>
      <c r="O40" s="64"/>
    </row>
    <row r="41" spans="1:15">
      <c r="J41" s="260"/>
      <c r="K41" s="66" t="s">
        <v>439</v>
      </c>
      <c r="L41" s="64"/>
      <c r="M41" s="64"/>
      <c r="N41" s="64"/>
      <c r="O41" s="64"/>
    </row>
    <row r="42" spans="1:15">
      <c r="J42" s="260"/>
      <c r="K42" s="66" t="s">
        <v>440</v>
      </c>
      <c r="L42" s="64"/>
      <c r="M42" s="64"/>
      <c r="N42" s="64"/>
      <c r="O42" s="64"/>
    </row>
    <row r="43" spans="1:15">
      <c r="J43" s="260"/>
      <c r="K43" s="66" t="s">
        <v>441</v>
      </c>
      <c r="L43" s="64"/>
      <c r="M43" s="64"/>
      <c r="N43" s="64"/>
      <c r="O43" s="64"/>
    </row>
    <row r="44" spans="1:15">
      <c r="J44" s="260"/>
      <c r="K44" s="66" t="s">
        <v>443</v>
      </c>
      <c r="L44" s="64"/>
      <c r="M44" s="64"/>
      <c r="N44" s="64"/>
      <c r="O44" s="64"/>
    </row>
    <row r="45" spans="1:15">
      <c r="J45" s="260"/>
      <c r="K45" s="66" t="s">
        <v>445</v>
      </c>
      <c r="L45" s="64"/>
      <c r="M45" s="64"/>
      <c r="N45" s="64"/>
      <c r="O45" s="64"/>
    </row>
    <row r="46" spans="1:15">
      <c r="J46" s="260"/>
      <c r="K46" s="66" t="s">
        <v>446</v>
      </c>
      <c r="L46" s="64"/>
      <c r="M46" s="64"/>
      <c r="N46" s="64"/>
      <c r="O46" s="64"/>
    </row>
    <row r="47" spans="1:15">
      <c r="J47" s="260"/>
      <c r="K47" s="66" t="s">
        <v>447</v>
      </c>
      <c r="L47" s="64"/>
      <c r="M47" s="64"/>
      <c r="N47" s="64"/>
      <c r="O47" s="64"/>
    </row>
    <row r="48" spans="1:15">
      <c r="A48" s="272" t="s">
        <v>342</v>
      </c>
      <c r="B48" s="273"/>
      <c r="C48" s="273"/>
      <c r="D48" s="273"/>
      <c r="E48" s="273"/>
      <c r="F48" s="273"/>
      <c r="G48" s="274"/>
      <c r="J48" s="260"/>
      <c r="K48" s="66" t="s">
        <v>448</v>
      </c>
      <c r="L48" s="64"/>
      <c r="M48" s="64"/>
      <c r="N48" s="64"/>
      <c r="O48" s="64"/>
    </row>
    <row r="49" spans="1:15">
      <c r="A49" s="263" t="s">
        <v>467</v>
      </c>
      <c r="B49" s="264"/>
      <c r="C49" s="264"/>
      <c r="D49" s="264"/>
      <c r="E49" s="264"/>
      <c r="F49" s="264"/>
      <c r="G49" s="265"/>
      <c r="J49" s="260"/>
      <c r="K49" s="62" t="s">
        <v>449</v>
      </c>
      <c r="L49" s="62" t="e">
        <f>AVERAGE(L37:L48)</f>
        <v>#DIV/0!</v>
      </c>
      <c r="M49" s="62">
        <f>MAX(M37:M48)</f>
        <v>0</v>
      </c>
      <c r="N49" s="62" t="e">
        <f>AVERAGE(N37:N48)</f>
        <v>#DIV/0!</v>
      </c>
      <c r="O49" s="62">
        <f>MAX(O37:O48)</f>
        <v>0</v>
      </c>
    </row>
    <row r="50" spans="1:15">
      <c r="A50" s="266"/>
      <c r="B50" s="267"/>
      <c r="C50" s="267"/>
      <c r="D50" s="267"/>
      <c r="E50" s="267"/>
      <c r="F50" s="267"/>
      <c r="G50" s="268"/>
    </row>
    <row r="51" spans="1:15" ht="27.95">
      <c r="A51" s="266"/>
      <c r="B51" s="267"/>
      <c r="C51" s="267"/>
      <c r="D51" s="267"/>
      <c r="E51" s="267"/>
      <c r="F51" s="267"/>
      <c r="G51" s="268"/>
      <c r="J51" s="61">
        <f>+A6</f>
        <v>2022</v>
      </c>
      <c r="K51" s="61" t="s">
        <v>430</v>
      </c>
      <c r="L51" s="67" t="s">
        <v>425</v>
      </c>
      <c r="M51" s="67" t="s">
        <v>431</v>
      </c>
      <c r="N51" s="67" t="s">
        <v>428</v>
      </c>
      <c r="O51" s="67" t="s">
        <v>432</v>
      </c>
    </row>
    <row r="52" spans="1:15">
      <c r="A52" s="269"/>
      <c r="B52" s="270"/>
      <c r="C52" s="270"/>
      <c r="D52" s="270"/>
      <c r="E52" s="270"/>
      <c r="F52" s="270"/>
      <c r="G52" s="271"/>
      <c r="J52" s="260" t="s">
        <v>192</v>
      </c>
      <c r="K52" s="66" t="s">
        <v>433</v>
      </c>
      <c r="L52" s="64"/>
      <c r="M52" s="64"/>
      <c r="N52" s="64"/>
      <c r="O52" s="64"/>
    </row>
    <row r="53" spans="1:15">
      <c r="J53" s="260"/>
      <c r="K53" s="66" t="s">
        <v>434</v>
      </c>
      <c r="L53" s="64"/>
      <c r="M53" s="64"/>
      <c r="N53" s="64"/>
      <c r="O53" s="64"/>
    </row>
    <row r="54" spans="1:15">
      <c r="J54" s="260"/>
      <c r="K54" s="66" t="s">
        <v>435</v>
      </c>
      <c r="L54" s="64"/>
      <c r="M54" s="64"/>
      <c r="N54" s="64"/>
      <c r="O54" s="64"/>
    </row>
    <row r="55" spans="1:15">
      <c r="J55" s="260"/>
      <c r="K55" s="66" t="s">
        <v>437</v>
      </c>
      <c r="L55" s="64"/>
      <c r="M55" s="64"/>
      <c r="N55" s="64"/>
      <c r="O55" s="64"/>
    </row>
    <row r="56" spans="1:15">
      <c r="J56" s="260"/>
      <c r="K56" s="66" t="s">
        <v>439</v>
      </c>
      <c r="L56" s="64"/>
      <c r="M56" s="64"/>
      <c r="N56" s="64"/>
      <c r="O56" s="64"/>
    </row>
    <row r="57" spans="1:15">
      <c r="J57" s="260"/>
      <c r="K57" s="66" t="s">
        <v>440</v>
      </c>
      <c r="L57" s="64"/>
      <c r="M57" s="64"/>
      <c r="N57" s="64"/>
      <c r="O57" s="64"/>
    </row>
    <row r="58" spans="1:15">
      <c r="J58" s="260"/>
      <c r="K58" s="66" t="s">
        <v>441</v>
      </c>
      <c r="L58" s="64"/>
      <c r="M58" s="64"/>
      <c r="N58" s="64"/>
      <c r="O58" s="64"/>
    </row>
    <row r="59" spans="1:15">
      <c r="J59" s="260"/>
      <c r="K59" s="66" t="s">
        <v>443</v>
      </c>
      <c r="L59" s="64"/>
      <c r="M59" s="64"/>
      <c r="N59" s="64"/>
      <c r="O59" s="64"/>
    </row>
    <row r="60" spans="1:15">
      <c r="J60" s="260"/>
      <c r="K60" s="66" t="s">
        <v>445</v>
      </c>
      <c r="L60" s="64"/>
      <c r="M60" s="64"/>
      <c r="N60" s="64"/>
      <c r="O60" s="64"/>
    </row>
    <row r="61" spans="1:15">
      <c r="J61" s="260"/>
      <c r="K61" s="66" t="s">
        <v>446</v>
      </c>
      <c r="L61" s="64"/>
      <c r="M61" s="64"/>
      <c r="N61" s="64"/>
      <c r="O61" s="64"/>
    </row>
    <row r="62" spans="1:15">
      <c r="J62" s="260"/>
      <c r="K62" s="66" t="s">
        <v>447</v>
      </c>
      <c r="L62" s="64"/>
      <c r="M62" s="64"/>
      <c r="N62" s="64"/>
      <c r="O62" s="64"/>
    </row>
    <row r="63" spans="1:15">
      <c r="J63" s="260"/>
      <c r="K63" s="66" t="s">
        <v>448</v>
      </c>
      <c r="L63" s="64"/>
      <c r="M63" s="64"/>
      <c r="N63" s="64"/>
      <c r="O63" s="64"/>
    </row>
    <row r="64" spans="1:15">
      <c r="J64" s="260"/>
      <c r="K64" s="62" t="s">
        <v>449</v>
      </c>
      <c r="L64" s="62" t="e">
        <f>AVERAGE(L52:L63)</f>
        <v>#DIV/0!</v>
      </c>
      <c r="M64" s="62">
        <f>MAX(M52:M63)</f>
        <v>0</v>
      </c>
      <c r="N64" s="62" t="e">
        <f>AVERAGE(N52:N63)</f>
        <v>#DIV/0!</v>
      </c>
      <c r="O64" s="62">
        <f>MAX(O52:O63)</f>
        <v>0</v>
      </c>
    </row>
    <row r="66" spans="10:15" ht="27.95">
      <c r="J66" s="61">
        <f>+A6</f>
        <v>2022</v>
      </c>
      <c r="K66" s="61" t="s">
        <v>430</v>
      </c>
      <c r="L66" s="67" t="s">
        <v>425</v>
      </c>
      <c r="M66" s="67" t="s">
        <v>431</v>
      </c>
      <c r="N66" s="67" t="s">
        <v>428</v>
      </c>
      <c r="O66" s="67" t="s">
        <v>432</v>
      </c>
    </row>
    <row r="67" spans="10:15">
      <c r="J67" s="260" t="s">
        <v>193</v>
      </c>
      <c r="K67" s="66" t="s">
        <v>433</v>
      </c>
      <c r="L67" s="64"/>
      <c r="M67" s="64"/>
      <c r="N67" s="64"/>
      <c r="O67" s="64"/>
    </row>
    <row r="68" spans="10:15">
      <c r="J68" s="260"/>
      <c r="K68" s="66" t="s">
        <v>434</v>
      </c>
      <c r="L68" s="64"/>
      <c r="M68" s="64"/>
      <c r="N68" s="64"/>
      <c r="O68" s="64"/>
    </row>
    <row r="69" spans="10:15">
      <c r="J69" s="260"/>
      <c r="K69" s="66" t="s">
        <v>435</v>
      </c>
      <c r="L69" s="64"/>
      <c r="M69" s="64"/>
      <c r="N69" s="64"/>
      <c r="O69" s="64"/>
    </row>
    <row r="70" spans="10:15">
      <c r="J70" s="260"/>
      <c r="K70" s="66" t="s">
        <v>437</v>
      </c>
      <c r="L70" s="64"/>
      <c r="M70" s="64"/>
      <c r="N70" s="64"/>
      <c r="O70" s="64"/>
    </row>
    <row r="71" spans="10:15">
      <c r="J71" s="260"/>
      <c r="K71" s="66" t="s">
        <v>439</v>
      </c>
      <c r="L71" s="64"/>
      <c r="M71" s="64"/>
      <c r="N71" s="64"/>
      <c r="O71" s="64"/>
    </row>
    <row r="72" spans="10:15">
      <c r="J72" s="260"/>
      <c r="K72" s="66" t="s">
        <v>440</v>
      </c>
      <c r="L72" s="64"/>
      <c r="M72" s="64"/>
      <c r="N72" s="64"/>
      <c r="O72" s="64"/>
    </row>
    <row r="73" spans="10:15">
      <c r="J73" s="260"/>
      <c r="K73" s="66" t="s">
        <v>441</v>
      </c>
      <c r="L73" s="64"/>
      <c r="M73" s="64"/>
      <c r="N73" s="64"/>
      <c r="O73" s="64"/>
    </row>
    <row r="74" spans="10:15">
      <c r="J74" s="260"/>
      <c r="K74" s="66" t="s">
        <v>443</v>
      </c>
      <c r="L74" s="64"/>
      <c r="M74" s="64"/>
      <c r="N74" s="64"/>
      <c r="O74" s="64"/>
    </row>
    <row r="75" spans="10:15">
      <c r="J75" s="260"/>
      <c r="K75" s="66" t="s">
        <v>445</v>
      </c>
      <c r="L75" s="64"/>
      <c r="M75" s="64"/>
      <c r="N75" s="64"/>
      <c r="O75" s="64"/>
    </row>
    <row r="76" spans="10:15">
      <c r="J76" s="260"/>
      <c r="K76" s="66" t="s">
        <v>446</v>
      </c>
      <c r="L76" s="64"/>
      <c r="M76" s="64"/>
      <c r="N76" s="64"/>
      <c r="O76" s="64"/>
    </row>
    <row r="77" spans="10:15">
      <c r="J77" s="260"/>
      <c r="K77" s="66" t="s">
        <v>447</v>
      </c>
      <c r="L77" s="64"/>
      <c r="M77" s="64"/>
      <c r="N77" s="64"/>
      <c r="O77" s="64"/>
    </row>
    <row r="78" spans="10:15">
      <c r="J78" s="260"/>
      <c r="K78" s="66" t="s">
        <v>448</v>
      </c>
      <c r="L78" s="64"/>
      <c r="M78" s="64"/>
      <c r="N78" s="64"/>
      <c r="O78" s="64"/>
    </row>
    <row r="79" spans="10:15">
      <c r="J79" s="26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election activeCell="E53" sqref="E53"/>
    </sheetView>
  </sheetViews>
  <sheetFormatPr defaultRowHeight="14.1"/>
  <cols>
    <col min="1" max="1" width="14" style="3" customWidth="1"/>
    <col min="2" max="2" width="12.5703125" style="35" customWidth="1"/>
    <col min="3" max="3" width="15.42578125" style="35" customWidth="1"/>
    <col min="4" max="4" width="17.5703125" style="35" customWidth="1"/>
    <col min="5" max="5" width="14.5703125" style="35" customWidth="1"/>
    <col min="6" max="6" width="11.5703125" style="35" customWidth="1"/>
    <col min="7" max="7" width="15" style="35" customWidth="1"/>
    <col min="8" max="8" width="14.5703125" style="35" customWidth="1"/>
    <col min="9" max="12" width="9.42578125" style="3"/>
    <col min="13" max="13" width="15.42578125" style="3" customWidth="1"/>
    <col min="14" max="14" width="17.5703125" style="3" customWidth="1"/>
    <col min="15" max="15" width="17.42578125" style="3" bestFit="1" customWidth="1"/>
    <col min="16" max="16" width="13.5703125" style="3" customWidth="1"/>
    <col min="17" max="17" width="15" style="3" customWidth="1"/>
    <col min="18" max="20" width="9.42578125" style="3"/>
    <col min="21" max="21" width="22.42578125" style="3" customWidth="1"/>
    <col min="22" max="258" width="9.42578125" style="3"/>
    <col min="259" max="259" width="14" style="3" customWidth="1"/>
    <col min="260" max="265" width="10.42578125" style="3" customWidth="1"/>
    <col min="266" max="514" width="9.42578125" style="3"/>
    <col min="515" max="515" width="14" style="3" customWidth="1"/>
    <col min="516" max="521" width="10.42578125" style="3" customWidth="1"/>
    <col min="522" max="770" width="9.42578125" style="3"/>
    <col min="771" max="771" width="14" style="3" customWidth="1"/>
    <col min="772" max="777" width="10.42578125" style="3" customWidth="1"/>
    <col min="778" max="1026" width="9.42578125" style="3"/>
    <col min="1027" max="1027" width="14" style="3" customWidth="1"/>
    <col min="1028" max="1033" width="10.42578125" style="3" customWidth="1"/>
    <col min="1034" max="1282" width="9.42578125" style="3"/>
    <col min="1283" max="1283" width="14" style="3" customWidth="1"/>
    <col min="1284" max="1289" width="10.42578125" style="3" customWidth="1"/>
    <col min="1290" max="1538" width="9.42578125" style="3"/>
    <col min="1539" max="1539" width="14" style="3" customWidth="1"/>
    <col min="1540" max="1545" width="10.42578125" style="3" customWidth="1"/>
    <col min="1546" max="1794" width="9.42578125" style="3"/>
    <col min="1795" max="1795" width="14" style="3" customWidth="1"/>
    <col min="1796" max="1801" width="10.42578125" style="3" customWidth="1"/>
    <col min="1802" max="2050" width="9.42578125" style="3"/>
    <col min="2051" max="2051" width="14" style="3" customWidth="1"/>
    <col min="2052" max="2057" width="10.42578125" style="3" customWidth="1"/>
    <col min="2058" max="2306" width="9.42578125" style="3"/>
    <col min="2307" max="2307" width="14" style="3" customWidth="1"/>
    <col min="2308" max="2313" width="10.42578125" style="3" customWidth="1"/>
    <col min="2314" max="2562" width="9.42578125" style="3"/>
    <col min="2563" max="2563" width="14" style="3" customWidth="1"/>
    <col min="2564" max="2569" width="10.42578125" style="3" customWidth="1"/>
    <col min="2570" max="2818" width="9.42578125" style="3"/>
    <col min="2819" max="2819" width="14" style="3" customWidth="1"/>
    <col min="2820" max="2825" width="10.42578125" style="3" customWidth="1"/>
    <col min="2826" max="3074" width="9.42578125" style="3"/>
    <col min="3075" max="3075" width="14" style="3" customWidth="1"/>
    <col min="3076" max="3081" width="10.42578125" style="3" customWidth="1"/>
    <col min="3082" max="3330" width="9.42578125" style="3"/>
    <col min="3331" max="3331" width="14" style="3" customWidth="1"/>
    <col min="3332" max="3337" width="10.42578125" style="3" customWidth="1"/>
    <col min="3338" max="3586" width="9.42578125" style="3"/>
    <col min="3587" max="3587" width="14" style="3" customWidth="1"/>
    <col min="3588" max="3593" width="10.42578125" style="3" customWidth="1"/>
    <col min="3594" max="3842" width="9.42578125" style="3"/>
    <col min="3843" max="3843" width="14" style="3" customWidth="1"/>
    <col min="3844" max="3849" width="10.42578125" style="3" customWidth="1"/>
    <col min="3850" max="4098" width="9.42578125" style="3"/>
    <col min="4099" max="4099" width="14" style="3" customWidth="1"/>
    <col min="4100" max="4105" width="10.42578125" style="3" customWidth="1"/>
    <col min="4106" max="4354" width="9.42578125" style="3"/>
    <col min="4355" max="4355" width="14" style="3" customWidth="1"/>
    <col min="4356" max="4361" width="10.42578125" style="3" customWidth="1"/>
    <col min="4362" max="4610" width="9.42578125" style="3"/>
    <col min="4611" max="4611" width="14" style="3" customWidth="1"/>
    <col min="4612" max="4617" width="10.42578125" style="3" customWidth="1"/>
    <col min="4618" max="4866" width="9.42578125" style="3"/>
    <col min="4867" max="4867" width="14" style="3" customWidth="1"/>
    <col min="4868" max="4873" width="10.42578125" style="3" customWidth="1"/>
    <col min="4874" max="5122" width="9.42578125" style="3"/>
    <col min="5123" max="5123" width="14" style="3" customWidth="1"/>
    <col min="5124" max="5129" width="10.42578125" style="3" customWidth="1"/>
    <col min="5130" max="5378" width="9.42578125" style="3"/>
    <col min="5379" max="5379" width="14" style="3" customWidth="1"/>
    <col min="5380" max="5385" width="10.42578125" style="3" customWidth="1"/>
    <col min="5386" max="5634" width="9.42578125" style="3"/>
    <col min="5635" max="5635" width="14" style="3" customWidth="1"/>
    <col min="5636" max="5641" width="10.42578125" style="3" customWidth="1"/>
    <col min="5642" max="5890" width="9.42578125" style="3"/>
    <col min="5891" max="5891" width="14" style="3" customWidth="1"/>
    <col min="5892" max="5897" width="10.42578125" style="3" customWidth="1"/>
    <col min="5898" max="6146" width="9.42578125" style="3"/>
    <col min="6147" max="6147" width="14" style="3" customWidth="1"/>
    <col min="6148" max="6153" width="10.42578125" style="3" customWidth="1"/>
    <col min="6154" max="6402" width="9.42578125" style="3"/>
    <col min="6403" max="6403" width="14" style="3" customWidth="1"/>
    <col min="6404" max="6409" width="10.42578125" style="3" customWidth="1"/>
    <col min="6410" max="6658" width="9.42578125" style="3"/>
    <col min="6659" max="6659" width="14" style="3" customWidth="1"/>
    <col min="6660" max="6665" width="10.42578125" style="3" customWidth="1"/>
    <col min="6666" max="6914" width="9.42578125" style="3"/>
    <col min="6915" max="6915" width="14" style="3" customWidth="1"/>
    <col min="6916" max="6921" width="10.42578125" style="3" customWidth="1"/>
    <col min="6922" max="7170" width="9.42578125" style="3"/>
    <col min="7171" max="7171" width="14" style="3" customWidth="1"/>
    <col min="7172" max="7177" width="10.42578125" style="3" customWidth="1"/>
    <col min="7178" max="7426" width="9.42578125" style="3"/>
    <col min="7427" max="7427" width="14" style="3" customWidth="1"/>
    <col min="7428" max="7433" width="10.42578125" style="3" customWidth="1"/>
    <col min="7434" max="7682" width="9.42578125" style="3"/>
    <col min="7683" max="7683" width="14" style="3" customWidth="1"/>
    <col min="7684" max="7689" width="10.42578125" style="3" customWidth="1"/>
    <col min="7690" max="7938" width="9.42578125" style="3"/>
    <col min="7939" max="7939" width="14" style="3" customWidth="1"/>
    <col min="7940" max="7945" width="10.42578125" style="3" customWidth="1"/>
    <col min="7946" max="8194" width="9.42578125" style="3"/>
    <col min="8195" max="8195" width="14" style="3" customWidth="1"/>
    <col min="8196" max="8201" width="10.42578125" style="3" customWidth="1"/>
    <col min="8202" max="8450" width="9.42578125" style="3"/>
    <col min="8451" max="8451" width="14" style="3" customWidth="1"/>
    <col min="8452" max="8457" width="10.42578125" style="3" customWidth="1"/>
    <col min="8458" max="8706" width="9.42578125" style="3"/>
    <col min="8707" max="8707" width="14" style="3" customWidth="1"/>
    <col min="8708" max="8713" width="10.42578125" style="3" customWidth="1"/>
    <col min="8714" max="8962" width="9.42578125" style="3"/>
    <col min="8963" max="8963" width="14" style="3" customWidth="1"/>
    <col min="8964" max="8969" width="10.42578125" style="3" customWidth="1"/>
    <col min="8970" max="9218" width="9.42578125" style="3"/>
    <col min="9219" max="9219" width="14" style="3" customWidth="1"/>
    <col min="9220" max="9225" width="10.42578125" style="3" customWidth="1"/>
    <col min="9226" max="9474" width="9.42578125" style="3"/>
    <col min="9475" max="9475" width="14" style="3" customWidth="1"/>
    <col min="9476" max="9481" width="10.42578125" style="3" customWidth="1"/>
    <col min="9482" max="9730" width="9.42578125" style="3"/>
    <col min="9731" max="9731" width="14" style="3" customWidth="1"/>
    <col min="9732" max="9737" width="10.42578125" style="3" customWidth="1"/>
    <col min="9738" max="9986" width="9.42578125" style="3"/>
    <col min="9987" max="9987" width="14" style="3" customWidth="1"/>
    <col min="9988" max="9993" width="10.42578125" style="3" customWidth="1"/>
    <col min="9994" max="10242" width="9.42578125" style="3"/>
    <col min="10243" max="10243" width="14" style="3" customWidth="1"/>
    <col min="10244" max="10249" width="10.42578125" style="3" customWidth="1"/>
    <col min="10250" max="10498" width="9.42578125" style="3"/>
    <col min="10499" max="10499" width="14" style="3" customWidth="1"/>
    <col min="10500" max="10505" width="10.42578125" style="3" customWidth="1"/>
    <col min="10506" max="10754" width="9.42578125" style="3"/>
    <col min="10755" max="10755" width="14" style="3" customWidth="1"/>
    <col min="10756" max="10761" width="10.42578125" style="3" customWidth="1"/>
    <col min="10762" max="11010" width="9.42578125" style="3"/>
    <col min="11011" max="11011" width="14" style="3" customWidth="1"/>
    <col min="11012" max="11017" width="10.42578125" style="3" customWidth="1"/>
    <col min="11018" max="11266" width="9.42578125" style="3"/>
    <col min="11267" max="11267" width="14" style="3" customWidth="1"/>
    <col min="11268" max="11273" width="10.42578125" style="3" customWidth="1"/>
    <col min="11274" max="11522" width="9.42578125" style="3"/>
    <col min="11523" max="11523" width="14" style="3" customWidth="1"/>
    <col min="11524" max="11529" width="10.42578125" style="3" customWidth="1"/>
    <col min="11530" max="11778" width="9.42578125" style="3"/>
    <col min="11779" max="11779" width="14" style="3" customWidth="1"/>
    <col min="11780" max="11785" width="10.42578125" style="3" customWidth="1"/>
    <col min="11786" max="12034" width="9.42578125" style="3"/>
    <col min="12035" max="12035" width="14" style="3" customWidth="1"/>
    <col min="12036" max="12041" width="10.42578125" style="3" customWidth="1"/>
    <col min="12042" max="12290" width="9.42578125" style="3"/>
    <col min="12291" max="12291" width="14" style="3" customWidth="1"/>
    <col min="12292" max="12297" width="10.42578125" style="3" customWidth="1"/>
    <col min="12298" max="12546" width="9.42578125" style="3"/>
    <col min="12547" max="12547" width="14" style="3" customWidth="1"/>
    <col min="12548" max="12553" width="10.42578125" style="3" customWidth="1"/>
    <col min="12554" max="12802" width="9.42578125" style="3"/>
    <col min="12803" max="12803" width="14" style="3" customWidth="1"/>
    <col min="12804" max="12809" width="10.42578125" style="3" customWidth="1"/>
    <col min="12810" max="13058" width="9.42578125" style="3"/>
    <col min="13059" max="13059" width="14" style="3" customWidth="1"/>
    <col min="13060" max="13065" width="10.42578125" style="3" customWidth="1"/>
    <col min="13066" max="13314" width="9.42578125" style="3"/>
    <col min="13315" max="13315" width="14" style="3" customWidth="1"/>
    <col min="13316" max="13321" width="10.42578125" style="3" customWidth="1"/>
    <col min="13322" max="13570" width="9.42578125" style="3"/>
    <col min="13571" max="13571" width="14" style="3" customWidth="1"/>
    <col min="13572" max="13577" width="10.42578125" style="3" customWidth="1"/>
    <col min="13578" max="13826" width="9.42578125" style="3"/>
    <col min="13827" max="13827" width="14" style="3" customWidth="1"/>
    <col min="13828" max="13833" width="10.42578125" style="3" customWidth="1"/>
    <col min="13834" max="14082" width="9.42578125" style="3"/>
    <col min="14083" max="14083" width="14" style="3" customWidth="1"/>
    <col min="14084" max="14089" width="10.42578125" style="3" customWidth="1"/>
    <col min="14090" max="14338" width="9.42578125" style="3"/>
    <col min="14339" max="14339" width="14" style="3" customWidth="1"/>
    <col min="14340" max="14345" width="10.42578125" style="3" customWidth="1"/>
    <col min="14346" max="14594" width="9.42578125" style="3"/>
    <col min="14595" max="14595" width="14" style="3" customWidth="1"/>
    <col min="14596" max="14601" width="10.42578125" style="3" customWidth="1"/>
    <col min="14602" max="14850" width="9.42578125" style="3"/>
    <col min="14851" max="14851" width="14" style="3" customWidth="1"/>
    <col min="14852" max="14857" width="10.42578125" style="3" customWidth="1"/>
    <col min="14858" max="15106" width="9.42578125" style="3"/>
    <col min="15107" max="15107" width="14" style="3" customWidth="1"/>
    <col min="15108" max="15113" width="10.42578125" style="3" customWidth="1"/>
    <col min="15114" max="15362" width="9.42578125" style="3"/>
    <col min="15363" max="15363" width="14" style="3" customWidth="1"/>
    <col min="15364" max="15369" width="10.42578125" style="3" customWidth="1"/>
    <col min="15370" max="15618" width="9.42578125" style="3"/>
    <col min="15619" max="15619" width="14" style="3" customWidth="1"/>
    <col min="15620" max="15625" width="10.42578125" style="3" customWidth="1"/>
    <col min="15626" max="15874" width="9.42578125" style="3"/>
    <col min="15875" max="15875" width="14" style="3" customWidth="1"/>
    <col min="15876" max="15881" width="10.42578125" style="3" customWidth="1"/>
    <col min="15882" max="16130" width="9.42578125" style="3"/>
    <col min="16131" max="16131" width="14" style="3" customWidth="1"/>
    <col min="16132" max="16137" width="10.42578125" style="3" customWidth="1"/>
    <col min="16138" max="16384" width="9.42578125" style="3"/>
  </cols>
  <sheetData>
    <row r="1" spans="1:21" ht="15.6">
      <c r="A1" s="93" t="str">
        <f>+'Cover Page'!$B$29</f>
        <v>Annual Performance Report 2022</v>
      </c>
      <c r="B1" s="93"/>
      <c r="C1" s="93"/>
      <c r="D1" s="93"/>
      <c r="E1" s="93" t="str">
        <f>+'Cover Page'!$B$33</f>
        <v>Rookery Pit Energy Recovery Facility</v>
      </c>
    </row>
    <row r="3" spans="1:21" ht="14.45">
      <c r="A3" s="60" t="s">
        <v>468</v>
      </c>
      <c r="E3" s="76" t="s">
        <v>417</v>
      </c>
      <c r="H3" s="80" t="s">
        <v>469</v>
      </c>
      <c r="J3" s="9" t="str">
        <f>+A3</f>
        <v>Monitoring of Carbon Monoxide (10-minute avg)</v>
      </c>
      <c r="L3" s="9"/>
      <c r="O3" s="9" t="s">
        <v>419</v>
      </c>
      <c r="Q3" s="77" t="s">
        <v>3</v>
      </c>
      <c r="S3" s="79" t="s">
        <v>3</v>
      </c>
      <c r="T3" s="74"/>
      <c r="U3" s="74"/>
    </row>
    <row r="4" spans="1:21" ht="14.1" customHeight="1">
      <c r="S4" s="251" t="s">
        <v>470</v>
      </c>
      <c r="T4" s="251"/>
      <c r="U4" s="251"/>
    </row>
    <row r="5" spans="1:21" ht="15.95">
      <c r="A5" s="68" t="s">
        <v>421</v>
      </c>
      <c r="B5" s="262" t="s">
        <v>471</v>
      </c>
      <c r="C5" s="262"/>
      <c r="D5" s="262"/>
      <c r="E5" s="262"/>
      <c r="F5" s="262" t="s">
        <v>423</v>
      </c>
      <c r="G5" s="262"/>
      <c r="H5" s="262"/>
      <c r="K5" s="261"/>
      <c r="L5" s="261"/>
      <c r="M5" s="261"/>
      <c r="N5" s="261"/>
      <c r="O5" s="261"/>
      <c r="P5" s="261"/>
      <c r="Q5" s="261"/>
      <c r="S5" s="251"/>
      <c r="T5" s="251"/>
      <c r="U5" s="251"/>
    </row>
    <row r="6" spans="1:21" s="58" customFormat="1" ht="37.5" customHeight="1">
      <c r="A6" s="65">
        <f>+'Cover Page'!C39</f>
        <v>2022</v>
      </c>
      <c r="B6" s="55" t="s">
        <v>472</v>
      </c>
      <c r="C6" s="55" t="s">
        <v>473</v>
      </c>
      <c r="D6" s="55" t="s">
        <v>474</v>
      </c>
      <c r="E6" s="55" t="s">
        <v>475</v>
      </c>
      <c r="F6" s="55" t="s">
        <v>466</v>
      </c>
      <c r="G6" s="55" t="s">
        <v>428</v>
      </c>
      <c r="H6" s="55" t="s">
        <v>429</v>
      </c>
      <c r="I6" s="59"/>
      <c r="K6" s="61">
        <f>+A6</f>
        <v>2022</v>
      </c>
      <c r="L6" s="61" t="s">
        <v>430</v>
      </c>
      <c r="M6" s="55" t="s">
        <v>473</v>
      </c>
      <c r="N6" s="55" t="s">
        <v>474</v>
      </c>
      <c r="O6" s="55" t="s">
        <v>475</v>
      </c>
      <c r="P6" s="67" t="s">
        <v>428</v>
      </c>
      <c r="Q6" s="67" t="s">
        <v>432</v>
      </c>
      <c r="S6" s="251"/>
      <c r="T6" s="251"/>
      <c r="U6" s="251"/>
    </row>
    <row r="7" spans="1:21">
      <c r="A7" s="66" t="s">
        <v>433</v>
      </c>
      <c r="B7" s="69">
        <v>150</v>
      </c>
      <c r="C7" s="107">
        <f>MAX(M7,M22,M37)</f>
        <v>27.6</v>
      </c>
      <c r="D7" s="107">
        <f>AVERAGE(N7,N22,N37)</f>
        <v>1.3</v>
      </c>
      <c r="E7" s="107">
        <f>MAX(O7,O22,O37)</f>
        <v>4196.2</v>
      </c>
      <c r="F7" s="69">
        <v>50</v>
      </c>
      <c r="G7" s="107">
        <f>AVERAGE(P7,P22,P37)</f>
        <v>1.2</v>
      </c>
      <c r="H7" s="64">
        <f>MAX(Q7,Q22,Q37)</f>
        <v>44.6</v>
      </c>
      <c r="K7" s="260" t="s">
        <v>189</v>
      </c>
      <c r="L7" s="66" t="s">
        <v>433</v>
      </c>
      <c r="M7" s="64">
        <v>2</v>
      </c>
      <c r="N7" s="64">
        <v>0.6</v>
      </c>
      <c r="O7" s="64">
        <v>442.1</v>
      </c>
      <c r="P7" s="64">
        <v>0.5</v>
      </c>
      <c r="Q7" s="64">
        <v>3.9</v>
      </c>
      <c r="S7" s="251"/>
      <c r="T7" s="251"/>
      <c r="U7" s="251"/>
    </row>
    <row r="8" spans="1:21">
      <c r="A8" s="66" t="s">
        <v>434</v>
      </c>
      <c r="B8" s="63">
        <f>+B7</f>
        <v>150</v>
      </c>
      <c r="C8" s="107">
        <f t="shared" ref="C8:C17" si="0">MAX(M8,M23,M38)</f>
        <v>435</v>
      </c>
      <c r="D8" s="107">
        <f t="shared" ref="D8:D17" si="1">AVERAGE(N8,N23,N38)</f>
        <v>2.9333333333333336</v>
      </c>
      <c r="E8" s="107">
        <f t="shared" ref="E8:E17" si="2">MAX(O8,O23,O38)</f>
        <v>3153.9</v>
      </c>
      <c r="F8" s="63">
        <f>+F7</f>
        <v>50</v>
      </c>
      <c r="G8" s="107">
        <f t="shared" ref="G8:G17" si="3">AVERAGE(P8,P23,P38)</f>
        <v>2.0333333333333337</v>
      </c>
      <c r="H8" s="64">
        <f t="shared" ref="H8:H17" si="4">MAX(Q8,Q23,Q38)</f>
        <v>46.3</v>
      </c>
      <c r="K8" s="260"/>
      <c r="L8" s="66" t="s">
        <v>434</v>
      </c>
      <c r="M8" s="4">
        <v>30.3</v>
      </c>
      <c r="N8" s="64">
        <v>2.7</v>
      </c>
      <c r="O8" s="64">
        <v>2440.1</v>
      </c>
      <c r="P8" s="64">
        <v>2.7</v>
      </c>
      <c r="Q8" s="64">
        <v>46.3</v>
      </c>
      <c r="S8" s="251"/>
      <c r="T8" s="251"/>
      <c r="U8" s="251"/>
    </row>
    <row r="9" spans="1:21">
      <c r="A9" s="66" t="s">
        <v>435</v>
      </c>
      <c r="B9" s="63">
        <f t="shared" ref="B9:B18" si="5">+B8</f>
        <v>150</v>
      </c>
      <c r="C9" s="107">
        <f t="shared" si="0"/>
        <v>8.1999999999999993</v>
      </c>
      <c r="D9" s="107">
        <f t="shared" si="1"/>
        <v>1.0999999999999999</v>
      </c>
      <c r="E9" s="107">
        <f t="shared" si="2"/>
        <v>692.6</v>
      </c>
      <c r="F9" s="63">
        <f t="shared" ref="F9:F18" si="6">+F8</f>
        <v>50</v>
      </c>
      <c r="G9" s="107">
        <f t="shared" si="3"/>
        <v>1.0999999999999999</v>
      </c>
      <c r="H9" s="64">
        <f t="shared" si="4"/>
        <v>7.7</v>
      </c>
      <c r="K9" s="260"/>
      <c r="L9" s="66" t="s">
        <v>435</v>
      </c>
      <c r="M9" s="4">
        <v>2.9</v>
      </c>
      <c r="N9" s="64">
        <v>0.8</v>
      </c>
      <c r="O9" s="64">
        <v>679.5</v>
      </c>
      <c r="P9" s="64">
        <v>0.8</v>
      </c>
      <c r="Q9" s="64">
        <v>5.7</v>
      </c>
      <c r="S9" s="78" t="s">
        <v>476</v>
      </c>
    </row>
    <row r="10" spans="1:21">
      <c r="A10" s="66" t="s">
        <v>437</v>
      </c>
      <c r="B10" s="63">
        <f t="shared" si="5"/>
        <v>150</v>
      </c>
      <c r="C10" s="107">
        <f t="shared" si="0"/>
        <v>2.7</v>
      </c>
      <c r="D10" s="107">
        <f t="shared" si="1"/>
        <v>1.4666666666666668</v>
      </c>
      <c r="E10" s="107">
        <f t="shared" si="2"/>
        <v>6049.5</v>
      </c>
      <c r="F10" s="63">
        <f t="shared" si="6"/>
        <v>50</v>
      </c>
      <c r="G10" s="107">
        <f t="shared" si="3"/>
        <v>1.3</v>
      </c>
      <c r="H10" s="64">
        <f t="shared" si="4"/>
        <v>42.1</v>
      </c>
      <c r="K10" s="260"/>
      <c r="L10" s="66" t="s">
        <v>437</v>
      </c>
      <c r="M10" s="4">
        <v>2.5</v>
      </c>
      <c r="N10" s="64">
        <v>0.7</v>
      </c>
      <c r="O10" s="64">
        <v>462.5</v>
      </c>
      <c r="P10" s="64">
        <v>0.6</v>
      </c>
      <c r="Q10" s="64">
        <v>6</v>
      </c>
      <c r="S10" s="259" t="s">
        <v>477</v>
      </c>
      <c r="T10" s="259"/>
      <c r="U10" s="259"/>
    </row>
    <row r="11" spans="1:21">
      <c r="A11" s="66" t="s">
        <v>439</v>
      </c>
      <c r="B11" s="63">
        <f t="shared" si="5"/>
        <v>150</v>
      </c>
      <c r="C11" s="107">
        <f t="shared" si="0"/>
        <v>379.2</v>
      </c>
      <c r="D11" s="107">
        <f t="shared" si="1"/>
        <v>1.9000000000000001</v>
      </c>
      <c r="E11" s="107">
        <f t="shared" si="2"/>
        <v>1601.1</v>
      </c>
      <c r="F11" s="63">
        <f t="shared" si="6"/>
        <v>50</v>
      </c>
      <c r="G11" s="107">
        <f t="shared" si="3"/>
        <v>1.3666666666666665</v>
      </c>
      <c r="H11" s="64">
        <f t="shared" si="4"/>
        <v>28</v>
      </c>
      <c r="K11" s="260"/>
      <c r="L11" s="66" t="s">
        <v>439</v>
      </c>
      <c r="M11" s="4">
        <v>165.3</v>
      </c>
      <c r="N11" s="64">
        <v>1.2</v>
      </c>
      <c r="O11" s="64">
        <v>1157.8</v>
      </c>
      <c r="P11" s="64">
        <v>1.2</v>
      </c>
      <c r="Q11" s="64">
        <v>28</v>
      </c>
      <c r="S11" s="259"/>
      <c r="T11" s="259"/>
      <c r="U11" s="259"/>
    </row>
    <row r="12" spans="1:21">
      <c r="A12" s="66" t="s">
        <v>440</v>
      </c>
      <c r="B12" s="63">
        <f t="shared" si="5"/>
        <v>150</v>
      </c>
      <c r="C12" s="107">
        <f t="shared" si="0"/>
        <v>167.1</v>
      </c>
      <c r="D12" s="107">
        <f t="shared" si="1"/>
        <v>1.0333333333333332</v>
      </c>
      <c r="E12" s="107">
        <f t="shared" si="2"/>
        <v>839.3</v>
      </c>
      <c r="F12" s="63">
        <f t="shared" si="6"/>
        <v>50</v>
      </c>
      <c r="G12" s="107">
        <f t="shared" si="3"/>
        <v>0.9</v>
      </c>
      <c r="H12" s="64">
        <f t="shared" si="4"/>
        <v>12.8</v>
      </c>
      <c r="K12" s="260"/>
      <c r="L12" s="66" t="s">
        <v>440</v>
      </c>
      <c r="M12" s="4">
        <v>6.5</v>
      </c>
      <c r="N12" s="64">
        <v>0.9</v>
      </c>
      <c r="O12" s="64">
        <v>471</v>
      </c>
      <c r="P12" s="64">
        <v>0.9</v>
      </c>
      <c r="Q12" s="64">
        <v>4.4000000000000004</v>
      </c>
      <c r="S12" s="259"/>
      <c r="T12" s="259"/>
      <c r="U12" s="259"/>
    </row>
    <row r="13" spans="1:21">
      <c r="A13" s="66" t="s">
        <v>441</v>
      </c>
      <c r="B13" s="63">
        <f t="shared" si="5"/>
        <v>150</v>
      </c>
      <c r="C13" s="107">
        <f t="shared" si="0"/>
        <v>2348.1</v>
      </c>
      <c r="D13" s="107">
        <f t="shared" si="1"/>
        <v>2.6666666666666665</v>
      </c>
      <c r="E13" s="107">
        <f t="shared" si="2"/>
        <v>3446.9</v>
      </c>
      <c r="F13" s="63">
        <f t="shared" si="6"/>
        <v>50</v>
      </c>
      <c r="G13" s="107">
        <f t="shared" si="3"/>
        <v>0.5</v>
      </c>
      <c r="H13" s="64">
        <f t="shared" si="4"/>
        <v>3</v>
      </c>
      <c r="K13" s="260"/>
      <c r="L13" s="66" t="s">
        <v>441</v>
      </c>
      <c r="M13" s="4">
        <v>2348.1</v>
      </c>
      <c r="N13" s="64">
        <v>3.7</v>
      </c>
      <c r="O13" s="64">
        <v>3446.9</v>
      </c>
      <c r="P13" s="64">
        <v>0.7</v>
      </c>
      <c r="Q13" s="64">
        <v>2</v>
      </c>
      <c r="S13" s="259" t="s">
        <v>478</v>
      </c>
      <c r="T13" s="259"/>
      <c r="U13" s="259"/>
    </row>
    <row r="14" spans="1:21">
      <c r="A14" s="66" t="s">
        <v>443</v>
      </c>
      <c r="B14" s="63">
        <f t="shared" si="5"/>
        <v>150</v>
      </c>
      <c r="C14" s="107" t="s">
        <v>444</v>
      </c>
      <c r="D14" s="107" t="s">
        <v>444</v>
      </c>
      <c r="E14" s="107" t="s">
        <v>444</v>
      </c>
      <c r="F14" s="63">
        <f t="shared" si="6"/>
        <v>50</v>
      </c>
      <c r="G14" s="107" t="s">
        <v>444</v>
      </c>
      <c r="H14" s="64" t="s">
        <v>444</v>
      </c>
      <c r="K14" s="260"/>
      <c r="L14" s="66" t="s">
        <v>443</v>
      </c>
      <c r="M14" s="4" t="s">
        <v>138</v>
      </c>
      <c r="N14" s="64" t="s">
        <v>138</v>
      </c>
      <c r="O14" s="64" t="s">
        <v>138</v>
      </c>
      <c r="P14" s="64" t="s">
        <v>138</v>
      </c>
      <c r="Q14" s="64" t="s">
        <v>138</v>
      </c>
      <c r="S14" s="259"/>
      <c r="T14" s="259"/>
      <c r="U14" s="259"/>
    </row>
    <row r="15" spans="1:21">
      <c r="A15" s="66" t="s">
        <v>445</v>
      </c>
      <c r="B15" s="63">
        <f t="shared" si="5"/>
        <v>150</v>
      </c>
      <c r="C15" s="107">
        <f t="shared" si="0"/>
        <v>22.1</v>
      </c>
      <c r="D15" s="107">
        <f t="shared" si="1"/>
        <v>1.4666666666666668</v>
      </c>
      <c r="E15" s="107">
        <f t="shared" si="2"/>
        <v>3408.8</v>
      </c>
      <c r="F15" s="63">
        <f t="shared" si="6"/>
        <v>50</v>
      </c>
      <c r="G15" s="107">
        <f t="shared" si="3"/>
        <v>1.4333333333333333</v>
      </c>
      <c r="H15" s="64">
        <f t="shared" si="4"/>
        <v>32.700000000000003</v>
      </c>
      <c r="K15" s="260"/>
      <c r="L15" s="66" t="s">
        <v>445</v>
      </c>
      <c r="M15" s="4">
        <v>2.7</v>
      </c>
      <c r="N15" s="64">
        <v>2.8</v>
      </c>
      <c r="O15" s="64">
        <v>3408.8</v>
      </c>
      <c r="P15" s="64">
        <v>2.8</v>
      </c>
      <c r="Q15" s="64">
        <v>32.700000000000003</v>
      </c>
      <c r="S15" s="259"/>
      <c r="T15" s="259"/>
      <c r="U15" s="259"/>
    </row>
    <row r="16" spans="1:21">
      <c r="A16" s="66" t="s">
        <v>446</v>
      </c>
      <c r="B16" s="63">
        <f t="shared" si="5"/>
        <v>150</v>
      </c>
      <c r="C16" s="107">
        <f t="shared" si="0"/>
        <v>2.2999999999999998</v>
      </c>
      <c r="D16" s="107">
        <f t="shared" si="1"/>
        <v>0.93333333333333324</v>
      </c>
      <c r="E16" s="107">
        <f t="shared" si="2"/>
        <v>1041.4000000000001</v>
      </c>
      <c r="F16" s="63">
        <f t="shared" si="6"/>
        <v>50</v>
      </c>
      <c r="G16" s="107">
        <f t="shared" si="3"/>
        <v>0.9</v>
      </c>
      <c r="H16" s="64">
        <f t="shared" si="4"/>
        <v>7.7</v>
      </c>
      <c r="K16" s="260"/>
      <c r="L16" s="66" t="s">
        <v>446</v>
      </c>
      <c r="M16" s="4">
        <v>2</v>
      </c>
      <c r="N16" s="64">
        <v>1</v>
      </c>
      <c r="O16" s="64">
        <v>619.79999999999995</v>
      </c>
      <c r="P16" s="64">
        <v>1</v>
      </c>
      <c r="Q16" s="64">
        <v>4.5999999999999996</v>
      </c>
      <c r="S16" s="259"/>
      <c r="T16" s="259"/>
      <c r="U16" s="259"/>
    </row>
    <row r="17" spans="1:17">
      <c r="A17" s="66" t="s">
        <v>447</v>
      </c>
      <c r="B17" s="63">
        <f t="shared" si="5"/>
        <v>150</v>
      </c>
      <c r="C17" s="107">
        <f t="shared" si="0"/>
        <v>2214.3000000000002</v>
      </c>
      <c r="D17" s="107">
        <f t="shared" si="1"/>
        <v>6.3666666666666671</v>
      </c>
      <c r="E17" s="107">
        <f t="shared" si="2"/>
        <v>2551.1999999999998</v>
      </c>
      <c r="F17" s="63">
        <f t="shared" si="6"/>
        <v>50</v>
      </c>
      <c r="G17" s="107">
        <f t="shared" si="3"/>
        <v>6.333333333333333</v>
      </c>
      <c r="H17" s="64">
        <f t="shared" si="4"/>
        <v>265.2</v>
      </c>
      <c r="K17" s="260"/>
      <c r="L17" s="66" t="s">
        <v>447</v>
      </c>
      <c r="M17" s="4">
        <v>311.3</v>
      </c>
      <c r="N17" s="64">
        <v>2.4</v>
      </c>
      <c r="O17" s="64">
        <v>1371.2</v>
      </c>
      <c r="P17" s="64">
        <v>2.2999999999999998</v>
      </c>
      <c r="Q17" s="64">
        <v>40.9</v>
      </c>
    </row>
    <row r="18" spans="1:17">
      <c r="A18" s="66" t="s">
        <v>448</v>
      </c>
      <c r="B18" s="63">
        <f t="shared" si="5"/>
        <v>150</v>
      </c>
      <c r="C18" s="64"/>
      <c r="D18" s="64"/>
      <c r="E18" s="64"/>
      <c r="F18" s="63">
        <f t="shared" si="6"/>
        <v>50</v>
      </c>
      <c r="G18" s="64"/>
      <c r="H18" s="64"/>
      <c r="K18" s="260"/>
      <c r="L18" s="66" t="s">
        <v>448</v>
      </c>
      <c r="M18" s="64">
        <v>3.1</v>
      </c>
      <c r="N18" s="64">
        <v>1.2</v>
      </c>
      <c r="O18" s="64">
        <v>494.9</v>
      </c>
      <c r="P18" s="64">
        <v>1</v>
      </c>
      <c r="Q18" s="64">
        <v>5.7</v>
      </c>
    </row>
    <row r="19" spans="1:17">
      <c r="K19" s="260"/>
      <c r="L19" s="62" t="s">
        <v>449</v>
      </c>
      <c r="M19" s="62">
        <f>AVERAGE(M7:M18)</f>
        <v>261.5181818181818</v>
      </c>
      <c r="N19" s="62"/>
      <c r="O19" s="62">
        <f>MAX(O7:O18)</f>
        <v>3446.9</v>
      </c>
      <c r="P19" s="62">
        <f>AVERAGE(P7:P18)</f>
        <v>1.3181818181818181</v>
      </c>
      <c r="Q19" s="62">
        <f>MAX(Q7:Q18)</f>
        <v>46.3</v>
      </c>
    </row>
    <row r="21" spans="1:17" ht="27.95">
      <c r="K21" s="61">
        <f>+A6</f>
        <v>2022</v>
      </c>
      <c r="L21" s="61" t="s">
        <v>430</v>
      </c>
      <c r="M21" s="55" t="s">
        <v>473</v>
      </c>
      <c r="N21" s="55" t="s">
        <v>474</v>
      </c>
      <c r="O21" s="55" t="s">
        <v>475</v>
      </c>
      <c r="P21" s="67" t="s">
        <v>428</v>
      </c>
      <c r="Q21" s="67" t="s">
        <v>432</v>
      </c>
    </row>
    <row r="22" spans="1:17">
      <c r="K22" s="260" t="s">
        <v>190</v>
      </c>
      <c r="L22" s="66" t="s">
        <v>433</v>
      </c>
      <c r="M22" s="4">
        <v>2.4</v>
      </c>
      <c r="N22" s="64">
        <v>2.2999999999999998</v>
      </c>
      <c r="O22" s="64">
        <v>4196.2</v>
      </c>
      <c r="P22" s="64">
        <v>2.2000000000000002</v>
      </c>
      <c r="Q22" s="64">
        <v>44.6</v>
      </c>
    </row>
    <row r="23" spans="1:17">
      <c r="K23" s="260"/>
      <c r="L23" s="66" t="s">
        <v>434</v>
      </c>
      <c r="M23" s="4">
        <v>435</v>
      </c>
      <c r="N23" s="64">
        <v>3.3</v>
      </c>
      <c r="O23" s="64">
        <v>2394</v>
      </c>
      <c r="P23" s="64">
        <v>2.5</v>
      </c>
      <c r="Q23" s="64">
        <v>32.700000000000003</v>
      </c>
    </row>
    <row r="24" spans="1:17">
      <c r="K24" s="260"/>
      <c r="L24" s="66" t="s">
        <v>435</v>
      </c>
      <c r="M24" s="4">
        <v>8.1999999999999993</v>
      </c>
      <c r="N24" s="64">
        <v>1.2</v>
      </c>
      <c r="O24" s="64">
        <v>692.6</v>
      </c>
      <c r="P24" s="64">
        <v>1.2</v>
      </c>
      <c r="Q24" s="64">
        <v>7.7</v>
      </c>
    </row>
    <row r="25" spans="1:17">
      <c r="K25" s="260"/>
      <c r="L25" s="66" t="s">
        <v>437</v>
      </c>
      <c r="M25" s="4">
        <v>2.7</v>
      </c>
      <c r="N25" s="64">
        <v>1</v>
      </c>
      <c r="O25" s="64">
        <v>372.4</v>
      </c>
      <c r="P25" s="64">
        <v>1</v>
      </c>
      <c r="Q25" s="64">
        <v>3.5</v>
      </c>
    </row>
    <row r="26" spans="1:17">
      <c r="K26" s="260"/>
      <c r="L26" s="66" t="s">
        <v>439</v>
      </c>
      <c r="M26" s="4">
        <v>2.4</v>
      </c>
      <c r="N26" s="64">
        <v>1.3</v>
      </c>
      <c r="O26" s="64">
        <v>1563.9</v>
      </c>
      <c r="P26" s="64">
        <v>1.2</v>
      </c>
      <c r="Q26" s="64">
        <v>11.3</v>
      </c>
    </row>
    <row r="27" spans="1:17">
      <c r="K27" s="260"/>
      <c r="L27" s="66" t="s">
        <v>440</v>
      </c>
      <c r="M27" s="4">
        <v>167.1</v>
      </c>
      <c r="N27" s="64">
        <v>1.5</v>
      </c>
      <c r="O27" s="64">
        <v>839.3</v>
      </c>
      <c r="P27" s="64">
        <v>1.2</v>
      </c>
      <c r="Q27" s="64">
        <v>12.8</v>
      </c>
    </row>
    <row r="28" spans="1:17">
      <c r="K28" s="260"/>
      <c r="L28" s="66" t="s">
        <v>441</v>
      </c>
      <c r="M28" s="4">
        <v>1718.3</v>
      </c>
      <c r="N28" s="64">
        <v>3.5</v>
      </c>
      <c r="O28" s="64">
        <v>2963</v>
      </c>
      <c r="P28" s="64">
        <v>0.3</v>
      </c>
      <c r="Q28" s="64">
        <v>2.2000000000000002</v>
      </c>
    </row>
    <row r="29" spans="1:17">
      <c r="K29" s="260"/>
      <c r="L29" s="66" t="s">
        <v>443</v>
      </c>
      <c r="M29" s="4" t="s">
        <v>138</v>
      </c>
      <c r="N29" s="64" t="s">
        <v>138</v>
      </c>
      <c r="O29" s="64" t="s">
        <v>138</v>
      </c>
      <c r="P29" s="64" t="s">
        <v>138</v>
      </c>
      <c r="Q29" s="64" t="s">
        <v>138</v>
      </c>
    </row>
    <row r="30" spans="1:17">
      <c r="K30" s="260"/>
      <c r="L30" s="66" t="s">
        <v>445</v>
      </c>
      <c r="M30" s="4">
        <v>2.2999999999999998</v>
      </c>
      <c r="N30" s="64">
        <v>0.5</v>
      </c>
      <c r="O30" s="64">
        <v>96.8</v>
      </c>
      <c r="P30" s="64">
        <v>0.5</v>
      </c>
      <c r="Q30" s="64">
        <v>1.5</v>
      </c>
    </row>
    <row r="31" spans="1:17">
      <c r="K31" s="260"/>
      <c r="L31" s="66" t="s">
        <v>446</v>
      </c>
      <c r="M31" s="4">
        <v>2.1</v>
      </c>
      <c r="N31" s="64">
        <v>1.3</v>
      </c>
      <c r="O31" s="64">
        <v>1041.4000000000001</v>
      </c>
      <c r="P31" s="64">
        <v>1.2</v>
      </c>
      <c r="Q31" s="64">
        <v>7.7</v>
      </c>
    </row>
    <row r="32" spans="1:17">
      <c r="K32" s="260"/>
      <c r="L32" s="66" t="s">
        <v>447</v>
      </c>
      <c r="M32" s="4">
        <v>1724.6</v>
      </c>
      <c r="N32" s="64">
        <v>7.2</v>
      </c>
      <c r="O32" s="64">
        <v>2115.4</v>
      </c>
      <c r="P32" s="64">
        <v>7.2</v>
      </c>
      <c r="Q32" s="4">
        <v>164.5</v>
      </c>
    </row>
    <row r="33" spans="1:17">
      <c r="K33" s="260"/>
      <c r="L33" s="66" t="s">
        <v>448</v>
      </c>
      <c r="M33" s="64">
        <v>667.2</v>
      </c>
      <c r="N33" s="64">
        <v>2.6</v>
      </c>
      <c r="O33" s="64">
        <v>1023.9</v>
      </c>
      <c r="P33" s="64">
        <v>1.3</v>
      </c>
      <c r="Q33" s="64">
        <v>4.5999999999999996</v>
      </c>
    </row>
    <row r="34" spans="1:17">
      <c r="K34" s="260"/>
      <c r="L34" s="62" t="s">
        <v>449</v>
      </c>
      <c r="M34" s="62">
        <f>AVERAGE(M22:M33)</f>
        <v>430.20909090909095</v>
      </c>
      <c r="N34" s="62"/>
      <c r="O34" s="62">
        <f>MAX(O22:O33)</f>
        <v>4196.2</v>
      </c>
      <c r="P34" s="62">
        <f>AVERAGE(P22:P33)</f>
        <v>1.8</v>
      </c>
      <c r="Q34" s="62">
        <f>MAX(Q22:Q33)</f>
        <v>164.5</v>
      </c>
    </row>
    <row r="36" spans="1:17" ht="27.95">
      <c r="K36" s="61">
        <f>+A6</f>
        <v>2022</v>
      </c>
      <c r="L36" s="61" t="s">
        <v>430</v>
      </c>
      <c r="M36" s="55" t="s">
        <v>473</v>
      </c>
      <c r="N36" s="55" t="s">
        <v>474</v>
      </c>
      <c r="O36" s="55" t="s">
        <v>475</v>
      </c>
      <c r="P36" s="67" t="s">
        <v>428</v>
      </c>
      <c r="Q36" s="67" t="s">
        <v>432</v>
      </c>
    </row>
    <row r="37" spans="1:17">
      <c r="K37" s="260" t="s">
        <v>191</v>
      </c>
      <c r="L37" s="66" t="s">
        <v>433</v>
      </c>
      <c r="M37" s="4">
        <v>27.6</v>
      </c>
      <c r="N37" s="64">
        <v>1</v>
      </c>
      <c r="O37" s="64">
        <v>603.6</v>
      </c>
      <c r="P37" s="64">
        <v>0.9</v>
      </c>
      <c r="Q37" s="64">
        <v>7.4</v>
      </c>
    </row>
    <row r="38" spans="1:17">
      <c r="K38" s="260"/>
      <c r="L38" s="66" t="s">
        <v>434</v>
      </c>
      <c r="M38" s="4">
        <v>268.5</v>
      </c>
      <c r="N38" s="64">
        <v>2.8</v>
      </c>
      <c r="O38" s="64">
        <v>3153.9</v>
      </c>
      <c r="P38" s="64">
        <v>0.9</v>
      </c>
      <c r="Q38" s="64">
        <v>3.3</v>
      </c>
    </row>
    <row r="39" spans="1:17">
      <c r="K39" s="260"/>
      <c r="L39" s="66" t="s">
        <v>435</v>
      </c>
      <c r="M39" s="4">
        <v>2.4</v>
      </c>
      <c r="N39" s="64">
        <v>1.3</v>
      </c>
      <c r="O39" s="64">
        <v>469.1</v>
      </c>
      <c r="P39" s="64">
        <v>1.3</v>
      </c>
      <c r="Q39" s="64">
        <v>6.4</v>
      </c>
    </row>
    <row r="40" spans="1:17">
      <c r="K40" s="260"/>
      <c r="L40" s="66" t="s">
        <v>437</v>
      </c>
      <c r="M40" s="4">
        <v>2.2000000000000002</v>
      </c>
      <c r="N40" s="64">
        <v>2.7</v>
      </c>
      <c r="O40" s="64">
        <v>6049.5</v>
      </c>
      <c r="P40" s="64">
        <v>2.2999999999999998</v>
      </c>
      <c r="Q40" s="64">
        <v>42.1</v>
      </c>
    </row>
    <row r="41" spans="1:17">
      <c r="K41" s="260"/>
      <c r="L41" s="66" t="s">
        <v>439</v>
      </c>
      <c r="M41" s="4">
        <v>379.2</v>
      </c>
      <c r="N41" s="64">
        <v>3.2</v>
      </c>
      <c r="O41" s="64">
        <v>1601.1</v>
      </c>
      <c r="P41" s="64">
        <v>1.7</v>
      </c>
      <c r="Q41" s="64">
        <v>22.4</v>
      </c>
    </row>
    <row r="42" spans="1:17">
      <c r="K42" s="260"/>
      <c r="L42" s="66" t="s">
        <v>440</v>
      </c>
      <c r="M42" s="4">
        <v>2.1</v>
      </c>
      <c r="N42" s="64">
        <v>0.7</v>
      </c>
      <c r="O42" s="64">
        <v>424.1</v>
      </c>
      <c r="P42" s="64">
        <v>0.6</v>
      </c>
      <c r="Q42" s="64">
        <v>4.7</v>
      </c>
    </row>
    <row r="43" spans="1:17">
      <c r="K43" s="260"/>
      <c r="L43" s="66" t="s">
        <v>441</v>
      </c>
      <c r="M43" s="4">
        <v>1.5</v>
      </c>
      <c r="N43" s="64">
        <v>0.8</v>
      </c>
      <c r="O43" s="64">
        <v>503.7</v>
      </c>
      <c r="P43" s="64">
        <v>0.5</v>
      </c>
      <c r="Q43" s="64">
        <v>3</v>
      </c>
    </row>
    <row r="44" spans="1:17">
      <c r="K44" s="260"/>
      <c r="L44" s="66" t="s">
        <v>443</v>
      </c>
      <c r="M44" s="4" t="s">
        <v>138</v>
      </c>
      <c r="N44" s="64" t="s">
        <v>138</v>
      </c>
      <c r="O44" s="64" t="s">
        <v>138</v>
      </c>
      <c r="P44" s="64" t="s">
        <v>138</v>
      </c>
      <c r="Q44" s="64" t="s">
        <v>138</v>
      </c>
    </row>
    <row r="45" spans="1:17">
      <c r="K45" s="260"/>
      <c r="L45" s="66" t="s">
        <v>445</v>
      </c>
      <c r="M45" s="4">
        <v>22.1</v>
      </c>
      <c r="N45" s="64">
        <v>1.1000000000000001</v>
      </c>
      <c r="O45" s="64">
        <v>1311.2</v>
      </c>
      <c r="P45" s="64">
        <v>1</v>
      </c>
      <c r="Q45" s="64">
        <v>9.1999999999999993</v>
      </c>
    </row>
    <row r="46" spans="1:17">
      <c r="K46" s="260"/>
      <c r="L46" s="66" t="s">
        <v>446</v>
      </c>
      <c r="M46" s="4">
        <v>2.2999999999999998</v>
      </c>
      <c r="N46" s="64">
        <v>0.5</v>
      </c>
      <c r="O46" s="64">
        <v>536.70000000000005</v>
      </c>
      <c r="P46" s="64">
        <v>0.5</v>
      </c>
      <c r="Q46" s="64">
        <v>4.3</v>
      </c>
    </row>
    <row r="47" spans="1:17">
      <c r="K47" s="260"/>
      <c r="L47" s="66" t="s">
        <v>447</v>
      </c>
      <c r="M47" s="4">
        <v>2214.3000000000002</v>
      </c>
      <c r="N47" s="64">
        <v>9.5</v>
      </c>
      <c r="O47" s="64">
        <v>2551.1999999999998</v>
      </c>
      <c r="P47" s="64">
        <v>9.5</v>
      </c>
      <c r="Q47" s="4">
        <v>265.2</v>
      </c>
    </row>
    <row r="48" spans="1:17">
      <c r="A48" s="272" t="s">
        <v>342</v>
      </c>
      <c r="B48" s="273"/>
      <c r="C48" s="273"/>
      <c r="D48" s="273"/>
      <c r="E48" s="273"/>
      <c r="F48" s="273"/>
      <c r="G48" s="273"/>
      <c r="H48" s="274"/>
      <c r="K48" s="260"/>
      <c r="L48" s="66" t="s">
        <v>448</v>
      </c>
      <c r="M48" s="64">
        <v>17.899999999999999</v>
      </c>
      <c r="N48" s="64">
        <v>1.7</v>
      </c>
      <c r="O48" s="64">
        <v>2108.1999999999998</v>
      </c>
      <c r="P48" s="64">
        <v>0.6</v>
      </c>
      <c r="Q48" s="64">
        <v>4.5999999999999996</v>
      </c>
    </row>
    <row r="49" spans="1:17">
      <c r="A49" s="275" t="s">
        <v>479</v>
      </c>
      <c r="B49" s="276"/>
      <c r="C49" s="276"/>
      <c r="D49" s="276"/>
      <c r="E49" s="276"/>
      <c r="F49" s="276"/>
      <c r="G49" s="276"/>
      <c r="H49" s="277"/>
      <c r="K49" s="260"/>
      <c r="L49" s="62" t="s">
        <v>449</v>
      </c>
      <c r="M49" s="62">
        <f>AVERAGE(M37:M48)</f>
        <v>267.28181818181821</v>
      </c>
      <c r="N49" s="62"/>
      <c r="O49" s="62">
        <f>MAX(O37:O48)</f>
        <v>6049.5</v>
      </c>
      <c r="P49" s="62">
        <f>AVERAGE(P37:P48)</f>
        <v>1.8</v>
      </c>
      <c r="Q49" s="62">
        <f>MAX(Q37:Q48)</f>
        <v>265.2</v>
      </c>
    </row>
    <row r="50" spans="1:17">
      <c r="A50" s="278"/>
      <c r="B50" s="279"/>
      <c r="C50" s="279"/>
      <c r="D50" s="279"/>
      <c r="E50" s="279"/>
      <c r="F50" s="279"/>
      <c r="G50" s="279"/>
      <c r="H50" s="280"/>
    </row>
    <row r="51" spans="1:17" ht="27.95">
      <c r="A51" s="278"/>
      <c r="B51" s="279"/>
      <c r="C51" s="279"/>
      <c r="D51" s="279"/>
      <c r="E51" s="279"/>
      <c r="F51" s="279"/>
      <c r="G51" s="279"/>
      <c r="H51" s="280"/>
      <c r="K51" s="61">
        <f>+A6</f>
        <v>2022</v>
      </c>
      <c r="L51" s="61" t="s">
        <v>430</v>
      </c>
      <c r="M51" s="55" t="s">
        <v>473</v>
      </c>
      <c r="N51" s="55" t="s">
        <v>474</v>
      </c>
      <c r="O51" s="55" t="s">
        <v>475</v>
      </c>
      <c r="P51" s="67" t="s">
        <v>428</v>
      </c>
      <c r="Q51" s="67" t="s">
        <v>432</v>
      </c>
    </row>
    <row r="52" spans="1:17">
      <c r="A52" s="281"/>
      <c r="B52" s="282"/>
      <c r="C52" s="282"/>
      <c r="D52" s="282"/>
      <c r="E52" s="282"/>
      <c r="F52" s="282"/>
      <c r="G52" s="282"/>
      <c r="H52" s="283"/>
      <c r="K52" s="260" t="s">
        <v>192</v>
      </c>
      <c r="L52" s="66" t="s">
        <v>433</v>
      </c>
      <c r="M52" s="64"/>
      <c r="N52" s="64"/>
      <c r="O52" s="64"/>
      <c r="P52" s="64"/>
      <c r="Q52" s="64"/>
    </row>
    <row r="53" spans="1:17">
      <c r="K53" s="260"/>
      <c r="L53" s="66" t="s">
        <v>434</v>
      </c>
      <c r="M53" s="64"/>
      <c r="N53" s="64"/>
      <c r="O53" s="64"/>
      <c r="P53" s="64"/>
      <c r="Q53" s="64"/>
    </row>
    <row r="54" spans="1:17">
      <c r="K54" s="260"/>
      <c r="L54" s="66" t="s">
        <v>435</v>
      </c>
      <c r="M54" s="64"/>
      <c r="N54" s="64"/>
      <c r="O54" s="64"/>
      <c r="P54" s="64"/>
      <c r="Q54" s="64"/>
    </row>
    <row r="55" spans="1:17">
      <c r="K55" s="260"/>
      <c r="L55" s="66" t="s">
        <v>437</v>
      </c>
      <c r="M55" s="64"/>
      <c r="N55" s="64"/>
      <c r="O55" s="64"/>
      <c r="P55" s="64"/>
      <c r="Q55" s="64"/>
    </row>
    <row r="56" spans="1:17">
      <c r="K56" s="260"/>
      <c r="L56" s="66" t="s">
        <v>439</v>
      </c>
      <c r="M56" s="64"/>
      <c r="N56" s="64"/>
      <c r="O56" s="64"/>
      <c r="P56" s="64"/>
      <c r="Q56" s="64"/>
    </row>
    <row r="57" spans="1:17">
      <c r="K57" s="260"/>
      <c r="L57" s="66" t="s">
        <v>440</v>
      </c>
      <c r="M57" s="64"/>
      <c r="N57" s="64"/>
      <c r="O57" s="64"/>
      <c r="P57" s="64"/>
      <c r="Q57" s="64"/>
    </row>
    <row r="58" spans="1:17">
      <c r="K58" s="260"/>
      <c r="L58" s="66" t="s">
        <v>441</v>
      </c>
      <c r="M58" s="64"/>
      <c r="N58" s="64"/>
      <c r="O58" s="64"/>
      <c r="P58" s="64"/>
      <c r="Q58" s="64"/>
    </row>
    <row r="59" spans="1:17">
      <c r="K59" s="260"/>
      <c r="L59" s="66" t="s">
        <v>443</v>
      </c>
      <c r="M59" s="64"/>
      <c r="N59" s="64"/>
      <c r="O59" s="64"/>
      <c r="P59" s="64"/>
      <c r="Q59" s="64"/>
    </row>
    <row r="60" spans="1:17">
      <c r="K60" s="260"/>
      <c r="L60" s="66" t="s">
        <v>445</v>
      </c>
      <c r="M60" s="64"/>
      <c r="N60" s="64"/>
      <c r="O60" s="64"/>
      <c r="P60" s="64"/>
      <c r="Q60" s="64"/>
    </row>
    <row r="61" spans="1:17">
      <c r="K61" s="260"/>
      <c r="L61" s="66" t="s">
        <v>446</v>
      </c>
      <c r="M61" s="64"/>
      <c r="N61" s="64"/>
      <c r="O61" s="64"/>
      <c r="P61" s="64"/>
      <c r="Q61" s="64"/>
    </row>
    <row r="62" spans="1:17">
      <c r="K62" s="260"/>
      <c r="L62" s="66" t="s">
        <v>447</v>
      </c>
      <c r="M62" s="64"/>
      <c r="N62" s="64"/>
      <c r="O62" s="64"/>
      <c r="P62" s="64"/>
      <c r="Q62" s="64"/>
    </row>
    <row r="63" spans="1:17">
      <c r="K63" s="260"/>
      <c r="L63" s="66" t="s">
        <v>448</v>
      </c>
      <c r="M63" s="64"/>
      <c r="N63" s="64"/>
      <c r="O63" s="64"/>
      <c r="P63" s="64"/>
      <c r="Q63" s="64"/>
    </row>
    <row r="64" spans="1:17">
      <c r="K64" s="260"/>
      <c r="L64" s="62" t="s">
        <v>449</v>
      </c>
      <c r="M64" s="62" t="e">
        <f>AVERAGE(M52:M63)</f>
        <v>#DIV/0!</v>
      </c>
      <c r="N64" s="62"/>
      <c r="O64" s="62">
        <f>MAX(O52:O63)</f>
        <v>0</v>
      </c>
      <c r="P64" s="62" t="e">
        <f>AVERAGE(P52:P63)</f>
        <v>#DIV/0!</v>
      </c>
      <c r="Q64" s="62">
        <f>MAX(Q52:Q63)</f>
        <v>0</v>
      </c>
    </row>
    <row r="66" spans="11:17" ht="27.95">
      <c r="K66" s="61">
        <f>+A6</f>
        <v>2022</v>
      </c>
      <c r="L66" s="61" t="s">
        <v>430</v>
      </c>
      <c r="M66" s="55" t="s">
        <v>473</v>
      </c>
      <c r="N66" s="55" t="s">
        <v>474</v>
      </c>
      <c r="O66" s="55" t="s">
        <v>475</v>
      </c>
      <c r="P66" s="67" t="s">
        <v>428</v>
      </c>
      <c r="Q66" s="67" t="s">
        <v>432</v>
      </c>
    </row>
    <row r="67" spans="11:17">
      <c r="K67" s="260" t="s">
        <v>193</v>
      </c>
      <c r="L67" s="66" t="s">
        <v>433</v>
      </c>
      <c r="M67" s="64"/>
      <c r="N67" s="64"/>
      <c r="O67" s="64"/>
      <c r="P67" s="64"/>
      <c r="Q67" s="64"/>
    </row>
    <row r="68" spans="11:17">
      <c r="K68" s="260"/>
      <c r="L68" s="66" t="s">
        <v>434</v>
      </c>
      <c r="M68" s="64"/>
      <c r="N68" s="64"/>
      <c r="O68" s="64"/>
      <c r="P68" s="64"/>
      <c r="Q68" s="64"/>
    </row>
    <row r="69" spans="11:17">
      <c r="K69" s="260"/>
      <c r="L69" s="66" t="s">
        <v>435</v>
      </c>
      <c r="M69" s="64"/>
      <c r="N69" s="64"/>
      <c r="O69" s="64"/>
      <c r="P69" s="64"/>
      <c r="Q69" s="64"/>
    </row>
    <row r="70" spans="11:17">
      <c r="K70" s="260"/>
      <c r="L70" s="66" t="s">
        <v>437</v>
      </c>
      <c r="M70" s="64"/>
      <c r="N70" s="64"/>
      <c r="O70" s="64"/>
      <c r="P70" s="64"/>
      <c r="Q70" s="64"/>
    </row>
    <row r="71" spans="11:17">
      <c r="K71" s="260"/>
      <c r="L71" s="66" t="s">
        <v>439</v>
      </c>
      <c r="M71" s="64"/>
      <c r="N71" s="64"/>
      <c r="O71" s="64"/>
      <c r="P71" s="64"/>
      <c r="Q71" s="64"/>
    </row>
    <row r="72" spans="11:17">
      <c r="K72" s="260"/>
      <c r="L72" s="66" t="s">
        <v>440</v>
      </c>
      <c r="M72" s="64"/>
      <c r="N72" s="64"/>
      <c r="O72" s="64"/>
      <c r="P72" s="64"/>
      <c r="Q72" s="64"/>
    </row>
    <row r="73" spans="11:17">
      <c r="K73" s="260"/>
      <c r="L73" s="66" t="s">
        <v>441</v>
      </c>
      <c r="M73" s="64"/>
      <c r="N73" s="64"/>
      <c r="O73" s="64"/>
      <c r="P73" s="64"/>
      <c r="Q73" s="64"/>
    </row>
    <row r="74" spans="11:17">
      <c r="K74" s="260"/>
      <c r="L74" s="66" t="s">
        <v>443</v>
      </c>
      <c r="M74" s="64"/>
      <c r="N74" s="64"/>
      <c r="O74" s="64"/>
      <c r="P74" s="64"/>
      <c r="Q74" s="64"/>
    </row>
    <row r="75" spans="11:17">
      <c r="K75" s="260"/>
      <c r="L75" s="66" t="s">
        <v>445</v>
      </c>
      <c r="M75" s="64"/>
      <c r="N75" s="64"/>
      <c r="O75" s="64"/>
      <c r="P75" s="64"/>
      <c r="Q75" s="64"/>
    </row>
    <row r="76" spans="11:17">
      <c r="K76" s="260"/>
      <c r="L76" s="66" t="s">
        <v>446</v>
      </c>
      <c r="M76" s="64"/>
      <c r="N76" s="64"/>
      <c r="O76" s="64"/>
      <c r="P76" s="64"/>
      <c r="Q76" s="64"/>
    </row>
    <row r="77" spans="11:17">
      <c r="K77" s="260"/>
      <c r="L77" s="66" t="s">
        <v>447</v>
      </c>
      <c r="M77" s="64"/>
      <c r="N77" s="64"/>
      <c r="O77" s="64"/>
      <c r="P77" s="64"/>
      <c r="Q77" s="64"/>
    </row>
    <row r="78" spans="11:17">
      <c r="K78" s="260"/>
      <c r="L78" s="66" t="s">
        <v>448</v>
      </c>
      <c r="M78" s="64"/>
      <c r="N78" s="64"/>
      <c r="O78" s="64"/>
      <c r="P78" s="64"/>
      <c r="Q78" s="64"/>
    </row>
    <row r="79" spans="11:17">
      <c r="K79" s="260"/>
      <c r="L79" s="62" t="s">
        <v>449</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E53" sqref="E53"/>
    </sheetView>
  </sheetViews>
  <sheetFormatPr defaultRowHeight="14.1"/>
  <cols>
    <col min="1" max="1" width="14" style="3" customWidth="1"/>
    <col min="2" max="4" width="17" style="35" customWidth="1"/>
    <col min="5" max="5" width="14.5703125" style="35" customWidth="1"/>
    <col min="6" max="7" width="17" style="35"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6">
      <c r="A1" s="93" t="str">
        <f>+'Cover Page'!$B$29</f>
        <v>Annual Performance Report 2022</v>
      </c>
      <c r="B1" s="93"/>
      <c r="C1" s="93"/>
      <c r="D1" s="93"/>
      <c r="E1" s="93" t="str">
        <f>+'Cover Page'!$B$33</f>
        <v>Rookery Pit Energy Recovery Facility</v>
      </c>
    </row>
    <row r="3" spans="1:19" ht="14.45">
      <c r="A3" s="60" t="s">
        <v>480</v>
      </c>
      <c r="D3" s="76" t="s">
        <v>417</v>
      </c>
      <c r="G3" s="80" t="s">
        <v>418</v>
      </c>
      <c r="J3" s="9" t="str">
        <f>+A3</f>
        <v xml:space="preserve">Monitoring of Ammnonia emissions </v>
      </c>
      <c r="L3" s="9"/>
      <c r="N3" s="9" t="s">
        <v>419</v>
      </c>
      <c r="Q3" s="79" t="s">
        <v>3</v>
      </c>
      <c r="R3" s="74"/>
      <c r="S3" s="74"/>
    </row>
    <row r="4" spans="1:19" ht="14.1" customHeight="1">
      <c r="Q4" s="251" t="s">
        <v>420</v>
      </c>
      <c r="R4" s="251"/>
      <c r="S4" s="251"/>
    </row>
    <row r="5" spans="1:19" ht="15.95">
      <c r="A5" s="68" t="s">
        <v>421</v>
      </c>
      <c r="B5" s="262" t="s">
        <v>422</v>
      </c>
      <c r="C5" s="262"/>
      <c r="D5" s="262"/>
      <c r="E5" s="262" t="s">
        <v>423</v>
      </c>
      <c r="F5" s="262"/>
      <c r="G5" s="262"/>
      <c r="J5" s="261"/>
      <c r="K5" s="261"/>
      <c r="L5" s="261"/>
      <c r="M5" s="261"/>
      <c r="N5" s="261"/>
      <c r="O5" s="261"/>
      <c r="Q5" s="251"/>
      <c r="R5" s="251"/>
      <c r="S5" s="251"/>
    </row>
    <row r="6" spans="1:19" s="58" customFormat="1" ht="37.5" customHeight="1">
      <c r="A6" s="65">
        <f>+'Cover Page'!C39</f>
        <v>2022</v>
      </c>
      <c r="B6" s="55" t="s">
        <v>481</v>
      </c>
      <c r="C6" s="55" t="s">
        <v>425</v>
      </c>
      <c r="D6" s="55" t="s">
        <v>426</v>
      </c>
      <c r="E6" s="55" t="s">
        <v>482</v>
      </c>
      <c r="F6" s="55" t="s">
        <v>428</v>
      </c>
      <c r="G6" s="55" t="s">
        <v>429</v>
      </c>
      <c r="H6" s="59"/>
      <c r="J6" s="61">
        <f>+A6</f>
        <v>2022</v>
      </c>
      <c r="K6" s="61" t="s">
        <v>430</v>
      </c>
      <c r="L6" s="67" t="s">
        <v>425</v>
      </c>
      <c r="M6" s="67" t="s">
        <v>431</v>
      </c>
      <c r="N6" s="67" t="s">
        <v>428</v>
      </c>
      <c r="O6" s="67" t="s">
        <v>432</v>
      </c>
      <c r="Q6" s="251"/>
      <c r="R6" s="251"/>
      <c r="S6" s="251"/>
    </row>
    <row r="7" spans="1:19">
      <c r="A7" s="66" t="s">
        <v>433</v>
      </c>
      <c r="B7" s="69">
        <v>0</v>
      </c>
      <c r="C7" s="107">
        <f>AVERAGE(L7,L22,L37)</f>
        <v>0.26666666666666666</v>
      </c>
      <c r="D7" s="64">
        <f>MAX(M7,M22,M37)</f>
        <v>5.3</v>
      </c>
      <c r="E7" s="69">
        <v>10</v>
      </c>
      <c r="F7" s="107">
        <f>AVERAGE(N7,N22,N37)</f>
        <v>0.16666666666666666</v>
      </c>
      <c r="G7" s="64">
        <f>MAX(O7,O22,O37)</f>
        <v>0.6</v>
      </c>
      <c r="J7" s="260" t="s">
        <v>189</v>
      </c>
      <c r="K7" s="66" t="s">
        <v>433</v>
      </c>
      <c r="L7" s="64">
        <v>0.2</v>
      </c>
      <c r="M7" s="64">
        <v>2.2999999999999998</v>
      </c>
      <c r="N7" s="64">
        <v>0.1</v>
      </c>
      <c r="O7" s="64">
        <v>0.3</v>
      </c>
      <c r="Q7" s="251"/>
      <c r="R7" s="251"/>
      <c r="S7" s="251"/>
    </row>
    <row r="8" spans="1:19">
      <c r="A8" s="66" t="s">
        <v>434</v>
      </c>
      <c r="B8" s="63">
        <f>+B7</f>
        <v>0</v>
      </c>
      <c r="C8" s="107">
        <f t="shared" ref="C8:C18" si="0">AVERAGE(L8,L23,L38)</f>
        <v>0.33333333333333331</v>
      </c>
      <c r="D8" s="64">
        <f t="shared" ref="D8:D18" si="1">MAX(M8,M23,M38)</f>
        <v>21.1</v>
      </c>
      <c r="E8" s="63">
        <f>+E7</f>
        <v>10</v>
      </c>
      <c r="F8" s="107">
        <f t="shared" ref="F8:F16" si="2">AVERAGE(N8,N23,N38)</f>
        <v>0.26666666666666666</v>
      </c>
      <c r="G8" s="64">
        <f t="shared" ref="G8:G16" si="3">MAX(O8,O23,O38)</f>
        <v>0.6</v>
      </c>
      <c r="J8" s="260"/>
      <c r="K8" s="66" t="s">
        <v>434</v>
      </c>
      <c r="L8" s="64">
        <v>0.3</v>
      </c>
      <c r="M8" s="64">
        <v>6.8</v>
      </c>
      <c r="N8" s="64">
        <v>0.3</v>
      </c>
      <c r="O8" s="64">
        <v>0.6</v>
      </c>
      <c r="Q8" s="251"/>
      <c r="R8" s="251"/>
      <c r="S8" s="251"/>
    </row>
    <row r="9" spans="1:19">
      <c r="A9" s="66" t="s">
        <v>435</v>
      </c>
      <c r="B9" s="63">
        <f t="shared" ref="B9:B18" si="4">+B8</f>
        <v>0</v>
      </c>
      <c r="C9" s="107">
        <f t="shared" si="0"/>
        <v>0.30000000000000004</v>
      </c>
      <c r="D9" s="64">
        <f t="shared" si="1"/>
        <v>6.6</v>
      </c>
      <c r="E9" s="63">
        <f t="shared" ref="E9:E18" si="5">+E8</f>
        <v>10</v>
      </c>
      <c r="F9" s="107">
        <f t="shared" si="2"/>
        <v>0.23333333333333331</v>
      </c>
      <c r="G9" s="64">
        <f t="shared" si="3"/>
        <v>0.7</v>
      </c>
      <c r="J9" s="260"/>
      <c r="K9" s="66" t="s">
        <v>435</v>
      </c>
      <c r="L9" s="64">
        <v>0.2</v>
      </c>
      <c r="M9" s="64">
        <v>1.7</v>
      </c>
      <c r="N9" s="64">
        <v>0.2</v>
      </c>
      <c r="O9" s="64">
        <v>0.5</v>
      </c>
      <c r="Q9" s="78" t="s">
        <v>436</v>
      </c>
    </row>
    <row r="10" spans="1:19" ht="14.25" customHeight="1">
      <c r="A10" s="66" t="s">
        <v>437</v>
      </c>
      <c r="B10" s="63">
        <f t="shared" si="4"/>
        <v>0</v>
      </c>
      <c r="C10" s="107">
        <f t="shared" si="0"/>
        <v>0.23333333333333331</v>
      </c>
      <c r="D10" s="64">
        <f t="shared" si="1"/>
        <v>2</v>
      </c>
      <c r="E10" s="63">
        <f t="shared" si="5"/>
        <v>10</v>
      </c>
      <c r="F10" s="107">
        <f t="shared" si="2"/>
        <v>0.16666666666666666</v>
      </c>
      <c r="G10" s="64">
        <f t="shared" si="3"/>
        <v>0.4</v>
      </c>
      <c r="J10" s="260"/>
      <c r="K10" s="66" t="s">
        <v>437</v>
      </c>
      <c r="L10" s="64">
        <v>0.2</v>
      </c>
      <c r="M10" s="64">
        <v>2</v>
      </c>
      <c r="N10" s="64">
        <v>0.1</v>
      </c>
      <c r="O10" s="64">
        <v>0.3</v>
      </c>
      <c r="Q10" s="259" t="s">
        <v>438</v>
      </c>
      <c r="R10" s="259"/>
      <c r="S10" s="259"/>
    </row>
    <row r="11" spans="1:19">
      <c r="A11" s="66" t="s">
        <v>439</v>
      </c>
      <c r="B11" s="63">
        <f t="shared" si="4"/>
        <v>0</v>
      </c>
      <c r="C11" s="107">
        <f t="shared" si="0"/>
        <v>0.20000000000000004</v>
      </c>
      <c r="D11" s="64">
        <f t="shared" si="1"/>
        <v>5.7</v>
      </c>
      <c r="E11" s="63">
        <f t="shared" si="5"/>
        <v>10</v>
      </c>
      <c r="F11" s="107">
        <f t="shared" si="2"/>
        <v>0.16666666666666666</v>
      </c>
      <c r="G11" s="64">
        <f t="shared" si="3"/>
        <v>0.5</v>
      </c>
      <c r="J11" s="260"/>
      <c r="K11" s="66" t="s">
        <v>439</v>
      </c>
      <c r="L11" s="64">
        <v>0.2</v>
      </c>
      <c r="M11" s="64">
        <v>2.5</v>
      </c>
      <c r="N11" s="64">
        <v>0.2</v>
      </c>
      <c r="O11" s="64">
        <v>0.5</v>
      </c>
      <c r="Q11" s="259"/>
      <c r="R11" s="259"/>
      <c r="S11" s="259"/>
    </row>
    <row r="12" spans="1:19">
      <c r="A12" s="66" t="s">
        <v>440</v>
      </c>
      <c r="B12" s="63">
        <f t="shared" si="4"/>
        <v>0</v>
      </c>
      <c r="C12" s="107">
        <f t="shared" si="0"/>
        <v>0.20000000000000004</v>
      </c>
      <c r="D12" s="64">
        <f t="shared" si="1"/>
        <v>1.7</v>
      </c>
      <c r="E12" s="63">
        <f t="shared" si="5"/>
        <v>10</v>
      </c>
      <c r="F12" s="107">
        <f t="shared" si="2"/>
        <v>0.13333333333333333</v>
      </c>
      <c r="G12" s="64">
        <f t="shared" si="3"/>
        <v>0.3</v>
      </c>
      <c r="J12" s="260"/>
      <c r="K12" s="66" t="s">
        <v>440</v>
      </c>
      <c r="L12" s="64">
        <v>0.2</v>
      </c>
      <c r="M12" s="64">
        <v>1.5</v>
      </c>
      <c r="N12" s="64">
        <v>0.1</v>
      </c>
      <c r="O12" s="64">
        <v>0.3</v>
      </c>
      <c r="Q12" s="259"/>
      <c r="R12" s="259"/>
      <c r="S12" s="259"/>
    </row>
    <row r="13" spans="1:19" ht="14.25" customHeight="1">
      <c r="A13" s="66" t="s">
        <v>441</v>
      </c>
      <c r="B13" s="63">
        <f t="shared" si="4"/>
        <v>0</v>
      </c>
      <c r="C13" s="107">
        <f t="shared" si="0"/>
        <v>0.19999999999999998</v>
      </c>
      <c r="D13" s="64">
        <f t="shared" si="1"/>
        <v>1.3</v>
      </c>
      <c r="E13" s="63">
        <f t="shared" si="5"/>
        <v>10</v>
      </c>
      <c r="F13" s="107">
        <f t="shared" si="2"/>
        <v>0.13333333333333333</v>
      </c>
      <c r="G13" s="64">
        <f t="shared" si="3"/>
        <v>0.7</v>
      </c>
      <c r="J13" s="260"/>
      <c r="K13" s="66" t="s">
        <v>441</v>
      </c>
      <c r="L13" s="64">
        <v>0.3</v>
      </c>
      <c r="M13" s="64">
        <v>1.3</v>
      </c>
      <c r="N13" s="64">
        <v>0.2</v>
      </c>
      <c r="O13" s="64">
        <v>0.7</v>
      </c>
      <c r="Q13" s="259" t="s">
        <v>442</v>
      </c>
      <c r="R13" s="259"/>
      <c r="S13" s="259"/>
    </row>
    <row r="14" spans="1:19">
      <c r="A14" s="66" t="s">
        <v>443</v>
      </c>
      <c r="B14" s="63">
        <f t="shared" si="4"/>
        <v>0</v>
      </c>
      <c r="C14" s="107" t="s">
        <v>444</v>
      </c>
      <c r="D14" s="64" t="s">
        <v>444</v>
      </c>
      <c r="E14" s="63">
        <f t="shared" si="5"/>
        <v>10</v>
      </c>
      <c r="F14" s="107" t="s">
        <v>444</v>
      </c>
      <c r="G14" s="64" t="s">
        <v>444</v>
      </c>
      <c r="J14" s="260"/>
      <c r="K14" s="66" t="s">
        <v>443</v>
      </c>
      <c r="L14" s="64" t="s">
        <v>138</v>
      </c>
      <c r="M14" s="64" t="s">
        <v>138</v>
      </c>
      <c r="N14" s="64" t="s">
        <v>138</v>
      </c>
      <c r="O14" s="64" t="s">
        <v>138</v>
      </c>
      <c r="Q14" s="259"/>
      <c r="R14" s="259"/>
      <c r="S14" s="259"/>
    </row>
    <row r="15" spans="1:19">
      <c r="A15" s="66" t="s">
        <v>445</v>
      </c>
      <c r="B15" s="63">
        <f t="shared" si="4"/>
        <v>0</v>
      </c>
      <c r="C15" s="107">
        <f t="shared" si="0"/>
        <v>0.13333333333333333</v>
      </c>
      <c r="D15" s="64">
        <f t="shared" si="1"/>
        <v>2.4</v>
      </c>
      <c r="E15" s="63">
        <f t="shared" si="5"/>
        <v>10</v>
      </c>
      <c r="F15" s="107">
        <f t="shared" si="2"/>
        <v>6.6666666666666666E-2</v>
      </c>
      <c r="G15" s="64">
        <f t="shared" si="3"/>
        <v>0.2</v>
      </c>
      <c r="J15" s="260"/>
      <c r="K15" s="66" t="s">
        <v>445</v>
      </c>
      <c r="L15" s="64">
        <v>0.1</v>
      </c>
      <c r="M15" s="64">
        <v>2</v>
      </c>
      <c r="N15" s="64">
        <v>0</v>
      </c>
      <c r="O15" s="64">
        <v>0.2</v>
      </c>
      <c r="Q15" s="259"/>
      <c r="R15" s="259"/>
      <c r="S15" s="259"/>
    </row>
    <row r="16" spans="1:19">
      <c r="A16" s="66" t="s">
        <v>446</v>
      </c>
      <c r="B16" s="63">
        <f t="shared" si="4"/>
        <v>0</v>
      </c>
      <c r="C16" s="107">
        <f t="shared" si="0"/>
        <v>0.13333333333333333</v>
      </c>
      <c r="D16" s="64">
        <f t="shared" si="1"/>
        <v>1.8</v>
      </c>
      <c r="E16" s="63">
        <f t="shared" si="5"/>
        <v>10</v>
      </c>
      <c r="F16" s="107">
        <f t="shared" si="2"/>
        <v>0.10000000000000002</v>
      </c>
      <c r="G16" s="64">
        <f t="shared" si="3"/>
        <v>0.2</v>
      </c>
      <c r="J16" s="260"/>
      <c r="K16" s="66" t="s">
        <v>446</v>
      </c>
      <c r="L16" s="64">
        <v>0.1</v>
      </c>
      <c r="M16" s="64">
        <v>1.8</v>
      </c>
      <c r="N16" s="64">
        <v>0.1</v>
      </c>
      <c r="O16" s="64">
        <v>0.2</v>
      </c>
      <c r="Q16" s="259"/>
      <c r="R16" s="259"/>
      <c r="S16" s="259"/>
    </row>
    <row r="17" spans="1:15">
      <c r="A17" s="66" t="s">
        <v>447</v>
      </c>
      <c r="B17" s="63">
        <f t="shared" si="4"/>
        <v>0</v>
      </c>
      <c r="C17" s="107">
        <f t="shared" si="0"/>
        <v>0.13333333333333333</v>
      </c>
      <c r="D17" s="64">
        <f t="shared" si="1"/>
        <v>5.3</v>
      </c>
      <c r="E17" s="63">
        <f t="shared" si="5"/>
        <v>10</v>
      </c>
      <c r="F17" s="107">
        <v>0.1</v>
      </c>
      <c r="G17" s="64">
        <f>MAX(O17,O32,O47)</f>
        <v>0.4</v>
      </c>
      <c r="J17" s="260"/>
      <c r="K17" s="66" t="s">
        <v>447</v>
      </c>
      <c r="L17" s="64">
        <v>0.1</v>
      </c>
      <c r="M17" s="64">
        <v>5.3</v>
      </c>
      <c r="N17" s="64">
        <v>0.1</v>
      </c>
      <c r="O17" s="64">
        <v>0.4</v>
      </c>
    </row>
    <row r="18" spans="1:15">
      <c r="A18" s="66" t="s">
        <v>448</v>
      </c>
      <c r="B18" s="63">
        <f t="shared" si="4"/>
        <v>0</v>
      </c>
      <c r="C18" s="107">
        <f t="shared" si="0"/>
        <v>0.13333333333333333</v>
      </c>
      <c r="D18" s="64">
        <f t="shared" si="1"/>
        <v>5.2</v>
      </c>
      <c r="E18" s="63">
        <f t="shared" si="5"/>
        <v>10</v>
      </c>
      <c r="F18" s="107">
        <v>0.1</v>
      </c>
      <c r="G18" s="64">
        <f>MAX(O18,O33,O48)</f>
        <v>0.2</v>
      </c>
      <c r="J18" s="260"/>
      <c r="K18" s="66" t="s">
        <v>448</v>
      </c>
      <c r="L18" s="64">
        <v>0.1</v>
      </c>
      <c r="M18" s="64">
        <v>2.6</v>
      </c>
      <c r="N18" s="64">
        <v>0</v>
      </c>
      <c r="O18" s="64">
        <v>0.1</v>
      </c>
    </row>
    <row r="19" spans="1:15">
      <c r="J19" s="260"/>
      <c r="K19" s="62" t="s">
        <v>449</v>
      </c>
      <c r="L19" s="62">
        <f>AVERAGE(L7:L18)</f>
        <v>0.18181818181818182</v>
      </c>
      <c r="M19" s="62">
        <f>MAX(M7:M18)</f>
        <v>6.8</v>
      </c>
      <c r="N19" s="62">
        <f>AVERAGE(N7:N18)</f>
        <v>0.12727272727272732</v>
      </c>
      <c r="O19" s="62">
        <f>MAX(O7:O18)</f>
        <v>0.7</v>
      </c>
    </row>
    <row r="21" spans="1:15" ht="27.95">
      <c r="J21" s="61">
        <f>+A6</f>
        <v>2022</v>
      </c>
      <c r="K21" s="61" t="s">
        <v>430</v>
      </c>
      <c r="L21" s="67" t="s">
        <v>425</v>
      </c>
      <c r="M21" s="67" t="s">
        <v>431</v>
      </c>
      <c r="N21" s="67" t="s">
        <v>428</v>
      </c>
      <c r="O21" s="67" t="s">
        <v>432</v>
      </c>
    </row>
    <row r="22" spans="1:15">
      <c r="J22" s="260" t="s">
        <v>190</v>
      </c>
      <c r="K22" s="66" t="s">
        <v>433</v>
      </c>
      <c r="L22" s="64">
        <v>0.3</v>
      </c>
      <c r="M22" s="64">
        <v>2.2000000000000002</v>
      </c>
      <c r="N22" s="64">
        <v>0.2</v>
      </c>
      <c r="O22" s="64">
        <v>0.6</v>
      </c>
    </row>
    <row r="23" spans="1:15">
      <c r="J23" s="260"/>
      <c r="K23" s="66" t="s">
        <v>434</v>
      </c>
      <c r="L23" s="64">
        <v>0.4</v>
      </c>
      <c r="M23" s="64">
        <v>21.1</v>
      </c>
      <c r="N23" s="64">
        <v>0.3</v>
      </c>
      <c r="O23" s="64">
        <v>0.6</v>
      </c>
    </row>
    <row r="24" spans="1:15">
      <c r="J24" s="260"/>
      <c r="K24" s="66" t="s">
        <v>435</v>
      </c>
      <c r="L24" s="64">
        <v>0.4</v>
      </c>
      <c r="M24" s="64">
        <v>6.6</v>
      </c>
      <c r="N24" s="64">
        <v>0.3</v>
      </c>
      <c r="O24" s="64">
        <v>0.5</v>
      </c>
    </row>
    <row r="25" spans="1:15">
      <c r="J25" s="260"/>
      <c r="K25" s="66" t="s">
        <v>437</v>
      </c>
      <c r="L25" s="64">
        <v>0.3</v>
      </c>
      <c r="M25" s="64">
        <v>0.8</v>
      </c>
      <c r="N25" s="64">
        <v>0.2</v>
      </c>
      <c r="O25" s="64">
        <v>0.4</v>
      </c>
    </row>
    <row r="26" spans="1:15">
      <c r="J26" s="260"/>
      <c r="K26" s="66" t="s">
        <v>439</v>
      </c>
      <c r="L26" s="64">
        <v>0.2</v>
      </c>
      <c r="M26" s="64">
        <v>1.5</v>
      </c>
      <c r="N26" s="64">
        <v>0.2</v>
      </c>
      <c r="O26" s="64">
        <v>0.3</v>
      </c>
    </row>
    <row r="27" spans="1:15">
      <c r="J27" s="260"/>
      <c r="K27" s="66" t="s">
        <v>440</v>
      </c>
      <c r="L27" s="64">
        <v>0.2</v>
      </c>
      <c r="M27" s="64">
        <v>1.7</v>
      </c>
      <c r="N27" s="64">
        <v>0.2</v>
      </c>
      <c r="O27" s="64">
        <v>0.3</v>
      </c>
    </row>
    <row r="28" spans="1:15">
      <c r="J28" s="260"/>
      <c r="K28" s="66" t="s">
        <v>441</v>
      </c>
      <c r="L28" s="64">
        <v>0.2</v>
      </c>
      <c r="M28" s="64">
        <v>0.8</v>
      </c>
      <c r="N28" s="64">
        <v>0.1</v>
      </c>
      <c r="O28" s="64">
        <v>0.2</v>
      </c>
    </row>
    <row r="29" spans="1:15">
      <c r="J29" s="260"/>
      <c r="K29" s="66" t="s">
        <v>443</v>
      </c>
      <c r="L29" s="64" t="s">
        <v>138</v>
      </c>
      <c r="M29" s="64" t="s">
        <v>138</v>
      </c>
      <c r="N29" s="64" t="s">
        <v>138</v>
      </c>
      <c r="O29" s="64" t="s">
        <v>138</v>
      </c>
    </row>
    <row r="30" spans="1:15">
      <c r="J30" s="260"/>
      <c r="K30" s="66" t="s">
        <v>445</v>
      </c>
      <c r="L30" s="64">
        <v>0.2</v>
      </c>
      <c r="M30" s="64">
        <v>2.4</v>
      </c>
      <c r="N30" s="64">
        <v>0.1</v>
      </c>
      <c r="O30" s="64">
        <v>0.2</v>
      </c>
    </row>
    <row r="31" spans="1:15">
      <c r="J31" s="260"/>
      <c r="K31" s="66" t="s">
        <v>446</v>
      </c>
      <c r="L31" s="64">
        <v>0.2</v>
      </c>
      <c r="M31" s="64">
        <v>0.6</v>
      </c>
      <c r="N31" s="64">
        <v>0.1</v>
      </c>
      <c r="O31" s="64">
        <v>0.2</v>
      </c>
    </row>
    <row r="32" spans="1:15">
      <c r="J32" s="260"/>
      <c r="K32" s="66" t="s">
        <v>447</v>
      </c>
      <c r="L32" s="64">
        <v>0.2</v>
      </c>
      <c r="M32" s="64">
        <v>1.3</v>
      </c>
      <c r="N32" s="64">
        <v>0.1</v>
      </c>
      <c r="O32" s="64">
        <v>0.3</v>
      </c>
    </row>
    <row r="33" spans="1:15">
      <c r="J33" s="260"/>
      <c r="K33" s="66" t="s">
        <v>448</v>
      </c>
      <c r="L33" s="64">
        <v>0.2</v>
      </c>
      <c r="M33" s="64">
        <v>5.2</v>
      </c>
      <c r="N33" s="64">
        <v>0.1</v>
      </c>
      <c r="O33" s="64">
        <v>0.2</v>
      </c>
    </row>
    <row r="34" spans="1:15">
      <c r="J34" s="260"/>
      <c r="K34" s="62" t="s">
        <v>449</v>
      </c>
      <c r="L34" s="62">
        <f>AVERAGE(L22:L33)</f>
        <v>0.25454545454545463</v>
      </c>
      <c r="M34" s="62">
        <f>MAX(M22:M33)</f>
        <v>21.1</v>
      </c>
      <c r="N34" s="62">
        <f>AVERAGE(N22:N33)</f>
        <v>0.17272727272727276</v>
      </c>
      <c r="O34" s="62">
        <f>MAX(O22:O33)</f>
        <v>0.6</v>
      </c>
    </row>
    <row r="36" spans="1:15" ht="27.95">
      <c r="J36" s="61">
        <f>+A6</f>
        <v>2022</v>
      </c>
      <c r="K36" s="61" t="s">
        <v>430</v>
      </c>
      <c r="L36" s="67" t="s">
        <v>425</v>
      </c>
      <c r="M36" s="67" t="s">
        <v>431</v>
      </c>
      <c r="N36" s="67" t="s">
        <v>428</v>
      </c>
      <c r="O36" s="67" t="s">
        <v>432</v>
      </c>
    </row>
    <row r="37" spans="1:15">
      <c r="J37" s="260" t="s">
        <v>191</v>
      </c>
      <c r="K37" s="66" t="s">
        <v>433</v>
      </c>
      <c r="L37" s="64">
        <v>0.3</v>
      </c>
      <c r="M37" s="64">
        <v>5.3</v>
      </c>
      <c r="N37" s="64">
        <v>0.2</v>
      </c>
      <c r="O37" s="64">
        <v>0.5</v>
      </c>
    </row>
    <row r="38" spans="1:15">
      <c r="J38" s="260"/>
      <c r="K38" s="66" t="s">
        <v>434</v>
      </c>
      <c r="L38" s="64">
        <v>0.3</v>
      </c>
      <c r="M38" s="64">
        <v>2.2999999999999998</v>
      </c>
      <c r="N38" s="64">
        <v>0.2</v>
      </c>
      <c r="O38" s="64">
        <v>0.4</v>
      </c>
    </row>
    <row r="39" spans="1:15">
      <c r="J39" s="260"/>
      <c r="K39" s="66" t="s">
        <v>435</v>
      </c>
      <c r="L39" s="64">
        <v>0.3</v>
      </c>
      <c r="M39" s="64">
        <v>5.0999999999999996</v>
      </c>
      <c r="N39" s="64">
        <v>0.2</v>
      </c>
      <c r="O39" s="64">
        <v>0.7</v>
      </c>
    </row>
    <row r="40" spans="1:15">
      <c r="J40" s="260"/>
      <c r="K40" s="66" t="s">
        <v>437</v>
      </c>
      <c r="L40" s="64">
        <v>0.2</v>
      </c>
      <c r="M40" s="64">
        <v>1.6</v>
      </c>
      <c r="N40" s="64">
        <v>0.2</v>
      </c>
      <c r="O40" s="64">
        <v>0.3</v>
      </c>
    </row>
    <row r="41" spans="1:15">
      <c r="J41" s="260"/>
      <c r="K41" s="66" t="s">
        <v>439</v>
      </c>
      <c r="L41" s="64">
        <v>0.2</v>
      </c>
      <c r="M41" s="64">
        <v>5.7</v>
      </c>
      <c r="N41" s="64">
        <v>0.1</v>
      </c>
      <c r="O41" s="64">
        <v>0.4</v>
      </c>
    </row>
    <row r="42" spans="1:15">
      <c r="J42" s="260"/>
      <c r="K42" s="66" t="s">
        <v>440</v>
      </c>
      <c r="L42" s="64">
        <v>0.2</v>
      </c>
      <c r="M42" s="64">
        <v>1.5</v>
      </c>
      <c r="N42" s="64">
        <v>0.1</v>
      </c>
      <c r="O42" s="64">
        <v>0.3</v>
      </c>
    </row>
    <row r="43" spans="1:15">
      <c r="J43" s="260"/>
      <c r="K43" s="66" t="s">
        <v>441</v>
      </c>
      <c r="L43" s="64">
        <v>0.1</v>
      </c>
      <c r="M43" s="64">
        <v>0.9</v>
      </c>
      <c r="N43" s="64">
        <v>0.1</v>
      </c>
      <c r="O43" s="64">
        <v>0.1</v>
      </c>
    </row>
    <row r="44" spans="1:15">
      <c r="J44" s="260"/>
      <c r="K44" s="66" t="s">
        <v>443</v>
      </c>
      <c r="L44" s="64" t="s">
        <v>138</v>
      </c>
      <c r="M44" s="64" t="s">
        <v>138</v>
      </c>
      <c r="N44" s="64" t="s">
        <v>138</v>
      </c>
      <c r="O44" s="64" t="s">
        <v>138</v>
      </c>
    </row>
    <row r="45" spans="1:15">
      <c r="J45" s="260"/>
      <c r="K45" s="66" t="s">
        <v>445</v>
      </c>
      <c r="L45" s="64">
        <v>0.1</v>
      </c>
      <c r="M45" s="64">
        <v>0.6</v>
      </c>
      <c r="N45" s="64">
        <v>0.1</v>
      </c>
      <c r="O45" s="64">
        <v>0.2</v>
      </c>
    </row>
    <row r="46" spans="1:15">
      <c r="J46" s="260"/>
      <c r="K46" s="66" t="s">
        <v>446</v>
      </c>
      <c r="L46" s="64">
        <v>0.1</v>
      </c>
      <c r="M46" s="64">
        <v>0.3</v>
      </c>
      <c r="N46" s="64">
        <v>0.1</v>
      </c>
      <c r="O46" s="64">
        <v>0.1</v>
      </c>
    </row>
    <row r="47" spans="1:15">
      <c r="J47" s="260"/>
      <c r="K47" s="66" t="s">
        <v>447</v>
      </c>
      <c r="L47" s="64">
        <v>0.1</v>
      </c>
      <c r="M47" s="64">
        <v>1.4</v>
      </c>
      <c r="N47" s="64">
        <v>0.1</v>
      </c>
      <c r="O47" s="64">
        <v>0.3</v>
      </c>
    </row>
    <row r="48" spans="1:15">
      <c r="A48" s="272" t="s">
        <v>342</v>
      </c>
      <c r="B48" s="273"/>
      <c r="C48" s="273"/>
      <c r="D48" s="273"/>
      <c r="E48" s="273"/>
      <c r="F48" s="273"/>
      <c r="G48" s="274"/>
      <c r="J48" s="260"/>
      <c r="K48" s="66" t="s">
        <v>448</v>
      </c>
      <c r="L48" s="64">
        <v>0.1</v>
      </c>
      <c r="M48" s="64">
        <v>4</v>
      </c>
      <c r="N48" s="64">
        <v>0.1</v>
      </c>
      <c r="O48" s="64">
        <v>0.1</v>
      </c>
    </row>
    <row r="49" spans="1:15">
      <c r="A49" s="263" t="s">
        <v>483</v>
      </c>
      <c r="B49" s="264"/>
      <c r="C49" s="264"/>
      <c r="D49" s="264"/>
      <c r="E49" s="264"/>
      <c r="F49" s="264"/>
      <c r="G49" s="265"/>
      <c r="J49" s="260"/>
      <c r="K49" s="62" t="s">
        <v>449</v>
      </c>
      <c r="L49" s="62">
        <f>AVERAGE(L37:L48)</f>
        <v>0.18181818181818182</v>
      </c>
      <c r="M49" s="62">
        <f>MAX(M37:M48)</f>
        <v>5.7</v>
      </c>
      <c r="N49" s="62">
        <f>AVERAGE(N37:N48)</f>
        <v>0.13636363636363641</v>
      </c>
      <c r="O49" s="62">
        <f>MAX(O37:O48)</f>
        <v>0.7</v>
      </c>
    </row>
    <row r="50" spans="1:15">
      <c r="A50" s="266"/>
      <c r="B50" s="267"/>
      <c r="C50" s="267"/>
      <c r="D50" s="267"/>
      <c r="E50" s="267"/>
      <c r="F50" s="267"/>
      <c r="G50" s="268"/>
    </row>
    <row r="51" spans="1:15" ht="27.95">
      <c r="A51" s="266"/>
      <c r="B51" s="267"/>
      <c r="C51" s="267"/>
      <c r="D51" s="267"/>
      <c r="E51" s="267"/>
      <c r="F51" s="267"/>
      <c r="G51" s="268"/>
      <c r="J51" s="61">
        <f>+A6</f>
        <v>2022</v>
      </c>
      <c r="K51" s="61" t="s">
        <v>430</v>
      </c>
      <c r="L51" s="67" t="s">
        <v>425</v>
      </c>
      <c r="M51" s="67" t="s">
        <v>431</v>
      </c>
      <c r="N51" s="67" t="s">
        <v>428</v>
      </c>
      <c r="O51" s="67" t="s">
        <v>432</v>
      </c>
    </row>
    <row r="52" spans="1:15">
      <c r="A52" s="269"/>
      <c r="B52" s="270"/>
      <c r="C52" s="270"/>
      <c r="D52" s="270"/>
      <c r="E52" s="270"/>
      <c r="F52" s="270"/>
      <c r="G52" s="271"/>
      <c r="J52" s="260" t="s">
        <v>192</v>
      </c>
      <c r="K52" s="66" t="s">
        <v>433</v>
      </c>
      <c r="L52" s="64"/>
      <c r="M52" s="64"/>
      <c r="N52" s="64"/>
      <c r="O52" s="64"/>
    </row>
    <row r="53" spans="1:15">
      <c r="J53" s="260"/>
      <c r="K53" s="66" t="s">
        <v>434</v>
      </c>
      <c r="L53" s="64"/>
      <c r="M53" s="64"/>
      <c r="N53" s="64"/>
      <c r="O53" s="64"/>
    </row>
    <row r="54" spans="1:15">
      <c r="J54" s="260"/>
      <c r="K54" s="66" t="s">
        <v>435</v>
      </c>
      <c r="L54" s="64"/>
      <c r="M54" s="64"/>
      <c r="N54" s="64"/>
      <c r="O54" s="64"/>
    </row>
    <row r="55" spans="1:15">
      <c r="J55" s="260"/>
      <c r="K55" s="66" t="s">
        <v>437</v>
      </c>
      <c r="L55" s="64"/>
      <c r="M55" s="64"/>
      <c r="N55" s="64"/>
      <c r="O55" s="64"/>
    </row>
    <row r="56" spans="1:15">
      <c r="J56" s="260"/>
      <c r="K56" s="66" t="s">
        <v>439</v>
      </c>
      <c r="L56" s="64"/>
      <c r="M56" s="64"/>
      <c r="N56" s="64"/>
      <c r="O56" s="64"/>
    </row>
    <row r="57" spans="1:15">
      <c r="J57" s="260"/>
      <c r="K57" s="66" t="s">
        <v>440</v>
      </c>
      <c r="L57" s="64"/>
      <c r="M57" s="64"/>
      <c r="N57" s="64"/>
      <c r="O57" s="64"/>
    </row>
    <row r="58" spans="1:15">
      <c r="J58" s="260"/>
      <c r="K58" s="66" t="s">
        <v>441</v>
      </c>
      <c r="L58" s="64"/>
      <c r="M58" s="64"/>
      <c r="N58" s="64"/>
      <c r="O58" s="64"/>
    </row>
    <row r="59" spans="1:15">
      <c r="J59" s="260"/>
      <c r="K59" s="66" t="s">
        <v>443</v>
      </c>
      <c r="L59" s="64"/>
      <c r="M59" s="64"/>
      <c r="N59" s="64"/>
      <c r="O59" s="64"/>
    </row>
    <row r="60" spans="1:15">
      <c r="J60" s="260"/>
      <c r="K60" s="66" t="s">
        <v>445</v>
      </c>
      <c r="L60" s="64"/>
      <c r="M60" s="64"/>
      <c r="N60" s="64"/>
      <c r="O60" s="64"/>
    </row>
    <row r="61" spans="1:15">
      <c r="J61" s="260"/>
      <c r="K61" s="66" t="s">
        <v>446</v>
      </c>
      <c r="L61" s="64"/>
      <c r="M61" s="64"/>
      <c r="N61" s="64"/>
      <c r="O61" s="64"/>
    </row>
    <row r="62" spans="1:15">
      <c r="J62" s="260"/>
      <c r="K62" s="66" t="s">
        <v>447</v>
      </c>
      <c r="L62" s="64"/>
      <c r="M62" s="64"/>
      <c r="N62" s="64"/>
      <c r="O62" s="64"/>
    </row>
    <row r="63" spans="1:15">
      <c r="J63" s="260"/>
      <c r="K63" s="66" t="s">
        <v>448</v>
      </c>
      <c r="L63" s="64"/>
      <c r="M63" s="64"/>
      <c r="N63" s="64"/>
      <c r="O63" s="64"/>
    </row>
    <row r="64" spans="1:15">
      <c r="J64" s="260"/>
      <c r="K64" s="62" t="s">
        <v>449</v>
      </c>
      <c r="L64" s="62" t="e">
        <f>AVERAGE(L52:L63)</f>
        <v>#DIV/0!</v>
      </c>
      <c r="M64" s="62">
        <f>MAX(M52:M63)</f>
        <v>0</v>
      </c>
      <c r="N64" s="62" t="e">
        <f>AVERAGE(N52:N63)</f>
        <v>#DIV/0!</v>
      </c>
      <c r="O64" s="62">
        <f>MAX(O52:O63)</f>
        <v>0</v>
      </c>
    </row>
    <row r="66" spans="10:15" ht="27.95">
      <c r="J66" s="61">
        <f>+A6</f>
        <v>2022</v>
      </c>
      <c r="K66" s="61" t="s">
        <v>430</v>
      </c>
      <c r="L66" s="67" t="s">
        <v>425</v>
      </c>
      <c r="M66" s="67" t="s">
        <v>431</v>
      </c>
      <c r="N66" s="67" t="s">
        <v>428</v>
      </c>
      <c r="O66" s="67" t="s">
        <v>432</v>
      </c>
    </row>
    <row r="67" spans="10:15">
      <c r="J67" s="260" t="s">
        <v>193</v>
      </c>
      <c r="K67" s="66" t="s">
        <v>433</v>
      </c>
      <c r="L67" s="64"/>
      <c r="M67" s="64"/>
      <c r="N67" s="64"/>
      <c r="O67" s="64"/>
    </row>
    <row r="68" spans="10:15">
      <c r="J68" s="260"/>
      <c r="K68" s="66" t="s">
        <v>434</v>
      </c>
      <c r="L68" s="64"/>
      <c r="M68" s="64"/>
      <c r="N68" s="64"/>
      <c r="O68" s="64"/>
    </row>
    <row r="69" spans="10:15">
      <c r="J69" s="260"/>
      <c r="K69" s="66" t="s">
        <v>435</v>
      </c>
      <c r="L69" s="64"/>
      <c r="M69" s="64"/>
      <c r="N69" s="64"/>
      <c r="O69" s="64"/>
    </row>
    <row r="70" spans="10:15">
      <c r="J70" s="260"/>
      <c r="K70" s="66" t="s">
        <v>437</v>
      </c>
      <c r="L70" s="64"/>
      <c r="M70" s="64"/>
      <c r="N70" s="64"/>
      <c r="O70" s="64"/>
    </row>
    <row r="71" spans="10:15">
      <c r="J71" s="260"/>
      <c r="K71" s="66" t="s">
        <v>439</v>
      </c>
      <c r="L71" s="64"/>
      <c r="M71" s="64"/>
      <c r="N71" s="64"/>
      <c r="O71" s="64"/>
    </row>
    <row r="72" spans="10:15">
      <c r="J72" s="260"/>
      <c r="K72" s="66" t="s">
        <v>440</v>
      </c>
      <c r="L72" s="64"/>
      <c r="M72" s="64"/>
      <c r="N72" s="64"/>
      <c r="O72" s="64"/>
    </row>
    <row r="73" spans="10:15">
      <c r="J73" s="260"/>
      <c r="K73" s="66" t="s">
        <v>441</v>
      </c>
      <c r="L73" s="64"/>
      <c r="M73" s="64"/>
      <c r="N73" s="64"/>
      <c r="O73" s="64"/>
    </row>
    <row r="74" spans="10:15">
      <c r="J74" s="260"/>
      <c r="K74" s="66" t="s">
        <v>443</v>
      </c>
      <c r="L74" s="64"/>
      <c r="M74" s="64"/>
      <c r="N74" s="64"/>
      <c r="O74" s="64"/>
    </row>
    <row r="75" spans="10:15">
      <c r="J75" s="260"/>
      <c r="K75" s="66" t="s">
        <v>445</v>
      </c>
      <c r="L75" s="64"/>
      <c r="M75" s="64"/>
      <c r="N75" s="64"/>
      <c r="O75" s="64"/>
    </row>
    <row r="76" spans="10:15">
      <c r="J76" s="260"/>
      <c r="K76" s="66" t="s">
        <v>446</v>
      </c>
      <c r="L76" s="64"/>
      <c r="M76" s="64"/>
      <c r="N76" s="64"/>
      <c r="O76" s="64"/>
    </row>
    <row r="77" spans="10:15">
      <c r="J77" s="260"/>
      <c r="K77" s="66" t="s">
        <v>447</v>
      </c>
      <c r="L77" s="64"/>
      <c r="M77" s="64"/>
      <c r="N77" s="64"/>
      <c r="O77" s="64"/>
    </row>
    <row r="78" spans="10:15">
      <c r="J78" s="260"/>
      <c r="K78" s="66" t="s">
        <v>448</v>
      </c>
      <c r="L78" s="64"/>
      <c r="M78" s="64"/>
      <c r="N78" s="64"/>
      <c r="O78" s="64"/>
    </row>
    <row r="79" spans="10:15">
      <c r="J79" s="260"/>
      <c r="K79" s="62" t="s">
        <v>449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2.xml><?xml version="1.0" encoding="utf-8"?>
<?mso-contentType ?>
<SharedContentType xmlns="Microsoft.SharePoint.Taxonomy.ContentTypeSync" SourceId="d1117845-93f6-4da3-abaa-fcb4fa669c78" ContentTypeId="0x010100A5BF1C78D9F64B679A5EBDE1C6598EBC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A65312-EDD8-4ED5-85CD-21EC9D2BFEF5}"/>
</file>

<file path=customXml/itemProps2.xml><?xml version="1.0" encoding="utf-8"?>
<ds:datastoreItem xmlns:ds="http://schemas.openxmlformats.org/officeDocument/2006/customXml" ds:itemID="{C01ADA20-B990-4DD7-ACAC-79EF4527A8BC}"/>
</file>

<file path=customXml/itemProps3.xml><?xml version="1.0" encoding="utf-8"?>
<ds:datastoreItem xmlns:ds="http://schemas.openxmlformats.org/officeDocument/2006/customXml" ds:itemID="{130E79B3-286C-4594-AC93-4243D3FE78E7}"/>
</file>

<file path=customXml/itemProps4.xml><?xml version="1.0" encoding="utf-8"?>
<ds:datastoreItem xmlns:ds="http://schemas.openxmlformats.org/officeDocument/2006/customXml" ds:itemID="{95616443-0A31-4872-863D-19AF21A8BE9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Anderson, Mike</cp:lastModifiedBy>
  <cp:revision/>
  <dcterms:created xsi:type="dcterms:W3CDTF">2019-04-02T06:44:55Z</dcterms:created>
  <dcterms:modified xsi:type="dcterms:W3CDTF">2023-05-12T08:42:57Z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