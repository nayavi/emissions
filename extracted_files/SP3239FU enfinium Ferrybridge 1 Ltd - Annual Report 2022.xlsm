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harts/chart4.xml" ContentType="application/vnd.openxmlformats-officedocument.drawingml.chart+xml"/>
  <Override PartName="/xl/drawings/drawing9.xml" ContentType="application/vnd.openxmlformats-officedocument.drawing+xml"/>
  <Override PartName="/xl/charts/chart5.xml" ContentType="application/vnd.openxmlformats-officedocument.drawingml.chart+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xml"/>
  <Override PartName="/xl/charts/chart7.xml" ContentType="application/vnd.openxmlformats-officedocument.drawingml.chart+xml"/>
  <Override PartName="/xl/drawings/drawing12.xml" ContentType="application/vnd.openxmlformats-officedocument.drawing+xml"/>
  <Override PartName="/xl/charts/chart8.xml" ContentType="application/vnd.openxmlformats-officedocument.drawingml.chart+xml"/>
  <Override PartName="/xl/vbaProject.bin" ContentType="application/vnd.ms-office.vbaProject"/>
  <Override PartName="/xl/metadata.xml" ContentType="application/vnd.openxmlformats-officedocument.spreadsheetml.sheetMetadata+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enfiniumuk.sharepoint.com/FerrybridgeKN/Shared Documents/SHE/ENVIRONMENT/EA Returns/Ferrybridge 1/2023/"/>
    </mc:Choice>
  </mc:AlternateContent>
  <xr:revisionPtr revIDLastSave="224" documentId="8_{D98516BD-FFE3-4949-A13B-0E7141A6602D}" xr6:coauthVersionLast="47" xr6:coauthVersionMax="47" xr10:uidLastSave="{3CE6EC96-5076-442E-86E7-69E884D5C173}"/>
  <bookViews>
    <workbookView xWindow="-120" yWindow="-120" windowWidth="29040" windowHeight="17520" xr2:uid="{1DED7929-5D3B-4D6D-AE6C-5D143331A379}"/>
  </bookViews>
  <sheets>
    <sheet name="Cover Page" sheetId="2" r:id="rId1"/>
    <sheet name="Contents" sheetId="3" r:id="rId2"/>
    <sheet name="Facility Info" sheetId="4" r:id="rId3"/>
    <sheet name="Operational Data" sheetId="6" r:id="rId4"/>
    <sheet name="Ops Data Raw" sheetId="33" state="hidden" r:id="rId5"/>
    <sheet name="Operational Summary" sheetId="5" r:id="rId6"/>
    <sheet name="Perf. Form 1" sheetId="7" r:id="rId7"/>
    <sheet name="Perf. Form RAW data" sheetId="35" state="hidden" r:id="rId8"/>
    <sheet name="Energy Form 1" sheetId="8" r:id="rId9"/>
    <sheet name="Improvements" sheetId="10" r:id="rId10"/>
    <sheet name="Permit Compliance" sheetId="9" r:id="rId11"/>
    <sheet name="Public Liasion" sheetId="11" r:id="rId12"/>
    <sheet name="Air (periodic)" sheetId="23" r:id="rId13"/>
    <sheet name="Periodic Raw" sheetId="34" state="hidden" r:id="rId14"/>
    <sheet name="CO2 N2O" sheetId="32" r:id="rId15"/>
    <sheet name="Residue Quality " sheetId="21" r:id="rId16"/>
    <sheet name="Water" sheetId="22" r:id="rId17"/>
    <sheet name="Air (CEMS)" sheetId="24" r:id="rId18"/>
    <sheet name="HCl" sheetId="13" r:id="rId19"/>
    <sheet name="SO2" sheetId="25" r:id="rId20"/>
    <sheet name="NOx" sheetId="26" r:id="rId21"/>
    <sheet name="TOC" sheetId="27" r:id="rId22"/>
    <sheet name="Particulates" sheetId="28" r:id="rId23"/>
    <sheet name="CO 0.5hourly" sheetId="29" r:id="rId24"/>
    <sheet name="CO 95% 10 min" sheetId="30" r:id="rId25"/>
    <sheet name="NH3" sheetId="31" r:id="rId26"/>
  </sheets>
  <definedNames>
    <definedName name="_xlnm.Print_Area" localSheetId="17">'Air (CEMS)'!$A$1:$M$30</definedName>
    <definedName name="_xlnm.Print_Area" localSheetId="12">'Air (periodic)'!$A$1:$G$41</definedName>
    <definedName name="_xlnm.Print_Area" localSheetId="23">'CO 0.5hourly'!$A$1:$G$52</definedName>
    <definedName name="_xlnm.Print_Area" localSheetId="24">'CO 95% 10 min'!$A$1:$H$52</definedName>
    <definedName name="_xlnm.Print_Area" localSheetId="14">'CO2 N2O'!$A$1:$C$24</definedName>
    <definedName name="_xlnm.Print_Area" localSheetId="1">Contents!$A$1:$J$48</definedName>
    <definedName name="_xlnm.Print_Area" localSheetId="0">'Cover Page'!$A$1:$J$55</definedName>
    <definedName name="_xlnm.Print_Area" localSheetId="8">'Energy Form 1'!$A$1:$I$29</definedName>
    <definedName name="_xlnm.Print_Area" localSheetId="2">'Facility Info'!$A$1:$I$54</definedName>
    <definedName name="_xlnm.Print_Area" localSheetId="18">HCl!$A$1:$G$52</definedName>
    <definedName name="_xlnm.Print_Area" localSheetId="9">Improvements!$A$1:$I$48</definedName>
    <definedName name="_xlnm.Print_Area" localSheetId="25">'NH3'!$A$1:$G$52</definedName>
    <definedName name="_xlnm.Print_Area" localSheetId="20">NOx!$A$1:$G$52</definedName>
    <definedName name="_xlnm.Print_Area" localSheetId="3">'Operational Data'!$A$1:$H$73</definedName>
    <definedName name="_xlnm.Print_Area" localSheetId="5">'Operational Summary'!$A$1:$I$52</definedName>
    <definedName name="_xlnm.Print_Area" localSheetId="22">Particulates!$A$1:$G$52</definedName>
    <definedName name="_xlnm.Print_Area" localSheetId="6">'Perf. Form 1'!$A$1:$J$69</definedName>
    <definedName name="_xlnm.Print_Area" localSheetId="10">'Permit Compliance'!$A$1:$J$34</definedName>
    <definedName name="_xlnm.Print_Area" localSheetId="11">'Public Liasion'!$A$1:$I$29</definedName>
    <definedName name="_xlnm.Print_Area" localSheetId="15">'Residue Quality '!$A$1:$G$41</definedName>
    <definedName name="_xlnm.Print_Area" localSheetId="19">'SO2'!$A$1:$G$52</definedName>
    <definedName name="_xlnm.Print_Area" localSheetId="21">TOC!$A$1:$G$52</definedName>
    <definedName name="_xlnm.Print_Area" localSheetId="16">Water!$A$1:$I$30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4" i="33" l="1"/>
  <c r="C14" i="33"/>
  <c r="H67" i="6"/>
  <c r="C23" i="6" l="1"/>
  <c r="E32" i="7" l="1"/>
  <c r="A1" i="21"/>
  <c r="B19" i="32"/>
  <c r="F15" i="6"/>
  <c r="G18" i="6" l="1"/>
  <c r="B7" i="32" l="1"/>
  <c r="H49" i="7" l="1"/>
  <c r="D60" i="7" l="1"/>
  <c r="C60" i="7"/>
  <c r="G33" i="7" l="1"/>
  <c r="I33" i="7" s="1"/>
  <c r="G24" i="7"/>
  <c r="E34" i="7"/>
  <c r="I34" i="7" s="1"/>
  <c r="E14" i="7"/>
  <c r="G34" i="7"/>
  <c r="G35" i="7"/>
  <c r="E35" i="7" s="1"/>
  <c r="I35" i="7" s="1"/>
  <c r="G36" i="7"/>
  <c r="I36" i="7" s="1"/>
  <c r="C33" i="7"/>
  <c r="C34" i="7"/>
  <c r="C35" i="7"/>
  <c r="C36" i="7"/>
  <c r="C25" i="7"/>
  <c r="C26" i="7"/>
  <c r="C27" i="7"/>
  <c r="C28" i="7"/>
  <c r="C29" i="7"/>
  <c r="C30" i="7"/>
  <c r="C31" i="7"/>
  <c r="C32" i="7"/>
  <c r="C24" i="7"/>
  <c r="G25" i="7"/>
  <c r="G26" i="7"/>
  <c r="E26" i="7" s="1"/>
  <c r="G27" i="7"/>
  <c r="E27" i="7" s="1"/>
  <c r="G28" i="7"/>
  <c r="E28" i="7" s="1"/>
  <c r="G29" i="7"/>
  <c r="E29" i="7" s="1"/>
  <c r="G30" i="7"/>
  <c r="E30" i="7" s="1"/>
  <c r="G31" i="7"/>
  <c r="E31" i="7" s="1"/>
  <c r="G32" i="7"/>
  <c r="I32" i="7" s="1"/>
  <c r="C12" i="7"/>
  <c r="C13" i="7"/>
  <c r="C14" i="7"/>
  <c r="C15" i="7"/>
  <c r="C16" i="7"/>
  <c r="C17" i="7"/>
  <c r="C18" i="7"/>
  <c r="C19" i="7"/>
  <c r="C20" i="7"/>
  <c r="C11" i="7"/>
  <c r="G12" i="7"/>
  <c r="E12" i="7" s="1"/>
  <c r="G13" i="7"/>
  <c r="E13" i="7" s="1"/>
  <c r="G14" i="7"/>
  <c r="G15" i="7"/>
  <c r="E15" i="7" s="1"/>
  <c r="G16" i="7"/>
  <c r="G17" i="7"/>
  <c r="E17" i="7" s="1"/>
  <c r="G18" i="7"/>
  <c r="E18" i="7" s="1"/>
  <c r="G19" i="7"/>
  <c r="E19" i="7" s="1"/>
  <c r="G20" i="7"/>
  <c r="E20" i="7" s="1"/>
  <c r="G11" i="7"/>
  <c r="E11" i="7" s="1"/>
  <c r="G4" i="35"/>
  <c r="G5" i="35"/>
  <c r="G6" i="35"/>
  <c r="G7" i="35"/>
  <c r="G8" i="35"/>
  <c r="G9" i="35"/>
  <c r="G10" i="35"/>
  <c r="G11" i="35"/>
  <c r="G12" i="35"/>
  <c r="G13" i="35"/>
  <c r="G14" i="35"/>
  <c r="G15" i="35"/>
  <c r="G16" i="35"/>
  <c r="G17" i="35"/>
  <c r="G18" i="35"/>
  <c r="G19" i="35"/>
  <c r="G20" i="35"/>
  <c r="G21" i="35"/>
  <c r="G22" i="35"/>
  <c r="G23" i="35"/>
  <c r="G24" i="35"/>
  <c r="G25" i="35"/>
  <c r="G3" i="35"/>
  <c r="C14" i="35" l="1"/>
  <c r="E60" i="7"/>
  <c r="G37" i="7"/>
  <c r="E37" i="7"/>
  <c r="I31" i="7"/>
  <c r="I30" i="7"/>
  <c r="I29" i="7"/>
  <c r="G21" i="7"/>
  <c r="E21" i="7"/>
  <c r="I11" i="7"/>
  <c r="I20" i="7"/>
  <c r="I19" i="7"/>
  <c r="I18" i="7"/>
  <c r="I17" i="7"/>
  <c r="I16" i="7"/>
  <c r="I15" i="7"/>
  <c r="E38" i="7" l="1"/>
  <c r="G25" i="24"/>
  <c r="N19" i="30"/>
  <c r="E25" i="24" s="1"/>
  <c r="D16" i="25"/>
  <c r="C16" i="25"/>
  <c r="D15" i="25"/>
  <c r="C15" i="25"/>
  <c r="H14" i="34" l="1"/>
  <c r="H15" i="34"/>
  <c r="H16" i="34"/>
  <c r="H17" i="34"/>
  <c r="H18" i="34"/>
  <c r="H19" i="34"/>
  <c r="H20" i="34"/>
  <c r="H21" i="34"/>
  <c r="H22" i="34"/>
  <c r="H23" i="34"/>
  <c r="H24" i="34"/>
  <c r="H25" i="34"/>
  <c r="H26" i="34"/>
  <c r="H27" i="34"/>
  <c r="H28" i="34"/>
  <c r="E14" i="34"/>
  <c r="E15" i="34"/>
  <c r="E16" i="34"/>
  <c r="E17" i="34"/>
  <c r="E18" i="34"/>
  <c r="E19" i="34"/>
  <c r="E20" i="34"/>
  <c r="E21" i="34"/>
  <c r="E22" i="34"/>
  <c r="E23" i="34"/>
  <c r="E24" i="34"/>
  <c r="E25" i="34"/>
  <c r="E26" i="34"/>
  <c r="E27" i="34"/>
  <c r="E28" i="34"/>
  <c r="H13" i="34"/>
  <c r="E13" i="34"/>
  <c r="H3" i="34"/>
  <c r="H4" i="34"/>
  <c r="H5" i="34"/>
  <c r="H6" i="34"/>
  <c r="H7" i="34"/>
  <c r="H8" i="34"/>
  <c r="H9" i="34"/>
  <c r="H10" i="34"/>
  <c r="H11" i="34"/>
  <c r="H12" i="34"/>
  <c r="H2" i="34"/>
  <c r="E3" i="34"/>
  <c r="E4" i="34"/>
  <c r="E5" i="34"/>
  <c r="E6" i="34"/>
  <c r="E7" i="34"/>
  <c r="E8" i="34"/>
  <c r="E9" i="34"/>
  <c r="E10" i="34"/>
  <c r="E11" i="34"/>
  <c r="E12" i="34"/>
  <c r="E2" i="34"/>
  <c r="K20" i="33" l="1"/>
  <c r="K19" i="33"/>
  <c r="K18" i="33"/>
  <c r="K17" i="33"/>
  <c r="L18" i="33"/>
  <c r="L17" i="33"/>
  <c r="L19" i="33"/>
  <c r="L4" i="33"/>
  <c r="L5" i="33"/>
  <c r="L6" i="33"/>
  <c r="L7" i="33"/>
  <c r="L8" i="33"/>
  <c r="L9" i="33"/>
  <c r="L10" i="33"/>
  <c r="L11" i="33"/>
  <c r="L12" i="33"/>
  <c r="L13" i="33"/>
  <c r="L14" i="33"/>
  <c r="L20" i="33" s="1"/>
  <c r="L3" i="33"/>
  <c r="I20" i="33"/>
  <c r="I19" i="33"/>
  <c r="I18" i="33"/>
  <c r="I17" i="33"/>
  <c r="E20" i="33"/>
  <c r="E19" i="33"/>
  <c r="E18" i="33"/>
  <c r="E17" i="33"/>
  <c r="I4" i="33"/>
  <c r="I5" i="33"/>
  <c r="I6" i="33"/>
  <c r="I7" i="33"/>
  <c r="I8" i="33"/>
  <c r="I9" i="33"/>
  <c r="I10" i="33"/>
  <c r="I11" i="33"/>
  <c r="I12" i="33"/>
  <c r="I13" i="33"/>
  <c r="I3" i="33"/>
  <c r="E4" i="33"/>
  <c r="E5" i="33"/>
  <c r="E6" i="33"/>
  <c r="E7" i="33"/>
  <c r="E8" i="33"/>
  <c r="E9" i="33"/>
  <c r="E10" i="33"/>
  <c r="E11" i="33"/>
  <c r="E12" i="33"/>
  <c r="E13" i="33"/>
  <c r="G20" i="33"/>
  <c r="G19" i="33"/>
  <c r="G18" i="33"/>
  <c r="G17" i="33"/>
  <c r="C20" i="33"/>
  <c r="C19" i="33"/>
  <c r="C18" i="33"/>
  <c r="C17" i="33"/>
  <c r="F17" i="33"/>
  <c r="F18" i="33"/>
  <c r="F19" i="33"/>
  <c r="F20" i="33"/>
  <c r="B20" i="33"/>
  <c r="B19" i="33"/>
  <c r="B18" i="33"/>
  <c r="B17" i="33"/>
  <c r="E49" i="6" l="1"/>
  <c r="E36" i="6"/>
  <c r="G47" i="6"/>
  <c r="G46" i="6"/>
  <c r="G34" i="6"/>
  <c r="E31" i="6"/>
  <c r="D31" i="6"/>
  <c r="E23" i="6"/>
  <c r="F23" i="6"/>
  <c r="D23" i="6"/>
  <c r="D15" i="6"/>
  <c r="C59" i="6" l="1"/>
  <c r="G50" i="6" l="1"/>
  <c r="G40" i="6"/>
  <c r="G38" i="6"/>
  <c r="G37" i="6"/>
  <c r="G32" i="6"/>
  <c r="G33" i="6"/>
  <c r="G35" i="6"/>
  <c r="G36" i="6"/>
  <c r="G39" i="6"/>
  <c r="G41" i="6"/>
  <c r="G42" i="6"/>
  <c r="G43" i="6"/>
  <c r="G44" i="6"/>
  <c r="G45" i="6"/>
  <c r="G48" i="6"/>
  <c r="G49" i="6"/>
  <c r="G51" i="6"/>
  <c r="D67" i="6"/>
  <c r="E67" i="6"/>
  <c r="F67" i="6"/>
  <c r="C67" i="6"/>
  <c r="C58" i="6"/>
  <c r="C56" i="6"/>
  <c r="C1" i="32"/>
  <c r="A1" i="32"/>
  <c r="I25" i="7" l="1"/>
  <c r="I26" i="7"/>
  <c r="I27" i="7"/>
  <c r="I28" i="7"/>
  <c r="I24" i="7"/>
  <c r="I12" i="7"/>
  <c r="I13" i="7"/>
  <c r="I14" i="7"/>
  <c r="C15" i="6" l="1"/>
  <c r="H69" i="6" l="1"/>
  <c r="G13" i="6" l="1"/>
  <c r="H13" i="6" s="1"/>
  <c r="G57" i="6"/>
  <c r="H57" i="6" s="1"/>
  <c r="J3" i="31" l="1"/>
  <c r="J3" i="30"/>
  <c r="J3" i="29"/>
  <c r="J3" i="28"/>
  <c r="J3" i="27"/>
  <c r="J3" i="26"/>
  <c r="J3" i="25"/>
  <c r="J3" i="13"/>
  <c r="G16" i="6" l="1"/>
  <c r="G68" i="6" l="1"/>
  <c r="G73" i="6"/>
  <c r="H73" i="6" s="1"/>
  <c r="G72" i="6"/>
  <c r="H72" i="6" s="1"/>
  <c r="G71" i="6"/>
  <c r="G69" i="6"/>
  <c r="G65" i="6"/>
  <c r="G66" i="6"/>
  <c r="G67" i="6" l="1"/>
  <c r="E15" i="6"/>
  <c r="H47" i="6" l="1"/>
  <c r="E1" i="31"/>
  <c r="A1" i="31"/>
  <c r="E1" i="30"/>
  <c r="A1" i="30"/>
  <c r="E1" i="29"/>
  <c r="A1" i="29"/>
  <c r="E1" i="28"/>
  <c r="A1" i="28"/>
  <c r="E1" i="27"/>
  <c r="A1" i="27"/>
  <c r="E1" i="26"/>
  <c r="A1" i="26"/>
  <c r="E1" i="25"/>
  <c r="A1" i="25"/>
  <c r="E1" i="13"/>
  <c r="A1" i="13"/>
  <c r="I1" i="24"/>
  <c r="A1" i="24"/>
  <c r="E1" i="23"/>
  <c r="A1" i="23"/>
  <c r="E1" i="22"/>
  <c r="A1" i="22"/>
  <c r="E1" i="21"/>
  <c r="E1" i="11"/>
  <c r="A1" i="11"/>
  <c r="E1" i="10"/>
  <c r="A1" i="10"/>
  <c r="E1" i="9"/>
  <c r="A1" i="9"/>
  <c r="E1" i="6"/>
  <c r="A1" i="6"/>
  <c r="E1" i="5"/>
  <c r="A1" i="5"/>
  <c r="E1" i="4"/>
  <c r="A1" i="4"/>
  <c r="E1" i="3"/>
  <c r="A1" i="3"/>
  <c r="O34" i="31"/>
  <c r="F26" i="24" s="1"/>
  <c r="N34" i="31"/>
  <c r="G26" i="24" s="1"/>
  <c r="M34" i="31"/>
  <c r="L34" i="31"/>
  <c r="O19" i="31"/>
  <c r="D26" i="24" s="1"/>
  <c r="N19" i="31"/>
  <c r="E26" i="24" s="1"/>
  <c r="M19" i="31"/>
  <c r="L19" i="31"/>
  <c r="B8" i="31"/>
  <c r="B9" i="31" s="1"/>
  <c r="B10" i="31" s="1"/>
  <c r="B11" i="31" s="1"/>
  <c r="B12" i="31" s="1"/>
  <c r="B13" i="31" s="1"/>
  <c r="B14" i="31" s="1"/>
  <c r="B15" i="31" s="1"/>
  <c r="B16" i="31" s="1"/>
  <c r="B17" i="31" s="1"/>
  <c r="B18" i="31" s="1"/>
  <c r="A6" i="31"/>
  <c r="Q34" i="30"/>
  <c r="F24" i="24" s="1"/>
  <c r="P34" i="30"/>
  <c r="G24" i="24" s="1"/>
  <c r="O34" i="30"/>
  <c r="M34" i="30"/>
  <c r="F25" i="24" s="1"/>
  <c r="Q19" i="30"/>
  <c r="D24" i="24" s="1"/>
  <c r="P19" i="30"/>
  <c r="E24" i="24" s="1"/>
  <c r="O19" i="30"/>
  <c r="M19" i="30"/>
  <c r="D25" i="24" s="1"/>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34" i="29"/>
  <c r="N34" i="29"/>
  <c r="M34" i="29"/>
  <c r="L34" i="29"/>
  <c r="O19" i="29"/>
  <c r="N19" i="29"/>
  <c r="M19" i="29"/>
  <c r="L19" i="29"/>
  <c r="A6" i="29"/>
  <c r="O34" i="28"/>
  <c r="F16" i="24" s="1"/>
  <c r="N34" i="28"/>
  <c r="G16" i="24" s="1"/>
  <c r="M34" i="28"/>
  <c r="F17" i="24" s="1"/>
  <c r="L34" i="28"/>
  <c r="G17" i="24" s="1"/>
  <c r="O19" i="28"/>
  <c r="D16" i="24" s="1"/>
  <c r="N19" i="28"/>
  <c r="E16" i="24" s="1"/>
  <c r="M19" i="28"/>
  <c r="D17" i="24" s="1"/>
  <c r="L19" i="28"/>
  <c r="E17" i="24" s="1"/>
  <c r="A6" i="28"/>
  <c r="O34" i="27"/>
  <c r="F18" i="24" s="1"/>
  <c r="N34" i="27"/>
  <c r="G18" i="24" s="1"/>
  <c r="M34" i="27"/>
  <c r="F19" i="24" s="1"/>
  <c r="L34" i="27"/>
  <c r="G19" i="24" s="1"/>
  <c r="O19" i="27"/>
  <c r="D18" i="24" s="1"/>
  <c r="N19" i="27"/>
  <c r="E18" i="24" s="1"/>
  <c r="M19" i="27"/>
  <c r="D19" i="24" s="1"/>
  <c r="L19" i="27"/>
  <c r="E19" i="24" s="1"/>
  <c r="A6" i="27"/>
  <c r="O34" i="26"/>
  <c r="F14" i="24" s="1"/>
  <c r="N34" i="26"/>
  <c r="G14" i="24" s="1"/>
  <c r="M34" i="26"/>
  <c r="F15" i="24" s="1"/>
  <c r="L34" i="26"/>
  <c r="G15" i="24" s="1"/>
  <c r="O19" i="26"/>
  <c r="D14" i="24" s="1"/>
  <c r="N19" i="26"/>
  <c r="E14" i="24" s="1"/>
  <c r="M19" i="26"/>
  <c r="D15" i="24" s="1"/>
  <c r="L19" i="26"/>
  <c r="E15" i="24" s="1"/>
  <c r="A6" i="26"/>
  <c r="O34" i="25"/>
  <c r="F22" i="24" s="1"/>
  <c r="N34" i="25"/>
  <c r="G22" i="24" s="1"/>
  <c r="M34" i="25"/>
  <c r="F23" i="24" s="1"/>
  <c r="L34" i="25"/>
  <c r="G23" i="24" s="1"/>
  <c r="O19" i="25"/>
  <c r="D22" i="24" s="1"/>
  <c r="N19" i="25"/>
  <c r="E22" i="24" s="1"/>
  <c r="M19" i="25"/>
  <c r="D23" i="24" s="1"/>
  <c r="L19" i="25"/>
  <c r="E23" i="24" s="1"/>
  <c r="A6" i="25"/>
  <c r="O34" i="13"/>
  <c r="F20" i="24" s="1"/>
  <c r="N34" i="13"/>
  <c r="G20" i="24" s="1"/>
  <c r="M34" i="13"/>
  <c r="F21" i="24" s="1"/>
  <c r="L34" i="13"/>
  <c r="G21" i="24" s="1"/>
  <c r="O19" i="13"/>
  <c r="D20" i="24" s="1"/>
  <c r="N19" i="13"/>
  <c r="E20" i="24" s="1"/>
  <c r="M19" i="13"/>
  <c r="D21" i="24" s="1"/>
  <c r="L19" i="13"/>
  <c r="E21" i="24" s="1"/>
  <c r="A6" i="13"/>
  <c r="H34" i="6" l="1"/>
  <c r="H46" i="6"/>
  <c r="H40" i="6"/>
  <c r="H50" i="6"/>
  <c r="H37" i="6"/>
  <c r="H38" i="6"/>
  <c r="H43" i="6"/>
  <c r="H39" i="6"/>
  <c r="H48" i="6"/>
  <c r="H49" i="6"/>
  <c r="H45" i="6"/>
  <c r="H36" i="6"/>
  <c r="H41" i="6"/>
  <c r="H35" i="6"/>
  <c r="H51" i="6"/>
  <c r="H42" i="6"/>
  <c r="H44" i="6"/>
  <c r="H33" i="6"/>
  <c r="H32" i="6"/>
  <c r="J21" i="29"/>
  <c r="J21" i="28"/>
  <c r="J21" i="27"/>
  <c r="J21" i="26"/>
  <c r="J21" i="25"/>
  <c r="J21" i="13"/>
  <c r="J6" i="13"/>
  <c r="J21" i="31"/>
  <c r="J6" i="31"/>
  <c r="K6" i="30"/>
  <c r="K21" i="30"/>
  <c r="J6" i="29"/>
  <c r="J6" i="28"/>
  <c r="J6" i="27"/>
  <c r="J6" i="26"/>
  <c r="J6" i="25"/>
  <c r="D25" i="6"/>
  <c r="E25" i="6"/>
  <c r="F25" i="6"/>
  <c r="C25" i="6"/>
  <c r="G7" i="8"/>
  <c r="D7" i="8"/>
  <c r="B5" i="8"/>
  <c r="A3" i="8"/>
  <c r="A1" i="8"/>
  <c r="B4" i="7"/>
  <c r="A3" i="7"/>
  <c r="A1" i="7"/>
  <c r="A8" i="7" s="1"/>
  <c r="H71" i="6"/>
  <c r="G62" i="6"/>
  <c r="G61" i="6"/>
  <c r="G60" i="6"/>
  <c r="H60" i="6" s="1"/>
  <c r="G59" i="6"/>
  <c r="H59" i="6" s="1"/>
  <c r="G58" i="6"/>
  <c r="H58" i="6" s="1"/>
  <c r="G56" i="6"/>
  <c r="H56" i="6" s="1"/>
  <c r="G55" i="6"/>
  <c r="G54" i="6"/>
  <c r="G31" i="6"/>
  <c r="H31" i="6" s="1"/>
  <c r="G27" i="6"/>
  <c r="G26" i="6"/>
  <c r="H26" i="6" s="1"/>
  <c r="G24" i="6"/>
  <c r="G23" i="6"/>
  <c r="H23" i="6" s="1"/>
  <c r="G22" i="6"/>
  <c r="G21" i="6"/>
  <c r="H21" i="6" s="1"/>
  <c r="G17" i="6"/>
  <c r="G14" i="6"/>
  <c r="G15" i="6" s="1"/>
  <c r="G12" i="6"/>
  <c r="H12" i="6" s="1"/>
  <c r="G11" i="6"/>
  <c r="G10" i="6"/>
  <c r="G9" i="6"/>
  <c r="G8" i="6"/>
  <c r="H54" i="6" l="1"/>
  <c r="E47" i="7"/>
  <c r="H55" i="6"/>
  <c r="E48" i="7"/>
  <c r="H48" i="7" s="1"/>
  <c r="I21" i="7"/>
  <c r="D11" i="8"/>
  <c r="H24" i="6"/>
  <c r="D14" i="8"/>
  <c r="H27" i="6"/>
  <c r="I37" i="7"/>
  <c r="D12" i="8"/>
  <c r="B8" i="32" s="1" a="1"/>
  <c r="B8" i="32" s="1"/>
  <c r="H22" i="6"/>
  <c r="H47" i="7"/>
  <c r="E49" i="7"/>
  <c r="E51" i="7"/>
  <c r="H51" i="7" s="1"/>
  <c r="E50" i="7"/>
  <c r="H50" i="7" s="1"/>
  <c r="G38" i="7"/>
  <c r="H18" i="6"/>
  <c r="G25" i="6"/>
  <c r="D10" i="8"/>
  <c r="G10" i="8"/>
  <c r="A45" i="7"/>
  <c r="A57" i="7" s="1"/>
  <c r="I38" i="7" l="1"/>
  <c r="H17" i="6"/>
  <c r="H8" i="6"/>
  <c r="H16" i="6"/>
  <c r="H10" i="6"/>
  <c r="G11" i="8"/>
  <c r="G12" i="8"/>
  <c r="H14" i="6"/>
  <c r="G14" i="8"/>
  <c r="H11" i="6"/>
  <c r="H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Edward Elcock</author>
  </authors>
  <commentList>
    <comment ref="A16" authorId="0" shapeId="0" xr:uid="{E0E438C0-08EF-4468-999F-0C9C2A15E570}">
      <text>
        <r>
          <rPr>
            <b/>
            <sz val="9"/>
            <color indexed="81"/>
            <rFont val="Tahoma"/>
            <family val="2"/>
          </rPr>
          <t>Edward Elcock:</t>
        </r>
        <r>
          <rPr>
            <sz val="9"/>
            <color indexed="81"/>
            <rFont val="Tahoma"/>
            <family val="2"/>
          </rPr>
          <t xml:space="preserve">
RIBA &amp; Reject Paper</t>
        </r>
      </text>
    </comment>
    <comment ref="A17" authorId="0" shapeId="0" xr:uid="{F6DDEEAA-7314-420C-8105-D40F9D0CC860}">
      <text>
        <r>
          <rPr>
            <b/>
            <sz val="9"/>
            <color indexed="81"/>
            <rFont val="Tahoma"/>
            <family val="2"/>
          </rPr>
          <t>Edward Elcock:</t>
        </r>
        <r>
          <rPr>
            <sz val="9"/>
            <color indexed="81"/>
            <rFont val="Tahoma"/>
            <family val="2"/>
          </rPr>
          <t xml:space="preserve">
Oversized Unburnt
</t>
        </r>
      </text>
    </comment>
    <comment ref="A18" authorId="0" shapeId="0" xr:uid="{D5FF33A7-38C3-4705-A081-4F84CF09FA8E}">
      <text>
        <r>
          <rPr>
            <b/>
            <sz val="9"/>
            <color indexed="81"/>
            <rFont val="Tahoma"/>
            <family val="2"/>
          </rPr>
          <t>Edward Elcock:</t>
        </r>
        <r>
          <rPr>
            <sz val="9"/>
            <color indexed="81"/>
            <rFont val="Tahoma"/>
            <family val="2"/>
          </rPr>
          <t xml:space="preserve">
Copied in from Quarterlys bunker Rec method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Edward Elcock</author>
  </authors>
  <commentList>
    <comment ref="E6" authorId="0" shapeId="0" xr:uid="{493722F2-B626-456F-900E-66BD588A1F11}">
      <text>
        <r>
          <rPr>
            <b/>
            <sz val="9"/>
            <color indexed="81"/>
            <rFont val="Tahoma"/>
            <family val="2"/>
          </rPr>
          <t xml:space="preserve">Edward Elcock:
</t>
        </r>
        <r>
          <rPr>
            <sz val="9"/>
            <color indexed="81"/>
            <rFont val="Tahoma"/>
            <family val="2"/>
          </rPr>
          <t>Applicable from 1st December 2023.</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<sst xmlns="http://schemas.openxmlformats.org/spreadsheetml/2006/main" count="1291" uniqueCount="499">
  <si>
    <t>Section</t>
  </si>
  <si>
    <t>Subject</t>
  </si>
  <si>
    <t xml:space="preserve">Page </t>
  </si>
  <si>
    <t>Information</t>
  </si>
  <si>
    <t>Date</t>
  </si>
  <si>
    <t>Copy</t>
  </si>
  <si>
    <t>Name, Role</t>
  </si>
  <si>
    <t>No.</t>
  </si>
  <si>
    <t>Add company logo</t>
  </si>
  <si>
    <t>Add photo</t>
  </si>
  <si>
    <t>Year:</t>
  </si>
  <si>
    <t>Address:</t>
  </si>
  <si>
    <t xml:space="preserve">Tel: </t>
  </si>
  <si>
    <t xml:space="preserve">Email: </t>
  </si>
  <si>
    <t>Prepared by:</t>
  </si>
  <si>
    <t>Position:</t>
  </si>
  <si>
    <t>Approved by:</t>
  </si>
  <si>
    <t>Version:</t>
  </si>
  <si>
    <t>Issue Date:</t>
  </si>
  <si>
    <t>Contents</t>
  </si>
  <si>
    <t>Version Control</t>
  </si>
  <si>
    <t>Distribution</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</si>
  <si>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</si>
  <si>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</si>
  <si>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Summary of Operational Processes and Procedures</t>
  </si>
  <si>
    <t>Summary of Plant Operations and Maintenance during the reporting year</t>
  </si>
  <si>
    <t>Operational Summary</t>
  </si>
  <si>
    <t>Plant Size</t>
  </si>
  <si>
    <t>tonnes pa</t>
  </si>
  <si>
    <t>MWth</t>
  </si>
  <si>
    <t>MWe</t>
  </si>
  <si>
    <t>No. of combustion lines</t>
  </si>
  <si>
    <t>No. of Turbines:</t>
  </si>
  <si>
    <t>Waste types received</t>
  </si>
  <si>
    <t>Unit</t>
  </si>
  <si>
    <t>Q1</t>
  </si>
  <si>
    <t>Q2</t>
  </si>
  <si>
    <t>Q3</t>
  </si>
  <si>
    <t>Q4</t>
  </si>
  <si>
    <t>Year Total</t>
  </si>
  <si>
    <t>%</t>
  </si>
  <si>
    <t>tonnes</t>
  </si>
  <si>
    <t xml:space="preserve">Commercial &amp; Industrial </t>
  </si>
  <si>
    <t xml:space="preserve">Hazardous </t>
  </si>
  <si>
    <t>Clinical</t>
  </si>
  <si>
    <t xml:space="preserve">Waste wood (biomass) </t>
  </si>
  <si>
    <t xml:space="preserve">Rejected Waste </t>
  </si>
  <si>
    <t>Energy Useage / Export</t>
  </si>
  <si>
    <t>KWh/te</t>
  </si>
  <si>
    <t>Power Generated</t>
  </si>
  <si>
    <t>MWh</t>
  </si>
  <si>
    <t>Power Exported</t>
  </si>
  <si>
    <t>Power Used on site</t>
  </si>
  <si>
    <t>Power Imported</t>
  </si>
  <si>
    <t>Parasitic Load</t>
  </si>
  <si>
    <t>GWh</t>
  </si>
  <si>
    <t>Waste Disposal &amp; Recovery</t>
  </si>
  <si>
    <t>% inputs</t>
  </si>
  <si>
    <t>APC Residues - produced</t>
  </si>
  <si>
    <t>IBA - produced</t>
  </si>
  <si>
    <t>Metals recycling</t>
  </si>
  <si>
    <t>Other</t>
  </si>
  <si>
    <t>Raw Material Usage</t>
  </si>
  <si>
    <t>kg or Ltr /te</t>
  </si>
  <si>
    <t>Mains Water</t>
  </si>
  <si>
    <r>
      <t>m</t>
    </r>
    <r>
      <rPr>
        <vertAlign val="superscript"/>
        <sz val="10"/>
        <color theme="1"/>
        <rFont val="Arial"/>
        <family val="2"/>
      </rPr>
      <t>3</t>
    </r>
  </si>
  <si>
    <t>Other Water</t>
  </si>
  <si>
    <t>Activated Carbon</t>
  </si>
  <si>
    <t>Lime / hydrated lime</t>
  </si>
  <si>
    <t>Fuel oil</t>
  </si>
  <si>
    <t>Gas</t>
  </si>
  <si>
    <t>cf</t>
  </si>
  <si>
    <t>Hours of heat / steam export</t>
  </si>
  <si>
    <t>Abnormal Events</t>
  </si>
  <si>
    <t>qty.</t>
  </si>
  <si>
    <t>Abnormal operation</t>
  </si>
  <si>
    <t>hours</t>
  </si>
  <si>
    <t>Permit Breaches</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</si>
  <si>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</si>
  <si>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</si>
  <si>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</si>
  <si>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</si>
  <si>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</si>
  <si>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</si>
  <si>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</si>
  <si>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</si>
  <si>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</si>
  <si>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</si>
  <si>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</si>
  <si>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</si>
  <si>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</si>
  <si>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</si>
  <si>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</si>
  <si>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Total Hazardous Waste</t>
  </si>
  <si>
    <t>2) Non-Hazardous Wastes</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</si>
  <si>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</si>
  <si>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</si>
  <si>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</si>
  <si>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</si>
  <si>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</si>
  <si>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</si>
  <si>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</si>
  <si>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</si>
  <si>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</si>
  <si>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</si>
  <si>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</si>
  <si>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</si>
  <si>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</si>
  <si>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</si>
  <si>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</si>
  <si>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A1</t>
  </si>
  <si>
    <t>A2</t>
  </si>
  <si>
    <t>A3</t>
  </si>
  <si>
    <t>A4</t>
  </si>
  <si>
    <t>A5</t>
  </si>
  <si>
    <t>Turbine 1</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</si>
  <si>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</si>
  <si>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</si>
  <si>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</si>
  <si>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</si>
  <si>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</si>
  <si>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</si>
  <si>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</si>
  <si>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</si>
  <si>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</si>
  <si>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</si>
  <si>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</si>
  <si>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</si>
  <si>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</si>
  <si>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</si>
  <si>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</si>
  <si>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</si>
  <si>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</si>
  <si>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</si>
  <si>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</si>
  <si>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</si>
  <si>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</si>
  <si>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Particulates</t>
  </si>
  <si>
    <t>Oxides of nitrogen</t>
  </si>
  <si>
    <t>Sulphur dioxide</t>
  </si>
  <si>
    <t>Carbon monoxide</t>
  </si>
  <si>
    <t>Total organic carbon</t>
  </si>
  <si>
    <t>Hydrogen chloride</t>
  </si>
  <si>
    <t>Hydrogen fluoride</t>
  </si>
  <si>
    <t>Summary of any notifications or non-compliances under the permit</t>
  </si>
  <si>
    <t xml:space="preserve">Reason </t>
  </si>
  <si>
    <t>Measures taken to prevent reoccurrence</t>
  </si>
  <si>
    <t>Summary of any complaints received and actions to taken to resolve them.</t>
  </si>
  <si>
    <t>Reason *</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</si>
  <si>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</si>
  <si>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</si>
  <si>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</si>
  <si>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</si>
  <si>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</si>
  <si>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</si>
  <si>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</si>
  <si>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</si>
  <si>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</si>
  <si>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List of events planned for next year</t>
  </si>
  <si>
    <t>1/2 hourly HCl ELV</t>
  </si>
  <si>
    <t>Monthly 1/2 hourly mean</t>
  </si>
  <si>
    <t>Monthly 1/2 hourly maximum</t>
  </si>
  <si>
    <t>Daily HCl ELV</t>
  </si>
  <si>
    <t>Monthly daily mean</t>
  </si>
  <si>
    <t>Monthly daily maximum</t>
  </si>
  <si>
    <t>Jan</t>
  </si>
  <si>
    <t>Feb</t>
  </si>
  <si>
    <t>Mar</t>
  </si>
  <si>
    <t>Apr</t>
  </si>
  <si>
    <t>May</t>
  </si>
  <si>
    <t>Jun</t>
  </si>
  <si>
    <t>Jul</t>
  </si>
  <si>
    <t>Aug</t>
  </si>
  <si>
    <t>Sep</t>
  </si>
  <si>
    <t>Oct</t>
  </si>
  <si>
    <t>Nov</t>
  </si>
  <si>
    <t>Dec</t>
  </si>
  <si>
    <t>1/2 hourly SO2 ELV</t>
  </si>
  <si>
    <t>Daily SO2 ELV</t>
  </si>
  <si>
    <t>1/2 hourly NOx ELV</t>
  </si>
  <si>
    <t>Daily NOx ELV</t>
  </si>
  <si>
    <t>1/2 hourly TOC ELV</t>
  </si>
  <si>
    <t>Daily TOC ELV</t>
  </si>
  <si>
    <t>1/2 hourly PM ELV</t>
  </si>
  <si>
    <t>Daily PM ELV</t>
  </si>
  <si>
    <t xml:space="preserve">Carbon monoxide </t>
  </si>
  <si>
    <t>1/2 hourly CO ELV</t>
  </si>
  <si>
    <t>Daily CO ELV</t>
  </si>
  <si>
    <t>1/2 hourly NH3 ELV</t>
  </si>
  <si>
    <t>Daily NH3 ELV</t>
  </si>
  <si>
    <t>Operating hours for the year, hours</t>
  </si>
  <si>
    <t>Summary of Residue Handling for the reporting year</t>
  </si>
  <si>
    <t>Emissions to Water</t>
  </si>
  <si>
    <t>Summary of monitoring undertaken and compliance</t>
  </si>
  <si>
    <t>Commentary on any specific events</t>
  </si>
  <si>
    <t>Monitoring Frequency</t>
  </si>
  <si>
    <t>Limit</t>
  </si>
  <si>
    <t>Target</t>
  </si>
  <si>
    <t>Average</t>
  </si>
  <si>
    <t>Max.</t>
  </si>
  <si>
    <t>Residue Quality Monitoring Requirements</t>
  </si>
  <si>
    <t>Date &amp; Event</t>
  </si>
  <si>
    <t xml:space="preserve">Normal Operation </t>
  </si>
  <si>
    <t xml:space="preserve">Bottom ash  </t>
  </si>
  <si>
    <t>---</t>
  </si>
  <si>
    <t xml:space="preserve">Parameter (unit) </t>
  </si>
  <si>
    <t>&lt;5%</t>
  </si>
  <si>
    <t>Residue Quality Monitoring Results</t>
  </si>
  <si>
    <t>Comments :</t>
  </si>
  <si>
    <t>Emissions to Air (periodically monitored)</t>
  </si>
  <si>
    <t>Results of emissions to air that are periodically monitored</t>
  </si>
  <si>
    <t>Cd and Th and their compounds</t>
  </si>
  <si>
    <t>Hg and its compounds</t>
  </si>
  <si>
    <t>Sb, As, Pb, Cr, Co, Cu, Mn, Ni, V and their compounds</t>
  </si>
  <si>
    <t>Dioxins &amp; Furans (I-TEQ)</t>
  </si>
  <si>
    <t>PCBs (WHO-TEQ Humans / Mammals)</t>
  </si>
  <si>
    <t>PCBs (WHO-TEQ Fish)</t>
  </si>
  <si>
    <t>PCBs (WHO-TEQ Birds)</t>
  </si>
  <si>
    <t>Dioxins &amp; Furans (WHO-TEQ Humans / Mammals)</t>
  </si>
  <si>
    <t>Dioxins &amp; Furans (WHO-TEQ Fish)</t>
  </si>
  <si>
    <t>Dioxins &amp; Furans (WHO-TEQ Birds)</t>
  </si>
  <si>
    <t>Anthanthrene</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</si>
  <si>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</si>
  <si>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</si>
  <si>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</si>
  <si>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</si>
  <si>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</si>
  <si>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</si>
  <si>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</si>
  <si>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</si>
  <si>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</si>
  <si>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</si>
  <si>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</si>
  <si>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</si>
  <si>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</si>
  <si>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</si>
  <si>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</si>
  <si>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1 hr</t>
  </si>
  <si>
    <r>
      <t>2 mg/m</t>
    </r>
    <r>
      <rPr>
        <vertAlign val="superscript"/>
        <sz val="10"/>
        <color theme="1"/>
        <rFont val="Arial"/>
        <family val="2"/>
      </rPr>
      <t>3</t>
    </r>
  </si>
  <si>
    <r>
      <t>0.05 mg/m</t>
    </r>
    <r>
      <rPr>
        <vertAlign val="superscript"/>
        <sz val="10"/>
        <color theme="1"/>
        <rFont val="Arial"/>
        <family val="2"/>
      </rPr>
      <t>3</t>
    </r>
  </si>
  <si>
    <r>
      <t>0.5 mg/m</t>
    </r>
    <r>
      <rPr>
        <vertAlign val="superscript"/>
        <sz val="10"/>
        <color theme="1"/>
        <rFont val="Arial"/>
        <family val="2"/>
      </rPr>
      <t>3</t>
    </r>
  </si>
  <si>
    <r>
      <t>0.1 ng/m</t>
    </r>
    <r>
      <rPr>
        <vertAlign val="superscript"/>
        <sz val="10"/>
        <color theme="1"/>
        <rFont val="Arial"/>
        <family val="2"/>
      </rPr>
      <t>3</t>
    </r>
  </si>
  <si>
    <r>
      <t>None set ng/m</t>
    </r>
    <r>
      <rPr>
        <vertAlign val="superscript"/>
        <sz val="10"/>
        <color theme="1"/>
        <rFont val="Arial"/>
        <family val="2"/>
      </rPr>
      <t>3</t>
    </r>
  </si>
  <si>
    <r>
      <t>None set µg/m</t>
    </r>
    <r>
      <rPr>
        <vertAlign val="superscript"/>
        <sz val="10"/>
        <color theme="1"/>
        <rFont val="Arial"/>
        <family val="2"/>
      </rPr>
      <t>3</t>
    </r>
  </si>
  <si>
    <t>Emission Limit Value</t>
  </si>
  <si>
    <t>Ref. Period</t>
  </si>
  <si>
    <t>Summary of monitoring undertaken, standards used and compliance</t>
  </si>
  <si>
    <t>Emissions to Air (continously monitored)</t>
  </si>
  <si>
    <t>Avg.</t>
  </si>
  <si>
    <t>Daily mean</t>
  </si>
  <si>
    <t>½ hourly mean</t>
  </si>
  <si>
    <t xml:space="preserve">Hydrogen chloride </t>
  </si>
  <si>
    <t xml:space="preserve"> Ammonia</t>
  </si>
  <si>
    <t>No limit set</t>
  </si>
  <si>
    <r>
      <t>200 mg/m</t>
    </r>
    <r>
      <rPr>
        <vertAlign val="superscript"/>
        <sz val="10"/>
        <color theme="1"/>
        <rFont val="Arial"/>
        <family val="2"/>
      </rPr>
      <t>3</t>
    </r>
    <r>
      <rPr>
        <sz val="10"/>
        <color theme="1"/>
        <rFont val="Arial"/>
        <family val="2"/>
      </rPr>
      <t xml:space="preserve"> </t>
    </r>
  </si>
  <si>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</si>
  <si>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</si>
  <si>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</si>
  <si>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</si>
  <si>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</si>
  <si>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</si>
  <si>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</si>
  <si>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Total Organic Carbon </t>
  </si>
  <si>
    <t>Reference Period</t>
  </si>
  <si>
    <t>Daily Reference Periods</t>
  </si>
  <si>
    <t>1/2 Hourly Reference Periods</t>
  </si>
  <si>
    <t>mg/Nm3</t>
  </si>
  <si>
    <r>
      <t>mg/Nm</t>
    </r>
    <r>
      <rPr>
        <b/>
        <vertAlign val="superscript"/>
        <sz val="11"/>
        <color theme="1"/>
        <rFont val="Arial"/>
        <family val="2"/>
      </rPr>
      <t>3</t>
    </r>
  </si>
  <si>
    <t>Annual</t>
  </si>
  <si>
    <t>Monitoring of Sulphur dioxide emissions</t>
  </si>
  <si>
    <t>Monitoring of Oxides of Nitrogen emissions</t>
  </si>
  <si>
    <t>Monitoring of Total organic carbon emissions</t>
  </si>
  <si>
    <t>Monitoring of Particulate matter emissions</t>
  </si>
  <si>
    <t xml:space="preserve">Monitoring of Ammnonia emissions </t>
  </si>
  <si>
    <t>Facility Information</t>
  </si>
  <si>
    <t>Operational Data</t>
  </si>
  <si>
    <t>Performance Form 1</t>
  </si>
  <si>
    <t>Energy Form 1</t>
  </si>
  <si>
    <t>Permit Compliance</t>
  </si>
  <si>
    <t>Improvements</t>
  </si>
  <si>
    <t>Public Liasion</t>
  </si>
  <si>
    <t>Emissions to Air (continuously monitored)</t>
  </si>
  <si>
    <t>Hydrogen Chloride emissions</t>
  </si>
  <si>
    <t>Sulphur Dioxdie emsissions</t>
  </si>
  <si>
    <t>Oxides of Notrigen emissions</t>
  </si>
  <si>
    <t>Total Organic Carbon emissions</t>
  </si>
  <si>
    <t>Carbon Monoxide emissions</t>
  </si>
  <si>
    <t>Ammonia emissions</t>
  </si>
  <si>
    <t>Particulate Matter emissions</t>
  </si>
  <si>
    <t>Household / Local Authority</t>
  </si>
  <si>
    <t>kgs</t>
  </si>
  <si>
    <t>Summary of notification or non-compliance [including Line/Reference]</t>
  </si>
  <si>
    <t>Summary of complaint [including Line/Reference]</t>
  </si>
  <si>
    <t>Line/Unit</t>
  </si>
  <si>
    <t>6-8hrs</t>
  </si>
  <si>
    <t>&lt;3%</t>
  </si>
  <si>
    <t>No. of Assessments Undertaken</t>
  </si>
  <si>
    <t>Notes:</t>
  </si>
  <si>
    <t>Template may require adjustment for any bespoke monitoring requirements of permit</t>
  </si>
  <si>
    <t>Section references and Page nos. to be inserted</t>
  </si>
  <si>
    <t>Sections and Subjects may require adjustment by individual operators to meet specific reporting requirements as defined in the sites Permit(s)</t>
  </si>
  <si>
    <t>This template may require adjustments by individual operators to meet specific reporting requirements as defined in the site Permit(s)</t>
  </si>
  <si>
    <t>Whole Installation</t>
  </si>
  <si>
    <t>Per Combustion Line</t>
  </si>
  <si>
    <t>Monitoring of Hydrogen Chloride emissions</t>
  </si>
  <si>
    <t>Monitoring of Carbon Monoxide (half hourly)</t>
  </si>
  <si>
    <t>Emissions to Water / Sewer</t>
  </si>
  <si>
    <t>Results by Line</t>
  </si>
  <si>
    <t>User to add logic to complete Whole installation, Table A5:G18. From the data in Per Combustion Line, Table J6:O79, subject to No. of lines installed</t>
  </si>
  <si>
    <t>Whole Installation table A5:G18:</t>
  </si>
  <si>
    <t>See  Notes in Cell Q3</t>
  </si>
  <si>
    <t>User to add logic to complete Whole installation, Table A5:H18. From the data in Per Combustion Line, Table K6:Q79, subject to No. of lines installed</t>
  </si>
  <si>
    <t>Whole Installation table A5:H18:</t>
  </si>
  <si>
    <t>See  Notes in Cell S3</t>
  </si>
  <si>
    <t xml:space="preserve">Include summary of key operational and/or mainteanance activity undertaken in the year, such as any major component upgrades and/or replacements </t>
  </si>
  <si>
    <t xml:space="preserve">Include in here a summary of residue handling regimes and destinations </t>
  </si>
  <si>
    <t xml:space="preserve">Template may require adjustment for any bespoke monitoring requirements of permit. </t>
  </si>
  <si>
    <t>User to add additional tables as necessary, depending on whether quarterly or bi-annual reporting is required for the compliance year</t>
  </si>
  <si>
    <r>
      <t>150 mg/m</t>
    </r>
    <r>
      <rPr>
        <vertAlign val="superscript"/>
        <sz val="10"/>
        <color theme="1"/>
        <rFont val="Arial"/>
        <family val="2"/>
      </rPr>
      <t>3</t>
    </r>
    <r>
      <rPr>
        <sz val="10"/>
        <color theme="1"/>
        <rFont val="Arial"/>
        <family val="2"/>
      </rPr>
      <t xml:space="preserve"> *</t>
    </r>
  </si>
  <si>
    <t>* = delete or amend as appropriate</t>
  </si>
  <si>
    <t>Highest 1/2 hourly maximum</t>
  </si>
  <si>
    <t>Highest daily maximum</t>
  </si>
  <si>
    <t>95%ile 10-min avg CO ELV</t>
  </si>
  <si>
    <t>10-minute Reference Periods</t>
  </si>
  <si>
    <t xml:space="preserve">Include summary of plant design, design capacity, no. of combustion lines, electrical and heat capacity and any other general information that descibes the facility, its location and purpose </t>
  </si>
  <si>
    <t>Include summary of key processes and procedures such as (but not limited to); waste reception, control rooms, grate, bed and bolier, energy &amp; heat  generation, cooling systems, residue management, emission controls, health and safety systems, maintenance</t>
  </si>
  <si>
    <t>95%ile 10-min avg *</t>
  </si>
  <si>
    <r>
      <rPr>
        <b/>
        <sz val="11"/>
        <color theme="1"/>
        <rFont val="Arial"/>
        <family val="2"/>
      </rPr>
      <t>Mean</t>
    </r>
    <r>
      <rPr>
        <sz val="11"/>
        <color theme="1"/>
        <rFont val="Arial"/>
        <family val="2"/>
      </rPr>
      <t>: for 1/2 hourly and daily periods calculate mean of values across all operational combustion lines for the month</t>
    </r>
  </si>
  <si>
    <t>Monthly CO 10-min avg mean</t>
  </si>
  <si>
    <t>Monitoring of Carbon Monoxide (10-minute avg)</t>
  </si>
  <si>
    <t>95%ile 10-min avg maximum</t>
  </si>
  <si>
    <t>10-min avg maximum</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</si>
  <si>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</si>
  <si>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</si>
  <si>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</si>
  <si>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An indicated ELV value of zero in the table above means that no ammonia limit is set in the permit.  </t>
  </si>
  <si>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</si>
  <si>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No. of Hazardous Results</t>
  </si>
  <si>
    <t>Ammonia</t>
  </si>
  <si>
    <t>Urea</t>
  </si>
  <si>
    <t>Loss on Ignition (average %)</t>
  </si>
  <si>
    <t>Results of emissions to air that are continuously monitored (maximum and average values for each line)</t>
  </si>
  <si>
    <t>Report to 2 decimal places, i.e. xx.xx%</t>
  </si>
  <si>
    <t>Unprocessed waste transferred out</t>
  </si>
  <si>
    <t>Total waste combusted</t>
  </si>
  <si>
    <t xml:space="preserve">Summary </t>
  </si>
  <si>
    <t>Net Calorific Value of waste</t>
  </si>
  <si>
    <t>MJ/kg</t>
  </si>
  <si>
    <t>Refuse Derived Fuel *  - C&amp;I</t>
  </si>
  <si>
    <t>Refuse Derived Fuel * - H'hold/LA</t>
  </si>
  <si>
    <t>Thermal Energy Produced **</t>
  </si>
  <si>
    <t>Thermal Energy Exported **</t>
  </si>
  <si>
    <t xml:space="preserve">* - RDF to include SRF </t>
  </si>
  <si>
    <t>** - CHP plants only</t>
  </si>
  <si>
    <t>2020 updates include;  heat in MWh, water in Litres, NCV in MJ/kg</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</si>
  <si>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</si>
  <si>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Availability of waste combustion by line, hrs</t>
  </si>
  <si>
    <t>Overall Availability, mean avg. of all lines, hrs</t>
  </si>
  <si>
    <t>Hours of turbine operations, hrs</t>
  </si>
  <si>
    <t xml:space="preserve">Hrs in year </t>
  </si>
  <si>
    <t>-</t>
  </si>
  <si>
    <t>Total Organic Carbon (average %)</t>
  </si>
  <si>
    <t xml:space="preserve">Report to 2 decimal places, i.e. xx.xx%
Please provide a brief summary of each notification or non-compliance in the table (rather than just referring to notifications that were sent to the Regulator).  
</t>
  </si>
  <si>
    <t>Total waste received</t>
  </si>
  <si>
    <r>
      <t xml:space="preserve">Carbon dioxide emissions </t>
    </r>
    <r>
      <rPr>
        <sz val="12"/>
        <color theme="1"/>
        <rFont val="Arial"/>
        <family val="2"/>
      </rPr>
      <t>(all types of plant)</t>
    </r>
  </si>
  <si>
    <t>Annual mass of carbon dioxide released</t>
  </si>
  <si>
    <t>Annual mass of carbon dioxide released per tonne of waste burned</t>
  </si>
  <si>
    <t>Description of how annual carbon dioxide mass emission has been calculated</t>
  </si>
  <si>
    <r>
      <rPr>
        <b/>
        <sz val="12"/>
        <color theme="1"/>
        <rFont val="Arial"/>
        <family val="2"/>
      </rPr>
      <t>Nitrous oxide emissions</t>
    </r>
    <r>
      <rPr>
        <sz val="12"/>
        <color theme="1"/>
        <rFont val="Arial"/>
        <family val="2"/>
      </rPr>
      <t xml:space="preserve"> (only plants which use ammonia or urea to abate NOx emissions)</t>
    </r>
  </si>
  <si>
    <t>Description of how annual nitrous oxide mass emission has been calculated</t>
  </si>
  <si>
    <r>
      <t xml:space="preserve">Biogenic fraction of the waste and biogenic CO2 emissions </t>
    </r>
    <r>
      <rPr>
        <sz val="12"/>
        <color theme="1"/>
        <rFont val="Arial"/>
        <family val="2"/>
      </rPr>
      <t>(only plants burning residual municipal waste, refuse derived fuel or solid recovered fuel)</t>
    </r>
  </si>
  <si>
    <t>Percentage of total carbon dioxide emissions arising from biogenic waste</t>
  </si>
  <si>
    <t>Description of how percentage biogenic carbon dioxide emissions have been calculated</t>
  </si>
  <si>
    <t>Comments:</t>
  </si>
  <si>
    <t>Carbon dioxide emissions and biogenic content of waste inputs</t>
  </si>
  <si>
    <t>R1 value (if applicable)</t>
  </si>
  <si>
    <t>Annual mass of carbon dioxide released per MWh of energy exported</t>
  </si>
  <si>
    <t>Annual mass emissions of nitrous oxide</t>
  </si>
  <si>
    <r>
      <t xml:space="preserve">Total annual carbon dioxide and nitrous oxide emissions as carbon dioxide equivalent </t>
    </r>
    <r>
      <rPr>
        <sz val="10"/>
        <color theme="1"/>
        <rFont val="Arial"/>
        <family val="2"/>
      </rPr>
      <t>(whereby 1 t nitrous oxide is equivalent to 298 t carbon dioxide)</t>
    </r>
  </si>
  <si>
    <t>Yearly average biogenic percentage of the waste by net calorific value (NCV)</t>
  </si>
  <si>
    <t>Description of how biogenic NCV percentage has been calculated or estimated</t>
  </si>
  <si>
    <t xml:space="preserve">Residue Quality </t>
  </si>
  <si>
    <t>Carbon dioxide and nitrous oxide emissions</t>
  </si>
  <si>
    <t>Version 22.3  30/11/22</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</si>
  <si>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</si>
  <si>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</si>
  <si>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</si>
  <si>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</si>
  <si>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Annual Performance Report 2022</t>
  </si>
  <si>
    <t>Permit EPR/SP3239FU</t>
  </si>
  <si>
    <t>enfinium Ferrybridge 1 Ltd</t>
  </si>
  <si>
    <t>Ferrybridge 1</t>
  </si>
  <si>
    <t>enfinium</t>
  </si>
  <si>
    <t>Kirkhaw Lane, Knottingley, West Yorkshire, WF11 8DX</t>
  </si>
  <si>
    <t>edward.elcock@enfinium.co.uk</t>
  </si>
  <si>
    <t>Ed Elcock</t>
  </si>
  <si>
    <t>Environmental Officer</t>
  </si>
  <si>
    <t>Ferrybridge 1 is designed for the disposal of waste with energy recovery in an incineration plant and is permitted under Section 5.1 A(1)(b) the incineration of non-hazardous waste in an incineration plant with a capacity exceeding 3 tonnes per hour. The installation is located on land adjacent to the Ferrybridge Power Station site, close to the A1(M). It lies 1km northwest of the village of Ferrybridge, 2km northwest of Knottingley, 1.9km southeast of Ferry Fryston, and 3km northeast of Pontefract, at grid reference SE 4726 2500. The facility has a throughput limit of 725,000 tonnes per year of waste which can include refuse derived fuel, waste wood and commercial and industrial waste. The facility consists of two combustion lines and generates approximately 80 MWe of electricity, of which approximately 73 MWe is exported. Moving grate technology is used for burning the waste material. The furnace design ensures that a temperature of at least 850 degrees celcius for a period of at least two seconds is achieved in the combustion chamber. Auxillary burners firing a low sulphur gas oil are automatically triggered by online process monitoring equipment are used to ensure the temperature does not fall below 850 degrees celcius. Hot gases from the furnace pass in a boiler. Steam raised in the boiler is passed to a turbine to generate electricity for export to the National Grid.</t>
  </si>
  <si>
    <t>Key processes include waste reception, waste storage, water use, drainage, flue gas and air supply systems, boilers, treatment of exhaust gases, treatment and storage of residues and water recycling, stacks, devices and systems for controlling incineration operations, recording and monitoring conditions. The site has an Environmental Management System accredited to ISO 14001. 
Health and Safety management system covering all aspects of health and safety comprising policy, procedures, risk assessments, Key Performance Indicators (KPIs) and objectives reviewed periodically. Accreditation to ISO 45001:2018 was obtained in April 2020.
Maintenance across the facilities is broken down in to reactive (breakdown) maintenance, and planned preventive maintenance. Preventive maintenance is conducted via the philosophy of Risk Based Inspections to ensure the safety of personnel and availability of the plant is cost effectively maintained.</t>
  </si>
  <si>
    <t>APCr filter bags</t>
  </si>
  <si>
    <t>Bulk waste oil</t>
  </si>
  <si>
    <t>Ash contaminated water</t>
  </si>
  <si>
    <t>Discarded electrical and electronic equipment</t>
  </si>
  <si>
    <t>Oil contaminated solid waste</t>
  </si>
  <si>
    <t>Dry Mixed Recyclables</t>
  </si>
  <si>
    <t>General Waste</t>
  </si>
  <si>
    <t>Wood</t>
  </si>
  <si>
    <t>Rubble</t>
  </si>
  <si>
    <t>Sewage</t>
  </si>
  <si>
    <t>Waste water</t>
  </si>
  <si>
    <t>Spent Aerosols</t>
  </si>
  <si>
    <t>Waste Lime</t>
  </si>
  <si>
    <t>Carbon Filters</t>
  </si>
  <si>
    <t>Waste Activated Carbon</t>
  </si>
  <si>
    <t>Anti-freeze</t>
  </si>
  <si>
    <t>Mixed C&amp;D</t>
  </si>
  <si>
    <t>Plasterboard</t>
  </si>
  <si>
    <t>NCV</t>
  </si>
  <si>
    <t>Avail.</t>
  </si>
  <si>
    <t>Days in month</t>
  </si>
  <si>
    <t>Hours Available</t>
  </si>
  <si>
    <t>Turbine Operation</t>
  </si>
  <si>
    <t>Op. Hours</t>
  </si>
  <si>
    <t>Ltr</t>
  </si>
  <si>
    <t>31/01/2022 Line 1 shutdown for anual maintenance (389hrs)
11/02/2022 Turbine and Line 2 shutdown for common/annual maintenance (116hrs and 396hrs)
17/03/2022 Turbine shutdown for Ferry C demolition works and subsequently hogging of shaft (71hrs)
22/04/2022 L1 Boiler off for tube leak in pass 2 (63hrs)
29/06/2022 L1 Boiler shutdown for expansion join replacement (49hrs)
07/08/2022 L1 Boiler shutdown for tube leak repair (93hrs) 
11/08/2022 L1 Boiler shutdown to repair detached ram feeder tables (128hrs)
30/08/2022 L2 Boiler shutdown to replace damaged expansion joint (49hrs)
15/09/2022 L1 Boiler shutdown to repair 2 tube leaks in pass 2 (85hrs)
04/10/2022 L1 Boiler shutdown to repair 3 tube leaks pass 2/4 including 3 tube wall panels (170hrs)
11/11/2022 L1 Boiler shutdown to repair tube leaks in pass 2 including 6 tube wall panels (137hrs) 
17/12/2022 L2 Boiler shutdown to repair tube leaks in pass 4 (137hrs)
25/12/2022 L2 Boiler shutdown to repair tube leaks in pass 4 (88hrs)
Maintenance
Annual boiler outages boilers 1 &amp; 2 included refractory replacement, grate element inspection and replacement as necessary and pass 2 side wall panel replacements.                                                                                         Annual outages included replacing all filter compartment fabri filters. 
Turbine common outage undertaken with minor inspection completed.</t>
  </si>
  <si>
    <t>Incinerator Bottom Ash (IBA) from FM1 is stored in the Ash Bunker and then outloaded by the ash crane grab to receiving lorries. Since October 2019, the IBA has been collected and taken to Blue Phoenix Ferrybridge (formerly Ballast Phoenix) site, which is adjacent to the north of the FM2 site. Movement of the IBA is carried out by dumper truck via a predominantly internal road network to the Blue Phoenix site where it is processed into Incinerator Bottom Ash Aggregate (IBAA).
APCr is collected in silos and then discharged to receiving tanker for off-site disposal. The APCr is transported to two companies; Castle Environmental and OCO Technology. Castle Environmental receives APCr at two sites located in Ilkeston (Derbyshire) and Stoke on Trent, whereas OCO Technology has one site located in Leeds. Castle Environmental currently recycles approximately 79% of the APCr whereas OCO Technology recycles 100%.</t>
  </si>
  <si>
    <t>Emission</t>
  </si>
  <si>
    <t>A1 - H1</t>
  </si>
  <si>
    <t>A1 - H2</t>
  </si>
  <si>
    <t>A2 - H1</t>
  </si>
  <si>
    <t>A2 - H2</t>
  </si>
  <si>
    <t>Line 1 Reporting</t>
  </si>
  <si>
    <t>Line 2 Reporting</t>
  </si>
  <si>
    <t>All periodic monitoring in 2022 was carried out in accordance with V007 of permit until 31/03/22. From 01/04/22 monitoring was carried out in accordance with V008 of the F1 environmental permit. No emissions values exceeded permitted emission limits. H1 periodic testing was undertaken from 17th - 29th March. H1 included the annual testing requirement for poly-cyclic aromatic hydrocarbons (PAHs), H2 Periodic testing was carried out from the 28th - 30th November. The change to the monitoring protocol to include triplicate testing for heavy metals, Cadmium and thallium &amp; Mercury were first implemented in the H2 monitoring campaign.</t>
  </si>
  <si>
    <t>No further comments</t>
  </si>
  <si>
    <t>07467618052</t>
  </si>
  <si>
    <t>WEEE</t>
  </si>
  <si>
    <t>D9 / R5</t>
  </si>
  <si>
    <t>D9</t>
  </si>
  <si>
    <t>Disposal Route</t>
  </si>
  <si>
    <t>R13</t>
  </si>
  <si>
    <t>R5</t>
  </si>
  <si>
    <t>R4</t>
  </si>
  <si>
    <t>R3</t>
  </si>
  <si>
    <t>D8</t>
  </si>
  <si>
    <t>Oversized Unburnt</t>
  </si>
  <si>
    <t>D15</t>
  </si>
  <si>
    <t>Electrical Components</t>
  </si>
  <si>
    <t>R9 / D15</t>
  </si>
  <si>
    <t>Sum</t>
  </si>
  <si>
    <t>R13 / D15</t>
  </si>
  <si>
    <t>100.00% 95% of 10-min averages</t>
  </si>
  <si>
    <t xml:space="preserve">APCr is sent to two companies for processing; Castle Environmental and OCO Technology. Castle Environmental receives APCr at two sites located in Ilkeston (Derbyshire) and Stoke on Trent, and OCO Technology operates one site located in Leeds. Castle Environmental currently recycles approximately 79% of the APCr whereas OCO Technology recycles 100%.
In 2022 100% of IBA was recycled at the Blue Pheonix facility into IBAA.
The main hazardous waste streams beside APCR are wast gear and lubricating oils, Propylene glycol (Anti-freeze) &amp; Waste proccess water. The majority of the waste oils and glycol are managed by the offtaker CSG, whilst QUEST management manage waste process water and sewage pumping.
</t>
  </si>
  <si>
    <t>n/a</t>
  </si>
  <si>
    <t>All consumables have remained stable when compared with last year except ammonia usage has seen an 8 fold increase. A significant proportion of this increase can be attributed to NOx emission reduction trialls carried out in Q2 2022 to satisfy Improvement Condition 4 from V008 of the environmental permit issued in April 2022.</t>
  </si>
  <si>
    <t>As discussed in Q1 2022 Performace Returns, Q2 2022 Performance Returns and CAR forms, SP3239FU/0426843 &amp; SP3239FU/0433078. Line A1 and A2 operated for fewer hours compared with 2021, this was predominantly due to an increased number of boiler tube leaks as detailed in the operational summary of this report.</t>
  </si>
  <si>
    <t xml:space="preserve">If you wish to be involved in the public liasion programme, please contact
07467618052  </t>
  </si>
  <si>
    <t>Waste sampling analysis for biogenic content</t>
  </si>
  <si>
    <t>Continuous emissions measurement using EN14181 certified MIR-FT and stack flow SF200.</t>
  </si>
  <si>
    <t>Continuous emissions measurement using EN14181 certified MIR-FT and stack flow SF200 and waste sampling analysis for biogenic content.</t>
  </si>
  <si>
    <t>Frequent sampling and analysis of attenuation pond water, tested for pH and conductivity, odour and appearance prior to discharge to Fryston Beck. Annual borehole sampling and analysis at 4 boreholes on Ferrybridge 1 site.</t>
  </si>
  <si>
    <t>No parameters set in permit</t>
  </si>
  <si>
    <t>None</t>
  </si>
  <si>
    <t xml:space="preserve">All community liaison group meetings cancelled in 2021 due to impacts of covid-19. No meetings held in 2022. </t>
  </si>
  <si>
    <t>TBD</t>
  </si>
  <si>
    <t>Community Liaison Groups to be resetablished in 2023.</t>
  </si>
  <si>
    <t>Monthly IBA hazard assessments and annual full hazardous property assessments, quarterly IBA and APC residue compliance monitoring, annual characterisation of IBA and APC residue. All carried out and reported by WRc.</t>
  </si>
  <si>
    <t>October 2022 - IBA &amp; APCR full annual characterisation Report</t>
  </si>
  <si>
    <t>Results of the annual characterisation of IBA and APC residues from Ferrybridge 1, including a full hazardous property assessment of IBA as required by the ESA Protocol 2018.</t>
  </si>
  <si>
    <t>Progress on IC4 was started in April 22 and preliminary NOx reduction trialls were carried out to assess the reasonable possiblity of operating at NOX emissions lower than the BREF emission limit. 
IC1 from permit variation V008 issued in April 2022 was submitted tyo the EA on the 30th June and was accepted by the EA on the 13th September 2022. This submission contained a summary of Ferrybridge 1 EfWs complaince with the 2019 BAT conclusions.</t>
  </si>
  <si>
    <t>External complaint from resident of Ferrybridge complaining about flies in his property, alleges they are coming from the passing RDF delivery vehicles travelling to Ferrybridge 1 and 2.</t>
  </si>
  <si>
    <t>External complaint of RDF delivery vehicle (Monks Haulage) cutting through weight restricted road in Ferrybridge centre.</t>
  </si>
  <si>
    <t>External complaint from resident of Brotherton about dust deposited on cars and property. Visit to the complainants address concluded that deposition observed was not from site. Event closed.</t>
  </si>
  <si>
    <t>Unsustantiated</t>
  </si>
  <si>
    <t>As per plant design detailed in the permit application and more recently to the IC1 submission for complinace with BAT conclusions: The site operates an abatement plan efficiently to remove particles as well as other emissiosn from stack flow. The tiping hall operates under negative pressure to mitigate the fugitive particulate emissions from tipping and mixing operations.</t>
  </si>
  <si>
    <t>Email from Selby DC councillor for Brotherton and Byram cum Sutton parish councils complaining about litter and traffic issues on A162. Claims that litter is coming from RDF vehicles delivering to F1 are unsubstantiated.</t>
  </si>
  <si>
    <t>Email complaint from Brotherton Parish Council about litter in verges of A162. Claims that litter is coming from RDF vehicles delivering to F1 are unsubstantiated.</t>
  </si>
  <si>
    <t>External complaint from Byram-cum-Sutton Parish Council regarding litter from RDF delivery vehicles. Claims that litter is coming from RDF vehicles delivering to F1 are unsubstantiated.</t>
  </si>
  <si>
    <t xml:space="preserve">Tipping hall &amp; weighbridge operators are encouraged to monitor the condition of waste trailers coming to site, and report any damage that may risk fugitive litter emissions form vehicles. Vehicles are banned from site if in a poor condition. Facility to clean down vehicles after tipping is provided. </t>
  </si>
  <si>
    <t>Tipping hall &amp; weighbridge operators are encouraged to monitor the condition of waste trailers coming to site, and report any damage that may risk fugitive litter emissions form vehicles. Vehicles are banned from site if in a poor condition. Facility to clean down vehicles after tipping is provided. 
Hauliers are consistently reminded about the specified travel route on to site and bans are issued if they do not comply with the approved route.</t>
  </si>
  <si>
    <t>External complaint received from the EA by email. Complaint is from a local resident that has reported an odour and stated that the odour was originating from site.</t>
  </si>
  <si>
    <t>As per plant design detailed in the permit application and more recently to the IC1 submission for complinace with BAT conclusions: The tiping hall operates under negative pressure to mitigate the fugitive particulate emissions from tipping and mixing operations. The tipping hall is sealed by fast acting roller shutter doors. Additional air misting fans can be used to assist in abating any odour coming from the tippping hall.</t>
  </si>
  <si>
    <t>Hauliers are consistently reminded about the specified travel route on to site and bans are issued if they do not comply with the approved route.</t>
  </si>
  <si>
    <t>As per plant design detailed in the permit application and more recently to the IC1 submission for complinace with BAT conclusions: The tiping hall operates under negative pressure to mitigate the fugitive particulate emissions from tipping and mixing operations. The tipping hall is sealed by fast acting roller shutter doors. Additional air misting fans can be used to assist in abating any odour coming from the tippping hall. Daily odour monitoring is used to identify any potentially odorous activities and to make admjustments to plant operations accordingly.</t>
  </si>
  <si>
    <t>Visited complainant, discussed issue of flies. Fly type not consistent with RDF waste, source likely to be natural given property location next to woodland, overhanging trees and bushes with large numbers of flies visible.</t>
  </si>
  <si>
    <t>Limited Influence</t>
  </si>
  <si>
    <t>Telephone correspondance with the Environment Agency to notify of an apparent elevated TOC reading during startup of Line 1. This reading occured during the first 90 minutes from dropping waste and falls inside the agreed definition of startup. The EA agreed via phone that this is not a reportable non-compliance but requested a schedule 5 notification to be submitted for the record.</t>
  </si>
  <si>
    <t>At 15:08 – 15:52 on the 1st of August, CEMS data was unavailable on the DCS. On investigation, the standby analyser had failed a background calibration. Data from the duty analyser was also unavailable due to QAL3 calibration being performed at the same time. This has resulted in 2 half hourly periods of data at 15:00 to 15:29 &amp; 15:30 to 15:59 being unrecoverable. The Environment Agency Waste Incineration Quick Guide allows for the fact that data won’t always be available for all 30 minutes of every half-hour period due to maintenance or calibration of the continuous emissions monitors (CEMs).</t>
  </si>
  <si>
    <t xml:space="preserve">QAL 3 procedure have been reviewed and amended to ensure the operational analyser is switched to MANUAL only mode preventing a re-occurrence of this situation. Zero reference checks and QAL3s are conducted at different times between in-situ and standby analysers. On this occasion this did not occur creating the data to be invalid for affected period. </t>
  </si>
  <si>
    <t>On the 23rd December 2022, Ferrybridge 1 informed the EA of the proposal to a change of startup &amp; shutdown logic to more accurately align with condition 2.3.9 of the environmental permit.</t>
  </si>
  <si>
    <t>Notificaiton of 2 half hour N/a periods</t>
  </si>
  <si>
    <t>Notification of inadvertant recording of CEMS data during start up with an elevated emission value observed. Submitted upon request of the EA officer.</t>
  </si>
  <si>
    <t>Review of Combined Heat and Power (CHP) options. It is a permit requirement that the practicability of CHP options are reviewed at least every 4 years. Ferrybridge 1 is designed to be able to export the steam generated on site to provide heating to offtakers such as residential heating schemes or for industrial/commercial purposes. We are working with the GreenSCIES consortium who were engaged by Wakefield Council on a feasibility study investigating recovering heat from Ferrybridge 1 &amp; 2 to provide low carbon heat to potential large new housing developments in the Ferrybridge and Knottingley area. The redevelopment of the Ferrybridge C Power Station site and coalyard will also provide a good opportunity for potential heat offtakers to utilise the steam produced at Ferrybridge 1 and that an industrial offtaker would be most likely given the surrounding industrial land use. In addition, the existing commitments to the Capacity Market binds Ferrybridge 1 to the scheme until autumn 2026 and this would need to be factored into any proposal for heat supply. In summary, Ferrybridge 1 has the potential to offload heat however the lack of viable schemes at present prevents this from being fully utilised.</t>
  </si>
  <si>
    <t xml:space="preserve">Permit variation to accept black bag waste was submitted in 2022 and is currrently in the first stages of the process. </t>
  </si>
  <si>
    <t>Draft 1</t>
  </si>
  <si>
    <t>Draft Final</t>
  </si>
  <si>
    <t>Submission</t>
  </si>
  <si>
    <t>Steve Tosney</t>
  </si>
  <si>
    <t>Plant Manager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</si>
</sst>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
    <numFmt numFmtId="170" formatCode="0.000"/>
  </numFmts>
  <fonts count="48" x14ac:knownFonts="1">
    <font>
      <sz val="11"/>
      <color theme="1"/>
      <name val="Calibri"/>
      <family val="2"/>
      <scheme val="minor"/>
    </font>
    <font>
      <sz val="10"/>
      <color theme="1"/>
      <name val="Arial"/>
      <family val="2"/>
    </font>
    <font>
      <sz val="12"/>
      <color theme="1"/>
      <name val="Arial"/>
      <family val="2"/>
    </font>
    <font>
      <sz val="10"/>
      <color theme="1"/>
      <name val="Arial"/>
      <family val="2"/>
    </font>
    <font>
      <sz val="10"/>
      <color theme="1"/>
      <name val="Arial"/>
      <family val="2"/>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b/>
      <sz val="12"/>
      <color rgb="FF00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u/>
      <sz val="11"/>
      <color theme="10"/>
      <name val="Calibri"/>
      <family val="2"/>
      <scheme val="minor"/>
    </font>
    <font>
      <sz val="9"/>
      <color indexed="81"/>
      <name val="Tahoma"/>
      <family val="2"/>
    </font>
    <font>
      <b/>
      <sz val="9"/>
      <color indexed="81"/>
      <name val="Tahoma"/>
      <family val="2"/>
    </font>
    <font>
      <sz val="10"/>
      <name val="Arial"/>
      <family val="2"/>
    </font>
    <font>
      <sz val="10"/>
      <color rgb="FF000000"/>
      <name val="Arial"/>
      <family val="2"/>
    </font>
    <font>
      <sz val="8"/>
      <color theme="1"/>
      <name val="Arial"/>
      <family val="2"/>
    </font>
    <font>
      <u/>
      <sz val="10"/>
      <color theme="1"/>
      <name val="Arial"/>
      <family val="2"/>
    </font>
    <font>
      <i/>
      <sz val="11"/>
      <name val="Arial"/>
      <family val="2"/>
    </font>
    <font>
      <sz val="11"/>
      <name val="Calibri"/>
      <family val="2"/>
      <scheme val="minor"/>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rgb="FFFFFF00"/>
        <bgColor indexed="64"/>
      </patternFill>
    </fill>
  </fills>
  <borders count="19">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style="thin">
        <color rgb="FF000000"/>
      </left>
      <right style="thin">
        <color rgb="FF000000"/>
      </right>
      <top style="thin">
        <color rgb="FF000000"/>
      </top>
      <bottom style="thin">
        <color rgb="FF000000"/>
      </bottom>
      <diagonal/>
    </border>
  </borders>
  <cellStyleXfs count="5">
    <xf numFmtId="0" fontId="0" fillId="0" borderId="0"/>
    <xf numFmtId="43" fontId="7" fillId="0" borderId="0" applyFont="0" applyFill="0" applyBorder="0" applyAlignment="0" applyProtection="0"/>
    <xf numFmtId="9" fontId="7" fillId="0" borderId="0" applyFont="0" applyFill="0" applyBorder="0" applyAlignment="0" applyProtection="0"/>
    <xf numFmtId="0" fontId="39" fillId="0" borderId="0" applyNumberFormat="0" applyFill="0" applyBorder="0" applyAlignment="0" applyProtection="0"/>
    <xf numFmtId="0" fontId="42" fillId="0" borderId="0"/>
  </cellStyleXfs>
  <cellXfs count="462">
    <xf numFmtId="0" fontId="0" fillId="0" borderId="0" xfId="0"/>
    <xf numFmtId="0" fontId="8" fillId="0" borderId="0" xfId="0" applyFont="1"/>
    <xf numFmtId="0" fontId="9" fillId="0" borderId="0" xfId="0" applyFont="1"/>
    <xf numFmtId="0" fontId="10" fillId="0" borderId="0" xfId="0" applyFont="1"/>
    <xf numFmtId="0" fontId="10" fillId="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12" fillId="0" borderId="0" xfId="0" applyFont="1"/>
    <xf numFmtId="0" fontId="13" fillId="0" borderId="0" xfId="0" applyFont="1"/>
    <xf numFmtId="0" fontId="9" fillId="2" borderId="0" xfId="0" applyFont="1" applyFill="1"/>
    <xf numFmtId="0" fontId="9" fillId="0" borderId="0" xfId="0" applyFont="1" applyAlignment="1">
      <alignment horizontal="left"/>
    </xf>
    <xf numFmtId="0" fontId="11" fillId="0" borderId="0" xfId="0" applyFont="1"/>
    <xf numFmtId="0" fontId="14" fillId="0" borderId="2" xfId="0" applyFont="1" applyBorder="1" applyAlignment="1">
      <alignment horizontal="center"/>
    </xf>
    <xf numFmtId="0" fontId="14" fillId="0" borderId="2" xfId="0" applyFont="1" applyBorder="1"/>
    <xf numFmtId="0" fontId="15" fillId="2" borderId="2" xfId="0" applyFont="1" applyFill="1" applyBorder="1" applyAlignment="1">
      <alignment horizontal="center"/>
    </xf>
    <xf numFmtId="0" fontId="15" fillId="0" borderId="0" xfId="0" applyFont="1"/>
    <xf numFmtId="0" fontId="14" fillId="0" borderId="2" xfId="0" applyFont="1" applyBorder="1" applyAlignment="1">
      <alignment horizontal="center" vertical="top"/>
    </xf>
    <xf numFmtId="0" fontId="14" fillId="0" borderId="2" xfId="0" applyFont="1" applyBorder="1" applyAlignment="1">
      <alignment vertical="top"/>
    </xf>
    <xf numFmtId="0" fontId="15" fillId="2" borderId="2" xfId="0" applyFont="1" applyFill="1" applyBorder="1" applyAlignment="1">
      <alignment horizontal="center" vertical="top"/>
    </xf>
    <xf numFmtId="0" fontId="14" fillId="0" borderId="0" xfId="0" applyFont="1"/>
    <xf numFmtId="0" fontId="15" fillId="0" borderId="0" xfId="0" applyFont="1" applyAlignment="1">
      <alignment horizontal="center"/>
    </xf>
    <xf numFmtId="0" fontId="16" fillId="0" borderId="0" xfId="0" applyFont="1"/>
    <xf numFmtId="0" fontId="10" fillId="0" borderId="6" xfId="0" applyFont="1" applyBorder="1"/>
    <xf numFmtId="164" fontId="10" fillId="2" borderId="7" xfId="1" applyNumberFormat="1" applyFont="1" applyFill="1" applyBorder="1"/>
    <xf numFmtId="0" fontId="10" fillId="3" borderId="7" xfId="0" applyFont="1" applyFill="1" applyBorder="1" applyAlignment="1">
      <alignment vertical="center"/>
    </xf>
    <xf numFmtId="0" fontId="10" fillId="0" borderId="11" xfId="0" applyFont="1" applyBorder="1"/>
    <xf numFmtId="0" fontId="10" fillId="2" borderId="12" xfId="0" applyFont="1" applyFill="1" applyBorder="1" applyAlignment="1">
      <alignment horizontal="center" vertical="center"/>
    </xf>
    <xf numFmtId="0" fontId="10" fillId="0" borderId="12" xfId="0" applyFont="1" applyBorder="1"/>
    <xf numFmtId="0" fontId="10" fillId="2" borderId="12" xfId="0" applyFont="1" applyFill="1" applyBorder="1" applyAlignment="1">
      <alignment horizontal="center"/>
    </xf>
    <xf numFmtId="0" fontId="11" fillId="0" borderId="12" xfId="0" applyFont="1" applyBorder="1"/>
    <xf numFmtId="0" fontId="10" fillId="0" borderId="13" xfId="0" applyFont="1" applyBorder="1" applyAlignment="1">
      <alignment horizontal="center"/>
    </xf>
    <xf numFmtId="0" fontId="15" fillId="0" borderId="3" xfId="0" applyFont="1" applyBorder="1"/>
    <xf numFmtId="0" fontId="15" fillId="0" borderId="4" xfId="0" applyFont="1" applyBorder="1" applyAlignment="1">
      <alignment horizontal="center"/>
    </xf>
    <xf numFmtId="0" fontId="14" fillId="0" borderId="4" xfId="0" applyFont="1" applyBorder="1" applyAlignment="1">
      <alignment horizontal="center"/>
    </xf>
    <xf numFmtId="0" fontId="15" fillId="0" borderId="5" xfId="0" applyFont="1" applyBorder="1" applyAlignment="1">
      <alignment horizontal="center"/>
    </xf>
    <xf numFmtId="164" fontId="15" fillId="2" borderId="7" xfId="1" applyNumberFormat="1" applyFont="1" applyFill="1" applyBorder="1" applyAlignment="1">
      <alignment horizontal="center"/>
    </xf>
    <xf numFmtId="164" fontId="14" fillId="0" borderId="7" xfId="1" applyNumberFormat="1" applyFont="1" applyBorder="1" applyAlignment="1">
      <alignment horizontal="center"/>
    </xf>
    <xf numFmtId="165" fontId="15" fillId="0" borderId="10" xfId="2" applyNumberFormat="1" applyFont="1" applyBorder="1" applyAlignment="1">
      <alignment horizontal="center"/>
    </xf>
    <xf numFmtId="164" fontId="15" fillId="2" borderId="0" xfId="1" applyNumberFormat="1" applyFont="1" applyFill="1" applyAlignment="1">
      <alignment horizontal="center"/>
    </xf>
    <xf numFmtId="164" fontId="14" fillId="0" borderId="0" xfId="1" applyNumberFormat="1" applyFont="1" applyAlignment="1">
      <alignment horizontal="center"/>
    </xf>
    <xf numFmtId="164" fontId="15" fillId="2" borderId="12" xfId="1" applyNumberFormat="1" applyFont="1" applyFill="1" applyBorder="1" applyAlignment="1">
      <alignment horizontal="center"/>
    </xf>
    <xf numFmtId="164" fontId="14" fillId="0" borderId="12" xfId="1" applyNumberFormat="1" applyFont="1" applyBorder="1" applyAlignment="1">
      <alignment horizontal="center"/>
    </xf>
    <xf numFmtId="0" fontId="14" fillId="0" borderId="0" xfId="0" applyFont="1" applyAlignment="1">
      <alignment horizontal="center"/>
    </xf>
    <xf numFmtId="0" fontId="15" fillId="0" borderId="7" xfId="0" applyFont="1" applyBorder="1" applyAlignment="1">
      <alignment horizontal="center"/>
    </xf>
    <xf numFmtId="0" fontId="14" fillId="0" borderId="7" xfId="0" applyFont="1" applyBorder="1" applyAlignment="1">
      <alignment horizontal="center"/>
    </xf>
    <xf numFmtId="0" fontId="15" fillId="0" borderId="8" xfId="0" applyFont="1" applyBorder="1" applyAlignment="1">
      <alignment horizontal="center"/>
    </xf>
    <xf numFmtId="0" fontId="15" fillId="0" borderId="6" xfId="0" applyFont="1" applyBorder="1"/>
    <xf numFmtId="164" fontId="15" fillId="0" borderId="8" xfId="0" applyNumberFormat="1" applyFont="1" applyBorder="1" applyAlignment="1">
      <alignment horizontal="center"/>
    </xf>
    <xf numFmtId="0" fontId="15" fillId="0" borderId="9" xfId="0" applyFont="1" applyBorder="1"/>
    <xf numFmtId="164" fontId="15" fillId="0" borderId="10" xfId="0" applyNumberFormat="1" applyFont="1" applyBorder="1" applyAlignment="1">
      <alignment horizontal="center"/>
    </xf>
    <xf numFmtId="0" fontId="15" fillId="0" borderId="0" xfId="0" applyFont="1" applyAlignment="1">
      <alignment horizontal="center" vertical="center"/>
    </xf>
    <xf numFmtId="165" fontId="15" fillId="0" borderId="0" xfId="2" applyNumberFormat="1" applyFont="1" applyAlignment="1">
      <alignment horizontal="center" vertical="center"/>
    </xf>
    <xf numFmtId="0" fontId="15" fillId="0" borderId="12" xfId="0" applyFont="1" applyBorder="1"/>
    <xf numFmtId="0" fontId="15" fillId="0" borderId="6" xfId="0" applyFont="1" applyBorder="1" applyAlignment="1">
      <alignment horizontal="center" vertical="center"/>
    </xf>
    <xf numFmtId="0" fontId="15" fillId="0" borderId="8" xfId="0" quotePrefix="1" applyFont="1" applyBorder="1" applyAlignment="1">
      <alignment horizontal="center"/>
    </xf>
    <xf numFmtId="165" fontId="15" fillId="0" borderId="8" xfId="2" applyNumberFormat="1" applyFont="1" applyBorder="1" applyAlignment="1">
      <alignment horizontal="center"/>
    </xf>
    <xf numFmtId="165" fontId="15" fillId="0" borderId="13" xfId="2" applyNumberFormat="1" applyFont="1" applyBorder="1" applyAlignment="1">
      <alignment horizontal="center"/>
    </xf>
    <xf numFmtId="0" fontId="15" fillId="0" borderId="3" xfId="0" applyFont="1" applyBorder="1" applyAlignment="1">
      <alignment horizontal="center" vertical="center"/>
    </xf>
    <xf numFmtId="43" fontId="15" fillId="0" borderId="10" xfId="0" applyNumberFormat="1" applyFont="1" applyBorder="1" applyAlignment="1">
      <alignment horizontal="center" vertical="center"/>
    </xf>
    <xf numFmtId="0" fontId="15" fillId="2" borderId="12" xfId="0" applyFont="1" applyFill="1" applyBorder="1" applyAlignment="1">
      <alignment horizontal="center" vertical="center"/>
    </xf>
    <xf numFmtId="0" fontId="15" fillId="0" borderId="6" xfId="0" applyFont="1" applyBorder="1" applyAlignment="1">
      <alignment horizontal="center"/>
    </xf>
    <xf numFmtId="10" fontId="15" fillId="0" borderId="10" xfId="2" applyNumberFormat="1" applyFont="1" applyBorder="1" applyAlignment="1">
      <alignment horizontal="center"/>
    </xf>
    <xf numFmtId="0" fontId="15" fillId="0" borderId="12" xfId="0" applyFont="1" applyBorder="1" applyAlignment="1">
      <alignment horizontal="center"/>
    </xf>
    <xf numFmtId="164" fontId="15" fillId="0" borderId="13" xfId="0" applyNumberFormat="1" applyFont="1" applyBorder="1" applyAlignment="1">
      <alignment horizontal="center"/>
    </xf>
    <xf numFmtId="0" fontId="8" fillId="0" borderId="0" xfId="0" applyFont="1" applyAlignment="1">
      <alignment horizontal="right"/>
    </xf>
    <xf numFmtId="0" fontId="8" fillId="0" borderId="0" xfId="0" applyFont="1" applyAlignment="1">
      <alignment vertical="center"/>
    </xf>
    <xf numFmtId="0" fontId="10" fillId="0" borderId="0" xfId="0" applyFont="1" applyAlignment="1">
      <alignment horizontal="center"/>
    </xf>
    <xf numFmtId="0" fontId="18" fillId="4" borderId="2" xfId="0" applyFont="1" applyFill="1" applyBorder="1" applyAlignment="1">
      <alignment horizontal="center" vertical="center" wrapText="1"/>
    </xf>
    <xf numFmtId="0" fontId="15" fillId="0" borderId="2" xfId="0" applyFont="1" applyBorder="1" applyAlignment="1">
      <alignment horizontal="left" vertical="center" wrapText="1"/>
    </xf>
    <xf numFmtId="0" fontId="15" fillId="2" borderId="2" xfId="0" applyFont="1" applyFill="1" applyBorder="1" applyAlignment="1">
      <alignment horizontal="center" vertical="center" wrapText="1"/>
    </xf>
    <xf numFmtId="0" fontId="15" fillId="2" borderId="2" xfId="0" applyFont="1" applyFill="1" applyBorder="1" applyAlignment="1">
      <alignment vertical="center" wrapText="1"/>
    </xf>
    <xf numFmtId="0" fontId="15" fillId="0" borderId="2" xfId="0" applyFont="1" applyBorder="1" applyAlignment="1">
      <alignment vertical="center" wrapText="1"/>
    </xf>
    <xf numFmtId="0" fontId="15" fillId="0" borderId="0" xfId="0" applyFont="1" applyAlignment="1">
      <alignment vertical="center"/>
    </xf>
    <xf numFmtId="0" fontId="18" fillId="4" borderId="6" xfId="0" applyFont="1" applyFill="1" applyBorder="1" applyAlignment="1">
      <alignment vertical="center" wrapText="1"/>
    </xf>
    <xf numFmtId="0" fontId="18" fillId="4" borderId="8" xfId="0" applyFont="1" applyFill="1" applyBorder="1" applyAlignment="1">
      <alignment vertical="center" wrapText="1"/>
    </xf>
    <xf numFmtId="0" fontId="18" fillId="4" borderId="1" xfId="0" applyFont="1" applyFill="1" applyBorder="1" applyAlignment="1">
      <alignment horizontal="center" vertical="center" wrapText="1"/>
    </xf>
    <xf numFmtId="0" fontId="18" fillId="4" borderId="1" xfId="0" applyFont="1" applyFill="1" applyBorder="1" applyAlignment="1">
      <alignment vertical="center" wrapText="1"/>
    </xf>
    <xf numFmtId="4" fontId="15" fillId="0" borderId="2" xfId="0" applyNumberFormat="1" applyFont="1" applyBorder="1" applyAlignment="1">
      <alignment horizontal="center" vertical="center" wrapText="1"/>
    </xf>
    <xf numFmtId="4" fontId="15" fillId="2" borderId="2" xfId="0" applyNumberFormat="1" applyFont="1" applyFill="1" applyBorder="1" applyAlignment="1">
      <alignment horizontal="center" vertical="center" wrapText="1"/>
    </xf>
    <xf numFmtId="0" fontId="10" fillId="0" borderId="0" xfId="0" applyFont="1" applyAlignment="1">
      <alignment horizontal="left" vertical="top" wrapText="1"/>
    </xf>
    <xf numFmtId="0" fontId="18" fillId="4" borderId="2" xfId="0" applyFont="1" applyFill="1" applyBorder="1" applyAlignment="1">
      <alignment vertical="center" wrapText="1"/>
    </xf>
    <xf numFmtId="0" fontId="19" fillId="0" borderId="12" xfId="0" applyFont="1" applyBorder="1"/>
    <xf numFmtId="0" fontId="10" fillId="0" borderId="0" xfId="0" applyFont="1" applyAlignment="1">
      <alignment vertical="center"/>
    </xf>
    <xf numFmtId="0" fontId="14" fillId="0" borderId="2" xfId="0" applyFont="1" applyBorder="1" applyAlignment="1">
      <alignment horizontal="center" vertical="center" wrapText="1"/>
    </xf>
    <xf numFmtId="0" fontId="9" fillId="0" borderId="0" xfId="0" applyFont="1" applyAlignment="1">
      <alignment horizontal="left" vertical="center" wrapText="1"/>
    </xf>
    <xf numFmtId="0" fontId="11" fillId="0" borderId="3" xfId="0" applyFont="1" applyBorder="1" applyAlignment="1">
      <alignment vertical="center"/>
    </xf>
    <xf numFmtId="0" fontId="11" fillId="0" borderId="4" xfId="0" applyFont="1" applyBorder="1" applyAlignment="1">
      <alignment vertical="center"/>
    </xf>
    <xf numFmtId="0" fontId="11" fillId="0" borderId="5" xfId="0" applyFont="1" applyBorder="1" applyAlignment="1">
      <alignment vertical="center"/>
    </xf>
    <xf numFmtId="0" fontId="11" fillId="0" borderId="6" xfId="0" applyFont="1" applyBorder="1"/>
    <xf numFmtId="0" fontId="9" fillId="0" borderId="7" xfId="0" applyFont="1" applyBorder="1"/>
    <xf numFmtId="0" fontId="9" fillId="0" borderId="8" xfId="0" applyFont="1" applyBorder="1"/>
    <xf numFmtId="0" fontId="9" fillId="0" borderId="11" xfId="0" applyFont="1" applyBorder="1"/>
    <xf numFmtId="0" fontId="9" fillId="0" borderId="12" xfId="0" applyFont="1" applyBorder="1"/>
    <xf numFmtId="0" fontId="9" fillId="0" borderId="13" xfId="0" applyFont="1" applyBorder="1"/>
    <xf numFmtId="0" fontId="11" fillId="0" borderId="3" xfId="0" applyFont="1" applyBorder="1"/>
    <xf numFmtId="0" fontId="9" fillId="0" borderId="4" xfId="0" applyFont="1" applyBorder="1"/>
    <xf numFmtId="0" fontId="9" fillId="0" borderId="5" xfId="0" applyFont="1" applyBorder="1"/>
    <xf numFmtId="0" fontId="8" fillId="0" borderId="3" xfId="0" applyFont="1" applyBorder="1"/>
    <xf numFmtId="0" fontId="15" fillId="0" borderId="2" xfId="0" applyFont="1" applyBorder="1" applyAlignment="1">
      <alignment horizontal="center"/>
    </xf>
    <xf numFmtId="0" fontId="14" fillId="0" borderId="2" xfId="0" applyFont="1" applyBorder="1" applyAlignment="1">
      <alignment horizontal="center" vertical="center"/>
    </xf>
    <xf numFmtId="0" fontId="15" fillId="0" borderId="2" xfId="0" applyFont="1" applyBorder="1" applyAlignment="1">
      <alignment horizontal="center" vertical="center" wrapText="1"/>
    </xf>
    <xf numFmtId="0" fontId="15" fillId="5"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20" fillId="0" borderId="0" xfId="0" applyFont="1"/>
    <xf numFmtId="9" fontId="15" fillId="0" borderId="2" xfId="0" applyNumberFormat="1" applyFont="1" applyBorder="1" applyAlignment="1">
      <alignment horizontal="center" vertical="center" wrapText="1"/>
    </xf>
    <xf numFmtId="0" fontId="21" fillId="0" borderId="2" xfId="0" applyFont="1" applyBorder="1" applyAlignment="1">
      <alignment horizontal="center" vertical="center" wrapText="1"/>
    </xf>
    <xf numFmtId="0" fontId="10" fillId="0" borderId="0" xfId="0" applyFont="1" applyAlignment="1">
      <alignment horizontal="center" vertical="center"/>
    </xf>
    <xf numFmtId="0" fontId="10" fillId="0" borderId="0" xfId="0" applyFont="1" applyAlignment="1">
      <alignment horizontal="center" vertical="center" wrapText="1"/>
    </xf>
    <xf numFmtId="0" fontId="11" fillId="0" borderId="0" xfId="0" applyFont="1" applyAlignment="1">
      <alignment vertical="top"/>
    </xf>
    <xf numFmtId="0" fontId="11" fillId="0" borderId="2" xfId="0" applyFont="1" applyBorder="1" applyAlignment="1">
      <alignment horizontal="center" vertical="center"/>
    </xf>
    <xf numFmtId="0" fontId="10" fillId="0" borderId="2" xfId="0" applyFont="1" applyBorder="1"/>
    <xf numFmtId="0" fontId="23" fillId="0" borderId="2" xfId="0" applyFont="1" applyBorder="1" applyAlignment="1">
      <alignment horizontal="center"/>
    </xf>
    <xf numFmtId="0" fontId="11" fillId="0" borderId="2" xfId="0" applyFont="1" applyBorder="1" applyAlignment="1">
      <alignment horizontal="left" vertical="center"/>
    </xf>
    <xf numFmtId="0" fontId="10" fillId="0" borderId="2" xfId="0" applyFont="1" applyBorder="1" applyAlignment="1">
      <alignment horizontal="left"/>
    </xf>
    <xf numFmtId="0" fontId="11" fillId="0" borderId="1" xfId="0" applyFont="1" applyBorder="1" applyAlignment="1">
      <alignment horizontal="center" vertical="center" wrapText="1"/>
    </xf>
    <xf numFmtId="0" fontId="11" fillId="0" borderId="0" xfId="0" applyFont="1" applyAlignment="1">
      <alignment vertical="center"/>
    </xf>
    <xf numFmtId="0" fontId="23" fillId="5" borderId="2" xfId="0" applyFont="1" applyFill="1" applyBorder="1" applyAlignment="1">
      <alignment horizontal="center"/>
    </xf>
    <xf numFmtId="0" fontId="10" fillId="0" borderId="8" xfId="0" applyFont="1" applyBorder="1" applyAlignment="1">
      <alignment horizontal="left"/>
    </xf>
    <xf numFmtId="0" fontId="25" fillId="0" borderId="0" xfId="0" applyFont="1"/>
    <xf numFmtId="164" fontId="15" fillId="2" borderId="0" xfId="1" applyNumberFormat="1" applyFont="1" applyFill="1" applyBorder="1" applyAlignment="1">
      <alignment horizontal="center"/>
    </xf>
    <xf numFmtId="0" fontId="10" fillId="0" borderId="9" xfId="0" applyFont="1" applyBorder="1"/>
    <xf numFmtId="0" fontId="27" fillId="0" borderId="0" xfId="0" applyFont="1"/>
    <xf numFmtId="0" fontId="28" fillId="0" borderId="0" xfId="0" applyFont="1"/>
    <xf numFmtId="0" fontId="29" fillId="0" borderId="0" xfId="0" applyFont="1"/>
    <xf numFmtId="0" fontId="11" fillId="0" borderId="0" xfId="0" applyFont="1" applyAlignment="1">
      <alignment horizontal="center"/>
    </xf>
    <xf numFmtId="0" fontId="31" fillId="0" borderId="0" xfId="0" applyFont="1"/>
    <xf numFmtId="0" fontId="32" fillId="0" borderId="0" xfId="0" applyFont="1"/>
    <xf numFmtId="0" fontId="33" fillId="0" borderId="0" xfId="0" applyFont="1"/>
    <xf numFmtId="0" fontId="28" fillId="0" borderId="0" xfId="0" applyFont="1" applyAlignment="1">
      <alignment horizontal="right"/>
    </xf>
    <xf numFmtId="0" fontId="34" fillId="0" borderId="0" xfId="0" applyFont="1"/>
    <xf numFmtId="0" fontId="9" fillId="0" borderId="0" xfId="0" applyFont="1" applyAlignment="1">
      <alignment vertical="top" wrapText="1"/>
    </xf>
    <xf numFmtId="0" fontId="35" fillId="0" borderId="0" xfId="0" applyFont="1"/>
    <xf numFmtId="0" fontId="15" fillId="0" borderId="1" xfId="0" applyFont="1" applyBorder="1" applyAlignment="1">
      <alignment horizontal="left" vertical="center" wrapText="1"/>
    </xf>
    <xf numFmtId="0" fontId="15" fillId="0" borderId="1" xfId="0" applyFont="1" applyBorder="1" applyAlignment="1">
      <alignment horizontal="center" vertical="center" wrapText="1"/>
    </xf>
    <xf numFmtId="0" fontId="15" fillId="5" borderId="1" xfId="0" applyFont="1" applyFill="1" applyBorder="1" applyAlignment="1">
      <alignment horizontal="center" vertical="center" wrapText="1"/>
    </xf>
    <xf numFmtId="0" fontId="11" fillId="0" borderId="11" xfId="0" applyFont="1" applyBorder="1" applyAlignment="1">
      <alignment horizontal="left" vertical="top" wrapText="1"/>
    </xf>
    <xf numFmtId="0" fontId="11" fillId="0" borderId="12" xfId="0" applyFont="1" applyBorder="1" applyAlignment="1">
      <alignment horizontal="left" vertical="top" wrapText="1"/>
    </xf>
    <xf numFmtId="0" fontId="11" fillId="0" borderId="13" xfId="0" applyFont="1" applyBorder="1" applyAlignment="1">
      <alignment horizontal="left" vertical="top" wrapText="1"/>
    </xf>
    <xf numFmtId="17" fontId="9" fillId="0" borderId="0" xfId="0" applyNumberFormat="1" applyFont="1"/>
    <xf numFmtId="43" fontId="15" fillId="5" borderId="10" xfId="0" applyNumberFormat="1" applyFont="1" applyFill="1" applyBorder="1" applyAlignment="1">
      <alignment horizontal="center" vertical="center"/>
    </xf>
    <xf numFmtId="43" fontId="15" fillId="5" borderId="13" xfId="0" applyNumberFormat="1" applyFont="1" applyFill="1" applyBorder="1" applyAlignment="1">
      <alignment horizontal="center" vertical="center"/>
    </xf>
    <xf numFmtId="0" fontId="5" fillId="0" borderId="0" xfId="0" applyFont="1" applyAlignment="1">
      <alignment horizontal="center"/>
    </xf>
    <xf numFmtId="0" fontId="16" fillId="0" borderId="0" xfId="0" applyFont="1" applyAlignment="1">
      <alignment horizontal="center"/>
    </xf>
    <xf numFmtId="0" fontId="16" fillId="5" borderId="0" xfId="0" applyFont="1" applyFill="1" applyAlignment="1">
      <alignment horizontal="center"/>
    </xf>
    <xf numFmtId="165" fontId="4" fillId="0" borderId="10" xfId="2" quotePrefix="1" applyNumberFormat="1" applyFont="1" applyBorder="1" applyAlignment="1">
      <alignment horizontal="center"/>
    </xf>
    <xf numFmtId="0" fontId="15" fillId="0" borderId="12" xfId="0" applyFont="1" applyBorder="1" applyAlignment="1">
      <alignment horizontal="center" vertical="center" textRotation="90"/>
    </xf>
    <xf numFmtId="164" fontId="14" fillId="0" borderId="0" xfId="1" applyNumberFormat="1" applyFont="1" applyBorder="1" applyAlignment="1">
      <alignment horizontal="center"/>
    </xf>
    <xf numFmtId="164" fontId="14" fillId="2" borderId="12" xfId="1" applyNumberFormat="1" applyFont="1" applyFill="1" applyBorder="1" applyAlignment="1">
      <alignment horizontal="center"/>
    </xf>
    <xf numFmtId="165" fontId="15" fillId="0" borderId="10" xfId="2" applyNumberFormat="1" applyFont="1" applyFill="1" applyBorder="1" applyAlignment="1">
      <alignment horizont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166" fontId="15" fillId="2" borderId="12" xfId="0" applyNumberFormat="1" applyFont="1" applyFill="1" applyBorder="1"/>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166" fontId="15" fillId="0" borderId="12" xfId="0" applyNumberFormat="1" applyFont="1" applyBorder="1"/>
    <xf numFmtId="0" fontId="16" fillId="0" borderId="0" xfId="0" applyFont="1" applyAlignment="1">
      <alignment vertical="top" wrapText="1"/>
    </xf>
    <xf numFmtId="0" fontId="15" fillId="0" borderId="7" xfId="0" applyFont="1" applyBorder="1" applyAlignment="1">
      <alignment vertical="center" textRotation="90"/>
    </xf>
    <xf numFmtId="0" fontId="15" fillId="0" borderId="0" xfId="0" applyFont="1" applyAlignment="1">
      <alignment vertical="center" textRotation="90"/>
    </xf>
    <xf numFmtId="0" fontId="1" fillId="0" borderId="0" xfId="0" applyFont="1" applyAlignment="1">
      <alignment horizontal="center"/>
    </xf>
    <xf numFmtId="0" fontId="1" fillId="0" borderId="0" xfId="0" applyFont="1" applyAlignment="1">
      <alignment horizontal="center" vertical="center"/>
    </xf>
    <xf numFmtId="166" fontId="15" fillId="2" borderId="0" xfId="1" applyNumberFormat="1" applyFont="1" applyFill="1" applyAlignment="1">
      <alignment horizontal="center"/>
    </xf>
    <xf numFmtId="43" fontId="15" fillId="2" borderId="7" xfId="1" applyFont="1" applyFill="1" applyBorder="1" applyAlignment="1">
      <alignment horizontal="center"/>
    </xf>
    <xf numFmtId="43" fontId="15" fillId="2" borderId="0" xfId="1" applyFont="1" applyFill="1" applyBorder="1" applyAlignment="1">
      <alignment horizontal="center"/>
    </xf>
    <xf numFmtId="164" fontId="1" fillId="2" borderId="0" xfId="1" applyNumberFormat="1" applyFont="1" applyFill="1" applyAlignment="1">
      <alignment horizontal="center"/>
    </xf>
    <xf numFmtId="2" fontId="0" fillId="0" borderId="0" xfId="0" applyNumberFormat="1"/>
    <xf numFmtId="43" fontId="15" fillId="2" borderId="0" xfId="1" applyFont="1" applyFill="1" applyAlignment="1">
      <alignment horizontal="center"/>
    </xf>
    <xf numFmtId="9" fontId="0" fillId="0" borderId="0" xfId="2" applyFont="1"/>
    <xf numFmtId="1" fontId="0" fillId="0" borderId="0" xfId="2" applyNumberFormat="1" applyFont="1"/>
    <xf numFmtId="9" fontId="15" fillId="0" borderId="8" xfId="2" applyFont="1" applyBorder="1" applyAlignment="1">
      <alignment horizontal="center"/>
    </xf>
    <xf numFmtId="9" fontId="15" fillId="0" borderId="10" xfId="2" applyFont="1" applyBorder="1" applyAlignment="1">
      <alignment horizontal="center"/>
    </xf>
    <xf numFmtId="9" fontId="14" fillId="0" borderId="0" xfId="2" applyFont="1" applyAlignment="1">
      <alignment horizontal="center"/>
    </xf>
    <xf numFmtId="165" fontId="0" fillId="0" borderId="0" xfId="2" applyNumberFormat="1" applyFont="1"/>
    <xf numFmtId="169" fontId="0" fillId="0" borderId="0" xfId="0" applyNumberFormat="1"/>
    <xf numFmtId="43" fontId="9" fillId="0" borderId="0" xfId="0" applyNumberFormat="1" applyFont="1"/>
    <xf numFmtId="164" fontId="9" fillId="0" borderId="0" xfId="0" applyNumberFormat="1" applyFont="1"/>
    <xf numFmtId="2" fontId="15" fillId="5" borderId="2" xfId="0" applyNumberFormat="1" applyFont="1" applyFill="1" applyBorder="1" applyAlignment="1">
      <alignment horizontal="center" vertical="center" wrapText="1"/>
    </xf>
    <xf numFmtId="2" fontId="15" fillId="5" borderId="1" xfId="0" applyNumberFormat="1" applyFont="1" applyFill="1" applyBorder="1" applyAlignment="1">
      <alignment horizontal="center" vertical="center" wrapText="1"/>
    </xf>
    <xf numFmtId="2" fontId="43" fillId="0" borderId="18" xfId="0" applyNumberFormat="1" applyFont="1" applyBorder="1" applyAlignment="1">
      <alignment horizontal="right"/>
    </xf>
    <xf numFmtId="2" fontId="10" fillId="0" borderId="2" xfId="0" applyNumberFormat="1" applyFont="1" applyBorder="1"/>
    <xf numFmtId="2" fontId="10" fillId="5" borderId="2" xfId="0" applyNumberFormat="1" applyFont="1" applyFill="1" applyBorder="1" applyAlignment="1">
      <alignment horizontal="center"/>
    </xf>
    <xf numFmtId="0" fontId="1" fillId="0" borderId="9" xfId="0" applyFont="1" applyBorder="1"/>
    <xf numFmtId="0" fontId="1" fillId="2" borderId="2" xfId="0" applyFont="1" applyFill="1" applyBorder="1" applyAlignment="1">
      <alignment vertical="center" wrapText="1"/>
    </xf>
    <xf numFmtId="170" fontId="2" fillId="0" borderId="2" xfId="0" applyNumberFormat="1" applyFont="1" applyBorder="1" applyAlignment="1">
      <alignment horizontal="center" vertical="top"/>
    </xf>
    <xf numFmtId="0" fontId="1" fillId="5" borderId="2" xfId="0" applyFont="1" applyFill="1" applyBorder="1" applyAlignment="1">
      <alignment horizontal="center" vertical="center" wrapText="1"/>
    </xf>
    <xf numFmtId="10" fontId="2" fillId="0" borderId="2" xfId="0" applyNumberFormat="1" applyFont="1" applyBorder="1" applyAlignment="1">
      <alignment horizontal="center" vertical="top"/>
    </xf>
    <xf numFmtId="0" fontId="1" fillId="5" borderId="3" xfId="0" applyFont="1" applyFill="1" applyBorder="1" applyAlignment="1">
      <alignment vertical="center" wrapText="1"/>
    </xf>
    <xf numFmtId="0" fontId="1" fillId="5" borderId="4" xfId="0" applyFont="1" applyFill="1" applyBorder="1" applyAlignment="1">
      <alignment vertical="center" wrapText="1"/>
    </xf>
    <xf numFmtId="14" fontId="19" fillId="0" borderId="12" xfId="0" applyNumberFormat="1" applyFont="1" applyBorder="1"/>
    <xf numFmtId="0" fontId="11" fillId="0" borderId="0" xfId="0" applyFont="1" applyAlignment="1">
      <alignment wrapText="1"/>
    </xf>
    <xf numFmtId="0" fontId="15" fillId="0" borderId="6" xfId="0" applyFont="1" applyBorder="1" applyAlignment="1">
      <alignment vertical="center" wrapText="1"/>
    </xf>
    <xf numFmtId="0" fontId="15" fillId="0" borderId="9" xfId="0" applyFont="1" applyBorder="1" applyAlignment="1">
      <alignment vertical="center" wrapText="1"/>
    </xf>
    <xf numFmtId="0" fontId="5" fillId="0" borderId="9" xfId="0" applyFont="1" applyBorder="1" applyAlignment="1">
      <alignment vertical="center" wrapText="1"/>
    </xf>
    <xf numFmtId="0" fontId="14" fillId="0" borderId="9" xfId="0" applyFont="1" applyBorder="1" applyAlignment="1">
      <alignment vertical="center" wrapText="1"/>
    </xf>
    <xf numFmtId="0" fontId="14" fillId="0" borderId="11" xfId="0" applyFont="1" applyBorder="1" applyAlignment="1">
      <alignment vertical="center" wrapText="1"/>
    </xf>
    <xf numFmtId="0" fontId="10" fillId="0" borderId="0" xfId="0" applyFont="1" applyAlignment="1">
      <alignment wrapText="1"/>
    </xf>
    <xf numFmtId="0" fontId="15" fillId="0" borderId="6" xfId="0" applyFont="1" applyBorder="1" applyAlignment="1">
      <alignment wrapText="1"/>
    </xf>
    <xf numFmtId="0" fontId="15" fillId="0" borderId="9" xfId="0" applyFont="1" applyBorder="1" applyAlignment="1">
      <alignment wrapText="1"/>
    </xf>
    <xf numFmtId="0" fontId="5" fillId="0" borderId="9" xfId="0" applyFont="1" applyBorder="1" applyAlignment="1">
      <alignment wrapText="1"/>
    </xf>
    <xf numFmtId="0" fontId="1" fillId="0" borderId="11" xfId="0" applyFont="1" applyBorder="1" applyAlignment="1">
      <alignment wrapText="1"/>
    </xf>
    <xf numFmtId="0" fontId="15" fillId="0" borderId="0" xfId="0" applyFont="1" applyAlignment="1">
      <alignment wrapText="1"/>
    </xf>
    <xf numFmtId="0" fontId="15" fillId="0" borderId="11" xfId="0" applyFont="1" applyBorder="1" applyAlignment="1">
      <alignment wrapText="1"/>
    </xf>
    <xf numFmtId="0" fontId="4" fillId="0" borderId="9" xfId="0" applyFont="1" applyBorder="1" applyAlignment="1">
      <alignment wrapText="1"/>
    </xf>
    <xf numFmtId="0" fontId="15" fillId="0" borderId="5" xfId="0" applyFont="1" applyBorder="1" applyAlignment="1">
      <alignment horizontal="center" wrapText="1"/>
    </xf>
    <xf numFmtId="164" fontId="44" fillId="2" borderId="7" xfId="1" applyNumberFormat="1" applyFont="1" applyFill="1" applyBorder="1" applyAlignment="1">
      <alignment horizontal="center"/>
    </xf>
    <xf numFmtId="164" fontId="44" fillId="2" borderId="0" xfId="1" applyNumberFormat="1" applyFont="1" applyFill="1" applyAlignment="1">
      <alignment horizontal="center"/>
    </xf>
    <xf numFmtId="14" fontId="45" fillId="0" borderId="12" xfId="0" applyNumberFormat="1" applyFont="1" applyBorder="1"/>
    <xf numFmtId="14" fontId="15" fillId="2" borderId="2" xfId="0" applyNumberFormat="1" applyFont="1" applyFill="1" applyBorder="1" applyAlignment="1">
      <alignment horizontal="left" vertical="top"/>
    </xf>
    <xf numFmtId="14" fontId="0" fillId="0" borderId="0" xfId="0" applyNumberFormat="1" applyAlignment="1">
      <alignment horizontal="left" vertical="top"/>
    </xf>
    <xf numFmtId="0" fontId="1" fillId="2" borderId="2" xfId="0" applyFont="1" applyFill="1" applyBorder="1" applyAlignment="1">
      <alignment horizontal="center"/>
    </xf>
    <xf numFmtId="14" fontId="15" fillId="2" borderId="2" xfId="0" applyNumberFormat="1" applyFont="1" applyFill="1" applyBorder="1" applyAlignment="1">
      <alignment horizontal="center"/>
    </xf>
    <xf numFmtId="0" fontId="9" fillId="2" borderId="0" xfId="0" applyFont="1" applyFill="1" applyAlignment="1">
      <alignment horizontal="center"/>
    </xf>
    <xf numFmtId="14" fontId="9" fillId="2" borderId="0" xfId="0" applyNumberFormat="1" applyFont="1" applyFill="1" applyAlignment="1">
      <alignment horizontal="center"/>
    </xf>
    <xf numFmtId="0" fontId="12" fillId="2" borderId="0" xfId="0" applyFont="1" applyFill="1" applyAlignment="1">
      <alignment horizontal="center"/>
    </xf>
    <xf numFmtId="0" fontId="2" fillId="2" borderId="0" xfId="0" applyFont="1" applyFill="1" applyAlignment="1">
      <alignment horizontal="center"/>
    </xf>
    <xf numFmtId="49" fontId="2" fillId="2" borderId="0" xfId="0" applyNumberFormat="1" applyFont="1" applyFill="1" applyAlignment="1">
      <alignment horizontal="center"/>
    </xf>
    <xf numFmtId="49" fontId="9" fillId="2" borderId="0" xfId="0" applyNumberFormat="1" applyFont="1" applyFill="1" applyAlignment="1">
      <alignment horizontal="center"/>
    </xf>
    <xf numFmtId="0" fontId="39" fillId="2" borderId="0" xfId="3" applyFill="1" applyAlignment="1">
      <alignment horizontal="center"/>
    </xf>
    <xf numFmtId="0" fontId="27" fillId="0" borderId="0" xfId="0" applyFont="1" applyAlignment="1">
      <alignment horizontal="left" wrapText="1"/>
    </xf>
    <xf numFmtId="0" fontId="9" fillId="2" borderId="0" xfId="0" applyFont="1" applyFill="1" applyAlignment="1">
      <alignment horizontal="center" vertical="center"/>
    </xf>
    <xf numFmtId="0" fontId="15" fillId="0" borderId="6" xfId="0" applyFont="1" applyBorder="1" applyAlignment="1">
      <alignment horizontal="left" vertical="top" wrapText="1"/>
    </xf>
    <xf numFmtId="0" fontId="15" fillId="0" borderId="7" xfId="0" applyFont="1" applyBorder="1" applyAlignment="1">
      <alignment horizontal="left" vertical="top" wrapText="1"/>
    </xf>
    <xf numFmtId="0" fontId="15" fillId="0" borderId="8" xfId="0" applyFont="1" applyBorder="1" applyAlignment="1">
      <alignment horizontal="left" vertical="top" wrapText="1"/>
    </xf>
    <xf numFmtId="0" fontId="15" fillId="0" borderId="9" xfId="0" applyFont="1" applyBorder="1" applyAlignment="1">
      <alignment horizontal="left" vertical="top" wrapText="1"/>
    </xf>
    <xf numFmtId="0" fontId="15" fillId="0" borderId="0" xfId="0" applyFont="1" applyAlignment="1">
      <alignment horizontal="left" vertical="top" wrapText="1"/>
    </xf>
    <xf numFmtId="0" fontId="15" fillId="0" borderId="10" xfId="0" applyFont="1" applyBorder="1" applyAlignment="1">
      <alignment horizontal="left" vertical="top" wrapText="1"/>
    </xf>
    <xf numFmtId="0" fontId="15" fillId="0" borderId="11" xfId="0" applyFont="1" applyBorder="1" applyAlignment="1">
      <alignment horizontal="left" vertical="top" wrapText="1"/>
    </xf>
    <xf numFmtId="0" fontId="15" fillId="0" borderId="12" xfId="0" applyFont="1" applyBorder="1" applyAlignment="1">
      <alignment horizontal="left" vertical="top" wrapText="1"/>
    </xf>
    <xf numFmtId="0" fontId="15" fillId="0" borderId="13" xfId="0" applyFont="1" applyBorder="1" applyAlignment="1">
      <alignment horizontal="left" vertical="top" wrapText="1"/>
    </xf>
    <xf numFmtId="0" fontId="15" fillId="2" borderId="2" xfId="0" applyFont="1" applyFill="1" applyBorder="1" applyAlignment="1">
      <alignment horizontal="left" vertical="top"/>
    </xf>
    <xf numFmtId="0" fontId="10" fillId="3" borderId="3" xfId="0" applyFont="1" applyFill="1" applyBorder="1" applyAlignment="1">
      <alignment horizontal="left"/>
    </xf>
    <xf numFmtId="0" fontId="10" fillId="3" borderId="4" xfId="0" applyFont="1" applyFill="1" applyBorder="1" applyAlignment="1">
      <alignment horizontal="left"/>
    </xf>
    <xf numFmtId="0" fontId="10" fillId="3" borderId="5" xfId="0" applyFont="1" applyFill="1" applyBorder="1" applyAlignment="1">
      <alignment horizontal="left"/>
    </xf>
    <xf numFmtId="0" fontId="10" fillId="2" borderId="2" xfId="0" applyFont="1" applyFill="1" applyBorder="1" applyAlignment="1">
      <alignment horizontal="left"/>
    </xf>
    <xf numFmtId="0" fontId="14" fillId="0" borderId="2" xfId="0" applyFont="1" applyBorder="1" applyAlignment="1">
      <alignment horizontal="left"/>
    </xf>
    <xf numFmtId="0" fontId="15" fillId="2" borderId="2" xfId="0" applyFont="1" applyFill="1" applyBorder="1" applyAlignment="1">
      <alignment horizontal="left"/>
    </xf>
    <xf numFmtId="0" fontId="14" fillId="0" borderId="2" xfId="0" applyFont="1" applyBorder="1" applyAlignment="1">
      <alignment horizontal="left" vertical="top"/>
    </xf>
    <xf numFmtId="0" fontId="10" fillId="3" borderId="2" xfId="0" applyFont="1" applyFill="1" applyBorder="1" applyAlignment="1">
      <alignment horizontal="left"/>
    </xf>
    <xf numFmtId="0" fontId="10"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11" fillId="0" borderId="2" xfId="0" applyFont="1" applyBorder="1" applyAlignment="1">
      <alignment horizontal="left"/>
    </xf>
    <xf numFmtId="0" fontId="1" fillId="2" borderId="6" xfId="0" applyFont="1" applyFill="1" applyBorder="1" applyAlignment="1">
      <alignment horizontal="left" vertical="top" wrapText="1"/>
    </xf>
    <xf numFmtId="0" fontId="15" fillId="2" borderId="7" xfId="0" applyFont="1" applyFill="1" applyBorder="1" applyAlignment="1">
      <alignment horizontal="left" vertical="top" wrapText="1"/>
    </xf>
    <xf numFmtId="0" fontId="15" fillId="2" borderId="8" xfId="0" applyFont="1" applyFill="1" applyBorder="1" applyAlignment="1">
      <alignment horizontal="left" vertical="top" wrapText="1"/>
    </xf>
    <xf numFmtId="0" fontId="15" fillId="2" borderId="9" xfId="0" applyFont="1" applyFill="1" applyBorder="1" applyAlignment="1">
      <alignment horizontal="left" vertical="top" wrapText="1"/>
    </xf>
    <xf numFmtId="0" fontId="15" fillId="2" borderId="0" xfId="0" applyFont="1" applyFill="1" applyAlignment="1">
      <alignment horizontal="left" vertical="top" wrapText="1"/>
    </xf>
    <xf numFmtId="0" fontId="15" fillId="2" borderId="10" xfId="0" applyFont="1" applyFill="1" applyBorder="1" applyAlignment="1">
      <alignment horizontal="left" vertical="top" wrapText="1"/>
    </xf>
    <xf numFmtId="0" fontId="15" fillId="2" borderId="11" xfId="0" applyFont="1" applyFill="1" applyBorder="1" applyAlignment="1">
      <alignment horizontal="left" vertical="top" wrapText="1"/>
    </xf>
    <xf numFmtId="0" fontId="15" fillId="2" borderId="12" xfId="0" applyFont="1" applyFill="1" applyBorder="1" applyAlignment="1">
      <alignment horizontal="left" vertical="top" wrapText="1"/>
    </xf>
    <xf numFmtId="0" fontId="15" fillId="2" borderId="13" xfId="0" applyFont="1" applyFill="1" applyBorder="1" applyAlignment="1">
      <alignment horizontal="left" vertical="top" wrapText="1"/>
    </xf>
    <xf numFmtId="0" fontId="15" fillId="2" borderId="7" xfId="0" applyFont="1" applyFill="1" applyBorder="1" applyAlignment="1">
      <alignment horizontal="left" vertical="top"/>
    </xf>
    <xf numFmtId="0" fontId="15" fillId="2" borderId="8" xfId="0" applyFont="1" applyFill="1" applyBorder="1" applyAlignment="1">
      <alignment horizontal="left" vertical="top"/>
    </xf>
    <xf numFmtId="0" fontId="15" fillId="2" borderId="9" xfId="0" applyFont="1" applyFill="1" applyBorder="1" applyAlignment="1">
      <alignment horizontal="left" vertical="top"/>
    </xf>
    <xf numFmtId="0" fontId="15" fillId="2" borderId="0" xfId="0" applyFont="1" applyFill="1" applyAlignment="1">
      <alignment horizontal="left" vertical="top"/>
    </xf>
    <xf numFmtId="0" fontId="15" fillId="2" borderId="10" xfId="0" applyFont="1" applyFill="1" applyBorder="1" applyAlignment="1">
      <alignment horizontal="left" vertical="top"/>
    </xf>
    <xf numFmtId="0" fontId="15" fillId="2" borderId="11" xfId="0" applyFont="1" applyFill="1" applyBorder="1" applyAlignment="1">
      <alignment horizontal="left" vertical="top"/>
    </xf>
    <xf numFmtId="0" fontId="15" fillId="2" borderId="12" xfId="0" applyFont="1" applyFill="1" applyBorder="1" applyAlignment="1">
      <alignment horizontal="left" vertical="top"/>
    </xf>
    <xf numFmtId="0" fontId="15" fillId="2" borderId="13" xfId="0" applyFont="1" applyFill="1" applyBorder="1" applyAlignment="1">
      <alignment horizontal="left" vertical="top"/>
    </xf>
    <xf numFmtId="0" fontId="9" fillId="0" borderId="0" xfId="0" applyFont="1" applyAlignment="1">
      <alignment horizontal="left" vertical="top" wrapText="1"/>
    </xf>
    <xf numFmtId="0" fontId="4" fillId="0" borderId="6" xfId="0" applyFont="1" applyBorder="1" applyAlignment="1">
      <alignment horizontal="left" vertical="center" wrapText="1"/>
    </xf>
    <xf numFmtId="0" fontId="4" fillId="0" borderId="9" xfId="0" applyFont="1" applyBorder="1" applyAlignment="1">
      <alignment horizontal="left" vertical="center" wrapText="1"/>
    </xf>
    <xf numFmtId="0" fontId="16" fillId="0" borderId="0" xfId="0" applyFont="1" applyAlignment="1">
      <alignment horizontal="left" wrapText="1"/>
    </xf>
    <xf numFmtId="164" fontId="10" fillId="2" borderId="7" xfId="1" applyNumberFormat="1" applyFont="1" applyFill="1" applyBorder="1"/>
    <xf numFmtId="0" fontId="15" fillId="0" borderId="7" xfId="0" applyFont="1" applyBorder="1" applyAlignment="1">
      <alignment horizontal="center" vertical="center" textRotation="90"/>
    </xf>
    <xf numFmtId="0" fontId="15" fillId="0" borderId="0" xfId="0" applyFont="1" applyAlignment="1">
      <alignment horizontal="center" vertical="center" textRotation="90"/>
    </xf>
    <xf numFmtId="0" fontId="5" fillId="0" borderId="0" xfId="0" applyFont="1" applyAlignment="1">
      <alignment horizontal="center" textRotation="90"/>
    </xf>
    <xf numFmtId="0" fontId="15" fillId="0" borderId="0" xfId="0" applyFont="1" applyAlignment="1">
      <alignment horizontal="center" textRotation="90"/>
    </xf>
    <xf numFmtId="0" fontId="16" fillId="0" borderId="0" xfId="0" applyFont="1" applyAlignment="1">
      <alignment horizontal="center" vertical="top" wrapText="1"/>
    </xf>
    <xf numFmtId="0" fontId="1" fillId="2" borderId="3" xfId="0" applyFont="1" applyFill="1" applyBorder="1" applyAlignment="1">
      <alignment horizontal="center" vertical="center" wrapText="1"/>
    </xf>
    <xf numFmtId="0" fontId="15" fillId="2" borderId="5" xfId="0" applyFont="1" applyFill="1" applyBorder="1" applyAlignment="1">
      <alignment horizontal="center" vertical="center" wrapText="1"/>
    </xf>
    <xf numFmtId="0" fontId="15" fillId="2" borderId="2" xfId="0" applyFont="1" applyFill="1" applyBorder="1" applyAlignment="1">
      <alignment horizontal="center" vertical="center" wrapText="1"/>
    </xf>
    <xf numFmtId="168" fontId="15" fillId="2" borderId="3" xfId="0" applyNumberFormat="1" applyFont="1" applyFill="1" applyBorder="1" applyAlignment="1">
      <alignment horizontal="center" vertical="center" wrapText="1"/>
    </xf>
    <xf numFmtId="168" fontId="15" fillId="2" borderId="5" xfId="0" applyNumberFormat="1" applyFont="1" applyFill="1" applyBorder="1" applyAlignment="1">
      <alignment horizontal="center" vertical="center" wrapText="1"/>
    </xf>
    <xf numFmtId="4" fontId="15" fillId="2" borderId="1" xfId="0" applyNumberFormat="1" applyFont="1" applyFill="1" applyBorder="1" applyAlignment="1">
      <alignment horizontal="center" vertical="center" wrapText="1"/>
    </xf>
    <xf numFmtId="165" fontId="15" fillId="0" borderId="1" xfId="2" applyNumberFormat="1" applyFont="1" applyBorder="1" applyAlignment="1">
      <alignment horizontal="center" vertical="center" wrapText="1"/>
    </xf>
    <xf numFmtId="0" fontId="15" fillId="7" borderId="2" xfId="0" applyFont="1" applyFill="1" applyBorder="1" applyAlignment="1">
      <alignment horizontal="center" vertical="center" wrapText="1"/>
    </xf>
    <xf numFmtId="168" fontId="15" fillId="7" borderId="1" xfId="0" applyNumberFormat="1" applyFont="1" applyFill="1" applyBorder="1" applyAlignment="1">
      <alignment horizontal="center" vertical="center" wrapText="1"/>
    </xf>
    <xf numFmtId="4" fontId="15" fillId="7" borderId="1" xfId="0" applyNumberFormat="1" applyFont="1" applyFill="1" applyBorder="1" applyAlignment="1">
      <alignment horizontal="center" vertical="center" wrapText="1"/>
    </xf>
    <xf numFmtId="0" fontId="15" fillId="0" borderId="2" xfId="0" applyFont="1" applyBorder="1" applyAlignment="1">
      <alignment horizontal="left" vertical="center" wrapText="1"/>
    </xf>
    <xf numFmtId="0" fontId="11" fillId="0" borderId="2" xfId="0" applyFont="1" applyBorder="1" applyAlignment="1">
      <alignment horizontal="left" vertical="top" wrapText="1"/>
    </xf>
    <xf numFmtId="0" fontId="10" fillId="2" borderId="2" xfId="0" applyFont="1" applyFill="1" applyBorder="1" applyAlignment="1">
      <alignment horizontal="left" vertical="top" wrapText="1"/>
    </xf>
    <xf numFmtId="0" fontId="18" fillId="4" borderId="2" xfId="0" applyFont="1" applyFill="1" applyBorder="1" applyAlignment="1">
      <alignment horizontal="left" vertical="center" wrapText="1"/>
    </xf>
    <xf numFmtId="0" fontId="18" fillId="4" borderId="3" xfId="0" applyFont="1" applyFill="1" applyBorder="1" applyAlignment="1">
      <alignment horizontal="center" vertical="center" wrapText="1"/>
    </xf>
    <xf numFmtId="0" fontId="18" fillId="4" borderId="4" xfId="0" applyFont="1" applyFill="1" applyBorder="1" applyAlignment="1">
      <alignment horizontal="center" vertical="center" wrapText="1"/>
    </xf>
    <xf numFmtId="0" fontId="18" fillId="4" borderId="5" xfId="0" applyFont="1" applyFill="1" applyBorder="1" applyAlignment="1">
      <alignment horizontal="center" vertical="center" wrapText="1"/>
    </xf>
    <xf numFmtId="0" fontId="15" fillId="0" borderId="3" xfId="0" applyFont="1" applyBorder="1" applyAlignment="1">
      <alignment horizontal="left" vertical="center" wrapText="1"/>
    </xf>
    <xf numFmtId="0" fontId="15" fillId="0" borderId="4" xfId="0" applyFont="1" applyBorder="1" applyAlignment="1">
      <alignment horizontal="left" vertical="center" wrapText="1"/>
    </xf>
    <xf numFmtId="0" fontId="15" fillId="0" borderId="5" xfId="0" applyFont="1" applyBorder="1" applyAlignment="1">
      <alignment horizontal="left" vertical="center" wrapText="1"/>
    </xf>
    <xf numFmtId="0" fontId="15" fillId="0" borderId="3" xfId="0" applyFont="1" applyBorder="1" applyAlignment="1">
      <alignment horizontal="center" vertical="center" wrapText="1"/>
    </xf>
    <xf numFmtId="0" fontId="15" fillId="0" borderId="5" xfId="0" applyFont="1" applyBorder="1" applyAlignment="1">
      <alignment horizontal="center" vertical="center" wrapText="1"/>
    </xf>
    <xf numFmtId="4" fontId="15" fillId="0" borderId="3" xfId="0" applyNumberFormat="1" applyFont="1" applyBorder="1" applyAlignment="1">
      <alignment horizontal="center" vertical="center" wrapText="1"/>
    </xf>
    <xf numFmtId="4" fontId="15" fillId="0" borderId="5" xfId="0" applyNumberFormat="1" applyFont="1" applyBorder="1" applyAlignment="1">
      <alignment horizontal="center" vertical="center" wrapText="1"/>
    </xf>
    <xf numFmtId="0" fontId="15" fillId="2" borderId="3" xfId="0" applyFont="1" applyFill="1" applyBorder="1" applyAlignment="1">
      <alignment horizontal="left" vertical="center" wrapText="1"/>
    </xf>
    <xf numFmtId="0" fontId="15" fillId="2" borderId="4" xfId="0" applyFont="1" applyFill="1" applyBorder="1" applyAlignment="1">
      <alignment horizontal="left" vertical="center" wrapText="1"/>
    </xf>
    <xf numFmtId="0" fontId="15" fillId="2" borderId="5" xfId="0" applyFont="1" applyFill="1" applyBorder="1" applyAlignment="1">
      <alignment horizontal="left" vertical="center" wrapText="1"/>
    </xf>
    <xf numFmtId="0" fontId="15" fillId="2" borderId="3" xfId="0" applyFont="1" applyFill="1" applyBorder="1" applyAlignment="1">
      <alignment horizontal="center" vertical="center" wrapText="1"/>
    </xf>
    <xf numFmtId="4" fontId="15" fillId="2" borderId="3" xfId="0" applyNumberFormat="1" applyFont="1" applyFill="1" applyBorder="1" applyAlignment="1">
      <alignment horizontal="center" vertical="center" wrapText="1"/>
    </xf>
    <xf numFmtId="4" fontId="15" fillId="2" borderId="5" xfId="0" applyNumberFormat="1" applyFont="1" applyFill="1" applyBorder="1" applyAlignment="1">
      <alignment horizontal="center" vertical="center" wrapText="1"/>
    </xf>
    <xf numFmtId="0" fontId="18" fillId="4" borderId="9" xfId="0" applyFont="1" applyFill="1" applyBorder="1" applyAlignment="1">
      <alignment horizontal="center" vertical="center" wrapText="1"/>
    </xf>
    <xf numFmtId="0" fontId="18" fillId="4" borderId="0" xfId="0" applyFont="1" applyFill="1" applyAlignment="1">
      <alignment horizontal="center" vertical="center" wrapText="1"/>
    </xf>
    <xf numFmtId="0" fontId="18" fillId="4" borderId="10" xfId="0" applyFont="1" applyFill="1" applyBorder="1" applyAlignment="1">
      <alignment horizontal="center" vertical="center" wrapText="1"/>
    </xf>
    <xf numFmtId="0" fontId="18" fillId="4" borderId="6" xfId="0" applyFont="1" applyFill="1" applyBorder="1" applyAlignment="1">
      <alignment horizontal="center" vertical="center" wrapText="1"/>
    </xf>
    <xf numFmtId="0" fontId="18" fillId="4" borderId="8" xfId="0" applyFont="1" applyFill="1" applyBorder="1" applyAlignment="1">
      <alignment horizontal="center" vertical="center" wrapText="1"/>
    </xf>
    <xf numFmtId="0" fontId="14" fillId="0" borderId="2" xfId="0" applyFont="1" applyBorder="1" applyAlignment="1">
      <alignment vertical="center" wrapText="1"/>
    </xf>
    <xf numFmtId="168" fontId="14" fillId="0" borderId="2" xfId="0" applyNumberFormat="1" applyFont="1" applyBorder="1" applyAlignment="1">
      <alignment horizontal="center" vertical="center" wrapText="1"/>
    </xf>
    <xf numFmtId="165" fontId="15" fillId="0" borderId="2" xfId="2" applyNumberFormat="1" applyFont="1" applyBorder="1" applyAlignment="1">
      <alignment horizontal="center" vertical="center" wrapText="1"/>
    </xf>
    <xf numFmtId="168" fontId="15" fillId="2" borderId="1" xfId="0" applyNumberFormat="1" applyFont="1" applyFill="1" applyBorder="1" applyAlignment="1">
      <alignment horizontal="center" vertical="center" wrapText="1"/>
    </xf>
    <xf numFmtId="0" fontId="15" fillId="0" borderId="2" xfId="0" applyFont="1" applyBorder="1" applyAlignment="1">
      <alignment vertical="center" wrapText="1"/>
    </xf>
    <xf numFmtId="168" fontId="15" fillId="0" borderId="1" xfId="0" applyNumberFormat="1" applyFont="1" applyBorder="1" applyAlignment="1">
      <alignment horizontal="center" vertical="center" wrapText="1"/>
    </xf>
    <xf numFmtId="168" fontId="1" fillId="2" borderId="1" xfId="0" applyNumberFormat="1" applyFont="1" applyFill="1" applyBorder="1" applyAlignment="1">
      <alignment horizontal="center" vertical="center" wrapText="1"/>
    </xf>
    <xf numFmtId="0" fontId="1" fillId="2" borderId="2" xfId="0" applyFont="1" applyFill="1" applyBorder="1" applyAlignment="1">
      <alignment horizontal="center" vertical="center" wrapText="1"/>
    </xf>
    <xf numFmtId="165" fontId="15" fillId="0" borderId="3" xfId="2" applyNumberFormat="1" applyFont="1" applyBorder="1" applyAlignment="1">
      <alignment horizontal="center" vertical="center" wrapText="1"/>
    </xf>
    <xf numFmtId="165" fontId="15" fillId="0" borderId="5" xfId="2" applyNumberFormat="1" applyFont="1" applyBorder="1" applyAlignment="1">
      <alignment horizontal="center" vertical="center" wrapText="1"/>
    </xf>
    <xf numFmtId="4" fontId="15" fillId="0" borderId="4" xfId="0" applyNumberFormat="1" applyFont="1" applyBorder="1" applyAlignment="1">
      <alignment horizontal="center" vertical="center" wrapText="1"/>
    </xf>
    <xf numFmtId="0" fontId="15" fillId="0" borderId="4" xfId="0" applyFont="1" applyBorder="1" applyAlignment="1">
      <alignment horizontal="center" vertical="center" wrapText="1"/>
    </xf>
    <xf numFmtId="0" fontId="15" fillId="0" borderId="14" xfId="0" applyFont="1" applyBorder="1" applyAlignment="1">
      <alignment vertical="center" wrapText="1"/>
    </xf>
    <xf numFmtId="0" fontId="15" fillId="0" borderId="1" xfId="0" applyFont="1" applyBorder="1" applyAlignment="1">
      <alignment vertical="center" wrapText="1"/>
    </xf>
    <xf numFmtId="3" fontId="15" fillId="2" borderId="3" xfId="0" applyNumberFormat="1" applyFont="1" applyFill="1" applyBorder="1" applyAlignment="1">
      <alignment horizontal="center" vertical="center" wrapText="1"/>
    </xf>
    <xf numFmtId="3" fontId="15" fillId="2" borderId="5" xfId="0" applyNumberFormat="1" applyFont="1" applyFill="1" applyBorder="1" applyAlignment="1">
      <alignment horizontal="center" vertical="center" wrapText="1"/>
    </xf>
    <xf numFmtId="0" fontId="10" fillId="0" borderId="0" xfId="0" applyFont="1" applyAlignment="1">
      <alignment horizontal="left"/>
    </xf>
    <xf numFmtId="0" fontId="10" fillId="0" borderId="0" xfId="0" applyFont="1" applyAlignment="1">
      <alignment horizontal="left" vertical="top"/>
    </xf>
    <xf numFmtId="167" fontId="10" fillId="2" borderId="0" xfId="0" applyNumberFormat="1" applyFont="1" applyFill="1" applyAlignment="1">
      <alignment horizontal="center" vertical="top"/>
    </xf>
    <xf numFmtId="0" fontId="18" fillId="4" borderId="2" xfId="0" applyFont="1" applyFill="1" applyBorder="1" applyAlignment="1">
      <alignment horizontal="center" vertical="center" wrapText="1"/>
    </xf>
    <xf numFmtId="0" fontId="0" fillId="0" borderId="0" xfId="0" applyAlignment="1">
      <alignment horizontal="center"/>
    </xf>
    <xf numFmtId="0" fontId="15" fillId="2" borderId="2" xfId="0" applyFont="1" applyFill="1" applyBorder="1" applyAlignment="1">
      <alignment horizontal="left" vertical="center" wrapText="1"/>
    </xf>
    <xf numFmtId="0" fontId="15" fillId="2" borderId="2" xfId="0" applyFont="1" applyFill="1" applyBorder="1" applyAlignment="1">
      <alignment horizontal="left" vertical="top" wrapText="1"/>
    </xf>
    <xf numFmtId="3" fontId="15" fillId="0" borderId="2" xfId="0" applyNumberFormat="1" applyFont="1" applyBorder="1" applyAlignment="1">
      <alignment horizontal="center" vertical="center" wrapText="1"/>
    </xf>
    <xf numFmtId="1" fontId="15" fillId="0" borderId="2" xfId="0" applyNumberFormat="1" applyFont="1" applyBorder="1" applyAlignment="1">
      <alignment horizontal="center" vertical="center"/>
    </xf>
    <xf numFmtId="0" fontId="15" fillId="5" borderId="2" xfId="0" applyFont="1" applyFill="1" applyBorder="1" applyAlignment="1">
      <alignment horizontal="center" vertical="center" wrapText="1"/>
    </xf>
    <xf numFmtId="0" fontId="15" fillId="0" borderId="2" xfId="0" applyFont="1" applyBorder="1" applyAlignment="1">
      <alignment horizontal="left"/>
    </xf>
    <xf numFmtId="0" fontId="15" fillId="0" borderId="2" xfId="0" applyFont="1" applyBorder="1" applyAlignment="1">
      <alignment horizontal="center" vertical="center" wrapText="1"/>
    </xf>
    <xf numFmtId="0" fontId="10" fillId="0" borderId="0" xfId="0" applyFont="1" applyAlignment="1">
      <alignment horizontal="center" vertical="top"/>
    </xf>
    <xf numFmtId="167" fontId="10" fillId="0" borderId="0" xfId="0" applyNumberFormat="1" applyFont="1" applyAlignment="1">
      <alignment horizontal="center" vertical="top"/>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1" fillId="0" borderId="5" xfId="0" applyFont="1" applyBorder="1" applyAlignment="1">
      <alignment horizontal="left" vertical="center" wrapText="1"/>
    </xf>
    <xf numFmtId="0" fontId="11" fillId="0" borderId="3" xfId="0" applyFont="1" applyBorder="1" applyAlignment="1">
      <alignment horizontal="left" vertical="center"/>
    </xf>
    <xf numFmtId="0" fontId="11" fillId="0" borderId="4" xfId="0" applyFont="1" applyBorder="1" applyAlignment="1">
      <alignment horizontal="left" vertical="center"/>
    </xf>
    <xf numFmtId="0" fontId="11" fillId="0" borderId="5" xfId="0" applyFont="1" applyBorder="1" applyAlignment="1">
      <alignment horizontal="left" vertical="center"/>
    </xf>
    <xf numFmtId="0" fontId="15" fillId="2" borderId="6" xfId="0" applyFont="1" applyFill="1" applyBorder="1" applyAlignment="1">
      <alignment horizontal="left" vertical="top"/>
    </xf>
    <xf numFmtId="0" fontId="44" fillId="2" borderId="2" xfId="0" applyFont="1" applyFill="1" applyBorder="1" applyAlignment="1">
      <alignment horizontal="left" vertical="top" wrapText="1"/>
    </xf>
    <xf numFmtId="0" fontId="44" fillId="2" borderId="2" xfId="0" applyFont="1" applyFill="1" applyBorder="1" applyAlignment="1">
      <alignment horizontal="left" vertical="top"/>
    </xf>
    <xf numFmtId="0" fontId="44" fillId="2" borderId="3" xfId="0" applyFont="1" applyFill="1" applyBorder="1" applyAlignment="1">
      <alignment horizontal="left" vertical="top" wrapText="1"/>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0" xfId="0" applyFont="1" applyAlignment="1">
      <alignment horizontal="center" vertical="center"/>
    </xf>
    <xf numFmtId="0" fontId="14" fillId="0" borderId="2" xfId="0" applyFont="1" applyBorder="1" applyAlignment="1">
      <alignment horizontal="center" vertical="center" wrapText="1"/>
    </xf>
    <xf numFmtId="0" fontId="14" fillId="0" borderId="3" xfId="0" applyFont="1" applyBorder="1" applyAlignment="1">
      <alignment horizontal="center" vertical="center" wrapText="1"/>
    </xf>
    <xf numFmtId="10" fontId="3" fillId="2" borderId="2" xfId="0" applyNumberFormat="1" applyFont="1" applyFill="1" applyBorder="1" applyAlignment="1">
      <alignment horizontal="center" vertical="center"/>
    </xf>
    <xf numFmtId="0" fontId="15" fillId="2" borderId="2" xfId="0" applyFont="1" applyFill="1" applyBorder="1" applyAlignment="1">
      <alignment horizontal="center" vertical="center"/>
    </xf>
    <xf numFmtId="0" fontId="11" fillId="0" borderId="2" xfId="0" applyFont="1" applyBorder="1" applyAlignment="1">
      <alignment horizontal="left" vertical="center" wrapText="1"/>
    </xf>
    <xf numFmtId="10" fontId="3" fillId="2" borderId="2" xfId="2" applyNumberFormat="1" applyFont="1" applyFill="1" applyBorder="1" applyAlignment="1">
      <alignment horizontal="center" vertical="center"/>
    </xf>
    <xf numFmtId="10" fontId="15" fillId="2" borderId="2" xfId="2" applyNumberFormat="1" applyFont="1" applyFill="1" applyBorder="1" applyAlignment="1">
      <alignment horizontal="center" vertical="center"/>
    </xf>
    <xf numFmtId="0" fontId="11" fillId="3" borderId="3" xfId="0" applyFont="1" applyFill="1" applyBorder="1" applyAlignment="1">
      <alignment horizontal="center" vertical="center"/>
    </xf>
    <xf numFmtId="0" fontId="11" fillId="3" borderId="5" xfId="0" applyFont="1" applyFill="1" applyBorder="1" applyAlignment="1">
      <alignment horizontal="center" vertical="center"/>
    </xf>
    <xf numFmtId="0" fontId="11" fillId="3" borderId="4"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5" xfId="0" applyFont="1" applyFill="1" applyBorder="1" applyAlignment="1">
      <alignment horizontal="center" vertical="center"/>
    </xf>
    <xf numFmtId="0" fontId="11" fillId="3" borderId="2" xfId="0" applyFont="1" applyFill="1" applyBorder="1" applyAlignment="1">
      <alignment horizontal="center" vertical="center"/>
    </xf>
    <xf numFmtId="0" fontId="6" fillId="0" borderId="0" xfId="0" applyFont="1" applyAlignment="1">
      <alignment horizontal="left" vertical="top" wrapText="1"/>
    </xf>
    <xf numFmtId="0" fontId="14" fillId="0" borderId="7" xfId="0" applyFont="1" applyBorder="1" applyAlignment="1">
      <alignment horizontal="center" wrapText="1"/>
    </xf>
    <xf numFmtId="0" fontId="1" fillId="2" borderId="6" xfId="0" applyFont="1" applyFill="1" applyBorder="1" applyAlignment="1">
      <alignment horizontal="left" vertical="top"/>
    </xf>
    <xf numFmtId="0" fontId="1" fillId="2" borderId="8" xfId="0" applyFont="1" applyFill="1" applyBorder="1" applyAlignment="1">
      <alignment horizontal="left" vertical="top"/>
    </xf>
    <xf numFmtId="0" fontId="1" fillId="2" borderId="11" xfId="0" applyFont="1" applyFill="1" applyBorder="1" applyAlignment="1">
      <alignment horizontal="left" vertical="top"/>
    </xf>
    <xf numFmtId="0" fontId="1" fillId="2" borderId="13" xfId="0" applyFont="1" applyFill="1" applyBorder="1" applyAlignment="1">
      <alignment horizontal="left" vertical="top"/>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0" fillId="2" borderId="2" xfId="0" applyFont="1" applyFill="1" applyBorder="1" applyAlignment="1">
      <alignment horizontal="left" vertical="top"/>
    </xf>
    <xf numFmtId="0" fontId="14" fillId="0" borderId="6" xfId="0" applyFont="1" applyBorder="1" applyAlignment="1">
      <alignment horizontal="left" vertical="center" wrapText="1"/>
    </xf>
    <xf numFmtId="0" fontId="14" fillId="0" borderId="8" xfId="0" applyFont="1" applyBorder="1" applyAlignment="1">
      <alignment horizontal="left" vertical="center" wrapText="1"/>
    </xf>
    <xf numFmtId="0" fontId="14" fillId="0" borderId="9" xfId="0" applyFont="1" applyBorder="1" applyAlignment="1">
      <alignment horizontal="left" vertical="center" wrapText="1"/>
    </xf>
    <xf numFmtId="0" fontId="14" fillId="0" borderId="10" xfId="0" applyFont="1" applyBorder="1" applyAlignment="1">
      <alignment horizontal="left" vertical="center" wrapText="1"/>
    </xf>
    <xf numFmtId="0" fontId="22" fillId="0" borderId="3" xfId="0" applyFont="1" applyBorder="1" applyAlignment="1">
      <alignment horizontal="center" vertical="center" wrapText="1"/>
    </xf>
    <xf numFmtId="0" fontId="22" fillId="0" borderId="4" xfId="0" applyFont="1" applyBorder="1" applyAlignment="1">
      <alignment horizontal="center" vertical="center" wrapText="1"/>
    </xf>
    <xf numFmtId="0" fontId="14" fillId="0" borderId="6" xfId="0" applyFont="1" applyBorder="1" applyAlignment="1">
      <alignment horizontal="center" vertical="center" wrapText="1"/>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10"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15" xfId="0" applyFont="1" applyBorder="1" applyAlignment="1">
      <alignment horizontal="center" vertical="center" wrapText="1"/>
    </xf>
    <xf numFmtId="0" fontId="28" fillId="0" borderId="0" xfId="0" applyFont="1" applyAlignment="1">
      <alignment horizontal="left" vertical="top" wrapText="1"/>
    </xf>
    <xf numFmtId="0" fontId="22" fillId="0" borderId="2" xfId="0" applyFont="1" applyBorder="1" applyAlignment="1">
      <alignment horizontal="left" vertical="center" wrapText="1"/>
    </xf>
    <xf numFmtId="0" fontId="8" fillId="0" borderId="2" xfId="0" applyFont="1" applyBorder="1" applyAlignment="1">
      <alignment vertical="top" wrapText="1"/>
    </xf>
    <xf numFmtId="0" fontId="0" fillId="0" borderId="2" xfId="0" applyBorder="1" applyAlignment="1">
      <alignment vertical="top"/>
    </xf>
    <xf numFmtId="0" fontId="46" fillId="0" borderId="3" xfId="0" applyFont="1" applyBorder="1" applyAlignment="1">
      <alignment vertical="top" wrapText="1"/>
    </xf>
    <xf numFmtId="0" fontId="47" fillId="0" borderId="5" xfId="0" applyFont="1" applyBorder="1" applyAlignment="1">
      <alignment vertical="top" wrapText="1"/>
    </xf>
    <xf numFmtId="0" fontId="2" fillId="0" borderId="2" xfId="0" applyFont="1" applyBorder="1" applyAlignment="1">
      <alignment vertical="top" wrapText="1"/>
    </xf>
    <xf numFmtId="0" fontId="46" fillId="0" borderId="2" xfId="0" applyFont="1" applyBorder="1" applyAlignment="1">
      <alignment vertical="top" wrapText="1"/>
    </xf>
    <xf numFmtId="0" fontId="47" fillId="0" borderId="2" xfId="0" applyFont="1" applyBorder="1" applyAlignment="1">
      <alignment vertical="top" wrapText="1"/>
    </xf>
    <xf numFmtId="0" fontId="2" fillId="0" borderId="0" xfId="0" applyFont="1" applyAlignment="1">
      <alignment horizontal="left" vertical="top" wrapText="1"/>
    </xf>
    <xf numFmtId="0" fontId="0" fillId="0" borderId="0" xfId="0" applyAlignment="1">
      <alignment wrapText="1"/>
    </xf>
    <xf numFmtId="0" fontId="2" fillId="0" borderId="0" xfId="0" applyFont="1" applyAlignment="1">
      <alignment vertical="top" wrapText="1"/>
    </xf>
    <xf numFmtId="0" fontId="14" fillId="3" borderId="2" xfId="0" applyFont="1" applyFill="1" applyBorder="1" applyAlignment="1">
      <alignment horizontal="left" vertical="center" wrapText="1"/>
    </xf>
    <xf numFmtId="0" fontId="5" fillId="0" borderId="2" xfId="0" applyFont="1" applyBorder="1" applyAlignment="1">
      <alignment horizontal="left" vertical="center" wrapText="1"/>
    </xf>
    <xf numFmtId="0" fontId="3" fillId="0" borderId="2" xfId="0" applyFont="1" applyBorder="1" applyAlignment="1">
      <alignment horizontal="left" vertical="center" wrapText="1"/>
    </xf>
    <xf numFmtId="169" fontId="15" fillId="5" borderId="2" xfId="0" applyNumberFormat="1" applyFont="1" applyFill="1" applyBorder="1" applyAlignment="1">
      <alignment horizontal="center" vertical="center" wrapText="1"/>
    </xf>
    <xf numFmtId="2" fontId="15" fillId="5" borderId="2" xfId="0" applyNumberFormat="1" applyFont="1" applyFill="1" applyBorder="1" applyAlignment="1">
      <alignment horizontal="center" vertical="center" wrapText="1"/>
    </xf>
    <xf numFmtId="0" fontId="15" fillId="6" borderId="16" xfId="0" applyFont="1" applyFill="1" applyBorder="1" applyAlignment="1">
      <alignment horizontal="center" vertical="center" wrapText="1"/>
    </xf>
    <xf numFmtId="0" fontId="15" fillId="6" borderId="17" xfId="0" applyFont="1" applyFill="1" applyBorder="1" applyAlignment="1">
      <alignment horizontal="center" vertical="center" wrapText="1"/>
    </xf>
    <xf numFmtId="0" fontId="15" fillId="5" borderId="3"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5" fillId="2" borderId="6" xfId="0" applyFont="1" applyFill="1" applyBorder="1" applyAlignment="1">
      <alignment horizontal="left" vertical="top" wrapText="1"/>
    </xf>
    <xf numFmtId="0" fontId="15" fillId="5" borderId="2" xfId="0" applyFont="1" applyFill="1" applyBorder="1" applyAlignment="1">
      <alignment horizontal="left" vertical="center" wrapText="1"/>
    </xf>
    <xf numFmtId="0" fontId="15" fillId="5" borderId="3" xfId="0" applyFont="1" applyFill="1" applyBorder="1" applyAlignment="1">
      <alignment horizontal="left" vertical="center" wrapText="1"/>
    </xf>
    <xf numFmtId="0" fontId="15" fillId="5" borderId="5" xfId="0" applyFont="1" applyFill="1" applyBorder="1" applyAlignment="1">
      <alignment horizontal="left" vertical="center" wrapText="1"/>
    </xf>
    <xf numFmtId="0" fontId="15" fillId="5" borderId="6" xfId="0" applyFont="1" applyFill="1" applyBorder="1" applyAlignment="1">
      <alignment horizontal="left" vertical="center" wrapText="1"/>
    </xf>
    <xf numFmtId="0" fontId="15" fillId="5" borderId="7" xfId="0" applyFont="1" applyFill="1" applyBorder="1" applyAlignment="1">
      <alignment horizontal="left" vertical="center" wrapText="1"/>
    </xf>
    <xf numFmtId="0" fontId="15" fillId="5" borderId="8" xfId="0" applyFont="1" applyFill="1" applyBorder="1" applyAlignment="1">
      <alignment horizontal="left" vertical="center" wrapText="1"/>
    </xf>
    <xf numFmtId="0" fontId="1" fillId="5" borderId="6" xfId="0" applyFont="1" applyFill="1" applyBorder="1" applyAlignment="1">
      <alignment horizontal="left"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1" fillId="0" borderId="11" xfId="0" applyFont="1" applyBorder="1" applyAlignment="1">
      <alignment horizontal="left" vertical="center" wrapText="1"/>
    </xf>
    <xf numFmtId="0" fontId="11" fillId="0" borderId="12" xfId="0" applyFont="1" applyBorder="1" applyAlignment="1">
      <alignment horizontal="left" vertical="center" wrapText="1"/>
    </xf>
    <xf numFmtId="0" fontId="14" fillId="0" borderId="6" xfId="0" applyFont="1" applyBorder="1" applyAlignment="1">
      <alignment horizontal="left" vertical="center"/>
    </xf>
    <xf numFmtId="0" fontId="14" fillId="0" borderId="7" xfId="0" applyFont="1" applyBorder="1" applyAlignment="1">
      <alignment horizontal="left" vertical="center"/>
    </xf>
    <xf numFmtId="0" fontId="14" fillId="0" borderId="8" xfId="0" applyFont="1" applyBorder="1" applyAlignment="1">
      <alignment horizontal="left"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1" fillId="2" borderId="7" xfId="0" applyFont="1" applyFill="1" applyBorder="1" applyAlignment="1">
      <alignment horizontal="left" vertical="top"/>
    </xf>
    <xf numFmtId="0" fontId="1" fillId="2" borderId="12" xfId="0" applyFont="1" applyFill="1" applyBorder="1" applyAlignment="1">
      <alignment horizontal="left" vertical="top"/>
    </xf>
    <xf numFmtId="0" fontId="16" fillId="0" borderId="6" xfId="0" applyFont="1" applyBorder="1" applyAlignment="1">
      <alignment horizontal="right" vertical="top" wrapText="1"/>
    </xf>
    <xf numFmtId="0" fontId="16" fillId="0" borderId="7" xfId="0" applyFont="1" applyBorder="1" applyAlignment="1">
      <alignment horizontal="right" vertical="top" wrapText="1"/>
    </xf>
    <xf numFmtId="0" fontId="16" fillId="0" borderId="8" xfId="0" applyFont="1" applyBorder="1" applyAlignment="1">
      <alignment horizontal="right" vertical="top" wrapText="1"/>
    </xf>
    <xf numFmtId="0" fontId="10" fillId="2" borderId="14" xfId="0" applyFont="1" applyFill="1" applyBorder="1" applyAlignment="1">
      <alignment horizontal="left" vertical="top"/>
    </xf>
    <xf numFmtId="0" fontId="14" fillId="0" borderId="2" xfId="0" applyFont="1" applyBorder="1" applyAlignment="1">
      <alignment horizontal="left" vertical="center" wrapText="1"/>
    </xf>
    <xf numFmtId="0" fontId="14" fillId="0" borderId="14" xfId="0" applyFont="1" applyBorder="1" applyAlignment="1">
      <alignment horizontal="center" vertical="center" wrapText="1"/>
    </xf>
    <xf numFmtId="0" fontId="14" fillId="0" borderId="5" xfId="0" applyFont="1" applyBorder="1" applyAlignment="1">
      <alignment horizontal="center" vertical="center" wrapText="1"/>
    </xf>
    <xf numFmtId="0" fontId="10" fillId="0" borderId="0" xfId="0" applyFont="1" applyAlignment="1">
      <alignment horizontal="left" wrapText="1"/>
    </xf>
    <xf numFmtId="0" fontId="11" fillId="0" borderId="12" xfId="0" applyFont="1" applyBorder="1" applyAlignment="1">
      <alignment horizontal="center"/>
    </xf>
    <xf numFmtId="0" fontId="11" fillId="0" borderId="2" xfId="0" applyFont="1" applyBorder="1" applyAlignment="1">
      <alignment horizontal="center"/>
    </xf>
    <xf numFmtId="0" fontId="10" fillId="2" borderId="6" xfId="0" applyFont="1" applyFill="1" applyBorder="1" applyAlignment="1">
      <alignment horizontal="left" vertical="top"/>
    </xf>
    <xf numFmtId="0" fontId="10" fillId="2" borderId="7" xfId="0" applyFont="1" applyFill="1" applyBorder="1" applyAlignment="1">
      <alignment horizontal="left" vertical="top"/>
    </xf>
    <xf numFmtId="0" fontId="10" fillId="2" borderId="8" xfId="0" applyFont="1" applyFill="1" applyBorder="1" applyAlignment="1">
      <alignment horizontal="left" vertical="top"/>
    </xf>
    <xf numFmtId="0" fontId="10" fillId="2" borderId="9" xfId="0" applyFont="1" applyFill="1" applyBorder="1" applyAlignment="1">
      <alignment horizontal="left" vertical="top"/>
    </xf>
    <xf numFmtId="0" fontId="10" fillId="2" borderId="0" xfId="0" applyFont="1" applyFill="1" applyAlignment="1">
      <alignment horizontal="left" vertical="top"/>
    </xf>
    <xf numFmtId="0" fontId="10" fillId="2" borderId="10" xfId="0" applyFont="1" applyFill="1" applyBorder="1" applyAlignment="1">
      <alignment horizontal="left" vertical="top"/>
    </xf>
    <xf numFmtId="0" fontId="10" fillId="2" borderId="11" xfId="0" applyFont="1" applyFill="1" applyBorder="1" applyAlignment="1">
      <alignment horizontal="left" vertical="top"/>
    </xf>
    <xf numFmtId="0" fontId="10" fillId="2" borderId="12" xfId="0" applyFont="1" applyFill="1" applyBorder="1" applyAlignment="1">
      <alignment horizontal="left" vertical="top"/>
    </xf>
    <xf numFmtId="0" fontId="10" fillId="2" borderId="13" xfId="0" applyFont="1" applyFill="1" applyBorder="1" applyAlignment="1">
      <alignment horizontal="left" vertical="top"/>
    </xf>
    <xf numFmtId="0" fontId="11" fillId="0" borderId="3" xfId="0" applyFont="1" applyBorder="1" applyAlignment="1">
      <alignment horizontal="left" vertical="top" wrapText="1"/>
    </xf>
    <xf numFmtId="0" fontId="11" fillId="0" borderId="4" xfId="0" applyFont="1" applyBorder="1" applyAlignment="1">
      <alignment horizontal="left" vertical="top" wrapText="1"/>
    </xf>
    <xf numFmtId="0" fontId="11" fillId="0" borderId="5" xfId="0" applyFont="1" applyBorder="1" applyAlignment="1">
      <alignment horizontal="left" vertical="top" wrapText="1"/>
    </xf>
    <xf numFmtId="0" fontId="10" fillId="0" borderId="2" xfId="0" applyFont="1" applyBorder="1" applyAlignment="1">
      <alignment horizontal="center" vertical="center"/>
    </xf>
    <xf numFmtId="0" fontId="10" fillId="2" borderId="6" xfId="0" applyFont="1" applyFill="1" applyBorder="1" applyAlignment="1">
      <alignment horizontal="left" vertical="top" wrapText="1"/>
    </xf>
    <xf numFmtId="0" fontId="10" fillId="2" borderId="7" xfId="0" applyFont="1" applyFill="1" applyBorder="1" applyAlignment="1">
      <alignment horizontal="left" vertical="top" wrapText="1"/>
    </xf>
    <xf numFmtId="0" fontId="10" fillId="2" borderId="8" xfId="0" applyFont="1" applyFill="1" applyBorder="1" applyAlignment="1">
      <alignment horizontal="left" vertical="top" wrapText="1"/>
    </xf>
    <xf numFmtId="0" fontId="10" fillId="2" borderId="9" xfId="0" applyFont="1" applyFill="1" applyBorder="1" applyAlignment="1">
      <alignment horizontal="left" vertical="top" wrapText="1"/>
    </xf>
    <xf numFmtId="0" fontId="10" fillId="2" borderId="0" xfId="0" applyFont="1" applyFill="1" applyAlignment="1">
      <alignment horizontal="left" vertical="top" wrapText="1"/>
    </xf>
    <xf numFmtId="0" fontId="10" fillId="2" borderId="10" xfId="0" applyFont="1" applyFill="1" applyBorder="1" applyAlignment="1">
      <alignment horizontal="left" vertical="top" wrapText="1"/>
    </xf>
    <xf numFmtId="0" fontId="10" fillId="2" borderId="11" xfId="0" applyFont="1" applyFill="1" applyBorder="1" applyAlignment="1">
      <alignment horizontal="left" vertical="top" wrapText="1"/>
    </xf>
    <xf numFmtId="0" fontId="10" fillId="2" borderId="12" xfId="0" applyFont="1" applyFill="1" applyBorder="1" applyAlignment="1">
      <alignment horizontal="left" vertical="top" wrapText="1"/>
    </xf>
    <xf numFmtId="0" fontId="10" fillId="2" borderId="13" xfId="0" applyFont="1" applyFill="1" applyBorder="1" applyAlignment="1">
      <alignment horizontal="left" vertical="top" wrapText="1"/>
    </xf>
    <xf numFmtId="164" fontId="16" fillId="2" borderId="0" xfId="1" applyNumberFormat="1" applyFont="1" applyFill="1" applyAlignment="1">
      <alignment horizontal="center"/>
    </xf>
    <xf numFmtId="9" fontId="0" fillId="0" borderId="0" xfId="0" applyNumberFormat="1"/>
    <xf numFmtId="0" fontId="1" fillId="0" borderId="7" xfId="0" applyFont="1" applyBorder="1" applyAlignment="1">
      <alignment horizontal="center"/>
    </xf>
    <xf numFmtId="164" fontId="1" fillId="2" borderId="7" xfId="1" applyNumberFormat="1" applyFont="1" applyFill="1" applyBorder="1" applyAlignment="1">
      <alignment horizontal="center"/>
    </xf>
  </cellXfs>
  <cellStyles count="5">
    <cellStyle name="Comma" xfId="1" builtinId="3"/>
    <cellStyle name="Hyperlink" xfId="3" builtinId="8"/>
    <cellStyle name="Normal" xfId="0" builtinId="0"/>
    <cellStyle name="Normal 2" xfId="4" xr:uid="{11E2B01A-9E3C-45C3-ACBB-AC5212FE09CF}"/>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06/relationships/vbaProject" Target="vbaProject.bin"/><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0.00</c:formatCode>
                <c:ptCount val="12"/>
                <c:pt idx="0">
                  <c:v>4.59</c:v>
                </c:pt>
                <c:pt idx="1">
                  <c:v>3.85</c:v>
                </c:pt>
                <c:pt idx="2">
                  <c:v>6.08</c:v>
                </c:pt>
                <c:pt idx="3">
                  <c:v>5.65</c:v>
                </c:pt>
                <c:pt idx="4">
                  <c:v>6.35</c:v>
                </c:pt>
                <c:pt idx="5">
                  <c:v>5.6</c:v>
                </c:pt>
                <c:pt idx="6">
                  <c:v>6.36</c:v>
                </c:pt>
                <c:pt idx="7">
                  <c:v>6.38</c:v>
                </c:pt>
                <c:pt idx="8">
                  <c:v>5.23</c:v>
                </c:pt>
                <c:pt idx="9">
                  <c:v>5.33</c:v>
                </c:pt>
                <c:pt idx="10">
                  <c:v>5.52</c:v>
                </c:pt>
                <c:pt idx="11">
                  <c:v>4.12</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0.00</c:formatCode>
                <c:ptCount val="12"/>
                <c:pt idx="0">
                  <c:v>31.19</c:v>
                </c:pt>
                <c:pt idx="1">
                  <c:v>9.2200000000000006</c:v>
                </c:pt>
                <c:pt idx="2">
                  <c:v>28.71</c:v>
                </c:pt>
                <c:pt idx="3">
                  <c:v>33.64</c:v>
                </c:pt>
                <c:pt idx="4">
                  <c:v>21.58</c:v>
                </c:pt>
                <c:pt idx="5">
                  <c:v>11.78</c:v>
                </c:pt>
                <c:pt idx="6">
                  <c:v>14.02</c:v>
                </c:pt>
                <c:pt idx="7">
                  <c:v>20.74</c:v>
                </c:pt>
                <c:pt idx="8">
                  <c:v>11.88</c:v>
                </c:pt>
                <c:pt idx="9">
                  <c:v>11.06</c:v>
                </c:pt>
                <c:pt idx="10">
                  <c:v>15.9</c:v>
                </c:pt>
                <c:pt idx="11">
                  <c:v>30.9</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0.00</c:formatCode>
                <c:ptCount val="12"/>
                <c:pt idx="0">
                  <c:v>4.59</c:v>
                </c:pt>
                <c:pt idx="1">
                  <c:v>3.93</c:v>
                </c:pt>
                <c:pt idx="2">
                  <c:v>6.06</c:v>
                </c:pt>
                <c:pt idx="3">
                  <c:v>5.62</c:v>
                </c:pt>
                <c:pt idx="4">
                  <c:v>6.35</c:v>
                </c:pt>
                <c:pt idx="5">
                  <c:v>5.61</c:v>
                </c:pt>
                <c:pt idx="6">
                  <c:v>6.36</c:v>
                </c:pt>
                <c:pt idx="7">
                  <c:v>6.41</c:v>
                </c:pt>
                <c:pt idx="8">
                  <c:v>5.27</c:v>
                </c:pt>
                <c:pt idx="9">
                  <c:v>5.33</c:v>
                </c:pt>
                <c:pt idx="10">
                  <c:v>5.52</c:v>
                </c:pt>
                <c:pt idx="11">
                  <c:v>4.22</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0.00</c:formatCode>
                <c:ptCount val="12"/>
                <c:pt idx="0">
                  <c:v>5.87</c:v>
                </c:pt>
                <c:pt idx="1">
                  <c:v>6.49</c:v>
                </c:pt>
                <c:pt idx="2">
                  <c:v>8.3000000000000007</c:v>
                </c:pt>
                <c:pt idx="3">
                  <c:v>7.86</c:v>
                </c:pt>
                <c:pt idx="4">
                  <c:v>8.27</c:v>
                </c:pt>
                <c:pt idx="5">
                  <c:v>8.16</c:v>
                </c:pt>
                <c:pt idx="6">
                  <c:v>7.55</c:v>
                </c:pt>
                <c:pt idx="7">
                  <c:v>8.89</c:v>
                </c:pt>
                <c:pt idx="8">
                  <c:v>7.07</c:v>
                </c:pt>
                <c:pt idx="9">
                  <c:v>6.75</c:v>
                </c:pt>
                <c:pt idx="10">
                  <c:v>7.63</c:v>
                </c:pt>
                <c:pt idx="11">
                  <c:v>8.2100000000000009</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0.00</c:formatCode>
                <c:ptCount val="12"/>
                <c:pt idx="0">
                  <c:v>3.86</c:v>
                </c:pt>
                <c:pt idx="1">
                  <c:v>8.6300000000000008</c:v>
                </c:pt>
                <c:pt idx="2">
                  <c:v>3.15</c:v>
                </c:pt>
                <c:pt idx="3">
                  <c:v>2.5499999999999998</c:v>
                </c:pt>
                <c:pt idx="4">
                  <c:v>2.74</c:v>
                </c:pt>
                <c:pt idx="5">
                  <c:v>2.4300000000000002</c:v>
                </c:pt>
                <c:pt idx="6">
                  <c:v>3.04</c:v>
                </c:pt>
                <c:pt idx="7">
                  <c:v>3.03</c:v>
                </c:pt>
                <c:pt idx="8">
                  <c:v>3.97</c:v>
                </c:pt>
                <c:pt idx="9">
                  <c:v>4.96</c:v>
                </c:pt>
                <c:pt idx="10">
                  <c:v>5.44</c:v>
                </c:pt>
                <c:pt idx="11">
                  <c:v>7.37</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0.00</c:formatCode>
                <c:ptCount val="12"/>
                <c:pt idx="0">
                  <c:v>38.29</c:v>
                </c:pt>
                <c:pt idx="1">
                  <c:v>69.11</c:v>
                </c:pt>
                <c:pt idx="2">
                  <c:v>60.88</c:v>
                </c:pt>
                <c:pt idx="3">
                  <c:v>33.32</c:v>
                </c:pt>
                <c:pt idx="4">
                  <c:v>35.97</c:v>
                </c:pt>
                <c:pt idx="5">
                  <c:v>23.59</c:v>
                </c:pt>
                <c:pt idx="6">
                  <c:v>11.97</c:v>
                </c:pt>
                <c:pt idx="7">
                  <c:v>32.22</c:v>
                </c:pt>
                <c:pt idx="8">
                  <c:v>25.02</c:v>
                </c:pt>
                <c:pt idx="9">
                  <c:v>38.89</c:v>
                </c:pt>
                <c:pt idx="10">
                  <c:v>67.47</c:v>
                </c:pt>
                <c:pt idx="11">
                  <c:v>102.55</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0.00</c:formatCode>
                <c:ptCount val="12"/>
                <c:pt idx="0">
                  <c:v>3.84</c:v>
                </c:pt>
                <c:pt idx="1">
                  <c:v>8.32</c:v>
                </c:pt>
                <c:pt idx="2">
                  <c:v>3.1</c:v>
                </c:pt>
                <c:pt idx="3">
                  <c:v>2.46</c:v>
                </c:pt>
                <c:pt idx="4">
                  <c:v>2.75</c:v>
                </c:pt>
                <c:pt idx="5">
                  <c:v>2.35</c:v>
                </c:pt>
                <c:pt idx="6">
                  <c:v>3.04</c:v>
                </c:pt>
                <c:pt idx="7">
                  <c:v>3.11</c:v>
                </c:pt>
                <c:pt idx="8">
                  <c:v>3.6</c:v>
                </c:pt>
                <c:pt idx="9">
                  <c:v>4.37</c:v>
                </c:pt>
                <c:pt idx="10">
                  <c:v>5.43</c:v>
                </c:pt>
                <c:pt idx="11">
                  <c:v>7.6</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0.00</c:formatCode>
                <c:ptCount val="12"/>
                <c:pt idx="0">
                  <c:v>7.99</c:v>
                </c:pt>
                <c:pt idx="1">
                  <c:v>22.69</c:v>
                </c:pt>
                <c:pt idx="2">
                  <c:v>20.420000000000002</c:v>
                </c:pt>
                <c:pt idx="3">
                  <c:v>7.38</c:v>
                </c:pt>
                <c:pt idx="4">
                  <c:v>8.18</c:v>
                </c:pt>
                <c:pt idx="5">
                  <c:v>7.24</c:v>
                </c:pt>
                <c:pt idx="6">
                  <c:v>6.76</c:v>
                </c:pt>
                <c:pt idx="7">
                  <c:v>7.78</c:v>
                </c:pt>
                <c:pt idx="8">
                  <c:v>10.41</c:v>
                </c:pt>
                <c:pt idx="9">
                  <c:v>15.06</c:v>
                </c:pt>
                <c:pt idx="10">
                  <c:v>14.04</c:v>
                </c:pt>
                <c:pt idx="11">
                  <c:v>10.85</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0.00</c:formatCode>
                <c:ptCount val="12"/>
                <c:pt idx="0">
                  <c:v>170.39</c:v>
                </c:pt>
                <c:pt idx="1">
                  <c:v>166.43</c:v>
                </c:pt>
                <c:pt idx="2">
                  <c:v>155.96</c:v>
                </c:pt>
                <c:pt idx="3">
                  <c:v>141.54</c:v>
                </c:pt>
                <c:pt idx="4">
                  <c:v>161.91</c:v>
                </c:pt>
                <c:pt idx="5">
                  <c:v>167.2</c:v>
                </c:pt>
                <c:pt idx="6">
                  <c:v>164.94</c:v>
                </c:pt>
                <c:pt idx="7">
                  <c:v>167.15</c:v>
                </c:pt>
                <c:pt idx="8">
                  <c:v>161.10500000000002</c:v>
                </c:pt>
                <c:pt idx="9">
                  <c:v>161.345</c:v>
                </c:pt>
                <c:pt idx="10">
                  <c:v>159.47999999999999</c:v>
                </c:pt>
                <c:pt idx="11">
                  <c:v>144.24</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0.00</c:formatCode>
                <c:ptCount val="12"/>
                <c:pt idx="0">
                  <c:v>209.9</c:v>
                </c:pt>
                <c:pt idx="1">
                  <c:v>279.68</c:v>
                </c:pt>
                <c:pt idx="2">
                  <c:v>198.4</c:v>
                </c:pt>
                <c:pt idx="3">
                  <c:v>189.37</c:v>
                </c:pt>
                <c:pt idx="4">
                  <c:v>201.13</c:v>
                </c:pt>
                <c:pt idx="5">
                  <c:v>205.76</c:v>
                </c:pt>
                <c:pt idx="6">
                  <c:v>251.67</c:v>
                </c:pt>
                <c:pt idx="7">
                  <c:v>199.09</c:v>
                </c:pt>
                <c:pt idx="8">
                  <c:v>198.19</c:v>
                </c:pt>
                <c:pt idx="9">
                  <c:v>209.29</c:v>
                </c:pt>
                <c:pt idx="10">
                  <c:v>206.36</c:v>
                </c:pt>
                <c:pt idx="11">
                  <c:v>193.6</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0.00</c:formatCode>
                <c:ptCount val="12"/>
                <c:pt idx="0">
                  <c:v>170.37</c:v>
                </c:pt>
                <c:pt idx="1">
                  <c:v>167.42</c:v>
                </c:pt>
                <c:pt idx="2">
                  <c:v>155.63999999999999</c:v>
                </c:pt>
                <c:pt idx="3">
                  <c:v>141.74</c:v>
                </c:pt>
                <c:pt idx="4">
                  <c:v>161.93</c:v>
                </c:pt>
                <c:pt idx="5">
                  <c:v>167.04</c:v>
                </c:pt>
                <c:pt idx="6">
                  <c:v>164.94</c:v>
                </c:pt>
                <c:pt idx="7">
                  <c:v>167.12</c:v>
                </c:pt>
                <c:pt idx="8">
                  <c:v>162.55000000000001</c:v>
                </c:pt>
                <c:pt idx="9">
                  <c:v>163.51</c:v>
                </c:pt>
                <c:pt idx="10">
                  <c:v>159.56</c:v>
                </c:pt>
                <c:pt idx="11">
                  <c:v>143.30000000000001</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0.00</c:formatCode>
                <c:ptCount val="12"/>
                <c:pt idx="0">
                  <c:v>180.38</c:v>
                </c:pt>
                <c:pt idx="1">
                  <c:v>178.93</c:v>
                </c:pt>
                <c:pt idx="2">
                  <c:v>180.4</c:v>
                </c:pt>
                <c:pt idx="3">
                  <c:v>179.28</c:v>
                </c:pt>
                <c:pt idx="4">
                  <c:v>190.11</c:v>
                </c:pt>
                <c:pt idx="5">
                  <c:v>189.58</c:v>
                </c:pt>
                <c:pt idx="6">
                  <c:v>187.03</c:v>
                </c:pt>
                <c:pt idx="7">
                  <c:v>183.55</c:v>
                </c:pt>
                <c:pt idx="8">
                  <c:v>178.9</c:v>
                </c:pt>
                <c:pt idx="9">
                  <c:v>184.91</c:v>
                </c:pt>
                <c:pt idx="10">
                  <c:v>179.02</c:v>
                </c:pt>
                <c:pt idx="11">
                  <c:v>173.51</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0.00</c:formatCode>
                <c:ptCount val="12"/>
                <c:pt idx="0">
                  <c:v>0.83</c:v>
                </c:pt>
                <c:pt idx="1">
                  <c:v>0.81</c:v>
                </c:pt>
                <c:pt idx="2">
                  <c:v>0.79</c:v>
                </c:pt>
                <c:pt idx="3">
                  <c:v>0.76</c:v>
                </c:pt>
                <c:pt idx="4">
                  <c:v>0.83</c:v>
                </c:pt>
                <c:pt idx="5">
                  <c:v>0.73</c:v>
                </c:pt>
                <c:pt idx="6">
                  <c:v>0.88</c:v>
                </c:pt>
                <c:pt idx="7">
                  <c:v>0.85</c:v>
                </c:pt>
                <c:pt idx="8">
                  <c:v>0.47</c:v>
                </c:pt>
                <c:pt idx="9">
                  <c:v>0.55499999999999994</c:v>
                </c:pt>
                <c:pt idx="10">
                  <c:v>0.60499999999999998</c:v>
                </c:pt>
                <c:pt idx="11">
                  <c:v>0.52</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0.00</c:formatCode>
                <c:ptCount val="12"/>
                <c:pt idx="0">
                  <c:v>7.34</c:v>
                </c:pt>
                <c:pt idx="1">
                  <c:v>17.079999999999998</c:v>
                </c:pt>
                <c:pt idx="2">
                  <c:v>1.5</c:v>
                </c:pt>
                <c:pt idx="3">
                  <c:v>10.6</c:v>
                </c:pt>
                <c:pt idx="4">
                  <c:v>4.05</c:v>
                </c:pt>
                <c:pt idx="5">
                  <c:v>3.18</c:v>
                </c:pt>
                <c:pt idx="6">
                  <c:v>5.64</c:v>
                </c:pt>
                <c:pt idx="7">
                  <c:v>4.4000000000000004</c:v>
                </c:pt>
                <c:pt idx="8">
                  <c:v>11.4</c:v>
                </c:pt>
                <c:pt idx="9">
                  <c:v>9.6300000000000008</c:v>
                </c:pt>
                <c:pt idx="10">
                  <c:v>16.11</c:v>
                </c:pt>
                <c:pt idx="11">
                  <c:v>5.13</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0.00</c:formatCode>
                <c:ptCount val="12"/>
                <c:pt idx="0">
                  <c:v>0.83</c:v>
                </c:pt>
                <c:pt idx="1">
                  <c:v>0.8</c:v>
                </c:pt>
                <c:pt idx="2">
                  <c:v>0.79</c:v>
                </c:pt>
                <c:pt idx="3">
                  <c:v>0.76</c:v>
                </c:pt>
                <c:pt idx="4">
                  <c:v>0.83</c:v>
                </c:pt>
                <c:pt idx="5">
                  <c:v>0.73</c:v>
                </c:pt>
                <c:pt idx="6">
                  <c:v>0.88</c:v>
                </c:pt>
                <c:pt idx="7">
                  <c:v>0.86</c:v>
                </c:pt>
                <c:pt idx="8">
                  <c:v>0.56999999999999995</c:v>
                </c:pt>
                <c:pt idx="9">
                  <c:v>0.55000000000000004</c:v>
                </c:pt>
                <c:pt idx="10">
                  <c:v>0.59</c:v>
                </c:pt>
                <c:pt idx="11">
                  <c:v>0.52</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0.00</c:formatCode>
                <c:ptCount val="12"/>
                <c:pt idx="0">
                  <c:v>1.05</c:v>
                </c:pt>
                <c:pt idx="1">
                  <c:v>1.23</c:v>
                </c:pt>
                <c:pt idx="2">
                  <c:v>0.97</c:v>
                </c:pt>
                <c:pt idx="3">
                  <c:v>1.04</c:v>
                </c:pt>
                <c:pt idx="4">
                  <c:v>1.28</c:v>
                </c:pt>
                <c:pt idx="5">
                  <c:v>1.1100000000000001</c:v>
                </c:pt>
                <c:pt idx="6">
                  <c:v>1</c:v>
                </c:pt>
                <c:pt idx="7">
                  <c:v>1.02</c:v>
                </c:pt>
                <c:pt idx="8">
                  <c:v>0.83</c:v>
                </c:pt>
                <c:pt idx="9">
                  <c:v>0.72</c:v>
                </c:pt>
                <c:pt idx="10">
                  <c:v>2.06</c:v>
                </c:pt>
                <c:pt idx="11">
                  <c:v>0.75</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0.00</c:formatCode>
                <c:ptCount val="12"/>
                <c:pt idx="0">
                  <c:v>4.8899999999999997</c:v>
                </c:pt>
                <c:pt idx="1">
                  <c:v>2.36</c:v>
                </c:pt>
                <c:pt idx="2">
                  <c:v>0.65</c:v>
                </c:pt>
                <c:pt idx="3">
                  <c:v>0.49</c:v>
                </c:pt>
                <c:pt idx="4">
                  <c:v>0.5</c:v>
                </c:pt>
                <c:pt idx="5">
                  <c:v>0.55000000000000004</c:v>
                </c:pt>
                <c:pt idx="6">
                  <c:v>0.57999999999999996</c:v>
                </c:pt>
                <c:pt idx="7">
                  <c:v>0.43</c:v>
                </c:pt>
                <c:pt idx="8">
                  <c:v>0.41</c:v>
                </c:pt>
                <c:pt idx="9">
                  <c:v>0.59</c:v>
                </c:pt>
                <c:pt idx="10">
                  <c:v>0.9</c:v>
                </c:pt>
                <c:pt idx="11">
                  <c:v>0.9</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0.00</c:formatCode>
                <c:ptCount val="12"/>
                <c:pt idx="0">
                  <c:v>40.75</c:v>
                </c:pt>
                <c:pt idx="1">
                  <c:v>29.33</c:v>
                </c:pt>
                <c:pt idx="2">
                  <c:v>106.9</c:v>
                </c:pt>
                <c:pt idx="3">
                  <c:v>2.36</c:v>
                </c:pt>
                <c:pt idx="4">
                  <c:v>1.39</c:v>
                </c:pt>
                <c:pt idx="5">
                  <c:v>2.17</c:v>
                </c:pt>
                <c:pt idx="6">
                  <c:v>1.97</c:v>
                </c:pt>
                <c:pt idx="7">
                  <c:v>1.25</c:v>
                </c:pt>
                <c:pt idx="8">
                  <c:v>9.4600000000000009</c:v>
                </c:pt>
                <c:pt idx="9">
                  <c:v>1.52</c:v>
                </c:pt>
                <c:pt idx="10">
                  <c:v>4.62</c:v>
                </c:pt>
                <c:pt idx="11">
                  <c:v>2.58</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0.00</c:formatCode>
                <c:ptCount val="12"/>
                <c:pt idx="0">
                  <c:v>4.8899999999999997</c:v>
                </c:pt>
                <c:pt idx="1">
                  <c:v>2.1800000000000002</c:v>
                </c:pt>
                <c:pt idx="2">
                  <c:v>0.65</c:v>
                </c:pt>
                <c:pt idx="3">
                  <c:v>0.49</c:v>
                </c:pt>
                <c:pt idx="4">
                  <c:v>0.5</c:v>
                </c:pt>
                <c:pt idx="5">
                  <c:v>0.55000000000000004</c:v>
                </c:pt>
                <c:pt idx="6">
                  <c:v>0.57999999999999996</c:v>
                </c:pt>
                <c:pt idx="7">
                  <c:v>0.43</c:v>
                </c:pt>
                <c:pt idx="8">
                  <c:v>0.39</c:v>
                </c:pt>
                <c:pt idx="9">
                  <c:v>0.59</c:v>
                </c:pt>
                <c:pt idx="10">
                  <c:v>0.9</c:v>
                </c:pt>
                <c:pt idx="11">
                  <c:v>0.92</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0.00</c:formatCode>
                <c:ptCount val="12"/>
                <c:pt idx="0">
                  <c:v>6.37</c:v>
                </c:pt>
                <c:pt idx="1">
                  <c:v>7.62</c:v>
                </c:pt>
                <c:pt idx="2">
                  <c:v>5.91</c:v>
                </c:pt>
                <c:pt idx="3">
                  <c:v>0.81</c:v>
                </c:pt>
                <c:pt idx="4">
                  <c:v>0.84</c:v>
                </c:pt>
                <c:pt idx="5">
                  <c:v>0.87</c:v>
                </c:pt>
                <c:pt idx="6">
                  <c:v>1.1299999999999999</c:v>
                </c:pt>
                <c:pt idx="7">
                  <c:v>0.57999999999999996</c:v>
                </c:pt>
                <c:pt idx="8">
                  <c:v>0.56999999999999995</c:v>
                </c:pt>
                <c:pt idx="9">
                  <c:v>1.24</c:v>
                </c:pt>
                <c:pt idx="10">
                  <c:v>3.06</c:v>
                </c:pt>
                <c:pt idx="11">
                  <c:v>1.84</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0.00</c:formatCode>
                <c:ptCount val="12"/>
                <c:pt idx="0">
                  <c:v>6.69</c:v>
                </c:pt>
                <c:pt idx="1">
                  <c:v>8.1</c:v>
                </c:pt>
                <c:pt idx="2">
                  <c:v>5.39</c:v>
                </c:pt>
                <c:pt idx="3">
                  <c:v>5.72</c:v>
                </c:pt>
                <c:pt idx="4">
                  <c:v>6.9</c:v>
                </c:pt>
                <c:pt idx="5">
                  <c:v>6.99</c:v>
                </c:pt>
                <c:pt idx="6">
                  <c:v>6.35</c:v>
                </c:pt>
                <c:pt idx="7">
                  <c:v>6.68</c:v>
                </c:pt>
                <c:pt idx="8">
                  <c:v>5.43</c:v>
                </c:pt>
                <c:pt idx="9">
                  <c:v>5.19</c:v>
                </c:pt>
                <c:pt idx="10">
                  <c:v>8.0500000000000007</c:v>
                </c:pt>
                <c:pt idx="11">
                  <c:v>8.23</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0.00</c:formatCode>
                <c:ptCount val="12"/>
                <c:pt idx="0">
                  <c:v>116.43</c:v>
                </c:pt>
                <c:pt idx="1">
                  <c:v>185.45</c:v>
                </c:pt>
                <c:pt idx="2">
                  <c:v>29.23</c:v>
                </c:pt>
                <c:pt idx="3">
                  <c:v>445.07</c:v>
                </c:pt>
                <c:pt idx="4">
                  <c:v>154.72999999999999</c:v>
                </c:pt>
                <c:pt idx="5">
                  <c:v>118.12</c:v>
                </c:pt>
                <c:pt idx="6">
                  <c:v>288.31</c:v>
                </c:pt>
                <c:pt idx="7">
                  <c:v>273.86</c:v>
                </c:pt>
                <c:pt idx="8">
                  <c:v>523.49</c:v>
                </c:pt>
                <c:pt idx="9">
                  <c:v>616.84</c:v>
                </c:pt>
                <c:pt idx="10">
                  <c:v>209.25</c:v>
                </c:pt>
                <c:pt idx="11">
                  <c:v>261.08999999999997</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0.00</c:formatCode>
                <c:ptCount val="12"/>
                <c:pt idx="0">
                  <c:v>6.7</c:v>
                </c:pt>
                <c:pt idx="1">
                  <c:v>8.01</c:v>
                </c:pt>
                <c:pt idx="2">
                  <c:v>5.39</c:v>
                </c:pt>
                <c:pt idx="3">
                  <c:v>5.56</c:v>
                </c:pt>
                <c:pt idx="4">
                  <c:v>6.89</c:v>
                </c:pt>
                <c:pt idx="5">
                  <c:v>7.01</c:v>
                </c:pt>
                <c:pt idx="6">
                  <c:v>6.35</c:v>
                </c:pt>
                <c:pt idx="7">
                  <c:v>6.55</c:v>
                </c:pt>
                <c:pt idx="8">
                  <c:v>6.38</c:v>
                </c:pt>
                <c:pt idx="9">
                  <c:v>6.82</c:v>
                </c:pt>
                <c:pt idx="10">
                  <c:v>7.97</c:v>
                </c:pt>
                <c:pt idx="11">
                  <c:v>8.1300000000000008</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0.00</c:formatCode>
                <c:ptCount val="12"/>
                <c:pt idx="0">
                  <c:v>10.52</c:v>
                </c:pt>
                <c:pt idx="1">
                  <c:v>13.43</c:v>
                </c:pt>
                <c:pt idx="2">
                  <c:v>9.33</c:v>
                </c:pt>
                <c:pt idx="3">
                  <c:v>8.91</c:v>
                </c:pt>
                <c:pt idx="4">
                  <c:v>10.75</c:v>
                </c:pt>
                <c:pt idx="5">
                  <c:v>10.8</c:v>
                </c:pt>
                <c:pt idx="6">
                  <c:v>11.64</c:v>
                </c:pt>
                <c:pt idx="7">
                  <c:v>10.55</c:v>
                </c:pt>
                <c:pt idx="8">
                  <c:v>8.9499999999999993</c:v>
                </c:pt>
                <c:pt idx="9">
                  <c:v>9.7100000000000009</c:v>
                </c:pt>
                <c:pt idx="10">
                  <c:v>13.6</c:v>
                </c:pt>
                <c:pt idx="11">
                  <c:v>14.17</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0.00</c:formatCode>
                <c:ptCount val="12"/>
                <c:pt idx="0">
                  <c:v>16.87</c:v>
                </c:pt>
                <c:pt idx="1">
                  <c:v>31.32</c:v>
                </c:pt>
                <c:pt idx="2">
                  <c:v>14.81</c:v>
                </c:pt>
                <c:pt idx="3">
                  <c:v>11.64</c:v>
                </c:pt>
                <c:pt idx="4">
                  <c:v>15.15</c:v>
                </c:pt>
                <c:pt idx="5">
                  <c:v>13.55</c:v>
                </c:pt>
                <c:pt idx="6">
                  <c:v>13.83</c:v>
                </c:pt>
                <c:pt idx="7">
                  <c:v>10.93</c:v>
                </c:pt>
                <c:pt idx="8">
                  <c:v>22.21</c:v>
                </c:pt>
                <c:pt idx="9">
                  <c:v>20.97</c:v>
                </c:pt>
                <c:pt idx="10">
                  <c:v>32.39</c:v>
                </c:pt>
                <c:pt idx="11">
                  <c:v>39.44</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0.00</c:formatCode>
                <c:ptCount val="12"/>
                <c:pt idx="0">
                  <c:v>336.88</c:v>
                </c:pt>
                <c:pt idx="1">
                  <c:v>363.07</c:v>
                </c:pt>
                <c:pt idx="2">
                  <c:v>76.58</c:v>
                </c:pt>
                <c:pt idx="3">
                  <c:v>884.7</c:v>
                </c:pt>
                <c:pt idx="4">
                  <c:v>459.63</c:v>
                </c:pt>
                <c:pt idx="5">
                  <c:v>348.58</c:v>
                </c:pt>
                <c:pt idx="6">
                  <c:v>852.83</c:v>
                </c:pt>
                <c:pt idx="7">
                  <c:v>812.81</c:v>
                </c:pt>
                <c:pt idx="8">
                  <c:v>1838.22</c:v>
                </c:pt>
                <c:pt idx="9">
                  <c:v>2083.13</c:v>
                </c:pt>
                <c:pt idx="10">
                  <c:v>451.86</c:v>
                </c:pt>
                <c:pt idx="11">
                  <c:v>551.78</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0.00</c:formatCode>
                <c:ptCount val="12"/>
                <c:pt idx="0">
                  <c:v>6.7</c:v>
                </c:pt>
                <c:pt idx="1">
                  <c:v>8.02</c:v>
                </c:pt>
                <c:pt idx="2">
                  <c:v>5.4</c:v>
                </c:pt>
                <c:pt idx="3">
                  <c:v>5.55</c:v>
                </c:pt>
                <c:pt idx="4">
                  <c:v>6.9</c:v>
                </c:pt>
                <c:pt idx="5">
                  <c:v>7.01</c:v>
                </c:pt>
                <c:pt idx="6">
                  <c:v>6.36</c:v>
                </c:pt>
                <c:pt idx="7">
                  <c:v>6.56</c:v>
                </c:pt>
                <c:pt idx="8">
                  <c:v>6.38</c:v>
                </c:pt>
                <c:pt idx="9">
                  <c:v>6.8</c:v>
                </c:pt>
                <c:pt idx="10">
                  <c:v>7.97</c:v>
                </c:pt>
                <c:pt idx="11">
                  <c:v>8.1300000000000008</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0.00</c:formatCode>
                <c:ptCount val="12"/>
                <c:pt idx="0">
                  <c:v>10.56</c:v>
                </c:pt>
                <c:pt idx="1">
                  <c:v>13.43</c:v>
                </c:pt>
                <c:pt idx="2">
                  <c:v>9.32</c:v>
                </c:pt>
                <c:pt idx="3">
                  <c:v>8.83</c:v>
                </c:pt>
                <c:pt idx="4">
                  <c:v>10.74</c:v>
                </c:pt>
                <c:pt idx="5">
                  <c:v>10.82</c:v>
                </c:pt>
                <c:pt idx="6">
                  <c:v>11.7</c:v>
                </c:pt>
                <c:pt idx="7">
                  <c:v>10.64</c:v>
                </c:pt>
                <c:pt idx="8">
                  <c:v>8.9600000000000009</c:v>
                </c:pt>
                <c:pt idx="9">
                  <c:v>9.25</c:v>
                </c:pt>
                <c:pt idx="10">
                  <c:v>13.62</c:v>
                </c:pt>
                <c:pt idx="11">
                  <c:v>14.22</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0.00</c:formatCode>
                <c:ptCount val="12"/>
                <c:pt idx="0">
                  <c:v>0.36</c:v>
                </c:pt>
                <c:pt idx="1">
                  <c:v>0.44</c:v>
                </c:pt>
                <c:pt idx="2">
                  <c:v>0.33</c:v>
                </c:pt>
                <c:pt idx="3">
                  <c:v>0.55000000000000004</c:v>
                </c:pt>
                <c:pt idx="4">
                  <c:v>0.28999999999999998</c:v>
                </c:pt>
                <c:pt idx="5">
                  <c:v>0.23</c:v>
                </c:pt>
                <c:pt idx="6">
                  <c:v>0.16</c:v>
                </c:pt>
                <c:pt idx="7">
                  <c:v>0.21</c:v>
                </c:pt>
                <c:pt idx="8">
                  <c:v>0.19</c:v>
                </c:pt>
                <c:pt idx="9">
                  <c:v>0.18</c:v>
                </c:pt>
                <c:pt idx="10">
                  <c:v>0.28999999999999998</c:v>
                </c:pt>
                <c:pt idx="11">
                  <c:v>0.12</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0.00</c:formatCode>
                <c:ptCount val="12"/>
                <c:pt idx="0">
                  <c:v>0.73</c:v>
                </c:pt>
                <c:pt idx="1">
                  <c:v>10.199999999999999</c:v>
                </c:pt>
                <c:pt idx="2">
                  <c:v>1.83</c:v>
                </c:pt>
                <c:pt idx="3">
                  <c:v>9.07</c:v>
                </c:pt>
                <c:pt idx="4">
                  <c:v>6.16</c:v>
                </c:pt>
                <c:pt idx="5">
                  <c:v>1.87</c:v>
                </c:pt>
                <c:pt idx="6">
                  <c:v>2.83</c:v>
                </c:pt>
                <c:pt idx="7">
                  <c:v>7.58</c:v>
                </c:pt>
                <c:pt idx="8">
                  <c:v>5.04</c:v>
                </c:pt>
                <c:pt idx="9">
                  <c:v>9.15</c:v>
                </c:pt>
                <c:pt idx="10">
                  <c:v>25.17</c:v>
                </c:pt>
                <c:pt idx="11">
                  <c:v>2.91</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0.00</c:formatCode>
                <c:ptCount val="12"/>
                <c:pt idx="0">
                  <c:v>0.36</c:v>
                </c:pt>
                <c:pt idx="1">
                  <c:v>0.4</c:v>
                </c:pt>
                <c:pt idx="2">
                  <c:v>0.33</c:v>
                </c:pt>
                <c:pt idx="3">
                  <c:v>0.55000000000000004</c:v>
                </c:pt>
                <c:pt idx="4">
                  <c:v>0.28999999999999998</c:v>
                </c:pt>
                <c:pt idx="5">
                  <c:v>0.22</c:v>
                </c:pt>
                <c:pt idx="6">
                  <c:v>0.16</c:v>
                </c:pt>
                <c:pt idx="7">
                  <c:v>0.18</c:v>
                </c:pt>
                <c:pt idx="8">
                  <c:v>0.17</c:v>
                </c:pt>
                <c:pt idx="9">
                  <c:v>0.17</c:v>
                </c:pt>
                <c:pt idx="10">
                  <c:v>0.27</c:v>
                </c:pt>
                <c:pt idx="11">
                  <c:v>0.1</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0.00</c:formatCode>
                <c:ptCount val="12"/>
                <c:pt idx="0">
                  <c:v>0.55000000000000004</c:v>
                </c:pt>
                <c:pt idx="1">
                  <c:v>0.55000000000000004</c:v>
                </c:pt>
                <c:pt idx="2">
                  <c:v>1.34</c:v>
                </c:pt>
                <c:pt idx="3">
                  <c:v>4.3899999999999997</c:v>
                </c:pt>
                <c:pt idx="4">
                  <c:v>0.95</c:v>
                </c:pt>
                <c:pt idx="5">
                  <c:v>0.35</c:v>
                </c:pt>
                <c:pt idx="6">
                  <c:v>0.64</c:v>
                </c:pt>
                <c:pt idx="7">
                  <c:v>0.75</c:v>
                </c:pt>
                <c:pt idx="8">
                  <c:v>0.32</c:v>
                </c:pt>
                <c:pt idx="9">
                  <c:v>0.31</c:v>
                </c:pt>
                <c:pt idx="10">
                  <c:v>2.9</c:v>
                </c:pt>
                <c:pt idx="11">
                  <c:v>0.33</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emf"/></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447675</xdr:colOff>
          <xdr:row>8</xdr:row>
          <xdr:rowOff>114300</xdr:rowOff>
        </xdr:from>
        <xdr:to>
          <xdr:col>15</xdr:col>
          <xdr:colOff>295275</xdr:colOff>
          <xdr:row>11</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5</xdr:row>
          <xdr:rowOff>104775</xdr:rowOff>
        </xdr:from>
        <xdr:to>
          <xdr:col>15</xdr:col>
          <xdr:colOff>295275</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0</xdr:colOff>
      <xdr:row>0</xdr:row>
      <xdr:rowOff>0</xdr:rowOff>
    </xdr:from>
    <xdr:to>
      <xdr:col>6</xdr:col>
      <xdr:colOff>617624</xdr:colOff>
      <xdr:row>6</xdr:row>
      <xdr:rowOff>44080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25352" y="0"/>
          <a:ext cx="2576286" cy="1224643"/>
        </a:xfrm>
        <a:prstGeom prst="rect">
          <a:avLst/>
        </a:prstGeom>
      </xdr:spPr>
    </xdr:pic>
    <xdr:clientData/>
  </xdr:twoCellAnchor>
  <xdr:twoCellAnchor editAs="oneCell">
    <xdr:from>
      <xdr:col>1</xdr:col>
      <xdr:colOff>0</xdr:colOff>
      <xdr:row>7</xdr:row>
      <xdr:rowOff>0</xdr:rowOff>
    </xdr:from>
    <xdr:to>
      <xdr:col>8</xdr:col>
      <xdr:colOff>580563</xdr:colOff>
      <xdr:row>24</xdr:row>
      <xdr:rowOff>106078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2887" y="1377324"/>
          <a:ext cx="5517465" cy="34510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257175</xdr:colOff>
      <xdr:row>67</xdr:row>
      <xdr:rowOff>9525</xdr:rowOff>
    </xdr:from>
    <xdr:to>
      <xdr:col>2</xdr:col>
      <xdr:colOff>571500</xdr:colOff>
      <xdr:row>67</xdr:row>
      <xdr:rowOff>512927</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9675" y="15544800"/>
          <a:ext cx="1152525" cy="50340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95250</xdr:colOff>
      <xdr:row>26</xdr:row>
      <xdr:rowOff>9525</xdr:rowOff>
    </xdr:from>
    <xdr:to>
      <xdr:col>2</xdr:col>
      <xdr:colOff>619125</xdr:colOff>
      <xdr:row>28</xdr:row>
      <xdr:rowOff>150977</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3900" y="6143625"/>
          <a:ext cx="1152525" cy="50340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66675</xdr:colOff>
      <xdr:row>1</xdr:row>
      <xdr:rowOff>38100</xdr:rowOff>
    </xdr:from>
    <xdr:to>
      <xdr:col>8</xdr:col>
      <xdr:colOff>371473</xdr:colOff>
      <xdr:row>7</xdr:row>
      <xdr:rowOff>314325</xdr:rowOff>
    </xdr:to>
    <xdr:sp macro="" textlink="">
      <xdr:nvSpPr>
        <xdr:cNvPr id="31745" name="Object 1" hidden="1">
          <a:extLst>
            <a:ext uri="{63B3BB69-23CF-44E3-9099-C40C66FF867C}">
              <a14:compatExt xmlns:a14="http://schemas.microsoft.com/office/drawing/2010/main"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6</xdr:col>
      <xdr:colOff>66675</xdr:colOff>
      <xdr:row>1</xdr:row>
      <xdr:rowOff>38100</xdr:rowOff>
    </xdr:from>
    <xdr:to>
      <xdr:col>8</xdr:col>
      <xdr:colOff>371473</xdr:colOff>
      <xdr:row>7</xdr:row>
      <xdr:rowOff>314325</xdr:rowOff>
    </xdr:to>
    <xdr:pic>
      <xdr:nvPicPr>
        <xdr:cNvPr id="2" name="Picture 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43850" y="228600"/>
          <a:ext cx="1485900" cy="18573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edward.elcock@enfinium.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2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workbookViewId="0">
      <selection activeCell="O33" sqref="O33"/>
    </sheetView>
  </sheetViews>
  <sheetFormatPr defaultColWidth="9.42578125" defaultRowHeight="15" x14ac:dyDescent="0.2"/>
  <cols>
    <col min="1" max="1" width="9.42578125" style="2" customWidth="1"/>
    <col min="2" max="2" width="14.5703125" style="2" bestFit="1" customWidth="1"/>
    <col min="3" max="9" width="9.42578125" style="2"/>
    <col min="10" max="10" width="11.5703125" style="2" customWidth="1"/>
    <col min="11" max="14" width="9.42578125" style="2"/>
    <col min="15" max="15" width="9.42578125" style="2" customWidth="1"/>
    <col min="16" max="16384" width="9.42578125" style="2"/>
  </cols>
  <sheetData>
    <row r="1" spans="2:16" x14ac:dyDescent="0.2">
      <c r="D1" s="221" t="s">
        <v>8</v>
      </c>
      <c r="E1" s="221"/>
      <c r="F1" s="221"/>
      <c r="G1" s="221"/>
    </row>
    <row r="2" spans="2:16" x14ac:dyDescent="0.2">
      <c r="D2" s="221"/>
      <c r="E2" s="221"/>
      <c r="F2" s="221"/>
      <c r="G2" s="221"/>
      <c r="N2" s="149" t="s">
        <v>383</v>
      </c>
      <c r="P2" s="138"/>
    </row>
    <row r="3" spans="2:16" x14ac:dyDescent="0.2">
      <c r="D3" s="221"/>
      <c r="E3" s="221"/>
      <c r="F3" s="221"/>
      <c r="G3" s="221"/>
      <c r="N3" s="138"/>
    </row>
    <row r="4" spans="2:16" x14ac:dyDescent="0.2">
      <c r="D4" s="221"/>
      <c r="E4" s="221"/>
      <c r="F4" s="221"/>
      <c r="G4" s="221"/>
    </row>
    <row r="5" spans="2:16" x14ac:dyDescent="0.2">
      <c r="D5" s="221"/>
      <c r="E5" s="221"/>
      <c r="F5" s="221"/>
      <c r="G5" s="221"/>
    </row>
    <row r="6" spans="2:16" x14ac:dyDescent="0.2">
      <c r="D6" s="221"/>
      <c r="E6" s="221"/>
      <c r="F6" s="221"/>
      <c r="G6" s="221"/>
    </row>
    <row r="8" spans="2:16" ht="15.75" customHeight="1" x14ac:dyDescent="0.2">
      <c r="B8" s="221" t="s">
        <v>9</v>
      </c>
      <c r="C8" s="221"/>
      <c r="D8" s="221"/>
      <c r="E8" s="221"/>
      <c r="F8" s="221"/>
      <c r="G8" s="221"/>
      <c r="H8" s="221"/>
      <c r="I8" s="221"/>
      <c r="N8" s="118"/>
    </row>
    <row r="9" spans="2:16" x14ac:dyDescent="0.2">
      <c r="B9" s="221"/>
      <c r="C9" s="221"/>
      <c r="D9" s="221"/>
      <c r="E9" s="221"/>
      <c r="F9" s="221"/>
      <c r="G9" s="221"/>
      <c r="H9" s="221"/>
      <c r="I9" s="221"/>
    </row>
    <row r="10" spans="2:16" x14ac:dyDescent="0.2">
      <c r="B10" s="221"/>
      <c r="C10" s="221"/>
      <c r="D10" s="221"/>
      <c r="E10" s="221"/>
      <c r="F10" s="221"/>
      <c r="G10" s="221"/>
      <c r="H10" s="221"/>
      <c r="I10" s="221"/>
    </row>
    <row r="11" spans="2:16" x14ac:dyDescent="0.2">
      <c r="B11" s="221"/>
      <c r="C11" s="221"/>
      <c r="D11" s="221"/>
      <c r="E11" s="221"/>
      <c r="F11" s="221"/>
      <c r="G11" s="221"/>
      <c r="H11" s="221"/>
      <c r="I11" s="221"/>
    </row>
    <row r="12" spans="2:16" x14ac:dyDescent="0.2">
      <c r="B12" s="221"/>
      <c r="C12" s="221"/>
      <c r="D12" s="221"/>
      <c r="E12" s="221"/>
      <c r="F12" s="221"/>
      <c r="G12" s="221"/>
      <c r="H12" s="221"/>
      <c r="I12" s="221"/>
    </row>
    <row r="13" spans="2:16" x14ac:dyDescent="0.2">
      <c r="B13" s="221"/>
      <c r="C13" s="221"/>
      <c r="D13" s="221"/>
      <c r="E13" s="221"/>
      <c r="F13" s="221"/>
      <c r="G13" s="221"/>
      <c r="H13" s="221"/>
      <c r="I13" s="221"/>
      <c r="N13" s="123" t="s">
        <v>297</v>
      </c>
      <c r="O13" s="121"/>
      <c r="P13" s="121"/>
    </row>
    <row r="14" spans="2:16" ht="15.6" customHeight="1" x14ac:dyDescent="0.2">
      <c r="B14" s="221"/>
      <c r="C14" s="221"/>
      <c r="D14" s="221"/>
      <c r="E14" s="221"/>
      <c r="F14" s="221"/>
      <c r="G14" s="221"/>
      <c r="H14" s="221"/>
      <c r="I14" s="221"/>
      <c r="N14" s="220" t="s">
        <v>301</v>
      </c>
      <c r="O14" s="220"/>
      <c r="P14" s="220"/>
    </row>
    <row r="15" spans="2:16" x14ac:dyDescent="0.2">
      <c r="B15" s="221"/>
      <c r="C15" s="221"/>
      <c r="D15" s="221"/>
      <c r="E15" s="221"/>
      <c r="F15" s="221"/>
      <c r="G15" s="221"/>
      <c r="H15" s="221"/>
      <c r="I15" s="221"/>
      <c r="N15" s="220"/>
      <c r="O15" s="220"/>
      <c r="P15" s="220"/>
    </row>
    <row r="16" spans="2:16" x14ac:dyDescent="0.2">
      <c r="B16" s="221"/>
      <c r="C16" s="221"/>
      <c r="D16" s="221"/>
      <c r="E16" s="221"/>
      <c r="F16" s="221"/>
      <c r="G16" s="221"/>
      <c r="H16" s="221"/>
      <c r="I16" s="221"/>
      <c r="N16" s="220"/>
      <c r="O16" s="220"/>
      <c r="P16" s="220"/>
    </row>
    <row r="17" spans="2:16" x14ac:dyDescent="0.2">
      <c r="B17" s="221"/>
      <c r="C17" s="221"/>
      <c r="D17" s="221"/>
      <c r="E17" s="221"/>
      <c r="F17" s="221"/>
      <c r="G17" s="221"/>
      <c r="H17" s="221"/>
      <c r="I17" s="221"/>
      <c r="N17" s="220"/>
      <c r="O17" s="220"/>
      <c r="P17" s="220"/>
    </row>
    <row r="18" spans="2:16" x14ac:dyDescent="0.2">
      <c r="B18" s="221"/>
      <c r="C18" s="221"/>
      <c r="D18" s="221"/>
      <c r="E18" s="221"/>
      <c r="F18" s="221"/>
      <c r="G18" s="221"/>
      <c r="H18" s="221"/>
      <c r="I18" s="221"/>
      <c r="N18" s="220"/>
      <c r="O18" s="220"/>
      <c r="P18" s="220"/>
    </row>
    <row r="19" spans="2:16" x14ac:dyDescent="0.2">
      <c r="B19" s="221"/>
      <c r="C19" s="221"/>
      <c r="D19" s="221"/>
      <c r="E19" s="221"/>
      <c r="F19" s="221"/>
      <c r="G19" s="221"/>
      <c r="H19" s="221"/>
      <c r="I19" s="221"/>
      <c r="N19" s="220"/>
      <c r="O19" s="220"/>
      <c r="P19" s="220"/>
    </row>
    <row r="20" spans="2:16" x14ac:dyDescent="0.2">
      <c r="B20" s="221"/>
      <c r="C20" s="221"/>
      <c r="D20" s="221"/>
      <c r="E20" s="221"/>
      <c r="F20" s="221"/>
      <c r="G20" s="221"/>
      <c r="H20" s="221"/>
      <c r="I20" s="221"/>
    </row>
    <row r="21" spans="2:16" x14ac:dyDescent="0.2">
      <c r="B21" s="221"/>
      <c r="C21" s="221"/>
      <c r="D21" s="221"/>
      <c r="E21" s="221"/>
      <c r="F21" s="221"/>
      <c r="G21" s="221"/>
      <c r="H21" s="221"/>
      <c r="I21" s="221"/>
    </row>
    <row r="22" spans="2:16" x14ac:dyDescent="0.2">
      <c r="B22" s="221"/>
      <c r="C22" s="221"/>
      <c r="D22" s="221"/>
      <c r="E22" s="221"/>
      <c r="F22" s="221"/>
      <c r="G22" s="221"/>
      <c r="H22" s="221"/>
      <c r="I22" s="221"/>
    </row>
    <row r="23" spans="2:16" x14ac:dyDescent="0.2">
      <c r="B23" s="221"/>
      <c r="C23" s="221"/>
      <c r="D23" s="221"/>
      <c r="E23" s="221"/>
      <c r="F23" s="221"/>
      <c r="G23" s="221"/>
      <c r="H23" s="221"/>
      <c r="I23" s="221"/>
    </row>
    <row r="24" spans="2:16" x14ac:dyDescent="0.2">
      <c r="B24" s="221"/>
      <c r="C24" s="221"/>
      <c r="D24" s="221"/>
      <c r="E24" s="221"/>
      <c r="F24" s="221"/>
      <c r="G24" s="221"/>
      <c r="H24" s="221"/>
      <c r="I24" s="221"/>
    </row>
    <row r="29" spans="2:16" ht="18" x14ac:dyDescent="0.25">
      <c r="B29" s="215" t="s">
        <v>388</v>
      </c>
      <c r="C29" s="215"/>
      <c r="D29" s="215"/>
      <c r="E29" s="215"/>
      <c r="F29" s="215"/>
      <c r="G29" s="215"/>
      <c r="H29" s="215"/>
      <c r="I29" s="215"/>
    </row>
    <row r="30" spans="2:16" ht="18" x14ac:dyDescent="0.25">
      <c r="C30" s="7"/>
      <c r="D30" s="8"/>
      <c r="E30" s="8"/>
      <c r="F30" s="8"/>
      <c r="G30" s="8"/>
      <c r="H30" s="8"/>
      <c r="I30" s="8"/>
    </row>
    <row r="31" spans="2:16" ht="18" x14ac:dyDescent="0.25">
      <c r="B31" s="215" t="s">
        <v>389</v>
      </c>
      <c r="C31" s="215"/>
      <c r="D31" s="215"/>
      <c r="E31" s="215"/>
      <c r="F31" s="215"/>
      <c r="G31" s="215"/>
      <c r="H31" s="215"/>
      <c r="I31" s="215"/>
    </row>
    <row r="32" spans="2:16" ht="18" x14ac:dyDescent="0.25">
      <c r="C32" s="7"/>
      <c r="D32" s="8"/>
      <c r="E32" s="8"/>
      <c r="F32" s="8"/>
      <c r="G32" s="8"/>
      <c r="H32" s="8"/>
      <c r="I32" s="8"/>
    </row>
    <row r="33" spans="2:9" ht="18" x14ac:dyDescent="0.25">
      <c r="B33" s="215" t="s">
        <v>390</v>
      </c>
      <c r="C33" s="215"/>
      <c r="D33" s="215"/>
      <c r="E33" s="215"/>
      <c r="F33" s="215"/>
      <c r="G33" s="215"/>
      <c r="H33" s="215"/>
      <c r="I33" s="215"/>
    </row>
    <row r="34" spans="2:9" ht="18" x14ac:dyDescent="0.25">
      <c r="C34" s="7"/>
      <c r="D34" s="8"/>
      <c r="E34" s="8"/>
      <c r="F34" s="8"/>
      <c r="G34" s="8"/>
      <c r="H34" s="8"/>
      <c r="I34" s="8"/>
    </row>
    <row r="35" spans="2:9" ht="18" x14ac:dyDescent="0.25">
      <c r="B35" s="215" t="s">
        <v>391</v>
      </c>
      <c r="C35" s="215"/>
      <c r="D35" s="215"/>
      <c r="E35" s="215"/>
      <c r="F35" s="215"/>
      <c r="G35" s="215"/>
      <c r="H35" s="215"/>
      <c r="I35" s="215"/>
    </row>
    <row r="37" spans="2:9" ht="18" x14ac:dyDescent="0.25">
      <c r="B37" s="215" t="s">
        <v>392</v>
      </c>
      <c r="C37" s="215"/>
      <c r="D37" s="215"/>
      <c r="E37" s="215"/>
      <c r="F37" s="215"/>
      <c r="G37" s="215"/>
      <c r="H37" s="215"/>
      <c r="I37" s="215"/>
    </row>
    <row r="39" spans="2:9" x14ac:dyDescent="0.2">
      <c r="B39" s="2" t="s">
        <v>10</v>
      </c>
      <c r="C39" s="9">
        <v>2022</v>
      </c>
    </row>
    <row r="40" spans="2:9" ht="14.25" customHeight="1" x14ac:dyDescent="0.2"/>
    <row r="41" spans="2:9" x14ac:dyDescent="0.2">
      <c r="B41" s="10" t="s">
        <v>11</v>
      </c>
      <c r="C41" s="216" t="s">
        <v>393</v>
      </c>
      <c r="D41" s="213"/>
      <c r="E41" s="213"/>
      <c r="F41" s="213"/>
      <c r="G41" s="213"/>
      <c r="H41" s="213"/>
      <c r="I41" s="213"/>
    </row>
    <row r="42" spans="2:9" x14ac:dyDescent="0.2">
      <c r="B42" s="10"/>
    </row>
    <row r="43" spans="2:9" x14ac:dyDescent="0.2">
      <c r="B43" s="10" t="s">
        <v>12</v>
      </c>
      <c r="C43" s="217" t="s">
        <v>435</v>
      </c>
      <c r="D43" s="218"/>
      <c r="E43" s="218"/>
    </row>
    <row r="44" spans="2:9" x14ac:dyDescent="0.2">
      <c r="B44" s="10"/>
    </row>
    <row r="45" spans="2:9" ht="15.75" x14ac:dyDescent="0.25">
      <c r="B45" s="10" t="s">
        <v>13</v>
      </c>
      <c r="C45" s="219" t="s">
        <v>394</v>
      </c>
      <c r="D45" s="213"/>
      <c r="E45" s="213"/>
    </row>
    <row r="46" spans="2:9" x14ac:dyDescent="0.2">
      <c r="B46" s="10"/>
    </row>
    <row r="47" spans="2:9" x14ac:dyDescent="0.2">
      <c r="B47" s="10" t="s">
        <v>14</v>
      </c>
      <c r="C47" s="216" t="s">
        <v>395</v>
      </c>
      <c r="D47" s="213"/>
      <c r="F47" s="2" t="s">
        <v>15</v>
      </c>
      <c r="G47" s="216" t="s">
        <v>396</v>
      </c>
      <c r="H47" s="213"/>
      <c r="I47" s="213"/>
    </row>
    <row r="48" spans="2:9" x14ac:dyDescent="0.2">
      <c r="B48" s="10"/>
    </row>
    <row r="49" spans="2:9" x14ac:dyDescent="0.2">
      <c r="B49" s="10" t="s">
        <v>16</v>
      </c>
      <c r="C49" s="216" t="s">
        <v>497</v>
      </c>
      <c r="D49" s="213"/>
      <c r="F49" s="2" t="s">
        <v>15</v>
      </c>
      <c r="G49" s="216" t="s">
        <v>498</v>
      </c>
      <c r="H49" s="213"/>
      <c r="I49" s="213"/>
    </row>
    <row r="50" spans="2:9" x14ac:dyDescent="0.2">
      <c r="B50" s="10"/>
    </row>
    <row r="51" spans="2:9" x14ac:dyDescent="0.2">
      <c r="B51" s="10" t="s">
        <v>17</v>
      </c>
      <c r="C51" s="9">
        <v>1.3</v>
      </c>
    </row>
    <row r="52" spans="2:9" x14ac:dyDescent="0.2">
      <c r="B52" s="10"/>
    </row>
    <row r="53" spans="2:9" x14ac:dyDescent="0.2">
      <c r="B53" s="10" t="s">
        <v>18</v>
      </c>
      <c r="C53" s="214">
        <v>44957</v>
      </c>
      <c r="D53" s="213"/>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I47"/>
  </mergeCells>
  <hyperlinks>
    <hyperlink ref="C45" r:id="rId1" xr:uid="{36BD60E2-6FAD-45BD-977B-6933E813001D}"/>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447675</xdr:colOff>
                    <xdr:row>8</xdr:row>
                    <xdr:rowOff>114300</xdr:rowOff>
                  </from>
                  <to>
                    <xdr:col>15</xdr:col>
                    <xdr:colOff>295275</xdr:colOff>
                    <xdr:row>11</xdr:row>
                    <xdr:rowOff>28575</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447675</xdr:colOff>
                    <xdr:row>5</xdr:row>
                    <xdr:rowOff>104775</xdr:rowOff>
                  </from>
                  <to>
                    <xdr:col>15</xdr:col>
                    <xdr:colOff>295275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workbookViewId="0">
      <selection activeCell="K58" sqref="K58"/>
    </sheetView>
  </sheetViews>
  <sheetFormatPr defaultColWidth="9.42578125" defaultRowHeight="15" x14ac:dyDescent="0.2"/>
  <cols>
    <col min="1" max="1" width="17.28515625" style="2" customWidth="1"/>
    <col min="2" max="2" width="14.5703125" style="2" bestFit="1" customWidth="1"/>
    <col min="3" max="7" width="9.42578125" style="2"/>
    <col min="8" max="8" width="10.140625" style="2" bestFit="1" customWidth="1"/>
    <col min="9" max="9" width="9.42578125" style="2"/>
    <col min="10" max="10" width="11.5703125" style="2" customWidth="1"/>
    <col min="11" max="16384" width="9.42578125" style="2"/>
  </cols>
  <sheetData>
    <row r="1" spans="1:15" x14ac:dyDescent="0.2">
      <c r="A1" s="2" t="str">
        <f>+'Cover Page'!$B$29</f>
        <v>Annual Performance Report 2022</v>
      </c>
      <c r="E1" s="2" t="str">
        <f>+'Cover Page'!$B$33</f>
        <v>enfinium Ferrybridge 1 Ltd</v>
      </c>
    </row>
    <row r="3" spans="1:15" ht="15.75" x14ac:dyDescent="0.25">
      <c r="A3" s="97" t="s">
        <v>19</v>
      </c>
      <c r="B3" s="95"/>
      <c r="C3" s="95"/>
      <c r="D3" s="95"/>
      <c r="E3" s="95"/>
      <c r="F3" s="95"/>
      <c r="G3" s="95"/>
      <c r="H3" s="96"/>
      <c r="K3" s="123" t="s">
        <v>297</v>
      </c>
    </row>
    <row r="4" spans="1:15" ht="15.75" x14ac:dyDescent="0.25">
      <c r="A4" s="5" t="s">
        <v>0</v>
      </c>
      <c r="B4" s="243" t="s">
        <v>1</v>
      </c>
      <c r="C4" s="243"/>
      <c r="D4" s="243"/>
      <c r="E4" s="243"/>
      <c r="F4" s="243"/>
      <c r="G4" s="243"/>
      <c r="H4" s="6" t="s">
        <v>2</v>
      </c>
      <c r="K4" s="121" t="s">
        <v>299</v>
      </c>
    </row>
    <row r="5" spans="1:15" ht="15.6" customHeight="1" x14ac:dyDescent="0.2">
      <c r="A5" s="4"/>
      <c r="B5" s="239" t="s">
        <v>274</v>
      </c>
      <c r="C5" s="239"/>
      <c r="D5" s="239"/>
      <c r="E5" s="239"/>
      <c r="F5" s="239"/>
      <c r="G5" s="239"/>
      <c r="H5" s="4">
        <v>3</v>
      </c>
      <c r="K5" s="220" t="s">
        <v>300</v>
      </c>
      <c r="L5" s="220"/>
      <c r="M5" s="220"/>
      <c r="N5" s="220"/>
      <c r="O5" s="220"/>
    </row>
    <row r="6" spans="1:15" x14ac:dyDescent="0.2">
      <c r="A6" s="4"/>
      <c r="B6" s="239" t="s">
        <v>275</v>
      </c>
      <c r="C6" s="239"/>
      <c r="D6" s="239"/>
      <c r="E6" s="239"/>
      <c r="F6" s="239"/>
      <c r="G6" s="239"/>
      <c r="H6" s="4">
        <v>4</v>
      </c>
      <c r="K6" s="220"/>
      <c r="L6" s="220"/>
      <c r="M6" s="220"/>
      <c r="N6" s="220"/>
      <c r="O6" s="220"/>
    </row>
    <row r="7" spans="1:15" ht="15.75" customHeight="1" x14ac:dyDescent="0.2">
      <c r="A7" s="4"/>
      <c r="B7" s="239" t="s">
        <v>26</v>
      </c>
      <c r="C7" s="239"/>
      <c r="D7" s="239"/>
      <c r="E7" s="239"/>
      <c r="F7" s="239"/>
      <c r="G7" s="239"/>
      <c r="H7" s="4">
        <v>7</v>
      </c>
      <c r="K7" s="220"/>
      <c r="L7" s="220"/>
      <c r="M7" s="220"/>
      <c r="N7" s="220"/>
      <c r="O7" s="220"/>
    </row>
    <row r="8" spans="1:15" x14ac:dyDescent="0.2">
      <c r="A8" s="4"/>
      <c r="B8" s="239" t="s">
        <v>276</v>
      </c>
      <c r="C8" s="239"/>
      <c r="D8" s="239"/>
      <c r="E8" s="239"/>
      <c r="F8" s="239"/>
      <c r="G8" s="239"/>
      <c r="H8" s="4">
        <v>8</v>
      </c>
      <c r="K8" s="220"/>
      <c r="L8" s="220"/>
      <c r="M8" s="220"/>
      <c r="N8" s="220"/>
      <c r="O8" s="220"/>
    </row>
    <row r="9" spans="1:15" x14ac:dyDescent="0.2">
      <c r="A9" s="4"/>
      <c r="B9" s="239" t="s">
        <v>277</v>
      </c>
      <c r="C9" s="239"/>
      <c r="D9" s="239"/>
      <c r="E9" s="239"/>
      <c r="F9" s="239"/>
      <c r="G9" s="239"/>
      <c r="H9" s="4">
        <v>10</v>
      </c>
    </row>
    <row r="10" spans="1:15" x14ac:dyDescent="0.2">
      <c r="A10" s="4"/>
      <c r="B10" s="239" t="s">
        <v>279</v>
      </c>
      <c r="C10" s="239"/>
      <c r="D10" s="239"/>
      <c r="E10" s="239"/>
      <c r="F10" s="239"/>
      <c r="G10" s="239"/>
      <c r="H10" s="4">
        <v>11</v>
      </c>
    </row>
    <row r="11" spans="1:15" x14ac:dyDescent="0.2">
      <c r="A11" s="4"/>
      <c r="B11" s="239" t="s">
        <v>278</v>
      </c>
      <c r="C11" s="239"/>
      <c r="D11" s="239"/>
      <c r="E11" s="239"/>
      <c r="F11" s="239"/>
      <c r="G11" s="239"/>
      <c r="H11" s="4">
        <v>12</v>
      </c>
    </row>
    <row r="12" spans="1:15" x14ac:dyDescent="0.2">
      <c r="A12" s="4"/>
      <c r="B12" s="239" t="s">
        <v>280</v>
      </c>
      <c r="C12" s="239"/>
      <c r="D12" s="239"/>
      <c r="E12" s="239"/>
      <c r="F12" s="239"/>
      <c r="G12" s="239"/>
      <c r="H12" s="4">
        <v>15</v>
      </c>
    </row>
    <row r="13" spans="1:15" x14ac:dyDescent="0.2">
      <c r="A13" s="4"/>
      <c r="B13" s="239" t="s">
        <v>209</v>
      </c>
      <c r="C13" s="239"/>
      <c r="D13" s="239"/>
      <c r="E13" s="239"/>
      <c r="F13" s="239"/>
      <c r="G13" s="239"/>
      <c r="H13" s="4">
        <v>16</v>
      </c>
    </row>
    <row r="14" spans="1:15" ht="15.75" x14ac:dyDescent="0.25">
      <c r="A14" s="4"/>
      <c r="B14" s="240" t="s">
        <v>382</v>
      </c>
      <c r="C14" s="241"/>
      <c r="D14" s="241"/>
      <c r="E14" s="241"/>
      <c r="F14" s="241"/>
      <c r="G14" s="242"/>
      <c r="H14" s="4">
        <v>18</v>
      </c>
    </row>
    <row r="15" spans="1:15" x14ac:dyDescent="0.2">
      <c r="A15" s="4"/>
      <c r="B15" s="239" t="s">
        <v>381</v>
      </c>
      <c r="C15" s="239"/>
      <c r="D15" s="239"/>
      <c r="E15" s="239"/>
      <c r="F15" s="239"/>
      <c r="G15" s="239"/>
      <c r="H15" s="4">
        <v>20</v>
      </c>
    </row>
    <row r="16" spans="1:15" x14ac:dyDescent="0.2">
      <c r="A16" s="4"/>
      <c r="B16" s="239" t="s">
        <v>192</v>
      </c>
      <c r="C16" s="239"/>
      <c r="D16" s="239"/>
      <c r="E16" s="239"/>
      <c r="F16" s="239"/>
      <c r="G16" s="239"/>
      <c r="H16" s="4">
        <v>21</v>
      </c>
    </row>
    <row r="17" spans="1:8" x14ac:dyDescent="0.2">
      <c r="A17" s="4"/>
      <c r="B17" s="239" t="s">
        <v>281</v>
      </c>
      <c r="C17" s="239"/>
      <c r="D17" s="239"/>
      <c r="E17" s="239"/>
      <c r="F17" s="239"/>
      <c r="G17" s="239"/>
      <c r="H17" s="4">
        <v>22</v>
      </c>
    </row>
    <row r="18" spans="1:8" x14ac:dyDescent="0.2">
      <c r="A18" s="4"/>
      <c r="B18" s="239" t="s">
        <v>282</v>
      </c>
      <c r="C18" s="239"/>
      <c r="D18" s="239"/>
      <c r="E18" s="239"/>
      <c r="F18" s="239"/>
      <c r="G18" s="239"/>
      <c r="H18" s="4">
        <v>23</v>
      </c>
    </row>
    <row r="19" spans="1:8" x14ac:dyDescent="0.2">
      <c r="A19" s="4"/>
      <c r="B19" s="239" t="s">
        <v>283</v>
      </c>
      <c r="C19" s="239"/>
      <c r="D19" s="239"/>
      <c r="E19" s="239"/>
      <c r="F19" s="239"/>
      <c r="G19" s="239"/>
      <c r="H19" s="4">
        <v>24</v>
      </c>
    </row>
    <row r="20" spans="1:8" x14ac:dyDescent="0.2">
      <c r="A20" s="4"/>
      <c r="B20" s="239" t="s">
        <v>284</v>
      </c>
      <c r="C20" s="239"/>
      <c r="D20" s="239"/>
      <c r="E20" s="239"/>
      <c r="F20" s="239"/>
      <c r="G20" s="239"/>
      <c r="H20" s="4">
        <v>25</v>
      </c>
    </row>
    <row r="21" spans="1:8" x14ac:dyDescent="0.2">
      <c r="A21" s="4"/>
      <c r="B21" s="239" t="s">
        <v>285</v>
      </c>
      <c r="C21" s="239"/>
      <c r="D21" s="239"/>
      <c r="E21" s="239"/>
      <c r="F21" s="239"/>
      <c r="G21" s="239"/>
      <c r="H21" s="4">
        <v>26</v>
      </c>
    </row>
    <row r="22" spans="1:8" x14ac:dyDescent="0.2">
      <c r="A22" s="4"/>
      <c r="B22" s="239" t="s">
        <v>288</v>
      </c>
      <c r="C22" s="239"/>
      <c r="D22" s="239"/>
      <c r="E22" s="239"/>
      <c r="F22" s="239"/>
      <c r="G22" s="239"/>
      <c r="H22" s="4">
        <v>27</v>
      </c>
    </row>
    <row r="23" spans="1:8" x14ac:dyDescent="0.2">
      <c r="A23" s="4"/>
      <c r="B23" s="232" t="s">
        <v>286</v>
      </c>
      <c r="C23" s="233"/>
      <c r="D23" s="233"/>
      <c r="E23" s="233"/>
      <c r="F23" s="233"/>
      <c r="G23" s="234"/>
      <c r="H23" s="4">
        <v>28</v>
      </c>
    </row>
    <row r="24" spans="1:8" x14ac:dyDescent="0.2">
      <c r="A24" s="4"/>
      <c r="B24" s="232" t="s">
        <v>287</v>
      </c>
      <c r="C24" s="233"/>
      <c r="D24" s="233"/>
      <c r="E24" s="233"/>
      <c r="F24" s="233"/>
      <c r="G24" s="234"/>
      <c r="H24" s="4">
        <v>30</v>
      </c>
    </row>
    <row r="25" spans="1:8" x14ac:dyDescent="0.2">
      <c r="A25" s="4"/>
      <c r="B25" s="235"/>
      <c r="C25" s="235"/>
      <c r="D25" s="235"/>
      <c r="E25" s="235"/>
      <c r="F25" s="235"/>
      <c r="G25" s="235"/>
      <c r="H25" s="4"/>
    </row>
    <row r="27" spans="1:8" ht="15.75" x14ac:dyDescent="0.25">
      <c r="A27" s="94" t="s">
        <v>20</v>
      </c>
      <c r="B27" s="95"/>
      <c r="C27" s="95"/>
      <c r="D27" s="95"/>
      <c r="E27" s="95"/>
      <c r="F27" s="95"/>
      <c r="G27" s="95"/>
      <c r="H27" s="96"/>
    </row>
    <row r="28" spans="1:8" x14ac:dyDescent="0.2">
      <c r="A28" s="12" t="s">
        <v>0</v>
      </c>
      <c r="B28" s="236" t="s">
        <v>3</v>
      </c>
      <c r="C28" s="236"/>
      <c r="D28" s="236"/>
      <c r="E28" s="236"/>
      <c r="F28" s="236"/>
      <c r="G28" s="236"/>
      <c r="H28" s="13" t="s">
        <v>4</v>
      </c>
    </row>
    <row r="29" spans="1:8" x14ac:dyDescent="0.2">
      <c r="A29" s="211" t="s">
        <v>494</v>
      </c>
      <c r="B29" s="237"/>
      <c r="C29" s="237"/>
      <c r="D29" s="237"/>
      <c r="E29" s="237"/>
      <c r="F29" s="237"/>
      <c r="G29" s="237"/>
      <c r="H29" s="212">
        <v>44949</v>
      </c>
    </row>
    <row r="30" spans="1:8" x14ac:dyDescent="0.2">
      <c r="A30" s="211" t="s">
        <v>495</v>
      </c>
      <c r="B30" s="237"/>
      <c r="C30" s="237"/>
      <c r="D30" s="237"/>
      <c r="E30" s="237"/>
      <c r="F30" s="237"/>
      <c r="G30" s="237"/>
      <c r="H30" s="212">
        <v>44956</v>
      </c>
    </row>
    <row r="31" spans="1:8" x14ac:dyDescent="0.2">
      <c r="A31" s="211" t="s">
        <v>496</v>
      </c>
      <c r="B31" s="237"/>
      <c r="C31" s="237"/>
      <c r="D31" s="237"/>
      <c r="E31" s="237"/>
      <c r="F31" s="237"/>
      <c r="G31" s="237"/>
      <c r="H31" s="212">
        <v>44957</v>
      </c>
    </row>
    <row r="32" spans="1:8" x14ac:dyDescent="0.2">
      <c r="A32" s="14"/>
      <c r="B32" s="237"/>
      <c r="C32" s="237"/>
      <c r="D32" s="237"/>
      <c r="E32" s="237"/>
      <c r="F32" s="237"/>
      <c r="G32" s="237"/>
      <c r="H32" s="14"/>
    </row>
    <row r="33" spans="1:10" x14ac:dyDescent="0.2">
      <c r="A33" s="14"/>
      <c r="B33" s="237"/>
      <c r="C33" s="237"/>
      <c r="D33" s="237"/>
      <c r="E33" s="237"/>
      <c r="F33" s="237"/>
      <c r="G33" s="237"/>
      <c r="H33" s="14"/>
    </row>
    <row r="35" spans="1:10" ht="14.25" customHeight="1" x14ac:dyDescent="0.25">
      <c r="A35" s="94" t="s">
        <v>21</v>
      </c>
      <c r="B35" s="95"/>
      <c r="C35" s="95"/>
      <c r="D35" s="95"/>
      <c r="E35" s="95"/>
      <c r="F35" s="95"/>
      <c r="G35" s="95"/>
      <c r="H35" s="96"/>
    </row>
    <row r="36" spans="1:10" x14ac:dyDescent="0.2">
      <c r="A36" s="16" t="s">
        <v>5</v>
      </c>
      <c r="B36" s="238" t="s">
        <v>6</v>
      </c>
      <c r="C36" s="238"/>
      <c r="D36" s="238"/>
      <c r="E36" s="238"/>
      <c r="F36" s="238"/>
      <c r="G36" s="238"/>
      <c r="H36" s="17" t="s">
        <v>7</v>
      </c>
    </row>
    <row r="37" spans="1:10" x14ac:dyDescent="0.2">
      <c r="A37" s="18"/>
      <c r="B37" s="231"/>
      <c r="C37" s="231"/>
      <c r="D37" s="231"/>
      <c r="E37" s="231"/>
      <c r="F37" s="231"/>
      <c r="G37" s="231"/>
      <c r="H37" s="18"/>
    </row>
    <row r="38" spans="1:10" x14ac:dyDescent="0.2">
      <c r="A38" s="18"/>
      <c r="B38" s="231"/>
      <c r="C38" s="231"/>
      <c r="D38" s="231"/>
      <c r="E38" s="231"/>
      <c r="F38" s="231"/>
      <c r="G38" s="231"/>
      <c r="H38" s="18"/>
    </row>
    <row r="39" spans="1:10" x14ac:dyDescent="0.2">
      <c r="A39" s="18"/>
      <c r="B39" s="231"/>
      <c r="C39" s="231"/>
      <c r="D39" s="231"/>
      <c r="E39" s="231"/>
      <c r="F39" s="231"/>
      <c r="G39" s="231"/>
      <c r="H39" s="18"/>
    </row>
    <row r="40" spans="1:10" x14ac:dyDescent="0.2">
      <c r="A40" s="18"/>
      <c r="B40" s="231"/>
      <c r="C40" s="231"/>
      <c r="D40" s="231"/>
      <c r="E40" s="231"/>
      <c r="F40" s="231"/>
      <c r="G40" s="231"/>
      <c r="H40" s="18"/>
    </row>
    <row r="41" spans="1:10" x14ac:dyDescent="0.2">
      <c r="A41" s="18"/>
      <c r="B41" s="231"/>
      <c r="C41" s="231"/>
      <c r="D41" s="231"/>
      <c r="E41" s="231"/>
      <c r="F41" s="231"/>
      <c r="G41" s="231"/>
      <c r="H41" s="18"/>
    </row>
    <row r="42" spans="1:10" x14ac:dyDescent="0.2">
      <c r="A42" s="18"/>
      <c r="B42" s="231"/>
      <c r="C42" s="231"/>
      <c r="D42" s="231"/>
      <c r="E42" s="231"/>
      <c r="F42" s="231"/>
      <c r="G42" s="231"/>
      <c r="H42" s="18"/>
    </row>
    <row r="43" spans="1:10" x14ac:dyDescent="0.2">
      <c r="A43" s="18"/>
      <c r="B43" s="231"/>
      <c r="C43" s="231"/>
      <c r="D43" s="231"/>
      <c r="E43" s="231"/>
      <c r="F43" s="231"/>
      <c r="G43" s="231"/>
      <c r="H43" s="18"/>
    </row>
    <row r="45" spans="1:10" x14ac:dyDescent="0.2">
      <c r="A45" s="222" t="s">
        <v>22</v>
      </c>
      <c r="B45" s="223"/>
      <c r="C45" s="223"/>
      <c r="D45" s="223"/>
      <c r="E45" s="223"/>
      <c r="F45" s="223"/>
      <c r="G45" s="223"/>
      <c r="H45" s="223"/>
      <c r="I45" s="223"/>
      <c r="J45" s="224"/>
    </row>
    <row r="46" spans="1:10" x14ac:dyDescent="0.2">
      <c r="A46" s="225"/>
      <c r="B46" s="226"/>
      <c r="C46" s="226"/>
      <c r="D46" s="226"/>
      <c r="E46" s="226"/>
      <c r="F46" s="226"/>
      <c r="G46" s="226"/>
      <c r="H46" s="226"/>
      <c r="I46" s="226"/>
      <c r="J46" s="227"/>
    </row>
    <row r="47" spans="1:10" x14ac:dyDescent="0.2">
      <c r="A47" s="225"/>
      <c r="B47" s="226"/>
      <c r="C47" s="226"/>
      <c r="D47" s="226"/>
      <c r="E47" s="226"/>
      <c r="F47" s="226"/>
      <c r="G47" s="226"/>
      <c r="H47" s="226"/>
      <c r="I47" s="226"/>
      <c r="J47" s="227"/>
    </row>
    <row r="48" spans="1:10" x14ac:dyDescent="0.2">
      <c r="A48" s="228"/>
      <c r="B48" s="229"/>
      <c r="C48" s="229"/>
      <c r="D48" s="229"/>
      <c r="E48" s="229"/>
      <c r="F48" s="229"/>
      <c r="G48" s="229"/>
      <c r="H48" s="229"/>
      <c r="I48" s="229"/>
      <c r="J48" s="230"/>
    </row>
    <row r="66" spans="6:6" x14ac:dyDescent="0.2">
      <c r="F66" s="3"/>
    </row>
  </sheetData>
  <mergeCells count="38">
    <mergeCell ref="K5:O8"/>
    <mergeCell ref="B9:G9"/>
    <mergeCell ref="B4:G4"/>
    <mergeCell ref="B5:G5"/>
    <mergeCell ref="B6:G6"/>
    <mergeCell ref="B7:G7"/>
    <mergeCell ref="B8:G8"/>
    <mergeCell ref="B22:G22"/>
    <mergeCell ref="B10:G10"/>
    <mergeCell ref="B11:G11"/>
    <mergeCell ref="B12:G12"/>
    <mergeCell ref="B15:G15"/>
    <mergeCell ref="B16:G16"/>
    <mergeCell ref="B13:G13"/>
    <mergeCell ref="B17:G17"/>
    <mergeCell ref="B18:G18"/>
    <mergeCell ref="B19:G19"/>
    <mergeCell ref="B20:G20"/>
    <mergeCell ref="B21:G21"/>
    <mergeCell ref="B14:G14"/>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workbookViewId="0">
      <selection activeCell="K58" sqref="K58"/>
    </sheetView>
  </sheetViews>
  <sheetFormatPr defaultColWidth="9.42578125" defaultRowHeight="15" x14ac:dyDescent="0.2"/>
  <cols>
    <col min="1" max="1" width="9.42578125" style="2" customWidth="1"/>
    <col min="2" max="2" width="14.5703125" style="2" bestFit="1" customWidth="1"/>
    <col min="3" max="9" width="9.42578125" style="2"/>
    <col min="10" max="10" width="11.5703125" style="2" customWidth="1"/>
    <col min="11" max="16384" width="9.42578125" style="2"/>
  </cols>
  <sheetData>
    <row r="1" spans="1:14" x14ac:dyDescent="0.2">
      <c r="A1" s="2" t="str">
        <f>+'Cover Page'!$B$29</f>
        <v>Annual Performance Report 2022</v>
      </c>
      <c r="E1" s="2" t="str">
        <f>+'Cover Page'!$B$33</f>
        <v>enfinium Ferrybridge 1 Ltd</v>
      </c>
    </row>
    <row r="3" spans="1:14" ht="15.75" x14ac:dyDescent="0.25">
      <c r="A3" s="88" t="s">
        <v>23</v>
      </c>
      <c r="B3" s="89"/>
      <c r="C3" s="89"/>
      <c r="D3" s="89"/>
      <c r="E3" s="89"/>
      <c r="F3" s="89"/>
      <c r="G3" s="89"/>
      <c r="H3" s="89"/>
      <c r="I3" s="90"/>
      <c r="K3" s="129" t="s">
        <v>297</v>
      </c>
    </row>
    <row r="4" spans="1:14" x14ac:dyDescent="0.2">
      <c r="A4" s="91"/>
      <c r="B4" s="92"/>
      <c r="C4" s="92"/>
      <c r="D4" s="92"/>
      <c r="E4" s="92"/>
      <c r="F4" s="92"/>
      <c r="G4" s="92"/>
      <c r="H4" s="92"/>
      <c r="I4" s="93"/>
    </row>
    <row r="5" spans="1:14" ht="15.75" customHeight="1" x14ac:dyDescent="0.2">
      <c r="A5" s="244" t="s">
        <v>397</v>
      </c>
      <c r="B5" s="245"/>
      <c r="C5" s="245"/>
      <c r="D5" s="245"/>
      <c r="E5" s="245"/>
      <c r="F5" s="245"/>
      <c r="G5" s="245"/>
      <c r="H5" s="245"/>
      <c r="I5" s="246"/>
      <c r="K5" s="261" t="s">
        <v>324</v>
      </c>
      <c r="L5" s="261"/>
      <c r="M5" s="261"/>
      <c r="N5" s="261"/>
    </row>
    <row r="6" spans="1:14" x14ac:dyDescent="0.2">
      <c r="A6" s="247"/>
      <c r="B6" s="248"/>
      <c r="C6" s="248"/>
      <c r="D6" s="248"/>
      <c r="E6" s="248"/>
      <c r="F6" s="248"/>
      <c r="G6" s="248"/>
      <c r="H6" s="248"/>
      <c r="I6" s="249"/>
      <c r="K6" s="261"/>
      <c r="L6" s="261"/>
      <c r="M6" s="261"/>
      <c r="N6" s="261"/>
    </row>
    <row r="7" spans="1:14" x14ac:dyDescent="0.2">
      <c r="A7" s="247"/>
      <c r="B7" s="248"/>
      <c r="C7" s="248"/>
      <c r="D7" s="248"/>
      <c r="E7" s="248"/>
      <c r="F7" s="248"/>
      <c r="G7" s="248"/>
      <c r="H7" s="248"/>
      <c r="I7" s="249"/>
      <c r="K7" s="261"/>
      <c r="L7" s="261"/>
      <c r="M7" s="261"/>
      <c r="N7" s="261"/>
    </row>
    <row r="8" spans="1:14" ht="15.75" customHeight="1" x14ac:dyDescent="0.2">
      <c r="A8" s="247"/>
      <c r="B8" s="248"/>
      <c r="C8" s="248"/>
      <c r="D8" s="248"/>
      <c r="E8" s="248"/>
      <c r="F8" s="248"/>
      <c r="G8" s="248"/>
      <c r="H8" s="248"/>
      <c r="I8" s="249"/>
      <c r="K8" s="261"/>
      <c r="L8" s="261"/>
      <c r="M8" s="261"/>
      <c r="N8" s="261"/>
    </row>
    <row r="9" spans="1:14" x14ac:dyDescent="0.2">
      <c r="A9" s="247"/>
      <c r="B9" s="248"/>
      <c r="C9" s="248"/>
      <c r="D9" s="248"/>
      <c r="E9" s="248"/>
      <c r="F9" s="248"/>
      <c r="G9" s="248"/>
      <c r="H9" s="248"/>
      <c r="I9" s="249"/>
      <c r="K9" s="261"/>
      <c r="L9" s="261"/>
      <c r="M9" s="261"/>
      <c r="N9" s="261"/>
    </row>
    <row r="10" spans="1:14" x14ac:dyDescent="0.2">
      <c r="A10" s="247"/>
      <c r="B10" s="248"/>
      <c r="C10" s="248"/>
      <c r="D10" s="248"/>
      <c r="E10" s="248"/>
      <c r="F10" s="248"/>
      <c r="G10" s="248"/>
      <c r="H10" s="248"/>
      <c r="I10" s="249"/>
      <c r="K10" s="261"/>
      <c r="L10" s="261"/>
      <c r="M10" s="261"/>
      <c r="N10" s="261"/>
    </row>
    <row r="11" spans="1:14" x14ac:dyDescent="0.2">
      <c r="A11" s="247"/>
      <c r="B11" s="248"/>
      <c r="C11" s="248"/>
      <c r="D11" s="248"/>
      <c r="E11" s="248"/>
      <c r="F11" s="248"/>
      <c r="G11" s="248"/>
      <c r="H11" s="248"/>
      <c r="I11" s="249"/>
      <c r="K11" s="261"/>
      <c r="L11" s="261"/>
      <c r="M11" s="261"/>
      <c r="N11" s="261"/>
    </row>
    <row r="12" spans="1:14" x14ac:dyDescent="0.2">
      <c r="A12" s="247"/>
      <c r="B12" s="248"/>
      <c r="C12" s="248"/>
      <c r="D12" s="248"/>
      <c r="E12" s="248"/>
      <c r="F12" s="248"/>
      <c r="G12" s="248"/>
      <c r="H12" s="248"/>
      <c r="I12" s="249"/>
      <c r="K12" s="261"/>
      <c r="L12" s="261"/>
      <c r="M12" s="261"/>
      <c r="N12" s="261"/>
    </row>
    <row r="13" spans="1:14" x14ac:dyDescent="0.2">
      <c r="A13" s="247"/>
      <c r="B13" s="248"/>
      <c r="C13" s="248"/>
      <c r="D13" s="248"/>
      <c r="E13" s="248"/>
      <c r="F13" s="248"/>
      <c r="G13" s="248"/>
      <c r="H13" s="248"/>
      <c r="I13" s="249"/>
      <c r="K13" s="261"/>
      <c r="L13" s="261"/>
      <c r="M13" s="261"/>
      <c r="N13" s="261"/>
    </row>
    <row r="14" spans="1:14" x14ac:dyDescent="0.2">
      <c r="A14" s="247"/>
      <c r="B14" s="248"/>
      <c r="C14" s="248"/>
      <c r="D14" s="248"/>
      <c r="E14" s="248"/>
      <c r="F14" s="248"/>
      <c r="G14" s="248"/>
      <c r="H14" s="248"/>
      <c r="I14" s="249"/>
      <c r="K14" s="261"/>
      <c r="L14" s="261"/>
      <c r="M14" s="261"/>
      <c r="N14" s="261"/>
    </row>
    <row r="15" spans="1:14" x14ac:dyDescent="0.2">
      <c r="A15" s="247"/>
      <c r="B15" s="248"/>
      <c r="C15" s="248"/>
      <c r="D15" s="248"/>
      <c r="E15" s="248"/>
      <c r="F15" s="248"/>
      <c r="G15" s="248"/>
      <c r="H15" s="248"/>
      <c r="I15" s="249"/>
    </row>
    <row r="16" spans="1:14" x14ac:dyDescent="0.2">
      <c r="A16" s="247"/>
      <c r="B16" s="248"/>
      <c r="C16" s="248"/>
      <c r="D16" s="248"/>
      <c r="E16" s="248"/>
      <c r="F16" s="248"/>
      <c r="G16" s="248"/>
      <c r="H16" s="248"/>
      <c r="I16" s="249"/>
    </row>
    <row r="17" spans="1:14" x14ac:dyDescent="0.2">
      <c r="A17" s="247"/>
      <c r="B17" s="248"/>
      <c r="C17" s="248"/>
      <c r="D17" s="248"/>
      <c r="E17" s="248"/>
      <c r="F17" s="248"/>
      <c r="G17" s="248"/>
      <c r="H17" s="248"/>
      <c r="I17" s="249"/>
    </row>
    <row r="18" spans="1:14" x14ac:dyDescent="0.2">
      <c r="A18" s="250"/>
      <c r="B18" s="251"/>
      <c r="C18" s="251"/>
      <c r="D18" s="251"/>
      <c r="E18" s="251"/>
      <c r="F18" s="251"/>
      <c r="G18" s="251"/>
      <c r="H18" s="251"/>
      <c r="I18" s="252"/>
    </row>
    <row r="20" spans="1:14" ht="15.75" x14ac:dyDescent="0.25">
      <c r="A20" s="88" t="s">
        <v>24</v>
      </c>
      <c r="B20" s="89"/>
      <c r="C20" s="89"/>
      <c r="D20" s="89"/>
      <c r="E20" s="89"/>
      <c r="F20" s="89"/>
      <c r="G20" s="89"/>
      <c r="H20" s="89"/>
      <c r="I20" s="90"/>
    </row>
    <row r="21" spans="1:14" x14ac:dyDescent="0.2">
      <c r="A21" s="91"/>
      <c r="B21" s="92"/>
      <c r="C21" s="92"/>
      <c r="D21" s="92"/>
      <c r="E21" s="92"/>
      <c r="F21" s="92"/>
      <c r="G21" s="92"/>
      <c r="H21" s="92"/>
      <c r="I21" s="93"/>
    </row>
    <row r="22" spans="1:14" x14ac:dyDescent="0.2">
      <c r="A22" s="244" t="s">
        <v>398</v>
      </c>
      <c r="B22" s="253"/>
      <c r="C22" s="253"/>
      <c r="D22" s="253"/>
      <c r="E22" s="253"/>
      <c r="F22" s="253"/>
      <c r="G22" s="253"/>
      <c r="H22" s="253"/>
      <c r="I22" s="254"/>
      <c r="K22" s="261" t="s">
        <v>325</v>
      </c>
      <c r="L22" s="261"/>
      <c r="M22" s="261"/>
      <c r="N22" s="261"/>
    </row>
    <row r="23" spans="1:14" x14ac:dyDescent="0.2">
      <c r="A23" s="255"/>
      <c r="B23" s="256"/>
      <c r="C23" s="256"/>
      <c r="D23" s="256"/>
      <c r="E23" s="256"/>
      <c r="F23" s="256"/>
      <c r="G23" s="256"/>
      <c r="H23" s="256"/>
      <c r="I23" s="257"/>
      <c r="K23" s="261"/>
      <c r="L23" s="261"/>
      <c r="M23" s="261"/>
      <c r="N23" s="261"/>
    </row>
    <row r="24" spans="1:14" x14ac:dyDescent="0.2">
      <c r="A24" s="255"/>
      <c r="B24" s="256"/>
      <c r="C24" s="256"/>
      <c r="D24" s="256"/>
      <c r="E24" s="256"/>
      <c r="F24" s="256"/>
      <c r="G24" s="256"/>
      <c r="H24" s="256"/>
      <c r="I24" s="257"/>
      <c r="K24" s="261"/>
      <c r="L24" s="261"/>
      <c r="M24" s="261"/>
      <c r="N24" s="261"/>
    </row>
    <row r="25" spans="1:14" x14ac:dyDescent="0.2">
      <c r="A25" s="255"/>
      <c r="B25" s="256"/>
      <c r="C25" s="256"/>
      <c r="D25" s="256"/>
      <c r="E25" s="256"/>
      <c r="F25" s="256"/>
      <c r="G25" s="256"/>
      <c r="H25" s="256"/>
      <c r="I25" s="257"/>
      <c r="K25" s="261"/>
      <c r="L25" s="261"/>
      <c r="M25" s="261"/>
      <c r="N25" s="261"/>
    </row>
    <row r="26" spans="1:14" x14ac:dyDescent="0.2">
      <c r="A26" s="255"/>
      <c r="B26" s="256"/>
      <c r="C26" s="256"/>
      <c r="D26" s="256"/>
      <c r="E26" s="256"/>
      <c r="F26" s="256"/>
      <c r="G26" s="256"/>
      <c r="H26" s="256"/>
      <c r="I26" s="257"/>
      <c r="K26" s="261"/>
      <c r="L26" s="261"/>
      <c r="M26" s="261"/>
      <c r="N26" s="261"/>
    </row>
    <row r="27" spans="1:14" x14ac:dyDescent="0.2">
      <c r="A27" s="255"/>
      <c r="B27" s="256"/>
      <c r="C27" s="256"/>
      <c r="D27" s="256"/>
      <c r="E27" s="256"/>
      <c r="F27" s="256"/>
      <c r="G27" s="256"/>
      <c r="H27" s="256"/>
      <c r="I27" s="257"/>
      <c r="K27" s="261"/>
      <c r="L27" s="261"/>
      <c r="M27" s="261"/>
      <c r="N27" s="261"/>
    </row>
    <row r="28" spans="1:14" x14ac:dyDescent="0.2">
      <c r="A28" s="255"/>
      <c r="B28" s="256"/>
      <c r="C28" s="256"/>
      <c r="D28" s="256"/>
      <c r="E28" s="256"/>
      <c r="F28" s="256"/>
      <c r="G28" s="256"/>
      <c r="H28" s="256"/>
      <c r="I28" s="257"/>
      <c r="K28" s="261"/>
      <c r="L28" s="261"/>
      <c r="M28" s="261"/>
      <c r="N28" s="261"/>
    </row>
    <row r="29" spans="1:14" x14ac:dyDescent="0.2">
      <c r="A29" s="255"/>
      <c r="B29" s="256"/>
      <c r="C29" s="256"/>
      <c r="D29" s="256"/>
      <c r="E29" s="256"/>
      <c r="F29" s="256"/>
      <c r="G29" s="256"/>
      <c r="H29" s="256"/>
      <c r="I29" s="257"/>
      <c r="K29" s="261"/>
      <c r="L29" s="261"/>
      <c r="M29" s="261"/>
      <c r="N29" s="261"/>
    </row>
    <row r="30" spans="1:14" x14ac:dyDescent="0.2">
      <c r="A30" s="255"/>
      <c r="B30" s="256"/>
      <c r="C30" s="256"/>
      <c r="D30" s="256"/>
      <c r="E30" s="256"/>
      <c r="F30" s="256"/>
      <c r="G30" s="256"/>
      <c r="H30" s="256"/>
      <c r="I30" s="257"/>
      <c r="K30" s="261"/>
      <c r="L30" s="261"/>
      <c r="M30" s="261"/>
      <c r="N30" s="261"/>
    </row>
    <row r="31" spans="1:14" x14ac:dyDescent="0.2">
      <c r="A31" s="255"/>
      <c r="B31" s="256"/>
      <c r="C31" s="256"/>
      <c r="D31" s="256"/>
      <c r="E31" s="256"/>
      <c r="F31" s="256"/>
      <c r="G31" s="256"/>
      <c r="H31" s="256"/>
      <c r="I31" s="257"/>
      <c r="K31" s="261"/>
      <c r="L31" s="261"/>
      <c r="M31" s="261"/>
      <c r="N31" s="261"/>
    </row>
    <row r="32" spans="1:14" x14ac:dyDescent="0.2">
      <c r="A32" s="255"/>
      <c r="B32" s="256"/>
      <c r="C32" s="256"/>
      <c r="D32" s="256"/>
      <c r="E32" s="256"/>
      <c r="F32" s="256"/>
      <c r="G32" s="256"/>
      <c r="H32" s="256"/>
      <c r="I32" s="257"/>
    </row>
    <row r="33" spans="1:9" x14ac:dyDescent="0.2">
      <c r="A33" s="255"/>
      <c r="B33" s="256"/>
      <c r="C33" s="256"/>
      <c r="D33" s="256"/>
      <c r="E33" s="256"/>
      <c r="F33" s="256"/>
      <c r="G33" s="256"/>
      <c r="H33" s="256"/>
      <c r="I33" s="257"/>
    </row>
    <row r="34" spans="1:9" x14ac:dyDescent="0.2">
      <c r="A34" s="255"/>
      <c r="B34" s="256"/>
      <c r="C34" s="256"/>
      <c r="D34" s="256"/>
      <c r="E34" s="256"/>
      <c r="F34" s="256"/>
      <c r="G34" s="256"/>
      <c r="H34" s="256"/>
      <c r="I34" s="257"/>
    </row>
    <row r="35" spans="1:9" x14ac:dyDescent="0.2">
      <c r="A35" s="255"/>
      <c r="B35" s="256"/>
      <c r="C35" s="256"/>
      <c r="D35" s="256"/>
      <c r="E35" s="256"/>
      <c r="F35" s="256"/>
      <c r="G35" s="256"/>
      <c r="H35" s="256"/>
      <c r="I35" s="257"/>
    </row>
    <row r="36" spans="1:9" x14ac:dyDescent="0.2">
      <c r="A36" s="255"/>
      <c r="B36" s="256"/>
      <c r="C36" s="256"/>
      <c r="D36" s="256"/>
      <c r="E36" s="256"/>
      <c r="F36" s="256"/>
      <c r="G36" s="256"/>
      <c r="H36" s="256"/>
      <c r="I36" s="257"/>
    </row>
    <row r="37" spans="1:9" x14ac:dyDescent="0.2">
      <c r="A37" s="255"/>
      <c r="B37" s="256"/>
      <c r="C37" s="256"/>
      <c r="D37" s="256"/>
      <c r="E37" s="256"/>
      <c r="F37" s="256"/>
      <c r="G37" s="256"/>
      <c r="H37" s="256"/>
      <c r="I37" s="257"/>
    </row>
    <row r="38" spans="1:9" x14ac:dyDescent="0.2">
      <c r="A38" s="255"/>
      <c r="B38" s="256"/>
      <c r="C38" s="256"/>
      <c r="D38" s="256"/>
      <c r="E38" s="256"/>
      <c r="F38" s="256"/>
      <c r="G38" s="256"/>
      <c r="H38" s="256"/>
      <c r="I38" s="257"/>
    </row>
    <row r="39" spans="1:9" x14ac:dyDescent="0.2">
      <c r="A39" s="255"/>
      <c r="B39" s="256"/>
      <c r="C39" s="256"/>
      <c r="D39" s="256"/>
      <c r="E39" s="256"/>
      <c r="F39" s="256"/>
      <c r="G39" s="256"/>
      <c r="H39" s="256"/>
      <c r="I39" s="257"/>
    </row>
    <row r="40" spans="1:9" ht="14.25" customHeight="1" x14ac:dyDescent="0.2">
      <c r="A40" s="255"/>
      <c r="B40" s="256"/>
      <c r="C40" s="256"/>
      <c r="D40" s="256"/>
      <c r="E40" s="256"/>
      <c r="F40" s="256"/>
      <c r="G40" s="256"/>
      <c r="H40" s="256"/>
      <c r="I40" s="257"/>
    </row>
    <row r="41" spans="1:9" x14ac:dyDescent="0.2">
      <c r="A41" s="255"/>
      <c r="B41" s="256"/>
      <c r="C41" s="256"/>
      <c r="D41" s="256"/>
      <c r="E41" s="256"/>
      <c r="F41" s="256"/>
      <c r="G41" s="256"/>
      <c r="H41" s="256"/>
      <c r="I41" s="257"/>
    </row>
    <row r="42" spans="1:9" x14ac:dyDescent="0.2">
      <c r="A42" s="255"/>
      <c r="B42" s="256"/>
      <c r="C42" s="256"/>
      <c r="D42" s="256"/>
      <c r="E42" s="256"/>
      <c r="F42" s="256"/>
      <c r="G42" s="256"/>
      <c r="H42" s="256"/>
      <c r="I42" s="257"/>
    </row>
    <row r="43" spans="1:9" x14ac:dyDescent="0.2">
      <c r="A43" s="255"/>
      <c r="B43" s="256"/>
      <c r="C43" s="256"/>
      <c r="D43" s="256"/>
      <c r="E43" s="256"/>
      <c r="F43" s="256"/>
      <c r="G43" s="256"/>
      <c r="H43" s="256"/>
      <c r="I43" s="257"/>
    </row>
    <row r="44" spans="1:9" x14ac:dyDescent="0.2">
      <c r="A44" s="255"/>
      <c r="B44" s="256"/>
      <c r="C44" s="256"/>
      <c r="D44" s="256"/>
      <c r="E44" s="256"/>
      <c r="F44" s="256"/>
      <c r="G44" s="256"/>
      <c r="H44" s="256"/>
      <c r="I44" s="257"/>
    </row>
    <row r="45" spans="1:9" x14ac:dyDescent="0.2">
      <c r="A45" s="255"/>
      <c r="B45" s="256"/>
      <c r="C45" s="256"/>
      <c r="D45" s="256"/>
      <c r="E45" s="256"/>
      <c r="F45" s="256"/>
      <c r="G45" s="256"/>
      <c r="H45" s="256"/>
      <c r="I45" s="257"/>
    </row>
    <row r="46" spans="1:9" x14ac:dyDescent="0.2">
      <c r="A46" s="255"/>
      <c r="B46" s="256"/>
      <c r="C46" s="256"/>
      <c r="D46" s="256"/>
      <c r="E46" s="256"/>
      <c r="F46" s="256"/>
      <c r="G46" s="256"/>
      <c r="H46" s="256"/>
      <c r="I46" s="257"/>
    </row>
    <row r="47" spans="1:9" x14ac:dyDescent="0.2">
      <c r="A47" s="255"/>
      <c r="B47" s="256"/>
      <c r="C47" s="256"/>
      <c r="D47" s="256"/>
      <c r="E47" s="256"/>
      <c r="F47" s="256"/>
      <c r="G47" s="256"/>
      <c r="H47" s="256"/>
      <c r="I47" s="257"/>
    </row>
    <row r="48" spans="1:9" x14ac:dyDescent="0.2">
      <c r="A48" s="255"/>
      <c r="B48" s="256"/>
      <c r="C48" s="256"/>
      <c r="D48" s="256"/>
      <c r="E48" s="256"/>
      <c r="F48" s="256"/>
      <c r="G48" s="256"/>
      <c r="H48" s="256"/>
      <c r="I48" s="257"/>
    </row>
    <row r="49" spans="1:9" x14ac:dyDescent="0.2">
      <c r="A49" s="255"/>
      <c r="B49" s="256"/>
      <c r="C49" s="256"/>
      <c r="D49" s="256"/>
      <c r="E49" s="256"/>
      <c r="F49" s="256"/>
      <c r="G49" s="256"/>
      <c r="H49" s="256"/>
      <c r="I49" s="257"/>
    </row>
    <row r="50" spans="1:9" x14ac:dyDescent="0.2">
      <c r="A50" s="255"/>
      <c r="B50" s="256"/>
      <c r="C50" s="256"/>
      <c r="D50" s="256"/>
      <c r="E50" s="256"/>
      <c r="F50" s="256"/>
      <c r="G50" s="256"/>
      <c r="H50" s="256"/>
      <c r="I50" s="257"/>
    </row>
    <row r="51" spans="1:9" x14ac:dyDescent="0.2">
      <c r="A51" s="255"/>
      <c r="B51" s="256"/>
      <c r="C51" s="256"/>
      <c r="D51" s="256"/>
      <c r="E51" s="256"/>
      <c r="F51" s="256"/>
      <c r="G51" s="256"/>
      <c r="H51" s="256"/>
      <c r="I51" s="257"/>
    </row>
    <row r="52" spans="1:9" x14ac:dyDescent="0.2">
      <c r="A52" s="255"/>
      <c r="B52" s="256"/>
      <c r="C52" s="256"/>
      <c r="D52" s="256"/>
      <c r="E52" s="256"/>
      <c r="F52" s="256"/>
      <c r="G52" s="256"/>
      <c r="H52" s="256"/>
      <c r="I52" s="257"/>
    </row>
    <row r="53" spans="1:9" x14ac:dyDescent="0.2">
      <c r="A53" s="255"/>
      <c r="B53" s="256"/>
      <c r="C53" s="256"/>
      <c r="D53" s="256"/>
      <c r="E53" s="256"/>
      <c r="F53" s="256"/>
      <c r="G53" s="256"/>
      <c r="H53" s="256"/>
      <c r="I53" s="257"/>
    </row>
    <row r="54" spans="1:9" x14ac:dyDescent="0.2">
      <c r="A54" s="258"/>
      <c r="B54" s="259"/>
      <c r="C54" s="259"/>
      <c r="D54" s="259"/>
      <c r="E54" s="259"/>
      <c r="F54" s="259"/>
      <c r="G54" s="259"/>
      <c r="H54" s="259"/>
      <c r="I54" s="260"/>
    </row>
    <row r="66" spans="6:6" x14ac:dyDescent="0.2">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O86"/>
  <sheetViews>
    <sheetView topLeftCell="A58" zoomScale="115" zoomScaleNormal="115" workbookViewId="0">
      <selection activeCell="H69" sqref="H69"/>
    </sheetView>
  </sheetViews>
  <sheetFormatPr defaultColWidth="9.42578125" defaultRowHeight="15" x14ac:dyDescent="0.2"/>
  <cols>
    <col min="1" max="1" width="22" style="2" customWidth="1"/>
    <col min="2" max="2" width="8.42578125" style="15" customWidth="1"/>
    <col min="3" max="6" width="10.28515625" style="15" customWidth="1"/>
    <col min="7" max="7" width="13.28515625" style="19" customWidth="1"/>
    <col min="8" max="8" width="8.5703125" style="20" customWidth="1"/>
    <col min="9" max="10" width="9.42578125" style="2"/>
    <col min="11" max="11" width="38.42578125" style="2" customWidth="1"/>
    <col min="12" max="15" width="14.28515625" style="2" bestFit="1" customWidth="1"/>
    <col min="16" max="16384" width="9.42578125" style="2"/>
  </cols>
  <sheetData>
    <row r="1" spans="1:11" x14ac:dyDescent="0.2">
      <c r="A1" s="2" t="str">
        <f>+'Cover Page'!$B$29</f>
        <v>Annual Performance Report 2022</v>
      </c>
      <c r="B1" s="2"/>
      <c r="C1" s="2"/>
      <c r="D1" s="2"/>
      <c r="E1" s="2" t="str">
        <f>+'Cover Page'!$B$33</f>
        <v>enfinium Ferrybridge 1 Ltd</v>
      </c>
      <c r="F1" s="2"/>
      <c r="G1" s="2"/>
      <c r="H1" s="2"/>
    </row>
    <row r="3" spans="1:11" ht="15.75" x14ac:dyDescent="0.25">
      <c r="A3" s="1" t="s">
        <v>275</v>
      </c>
      <c r="K3" s="129" t="s">
        <v>297</v>
      </c>
    </row>
    <row r="4" spans="1:11" x14ac:dyDescent="0.2">
      <c r="A4" s="22" t="s">
        <v>27</v>
      </c>
      <c r="B4" s="265">
        <v>725000</v>
      </c>
      <c r="C4" s="265"/>
      <c r="D4" s="24" t="s">
        <v>28</v>
      </c>
      <c r="E4" s="23">
        <v>80</v>
      </c>
      <c r="F4" s="24" t="s">
        <v>29</v>
      </c>
      <c r="G4" s="23">
        <v>73</v>
      </c>
      <c r="H4" s="117" t="s">
        <v>30</v>
      </c>
      <c r="K4" s="21" t="s">
        <v>352</v>
      </c>
    </row>
    <row r="5" spans="1:11" ht="15.75" x14ac:dyDescent="0.25">
      <c r="A5" s="25" t="s">
        <v>31</v>
      </c>
      <c r="B5" s="26">
        <v>2</v>
      </c>
      <c r="C5" s="27"/>
      <c r="D5" s="27" t="s">
        <v>32</v>
      </c>
      <c r="E5" s="27"/>
      <c r="F5" s="28">
        <v>1</v>
      </c>
      <c r="G5" s="29"/>
      <c r="H5" s="30"/>
      <c r="K5" s="21" t="s">
        <v>353</v>
      </c>
    </row>
    <row r="6" spans="1:11" x14ac:dyDescent="0.2">
      <c r="A6" s="3"/>
      <c r="K6" s="264" t="s">
        <v>354</v>
      </c>
    </row>
    <row r="7" spans="1:11" ht="30" x14ac:dyDescent="0.25">
      <c r="A7" s="191" t="s">
        <v>33</v>
      </c>
      <c r="B7" s="31" t="s">
        <v>34</v>
      </c>
      <c r="C7" s="32" t="s">
        <v>35</v>
      </c>
      <c r="D7" s="32" t="s">
        <v>36</v>
      </c>
      <c r="E7" s="32" t="s">
        <v>37</v>
      </c>
      <c r="F7" s="32" t="s">
        <v>38</v>
      </c>
      <c r="G7" s="33" t="s">
        <v>39</v>
      </c>
      <c r="H7" s="34" t="s">
        <v>40</v>
      </c>
      <c r="K7" s="264"/>
    </row>
    <row r="8" spans="1:11" ht="25.5" x14ac:dyDescent="0.2">
      <c r="A8" s="192" t="s">
        <v>289</v>
      </c>
      <c r="B8" s="266" t="s">
        <v>41</v>
      </c>
      <c r="C8" s="35">
        <v>0</v>
      </c>
      <c r="D8" s="35">
        <v>0</v>
      </c>
      <c r="E8" s="35">
        <v>0</v>
      </c>
      <c r="F8" s="35">
        <v>0</v>
      </c>
      <c r="G8" s="36">
        <f>SUM(C8:F8)</f>
        <v>0</v>
      </c>
      <c r="H8" s="55" t="str">
        <f t="shared" ref="H8:H14" si="0">IF(G8&gt;0,G8/$G$15,"-")</f>
        <v>-</v>
      </c>
      <c r="K8" s="270" t="s">
        <v>355</v>
      </c>
    </row>
    <row r="9" spans="1:11" x14ac:dyDescent="0.2">
      <c r="A9" s="193" t="s">
        <v>42</v>
      </c>
      <c r="B9" s="267"/>
      <c r="C9" s="119">
        <v>0</v>
      </c>
      <c r="D9" s="119">
        <v>0</v>
      </c>
      <c r="E9" s="119">
        <v>0</v>
      </c>
      <c r="F9" s="119">
        <v>0</v>
      </c>
      <c r="G9" s="146">
        <f t="shared" ref="G9:G14" si="1">SUM(C9:F9)</f>
        <v>0</v>
      </c>
      <c r="H9" s="37" t="str">
        <f t="shared" si="0"/>
        <v>-</v>
      </c>
      <c r="K9" s="270"/>
    </row>
    <row r="10" spans="1:11" x14ac:dyDescent="0.2">
      <c r="A10" s="193" t="s">
        <v>43</v>
      </c>
      <c r="B10" s="267"/>
      <c r="C10" s="119">
        <v>0</v>
      </c>
      <c r="D10" s="119">
        <v>0</v>
      </c>
      <c r="E10" s="119">
        <v>0</v>
      </c>
      <c r="F10" s="119">
        <v>0</v>
      </c>
      <c r="G10" s="146">
        <f t="shared" si="1"/>
        <v>0</v>
      </c>
      <c r="H10" s="37" t="str">
        <f t="shared" si="0"/>
        <v>-</v>
      </c>
      <c r="K10" s="270"/>
    </row>
    <row r="11" spans="1:11" x14ac:dyDescent="0.2">
      <c r="A11" s="193" t="s">
        <v>44</v>
      </c>
      <c r="B11" s="267"/>
      <c r="C11" s="119">
        <v>0</v>
      </c>
      <c r="D11" s="119">
        <v>0</v>
      </c>
      <c r="E11" s="119">
        <v>0</v>
      </c>
      <c r="F11" s="119">
        <v>0</v>
      </c>
      <c r="G11" s="146">
        <f t="shared" si="1"/>
        <v>0</v>
      </c>
      <c r="H11" s="37" t="str">
        <f t="shared" si="0"/>
        <v>-</v>
      </c>
      <c r="K11" s="270"/>
    </row>
    <row r="12" spans="1:11" x14ac:dyDescent="0.2">
      <c r="A12" s="193" t="s">
        <v>45</v>
      </c>
      <c r="B12" s="267"/>
      <c r="C12" s="119">
        <v>0</v>
      </c>
      <c r="D12" s="119">
        <v>0</v>
      </c>
      <c r="E12" s="119">
        <v>0</v>
      </c>
      <c r="F12" s="119">
        <v>0</v>
      </c>
      <c r="G12" s="146">
        <f t="shared" si="1"/>
        <v>0</v>
      </c>
      <c r="H12" s="37" t="str">
        <f t="shared" si="0"/>
        <v>-</v>
      </c>
      <c r="K12" s="270"/>
    </row>
    <row r="13" spans="1:11" ht="25.5" x14ac:dyDescent="0.2">
      <c r="A13" s="194" t="s">
        <v>349</v>
      </c>
      <c r="B13" s="267"/>
      <c r="C13" s="119">
        <v>0</v>
      </c>
      <c r="D13" s="119">
        <v>0</v>
      </c>
      <c r="E13" s="119">
        <v>0</v>
      </c>
      <c r="F13" s="119">
        <v>0</v>
      </c>
      <c r="G13" s="146">
        <f t="shared" ref="G13" si="2">SUM(C13:F13)</f>
        <v>0</v>
      </c>
      <c r="H13" s="37" t="str">
        <f t="shared" si="0"/>
        <v>-</v>
      </c>
      <c r="K13" s="270"/>
    </row>
    <row r="14" spans="1:11" ht="25.5" x14ac:dyDescent="0.2">
      <c r="A14" s="194" t="s">
        <v>348</v>
      </c>
      <c r="B14" s="267"/>
      <c r="C14" s="119">
        <v>136981.82</v>
      </c>
      <c r="D14" s="119">
        <v>163123.94</v>
      </c>
      <c r="E14" s="119">
        <v>156711.74</v>
      </c>
      <c r="F14" s="119">
        <v>162288.42000000001</v>
      </c>
      <c r="G14" s="146">
        <f t="shared" si="1"/>
        <v>619105.92000000004</v>
      </c>
      <c r="H14" s="37">
        <f t="shared" si="0"/>
        <v>1</v>
      </c>
      <c r="K14" s="270"/>
    </row>
    <row r="15" spans="1:11" x14ac:dyDescent="0.2">
      <c r="A15" s="195" t="s">
        <v>363</v>
      </c>
      <c r="B15" s="267"/>
      <c r="C15" s="146">
        <f>SUM(C8:C14)</f>
        <v>136981.82</v>
      </c>
      <c r="D15" s="146">
        <f>SUM(D8:D14)</f>
        <v>163123.94</v>
      </c>
      <c r="E15" s="146">
        <f>SUM(E8:E14)</f>
        <v>156711.74</v>
      </c>
      <c r="F15" s="146">
        <f>SUM(F8:F14)</f>
        <v>162288.42000000001</v>
      </c>
      <c r="G15" s="146">
        <f>SUM(G8:G14)</f>
        <v>619105.92000000004</v>
      </c>
      <c r="H15" s="148">
        <v>1</v>
      </c>
      <c r="K15" s="270"/>
    </row>
    <row r="16" spans="1:11" x14ac:dyDescent="0.2">
      <c r="A16" s="193" t="s">
        <v>46</v>
      </c>
      <c r="B16" s="267"/>
      <c r="C16" s="119">
        <v>14.28</v>
      </c>
      <c r="D16" s="119">
        <v>9.4600000000000009</v>
      </c>
      <c r="E16" s="119">
        <v>6.6669999999999998</v>
      </c>
      <c r="F16" s="119">
        <v>9.83</v>
      </c>
      <c r="G16" s="146">
        <f t="shared" ref="G16" si="3">SUM(C16:F16)</f>
        <v>40.237000000000002</v>
      </c>
      <c r="H16" s="37">
        <f t="shared" ref="H16" si="4">IF(G16&gt;0,G16/$G$15,"-")</f>
        <v>6.4992109912307084E-5</v>
      </c>
      <c r="K16" s="270"/>
    </row>
    <row r="17" spans="1:12" ht="25.5" x14ac:dyDescent="0.2">
      <c r="A17" s="194" t="s">
        <v>343</v>
      </c>
      <c r="B17" s="267"/>
      <c r="C17" s="119">
        <v>27.26</v>
      </c>
      <c r="D17" s="119">
        <v>61.78</v>
      </c>
      <c r="E17" s="119">
        <v>0</v>
      </c>
      <c r="F17" s="119">
        <v>0</v>
      </c>
      <c r="G17" s="146">
        <f t="shared" ref="G17" si="5">SUM(C17:F17)</f>
        <v>89.04</v>
      </c>
      <c r="H17" s="37">
        <f>IF(G17&gt;0,G17/$G$15,"-")</f>
        <v>1.4382030137912428E-4</v>
      </c>
      <c r="K17" s="270"/>
    </row>
    <row r="18" spans="1:12" ht="25.5" x14ac:dyDescent="0.2">
      <c r="A18" s="196" t="s">
        <v>344</v>
      </c>
      <c r="B18" s="145"/>
      <c r="C18" s="147">
        <v>134753.5</v>
      </c>
      <c r="D18" s="147">
        <v>162466.34</v>
      </c>
      <c r="E18" s="147">
        <v>164623.821</v>
      </c>
      <c r="F18" s="147">
        <v>159374.44</v>
      </c>
      <c r="G18" s="41">
        <f>SUM(C18:F18)</f>
        <v>621218.10100000002</v>
      </c>
      <c r="H18" s="56">
        <f>IF(G18&gt;0,G18/$G$15,"-")</f>
        <v>1.0034116633870986</v>
      </c>
      <c r="K18" s="270"/>
    </row>
    <row r="19" spans="1:12" x14ac:dyDescent="0.2">
      <c r="A19" s="197"/>
      <c r="C19" s="161"/>
      <c r="D19" s="161"/>
      <c r="E19" s="161"/>
      <c r="F19" s="161"/>
      <c r="G19" s="42"/>
      <c r="K19" s="270"/>
    </row>
    <row r="20" spans="1:12" ht="30" x14ac:dyDescent="0.25">
      <c r="A20" s="191" t="s">
        <v>47</v>
      </c>
      <c r="B20" s="31" t="s">
        <v>34</v>
      </c>
      <c r="C20" s="460" t="s">
        <v>35</v>
      </c>
      <c r="D20" s="460" t="s">
        <v>36</v>
      </c>
      <c r="E20" s="460" t="s">
        <v>37</v>
      </c>
      <c r="F20" s="460" t="s">
        <v>38</v>
      </c>
      <c r="G20" s="44" t="s">
        <v>39</v>
      </c>
      <c r="H20" s="45" t="s">
        <v>48</v>
      </c>
      <c r="K20" s="270"/>
    </row>
    <row r="21" spans="1:12" x14ac:dyDescent="0.2">
      <c r="A21" s="198" t="s">
        <v>49</v>
      </c>
      <c r="B21" s="266" t="s">
        <v>50</v>
      </c>
      <c r="C21" s="461">
        <v>133171.43</v>
      </c>
      <c r="D21" s="461">
        <v>175404</v>
      </c>
      <c r="E21" s="461">
        <v>159445.70000000001</v>
      </c>
      <c r="F21" s="461">
        <v>158295.13500000001</v>
      </c>
      <c r="G21" s="36">
        <f t="shared" ref="G21:G24" si="6">SUM(C21:F21)</f>
        <v>626316.26500000001</v>
      </c>
      <c r="H21" s="47">
        <f>IF(G21&gt;0,G21*1000/$G$18,"-")</f>
        <v>1008.2067215874638</v>
      </c>
      <c r="K21" s="158"/>
    </row>
    <row r="22" spans="1:12" x14ac:dyDescent="0.2">
      <c r="A22" s="199" t="s">
        <v>51</v>
      </c>
      <c r="B22" s="267"/>
      <c r="C22" s="166">
        <v>122085.6</v>
      </c>
      <c r="D22" s="166">
        <v>158715.5</v>
      </c>
      <c r="E22" s="166">
        <v>143073.79999999999</v>
      </c>
      <c r="F22" s="166">
        <v>142815</v>
      </c>
      <c r="G22" s="39">
        <f>SUM(C22:F22)</f>
        <v>566689.89999999991</v>
      </c>
      <c r="H22" s="49">
        <f>IF(G22&gt;0,G22*1000/$G$18,"-")</f>
        <v>912.22374088548952</v>
      </c>
      <c r="K22" s="158"/>
    </row>
    <row r="23" spans="1:12" x14ac:dyDescent="0.2">
      <c r="A23" s="199" t="s">
        <v>52</v>
      </c>
      <c r="B23" s="267"/>
      <c r="C23" s="166">
        <f>C21-C22+C24</f>
        <v>11859.679999999988</v>
      </c>
      <c r="D23" s="166">
        <f>D21-D22+D24</f>
        <v>16688.5</v>
      </c>
      <c r="E23" s="166">
        <f t="shared" ref="E23:F23" si="7">E21-E22+E24</f>
        <v>16437.900000000023</v>
      </c>
      <c r="F23" s="166">
        <f t="shared" si="7"/>
        <v>15541.257000000009</v>
      </c>
      <c r="G23" s="39">
        <f>SUM(C23:F23)</f>
        <v>60527.337000000014</v>
      </c>
      <c r="H23" s="49">
        <f>IF(G23&gt;0,G23*1000/$G$18,"-")</f>
        <v>97.433311911817611</v>
      </c>
    </row>
    <row r="24" spans="1:12" x14ac:dyDescent="0.2">
      <c r="A24" s="199" t="s">
        <v>53</v>
      </c>
      <c r="B24" s="267"/>
      <c r="C24" s="166">
        <v>773.85</v>
      </c>
      <c r="D24" s="166">
        <v>0</v>
      </c>
      <c r="E24" s="166">
        <v>66</v>
      </c>
      <c r="F24" s="166">
        <v>61.122</v>
      </c>
      <c r="G24" s="39">
        <f t="shared" si="6"/>
        <v>900.97199999999998</v>
      </c>
      <c r="H24" s="49">
        <f>IF(G24&gt;0,G24*1000/$G$18,"-")</f>
        <v>1.4503312098434813</v>
      </c>
    </row>
    <row r="25" spans="1:12" x14ac:dyDescent="0.2">
      <c r="A25" s="199" t="s">
        <v>54</v>
      </c>
      <c r="B25" s="50" t="s">
        <v>40</v>
      </c>
      <c r="C25" s="51">
        <f>IF(C21&gt;0,1-C22/(C21+C24),"-")</f>
        <v>8.8541231165442991E-2</v>
      </c>
      <c r="D25" s="51">
        <f>IF(D21&gt;0,1-D22/(D21+D24),"-")</f>
        <v>9.5143212241454056E-2</v>
      </c>
      <c r="E25" s="51">
        <f>IF(E21&gt;0,1-E22/(E21+E24),"-")</f>
        <v>0.10305137491481831</v>
      </c>
      <c r="F25" s="51">
        <f>IF(F21&gt;0,1-F22/(F21+F24),"-")</f>
        <v>9.8141098396888782E-2</v>
      </c>
      <c r="G25" s="51">
        <f>IF(G21&gt;0,1-G22/(G21+G24),"-")</f>
        <v>9.6501392865897984E-2</v>
      </c>
      <c r="H25" s="49"/>
    </row>
    <row r="26" spans="1:12" ht="25.5" x14ac:dyDescent="0.2">
      <c r="A26" s="200" t="s">
        <v>350</v>
      </c>
      <c r="B26" s="268" t="s">
        <v>50</v>
      </c>
      <c r="C26" s="38"/>
      <c r="D26" s="38"/>
      <c r="E26" s="38"/>
      <c r="F26" s="38"/>
      <c r="G26" s="39">
        <f t="shared" ref="G26:G27" si="8">SUM(C26:F26)</f>
        <v>0</v>
      </c>
      <c r="H26" s="49" t="str">
        <f>IF(G26&gt;0,G26*1000/$G$18,"-")</f>
        <v>-</v>
      </c>
    </row>
    <row r="27" spans="1:12" ht="25.5" x14ac:dyDescent="0.2">
      <c r="A27" s="200" t="s">
        <v>351</v>
      </c>
      <c r="B27" s="269"/>
      <c r="C27" s="38"/>
      <c r="D27" s="38"/>
      <c r="E27" s="38"/>
      <c r="F27" s="38"/>
      <c r="G27" s="39">
        <f t="shared" si="8"/>
        <v>0</v>
      </c>
      <c r="H27" s="49" t="str">
        <f>IF(G27&gt;0,G27*1000/$G$18,"-")</f>
        <v>-</v>
      </c>
      <c r="K27" s="21"/>
      <c r="L27" s="21"/>
    </row>
    <row r="28" spans="1:12" x14ac:dyDescent="0.2">
      <c r="A28" s="201" t="s">
        <v>375</v>
      </c>
      <c r="B28" s="52"/>
      <c r="C28" s="153"/>
      <c r="D28" s="153"/>
      <c r="E28" s="153"/>
      <c r="F28" s="153"/>
      <c r="G28" s="157"/>
      <c r="H28" s="153"/>
      <c r="L28" s="21"/>
    </row>
    <row r="29" spans="1:12" x14ac:dyDescent="0.2">
      <c r="A29" s="197"/>
      <c r="C29" s="20"/>
      <c r="D29" s="20"/>
      <c r="E29" s="20"/>
      <c r="F29" s="20"/>
      <c r="G29" s="42"/>
      <c r="L29" s="21"/>
    </row>
    <row r="30" spans="1:12" ht="30" x14ac:dyDescent="0.25">
      <c r="A30" s="191" t="s">
        <v>56</v>
      </c>
      <c r="B30" s="53" t="s">
        <v>34</v>
      </c>
      <c r="C30" s="43" t="s">
        <v>35</v>
      </c>
      <c r="D30" s="43" t="s">
        <v>36</v>
      </c>
      <c r="E30" s="43" t="s">
        <v>37</v>
      </c>
      <c r="F30" s="43" t="s">
        <v>38</v>
      </c>
      <c r="G30" s="44" t="s">
        <v>39</v>
      </c>
      <c r="H30" s="54" t="s">
        <v>57</v>
      </c>
      <c r="L30" s="21"/>
    </row>
    <row r="31" spans="1:12" ht="34.5" x14ac:dyDescent="0.2">
      <c r="A31" s="198" t="s">
        <v>58</v>
      </c>
      <c r="B31" s="159" t="s">
        <v>41</v>
      </c>
      <c r="C31" s="164">
        <v>5419.28</v>
      </c>
      <c r="D31" s="164">
        <f>7491.84+699.34</f>
        <v>8191.18</v>
      </c>
      <c r="E31" s="164">
        <f>6957.7+9.84</f>
        <v>6967.54</v>
      </c>
      <c r="F31" s="164">
        <v>5728.84</v>
      </c>
      <c r="G31" s="36">
        <f t="shared" ref="G31" si="9">SUM(C31:F31)</f>
        <v>26306.84</v>
      </c>
      <c r="H31" s="55">
        <f>IF(G31&gt;0,G31/$G$18,"-")</f>
        <v>4.2347188463524824E-2</v>
      </c>
      <c r="K31" s="21"/>
      <c r="L31" s="21"/>
    </row>
    <row r="32" spans="1:12" x14ac:dyDescent="0.2">
      <c r="A32" s="199" t="s">
        <v>399</v>
      </c>
      <c r="B32" s="160"/>
      <c r="C32" s="165">
        <v>10.98</v>
      </c>
      <c r="D32" s="165">
        <v>67.52</v>
      </c>
      <c r="E32" s="165">
        <v>0</v>
      </c>
      <c r="F32" s="165">
        <v>0</v>
      </c>
      <c r="G32" s="146">
        <f t="shared" ref="G32:G51" si="10">SUM(C32:F32)</f>
        <v>78.5</v>
      </c>
      <c r="H32" s="37">
        <f t="shared" ref="H32:H51" si="11">IF(G32&gt;0,G32/$G$18,"-")</f>
        <v>1.2636463727253819E-4</v>
      </c>
    </row>
    <row r="33" spans="1:8" x14ac:dyDescent="0.2">
      <c r="A33" s="199" t="s">
        <v>400</v>
      </c>
      <c r="B33" s="160"/>
      <c r="C33" s="165">
        <v>0.7</v>
      </c>
      <c r="D33" s="165">
        <v>5.0599999999999996</v>
      </c>
      <c r="E33" s="165">
        <v>1.6</v>
      </c>
      <c r="F33" s="165">
        <v>3.51</v>
      </c>
      <c r="G33" s="146">
        <f t="shared" si="10"/>
        <v>10.87</v>
      </c>
      <c r="H33" s="37">
        <f t="shared" si="11"/>
        <v>1.7497880345891592E-5</v>
      </c>
    </row>
    <row r="34" spans="1:8" x14ac:dyDescent="0.2">
      <c r="A34" s="199" t="s">
        <v>414</v>
      </c>
      <c r="B34" s="160"/>
      <c r="C34" s="119">
        <v>0</v>
      </c>
      <c r="D34" s="165">
        <v>0</v>
      </c>
      <c r="E34" s="165">
        <v>0.54</v>
      </c>
      <c r="F34" s="165">
        <v>0.3</v>
      </c>
      <c r="G34" s="146">
        <f t="shared" si="10"/>
        <v>0.84000000000000008</v>
      </c>
      <c r="H34" s="37">
        <f t="shared" si="11"/>
        <v>1.3521821058462686E-6</v>
      </c>
    </row>
    <row r="35" spans="1:8" x14ac:dyDescent="0.2">
      <c r="A35" s="199" t="s">
        <v>401</v>
      </c>
      <c r="B35" s="160"/>
      <c r="C35" s="165">
        <v>116.54</v>
      </c>
      <c r="D35" s="165">
        <v>0</v>
      </c>
      <c r="E35" s="165">
        <v>0</v>
      </c>
      <c r="F35" s="165">
        <v>0</v>
      </c>
      <c r="G35" s="146">
        <f t="shared" si="10"/>
        <v>116.54</v>
      </c>
      <c r="H35" s="37">
        <f t="shared" si="11"/>
        <v>1.875991697801478E-4</v>
      </c>
    </row>
    <row r="36" spans="1:8" ht="25.5" x14ac:dyDescent="0.2">
      <c r="A36" s="199" t="s">
        <v>402</v>
      </c>
      <c r="B36" s="160"/>
      <c r="C36" s="165">
        <v>1.35</v>
      </c>
      <c r="D36" s="165">
        <v>0.9</v>
      </c>
      <c r="E36" s="165">
        <f>1.8+0.36+0.1+0.63+0.05</f>
        <v>2.94</v>
      </c>
      <c r="F36" s="165">
        <v>1.25</v>
      </c>
      <c r="G36" s="146">
        <f t="shared" si="10"/>
        <v>6.4399999999999995</v>
      </c>
      <c r="H36" s="37">
        <f t="shared" si="11"/>
        <v>1.0366729478154725E-5</v>
      </c>
    </row>
    <row r="37" spans="1:8" x14ac:dyDescent="0.2">
      <c r="A37" s="199" t="s">
        <v>410</v>
      </c>
      <c r="B37" s="160"/>
      <c r="C37" s="119">
        <v>0</v>
      </c>
      <c r="D37" s="165">
        <v>0.03</v>
      </c>
      <c r="E37" s="165">
        <v>0</v>
      </c>
      <c r="F37" s="165">
        <v>0</v>
      </c>
      <c r="G37" s="146">
        <f>SUM(C37:F37)</f>
        <v>0.03</v>
      </c>
      <c r="H37" s="37">
        <f>IF(G37&gt;0,G37/$G$18,"-")</f>
        <v>4.8292218065938163E-8</v>
      </c>
    </row>
    <row r="38" spans="1:8" x14ac:dyDescent="0.2">
      <c r="A38" s="199" t="s">
        <v>411</v>
      </c>
      <c r="B38" s="160"/>
      <c r="C38" s="119">
        <v>0</v>
      </c>
      <c r="D38" s="165">
        <v>6</v>
      </c>
      <c r="E38" s="165">
        <v>0</v>
      </c>
      <c r="F38" s="165">
        <v>0.7</v>
      </c>
      <c r="G38" s="146">
        <f>SUM(C38:F38)</f>
        <v>6.7</v>
      </c>
      <c r="H38" s="37">
        <f>IF(G38&gt;0,G38/$G$18,"-")</f>
        <v>1.078526203472619E-5</v>
      </c>
    </row>
    <row r="39" spans="1:8" ht="25.5" x14ac:dyDescent="0.2">
      <c r="A39" s="199" t="s">
        <v>403</v>
      </c>
      <c r="B39" s="160"/>
      <c r="C39" s="165">
        <v>2</v>
      </c>
      <c r="D39" s="165">
        <v>2.2000000000000002</v>
      </c>
      <c r="E39" s="165">
        <v>0</v>
      </c>
      <c r="F39" s="165">
        <v>0.66</v>
      </c>
      <c r="G39" s="146">
        <f t="shared" si="10"/>
        <v>4.8600000000000003</v>
      </c>
      <c r="H39" s="37">
        <f t="shared" si="11"/>
        <v>7.8233393266819833E-6</v>
      </c>
    </row>
    <row r="40" spans="1:8" x14ac:dyDescent="0.2">
      <c r="A40" s="199" t="s">
        <v>412</v>
      </c>
      <c r="B40" s="160"/>
      <c r="C40" s="119">
        <v>0</v>
      </c>
      <c r="D40" s="165">
        <v>1.25</v>
      </c>
      <c r="E40" s="165">
        <v>0</v>
      </c>
      <c r="F40" s="165">
        <v>0</v>
      </c>
      <c r="G40" s="146">
        <f>SUM(C40:F40)</f>
        <v>1.25</v>
      </c>
      <c r="H40" s="37">
        <f>IF(G40&gt;0,G40/$G$18,"-")</f>
        <v>2.0121757527474237E-6</v>
      </c>
    </row>
    <row r="41" spans="1:8" x14ac:dyDescent="0.2">
      <c r="A41" s="199" t="s">
        <v>59</v>
      </c>
      <c r="B41" s="160"/>
      <c r="C41" s="119">
        <v>25281</v>
      </c>
      <c r="D41" s="119">
        <v>33971</v>
      </c>
      <c r="E41" s="119">
        <v>31096</v>
      </c>
      <c r="F41" s="119">
        <v>29288</v>
      </c>
      <c r="G41" s="146">
        <f t="shared" si="10"/>
        <v>119636</v>
      </c>
      <c r="H41" s="37">
        <f t="shared" si="11"/>
        <v>0.1925829266845526</v>
      </c>
    </row>
    <row r="42" spans="1:8" x14ac:dyDescent="0.2">
      <c r="A42" s="199" t="s">
        <v>60</v>
      </c>
      <c r="B42" s="160"/>
      <c r="C42" s="165">
        <v>997</v>
      </c>
      <c r="D42" s="165">
        <v>967.46</v>
      </c>
      <c r="E42" s="165">
        <v>928</v>
      </c>
      <c r="F42" s="165">
        <v>893.84</v>
      </c>
      <c r="G42" s="146">
        <f t="shared" si="10"/>
        <v>3786.3</v>
      </c>
      <c r="H42" s="37">
        <f t="shared" si="11"/>
        <v>6.0949608421020556E-3</v>
      </c>
    </row>
    <row r="43" spans="1:8" x14ac:dyDescent="0.2">
      <c r="A43" s="199" t="s">
        <v>404</v>
      </c>
      <c r="B43" s="160"/>
      <c r="C43" s="165">
        <v>13.58</v>
      </c>
      <c r="D43" s="165">
        <v>0.64</v>
      </c>
      <c r="E43" s="165">
        <v>0.44</v>
      </c>
      <c r="F43" s="165">
        <v>0.22</v>
      </c>
      <c r="G43" s="146">
        <f t="shared" si="10"/>
        <v>14.88</v>
      </c>
      <c r="H43" s="37">
        <f t="shared" si="11"/>
        <v>2.395294016070533E-5</v>
      </c>
    </row>
    <row r="44" spans="1:8" x14ac:dyDescent="0.2">
      <c r="A44" s="199" t="s">
        <v>405</v>
      </c>
      <c r="B44" s="160"/>
      <c r="C44" s="165">
        <v>46.26</v>
      </c>
      <c r="D44" s="165">
        <v>4.9800000000000004</v>
      </c>
      <c r="E44" s="165">
        <v>11.32</v>
      </c>
      <c r="F44" s="165">
        <v>5.5</v>
      </c>
      <c r="G44" s="146">
        <f t="shared" si="10"/>
        <v>68.06</v>
      </c>
      <c r="H44" s="37">
        <f t="shared" si="11"/>
        <v>1.0955894538559172E-4</v>
      </c>
    </row>
    <row r="45" spans="1:8" x14ac:dyDescent="0.2">
      <c r="A45" s="199" t="s">
        <v>406</v>
      </c>
      <c r="B45" s="160"/>
      <c r="C45" s="165">
        <v>4.42</v>
      </c>
      <c r="D45" s="165">
        <v>7.04</v>
      </c>
      <c r="E45" s="165">
        <v>2</v>
      </c>
      <c r="F45" s="165">
        <v>2.2200000000000002</v>
      </c>
      <c r="G45" s="146">
        <f t="shared" si="10"/>
        <v>15.680000000000001</v>
      </c>
      <c r="H45" s="37">
        <f t="shared" si="11"/>
        <v>2.5240732642463684E-5</v>
      </c>
    </row>
    <row r="46" spans="1:8" x14ac:dyDescent="0.2">
      <c r="A46" s="199" t="s">
        <v>415</v>
      </c>
      <c r="B46" s="160"/>
      <c r="C46" s="119">
        <v>0</v>
      </c>
      <c r="D46" s="165">
        <v>0</v>
      </c>
      <c r="E46" s="165">
        <v>5.3</v>
      </c>
      <c r="F46" s="165">
        <v>0</v>
      </c>
      <c r="G46" s="146">
        <f t="shared" si="10"/>
        <v>5.3</v>
      </c>
      <c r="H46" s="37">
        <f t="shared" si="11"/>
        <v>8.5316251916490748E-6</v>
      </c>
    </row>
    <row r="47" spans="1:8" x14ac:dyDescent="0.2">
      <c r="A47" s="199" t="s">
        <v>416</v>
      </c>
      <c r="B47" s="160"/>
      <c r="C47" s="119">
        <v>0</v>
      </c>
      <c r="D47" s="165">
        <v>0</v>
      </c>
      <c r="E47" s="165">
        <v>4.6399999999999997</v>
      </c>
      <c r="F47" s="165">
        <v>0</v>
      </c>
      <c r="G47" s="146">
        <f t="shared" si="10"/>
        <v>4.6399999999999997</v>
      </c>
      <c r="H47" s="37">
        <f t="shared" si="11"/>
        <v>7.4691963941984351E-6</v>
      </c>
    </row>
    <row r="48" spans="1:8" x14ac:dyDescent="0.2">
      <c r="A48" s="199" t="s">
        <v>407</v>
      </c>
      <c r="B48" s="160"/>
      <c r="C48" s="165">
        <v>38.32</v>
      </c>
      <c r="D48" s="165">
        <v>10.6</v>
      </c>
      <c r="E48" s="165">
        <v>0</v>
      </c>
      <c r="F48" s="165">
        <v>0</v>
      </c>
      <c r="G48" s="146">
        <f t="shared" si="10"/>
        <v>48.92</v>
      </c>
      <c r="H48" s="37">
        <f t="shared" si="11"/>
        <v>7.8748510259523164E-5</v>
      </c>
    </row>
    <row r="49" spans="1:15" x14ac:dyDescent="0.2">
      <c r="A49" s="199" t="s">
        <v>408</v>
      </c>
      <c r="B49" s="160"/>
      <c r="C49" s="165">
        <v>16.7</v>
      </c>
      <c r="D49" s="165">
        <v>15.18</v>
      </c>
      <c r="E49" s="165">
        <f>23.46+2.44</f>
        <v>25.900000000000002</v>
      </c>
      <c r="F49" s="165">
        <v>135.1</v>
      </c>
      <c r="G49" s="146">
        <f t="shared" si="10"/>
        <v>192.88</v>
      </c>
      <c r="H49" s="37">
        <f t="shared" si="11"/>
        <v>3.104867673519384E-4</v>
      </c>
    </row>
    <row r="50" spans="1:15" x14ac:dyDescent="0.2">
      <c r="A50" s="199" t="s">
        <v>413</v>
      </c>
      <c r="B50" s="160"/>
      <c r="C50" s="119">
        <v>0</v>
      </c>
      <c r="D50" s="165">
        <v>1</v>
      </c>
      <c r="E50" s="165">
        <v>0</v>
      </c>
      <c r="F50" s="165">
        <v>0</v>
      </c>
      <c r="G50" s="146">
        <f>SUM(C50:F50)</f>
        <v>1</v>
      </c>
      <c r="H50" s="37">
        <f>IF(G50&gt;0,G50/$G$18,"-")</f>
        <v>1.6097406021979388E-6</v>
      </c>
    </row>
    <row r="51" spans="1:15" x14ac:dyDescent="0.2">
      <c r="A51" s="199" t="s">
        <v>409</v>
      </c>
      <c r="B51" s="160"/>
      <c r="C51" s="165">
        <v>847.66</v>
      </c>
      <c r="D51" s="165">
        <v>0</v>
      </c>
      <c r="E51" s="165">
        <v>0</v>
      </c>
      <c r="F51" s="165">
        <v>0</v>
      </c>
      <c r="G51" s="146">
        <f t="shared" si="10"/>
        <v>847.66</v>
      </c>
      <c r="H51" s="37">
        <f t="shared" si="11"/>
        <v>1.3645127188591046E-3</v>
      </c>
    </row>
    <row r="52" spans="1:15" x14ac:dyDescent="0.2">
      <c r="A52" s="202"/>
      <c r="C52" s="20"/>
      <c r="D52" s="20"/>
      <c r="E52" s="20"/>
      <c r="F52" s="20"/>
      <c r="G52" s="42"/>
    </row>
    <row r="53" spans="1:15" ht="26.25" x14ac:dyDescent="0.25">
      <c r="A53" s="191" t="s">
        <v>62</v>
      </c>
      <c r="B53" s="57" t="s">
        <v>34</v>
      </c>
      <c r="C53" s="32" t="s">
        <v>35</v>
      </c>
      <c r="D53" s="32" t="s">
        <v>36</v>
      </c>
      <c r="E53" s="32" t="s">
        <v>37</v>
      </c>
      <c r="F53" s="32" t="s">
        <v>38</v>
      </c>
      <c r="G53" s="33" t="s">
        <v>39</v>
      </c>
      <c r="H53" s="205" t="s">
        <v>63</v>
      </c>
    </row>
    <row r="54" spans="1:15" x14ac:dyDescent="0.2">
      <c r="A54" s="198" t="s">
        <v>64</v>
      </c>
      <c r="B54" s="162" t="s">
        <v>423</v>
      </c>
      <c r="C54" s="206">
        <v>16498000</v>
      </c>
      <c r="D54" s="206">
        <v>15066000</v>
      </c>
      <c r="E54" s="206">
        <v>21927000</v>
      </c>
      <c r="F54" s="206">
        <v>17909000</v>
      </c>
      <c r="G54" s="36">
        <f t="shared" ref="G54:G62" si="12">SUM(C54:F54)</f>
        <v>71400000</v>
      </c>
      <c r="H54" s="58">
        <f>IF(G54&gt;0,G54/$G$18,"-")</f>
        <v>114.93547899693283</v>
      </c>
      <c r="L54" s="177"/>
      <c r="M54" s="177"/>
      <c r="N54" s="177"/>
      <c r="O54" s="177"/>
    </row>
    <row r="55" spans="1:15" x14ac:dyDescent="0.2">
      <c r="A55" s="199" t="s">
        <v>66</v>
      </c>
      <c r="B55" s="162" t="s">
        <v>423</v>
      </c>
      <c r="C55" s="207">
        <v>17946500</v>
      </c>
      <c r="D55" s="207">
        <v>28296960</v>
      </c>
      <c r="E55" s="207">
        <v>20470500</v>
      </c>
      <c r="F55" s="207">
        <v>10045470.000000002</v>
      </c>
      <c r="G55" s="39">
        <f t="shared" si="12"/>
        <v>76759430</v>
      </c>
      <c r="H55" s="58">
        <f t="shared" ref="H55:H60" si="13">IF(G55&gt;0,G55/$G$18,"-")</f>
        <v>123.56277107257053</v>
      </c>
      <c r="L55" s="177"/>
      <c r="M55" s="177"/>
      <c r="N55" s="177"/>
      <c r="O55" s="177"/>
    </row>
    <row r="56" spans="1:15" x14ac:dyDescent="0.2">
      <c r="A56" s="200" t="s">
        <v>338</v>
      </c>
      <c r="B56" s="50" t="s">
        <v>290</v>
      </c>
      <c r="C56" s="38">
        <f>10.721*1000</f>
        <v>10721</v>
      </c>
      <c r="D56" s="38">
        <v>34900</v>
      </c>
      <c r="E56" s="38">
        <v>8950</v>
      </c>
      <c r="F56" s="38">
        <v>10790</v>
      </c>
      <c r="G56" s="39">
        <f t="shared" si="12"/>
        <v>65361</v>
      </c>
      <c r="H56" s="58">
        <f t="shared" si="13"/>
        <v>0.10521425550025948</v>
      </c>
    </row>
    <row r="57" spans="1:15" x14ac:dyDescent="0.2">
      <c r="A57" s="200" t="s">
        <v>339</v>
      </c>
      <c r="B57" s="50" t="s">
        <v>290</v>
      </c>
      <c r="C57" s="38">
        <v>0</v>
      </c>
      <c r="D57" s="38">
        <v>0</v>
      </c>
      <c r="E57" s="38">
        <v>0</v>
      </c>
      <c r="F57" s="38">
        <v>0</v>
      </c>
      <c r="G57" s="39">
        <f t="shared" ref="G57" si="14">SUM(C57:F57)</f>
        <v>0</v>
      </c>
      <c r="H57" s="58" t="str">
        <f t="shared" si="13"/>
        <v>-</v>
      </c>
    </row>
    <row r="58" spans="1:15" x14ac:dyDescent="0.2">
      <c r="A58" s="199" t="s">
        <v>67</v>
      </c>
      <c r="B58" s="50" t="s">
        <v>290</v>
      </c>
      <c r="C58" s="38">
        <f>54.115*1000</f>
        <v>54115</v>
      </c>
      <c r="D58" s="38">
        <v>63260</v>
      </c>
      <c r="E58" s="38">
        <v>66450</v>
      </c>
      <c r="F58" s="38">
        <v>63109</v>
      </c>
      <c r="G58" s="39">
        <f t="shared" si="12"/>
        <v>246934</v>
      </c>
      <c r="H58" s="58">
        <f t="shared" si="13"/>
        <v>0.39749968586314582</v>
      </c>
    </row>
    <row r="59" spans="1:15" x14ac:dyDescent="0.2">
      <c r="A59" s="199" t="s">
        <v>68</v>
      </c>
      <c r="B59" s="50" t="s">
        <v>290</v>
      </c>
      <c r="C59" s="458">
        <f>2185*1000</f>
        <v>2185000</v>
      </c>
      <c r="D59" s="458">
        <v>3339200</v>
      </c>
      <c r="E59" s="458">
        <v>3287617</v>
      </c>
      <c r="F59" s="458">
        <v>2318875</v>
      </c>
      <c r="G59" s="39">
        <f t="shared" si="12"/>
        <v>11130692</v>
      </c>
      <c r="H59" s="58">
        <f t="shared" si="13"/>
        <v>17.917526842959781</v>
      </c>
      <c r="K59" s="176"/>
    </row>
    <row r="60" spans="1:15" x14ac:dyDescent="0.2">
      <c r="A60" s="199" t="s">
        <v>69</v>
      </c>
      <c r="B60" s="162" t="s">
        <v>423</v>
      </c>
      <c r="C60" s="38">
        <v>245551</v>
      </c>
      <c r="D60" s="38">
        <v>172412.54523522317</v>
      </c>
      <c r="E60" s="38">
        <v>241894.26699999999</v>
      </c>
      <c r="F60" s="38">
        <v>176867.27900000001</v>
      </c>
      <c r="G60" s="39">
        <f t="shared" si="12"/>
        <v>836725.09123522311</v>
      </c>
      <c r="H60" s="58">
        <f t="shared" si="13"/>
        <v>1.3469103522391133</v>
      </c>
    </row>
    <row r="61" spans="1:15" x14ac:dyDescent="0.2">
      <c r="A61" s="199" t="s">
        <v>70</v>
      </c>
      <c r="B61" s="50" t="s">
        <v>71</v>
      </c>
      <c r="C61" s="38">
        <v>0</v>
      </c>
      <c r="D61" s="38">
        <v>0</v>
      </c>
      <c r="E61" s="38">
        <v>0</v>
      </c>
      <c r="F61" s="38">
        <v>0</v>
      </c>
      <c r="G61" s="39">
        <f t="shared" si="12"/>
        <v>0</v>
      </c>
      <c r="H61" s="139"/>
    </row>
    <row r="62" spans="1:15" x14ac:dyDescent="0.2">
      <c r="A62" s="203" t="s">
        <v>61</v>
      </c>
      <c r="B62" s="59"/>
      <c r="C62" s="40">
        <v>0</v>
      </c>
      <c r="D62" s="40">
        <v>0</v>
      </c>
      <c r="E62" s="40">
        <v>0</v>
      </c>
      <c r="F62" s="40">
        <v>0</v>
      </c>
      <c r="G62" s="41">
        <f t="shared" si="12"/>
        <v>0</v>
      </c>
      <c r="H62" s="140"/>
    </row>
    <row r="63" spans="1:15" x14ac:dyDescent="0.2">
      <c r="A63" s="202"/>
      <c r="C63" s="20"/>
      <c r="D63" s="20"/>
      <c r="E63" s="20"/>
      <c r="F63" s="20"/>
      <c r="G63" s="42"/>
    </row>
    <row r="64" spans="1:15" ht="15.75" x14ac:dyDescent="0.25">
      <c r="A64" s="191" t="s">
        <v>345</v>
      </c>
      <c r="B64" s="60" t="s">
        <v>293</v>
      </c>
      <c r="C64" s="43" t="s">
        <v>35</v>
      </c>
      <c r="D64" s="43" t="s">
        <v>36</v>
      </c>
      <c r="E64" s="43" t="s">
        <v>37</v>
      </c>
      <c r="F64" s="43" t="s">
        <v>38</v>
      </c>
      <c r="G64" s="44" t="s">
        <v>39</v>
      </c>
      <c r="H64" s="45"/>
      <c r="J64" s="142" t="s">
        <v>359</v>
      </c>
    </row>
    <row r="65" spans="1:10" x14ac:dyDescent="0.2">
      <c r="A65" s="262" t="s">
        <v>356</v>
      </c>
      <c r="B65" s="43">
        <v>1</v>
      </c>
      <c r="C65" s="119">
        <v>1740.48</v>
      </c>
      <c r="D65" s="119">
        <v>2068.8000000000002</v>
      </c>
      <c r="E65" s="119">
        <v>1876.56</v>
      </c>
      <c r="F65" s="119">
        <v>1900.08</v>
      </c>
      <c r="G65" s="36">
        <f t="shared" ref="G65:G73" si="15">SUM(C65:F65)</f>
        <v>7585.92</v>
      </c>
      <c r="H65" s="171">
        <v>0.86</v>
      </c>
      <c r="J65" s="143">
        <v>8760</v>
      </c>
    </row>
    <row r="66" spans="1:10" x14ac:dyDescent="0.2">
      <c r="A66" s="263"/>
      <c r="B66" s="20">
        <v>2</v>
      </c>
      <c r="C66" s="119">
        <v>1736.6399999999999</v>
      </c>
      <c r="D66" s="119">
        <v>2184</v>
      </c>
      <c r="E66" s="119">
        <v>2148.48</v>
      </c>
      <c r="F66" s="119">
        <v>1976.8</v>
      </c>
      <c r="G66" s="39">
        <f t="shared" si="15"/>
        <v>8045.92</v>
      </c>
      <c r="H66" s="172">
        <v>0.91</v>
      </c>
    </row>
    <row r="67" spans="1:10" ht="25.5" x14ac:dyDescent="0.2">
      <c r="A67" s="204" t="s">
        <v>357</v>
      </c>
      <c r="B67" s="20"/>
      <c r="C67" s="119">
        <f>AVERAGE(C65:C66)</f>
        <v>1738.56</v>
      </c>
      <c r="D67" s="119">
        <f t="shared" ref="D67:F67" si="16">AVERAGE(D65:D66)</f>
        <v>2126.4</v>
      </c>
      <c r="E67" s="119">
        <f t="shared" si="16"/>
        <v>2012.52</v>
      </c>
      <c r="F67" s="119">
        <f t="shared" si="16"/>
        <v>1938.44</v>
      </c>
      <c r="G67" s="39">
        <f>AVERAGE(G65:G66)</f>
        <v>7815.92</v>
      </c>
      <c r="H67" s="173">
        <f>AVERAGE(H65:H66)</f>
        <v>0.88500000000000001</v>
      </c>
    </row>
    <row r="68" spans="1:10" ht="25.5" x14ac:dyDescent="0.2">
      <c r="A68" s="204" t="s">
        <v>358</v>
      </c>
      <c r="B68" s="161">
        <v>1</v>
      </c>
      <c r="C68" s="119">
        <v>1907.808</v>
      </c>
      <c r="D68" s="119">
        <v>2184</v>
      </c>
      <c r="E68" s="119">
        <v>2170.848</v>
      </c>
      <c r="F68" s="119">
        <v>2186.6880000000001</v>
      </c>
      <c r="G68" s="39">
        <f>SUM(C68:F68)</f>
        <v>8449.344000000001</v>
      </c>
      <c r="H68" s="37">
        <v>0.96399999999999997</v>
      </c>
    </row>
    <row r="69" spans="1:10" ht="25.5" x14ac:dyDescent="0.2">
      <c r="A69" s="199" t="s">
        <v>72</v>
      </c>
      <c r="B69" s="20"/>
      <c r="C69" s="38">
        <v>0</v>
      </c>
      <c r="D69" s="38">
        <v>0</v>
      </c>
      <c r="E69" s="38">
        <v>0</v>
      </c>
      <c r="F69" s="38">
        <v>0</v>
      </c>
      <c r="G69" s="39">
        <f t="shared" si="15"/>
        <v>0</v>
      </c>
      <c r="H69" s="37" t="str">
        <f>IF(B69&gt;0,#REF!/J65,"n/a")</f>
        <v>n/a</v>
      </c>
    </row>
    <row r="70" spans="1:10" ht="25.5" x14ac:dyDescent="0.2">
      <c r="A70" s="200" t="s">
        <v>346</v>
      </c>
      <c r="B70" s="141" t="s">
        <v>347</v>
      </c>
      <c r="C70" s="168">
        <v>11.409037634408602</v>
      </c>
      <c r="D70" s="168">
        <v>11.51623422939068</v>
      </c>
      <c r="E70" s="168">
        <v>11.860586837913182</v>
      </c>
      <c r="F70" s="168">
        <v>10.986591909882232</v>
      </c>
      <c r="G70" s="39"/>
      <c r="H70" s="144" t="s">
        <v>360</v>
      </c>
    </row>
    <row r="71" spans="1:10" x14ac:dyDescent="0.2">
      <c r="A71" s="199" t="s">
        <v>73</v>
      </c>
      <c r="B71" s="20" t="s">
        <v>74</v>
      </c>
      <c r="C71" s="38">
        <v>2</v>
      </c>
      <c r="D71" s="38">
        <v>1</v>
      </c>
      <c r="E71" s="166">
        <v>0</v>
      </c>
      <c r="F71" s="38">
        <v>0</v>
      </c>
      <c r="G71" s="39">
        <f t="shared" si="15"/>
        <v>3</v>
      </c>
      <c r="H71" s="49" t="str">
        <f>IF(G71&gt;0,"yes","no")</f>
        <v>yes</v>
      </c>
    </row>
    <row r="72" spans="1:10" x14ac:dyDescent="0.2">
      <c r="A72" s="199" t="s">
        <v>75</v>
      </c>
      <c r="B72" s="20" t="s">
        <v>76</v>
      </c>
      <c r="C72" s="163">
        <v>2</v>
      </c>
      <c r="D72" s="163">
        <v>0.5</v>
      </c>
      <c r="E72" s="163">
        <v>0</v>
      </c>
      <c r="F72" s="163">
        <v>0</v>
      </c>
      <c r="G72" s="39">
        <f t="shared" si="15"/>
        <v>2.5</v>
      </c>
      <c r="H72" s="61">
        <f>+(G72)/J65</f>
        <v>2.8538812785388126E-4</v>
      </c>
    </row>
    <row r="73" spans="1:10" x14ac:dyDescent="0.2">
      <c r="A73" s="203" t="s">
        <v>77</v>
      </c>
      <c r="B73" s="62" t="s">
        <v>74</v>
      </c>
      <c r="C73" s="40">
        <v>0</v>
      </c>
      <c r="D73" s="40">
        <v>0</v>
      </c>
      <c r="E73" s="40">
        <v>0</v>
      </c>
      <c r="F73" s="40">
        <v>0</v>
      </c>
      <c r="G73" s="41">
        <f t="shared" si="15"/>
        <v>0</v>
      </c>
      <c r="H73" s="63" t="str">
        <f>IF(G73&gt;0,"yes","no")</f>
        <v>no</v>
      </c>
    </row>
    <row r="86" spans="6:6" x14ac:dyDescent="0.2">
      <c r="F86" s="3"/>
    </row>
  </sheetData>
  <mergeCells count="7">
    <mergeCell ref="A65:A66"/>
    <mergeCell ref="K6:K7"/>
    <mergeCell ref="B4:C4"/>
    <mergeCell ref="B8:B17"/>
    <mergeCell ref="B21:B24"/>
    <mergeCell ref="B26:B27"/>
    <mergeCell ref="K8:K20"/>
  </mergeCells>
  <phoneticPr fontId="30" type="noConversion"/>
  <pageMargins left="0.7" right="0.7" top="0.75" bottom="0.75" header="0.3" footer="0.3"/>
  <pageSetup paperSize="9" scale="87" orientation="portrait" r:id="rId1"/>
  <headerFooter scaleWithDoc="0">
    <oddFooter>&amp;C&amp;"Arial,Regular"Page &amp;P</oddFooter>
  </headerFooter>
  <rowBreaks count="1" manualBreakCount="1">
    <brk id="62" max="16383" man="1"/>
  </rowBreaks>
  <ignoredErrors>
    <ignoredError sqref="G68 G66" formulaRange="1"/>
  </ignoredError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560EC-3BF9-4934-85FC-2EC2D9B170BA}">
  <sheetPr>
    <tabColor theme="4"/>
  </sheetPr>
  <dimension ref="A1:Q24"/>
  <sheetViews>
    <sheetView workbookViewId="0">
      <selection activeCell="K3" sqref="K3:K14"/>
    </sheetView>
  </sheetViews>
  <sheetFormatPr defaultRowHeight="15" x14ac:dyDescent="0.25"/>
  <cols>
    <col min="2" max="2" width="13.42578125" customWidth="1"/>
    <col min="3" max="3" width="11.5703125" customWidth="1"/>
    <col min="4" max="4" width="13.7109375" bestFit="1" customWidth="1"/>
    <col min="5" max="5" width="15" bestFit="1" customWidth="1"/>
    <col min="6" max="6" width="12.42578125" bestFit="1" customWidth="1"/>
    <col min="7" max="7" width="6" bestFit="1" customWidth="1"/>
    <col min="8" max="8" width="0" hidden="1" customWidth="1"/>
  </cols>
  <sheetData>
    <row r="1" spans="1:17" x14ac:dyDescent="0.25">
      <c r="B1" t="s">
        <v>110</v>
      </c>
      <c r="F1" t="s">
        <v>111</v>
      </c>
      <c r="K1" t="s">
        <v>421</v>
      </c>
    </row>
    <row r="2" spans="1:17" x14ac:dyDescent="0.25">
      <c r="B2" t="s">
        <v>417</v>
      </c>
      <c r="C2" t="s">
        <v>418</v>
      </c>
      <c r="D2" t="s">
        <v>419</v>
      </c>
      <c r="E2" t="s">
        <v>420</v>
      </c>
      <c r="F2" t="s">
        <v>417</v>
      </c>
      <c r="G2" t="s">
        <v>418</v>
      </c>
      <c r="I2" t="s">
        <v>420</v>
      </c>
      <c r="K2" t="s">
        <v>418</v>
      </c>
      <c r="L2" t="s">
        <v>422</v>
      </c>
    </row>
    <row r="3" spans="1:17" x14ac:dyDescent="0.25">
      <c r="A3" t="s">
        <v>165</v>
      </c>
      <c r="B3">
        <v>11407.645161290322</v>
      </c>
      <c r="C3" s="169">
        <v>0.97</v>
      </c>
      <c r="D3" s="170">
        <v>31</v>
      </c>
      <c r="E3">
        <v>722</v>
      </c>
      <c r="F3">
        <v>11586.483870967742</v>
      </c>
      <c r="G3" s="169">
        <v>1</v>
      </c>
      <c r="H3">
        <v>31</v>
      </c>
      <c r="I3">
        <f>H3*G3*24</f>
        <v>744</v>
      </c>
      <c r="K3" s="174">
        <v>1</v>
      </c>
      <c r="L3" s="175">
        <f>H3*K3*24</f>
        <v>744</v>
      </c>
      <c r="Q3">
        <v>98</v>
      </c>
    </row>
    <row r="4" spans="1:17" x14ac:dyDescent="0.25">
      <c r="A4" t="s">
        <v>166</v>
      </c>
      <c r="B4">
        <v>11289</v>
      </c>
      <c r="C4" s="169">
        <v>0.42</v>
      </c>
      <c r="D4" s="170">
        <v>28</v>
      </c>
      <c r="E4">
        <f t="shared" ref="E4:E14" si="0">D4*C4*24</f>
        <v>282.24</v>
      </c>
      <c r="F4">
        <v>11242</v>
      </c>
      <c r="G4" s="169">
        <v>0.37</v>
      </c>
      <c r="H4">
        <v>28</v>
      </c>
      <c r="I4">
        <f t="shared" ref="I4:I14" si="1">H4*G4*24</f>
        <v>248.64</v>
      </c>
      <c r="K4" s="174">
        <v>0.73099999999999998</v>
      </c>
      <c r="L4" s="175">
        <f t="shared" ref="L4:L14" si="2">H4*K4*24</f>
        <v>491.23199999999997</v>
      </c>
      <c r="Q4">
        <v>40</v>
      </c>
    </row>
    <row r="5" spans="1:17" x14ac:dyDescent="0.25">
      <c r="A5" t="s">
        <v>167</v>
      </c>
      <c r="B5">
        <v>11443.193548387097</v>
      </c>
      <c r="C5" s="169">
        <v>0.99</v>
      </c>
      <c r="D5" s="170">
        <v>31</v>
      </c>
      <c r="E5">
        <f t="shared" si="0"/>
        <v>736.56000000000006</v>
      </c>
      <c r="F5">
        <v>11485.903225806451</v>
      </c>
      <c r="G5" s="169">
        <v>1</v>
      </c>
      <c r="H5">
        <v>31</v>
      </c>
      <c r="I5">
        <f t="shared" si="1"/>
        <v>744</v>
      </c>
      <c r="K5" s="174">
        <v>0.90400000000000003</v>
      </c>
      <c r="L5" s="175">
        <f t="shared" si="2"/>
        <v>672.57600000000002</v>
      </c>
      <c r="Q5">
        <v>99</v>
      </c>
    </row>
    <row r="6" spans="1:17" x14ac:dyDescent="0.25">
      <c r="A6" t="s">
        <v>168</v>
      </c>
      <c r="B6">
        <v>11013.6</v>
      </c>
      <c r="C6" s="169">
        <v>0.91</v>
      </c>
      <c r="D6" s="170">
        <v>30</v>
      </c>
      <c r="E6">
        <f t="shared" si="0"/>
        <v>655.20000000000005</v>
      </c>
      <c r="F6">
        <v>11957.9</v>
      </c>
      <c r="G6" s="169">
        <v>1</v>
      </c>
      <c r="H6">
        <v>30</v>
      </c>
      <c r="I6">
        <f t="shared" si="1"/>
        <v>720</v>
      </c>
      <c r="K6" s="174">
        <v>1</v>
      </c>
      <c r="L6" s="175">
        <f t="shared" si="2"/>
        <v>720</v>
      </c>
      <c r="O6" s="459"/>
      <c r="Q6">
        <v>95</v>
      </c>
    </row>
    <row r="7" spans="1:17" x14ac:dyDescent="0.25">
      <c r="A7" t="s">
        <v>169</v>
      </c>
      <c r="B7">
        <v>11478.774193548386</v>
      </c>
      <c r="C7" s="169">
        <v>1</v>
      </c>
      <c r="D7" s="170">
        <v>31</v>
      </c>
      <c r="E7">
        <f t="shared" si="0"/>
        <v>744</v>
      </c>
      <c r="F7">
        <v>11555.064516129032</v>
      </c>
      <c r="G7" s="169">
        <v>1</v>
      </c>
      <c r="H7">
        <v>31</v>
      </c>
      <c r="I7">
        <f t="shared" si="1"/>
        <v>744</v>
      </c>
      <c r="K7" s="174">
        <v>1</v>
      </c>
      <c r="L7" s="175">
        <f t="shared" si="2"/>
        <v>744</v>
      </c>
      <c r="Q7">
        <v>100</v>
      </c>
    </row>
    <row r="8" spans="1:17" x14ac:dyDescent="0.25">
      <c r="A8" t="s">
        <v>170</v>
      </c>
      <c r="B8">
        <v>11618</v>
      </c>
      <c r="C8" s="169">
        <v>0.93</v>
      </c>
      <c r="D8" s="170">
        <v>30</v>
      </c>
      <c r="E8">
        <f t="shared" si="0"/>
        <v>669.6</v>
      </c>
      <c r="F8">
        <v>11474.066666666668</v>
      </c>
      <c r="G8" s="169">
        <v>1</v>
      </c>
      <c r="H8">
        <v>30</v>
      </c>
      <c r="I8">
        <f t="shared" si="1"/>
        <v>720</v>
      </c>
      <c r="K8" s="174">
        <v>1</v>
      </c>
      <c r="L8" s="175">
        <f t="shared" si="2"/>
        <v>720</v>
      </c>
      <c r="Q8">
        <v>97</v>
      </c>
    </row>
    <row r="9" spans="1:17" x14ac:dyDescent="0.25">
      <c r="A9" t="s">
        <v>171</v>
      </c>
      <c r="B9">
        <v>12151.645161290322</v>
      </c>
      <c r="C9" s="169">
        <v>1</v>
      </c>
      <c r="D9" s="170">
        <v>31</v>
      </c>
      <c r="E9">
        <f t="shared" si="0"/>
        <v>744</v>
      </c>
      <c r="F9">
        <v>12067.032258064517</v>
      </c>
      <c r="G9" s="169">
        <v>1</v>
      </c>
      <c r="H9">
        <v>31</v>
      </c>
      <c r="I9">
        <f t="shared" si="1"/>
        <v>744</v>
      </c>
      <c r="K9" s="174">
        <v>0.99199999999999999</v>
      </c>
      <c r="L9" s="175">
        <f t="shared" si="2"/>
        <v>738.048</v>
      </c>
      <c r="Q9">
        <v>100</v>
      </c>
    </row>
    <row r="10" spans="1:17" x14ac:dyDescent="0.25">
      <c r="A10" t="s">
        <v>172</v>
      </c>
      <c r="B10">
        <v>11899</v>
      </c>
      <c r="C10" s="169">
        <v>0.69</v>
      </c>
      <c r="D10" s="170">
        <v>31</v>
      </c>
      <c r="E10">
        <f t="shared" si="0"/>
        <v>513.3599999999999</v>
      </c>
      <c r="F10">
        <v>11416.58064516129</v>
      </c>
      <c r="G10" s="169">
        <v>0.92</v>
      </c>
      <c r="H10">
        <v>31</v>
      </c>
      <c r="I10">
        <f t="shared" si="1"/>
        <v>684.48</v>
      </c>
      <c r="K10" s="174">
        <v>0.99</v>
      </c>
      <c r="L10" s="175">
        <f t="shared" si="2"/>
        <v>736.56000000000006</v>
      </c>
      <c r="Q10">
        <v>81</v>
      </c>
    </row>
    <row r="11" spans="1:17" x14ac:dyDescent="0.25">
      <c r="A11" t="s">
        <v>173</v>
      </c>
      <c r="B11">
        <v>11761.962962962964</v>
      </c>
      <c r="C11" s="169">
        <v>0.86</v>
      </c>
      <c r="D11" s="170">
        <v>30</v>
      </c>
      <c r="E11">
        <f t="shared" si="0"/>
        <v>619.20000000000005</v>
      </c>
      <c r="F11">
        <v>11867.3</v>
      </c>
      <c r="G11" s="169">
        <v>1</v>
      </c>
      <c r="H11">
        <v>30</v>
      </c>
      <c r="I11">
        <f t="shared" si="1"/>
        <v>720</v>
      </c>
      <c r="K11" s="174">
        <v>0.96700000000000008</v>
      </c>
      <c r="L11" s="175">
        <f t="shared" si="2"/>
        <v>696.24</v>
      </c>
      <c r="Q11">
        <v>93</v>
      </c>
    </row>
    <row r="12" spans="1:17" x14ac:dyDescent="0.25">
      <c r="A12" t="s">
        <v>174</v>
      </c>
      <c r="B12">
        <v>11161</v>
      </c>
      <c r="C12" s="169">
        <v>0.77</v>
      </c>
      <c r="D12" s="170">
        <v>31</v>
      </c>
      <c r="E12">
        <f t="shared" si="0"/>
        <v>572.88</v>
      </c>
      <c r="F12">
        <v>11504.741935483871</v>
      </c>
      <c r="G12" s="169">
        <v>1</v>
      </c>
      <c r="H12">
        <v>31</v>
      </c>
      <c r="I12">
        <f t="shared" si="1"/>
        <v>744</v>
      </c>
      <c r="K12" s="174">
        <v>1</v>
      </c>
      <c r="L12" s="175">
        <f t="shared" si="2"/>
        <v>744</v>
      </c>
      <c r="Q12">
        <v>89</v>
      </c>
    </row>
    <row r="13" spans="1:17" x14ac:dyDescent="0.25">
      <c r="A13" t="s">
        <v>175</v>
      </c>
      <c r="B13">
        <v>10841</v>
      </c>
      <c r="C13" s="169">
        <v>0.81</v>
      </c>
      <c r="D13" s="170">
        <v>30</v>
      </c>
      <c r="E13">
        <f t="shared" si="0"/>
        <v>583.20000000000005</v>
      </c>
      <c r="F13">
        <v>10693.666666666666</v>
      </c>
      <c r="G13" s="169">
        <v>1</v>
      </c>
      <c r="H13">
        <v>30</v>
      </c>
      <c r="I13">
        <f t="shared" si="1"/>
        <v>720</v>
      </c>
      <c r="K13" s="174">
        <v>0.9890000000000001</v>
      </c>
      <c r="L13" s="175">
        <f t="shared" si="2"/>
        <v>712.08</v>
      </c>
      <c r="Q13">
        <v>90</v>
      </c>
    </row>
    <row r="14" spans="1:17" x14ac:dyDescent="0.25">
      <c r="A14" t="s">
        <v>176</v>
      </c>
      <c r="B14">
        <v>10787.142857142857</v>
      </c>
      <c r="C14" s="169">
        <f>E14/(D14*24)</f>
        <v>1</v>
      </c>
      <c r="D14" s="170">
        <v>31</v>
      </c>
      <c r="E14">
        <v>744</v>
      </c>
      <c r="F14">
        <v>10932</v>
      </c>
      <c r="G14" s="169">
        <f>I14/(D14*24)</f>
        <v>0.68924731182795695</v>
      </c>
      <c r="H14">
        <v>31</v>
      </c>
      <c r="I14">
        <v>512.79999999999995</v>
      </c>
      <c r="K14" s="174">
        <v>1</v>
      </c>
      <c r="L14" s="175">
        <f t="shared" si="2"/>
        <v>744</v>
      </c>
      <c r="Q14">
        <v>84</v>
      </c>
    </row>
    <row r="17" spans="1:16" x14ac:dyDescent="0.25">
      <c r="A17" t="s">
        <v>35</v>
      </c>
      <c r="B17" s="167">
        <f>AVERAGE(B3:B5)/1000</f>
        <v>11.379946236559139</v>
      </c>
      <c r="C17" s="167">
        <f>AVERAGE(C3:C5)</f>
        <v>0.79333333333333333</v>
      </c>
      <c r="D17" s="167"/>
      <c r="E17" s="167">
        <f>SUM(E3:E5)</f>
        <v>1740.8000000000002</v>
      </c>
      <c r="F17" s="167">
        <f t="shared" ref="F17" si="3">AVERAGE(F3:F5)/1000</f>
        <v>11.438129032258066</v>
      </c>
      <c r="G17" s="167">
        <f>AVERAGE(G3:G5)</f>
        <v>0.79</v>
      </c>
      <c r="H17" s="167"/>
      <c r="I17" s="167">
        <f>SUM(I3:I5)</f>
        <v>1736.6399999999999</v>
      </c>
      <c r="J17" s="167"/>
      <c r="K17" s="167">
        <f>AVERAGE(K3:K5)</f>
        <v>0.8783333333333333</v>
      </c>
      <c r="L17" s="167">
        <f>SUM(L3:L5)</f>
        <v>1907.808</v>
      </c>
    </row>
    <row r="18" spans="1:16" x14ac:dyDescent="0.25">
      <c r="A18" t="s">
        <v>36</v>
      </c>
      <c r="B18" s="167">
        <f>AVERAGE(B6:B8)/1000</f>
        <v>11.370124731182795</v>
      </c>
      <c r="C18" s="167">
        <f>AVERAGE(C6:C8)</f>
        <v>0.94666666666666677</v>
      </c>
      <c r="D18" s="167"/>
      <c r="E18" s="167">
        <f>SUM(E6:E8)</f>
        <v>2068.8000000000002</v>
      </c>
      <c r="F18" s="167">
        <f t="shared" ref="F18" si="4">AVERAGE(F6:F8)/1000</f>
        <v>11.662343727598564</v>
      </c>
      <c r="G18" s="167">
        <f>AVERAGE(G6:G8)</f>
        <v>1</v>
      </c>
      <c r="H18" s="167"/>
      <c r="I18" s="167">
        <f>SUM(I6:I8)</f>
        <v>2184</v>
      </c>
      <c r="K18" s="167">
        <f>AVERAGE(K6:K8)</f>
        <v>1</v>
      </c>
      <c r="L18" s="167">
        <f>SUM(L6:L8)</f>
        <v>2184</v>
      </c>
    </row>
    <row r="19" spans="1:16" x14ac:dyDescent="0.25">
      <c r="A19" t="s">
        <v>37</v>
      </c>
      <c r="B19" s="167">
        <f>AVERAGE(B9:B11)/1000</f>
        <v>11.937536041417761</v>
      </c>
      <c r="C19" s="167">
        <f>AVERAGE(C9:C11)</f>
        <v>0.85</v>
      </c>
      <c r="D19" s="167"/>
      <c r="E19" s="167">
        <f>SUM(E9:E11)</f>
        <v>1876.56</v>
      </c>
      <c r="F19" s="167">
        <f t="shared" ref="F19" si="5">AVERAGE(F9:F11)/1000</f>
        <v>11.783637634408603</v>
      </c>
      <c r="G19" s="167">
        <f>AVERAGE(G9:G11)</f>
        <v>0.97333333333333327</v>
      </c>
      <c r="H19" s="167"/>
      <c r="I19" s="167">
        <f>SUM(I9:I11)</f>
        <v>2148.48</v>
      </c>
      <c r="K19" s="167">
        <f>AVERAGE(K9:K11)</f>
        <v>0.98299999999999998</v>
      </c>
      <c r="L19" s="167">
        <f>SUM(L9:L11)</f>
        <v>2170.848</v>
      </c>
    </row>
    <row r="20" spans="1:16" x14ac:dyDescent="0.25">
      <c r="A20" t="s">
        <v>38</v>
      </c>
      <c r="B20" s="167">
        <f>AVERAGE(B12:B14)/1000</f>
        <v>10.929714285714285</v>
      </c>
      <c r="C20" s="167">
        <f>AVERAGE(C12:C14)</f>
        <v>0.86</v>
      </c>
      <c r="D20" s="167"/>
      <c r="E20" s="167">
        <f>SUM(E12:E14)</f>
        <v>1900.08</v>
      </c>
      <c r="F20" s="167">
        <f t="shared" ref="F20" si="6">AVERAGE(F12:F14)/1000</f>
        <v>11.043469534050178</v>
      </c>
      <c r="G20" s="167">
        <f>AVERAGE(G12:G14)</f>
        <v>0.8964157706093191</v>
      </c>
      <c r="H20" s="167"/>
      <c r="I20" s="167">
        <f>SUM(I12:I14)</f>
        <v>1976.8</v>
      </c>
      <c r="K20" s="167">
        <f>AVERAGE(K12:K14)</f>
        <v>0.99633333333333329</v>
      </c>
      <c r="L20" s="167">
        <f>SUM(L12:L14)</f>
        <v>2200.08</v>
      </c>
    </row>
    <row r="21" spans="1:16" x14ac:dyDescent="0.25">
      <c r="L21">
        <v>1907.808</v>
      </c>
      <c r="M21">
        <v>1907.808</v>
      </c>
      <c r="N21">
        <v>2184</v>
      </c>
      <c r="O21">
        <v>2170.848</v>
      </c>
      <c r="P21">
        <v>2186.6880000000001</v>
      </c>
    </row>
    <row r="22" spans="1:16" x14ac:dyDescent="0.25">
      <c r="L22">
        <v>2184</v>
      </c>
    </row>
    <row r="23" spans="1:16" x14ac:dyDescent="0.25">
      <c r="L23">
        <v>2170.848</v>
      </c>
    </row>
    <row r="24" spans="1:16" x14ac:dyDescent="0.25">
      <c r="L24">
        <v>2186.6880000000001</v>
      </c>
    </row>
  </sheetData>
  <phoneticPr fontId="3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topLeftCell="A6" workbookViewId="0">
      <selection activeCell="F29" sqref="F29"/>
    </sheetView>
  </sheetViews>
  <sheetFormatPr defaultColWidth="9.42578125" defaultRowHeight="15" x14ac:dyDescent="0.2"/>
  <cols>
    <col min="1" max="1" width="9.42578125" style="2" customWidth="1"/>
    <col min="2" max="2" width="14.5703125" style="2" bestFit="1" customWidth="1"/>
    <col min="3" max="9" width="9.42578125" style="2"/>
    <col min="10" max="10" width="11.5703125" style="2" customWidth="1"/>
    <col min="11" max="16384" width="9.42578125" style="2"/>
  </cols>
  <sheetData>
    <row r="1" spans="1:14" x14ac:dyDescent="0.2">
      <c r="A1" s="2" t="str">
        <f>+'Cover Page'!$B$29</f>
        <v>Annual Performance Report 2022</v>
      </c>
      <c r="E1" s="2" t="str">
        <f>+'Cover Page'!$B$33</f>
        <v>enfinium Ferrybridge 1 Ltd</v>
      </c>
    </row>
    <row r="3" spans="1:14" ht="15.75" x14ac:dyDescent="0.25">
      <c r="A3" s="88" t="s">
        <v>25</v>
      </c>
      <c r="B3" s="89"/>
      <c r="C3" s="89"/>
      <c r="D3" s="89"/>
      <c r="E3" s="89"/>
      <c r="F3" s="89"/>
      <c r="G3" s="89"/>
      <c r="H3" s="89"/>
      <c r="I3" s="90"/>
      <c r="K3" s="129" t="s">
        <v>297</v>
      </c>
    </row>
    <row r="4" spans="1:14" x14ac:dyDescent="0.2">
      <c r="A4" s="91"/>
      <c r="B4" s="92"/>
      <c r="C4" s="92"/>
      <c r="D4" s="92"/>
      <c r="E4" s="92"/>
      <c r="F4" s="92"/>
      <c r="G4" s="92"/>
      <c r="H4" s="92"/>
      <c r="I4" s="93"/>
    </row>
    <row r="5" spans="1:14" ht="15.75" customHeight="1" x14ac:dyDescent="0.2">
      <c r="A5" s="244" t="s">
        <v>424</v>
      </c>
      <c r="B5" s="245"/>
      <c r="C5" s="245"/>
      <c r="D5" s="245"/>
      <c r="E5" s="245"/>
      <c r="F5" s="245"/>
      <c r="G5" s="245"/>
      <c r="H5" s="245"/>
      <c r="I5" s="246"/>
      <c r="K5" s="261" t="s">
        <v>314</v>
      </c>
      <c r="L5" s="261"/>
      <c r="M5" s="261"/>
      <c r="N5" s="261"/>
    </row>
    <row r="6" spans="1:14" x14ac:dyDescent="0.2">
      <c r="A6" s="247"/>
      <c r="B6" s="248"/>
      <c r="C6" s="248"/>
      <c r="D6" s="248"/>
      <c r="E6" s="248"/>
      <c r="F6" s="248"/>
      <c r="G6" s="248"/>
      <c r="H6" s="248"/>
      <c r="I6" s="249"/>
      <c r="K6" s="261"/>
      <c r="L6" s="261"/>
      <c r="M6" s="261"/>
      <c r="N6" s="261"/>
    </row>
    <row r="7" spans="1:14" x14ac:dyDescent="0.2">
      <c r="A7" s="247"/>
      <c r="B7" s="248"/>
      <c r="C7" s="248"/>
      <c r="D7" s="248"/>
      <c r="E7" s="248"/>
      <c r="F7" s="248"/>
      <c r="G7" s="248"/>
      <c r="H7" s="248"/>
      <c r="I7" s="249"/>
      <c r="K7" s="261"/>
      <c r="L7" s="261"/>
      <c r="M7" s="261"/>
      <c r="N7" s="261"/>
    </row>
    <row r="8" spans="1:14" ht="15.75" customHeight="1" x14ac:dyDescent="0.2">
      <c r="A8" s="247"/>
      <c r="B8" s="248"/>
      <c r="C8" s="248"/>
      <c r="D8" s="248"/>
      <c r="E8" s="248"/>
      <c r="F8" s="248"/>
      <c r="G8" s="248"/>
      <c r="H8" s="248"/>
      <c r="I8" s="249"/>
      <c r="K8" s="261"/>
      <c r="L8" s="261"/>
      <c r="M8" s="261"/>
      <c r="N8" s="261"/>
    </row>
    <row r="9" spans="1:14" ht="15.75" customHeight="1" x14ac:dyDescent="0.2">
      <c r="A9" s="247"/>
      <c r="B9" s="248"/>
      <c r="C9" s="248"/>
      <c r="D9" s="248"/>
      <c r="E9" s="248"/>
      <c r="F9" s="248"/>
      <c r="G9" s="248"/>
      <c r="H9" s="248"/>
      <c r="I9" s="249"/>
      <c r="K9" s="261"/>
      <c r="L9" s="261"/>
      <c r="M9" s="261"/>
      <c r="N9" s="261"/>
    </row>
    <row r="10" spans="1:14" ht="15.75" customHeight="1" x14ac:dyDescent="0.2">
      <c r="A10" s="247"/>
      <c r="B10" s="248"/>
      <c r="C10" s="248"/>
      <c r="D10" s="248"/>
      <c r="E10" s="248"/>
      <c r="F10" s="248"/>
      <c r="G10" s="248"/>
      <c r="H10" s="248"/>
      <c r="I10" s="249"/>
      <c r="K10" s="261"/>
      <c r="L10" s="261"/>
      <c r="M10" s="261"/>
      <c r="N10" s="261"/>
    </row>
    <row r="11" spans="1:14" ht="15.75" customHeight="1" x14ac:dyDescent="0.2">
      <c r="A11" s="247"/>
      <c r="B11" s="248"/>
      <c r="C11" s="248"/>
      <c r="D11" s="248"/>
      <c r="E11" s="248"/>
      <c r="F11" s="248"/>
      <c r="G11" s="248"/>
      <c r="H11" s="248"/>
      <c r="I11" s="249"/>
      <c r="K11" s="261"/>
      <c r="L11" s="261"/>
      <c r="M11" s="261"/>
      <c r="N11" s="261"/>
    </row>
    <row r="12" spans="1:14" ht="15.75" customHeight="1" x14ac:dyDescent="0.2">
      <c r="A12" s="247"/>
      <c r="B12" s="248"/>
      <c r="C12" s="248"/>
      <c r="D12" s="248"/>
      <c r="E12" s="248"/>
      <c r="F12" s="248"/>
      <c r="G12" s="248"/>
      <c r="H12" s="248"/>
      <c r="I12" s="249"/>
      <c r="K12" s="261"/>
      <c r="L12" s="261"/>
      <c r="M12" s="261"/>
      <c r="N12" s="261"/>
    </row>
    <row r="13" spans="1:14" ht="15.75" customHeight="1" x14ac:dyDescent="0.2">
      <c r="A13" s="247"/>
      <c r="B13" s="248"/>
      <c r="C13" s="248"/>
      <c r="D13" s="248"/>
      <c r="E13" s="248"/>
      <c r="F13" s="248"/>
      <c r="G13" s="248"/>
      <c r="H13" s="248"/>
      <c r="I13" s="249"/>
      <c r="K13" s="261"/>
      <c r="L13" s="261"/>
      <c r="M13" s="261"/>
      <c r="N13" s="261"/>
    </row>
    <row r="14" spans="1:14" ht="15.75" customHeight="1" x14ac:dyDescent="0.2">
      <c r="A14" s="247"/>
      <c r="B14" s="248"/>
      <c r="C14" s="248"/>
      <c r="D14" s="248"/>
      <c r="E14" s="248"/>
      <c r="F14" s="248"/>
      <c r="G14" s="248"/>
      <c r="H14" s="248"/>
      <c r="I14" s="249"/>
      <c r="K14" s="261"/>
      <c r="L14" s="261"/>
      <c r="M14" s="261"/>
      <c r="N14" s="261"/>
    </row>
    <row r="15" spans="1:14" ht="15.75" customHeight="1" x14ac:dyDescent="0.2">
      <c r="A15" s="247"/>
      <c r="B15" s="248"/>
      <c r="C15" s="248"/>
      <c r="D15" s="248"/>
      <c r="E15" s="248"/>
      <c r="F15" s="248"/>
      <c r="G15" s="248"/>
      <c r="H15" s="248"/>
      <c r="I15" s="249"/>
    </row>
    <row r="16" spans="1:14" ht="15.75" customHeight="1" x14ac:dyDescent="0.2">
      <c r="A16" s="247"/>
      <c r="B16" s="248"/>
      <c r="C16" s="248"/>
      <c r="D16" s="248"/>
      <c r="E16" s="248"/>
      <c r="F16" s="248"/>
      <c r="G16" s="248"/>
      <c r="H16" s="248"/>
      <c r="I16" s="249"/>
    </row>
    <row r="17" spans="1:14" ht="15.75" customHeight="1" x14ac:dyDescent="0.2">
      <c r="A17" s="247"/>
      <c r="B17" s="248"/>
      <c r="C17" s="248"/>
      <c r="D17" s="248"/>
      <c r="E17" s="248"/>
      <c r="F17" s="248"/>
      <c r="G17" s="248"/>
      <c r="H17" s="248"/>
      <c r="I17" s="249"/>
    </row>
    <row r="18" spans="1:14" x14ac:dyDescent="0.2">
      <c r="A18" s="247"/>
      <c r="B18" s="248"/>
      <c r="C18" s="248"/>
      <c r="D18" s="248"/>
      <c r="E18" s="248"/>
      <c r="F18" s="248"/>
      <c r="G18" s="248"/>
      <c r="H18" s="248"/>
      <c r="I18" s="249"/>
    </row>
    <row r="19" spans="1:14" x14ac:dyDescent="0.2">
      <c r="A19" s="247"/>
      <c r="B19" s="248"/>
      <c r="C19" s="248"/>
      <c r="D19" s="248"/>
      <c r="E19" s="248"/>
      <c r="F19" s="248"/>
      <c r="G19" s="248"/>
      <c r="H19" s="248"/>
      <c r="I19" s="249"/>
    </row>
    <row r="20" spans="1:14" x14ac:dyDescent="0.2">
      <c r="A20" s="247"/>
      <c r="B20" s="248"/>
      <c r="C20" s="248"/>
      <c r="D20" s="248"/>
      <c r="E20" s="248"/>
      <c r="F20" s="248"/>
      <c r="G20" s="248"/>
      <c r="H20" s="248"/>
      <c r="I20" s="249"/>
    </row>
    <row r="21" spans="1:14" x14ac:dyDescent="0.2">
      <c r="A21" s="247"/>
      <c r="B21" s="248"/>
      <c r="C21" s="248"/>
      <c r="D21" s="248"/>
      <c r="E21" s="248"/>
      <c r="F21" s="248"/>
      <c r="G21" s="248"/>
      <c r="H21" s="248"/>
      <c r="I21" s="249"/>
    </row>
    <row r="22" spans="1:14" ht="15.6" customHeight="1" x14ac:dyDescent="0.2">
      <c r="A22" s="247"/>
      <c r="B22" s="248"/>
      <c r="C22" s="248"/>
      <c r="D22" s="248"/>
      <c r="E22" s="248"/>
      <c r="F22" s="248"/>
      <c r="G22" s="248"/>
      <c r="H22" s="248"/>
      <c r="I22" s="249"/>
      <c r="K22" s="130"/>
      <c r="L22" s="130"/>
      <c r="M22" s="130"/>
      <c r="N22" s="130"/>
    </row>
    <row r="23" spans="1:14" x14ac:dyDescent="0.2">
      <c r="A23" s="247"/>
      <c r="B23" s="248"/>
      <c r="C23" s="248"/>
      <c r="D23" s="248"/>
      <c r="E23" s="248"/>
      <c r="F23" s="248"/>
      <c r="G23" s="248"/>
      <c r="H23" s="248"/>
      <c r="I23" s="249"/>
      <c r="K23" s="130"/>
      <c r="L23" s="130"/>
      <c r="M23" s="130"/>
      <c r="N23" s="130"/>
    </row>
    <row r="24" spans="1:14" x14ac:dyDescent="0.2">
      <c r="A24" s="247"/>
      <c r="B24" s="248"/>
      <c r="C24" s="248"/>
      <c r="D24" s="248"/>
      <c r="E24" s="248"/>
      <c r="F24" s="248"/>
      <c r="G24" s="248"/>
      <c r="H24" s="248"/>
      <c r="I24" s="249"/>
      <c r="K24" s="130"/>
      <c r="L24" s="130"/>
      <c r="M24" s="130"/>
      <c r="N24" s="130"/>
    </row>
    <row r="25" spans="1:14" x14ac:dyDescent="0.2">
      <c r="A25" s="247"/>
      <c r="B25" s="248"/>
      <c r="C25" s="248"/>
      <c r="D25" s="248"/>
      <c r="E25" s="248"/>
      <c r="F25" s="248"/>
      <c r="G25" s="248"/>
      <c r="H25" s="248"/>
      <c r="I25" s="249"/>
      <c r="K25" s="130"/>
      <c r="L25" s="130"/>
      <c r="M25" s="130"/>
      <c r="N25" s="130"/>
    </row>
    <row r="26" spans="1:14" x14ac:dyDescent="0.2">
      <c r="A26" s="247"/>
      <c r="B26" s="248"/>
      <c r="C26" s="248"/>
      <c r="D26" s="248"/>
      <c r="E26" s="248"/>
      <c r="F26" s="248"/>
      <c r="G26" s="248"/>
      <c r="H26" s="248"/>
      <c r="I26" s="249"/>
      <c r="K26" s="130"/>
      <c r="L26" s="130"/>
      <c r="M26" s="130"/>
      <c r="N26" s="130"/>
    </row>
    <row r="27" spans="1:14" x14ac:dyDescent="0.2">
      <c r="A27" s="250"/>
      <c r="B27" s="251"/>
      <c r="C27" s="251"/>
      <c r="D27" s="251"/>
      <c r="E27" s="251"/>
      <c r="F27" s="251"/>
      <c r="G27" s="251"/>
      <c r="H27" s="251"/>
      <c r="I27" s="252"/>
      <c r="K27" s="130"/>
      <c r="L27" s="130"/>
      <c r="M27" s="130"/>
      <c r="N27" s="130"/>
    </row>
    <row r="28" spans="1:14" x14ac:dyDescent="0.2">
      <c r="K28" s="130"/>
      <c r="L28" s="130"/>
      <c r="M28" s="130"/>
      <c r="N28" s="130"/>
    </row>
    <row r="29" spans="1:14" ht="15.75" x14ac:dyDescent="0.25">
      <c r="A29" s="88" t="s">
        <v>191</v>
      </c>
      <c r="B29" s="89"/>
      <c r="C29" s="89"/>
      <c r="D29" s="89"/>
      <c r="E29" s="89"/>
      <c r="F29" s="89"/>
      <c r="G29" s="89"/>
      <c r="H29" s="89"/>
      <c r="I29" s="90"/>
      <c r="K29" s="130"/>
      <c r="L29" s="130"/>
      <c r="M29" s="130"/>
      <c r="N29" s="130"/>
    </row>
    <row r="30" spans="1:14" x14ac:dyDescent="0.2">
      <c r="A30" s="91"/>
      <c r="B30" s="92"/>
      <c r="C30" s="92"/>
      <c r="D30" s="92"/>
      <c r="E30" s="92"/>
      <c r="F30" s="92"/>
      <c r="G30" s="92"/>
      <c r="H30" s="92"/>
      <c r="I30" s="93"/>
      <c r="K30" s="130"/>
      <c r="L30" s="130"/>
      <c r="M30" s="130"/>
      <c r="N30" s="130"/>
    </row>
    <row r="31" spans="1:14" x14ac:dyDescent="0.2">
      <c r="A31" s="244" t="s">
        <v>425</v>
      </c>
      <c r="B31" s="253"/>
      <c r="C31" s="253"/>
      <c r="D31" s="253"/>
      <c r="E31" s="253"/>
      <c r="F31" s="253"/>
      <c r="G31" s="253"/>
      <c r="H31" s="253"/>
      <c r="I31" s="254"/>
      <c r="K31" s="261" t="s">
        <v>315</v>
      </c>
      <c r="L31" s="261"/>
      <c r="M31" s="261"/>
      <c r="N31" s="261"/>
    </row>
    <row r="32" spans="1:14" x14ac:dyDescent="0.2">
      <c r="A32" s="255"/>
      <c r="B32" s="256"/>
      <c r="C32" s="256"/>
      <c r="D32" s="256"/>
      <c r="E32" s="256"/>
      <c r="F32" s="256"/>
      <c r="G32" s="256"/>
      <c r="H32" s="256"/>
      <c r="I32" s="257"/>
      <c r="K32" s="261"/>
      <c r="L32" s="261"/>
      <c r="M32" s="261"/>
      <c r="N32" s="261"/>
    </row>
    <row r="33" spans="1:14" x14ac:dyDescent="0.2">
      <c r="A33" s="255"/>
      <c r="B33" s="256"/>
      <c r="C33" s="256"/>
      <c r="D33" s="256"/>
      <c r="E33" s="256"/>
      <c r="F33" s="256"/>
      <c r="G33" s="256"/>
      <c r="H33" s="256"/>
      <c r="I33" s="257"/>
      <c r="K33" s="261"/>
      <c r="L33" s="261"/>
      <c r="M33" s="261"/>
      <c r="N33" s="261"/>
    </row>
    <row r="34" spans="1:14" x14ac:dyDescent="0.2">
      <c r="A34" s="255"/>
      <c r="B34" s="256"/>
      <c r="C34" s="256"/>
      <c r="D34" s="256"/>
      <c r="E34" s="256"/>
      <c r="F34" s="256"/>
      <c r="G34" s="256"/>
      <c r="H34" s="256"/>
      <c r="I34" s="257"/>
      <c r="K34" s="261"/>
      <c r="L34" s="261"/>
      <c r="M34" s="261"/>
      <c r="N34" s="261"/>
    </row>
    <row r="35" spans="1:14" x14ac:dyDescent="0.2">
      <c r="A35" s="255"/>
      <c r="B35" s="256"/>
      <c r="C35" s="256"/>
      <c r="D35" s="256"/>
      <c r="E35" s="256"/>
      <c r="F35" s="256"/>
      <c r="G35" s="256"/>
      <c r="H35" s="256"/>
      <c r="I35" s="257"/>
      <c r="K35" s="261"/>
      <c r="L35" s="261"/>
      <c r="M35" s="261"/>
      <c r="N35" s="261"/>
    </row>
    <row r="36" spans="1:14" x14ac:dyDescent="0.2">
      <c r="A36" s="255"/>
      <c r="B36" s="256"/>
      <c r="C36" s="256"/>
      <c r="D36" s="256"/>
      <c r="E36" s="256"/>
      <c r="F36" s="256"/>
      <c r="G36" s="256"/>
      <c r="H36" s="256"/>
      <c r="I36" s="257"/>
      <c r="K36" s="261"/>
      <c r="L36" s="261"/>
      <c r="M36" s="261"/>
      <c r="N36" s="261"/>
    </row>
    <row r="37" spans="1:14" x14ac:dyDescent="0.2">
      <c r="A37" s="255"/>
      <c r="B37" s="256"/>
      <c r="C37" s="256"/>
      <c r="D37" s="256"/>
      <c r="E37" s="256"/>
      <c r="F37" s="256"/>
      <c r="G37" s="256"/>
      <c r="H37" s="256"/>
      <c r="I37" s="257"/>
      <c r="K37" s="261"/>
      <c r="L37" s="261"/>
      <c r="M37" s="261"/>
      <c r="N37" s="261"/>
    </row>
    <row r="38" spans="1:14" ht="14.25" customHeight="1" x14ac:dyDescent="0.2">
      <c r="A38" s="255"/>
      <c r="B38" s="256"/>
      <c r="C38" s="256"/>
      <c r="D38" s="256"/>
      <c r="E38" s="256"/>
      <c r="F38" s="256"/>
      <c r="G38" s="256"/>
      <c r="H38" s="256"/>
      <c r="I38" s="257"/>
      <c r="K38" s="261"/>
      <c r="L38" s="261"/>
      <c r="M38" s="261"/>
      <c r="N38" s="261"/>
    </row>
    <row r="39" spans="1:14" x14ac:dyDescent="0.2">
      <c r="A39" s="255"/>
      <c r="B39" s="256"/>
      <c r="C39" s="256"/>
      <c r="D39" s="256"/>
      <c r="E39" s="256"/>
      <c r="F39" s="256"/>
      <c r="G39" s="256"/>
      <c r="H39" s="256"/>
      <c r="I39" s="257"/>
      <c r="K39" s="261"/>
      <c r="L39" s="261"/>
      <c r="M39" s="261"/>
      <c r="N39" s="261"/>
    </row>
    <row r="40" spans="1:14" x14ac:dyDescent="0.2">
      <c r="A40" s="255"/>
      <c r="B40" s="256"/>
      <c r="C40" s="256"/>
      <c r="D40" s="256"/>
      <c r="E40" s="256"/>
      <c r="F40" s="256"/>
      <c r="G40" s="256"/>
      <c r="H40" s="256"/>
      <c r="I40" s="257"/>
      <c r="K40" s="261"/>
      <c r="L40" s="261"/>
      <c r="M40" s="261"/>
      <c r="N40" s="261"/>
    </row>
    <row r="41" spans="1:14" x14ac:dyDescent="0.2">
      <c r="A41" s="255"/>
      <c r="B41" s="256"/>
      <c r="C41" s="256"/>
      <c r="D41" s="256"/>
      <c r="E41" s="256"/>
      <c r="F41" s="256"/>
      <c r="G41" s="256"/>
      <c r="H41" s="256"/>
      <c r="I41" s="257"/>
    </row>
    <row r="42" spans="1:14" x14ac:dyDescent="0.2">
      <c r="A42" s="255"/>
      <c r="B42" s="256"/>
      <c r="C42" s="256"/>
      <c r="D42" s="256"/>
      <c r="E42" s="256"/>
      <c r="F42" s="256"/>
      <c r="G42" s="256"/>
      <c r="H42" s="256"/>
      <c r="I42" s="257"/>
    </row>
    <row r="43" spans="1:14" x14ac:dyDescent="0.2">
      <c r="A43" s="255"/>
      <c r="B43" s="256"/>
      <c r="C43" s="256"/>
      <c r="D43" s="256"/>
      <c r="E43" s="256"/>
      <c r="F43" s="256"/>
      <c r="G43" s="256"/>
      <c r="H43" s="256"/>
      <c r="I43" s="257"/>
    </row>
    <row r="44" spans="1:14" x14ac:dyDescent="0.2">
      <c r="A44" s="255"/>
      <c r="B44" s="256"/>
      <c r="C44" s="256"/>
      <c r="D44" s="256"/>
      <c r="E44" s="256"/>
      <c r="F44" s="256"/>
      <c r="G44" s="256"/>
      <c r="H44" s="256"/>
      <c r="I44" s="257"/>
    </row>
    <row r="45" spans="1:14" x14ac:dyDescent="0.2">
      <c r="A45" s="255"/>
      <c r="B45" s="256"/>
      <c r="C45" s="256"/>
      <c r="D45" s="256"/>
      <c r="E45" s="256"/>
      <c r="F45" s="256"/>
      <c r="G45" s="256"/>
      <c r="H45" s="256"/>
      <c r="I45" s="257"/>
    </row>
    <row r="46" spans="1:14" x14ac:dyDescent="0.2">
      <c r="A46" s="255"/>
      <c r="B46" s="256"/>
      <c r="C46" s="256"/>
      <c r="D46" s="256"/>
      <c r="E46" s="256"/>
      <c r="F46" s="256"/>
      <c r="G46" s="256"/>
      <c r="H46" s="256"/>
      <c r="I46" s="257"/>
    </row>
    <row r="47" spans="1:14" x14ac:dyDescent="0.2">
      <c r="A47" s="255"/>
      <c r="B47" s="256"/>
      <c r="C47" s="256"/>
      <c r="D47" s="256"/>
      <c r="E47" s="256"/>
      <c r="F47" s="256"/>
      <c r="G47" s="256"/>
      <c r="H47" s="256"/>
      <c r="I47" s="257"/>
    </row>
    <row r="48" spans="1:14" x14ac:dyDescent="0.2">
      <c r="A48" s="255"/>
      <c r="B48" s="256"/>
      <c r="C48" s="256"/>
      <c r="D48" s="256"/>
      <c r="E48" s="256"/>
      <c r="F48" s="256"/>
      <c r="G48" s="256"/>
      <c r="H48" s="256"/>
      <c r="I48" s="257"/>
    </row>
    <row r="49" spans="1:9" x14ac:dyDescent="0.2">
      <c r="A49" s="255"/>
      <c r="B49" s="256"/>
      <c r="C49" s="256"/>
      <c r="D49" s="256"/>
      <c r="E49" s="256"/>
      <c r="F49" s="256"/>
      <c r="G49" s="256"/>
      <c r="H49" s="256"/>
      <c r="I49" s="257"/>
    </row>
    <row r="50" spans="1:9" x14ac:dyDescent="0.2">
      <c r="A50" s="255"/>
      <c r="B50" s="256"/>
      <c r="C50" s="256"/>
      <c r="D50" s="256"/>
      <c r="E50" s="256"/>
      <c r="F50" s="256"/>
      <c r="G50" s="256"/>
      <c r="H50" s="256"/>
      <c r="I50" s="257"/>
    </row>
    <row r="51" spans="1:9" x14ac:dyDescent="0.2">
      <c r="A51" s="255"/>
      <c r="B51" s="256"/>
      <c r="C51" s="256"/>
      <c r="D51" s="256"/>
      <c r="E51" s="256"/>
      <c r="F51" s="256"/>
      <c r="G51" s="256"/>
      <c r="H51" s="256"/>
      <c r="I51" s="257"/>
    </row>
    <row r="52" spans="1:9" x14ac:dyDescent="0.2">
      <c r="A52" s="258"/>
      <c r="B52" s="259"/>
      <c r="C52" s="259"/>
      <c r="D52" s="259"/>
      <c r="E52" s="259"/>
      <c r="F52" s="259"/>
      <c r="G52" s="259"/>
      <c r="H52" s="259"/>
      <c r="I52" s="260"/>
    </row>
    <row r="66" spans="6:6" x14ac:dyDescent="0.2">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76"/>
  <sheetViews>
    <sheetView topLeftCell="A47" workbookViewId="0">
      <selection activeCell="K58" sqref="K58"/>
    </sheetView>
  </sheetViews>
  <sheetFormatPr defaultColWidth="9.42578125" defaultRowHeight="15" x14ac:dyDescent="0.2"/>
  <cols>
    <col min="1" max="1" width="14.28515625" style="2" customWidth="1"/>
    <col min="2" max="2" width="12.5703125" style="2" customWidth="1"/>
    <col min="3" max="7" width="9.42578125" style="2"/>
    <col min="8" max="8" width="10.140625" style="2" bestFit="1" customWidth="1"/>
    <col min="9" max="16384" width="9.42578125" style="2"/>
  </cols>
  <sheetData>
    <row r="1" spans="1:10" ht="15.75" x14ac:dyDescent="0.25">
      <c r="A1" s="64">
        <f>+'Cover Page'!C39</f>
        <v>2022</v>
      </c>
      <c r="B1" s="65" t="s">
        <v>78</v>
      </c>
      <c r="C1" s="65"/>
      <c r="D1" s="65"/>
      <c r="E1" s="65"/>
      <c r="F1" s="65"/>
      <c r="G1" s="65"/>
      <c r="H1" s="65"/>
      <c r="I1" s="65"/>
      <c r="J1" s="65"/>
    </row>
    <row r="2" spans="1:10" ht="8.25" customHeight="1" x14ac:dyDescent="0.2"/>
    <row r="3" spans="1:10" s="3" customFormat="1" ht="14.25" x14ac:dyDescent="0.2">
      <c r="A3" s="322" t="str">
        <f>+'Cover Page'!B31</f>
        <v>Permit EPR/SP3239FU</v>
      </c>
      <c r="B3" s="322"/>
      <c r="C3" s="322"/>
      <c r="D3" s="322"/>
      <c r="E3" s="322"/>
      <c r="F3" s="3" t="s">
        <v>79</v>
      </c>
      <c r="G3" s="323" t="s">
        <v>392</v>
      </c>
      <c r="H3" s="323"/>
      <c r="I3" s="323"/>
    </row>
    <row r="4" spans="1:10" s="3" customFormat="1" ht="14.25" x14ac:dyDescent="0.2">
      <c r="A4" s="3" t="s">
        <v>80</v>
      </c>
      <c r="B4" s="322" t="str">
        <f>+'Cover Page'!B33:I33</f>
        <v>enfinium Ferrybridge 1 Ltd</v>
      </c>
      <c r="C4" s="322"/>
      <c r="D4" s="322"/>
      <c r="E4" s="322"/>
      <c r="F4" s="3" t="s">
        <v>81</v>
      </c>
      <c r="G4" s="3" t="s">
        <v>82</v>
      </c>
    </row>
    <row r="5" spans="1:10" s="3" customFormat="1" ht="6.75" customHeight="1" x14ac:dyDescent="0.2"/>
    <row r="6" spans="1:10" s="3" customFormat="1" ht="15.75" customHeight="1" x14ac:dyDescent="0.2">
      <c r="A6" s="3" t="s">
        <v>83</v>
      </c>
      <c r="D6" s="324">
        <v>44562</v>
      </c>
      <c r="E6" s="324"/>
      <c r="F6" s="66" t="s">
        <v>84</v>
      </c>
      <c r="G6" s="324">
        <v>44926</v>
      </c>
      <c r="H6" s="324"/>
    </row>
    <row r="7" spans="1:10" s="3" customFormat="1" ht="7.5" customHeight="1" x14ac:dyDescent="0.2"/>
    <row r="8" spans="1:10" s="3" customFormat="1" ht="15.75" x14ac:dyDescent="0.25">
      <c r="A8" s="11">
        <f>+A1</f>
        <v>2022</v>
      </c>
      <c r="B8" s="65" t="s">
        <v>85</v>
      </c>
      <c r="C8"/>
      <c r="D8"/>
      <c r="E8"/>
      <c r="F8"/>
      <c r="G8"/>
    </row>
    <row r="9" spans="1:10" s="3" customFormat="1" ht="28.5" customHeight="1" x14ac:dyDescent="0.2">
      <c r="A9" s="325" t="s">
        <v>86</v>
      </c>
      <c r="B9" s="325"/>
      <c r="C9" s="325" t="s">
        <v>87</v>
      </c>
      <c r="D9" s="325"/>
      <c r="E9" s="325" t="s">
        <v>88</v>
      </c>
      <c r="F9" s="325"/>
      <c r="G9" s="325" t="s">
        <v>89</v>
      </c>
      <c r="H9" s="325"/>
      <c r="I9" s="325" t="s">
        <v>90</v>
      </c>
      <c r="J9" s="325"/>
    </row>
    <row r="10" spans="1:10" s="3" customFormat="1" ht="14.25" customHeight="1" x14ac:dyDescent="0.2">
      <c r="A10" s="281" t="s">
        <v>91</v>
      </c>
      <c r="B10" s="281"/>
      <c r="C10" s="281"/>
      <c r="D10" s="281"/>
      <c r="E10" s="281"/>
      <c r="F10" s="281"/>
      <c r="G10" s="281"/>
      <c r="H10" s="281"/>
      <c r="I10" s="281"/>
      <c r="J10" s="281"/>
    </row>
    <row r="11" spans="1:10" s="3" customFormat="1" ht="14.25" customHeight="1" x14ac:dyDescent="0.2">
      <c r="A11" s="273" t="s">
        <v>58</v>
      </c>
      <c r="B11" s="273"/>
      <c r="C11" s="313" t="str">
        <f>'Perf. Form RAW data'!B3</f>
        <v>D9 / R5</v>
      </c>
      <c r="D11" s="273"/>
      <c r="E11" s="309">
        <f>'Operational Data'!G31-G11</f>
        <v>5430.1399999999958</v>
      </c>
      <c r="F11" s="309"/>
      <c r="G11" s="320">
        <f>'Perf. Form RAW data'!G3</f>
        <v>20876.700000000004</v>
      </c>
      <c r="H11" s="321"/>
      <c r="I11" s="277">
        <f>IF((E11+G11)&gt;0,(E11+G11)/'Operational Data'!$G$18, "-")</f>
        <v>4.2347188463524824E-2</v>
      </c>
      <c r="J11" s="277"/>
    </row>
    <row r="12" spans="1:10" s="3" customFormat="1" ht="14.25" customHeight="1" x14ac:dyDescent="0.2">
      <c r="A12" s="273" t="s">
        <v>399</v>
      </c>
      <c r="B12" s="273"/>
      <c r="C12" s="313" t="str">
        <f>'Perf. Form RAW data'!B4</f>
        <v>D9</v>
      </c>
      <c r="D12" s="273"/>
      <c r="E12" s="309">
        <f>'Operational Data'!G32-G12</f>
        <v>78.5</v>
      </c>
      <c r="F12" s="309"/>
      <c r="G12" s="299">
        <f>'Perf. Form RAW data'!G4</f>
        <v>0</v>
      </c>
      <c r="H12" s="300"/>
      <c r="I12" s="277">
        <f>IF((E12+G12)&gt;0,(E12+G12)/'Operational Data'!$G$18, "-")</f>
        <v>1.2636463727253819E-4</v>
      </c>
      <c r="J12" s="277"/>
    </row>
    <row r="13" spans="1:10" s="3" customFormat="1" ht="14.25" customHeight="1" x14ac:dyDescent="0.2">
      <c r="A13" s="273" t="s">
        <v>400</v>
      </c>
      <c r="B13" s="273"/>
      <c r="C13" s="313" t="str">
        <f>'Perf. Form RAW data'!B5</f>
        <v>R13</v>
      </c>
      <c r="D13" s="273"/>
      <c r="E13" s="309">
        <f>'Operational Data'!G33-G13</f>
        <v>0</v>
      </c>
      <c r="F13" s="309"/>
      <c r="G13" s="299">
        <f>'Perf. Form RAW data'!G5</f>
        <v>10.87</v>
      </c>
      <c r="H13" s="300"/>
      <c r="I13" s="277">
        <f>IF((E13+G13)&gt;0,(E13+G13)/'Operational Data'!$G$18, "-")</f>
        <v>1.7497880345891592E-5</v>
      </c>
      <c r="J13" s="277"/>
    </row>
    <row r="14" spans="1:10" s="3" customFormat="1" ht="14.25" customHeight="1" x14ac:dyDescent="0.2">
      <c r="A14" s="273" t="s">
        <v>414</v>
      </c>
      <c r="B14" s="273"/>
      <c r="C14" s="313" t="str">
        <f>'Perf. Form RAW data'!B6</f>
        <v>R9 / D15</v>
      </c>
      <c r="D14" s="273"/>
      <c r="E14" s="309">
        <f>'Operational Data'!G34-G14</f>
        <v>0.30000000000000004</v>
      </c>
      <c r="F14" s="309"/>
      <c r="G14" s="299">
        <f>'Perf. Form RAW data'!G6</f>
        <v>0.54</v>
      </c>
      <c r="H14" s="300"/>
      <c r="I14" s="277">
        <f>IF((E14+G14)&gt;0,(E14+G14)/'Operational Data'!$G$18, "-")</f>
        <v>1.3521821058462686E-6</v>
      </c>
      <c r="J14" s="277"/>
    </row>
    <row r="15" spans="1:10" s="3" customFormat="1" ht="14.25" customHeight="1" x14ac:dyDescent="0.2">
      <c r="A15" s="273" t="s">
        <v>401</v>
      </c>
      <c r="B15" s="273"/>
      <c r="C15" s="313" t="str">
        <f>'Perf. Form RAW data'!B7</f>
        <v>D9</v>
      </c>
      <c r="D15" s="273"/>
      <c r="E15" s="309">
        <f>'Operational Data'!G35-G15</f>
        <v>116.54</v>
      </c>
      <c r="F15" s="309"/>
      <c r="G15" s="299">
        <f>'Perf. Form RAW data'!G7</f>
        <v>0</v>
      </c>
      <c r="H15" s="300"/>
      <c r="I15" s="277">
        <f>IF((E15+G15)&gt;0,(E15+G15)/'Operational Data'!$G$18, "-")</f>
        <v>1.875991697801478E-4</v>
      </c>
      <c r="J15" s="277"/>
    </row>
    <row r="16" spans="1:10" s="3" customFormat="1" ht="14.25" customHeight="1" x14ac:dyDescent="0.2">
      <c r="A16" s="273" t="s">
        <v>436</v>
      </c>
      <c r="B16" s="273"/>
      <c r="C16" s="313" t="str">
        <f>'Perf. Form RAW data'!B8</f>
        <v>R13 / D15</v>
      </c>
      <c r="D16" s="273"/>
      <c r="E16" s="309">
        <v>0.36</v>
      </c>
      <c r="F16" s="309"/>
      <c r="G16" s="299">
        <f>'Perf. Form RAW data'!G8</f>
        <v>5.3500000000000005</v>
      </c>
      <c r="H16" s="300"/>
      <c r="I16" s="277">
        <f>IF((E16+G16)&gt;0,(E16+G16)/'Operational Data'!$G$18, "-")</f>
        <v>9.1916188385502319E-6</v>
      </c>
      <c r="J16" s="277"/>
    </row>
    <row r="17" spans="1:10" s="3" customFormat="1" ht="14.25" x14ac:dyDescent="0.2">
      <c r="A17" s="298" t="s">
        <v>410</v>
      </c>
      <c r="B17" s="272"/>
      <c r="C17" s="313" t="str">
        <f>'Perf. Form RAW data'!B9</f>
        <v>R13</v>
      </c>
      <c r="D17" s="273"/>
      <c r="E17" s="309">
        <f>'Operational Data'!G37-G17</f>
        <v>0</v>
      </c>
      <c r="F17" s="309"/>
      <c r="G17" s="299">
        <f>'Perf. Form RAW data'!G9</f>
        <v>0.03</v>
      </c>
      <c r="H17" s="300"/>
      <c r="I17" s="314">
        <f>IF((E17+G17)&gt;0,(E17+G17)/'Operational Data'!$G$18, "-")</f>
        <v>4.8292218065938163E-8</v>
      </c>
      <c r="J17" s="315"/>
    </row>
    <row r="18" spans="1:10" s="3" customFormat="1" ht="14.25" x14ac:dyDescent="0.2">
      <c r="A18" s="298" t="s">
        <v>411</v>
      </c>
      <c r="B18" s="272"/>
      <c r="C18" s="313" t="str">
        <f>'Perf. Form RAW data'!B10</f>
        <v>D15</v>
      </c>
      <c r="D18" s="273"/>
      <c r="E18" s="309">
        <f>'Operational Data'!G38-G18</f>
        <v>6.7</v>
      </c>
      <c r="F18" s="309"/>
      <c r="G18" s="299">
        <f>'Perf. Form RAW data'!G10</f>
        <v>0</v>
      </c>
      <c r="H18" s="300"/>
      <c r="I18" s="314">
        <f>IF((E18+G18)&gt;0,(E18+G18)/'Operational Data'!$G$18, "-")</f>
        <v>1.078526203472619E-5</v>
      </c>
      <c r="J18" s="315"/>
    </row>
    <row r="19" spans="1:10" s="3" customFormat="1" ht="14.25" x14ac:dyDescent="0.2">
      <c r="A19" s="298" t="s">
        <v>403</v>
      </c>
      <c r="B19" s="272"/>
      <c r="C19" s="313" t="str">
        <f>'Perf. Form RAW data'!B11</f>
        <v>R13</v>
      </c>
      <c r="D19" s="273"/>
      <c r="E19" s="309">
        <f>'Operational Data'!G39-G19</f>
        <v>2.0000000000000462E-2</v>
      </c>
      <c r="F19" s="309"/>
      <c r="G19" s="299">
        <f>'Perf. Form RAW data'!G11</f>
        <v>4.84</v>
      </c>
      <c r="H19" s="300"/>
      <c r="I19" s="314">
        <f>IF((E19+G19)&gt;0,(E19+G19)/'Operational Data'!$G$18, "-")</f>
        <v>7.8233393266819833E-6</v>
      </c>
      <c r="J19" s="315"/>
    </row>
    <row r="20" spans="1:10" s="3" customFormat="1" ht="14.25" x14ac:dyDescent="0.2">
      <c r="A20" s="298" t="s">
        <v>412</v>
      </c>
      <c r="B20" s="272"/>
      <c r="C20" s="313" t="str">
        <f>'Perf. Form RAW data'!B12</f>
        <v>R13</v>
      </c>
      <c r="D20" s="273"/>
      <c r="E20" s="309">
        <f>'Operational Data'!G40-G20</f>
        <v>0</v>
      </c>
      <c r="F20" s="309"/>
      <c r="G20" s="299">
        <f>'Perf. Form RAW data'!G12</f>
        <v>1.25</v>
      </c>
      <c r="H20" s="300"/>
      <c r="I20" s="314">
        <f>IF((E20+G20)&gt;0,(E20+G20)/'Operational Data'!$G$18, "-")</f>
        <v>2.0121757527474237E-6</v>
      </c>
      <c r="J20" s="315"/>
    </row>
    <row r="21" spans="1:10" s="3" customFormat="1" ht="14.25" customHeight="1" x14ac:dyDescent="0.2">
      <c r="A21" s="319" t="s">
        <v>93</v>
      </c>
      <c r="B21" s="319"/>
      <c r="C21" s="319"/>
      <c r="D21" s="319"/>
      <c r="E21" s="311">
        <f>SUM(E11:F20)</f>
        <v>5632.5599999999959</v>
      </c>
      <c r="F21" s="311"/>
      <c r="G21" s="311">
        <f>SUM(G11:H20)</f>
        <v>20899.580000000002</v>
      </c>
      <c r="H21" s="311"/>
      <c r="I21" s="277">
        <f>IF((E21+G21)&gt;0,(E21+G21)/'Operational Data'!$G$18, "-")</f>
        <v>4.2709863021200022E-2</v>
      </c>
      <c r="J21" s="277"/>
    </row>
    <row r="22" spans="1:10" s="3" customFormat="1" ht="14.25" customHeight="1" x14ac:dyDescent="0.2">
      <c r="A22" s="288"/>
      <c r="B22" s="289"/>
      <c r="C22" s="289"/>
      <c r="D22" s="289"/>
      <c r="E22" s="316"/>
      <c r="F22" s="316"/>
      <c r="G22" s="316"/>
      <c r="H22" s="316"/>
      <c r="I22" s="317"/>
      <c r="J22" s="292"/>
    </row>
    <row r="23" spans="1:10" s="3" customFormat="1" ht="14.25" customHeight="1" x14ac:dyDescent="0.2">
      <c r="A23" s="318" t="s">
        <v>94</v>
      </c>
      <c r="B23" s="318"/>
      <c r="C23" s="318"/>
      <c r="D23" s="318"/>
      <c r="E23" s="318"/>
      <c r="F23" s="318"/>
      <c r="G23" s="318"/>
      <c r="H23" s="318"/>
      <c r="I23" s="318"/>
      <c r="J23" s="318"/>
    </row>
    <row r="24" spans="1:10" ht="14.25" customHeight="1" x14ac:dyDescent="0.2">
      <c r="A24" s="273" t="s">
        <v>59</v>
      </c>
      <c r="B24" s="273"/>
      <c r="C24" s="273" t="str">
        <f>'Perf. Form RAW data'!B13</f>
        <v>R5</v>
      </c>
      <c r="D24" s="273"/>
      <c r="E24" s="309">
        <v>0</v>
      </c>
      <c r="F24" s="309"/>
      <c r="G24" s="309">
        <f>'Operational Data'!G41</f>
        <v>119636</v>
      </c>
      <c r="H24" s="309"/>
      <c r="I24" s="277">
        <f>IF((E24+G24)&gt;0,(E24+G24)/'Operational Data'!$G$18, "-")</f>
        <v>0.1925829266845526</v>
      </c>
      <c r="J24" s="277"/>
    </row>
    <row r="25" spans="1:10" s="3" customFormat="1" ht="14.25" customHeight="1" x14ac:dyDescent="0.2">
      <c r="A25" s="273" t="s">
        <v>60</v>
      </c>
      <c r="B25" s="273"/>
      <c r="C25" s="273" t="str">
        <f>'Perf. Form RAW data'!B14</f>
        <v>R4</v>
      </c>
      <c r="D25" s="273"/>
      <c r="E25" s="312">
        <v>0</v>
      </c>
      <c r="F25" s="309"/>
      <c r="G25" s="309">
        <f>'Perf. Form RAW data'!G14</f>
        <v>3786.38</v>
      </c>
      <c r="H25" s="309"/>
      <c r="I25" s="277">
        <f>IF((E25+G25)&gt;0,(E25+G25)/'Operational Data'!$G$18, "-")</f>
        <v>6.0950896213502314E-3</v>
      </c>
      <c r="J25" s="277"/>
    </row>
    <row r="26" spans="1:10" s="3" customFormat="1" ht="14.25" customHeight="1" x14ac:dyDescent="0.2">
      <c r="A26" s="273" t="s">
        <v>404</v>
      </c>
      <c r="B26" s="273"/>
      <c r="C26" s="273" t="str">
        <f>'Perf. Form RAW data'!B15</f>
        <v>R13</v>
      </c>
      <c r="D26" s="273"/>
      <c r="E26" s="309">
        <f>'Operational Data'!G43-G26</f>
        <v>0</v>
      </c>
      <c r="F26" s="309"/>
      <c r="G26" s="276">
        <f>'Perf. Form RAW data'!G15</f>
        <v>14.88</v>
      </c>
      <c r="H26" s="276"/>
      <c r="I26" s="277">
        <f>IF((E26+G26)&gt;0,(E26+G26)/'Operational Data'!$G$18, "-")</f>
        <v>2.395294016070533E-5</v>
      </c>
      <c r="J26" s="277"/>
    </row>
    <row r="27" spans="1:10" s="3" customFormat="1" ht="14.25" customHeight="1" x14ac:dyDescent="0.2">
      <c r="A27" s="273" t="s">
        <v>405</v>
      </c>
      <c r="B27" s="273"/>
      <c r="C27" s="273" t="str">
        <f>'Perf. Form RAW data'!B16</f>
        <v>R13</v>
      </c>
      <c r="D27" s="273"/>
      <c r="E27" s="309">
        <f>'Operational Data'!G44-G27</f>
        <v>0</v>
      </c>
      <c r="F27" s="309"/>
      <c r="G27" s="276">
        <f>'Perf. Form RAW data'!G16</f>
        <v>68.06</v>
      </c>
      <c r="H27" s="276"/>
      <c r="I27" s="277">
        <f>IF((E27+G27)&gt;0,(E27+G27)/'Operational Data'!$G$18, "-")</f>
        <v>1.0955894538559172E-4</v>
      </c>
      <c r="J27" s="277"/>
    </row>
    <row r="28" spans="1:10" s="3" customFormat="1" ht="14.25" customHeight="1" x14ac:dyDescent="0.2">
      <c r="A28" s="273" t="s">
        <v>406</v>
      </c>
      <c r="B28" s="273"/>
      <c r="C28" s="273" t="str">
        <f>'Perf. Form RAW data'!B17</f>
        <v>R3</v>
      </c>
      <c r="D28" s="273"/>
      <c r="E28" s="309">
        <f>'Operational Data'!G45-G28</f>
        <v>0</v>
      </c>
      <c r="F28" s="309"/>
      <c r="G28" s="276">
        <f>'Perf. Form RAW data'!G17</f>
        <v>15.680000000000001</v>
      </c>
      <c r="H28" s="276"/>
      <c r="I28" s="277">
        <f>IF((E28+G28)&gt;0,(E28+G28)/'Operational Data'!$G$18, "-")</f>
        <v>2.5240732642463684E-5</v>
      </c>
      <c r="J28" s="277"/>
    </row>
    <row r="29" spans="1:10" ht="14.25" customHeight="1" x14ac:dyDescent="0.2">
      <c r="A29" s="273" t="s">
        <v>415</v>
      </c>
      <c r="B29" s="273"/>
      <c r="C29" s="273" t="str">
        <f>'Perf. Form RAW data'!B18</f>
        <v>R13</v>
      </c>
      <c r="D29" s="273"/>
      <c r="E29" s="309">
        <f>'Operational Data'!G46-G29</f>
        <v>0</v>
      </c>
      <c r="F29" s="309"/>
      <c r="G29" s="276">
        <f>'Perf. Form RAW data'!G18</f>
        <v>5.3</v>
      </c>
      <c r="H29" s="276"/>
      <c r="I29" s="277">
        <f>IF((E29+G29)&gt;0,(E29+G29)/'Operational Data'!$G$18, "-")</f>
        <v>8.5316251916490748E-6</v>
      </c>
      <c r="J29" s="277"/>
    </row>
    <row r="30" spans="1:10" s="3" customFormat="1" ht="14.25" customHeight="1" x14ac:dyDescent="0.2">
      <c r="A30" s="298" t="s">
        <v>416</v>
      </c>
      <c r="B30" s="272"/>
      <c r="C30" s="273" t="str">
        <f>'Perf. Form RAW data'!B19</f>
        <v>R13</v>
      </c>
      <c r="D30" s="273"/>
      <c r="E30" s="309">
        <f>'Operational Data'!G47-G30</f>
        <v>0</v>
      </c>
      <c r="F30" s="309"/>
      <c r="G30" s="276">
        <f>'Perf. Form RAW data'!G19</f>
        <v>4.6399999999999997</v>
      </c>
      <c r="H30" s="276"/>
      <c r="I30" s="277">
        <f>IF((E30+G30)&gt;0,(E30+G30)/'Operational Data'!$G$18, "-")</f>
        <v>7.4691963941984351E-6</v>
      </c>
      <c r="J30" s="277"/>
    </row>
    <row r="31" spans="1:10" s="3" customFormat="1" ht="14.25" customHeight="1" x14ac:dyDescent="0.2">
      <c r="A31" s="298" t="s">
        <v>407</v>
      </c>
      <c r="B31" s="272"/>
      <c r="C31" s="273" t="str">
        <f>'Perf. Form RAW data'!B20</f>
        <v>R13</v>
      </c>
      <c r="D31" s="273"/>
      <c r="E31" s="309">
        <f>'Operational Data'!G48-G31</f>
        <v>0</v>
      </c>
      <c r="F31" s="309"/>
      <c r="G31" s="276">
        <f>'Perf. Form RAW data'!G20</f>
        <v>48.92</v>
      </c>
      <c r="H31" s="276"/>
      <c r="I31" s="277">
        <f>IF((E31+G31)&gt;0,(E31+G31)/'Operational Data'!$G$18, "-")</f>
        <v>7.8748510259523164E-5</v>
      </c>
      <c r="J31" s="277"/>
    </row>
    <row r="32" spans="1:10" s="3" customFormat="1" ht="14.25" customHeight="1" x14ac:dyDescent="0.2">
      <c r="A32" s="298" t="s">
        <v>408</v>
      </c>
      <c r="B32" s="272"/>
      <c r="C32" s="273" t="str">
        <f>'Perf. Form RAW data'!B21</f>
        <v>D8</v>
      </c>
      <c r="D32" s="273"/>
      <c r="E32" s="309">
        <f>'Operational Data'!G49-G32</f>
        <v>192.88</v>
      </c>
      <c r="F32" s="309"/>
      <c r="G32" s="276">
        <f>'Perf. Form RAW data'!G21</f>
        <v>0</v>
      </c>
      <c r="H32" s="276"/>
      <c r="I32" s="277">
        <f>IF((E32+G32)&gt;0,(E32+G32)/'Operational Data'!$G$18, "-")</f>
        <v>3.104867673519384E-4</v>
      </c>
      <c r="J32" s="277"/>
    </row>
    <row r="33" spans="1:10" s="3" customFormat="1" ht="14.25" customHeight="1" x14ac:dyDescent="0.2">
      <c r="A33" s="271" t="s">
        <v>447</v>
      </c>
      <c r="B33" s="272"/>
      <c r="C33" s="273" t="str">
        <f>'Perf. Form RAW data'!B22</f>
        <v>R13</v>
      </c>
      <c r="D33" s="273"/>
      <c r="E33" s="274">
        <v>0</v>
      </c>
      <c r="F33" s="275"/>
      <c r="G33" s="276">
        <f>'Perf. Form RAW data'!G22</f>
        <v>0.92</v>
      </c>
      <c r="H33" s="276"/>
      <c r="I33" s="277">
        <f>IF((E33+G33)&gt;0,(E33+G33)/'Operational Data'!$G$18, "-")</f>
        <v>1.4809613540221038E-6</v>
      </c>
      <c r="J33" s="277"/>
    </row>
    <row r="34" spans="1:10" s="3" customFormat="1" ht="14.25" customHeight="1" x14ac:dyDescent="0.2">
      <c r="A34" s="298" t="s">
        <v>413</v>
      </c>
      <c r="B34" s="272"/>
      <c r="C34" s="273" t="str">
        <f>'Perf. Form RAW data'!B23</f>
        <v>D15</v>
      </c>
      <c r="D34" s="273"/>
      <c r="E34" s="309">
        <f>'Operational Data'!G50-'Perf. Form RAW data'!G23</f>
        <v>1</v>
      </c>
      <c r="F34" s="309"/>
      <c r="G34" s="276">
        <f>'Perf. Form RAW data'!G23</f>
        <v>0</v>
      </c>
      <c r="H34" s="276"/>
      <c r="I34" s="277">
        <f>IF((E34+G34)&gt;0,(E34+G34)/'Operational Data'!$G$18, "-")</f>
        <v>1.6097406021979388E-6</v>
      </c>
      <c r="J34" s="277"/>
    </row>
    <row r="35" spans="1:10" s="3" customFormat="1" ht="14.25" customHeight="1" x14ac:dyDescent="0.2">
      <c r="A35" s="278" t="s">
        <v>409</v>
      </c>
      <c r="B35" s="278"/>
      <c r="C35" s="278" t="str">
        <f>'Perf. Form RAW data'!B24</f>
        <v>D9</v>
      </c>
      <c r="D35" s="278"/>
      <c r="E35" s="279">
        <f>'Operational Data'!G51-G35</f>
        <v>847.66</v>
      </c>
      <c r="F35" s="279"/>
      <c r="G35" s="280">
        <f>'Perf. Form RAW data'!G24</f>
        <v>0</v>
      </c>
      <c r="H35" s="280"/>
      <c r="I35" s="277">
        <f>IF((E35+G35)&gt;0,(E35+G35)/'Operational Data'!$G$18, "-")</f>
        <v>1.3645127188591046E-3</v>
      </c>
      <c r="J35" s="277"/>
    </row>
    <row r="36" spans="1:10" s="3" customFormat="1" ht="14.25" customHeight="1" x14ac:dyDescent="0.2">
      <c r="A36" s="271" t="s">
        <v>445</v>
      </c>
      <c r="B36" s="272"/>
      <c r="C36" s="273" t="str">
        <f>'Perf. Form RAW data'!B25</f>
        <v>R13</v>
      </c>
      <c r="D36" s="273"/>
      <c r="E36" s="274">
        <v>0</v>
      </c>
      <c r="F36" s="275"/>
      <c r="G36" s="276">
        <f>'Perf. Form RAW data'!G25</f>
        <v>41.96</v>
      </c>
      <c r="H36" s="276"/>
      <c r="I36" s="277">
        <f>IF((E36+G36)&gt;0,(E36+G36)/'Operational Data'!$G$18, "-")</f>
        <v>6.7544715668225517E-5</v>
      </c>
      <c r="J36" s="277"/>
    </row>
    <row r="37" spans="1:10" s="3" customFormat="1" ht="14.25" customHeight="1" x14ac:dyDescent="0.2">
      <c r="A37" s="310" t="s">
        <v>95</v>
      </c>
      <c r="B37" s="310"/>
      <c r="C37" s="310"/>
      <c r="D37" s="310"/>
      <c r="E37" s="311">
        <f>SUM(E24:F35)</f>
        <v>1041.54</v>
      </c>
      <c r="F37" s="311"/>
      <c r="G37" s="311">
        <f>SUM(G24:H35)</f>
        <v>123580.78</v>
      </c>
      <c r="H37" s="311"/>
      <c r="I37" s="277">
        <f>IF((E37+G37)&gt;0,(E37+G37)/'Operational Data'!$G$18, "-")</f>
        <v>0.20060960844410422</v>
      </c>
      <c r="J37" s="277"/>
    </row>
    <row r="38" spans="1:10" s="3" customFormat="1" ht="14.25" customHeight="1" x14ac:dyDescent="0.2">
      <c r="A38" s="306" t="s">
        <v>96</v>
      </c>
      <c r="B38" s="306"/>
      <c r="C38" s="306"/>
      <c r="D38" s="306"/>
      <c r="E38" s="307">
        <f>+E37+E21</f>
        <v>6674.0999999999958</v>
      </c>
      <c r="F38" s="307"/>
      <c r="G38" s="307">
        <f>+G37+G21</f>
        <v>144480.35999999999</v>
      </c>
      <c r="H38" s="307"/>
      <c r="I38" s="308">
        <f>IF((E38+G38)&gt;0,(E38+G38)/'Operational Data'!$G$18, "-")</f>
        <v>0.24331947146530425</v>
      </c>
      <c r="J38" s="308"/>
    </row>
    <row r="39" spans="1:10" s="3" customFormat="1" ht="8.25" customHeight="1" x14ac:dyDescent="0.25">
      <c r="A39" s="72"/>
      <c r="B39"/>
      <c r="C39"/>
      <c r="D39"/>
      <c r="E39"/>
      <c r="F39"/>
      <c r="G39"/>
    </row>
    <row r="40" spans="1:10" s="3" customFormat="1" ht="14.25" customHeight="1" x14ac:dyDescent="0.2">
      <c r="A40" s="282" t="s">
        <v>97</v>
      </c>
      <c r="B40" s="282"/>
      <c r="C40" s="282"/>
      <c r="D40" s="282"/>
      <c r="E40" s="282"/>
      <c r="F40" s="282"/>
      <c r="G40" s="282"/>
      <c r="H40" s="282"/>
      <c r="I40" s="282"/>
      <c r="J40" s="282"/>
    </row>
    <row r="41" spans="1:10" s="3" customFormat="1" ht="51.75" customHeight="1" x14ac:dyDescent="0.2">
      <c r="A41" s="283" t="s">
        <v>452</v>
      </c>
      <c r="B41" s="283"/>
      <c r="C41" s="283"/>
      <c r="D41" s="283"/>
      <c r="E41" s="283"/>
      <c r="F41" s="283"/>
      <c r="G41" s="283"/>
      <c r="H41" s="283"/>
      <c r="I41" s="283"/>
      <c r="J41" s="283"/>
    </row>
    <row r="42" spans="1:10" s="3" customFormat="1" ht="51.75" customHeight="1" x14ac:dyDescent="0.2">
      <c r="A42" s="283"/>
      <c r="B42" s="283"/>
      <c r="C42" s="283"/>
      <c r="D42" s="283"/>
      <c r="E42" s="283"/>
      <c r="F42" s="283"/>
      <c r="G42" s="283"/>
      <c r="H42" s="283"/>
      <c r="I42" s="283"/>
      <c r="J42" s="283"/>
    </row>
    <row r="43" spans="1:10" s="3" customFormat="1" ht="51.75" customHeight="1" x14ac:dyDescent="0.2">
      <c r="A43" s="283"/>
      <c r="B43" s="283"/>
      <c r="C43" s="283"/>
      <c r="D43" s="283"/>
      <c r="E43" s="283"/>
      <c r="F43" s="283"/>
      <c r="G43" s="283"/>
      <c r="H43" s="283"/>
      <c r="I43" s="283"/>
      <c r="J43" s="283"/>
    </row>
    <row r="44" spans="1:10" s="3" customFormat="1" ht="14.25" customHeight="1" x14ac:dyDescent="0.25">
      <c r="A44" s="72"/>
      <c r="B44"/>
      <c r="C44"/>
      <c r="D44"/>
      <c r="E44"/>
      <c r="F44"/>
      <c r="G44"/>
    </row>
    <row r="45" spans="1:10" s="3" customFormat="1" ht="14.25" customHeight="1" x14ac:dyDescent="0.25">
      <c r="A45" s="1">
        <f>+A1</f>
        <v>2022</v>
      </c>
      <c r="B45" s="65" t="s">
        <v>98</v>
      </c>
      <c r="C45" s="65"/>
      <c r="D45" s="65"/>
      <c r="E45" s="65"/>
      <c r="F45" s="65"/>
    </row>
    <row r="46" spans="1:10" s="3" customFormat="1" ht="24.75" customHeight="1" x14ac:dyDescent="0.2">
      <c r="A46" s="301" t="s">
        <v>99</v>
      </c>
      <c r="B46" s="302"/>
      <c r="C46" s="302"/>
      <c r="D46" s="303"/>
      <c r="E46" s="73" t="s">
        <v>100</v>
      </c>
      <c r="F46" s="74"/>
      <c r="G46" s="75" t="s">
        <v>34</v>
      </c>
      <c r="H46" s="304" t="s">
        <v>101</v>
      </c>
      <c r="I46" s="305"/>
      <c r="J46" s="76" t="s">
        <v>34</v>
      </c>
    </row>
    <row r="47" spans="1:10" s="3" customFormat="1" ht="14.25" customHeight="1" x14ac:dyDescent="0.2">
      <c r="A47" s="288" t="s">
        <v>64</v>
      </c>
      <c r="B47" s="289"/>
      <c r="C47" s="289"/>
      <c r="D47" s="290"/>
      <c r="E47" s="291">
        <f>+'Operational Data'!G54/1000</f>
        <v>71400</v>
      </c>
      <c r="F47" s="292"/>
      <c r="G47" s="77" t="s">
        <v>65</v>
      </c>
      <c r="H47" s="293">
        <f>IF(E47&gt;0,E47/'Operational Data'!$G$18,"-")</f>
        <v>0.11493547899693284</v>
      </c>
      <c r="I47" s="294"/>
      <c r="J47" s="77" t="s">
        <v>102</v>
      </c>
    </row>
    <row r="48" spans="1:10" s="3" customFormat="1" ht="14.25" customHeight="1" x14ac:dyDescent="0.2">
      <c r="A48" s="288" t="s">
        <v>103</v>
      </c>
      <c r="B48" s="289"/>
      <c r="C48" s="289"/>
      <c r="D48" s="290"/>
      <c r="E48" s="291">
        <f>(+'Operational Data'!G55+'Operational Data'!G54)/1000</f>
        <v>148159.43</v>
      </c>
      <c r="F48" s="292"/>
      <c r="G48" s="77" t="s">
        <v>65</v>
      </c>
      <c r="H48" s="293">
        <f>IF(E48&gt;0,E48/'Operational Data'!$G$18,"-")</f>
        <v>0.23849825006950334</v>
      </c>
      <c r="I48" s="294"/>
      <c r="J48" s="77" t="s">
        <v>102</v>
      </c>
    </row>
    <row r="49" spans="1:10" s="3" customFormat="1" ht="14.25" customHeight="1" x14ac:dyDescent="0.2">
      <c r="A49" s="288" t="s">
        <v>104</v>
      </c>
      <c r="B49" s="289"/>
      <c r="C49" s="289"/>
      <c r="D49" s="290"/>
      <c r="E49" s="291">
        <f>+'Operational Data'!G56</f>
        <v>65361</v>
      </c>
      <c r="F49" s="292"/>
      <c r="G49" s="77" t="s">
        <v>105</v>
      </c>
      <c r="H49" s="293">
        <f>IF(E49&gt;0,E49/'Operational Data'!$G$18,"-")</f>
        <v>0.10521425550025948</v>
      </c>
      <c r="I49" s="294"/>
      <c r="J49" s="77" t="s">
        <v>106</v>
      </c>
    </row>
    <row r="50" spans="1:10" s="3" customFormat="1" ht="14.25" customHeight="1" x14ac:dyDescent="0.2">
      <c r="A50" s="288" t="s">
        <v>67</v>
      </c>
      <c r="B50" s="289"/>
      <c r="C50" s="289"/>
      <c r="D50" s="290"/>
      <c r="E50" s="291">
        <f>+'Operational Data'!G58</f>
        <v>246934</v>
      </c>
      <c r="F50" s="292"/>
      <c r="G50" s="77" t="s">
        <v>105</v>
      </c>
      <c r="H50" s="293">
        <f>IF(E50&gt;0,E50/'Operational Data'!$G$18,"-")</f>
        <v>0.39749968586314582</v>
      </c>
      <c r="I50" s="294"/>
      <c r="J50" s="77" t="s">
        <v>106</v>
      </c>
    </row>
    <row r="51" spans="1:10" s="3" customFormat="1" ht="14.25" customHeight="1" x14ac:dyDescent="0.2">
      <c r="A51" s="288" t="s">
        <v>107</v>
      </c>
      <c r="B51" s="289"/>
      <c r="C51" s="289"/>
      <c r="D51" s="290"/>
      <c r="E51" s="291">
        <f>+'Operational Data'!G59</f>
        <v>11130692</v>
      </c>
      <c r="F51" s="292"/>
      <c r="G51" s="77" t="s">
        <v>105</v>
      </c>
      <c r="H51" s="293">
        <f>IF(E51&gt;0,E51/'Operational Data'!$G$18,"-")</f>
        <v>17.917526842959781</v>
      </c>
      <c r="I51" s="294"/>
      <c r="J51" s="77" t="s">
        <v>106</v>
      </c>
    </row>
    <row r="52" spans="1:10" s="3" customFormat="1" ht="14.25" customHeight="1" x14ac:dyDescent="0.2">
      <c r="A52" s="295"/>
      <c r="B52" s="296"/>
      <c r="C52" s="296"/>
      <c r="D52" s="297"/>
      <c r="E52" s="298"/>
      <c r="F52" s="272"/>
      <c r="G52" s="78"/>
      <c r="H52" s="299"/>
      <c r="I52" s="300"/>
      <c r="J52" s="78"/>
    </row>
    <row r="53" spans="1:10" s="3" customFormat="1" ht="14.25" customHeight="1" x14ac:dyDescent="0.2">
      <c r="A53" s="282" t="s">
        <v>97</v>
      </c>
      <c r="B53" s="282"/>
      <c r="C53" s="282"/>
      <c r="D53" s="282"/>
      <c r="E53" s="282"/>
      <c r="F53" s="282"/>
      <c r="G53" s="282"/>
      <c r="H53" s="282"/>
      <c r="I53" s="282"/>
      <c r="J53" s="282"/>
    </row>
    <row r="54" spans="1:10" s="3" customFormat="1" ht="36.75" customHeight="1" x14ac:dyDescent="0.2">
      <c r="A54" s="283" t="s">
        <v>454</v>
      </c>
      <c r="B54" s="283"/>
      <c r="C54" s="283"/>
      <c r="D54" s="283"/>
      <c r="E54" s="283"/>
      <c r="F54" s="283"/>
      <c r="G54" s="283"/>
      <c r="H54" s="283"/>
      <c r="I54" s="283"/>
      <c r="J54" s="283"/>
    </row>
    <row r="55" spans="1:10" s="3" customFormat="1" ht="36.75" customHeight="1" x14ac:dyDescent="0.2">
      <c r="A55" s="283"/>
      <c r="B55" s="283"/>
      <c r="C55" s="283"/>
      <c r="D55" s="283"/>
      <c r="E55" s="283"/>
      <c r="F55" s="283"/>
      <c r="G55" s="283"/>
      <c r="H55" s="283"/>
      <c r="I55" s="283"/>
      <c r="J55" s="283"/>
    </row>
    <row r="56" spans="1:10" s="3" customFormat="1" ht="14.25" customHeight="1" x14ac:dyDescent="0.2">
      <c r="A56" s="79"/>
      <c r="B56" s="79"/>
      <c r="C56" s="79"/>
      <c r="D56" s="79"/>
      <c r="E56" s="79"/>
      <c r="F56" s="79"/>
      <c r="G56" s="79"/>
      <c r="H56" s="79"/>
      <c r="I56" s="79"/>
      <c r="J56" s="79"/>
    </row>
    <row r="57" spans="1:10" s="3" customFormat="1" ht="14.25" customHeight="1" x14ac:dyDescent="0.2">
      <c r="A57" s="65">
        <f>+A45</f>
        <v>2022</v>
      </c>
      <c r="B57" s="65" t="s">
        <v>108</v>
      </c>
      <c r="C57" s="65"/>
      <c r="D57" s="65"/>
      <c r="E57" s="65"/>
      <c r="F57" s="65"/>
      <c r="G57" s="2"/>
    </row>
    <row r="58" spans="1:10" ht="14.25" customHeight="1" x14ac:dyDescent="0.2">
      <c r="A58" s="284" t="s">
        <v>109</v>
      </c>
      <c r="B58" s="284"/>
      <c r="C58" s="285" t="s">
        <v>307</v>
      </c>
      <c r="D58" s="286"/>
      <c r="E58" s="287"/>
    </row>
    <row r="59" spans="1:10" ht="14.25" customHeight="1" x14ac:dyDescent="0.2">
      <c r="A59" s="80"/>
      <c r="B59" s="80"/>
      <c r="C59" s="67" t="s">
        <v>110</v>
      </c>
      <c r="D59" s="67" t="s">
        <v>111</v>
      </c>
      <c r="E59" s="67" t="s">
        <v>115</v>
      </c>
    </row>
    <row r="60" spans="1:10" ht="31.5" customHeight="1" x14ac:dyDescent="0.2">
      <c r="A60" s="281" t="s">
        <v>190</v>
      </c>
      <c r="B60" s="281"/>
      <c r="C60" s="70">
        <f>722+283+738+654+741+671+743+517+616+574+580+672</f>
        <v>7511</v>
      </c>
      <c r="D60" s="184">
        <f>742.3+248.9+741.3+719.4+744+720+743.6+688+720+744+720+522.4</f>
        <v>8053.9</v>
      </c>
      <c r="E60" s="184">
        <f>'Operational Data'!G68</f>
        <v>8449.344000000001</v>
      </c>
    </row>
    <row r="61" spans="1:10" ht="43.5" customHeight="1" x14ac:dyDescent="0.2">
      <c r="A61" s="281" t="s">
        <v>116</v>
      </c>
      <c r="B61" s="281"/>
      <c r="C61" s="70">
        <v>2</v>
      </c>
      <c r="D61" s="70">
        <v>3</v>
      </c>
      <c r="E61" s="184" t="s">
        <v>453</v>
      </c>
    </row>
    <row r="62" spans="1:10" ht="42.75" customHeight="1" x14ac:dyDescent="0.2">
      <c r="A62" s="281" t="s">
        <v>117</v>
      </c>
      <c r="B62" s="281"/>
      <c r="C62" s="70">
        <v>1</v>
      </c>
      <c r="D62" s="70">
        <v>1.5</v>
      </c>
      <c r="E62" s="184" t="s">
        <v>453</v>
      </c>
    </row>
    <row r="63" spans="1:10" ht="8.25" customHeight="1" x14ac:dyDescent="0.2"/>
    <row r="64" spans="1:10" x14ac:dyDescent="0.2">
      <c r="A64" s="282" t="s">
        <v>97</v>
      </c>
      <c r="B64" s="282"/>
      <c r="C64" s="282"/>
      <c r="D64" s="282"/>
      <c r="E64" s="282"/>
      <c r="F64" s="282"/>
      <c r="G64" s="282"/>
      <c r="H64" s="282"/>
      <c r="I64" s="282"/>
      <c r="J64" s="282"/>
    </row>
    <row r="65" spans="1:10" ht="33" customHeight="1" x14ac:dyDescent="0.2">
      <c r="A65" s="283" t="s">
        <v>455</v>
      </c>
      <c r="B65" s="283"/>
      <c r="C65" s="283"/>
      <c r="D65" s="283"/>
      <c r="E65" s="283"/>
      <c r="F65" s="283"/>
      <c r="G65" s="283"/>
      <c r="H65" s="283"/>
      <c r="I65" s="283"/>
      <c r="J65" s="283"/>
    </row>
    <row r="66" spans="1:10" ht="33" customHeight="1" x14ac:dyDescent="0.2">
      <c r="A66" s="283"/>
      <c r="B66" s="283"/>
      <c r="C66" s="283"/>
      <c r="D66" s="283"/>
      <c r="E66" s="283"/>
      <c r="F66" s="283"/>
      <c r="G66" s="283"/>
      <c r="H66" s="283"/>
      <c r="I66" s="283"/>
      <c r="J66" s="283"/>
    </row>
    <row r="68" spans="1:10" ht="48" customHeight="1" x14ac:dyDescent="0.2">
      <c r="A68" s="3" t="s">
        <v>118</v>
      </c>
      <c r="B68" s="81"/>
      <c r="C68" s="81"/>
      <c r="D68" s="81"/>
      <c r="E68" s="81"/>
      <c r="F68" s="3"/>
      <c r="G68" s="3" t="s">
        <v>119</v>
      </c>
      <c r="H68" s="208">
        <v>44953</v>
      </c>
      <c r="I68" s="81"/>
    </row>
    <row r="76" spans="1:10" x14ac:dyDescent="0.2">
      <c r="F76" s="3"/>
    </row>
  </sheetData>
  <mergeCells count="175">
    <mergeCell ref="A32:B32"/>
    <mergeCell ref="C32:D32"/>
    <mergeCell ref="E32:F32"/>
    <mergeCell ref="G32:H32"/>
    <mergeCell ref="I32:J32"/>
    <mergeCell ref="A34:B34"/>
    <mergeCell ref="C34:D34"/>
    <mergeCell ref="E34:F34"/>
    <mergeCell ref="G34:H34"/>
    <mergeCell ref="I34:J34"/>
    <mergeCell ref="A12:B12"/>
    <mergeCell ref="C12:D12"/>
    <mergeCell ref="E12:F12"/>
    <mergeCell ref="G12:H12"/>
    <mergeCell ref="I12:J12"/>
    <mergeCell ref="A13:B13"/>
    <mergeCell ref="C13:D13"/>
    <mergeCell ref="A19:B19"/>
    <mergeCell ref="C19:D19"/>
    <mergeCell ref="E19:F19"/>
    <mergeCell ref="G19:H19"/>
    <mergeCell ref="I19:J19"/>
    <mergeCell ref="I18:J18"/>
    <mergeCell ref="G18:H18"/>
    <mergeCell ref="E18:F18"/>
    <mergeCell ref="C18:D18"/>
    <mergeCell ref="A18:B18"/>
    <mergeCell ref="I17:J17"/>
    <mergeCell ref="G17:H17"/>
    <mergeCell ref="E17:F17"/>
    <mergeCell ref="C17:D17"/>
    <mergeCell ref="A17:B17"/>
    <mergeCell ref="E13:F13"/>
    <mergeCell ref="G13:H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I13:J13"/>
    <mergeCell ref="A22:B22"/>
    <mergeCell ref="C22:D22"/>
    <mergeCell ref="E22:F22"/>
    <mergeCell ref="G22:H22"/>
    <mergeCell ref="I22:J22"/>
    <mergeCell ref="A23:J23"/>
    <mergeCell ref="A14:B14"/>
    <mergeCell ref="C14:D14"/>
    <mergeCell ref="E14:F14"/>
    <mergeCell ref="G14:H14"/>
    <mergeCell ref="I14:J14"/>
    <mergeCell ref="A21:D21"/>
    <mergeCell ref="E21:F21"/>
    <mergeCell ref="G21:H21"/>
    <mergeCell ref="I21:J21"/>
    <mergeCell ref="A15:B15"/>
    <mergeCell ref="C15:D15"/>
    <mergeCell ref="E15:F15"/>
    <mergeCell ref="G15:H15"/>
    <mergeCell ref="I15:J15"/>
    <mergeCell ref="A16:B16"/>
    <mergeCell ref="C16:D16"/>
    <mergeCell ref="E16:F16"/>
    <mergeCell ref="G16:H16"/>
    <mergeCell ref="A24:B24"/>
    <mergeCell ref="C24:D24"/>
    <mergeCell ref="E24:F24"/>
    <mergeCell ref="G24:H24"/>
    <mergeCell ref="I24:J24"/>
    <mergeCell ref="A25:B25"/>
    <mergeCell ref="C25:D25"/>
    <mergeCell ref="E25:F25"/>
    <mergeCell ref="G25:H25"/>
    <mergeCell ref="I25:J25"/>
    <mergeCell ref="I16:J16"/>
    <mergeCell ref="A20:B20"/>
    <mergeCell ref="C20:D20"/>
    <mergeCell ref="E20:F20"/>
    <mergeCell ref="G20:H20"/>
    <mergeCell ref="I20:J20"/>
    <mergeCell ref="A26:B26"/>
    <mergeCell ref="C26:D26"/>
    <mergeCell ref="E26:F26"/>
    <mergeCell ref="G26:H26"/>
    <mergeCell ref="I26:J26"/>
    <mergeCell ref="A27:B27"/>
    <mergeCell ref="C27:D27"/>
    <mergeCell ref="E27:F27"/>
    <mergeCell ref="G27:H27"/>
    <mergeCell ref="I27:J27"/>
    <mergeCell ref="A28:B28"/>
    <mergeCell ref="C28:D28"/>
    <mergeCell ref="E28:F28"/>
    <mergeCell ref="G28:H28"/>
    <mergeCell ref="I28:J28"/>
    <mergeCell ref="A37:D37"/>
    <mergeCell ref="E37:F37"/>
    <mergeCell ref="G37:H37"/>
    <mergeCell ref="I37:J37"/>
    <mergeCell ref="A29:B29"/>
    <mergeCell ref="C29:D29"/>
    <mergeCell ref="E29:F29"/>
    <mergeCell ref="G29:H29"/>
    <mergeCell ref="I29:J29"/>
    <mergeCell ref="A30:B30"/>
    <mergeCell ref="C30:D30"/>
    <mergeCell ref="E30:F30"/>
    <mergeCell ref="G30:H30"/>
    <mergeCell ref="I30:J30"/>
    <mergeCell ref="A31:B31"/>
    <mergeCell ref="C31:D31"/>
    <mergeCell ref="E31:F31"/>
    <mergeCell ref="G31:H31"/>
    <mergeCell ref="I31:J31"/>
    <mergeCell ref="A46:D46"/>
    <mergeCell ref="H46:I46"/>
    <mergeCell ref="A47:D47"/>
    <mergeCell ref="E47:F47"/>
    <mergeCell ref="H47:I47"/>
    <mergeCell ref="A48:D48"/>
    <mergeCell ref="E48:F48"/>
    <mergeCell ref="H48:I48"/>
    <mergeCell ref="A38:D38"/>
    <mergeCell ref="E38:F38"/>
    <mergeCell ref="G38:H38"/>
    <mergeCell ref="I38:J38"/>
    <mergeCell ref="A40:J40"/>
    <mergeCell ref="A41:J43"/>
    <mergeCell ref="A51:D51"/>
    <mergeCell ref="E51:F51"/>
    <mergeCell ref="H51:I51"/>
    <mergeCell ref="A52:D52"/>
    <mergeCell ref="E52:F52"/>
    <mergeCell ref="H52:I52"/>
    <mergeCell ref="A49:D49"/>
    <mergeCell ref="E49:F49"/>
    <mergeCell ref="H49:I49"/>
    <mergeCell ref="A50:D50"/>
    <mergeCell ref="E50:F50"/>
    <mergeCell ref="H50:I50"/>
    <mergeCell ref="A62:B62"/>
    <mergeCell ref="A64:J64"/>
    <mergeCell ref="A65:J66"/>
    <mergeCell ref="A53:J53"/>
    <mergeCell ref="A54:J55"/>
    <mergeCell ref="A58:B58"/>
    <mergeCell ref="A60:B60"/>
    <mergeCell ref="A61:B61"/>
    <mergeCell ref="C58:E58"/>
    <mergeCell ref="A36:B36"/>
    <mergeCell ref="C36:D36"/>
    <mergeCell ref="E36:F36"/>
    <mergeCell ref="G36:H36"/>
    <mergeCell ref="I36:J36"/>
    <mergeCell ref="I33:J33"/>
    <mergeCell ref="G33:H33"/>
    <mergeCell ref="E33:F33"/>
    <mergeCell ref="C33:D33"/>
    <mergeCell ref="A33:B33"/>
    <mergeCell ref="A35:B35"/>
    <mergeCell ref="C35:D35"/>
    <mergeCell ref="E35:F35"/>
    <mergeCell ref="G35:H35"/>
    <mergeCell ref="I35:J35"/>
  </mergeCells>
  <pageMargins left="0.25" right="0.25" top="0.75" bottom="0.75" header="0.3" footer="0.3"/>
  <pageSetup paperSize="9" scale="87" orientation="portrait" r:id="rId1"/>
  <headerFooter scaleWithDoc="0">
    <oddFooter>&amp;C&amp;"Arial,Regular"Page &amp;P</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98AB2-5229-4D42-BE54-9245387ACC91}">
  <sheetPr>
    <tabColor rgb="FFFFC000"/>
  </sheetPr>
  <dimension ref="A1:G25"/>
  <sheetViews>
    <sheetView workbookViewId="0">
      <selection activeCell="C8" sqref="C8:F8"/>
    </sheetView>
  </sheetViews>
  <sheetFormatPr defaultRowHeight="15" x14ac:dyDescent="0.25"/>
  <cols>
    <col min="1" max="1" width="39.5703125" bestFit="1" customWidth="1"/>
    <col min="2" max="2" width="14.28515625" bestFit="1" customWidth="1"/>
    <col min="3" max="6" width="9.5703125" customWidth="1"/>
  </cols>
  <sheetData>
    <row r="1" spans="1:7" x14ac:dyDescent="0.25">
      <c r="C1" s="326" t="s">
        <v>89</v>
      </c>
      <c r="D1" s="326"/>
      <c r="E1" s="326"/>
      <c r="F1" s="326"/>
    </row>
    <row r="2" spans="1:7" x14ac:dyDescent="0.25">
      <c r="B2" t="s">
        <v>439</v>
      </c>
      <c r="C2" t="s">
        <v>35</v>
      </c>
      <c r="D2" t="s">
        <v>36</v>
      </c>
      <c r="E2" t="s">
        <v>37</v>
      </c>
      <c r="F2" t="s">
        <v>38</v>
      </c>
      <c r="G2" t="s">
        <v>449</v>
      </c>
    </row>
    <row r="3" spans="1:7" x14ac:dyDescent="0.25">
      <c r="A3" s="46" t="s">
        <v>58</v>
      </c>
      <c r="B3" t="s">
        <v>437</v>
      </c>
      <c r="C3">
        <v>4382.24</v>
      </c>
      <c r="D3">
        <v>6020.12</v>
      </c>
      <c r="E3">
        <v>6140.26</v>
      </c>
      <c r="F3">
        <v>4334.08</v>
      </c>
      <c r="G3">
        <f>SUM(C3:F3)</f>
        <v>20876.700000000004</v>
      </c>
    </row>
    <row r="4" spans="1:7" x14ac:dyDescent="0.25">
      <c r="A4" s="48" t="s">
        <v>399</v>
      </c>
      <c r="B4" t="s">
        <v>438</v>
      </c>
      <c r="C4">
        <v>0</v>
      </c>
      <c r="D4">
        <v>0</v>
      </c>
      <c r="E4">
        <v>0</v>
      </c>
      <c r="F4">
        <v>0</v>
      </c>
      <c r="G4">
        <f t="shared" ref="G4:G25" si="0">SUM(C4:F4)</f>
        <v>0</v>
      </c>
    </row>
    <row r="5" spans="1:7" x14ac:dyDescent="0.25">
      <c r="A5" s="48" t="s">
        <v>400</v>
      </c>
      <c r="B5" t="s">
        <v>440</v>
      </c>
      <c r="C5">
        <v>0.7</v>
      </c>
      <c r="D5">
        <v>5.0599999999999996</v>
      </c>
      <c r="E5">
        <v>1.6</v>
      </c>
      <c r="F5">
        <v>3.51</v>
      </c>
      <c r="G5">
        <f t="shared" si="0"/>
        <v>10.87</v>
      </c>
    </row>
    <row r="6" spans="1:7" x14ac:dyDescent="0.25">
      <c r="A6" s="48" t="s">
        <v>414</v>
      </c>
      <c r="B6" t="s">
        <v>448</v>
      </c>
      <c r="C6">
        <v>0</v>
      </c>
      <c r="D6">
        <v>0</v>
      </c>
      <c r="E6">
        <v>0.54</v>
      </c>
      <c r="F6">
        <v>0</v>
      </c>
      <c r="G6">
        <f t="shared" si="0"/>
        <v>0.54</v>
      </c>
    </row>
    <row r="7" spans="1:7" x14ac:dyDescent="0.25">
      <c r="A7" s="48" t="s">
        <v>401</v>
      </c>
      <c r="B7" t="s">
        <v>438</v>
      </c>
      <c r="C7">
        <v>0</v>
      </c>
      <c r="D7">
        <v>0</v>
      </c>
      <c r="E7">
        <v>0</v>
      </c>
      <c r="F7">
        <v>0</v>
      </c>
      <c r="G7">
        <f t="shared" si="0"/>
        <v>0</v>
      </c>
    </row>
    <row r="8" spans="1:7" x14ac:dyDescent="0.25">
      <c r="A8" s="48" t="s">
        <v>402</v>
      </c>
      <c r="B8" t="s">
        <v>450</v>
      </c>
      <c r="C8">
        <v>1.35</v>
      </c>
      <c r="D8">
        <v>0.9</v>
      </c>
      <c r="E8">
        <v>1.9</v>
      </c>
      <c r="F8">
        <v>1.2</v>
      </c>
      <c r="G8">
        <f t="shared" si="0"/>
        <v>5.3500000000000005</v>
      </c>
    </row>
    <row r="9" spans="1:7" x14ac:dyDescent="0.25">
      <c r="A9" s="48" t="s">
        <v>410</v>
      </c>
      <c r="B9" t="s">
        <v>440</v>
      </c>
      <c r="C9">
        <v>0</v>
      </c>
      <c r="D9">
        <v>0.03</v>
      </c>
      <c r="E9">
        <v>0</v>
      </c>
      <c r="F9">
        <v>0</v>
      </c>
      <c r="G9">
        <f t="shared" si="0"/>
        <v>0.03</v>
      </c>
    </row>
    <row r="10" spans="1:7" x14ac:dyDescent="0.25">
      <c r="A10" s="48" t="s">
        <v>411</v>
      </c>
      <c r="B10" t="s">
        <v>446</v>
      </c>
      <c r="C10">
        <v>0</v>
      </c>
      <c r="D10">
        <v>0</v>
      </c>
      <c r="E10">
        <v>0</v>
      </c>
      <c r="F10">
        <v>0</v>
      </c>
      <c r="G10">
        <f t="shared" si="0"/>
        <v>0</v>
      </c>
    </row>
    <row r="11" spans="1:7" x14ac:dyDescent="0.25">
      <c r="A11" s="48" t="s">
        <v>403</v>
      </c>
      <c r="B11" t="s">
        <v>440</v>
      </c>
      <c r="C11">
        <v>2</v>
      </c>
      <c r="D11">
        <v>2.2000000000000002</v>
      </c>
      <c r="E11">
        <v>0</v>
      </c>
      <c r="F11">
        <v>0.64</v>
      </c>
      <c r="G11">
        <f t="shared" si="0"/>
        <v>4.84</v>
      </c>
    </row>
    <row r="12" spans="1:7" x14ac:dyDescent="0.25">
      <c r="A12" s="48" t="s">
        <v>412</v>
      </c>
      <c r="B12" t="s">
        <v>440</v>
      </c>
      <c r="C12">
        <v>0</v>
      </c>
      <c r="D12">
        <v>1.25</v>
      </c>
      <c r="E12">
        <v>0</v>
      </c>
      <c r="F12">
        <v>0</v>
      </c>
      <c r="G12">
        <f t="shared" si="0"/>
        <v>1.25</v>
      </c>
    </row>
    <row r="13" spans="1:7" x14ac:dyDescent="0.25">
      <c r="A13" s="48" t="s">
        <v>59</v>
      </c>
      <c r="B13" t="s">
        <v>441</v>
      </c>
      <c r="C13">
        <v>25281</v>
      </c>
      <c r="D13">
        <v>33971</v>
      </c>
      <c r="E13">
        <v>31096</v>
      </c>
      <c r="F13">
        <v>29228</v>
      </c>
      <c r="G13">
        <f t="shared" si="0"/>
        <v>119576</v>
      </c>
    </row>
    <row r="14" spans="1:7" x14ac:dyDescent="0.25">
      <c r="A14" s="48" t="s">
        <v>60</v>
      </c>
      <c r="B14" t="s">
        <v>442</v>
      </c>
      <c r="C14">
        <f>962.1+34.98</f>
        <v>997.08</v>
      </c>
      <c r="D14">
        <v>967.46</v>
      </c>
      <c r="E14">
        <v>928</v>
      </c>
      <c r="F14">
        <v>893.84</v>
      </c>
      <c r="G14">
        <f t="shared" si="0"/>
        <v>3786.38</v>
      </c>
    </row>
    <row r="15" spans="1:7" x14ac:dyDescent="0.25">
      <c r="A15" s="48" t="s">
        <v>404</v>
      </c>
      <c r="B15" t="s">
        <v>440</v>
      </c>
      <c r="C15">
        <v>13.58</v>
      </c>
      <c r="D15">
        <v>0.64</v>
      </c>
      <c r="E15">
        <v>0.44</v>
      </c>
      <c r="F15">
        <v>0.22</v>
      </c>
      <c r="G15">
        <f t="shared" si="0"/>
        <v>14.88</v>
      </c>
    </row>
    <row r="16" spans="1:7" x14ac:dyDescent="0.25">
      <c r="A16" s="48" t="s">
        <v>405</v>
      </c>
      <c r="B16" t="s">
        <v>440</v>
      </c>
      <c r="C16">
        <v>46.26</v>
      </c>
      <c r="D16">
        <v>4.9800000000000004</v>
      </c>
      <c r="E16">
        <v>11.32</v>
      </c>
      <c r="F16">
        <v>5.5</v>
      </c>
      <c r="G16">
        <f t="shared" si="0"/>
        <v>68.06</v>
      </c>
    </row>
    <row r="17" spans="1:7" x14ac:dyDescent="0.25">
      <c r="A17" s="48" t="s">
        <v>406</v>
      </c>
      <c r="B17" t="s">
        <v>443</v>
      </c>
      <c r="C17">
        <v>4.42</v>
      </c>
      <c r="D17">
        <v>7.04</v>
      </c>
      <c r="E17">
        <v>2</v>
      </c>
      <c r="F17">
        <v>2.2200000000000002</v>
      </c>
      <c r="G17">
        <f t="shared" si="0"/>
        <v>15.680000000000001</v>
      </c>
    </row>
    <row r="18" spans="1:7" x14ac:dyDescent="0.25">
      <c r="A18" s="48" t="s">
        <v>415</v>
      </c>
      <c r="B18" t="s">
        <v>440</v>
      </c>
      <c r="C18">
        <v>0</v>
      </c>
      <c r="D18">
        <v>0</v>
      </c>
      <c r="E18">
        <v>5.3</v>
      </c>
      <c r="F18">
        <v>0</v>
      </c>
      <c r="G18">
        <f t="shared" si="0"/>
        <v>5.3</v>
      </c>
    </row>
    <row r="19" spans="1:7" x14ac:dyDescent="0.25">
      <c r="A19" s="48" t="s">
        <v>416</v>
      </c>
      <c r="B19" t="s">
        <v>440</v>
      </c>
      <c r="C19">
        <v>0</v>
      </c>
      <c r="D19">
        <v>0</v>
      </c>
      <c r="E19">
        <v>4.6399999999999997</v>
      </c>
      <c r="F19">
        <v>0</v>
      </c>
      <c r="G19">
        <f t="shared" si="0"/>
        <v>4.6399999999999997</v>
      </c>
    </row>
    <row r="20" spans="1:7" x14ac:dyDescent="0.25">
      <c r="A20" s="48" t="s">
        <v>407</v>
      </c>
      <c r="B20" t="s">
        <v>440</v>
      </c>
      <c r="C20">
        <v>38.32</v>
      </c>
      <c r="D20">
        <v>10.6</v>
      </c>
      <c r="E20">
        <v>0</v>
      </c>
      <c r="F20">
        <v>0</v>
      </c>
      <c r="G20">
        <f t="shared" si="0"/>
        <v>48.92</v>
      </c>
    </row>
    <row r="21" spans="1:7" x14ac:dyDescent="0.25">
      <c r="A21" s="48" t="s">
        <v>408</v>
      </c>
      <c r="B21" t="s">
        <v>444</v>
      </c>
      <c r="C21">
        <v>0</v>
      </c>
      <c r="D21">
        <v>0</v>
      </c>
      <c r="E21">
        <v>0</v>
      </c>
      <c r="F21">
        <v>0</v>
      </c>
      <c r="G21">
        <f t="shared" si="0"/>
        <v>0</v>
      </c>
    </row>
    <row r="22" spans="1:7" x14ac:dyDescent="0.25">
      <c r="A22" s="183" t="s">
        <v>447</v>
      </c>
      <c r="B22" t="s">
        <v>440</v>
      </c>
      <c r="C22">
        <v>0</v>
      </c>
      <c r="D22">
        <v>0.24</v>
      </c>
      <c r="E22">
        <v>0.63</v>
      </c>
      <c r="F22">
        <v>0.05</v>
      </c>
      <c r="G22">
        <f t="shared" si="0"/>
        <v>0.92</v>
      </c>
    </row>
    <row r="23" spans="1:7" x14ac:dyDescent="0.25">
      <c r="A23" s="48" t="s">
        <v>413</v>
      </c>
      <c r="B23" t="s">
        <v>446</v>
      </c>
      <c r="C23">
        <v>0</v>
      </c>
      <c r="D23">
        <v>0</v>
      </c>
      <c r="E23">
        <v>0</v>
      </c>
      <c r="F23">
        <v>0</v>
      </c>
      <c r="G23">
        <f t="shared" si="0"/>
        <v>0</v>
      </c>
    </row>
    <row r="24" spans="1:7" x14ac:dyDescent="0.25">
      <c r="A24" s="48" t="s">
        <v>409</v>
      </c>
      <c r="B24" t="s">
        <v>438</v>
      </c>
      <c r="C24">
        <v>0</v>
      </c>
      <c r="D24">
        <v>0</v>
      </c>
      <c r="E24">
        <v>0</v>
      </c>
      <c r="F24">
        <v>0</v>
      </c>
      <c r="G24">
        <f t="shared" si="0"/>
        <v>0</v>
      </c>
    </row>
    <row r="25" spans="1:7" x14ac:dyDescent="0.25">
      <c r="A25" t="s">
        <v>445</v>
      </c>
      <c r="B25" t="s">
        <v>440</v>
      </c>
      <c r="C25">
        <v>27.26</v>
      </c>
      <c r="D25">
        <v>14.7</v>
      </c>
      <c r="E25">
        <v>0</v>
      </c>
      <c r="F25">
        <v>0</v>
      </c>
      <c r="G25">
        <f t="shared" si="0"/>
        <v>41.96</v>
      </c>
    </row>
  </sheetData>
  <mergeCells count="1">
    <mergeCell ref="C1:F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workbookViewId="0">
      <selection activeCell="K58" sqref="K58"/>
    </sheetView>
  </sheetViews>
  <sheetFormatPr defaultColWidth="9.42578125" defaultRowHeight="15" x14ac:dyDescent="0.2"/>
  <cols>
    <col min="1" max="1" width="9.42578125" style="2" bestFit="1" customWidth="1"/>
    <col min="2" max="7" width="9.42578125" style="2"/>
    <col min="8" max="8" width="11.28515625" style="2" bestFit="1" customWidth="1"/>
    <col min="9" max="16384" width="9.42578125" style="2"/>
  </cols>
  <sheetData>
    <row r="1" spans="1:10" ht="15.75" x14ac:dyDescent="0.25">
      <c r="A1" s="64">
        <f>+'Cover Page'!C39</f>
        <v>2022</v>
      </c>
      <c r="B1" s="65" t="s">
        <v>120</v>
      </c>
      <c r="C1" s="65"/>
      <c r="D1" s="65"/>
      <c r="E1" s="65"/>
      <c r="F1" s="65"/>
      <c r="G1" s="65"/>
      <c r="H1" s="65"/>
      <c r="I1" s="65"/>
      <c r="J1" s="65"/>
    </row>
    <row r="3" spans="1:10" s="3" customFormat="1" ht="15" customHeight="1" x14ac:dyDescent="0.2">
      <c r="A3" s="3" t="str">
        <f>+'Cover Page'!B31</f>
        <v>Permit EPR/SP3239FU</v>
      </c>
      <c r="F3" s="3" t="s">
        <v>79</v>
      </c>
      <c r="G3" s="334" t="s">
        <v>392</v>
      </c>
      <c r="H3" s="334"/>
      <c r="I3" s="334"/>
    </row>
    <row r="4" spans="1:10" s="3" customFormat="1" ht="14.25" x14ac:dyDescent="0.2"/>
    <row r="5" spans="1:10" s="3" customFormat="1" ht="14.25" x14ac:dyDescent="0.2">
      <c r="A5" s="3" t="s">
        <v>80</v>
      </c>
      <c r="B5" s="322" t="str">
        <f>+'Cover Page'!B33:I33</f>
        <v>enfinium Ferrybridge 1 Ltd</v>
      </c>
      <c r="C5" s="322"/>
      <c r="D5" s="322"/>
      <c r="E5" s="322"/>
      <c r="F5" s="3" t="s">
        <v>81</v>
      </c>
      <c r="G5" s="3" t="s">
        <v>121</v>
      </c>
    </row>
    <row r="6" spans="1:10" s="3" customFormat="1" ht="14.25" x14ac:dyDescent="0.2"/>
    <row r="7" spans="1:10" s="3" customFormat="1" ht="15.75" customHeight="1" x14ac:dyDescent="0.2">
      <c r="A7" s="3" t="s">
        <v>83</v>
      </c>
      <c r="D7" s="335">
        <f>+'Perf. Form 1'!D6:E6</f>
        <v>44562</v>
      </c>
      <c r="E7" s="335"/>
      <c r="F7" s="66" t="s">
        <v>84</v>
      </c>
      <c r="G7" s="335">
        <f>+'Perf. Form 1'!G6:H6</f>
        <v>44926</v>
      </c>
      <c r="H7" s="335"/>
    </row>
    <row r="8" spans="1:10" s="3" customFormat="1" x14ac:dyDescent="0.25">
      <c r="B8"/>
      <c r="C8"/>
      <c r="D8"/>
    </row>
    <row r="9" spans="1:10" s="3" customFormat="1" ht="37.5" customHeight="1" x14ac:dyDescent="0.2">
      <c r="A9" s="284" t="s">
        <v>122</v>
      </c>
      <c r="B9" s="284"/>
      <c r="C9" s="284"/>
      <c r="D9" s="325" t="s">
        <v>123</v>
      </c>
      <c r="E9" s="325"/>
      <c r="F9" s="67" t="s">
        <v>34</v>
      </c>
      <c r="G9" s="284" t="s">
        <v>124</v>
      </c>
      <c r="H9" s="284"/>
      <c r="I9" s="284"/>
    </row>
    <row r="10" spans="1:10" s="3" customFormat="1" ht="24.75" customHeight="1" x14ac:dyDescent="0.2">
      <c r="A10" s="281" t="s">
        <v>125</v>
      </c>
      <c r="B10" s="281"/>
      <c r="C10" s="281"/>
      <c r="D10" s="329">
        <f>+'Operational Data'!G21</f>
        <v>626316.26500000001</v>
      </c>
      <c r="E10" s="329"/>
      <c r="F10" s="100" t="s">
        <v>50</v>
      </c>
      <c r="G10" s="330">
        <f>+'Operational Data'!H21</f>
        <v>1008.2067215874638</v>
      </c>
      <c r="H10" s="330"/>
      <c r="I10" s="330"/>
    </row>
    <row r="11" spans="1:10" s="3" customFormat="1" ht="24.75" customHeight="1" x14ac:dyDescent="0.2">
      <c r="A11" s="281" t="s">
        <v>126</v>
      </c>
      <c r="B11" s="281"/>
      <c r="C11" s="281"/>
      <c r="D11" s="333">
        <f>+'Operational Data'!G24</f>
        <v>900.97199999999998</v>
      </c>
      <c r="E11" s="333"/>
      <c r="F11" s="100" t="s">
        <v>50</v>
      </c>
      <c r="G11" s="330">
        <f>+'Operational Data'!H24</f>
        <v>1.4503312098434813</v>
      </c>
      <c r="H11" s="330"/>
      <c r="I11" s="330"/>
    </row>
    <row r="12" spans="1:10" s="3" customFormat="1" ht="24.75" customHeight="1" x14ac:dyDescent="0.2">
      <c r="A12" s="281" t="s">
        <v>127</v>
      </c>
      <c r="B12" s="281"/>
      <c r="C12" s="281"/>
      <c r="D12" s="329">
        <f>+'Operational Data'!G22</f>
        <v>566689.89999999991</v>
      </c>
      <c r="E12" s="329"/>
      <c r="F12" s="100" t="s">
        <v>50</v>
      </c>
      <c r="G12" s="330">
        <f>+'Operational Data'!H22</f>
        <v>912.22374088548952</v>
      </c>
      <c r="H12" s="330"/>
      <c r="I12" s="330"/>
    </row>
    <row r="13" spans="1:10" s="3" customFormat="1" ht="24.75" customHeight="1" x14ac:dyDescent="0.2">
      <c r="A13" s="281" t="s">
        <v>128</v>
      </c>
      <c r="B13" s="281"/>
      <c r="C13" s="281"/>
      <c r="D13" s="331"/>
      <c r="E13" s="331"/>
      <c r="F13" s="100" t="s">
        <v>41</v>
      </c>
      <c r="G13" s="332"/>
      <c r="H13" s="332"/>
      <c r="I13" s="332"/>
    </row>
    <row r="14" spans="1:10" s="3" customFormat="1" ht="24.75" customHeight="1" x14ac:dyDescent="0.2">
      <c r="A14" s="281" t="s">
        <v>129</v>
      </c>
      <c r="B14" s="281"/>
      <c r="C14" s="281"/>
      <c r="D14" s="329">
        <f>+'Operational Data'!G27</f>
        <v>0</v>
      </c>
      <c r="E14" s="329"/>
      <c r="F14" s="100" t="s">
        <v>55</v>
      </c>
      <c r="G14" s="330" t="str">
        <f>+'Operational Data'!H27</f>
        <v>-</v>
      </c>
      <c r="H14" s="330"/>
      <c r="I14" s="330"/>
    </row>
    <row r="15" spans="1:10" s="3" customFormat="1" ht="24.75" customHeight="1" x14ac:dyDescent="0.2">
      <c r="A15" s="327"/>
      <c r="B15" s="327"/>
      <c r="C15" s="327"/>
      <c r="D15" s="327"/>
      <c r="E15" s="327"/>
      <c r="F15" s="69"/>
      <c r="G15" s="237"/>
      <c r="H15" s="237"/>
      <c r="I15" s="237"/>
    </row>
    <row r="16" spans="1:10" s="3" customFormat="1" ht="24.75" customHeight="1" x14ac:dyDescent="0.2">
      <c r="A16" s="327"/>
      <c r="B16" s="327"/>
      <c r="C16" s="327"/>
      <c r="D16" s="327"/>
      <c r="E16" s="327"/>
      <c r="F16" s="69"/>
      <c r="G16" s="237"/>
      <c r="H16" s="237"/>
      <c r="I16" s="237"/>
    </row>
    <row r="17" spans="1:9" s="3" customFormat="1" x14ac:dyDescent="0.25">
      <c r="A17" s="82"/>
      <c r="B17"/>
      <c r="C17"/>
      <c r="D17"/>
    </row>
    <row r="18" spans="1:9" s="3" customFormat="1" ht="24" customHeight="1" x14ac:dyDescent="0.2">
      <c r="A18" s="282" t="s">
        <v>97</v>
      </c>
      <c r="B18" s="282"/>
      <c r="C18" s="282"/>
      <c r="D18" s="282"/>
      <c r="E18" s="282"/>
      <c r="F18" s="282"/>
      <c r="G18" s="282"/>
      <c r="H18" s="282"/>
      <c r="I18" s="282"/>
    </row>
    <row r="19" spans="1:9" s="3" customFormat="1" ht="14.25" x14ac:dyDescent="0.2">
      <c r="A19" s="328"/>
      <c r="B19" s="328"/>
      <c r="C19" s="328"/>
      <c r="D19" s="328"/>
      <c r="E19" s="328"/>
      <c r="F19" s="328"/>
      <c r="G19" s="328"/>
      <c r="H19" s="328"/>
      <c r="I19" s="328"/>
    </row>
    <row r="20" spans="1:9" s="3" customFormat="1" ht="14.25" x14ac:dyDescent="0.2">
      <c r="A20" s="328"/>
      <c r="B20" s="328"/>
      <c r="C20" s="328"/>
      <c r="D20" s="328"/>
      <c r="E20" s="328"/>
      <c r="F20" s="328"/>
      <c r="G20" s="328"/>
      <c r="H20" s="328"/>
      <c r="I20" s="328"/>
    </row>
    <row r="21" spans="1:9" s="3" customFormat="1" ht="14.25" x14ac:dyDescent="0.2">
      <c r="A21" s="328"/>
      <c r="B21" s="328"/>
      <c r="C21" s="328"/>
      <c r="D21" s="328"/>
      <c r="E21" s="328"/>
      <c r="F21" s="328"/>
      <c r="G21" s="328"/>
      <c r="H21" s="328"/>
      <c r="I21" s="328"/>
    </row>
    <row r="22" spans="1:9" s="3" customFormat="1" ht="14.25" x14ac:dyDescent="0.2">
      <c r="A22" s="328"/>
      <c r="B22" s="328"/>
      <c r="C22" s="328"/>
      <c r="D22" s="328"/>
      <c r="E22" s="328"/>
      <c r="F22" s="328"/>
      <c r="G22" s="328"/>
      <c r="H22" s="328"/>
      <c r="I22" s="328"/>
    </row>
    <row r="23" spans="1:9" s="3" customFormat="1" ht="14.25" x14ac:dyDescent="0.2">
      <c r="A23" s="328"/>
      <c r="B23" s="328"/>
      <c r="C23" s="328"/>
      <c r="D23" s="328"/>
      <c r="E23" s="328"/>
      <c r="F23" s="328"/>
      <c r="G23" s="328"/>
      <c r="H23" s="328"/>
      <c r="I23" s="328"/>
    </row>
    <row r="24" spans="1:9" s="3" customFormat="1" ht="14.25" x14ac:dyDescent="0.2">
      <c r="A24" s="328"/>
      <c r="B24" s="328"/>
      <c r="C24" s="328"/>
      <c r="D24" s="328"/>
      <c r="E24" s="328"/>
      <c r="F24" s="328"/>
      <c r="G24" s="328"/>
      <c r="H24" s="328"/>
      <c r="I24" s="328"/>
    </row>
    <row r="25" spans="1:9" s="3" customFormat="1" ht="14.25" x14ac:dyDescent="0.2">
      <c r="A25" s="328"/>
      <c r="B25" s="328"/>
      <c r="C25" s="328"/>
      <c r="D25" s="328"/>
      <c r="E25" s="328"/>
      <c r="F25" s="328"/>
      <c r="G25" s="328"/>
      <c r="H25" s="328"/>
      <c r="I25" s="328"/>
    </row>
    <row r="26" spans="1:9" s="3" customFormat="1" ht="14.25" x14ac:dyDescent="0.2">
      <c r="A26" s="79"/>
      <c r="B26" s="79"/>
      <c r="C26" s="79"/>
      <c r="D26" s="79"/>
      <c r="E26" s="79"/>
      <c r="F26" s="79"/>
      <c r="G26" s="79"/>
      <c r="H26" s="79"/>
      <c r="I26" s="79"/>
    </row>
    <row r="27" spans="1:9" s="3" customFormat="1" ht="14.25" x14ac:dyDescent="0.2"/>
    <row r="28" spans="1:9" s="3" customFormat="1" ht="14.25" x14ac:dyDescent="0.2"/>
    <row r="29" spans="1:9" s="3" customFormat="1" ht="14.25" x14ac:dyDescent="0.2">
      <c r="A29" s="3" t="s">
        <v>118</v>
      </c>
      <c r="B29" s="81"/>
      <c r="C29" s="81"/>
      <c r="D29" s="81"/>
      <c r="E29" s="81"/>
      <c r="G29" s="3" t="s">
        <v>119</v>
      </c>
      <c r="H29" s="190">
        <v>44953</v>
      </c>
      <c r="I29" s="81"/>
    </row>
    <row r="30" spans="1:9" s="3" customFormat="1" ht="14.25" x14ac:dyDescent="0.2"/>
    <row r="31" spans="1:9" ht="14.25" customHeight="1" x14ac:dyDescent="0.2">
      <c r="A31" s="3"/>
      <c r="B31" s="3"/>
      <c r="C31" s="3"/>
      <c r="D31" s="3"/>
      <c r="E31" s="3"/>
      <c r="F31" s="3"/>
      <c r="G31" s="3"/>
      <c r="H31" s="3"/>
      <c r="I31" s="3"/>
    </row>
    <row r="32" spans="1:9" s="3" customFormat="1" ht="14.25" x14ac:dyDescent="0.2"/>
    <row r="33" spans="1:9" s="3" customFormat="1" ht="14.25" x14ac:dyDescent="0.2"/>
    <row r="34" spans="1:9" s="3" customFormat="1" x14ac:dyDescent="0.2">
      <c r="A34" s="2"/>
      <c r="B34" s="2"/>
      <c r="C34" s="2"/>
      <c r="D34" s="2"/>
      <c r="E34" s="2"/>
      <c r="F34" s="2"/>
      <c r="G34" s="2"/>
      <c r="H34" s="2"/>
      <c r="I34" s="2"/>
    </row>
    <row r="35" spans="1:9" s="3" customFormat="1" ht="14.25" x14ac:dyDescent="0.2"/>
    <row r="36" spans="1:9" s="3" customFormat="1" ht="14.25" x14ac:dyDescent="0.2"/>
    <row r="37" spans="1:9" s="3" customFormat="1" ht="14.25" x14ac:dyDescent="0.2"/>
    <row r="38" spans="1:9" s="3" customFormat="1" ht="14.25" x14ac:dyDescent="0.2"/>
    <row r="39" spans="1:9" s="3" customFormat="1" ht="14.25" x14ac:dyDescent="0.2"/>
    <row r="40" spans="1:9" s="3" customFormat="1" ht="14.25" x14ac:dyDescent="0.2"/>
    <row r="41" spans="1:9" s="3" customFormat="1" ht="14.25" x14ac:dyDescent="0.2"/>
    <row r="42" spans="1:9" s="3" customFormat="1" ht="14.25" x14ac:dyDescent="0.2"/>
    <row r="43" spans="1:9" x14ac:dyDescent="0.2">
      <c r="A43" s="3"/>
      <c r="B43" s="3"/>
      <c r="C43" s="3"/>
      <c r="D43" s="3"/>
      <c r="E43" s="3"/>
      <c r="F43" s="3"/>
      <c r="G43" s="3"/>
      <c r="H43" s="3"/>
      <c r="I43" s="3"/>
    </row>
    <row r="44" spans="1:9" x14ac:dyDescent="0.2">
      <c r="A44" s="3"/>
      <c r="B44" s="3"/>
      <c r="C44" s="3"/>
      <c r="D44" s="3"/>
      <c r="E44" s="3"/>
      <c r="F44" s="3"/>
      <c r="G44" s="3"/>
      <c r="H44" s="3"/>
      <c r="I44" s="3"/>
    </row>
    <row r="45" spans="1:9" x14ac:dyDescent="0.2">
      <c r="A45" s="3"/>
      <c r="B45" s="3"/>
      <c r="C45" s="3"/>
      <c r="D45" s="3"/>
      <c r="E45" s="3"/>
      <c r="F45" s="3"/>
      <c r="G45" s="3"/>
      <c r="H45" s="3"/>
      <c r="I45" s="3"/>
    </row>
    <row r="64" spans="6:6" x14ac:dyDescent="0.2">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workbookViewId="0">
      <selection activeCell="K58" sqref="K58"/>
    </sheetView>
  </sheetViews>
  <sheetFormatPr defaultColWidth="9.42578125" defaultRowHeight="15" x14ac:dyDescent="0.2"/>
  <cols>
    <col min="1" max="1" width="9.42578125" style="2" customWidth="1"/>
    <col min="2" max="2" width="14.5703125" style="2" bestFit="1" customWidth="1"/>
    <col min="3" max="8" width="9.42578125" style="2"/>
    <col min="9" max="9" width="11.5703125" style="2" customWidth="1"/>
    <col min="10" max="16384" width="9.42578125" style="2"/>
  </cols>
  <sheetData>
    <row r="1" spans="1:9" x14ac:dyDescent="0.2">
      <c r="A1" s="2" t="str">
        <f>+'Cover Page'!$B$29</f>
        <v>Annual Performance Report 2022</v>
      </c>
      <c r="E1" s="2" t="str">
        <f>+'Cover Page'!$B$33</f>
        <v>enfinium Ferrybridge 1 Ltd</v>
      </c>
    </row>
    <row r="3" spans="1:9" ht="15.75" x14ac:dyDescent="0.25">
      <c r="A3" s="1" t="s">
        <v>150</v>
      </c>
    </row>
    <row r="4" spans="1:9" ht="15.75" x14ac:dyDescent="0.25">
      <c r="A4" s="1"/>
    </row>
    <row r="5" spans="1:9" s="3" customFormat="1" x14ac:dyDescent="0.2">
      <c r="A5" s="339" t="s">
        <v>151</v>
      </c>
      <c r="B5" s="340"/>
      <c r="C5" s="340"/>
      <c r="D5" s="340"/>
      <c r="E5" s="340"/>
      <c r="F5" s="340"/>
      <c r="G5" s="340"/>
      <c r="H5" s="340"/>
      <c r="I5" s="341"/>
    </row>
    <row r="6" spans="1:9" s="3" customFormat="1" ht="15.75" customHeight="1" x14ac:dyDescent="0.2">
      <c r="A6" s="342"/>
      <c r="B6" s="253"/>
      <c r="C6" s="253"/>
      <c r="D6" s="253"/>
      <c r="E6" s="253"/>
      <c r="F6" s="253"/>
      <c r="G6" s="253"/>
      <c r="H6" s="253"/>
      <c r="I6" s="254"/>
    </row>
    <row r="7" spans="1:9" s="3" customFormat="1" ht="15.75" customHeight="1" x14ac:dyDescent="0.2">
      <c r="A7" s="255"/>
      <c r="B7" s="256"/>
      <c r="C7" s="256"/>
      <c r="D7" s="256"/>
      <c r="E7" s="256"/>
      <c r="F7" s="256"/>
      <c r="G7" s="256"/>
      <c r="H7" s="256"/>
      <c r="I7" s="257"/>
    </row>
    <row r="8" spans="1:9" s="3" customFormat="1" ht="15.75" customHeight="1" x14ac:dyDescent="0.2">
      <c r="A8" s="255"/>
      <c r="B8" s="256"/>
      <c r="C8" s="256"/>
      <c r="D8" s="256"/>
      <c r="E8" s="256"/>
      <c r="F8" s="256"/>
      <c r="G8" s="256"/>
      <c r="H8" s="256"/>
      <c r="I8" s="257"/>
    </row>
    <row r="9" spans="1:9" s="3" customFormat="1" ht="15.75" customHeight="1" x14ac:dyDescent="0.2">
      <c r="A9" s="255"/>
      <c r="B9" s="256"/>
      <c r="C9" s="256"/>
      <c r="D9" s="256"/>
      <c r="E9" s="256"/>
      <c r="F9" s="256"/>
      <c r="G9" s="256"/>
      <c r="H9" s="256"/>
      <c r="I9" s="257"/>
    </row>
    <row r="10" spans="1:9" s="3" customFormat="1" ht="15.75" customHeight="1" x14ac:dyDescent="0.2">
      <c r="A10" s="255"/>
      <c r="B10" s="256"/>
      <c r="C10" s="256"/>
      <c r="D10" s="256"/>
      <c r="E10" s="256"/>
      <c r="F10" s="256"/>
      <c r="G10" s="256"/>
      <c r="H10" s="256"/>
      <c r="I10" s="257"/>
    </row>
    <row r="11" spans="1:9" s="3" customFormat="1" ht="15.75" customHeight="1" x14ac:dyDescent="0.2">
      <c r="A11" s="255"/>
      <c r="B11" s="256"/>
      <c r="C11" s="256"/>
      <c r="D11" s="256"/>
      <c r="E11" s="256"/>
      <c r="F11" s="256"/>
      <c r="G11" s="256"/>
      <c r="H11" s="256"/>
      <c r="I11" s="257"/>
    </row>
    <row r="12" spans="1:9" s="3" customFormat="1" ht="15.75" customHeight="1" x14ac:dyDescent="0.2">
      <c r="A12" s="255"/>
      <c r="B12" s="256"/>
      <c r="C12" s="256"/>
      <c r="D12" s="256"/>
      <c r="E12" s="256"/>
      <c r="F12" s="256"/>
      <c r="G12" s="256"/>
      <c r="H12" s="256"/>
      <c r="I12" s="257"/>
    </row>
    <row r="13" spans="1:9" s="3" customFormat="1" ht="15.75" customHeight="1" x14ac:dyDescent="0.2">
      <c r="A13" s="255"/>
      <c r="B13" s="256"/>
      <c r="C13" s="256"/>
      <c r="D13" s="256"/>
      <c r="E13" s="256"/>
      <c r="F13" s="256"/>
      <c r="G13" s="256"/>
      <c r="H13" s="256"/>
      <c r="I13" s="257"/>
    </row>
    <row r="14" spans="1:9" s="3" customFormat="1" ht="15.75" customHeight="1" x14ac:dyDescent="0.2">
      <c r="A14" s="258"/>
      <c r="B14" s="259"/>
      <c r="C14" s="259"/>
      <c r="D14" s="259"/>
      <c r="E14" s="259"/>
      <c r="F14" s="259"/>
      <c r="G14" s="259"/>
      <c r="H14" s="259"/>
      <c r="I14" s="260"/>
    </row>
    <row r="15" spans="1:9" s="3" customFormat="1" ht="14.25" x14ac:dyDescent="0.2"/>
    <row r="16" spans="1:9" s="84" customFormat="1" ht="33.75" customHeight="1" x14ac:dyDescent="0.25">
      <c r="A16" s="336" t="s">
        <v>152</v>
      </c>
      <c r="B16" s="337"/>
      <c r="C16" s="337"/>
      <c r="D16" s="337"/>
      <c r="E16" s="337"/>
      <c r="F16" s="337"/>
      <c r="G16" s="337"/>
      <c r="H16" s="337"/>
      <c r="I16" s="338"/>
    </row>
    <row r="17" spans="1:9" ht="15.75" customHeight="1" x14ac:dyDescent="0.2">
      <c r="A17" s="244" t="s">
        <v>469</v>
      </c>
      <c r="B17" s="245"/>
      <c r="C17" s="245"/>
      <c r="D17" s="245"/>
      <c r="E17" s="245"/>
      <c r="F17" s="245"/>
      <c r="G17" s="245"/>
      <c r="H17" s="245"/>
      <c r="I17" s="246"/>
    </row>
    <row r="18" spans="1:9" ht="15.75" customHeight="1" x14ac:dyDescent="0.2">
      <c r="A18" s="247"/>
      <c r="B18" s="248"/>
      <c r="C18" s="248"/>
      <c r="D18" s="248"/>
      <c r="E18" s="248"/>
      <c r="F18" s="248"/>
      <c r="G18" s="248"/>
      <c r="H18" s="248"/>
      <c r="I18" s="249"/>
    </row>
    <row r="19" spans="1:9" ht="15.75" customHeight="1" x14ac:dyDescent="0.2">
      <c r="A19" s="247"/>
      <c r="B19" s="248"/>
      <c r="C19" s="248"/>
      <c r="D19" s="248"/>
      <c r="E19" s="248"/>
      <c r="F19" s="248"/>
      <c r="G19" s="248"/>
      <c r="H19" s="248"/>
      <c r="I19" s="249"/>
    </row>
    <row r="20" spans="1:9" ht="15.75" customHeight="1" x14ac:dyDescent="0.2">
      <c r="A20" s="247"/>
      <c r="B20" s="248"/>
      <c r="C20" s="248"/>
      <c r="D20" s="248"/>
      <c r="E20" s="248"/>
      <c r="F20" s="248"/>
      <c r="G20" s="248"/>
      <c r="H20" s="248"/>
      <c r="I20" s="249"/>
    </row>
    <row r="21" spans="1:9" ht="15.75" customHeight="1" x14ac:dyDescent="0.2">
      <c r="A21" s="247"/>
      <c r="B21" s="248"/>
      <c r="C21" s="248"/>
      <c r="D21" s="248"/>
      <c r="E21" s="248"/>
      <c r="F21" s="248"/>
      <c r="G21" s="248"/>
      <c r="H21" s="248"/>
      <c r="I21" s="249"/>
    </row>
    <row r="22" spans="1:9" ht="15.75" customHeight="1" x14ac:dyDescent="0.2">
      <c r="A22" s="247"/>
      <c r="B22" s="248"/>
      <c r="C22" s="248"/>
      <c r="D22" s="248"/>
      <c r="E22" s="248"/>
      <c r="F22" s="248"/>
      <c r="G22" s="248"/>
      <c r="H22" s="248"/>
      <c r="I22" s="249"/>
    </row>
    <row r="23" spans="1:9" ht="15.75" customHeight="1" x14ac:dyDescent="0.2">
      <c r="A23" s="247"/>
      <c r="B23" s="248"/>
      <c r="C23" s="248"/>
      <c r="D23" s="248"/>
      <c r="E23" s="248"/>
      <c r="F23" s="248"/>
      <c r="G23" s="248"/>
      <c r="H23" s="248"/>
      <c r="I23" s="249"/>
    </row>
    <row r="24" spans="1:9" ht="15.75" customHeight="1" x14ac:dyDescent="0.2">
      <c r="A24" s="247"/>
      <c r="B24" s="248"/>
      <c r="C24" s="248"/>
      <c r="D24" s="248"/>
      <c r="E24" s="248"/>
      <c r="F24" s="248"/>
      <c r="G24" s="248"/>
      <c r="H24" s="248"/>
      <c r="I24" s="249"/>
    </row>
    <row r="25" spans="1:9" ht="15.75" customHeight="1" x14ac:dyDescent="0.2">
      <c r="A25" s="250"/>
      <c r="B25" s="251"/>
      <c r="C25" s="251"/>
      <c r="D25" s="251"/>
      <c r="E25" s="251"/>
      <c r="F25" s="251"/>
      <c r="G25" s="251"/>
      <c r="H25" s="251"/>
      <c r="I25" s="252"/>
    </row>
    <row r="26" spans="1:9" ht="15.75" x14ac:dyDescent="0.25">
      <c r="A26" s="1"/>
    </row>
    <row r="27" spans="1:9" ht="36.75" customHeight="1" x14ac:dyDescent="0.2">
      <c r="A27" s="336" t="s">
        <v>153</v>
      </c>
      <c r="B27" s="337"/>
      <c r="C27" s="337"/>
      <c r="D27" s="337"/>
      <c r="E27" s="337"/>
      <c r="F27" s="337"/>
      <c r="G27" s="337"/>
      <c r="H27" s="337"/>
      <c r="I27" s="338"/>
    </row>
    <row r="28" spans="1:9" ht="15.75" customHeight="1" x14ac:dyDescent="0.2">
      <c r="A28" s="244" t="s">
        <v>493</v>
      </c>
      <c r="B28" s="245"/>
      <c r="C28" s="245"/>
      <c r="D28" s="245"/>
      <c r="E28" s="245"/>
      <c r="F28" s="245"/>
      <c r="G28" s="245"/>
      <c r="H28" s="245"/>
      <c r="I28" s="246"/>
    </row>
    <row r="29" spans="1:9" ht="15.75" customHeight="1" x14ac:dyDescent="0.2">
      <c r="A29" s="247"/>
      <c r="B29" s="248"/>
      <c r="C29" s="248"/>
      <c r="D29" s="248"/>
      <c r="E29" s="248"/>
      <c r="F29" s="248"/>
      <c r="G29" s="248"/>
      <c r="H29" s="248"/>
      <c r="I29" s="249"/>
    </row>
    <row r="30" spans="1:9" ht="15.75" customHeight="1" x14ac:dyDescent="0.2">
      <c r="A30" s="247"/>
      <c r="B30" s="248"/>
      <c r="C30" s="248"/>
      <c r="D30" s="248"/>
      <c r="E30" s="248"/>
      <c r="F30" s="248"/>
      <c r="G30" s="248"/>
      <c r="H30" s="248"/>
      <c r="I30" s="249"/>
    </row>
    <row r="31" spans="1:9" ht="15.75" customHeight="1" x14ac:dyDescent="0.2">
      <c r="A31" s="247"/>
      <c r="B31" s="248"/>
      <c r="C31" s="248"/>
      <c r="D31" s="248"/>
      <c r="E31" s="248"/>
      <c r="F31" s="248"/>
      <c r="G31" s="248"/>
      <c r="H31" s="248"/>
      <c r="I31" s="249"/>
    </row>
    <row r="32" spans="1:9" ht="15.75" customHeight="1" x14ac:dyDescent="0.2">
      <c r="A32" s="247"/>
      <c r="B32" s="248"/>
      <c r="C32" s="248"/>
      <c r="D32" s="248"/>
      <c r="E32" s="248"/>
      <c r="F32" s="248"/>
      <c r="G32" s="248"/>
      <c r="H32" s="248"/>
      <c r="I32" s="249"/>
    </row>
    <row r="33" spans="1:9" ht="15.75" customHeight="1" x14ac:dyDescent="0.2">
      <c r="A33" s="247"/>
      <c r="B33" s="248"/>
      <c r="C33" s="248"/>
      <c r="D33" s="248"/>
      <c r="E33" s="248"/>
      <c r="F33" s="248"/>
      <c r="G33" s="248"/>
      <c r="H33" s="248"/>
      <c r="I33" s="249"/>
    </row>
    <row r="34" spans="1:9" ht="15.75" customHeight="1" x14ac:dyDescent="0.2">
      <c r="A34" s="247"/>
      <c r="B34" s="248"/>
      <c r="C34" s="248"/>
      <c r="D34" s="248"/>
      <c r="E34" s="248"/>
      <c r="F34" s="248"/>
      <c r="G34" s="248"/>
      <c r="H34" s="248"/>
      <c r="I34" s="249"/>
    </row>
    <row r="35" spans="1:9" ht="15.75" customHeight="1" x14ac:dyDescent="0.2">
      <c r="A35" s="247"/>
      <c r="B35" s="248"/>
      <c r="C35" s="248"/>
      <c r="D35" s="248"/>
      <c r="E35" s="248"/>
      <c r="F35" s="248"/>
      <c r="G35" s="248"/>
      <c r="H35" s="248"/>
      <c r="I35" s="249"/>
    </row>
    <row r="36" spans="1:9" ht="15.75" customHeight="1" x14ac:dyDescent="0.2">
      <c r="A36" s="250"/>
      <c r="B36" s="251"/>
      <c r="C36" s="251"/>
      <c r="D36" s="251"/>
      <c r="E36" s="251"/>
      <c r="F36" s="251"/>
      <c r="G36" s="251"/>
      <c r="H36" s="251"/>
      <c r="I36" s="252"/>
    </row>
    <row r="38" spans="1:9" ht="33" customHeight="1" x14ac:dyDescent="0.2">
      <c r="A38" s="336" t="s">
        <v>154</v>
      </c>
      <c r="B38" s="337"/>
      <c r="C38" s="337"/>
      <c r="D38" s="337"/>
      <c r="E38" s="337"/>
      <c r="F38" s="337"/>
      <c r="G38" s="337"/>
      <c r="H38" s="337"/>
      <c r="I38" s="338"/>
    </row>
    <row r="39" spans="1:9" ht="15.75" customHeight="1" x14ac:dyDescent="0.2">
      <c r="A39" s="244" t="s">
        <v>492</v>
      </c>
      <c r="B39" s="245"/>
      <c r="C39" s="245"/>
      <c r="D39" s="245"/>
      <c r="E39" s="245"/>
      <c r="F39" s="245"/>
      <c r="G39" s="245"/>
      <c r="H39" s="245"/>
      <c r="I39" s="246"/>
    </row>
    <row r="40" spans="1:9" ht="15.75" customHeight="1" x14ac:dyDescent="0.2">
      <c r="A40" s="247"/>
      <c r="B40" s="248"/>
      <c r="C40" s="248"/>
      <c r="D40" s="248"/>
      <c r="E40" s="248"/>
      <c r="F40" s="248"/>
      <c r="G40" s="248"/>
      <c r="H40" s="248"/>
      <c r="I40" s="249"/>
    </row>
    <row r="41" spans="1:9" ht="15.75" customHeight="1" x14ac:dyDescent="0.2">
      <c r="A41" s="247"/>
      <c r="B41" s="248"/>
      <c r="C41" s="248"/>
      <c r="D41" s="248"/>
      <c r="E41" s="248"/>
      <c r="F41" s="248"/>
      <c r="G41" s="248"/>
      <c r="H41" s="248"/>
      <c r="I41" s="249"/>
    </row>
    <row r="42" spans="1:9" ht="15.75" customHeight="1" x14ac:dyDescent="0.2">
      <c r="A42" s="247"/>
      <c r="B42" s="248"/>
      <c r="C42" s="248"/>
      <c r="D42" s="248"/>
      <c r="E42" s="248"/>
      <c r="F42" s="248"/>
      <c r="G42" s="248"/>
      <c r="H42" s="248"/>
      <c r="I42" s="249"/>
    </row>
    <row r="43" spans="1:9" ht="15.75" customHeight="1" x14ac:dyDescent="0.2">
      <c r="A43" s="247"/>
      <c r="B43" s="248"/>
      <c r="C43" s="248"/>
      <c r="D43" s="248"/>
      <c r="E43" s="248"/>
      <c r="F43" s="248"/>
      <c r="G43" s="248"/>
      <c r="H43" s="248"/>
      <c r="I43" s="249"/>
    </row>
    <row r="44" spans="1:9" ht="15.75" customHeight="1" x14ac:dyDescent="0.2">
      <c r="A44" s="247"/>
      <c r="B44" s="248"/>
      <c r="C44" s="248"/>
      <c r="D44" s="248"/>
      <c r="E44" s="248"/>
      <c r="F44" s="248"/>
      <c r="G44" s="248"/>
      <c r="H44" s="248"/>
      <c r="I44" s="249"/>
    </row>
    <row r="45" spans="1:9" ht="15.75" customHeight="1" x14ac:dyDescent="0.2">
      <c r="A45" s="247"/>
      <c r="B45" s="248"/>
      <c r="C45" s="248"/>
      <c r="D45" s="248"/>
      <c r="E45" s="248"/>
      <c r="F45" s="248"/>
      <c r="G45" s="248"/>
      <c r="H45" s="248"/>
      <c r="I45" s="249"/>
    </row>
    <row r="46" spans="1:9" ht="15.75" customHeight="1" x14ac:dyDescent="0.2">
      <c r="A46" s="247"/>
      <c r="B46" s="248"/>
      <c r="C46" s="248"/>
      <c r="D46" s="248"/>
      <c r="E46" s="248"/>
      <c r="F46" s="248"/>
      <c r="G46" s="248"/>
      <c r="H46" s="248"/>
      <c r="I46" s="249"/>
    </row>
    <row r="47" spans="1:9" ht="15.75" customHeight="1" x14ac:dyDescent="0.2">
      <c r="A47" s="247"/>
      <c r="B47" s="248"/>
      <c r="C47" s="248"/>
      <c r="D47" s="248"/>
      <c r="E47" s="248"/>
      <c r="F47" s="248"/>
      <c r="G47" s="248"/>
      <c r="H47" s="248"/>
      <c r="I47" s="249"/>
    </row>
    <row r="48" spans="1:9" ht="15.75" customHeight="1" x14ac:dyDescent="0.2">
      <c r="A48" s="250"/>
      <c r="B48" s="251"/>
      <c r="C48" s="251"/>
      <c r="D48" s="251"/>
      <c r="E48" s="251"/>
      <c r="F48" s="251"/>
      <c r="G48" s="251"/>
      <c r="H48" s="251"/>
      <c r="I48" s="252"/>
    </row>
    <row r="66" spans="6:6" x14ac:dyDescent="0.2">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6"/>
  <sheetViews>
    <sheetView zoomScaleNormal="100" workbookViewId="0">
      <selection activeCell="K58" sqref="K58"/>
    </sheetView>
  </sheetViews>
  <sheetFormatPr defaultColWidth="9.42578125" defaultRowHeight="15" x14ac:dyDescent="0.2"/>
  <cols>
    <col min="1" max="1" width="12.5703125" style="2" customWidth="1"/>
    <col min="2" max="4" width="8.140625" style="2" customWidth="1"/>
    <col min="5" max="7" width="5.140625" style="2" customWidth="1"/>
    <col min="8" max="9" width="11.140625" style="2" customWidth="1"/>
    <col min="10" max="10" width="9.42578125" style="2" hidden="1" customWidth="1"/>
    <col min="11" max="11" width="10.5703125" style="2" bestFit="1" customWidth="1"/>
    <col min="12" max="12" width="31.85546875" style="2" customWidth="1"/>
    <col min="13" max="16384" width="9.42578125" style="2"/>
  </cols>
  <sheetData>
    <row r="1" spans="1:15" x14ac:dyDescent="0.2">
      <c r="A1" s="2" t="str">
        <f>+'Cover Page'!$B$29</f>
        <v>Annual Performance Report 2022</v>
      </c>
      <c r="E1" s="2" t="str">
        <f>+'Cover Page'!$B$33</f>
        <v>enfinium Ferrybridge 1 Ltd</v>
      </c>
    </row>
    <row r="3" spans="1:15" ht="15.75" x14ac:dyDescent="0.25">
      <c r="A3" s="1" t="s">
        <v>130</v>
      </c>
    </row>
    <row r="4" spans="1:15" ht="15.75" x14ac:dyDescent="0.25">
      <c r="A4" s="1"/>
    </row>
    <row r="5" spans="1:15" ht="15.75" x14ac:dyDescent="0.25">
      <c r="A5" s="11" t="s">
        <v>131</v>
      </c>
    </row>
    <row r="6" spans="1:15" ht="15.75" x14ac:dyDescent="0.25">
      <c r="A6" s="11"/>
    </row>
    <row r="7" spans="1:15" x14ac:dyDescent="0.2">
      <c r="A7" s="15" t="s">
        <v>132</v>
      </c>
    </row>
    <row r="8" spans="1:15" s="3" customFormat="1" ht="25.5" customHeight="1" x14ac:dyDescent="0.25">
      <c r="A8" s="356" t="s">
        <v>133</v>
      </c>
      <c r="B8" s="357"/>
      <c r="C8" s="356" t="s">
        <v>134</v>
      </c>
      <c r="D8" s="358"/>
      <c r="E8" s="358"/>
      <c r="F8" s="358"/>
      <c r="G8" s="358"/>
      <c r="H8" s="358"/>
      <c r="I8" s="357"/>
      <c r="L8" s="129" t="s">
        <v>297</v>
      </c>
    </row>
    <row r="9" spans="1:15" s="3" customFormat="1" ht="22.5" customHeight="1" x14ac:dyDescent="0.2">
      <c r="A9" s="359"/>
      <c r="B9" s="360"/>
      <c r="C9" s="361" t="s">
        <v>135</v>
      </c>
      <c r="D9" s="361"/>
      <c r="E9" s="361"/>
      <c r="F9" s="361" t="s">
        <v>136</v>
      </c>
      <c r="G9" s="361"/>
      <c r="H9" s="361"/>
      <c r="I9" s="361"/>
      <c r="L9" s="362" t="s">
        <v>362</v>
      </c>
      <c r="M9" s="261"/>
      <c r="N9" s="261"/>
      <c r="O9" s="261"/>
    </row>
    <row r="10" spans="1:15" s="3" customFormat="1" ht="22.5" customHeight="1" x14ac:dyDescent="0.2">
      <c r="A10" s="353" t="s">
        <v>137</v>
      </c>
      <c r="B10" s="353"/>
      <c r="C10" s="351">
        <v>1</v>
      </c>
      <c r="D10" s="352"/>
      <c r="E10" s="352"/>
      <c r="F10" s="351">
        <v>1</v>
      </c>
      <c r="G10" s="352"/>
      <c r="H10" s="352"/>
      <c r="I10" s="352"/>
      <c r="L10" s="261"/>
      <c r="M10" s="261"/>
      <c r="N10" s="261"/>
      <c r="O10" s="261"/>
    </row>
    <row r="11" spans="1:15" s="3" customFormat="1" ht="22.5" customHeight="1" x14ac:dyDescent="0.2">
      <c r="A11" s="353" t="s">
        <v>138</v>
      </c>
      <c r="B11" s="353"/>
      <c r="C11" s="354">
        <v>1</v>
      </c>
      <c r="D11" s="355"/>
      <c r="E11" s="355"/>
      <c r="F11" s="351">
        <v>1</v>
      </c>
      <c r="G11" s="352"/>
      <c r="H11" s="352"/>
      <c r="I11" s="352"/>
      <c r="L11" s="261"/>
      <c r="M11" s="261"/>
      <c r="N11" s="261"/>
      <c r="O11" s="261"/>
    </row>
    <row r="12" spans="1:15" s="3" customFormat="1" ht="22.5" customHeight="1" x14ac:dyDescent="0.2">
      <c r="A12" s="353" t="s">
        <v>139</v>
      </c>
      <c r="B12" s="353"/>
      <c r="C12" s="354">
        <v>1</v>
      </c>
      <c r="D12" s="355"/>
      <c r="E12" s="355"/>
      <c r="F12" s="351">
        <v>1</v>
      </c>
      <c r="G12" s="352"/>
      <c r="H12" s="352"/>
      <c r="I12" s="352"/>
      <c r="L12" s="261"/>
      <c r="M12" s="261"/>
      <c r="N12" s="261"/>
      <c r="O12" s="261"/>
    </row>
    <row r="13" spans="1:15" s="3" customFormat="1" ht="22.5" customHeight="1" x14ac:dyDescent="0.2">
      <c r="A13" s="353" t="s">
        <v>140</v>
      </c>
      <c r="B13" s="353"/>
      <c r="C13" s="313" t="s">
        <v>451</v>
      </c>
      <c r="D13" s="352"/>
      <c r="E13" s="352"/>
      <c r="F13" s="351">
        <v>1</v>
      </c>
      <c r="G13" s="352"/>
      <c r="H13" s="352"/>
      <c r="I13" s="352"/>
      <c r="L13" s="261"/>
      <c r="M13" s="261"/>
      <c r="N13" s="261"/>
      <c r="O13" s="261"/>
    </row>
    <row r="14" spans="1:15" s="3" customFormat="1" ht="22.5" customHeight="1" x14ac:dyDescent="0.2">
      <c r="A14" s="353" t="s">
        <v>141</v>
      </c>
      <c r="B14" s="353"/>
      <c r="C14" s="354">
        <v>1</v>
      </c>
      <c r="D14" s="355"/>
      <c r="E14" s="355"/>
      <c r="F14" s="351">
        <v>1</v>
      </c>
      <c r="G14" s="352"/>
      <c r="H14" s="352"/>
      <c r="I14" s="352"/>
      <c r="L14" s="261"/>
      <c r="M14" s="261"/>
      <c r="N14" s="261"/>
      <c r="O14" s="261"/>
    </row>
    <row r="15" spans="1:15" s="3" customFormat="1" ht="22.5" customHeight="1" x14ac:dyDescent="0.2">
      <c r="A15" s="353" t="s">
        <v>142</v>
      </c>
      <c r="B15" s="353"/>
      <c r="C15" s="354">
        <v>1</v>
      </c>
      <c r="D15" s="355"/>
      <c r="E15" s="355"/>
      <c r="F15" s="351">
        <v>1</v>
      </c>
      <c r="G15" s="352"/>
      <c r="H15" s="352"/>
      <c r="I15" s="352"/>
      <c r="L15" s="261"/>
      <c r="M15" s="261"/>
      <c r="N15" s="261"/>
      <c r="O15" s="261"/>
    </row>
    <row r="16" spans="1:15" s="3" customFormat="1" ht="14.25" x14ac:dyDescent="0.2">
      <c r="L16" s="261"/>
      <c r="M16" s="261"/>
      <c r="N16" s="261"/>
      <c r="O16" s="261"/>
    </row>
    <row r="17" spans="1:11" s="82" customFormat="1" ht="21.75" customHeight="1" x14ac:dyDescent="0.25">
      <c r="A17" s="346" t="s">
        <v>144</v>
      </c>
      <c r="B17" s="347"/>
      <c r="C17" s="347"/>
      <c r="D17" s="347"/>
      <c r="E17" s="347"/>
      <c r="F17" s="347"/>
      <c r="G17" s="347"/>
      <c r="H17" s="347"/>
      <c r="I17" s="347"/>
      <c r="J17" s="347"/>
      <c r="K17" s="348"/>
    </row>
    <row r="18" spans="1:11" s="3" customFormat="1" ht="38.25" customHeight="1" x14ac:dyDescent="0.2">
      <c r="A18" s="83" t="s">
        <v>4</v>
      </c>
      <c r="B18" s="349" t="s">
        <v>291</v>
      </c>
      <c r="C18" s="349"/>
      <c r="D18" s="349"/>
      <c r="E18" s="349" t="s">
        <v>145</v>
      </c>
      <c r="F18" s="349"/>
      <c r="G18" s="349"/>
      <c r="H18" s="349" t="s">
        <v>146</v>
      </c>
      <c r="I18" s="349"/>
      <c r="J18" s="350"/>
      <c r="K18" s="120"/>
    </row>
    <row r="19" spans="1:11" s="3" customFormat="1" ht="229.5" customHeight="1" x14ac:dyDescent="0.2">
      <c r="A19" s="209">
        <v>44774</v>
      </c>
      <c r="B19" s="343" t="s">
        <v>487</v>
      </c>
      <c r="C19" s="343"/>
      <c r="D19" s="343"/>
      <c r="E19" s="343" t="s">
        <v>490</v>
      </c>
      <c r="F19" s="343"/>
      <c r="G19" s="343"/>
      <c r="H19" s="343" t="s">
        <v>488</v>
      </c>
      <c r="I19" s="343"/>
      <c r="J19" s="345"/>
      <c r="K19" s="120"/>
    </row>
    <row r="20" spans="1:11" s="3" customFormat="1" ht="149.25" customHeight="1" x14ac:dyDescent="0.2">
      <c r="A20" s="209">
        <v>44881</v>
      </c>
      <c r="B20" s="343" t="s">
        <v>486</v>
      </c>
      <c r="C20" s="343"/>
      <c r="D20" s="343"/>
      <c r="E20" s="343" t="s">
        <v>491</v>
      </c>
      <c r="F20" s="343"/>
      <c r="G20" s="343"/>
      <c r="H20" s="343" t="s">
        <v>489</v>
      </c>
      <c r="I20" s="343"/>
      <c r="J20" s="345"/>
      <c r="K20" s="120"/>
    </row>
    <row r="21" spans="1:11" s="3" customFormat="1" ht="14.25" x14ac:dyDescent="0.2"/>
    <row r="22" spans="1:11" s="82" customFormat="1" ht="22.5" customHeight="1" x14ac:dyDescent="0.25">
      <c r="A22" s="346" t="s">
        <v>147</v>
      </c>
      <c r="B22" s="347"/>
      <c r="C22" s="347"/>
      <c r="D22" s="347"/>
      <c r="E22" s="347"/>
      <c r="F22" s="347"/>
      <c r="G22" s="347"/>
      <c r="H22" s="347"/>
      <c r="I22" s="347"/>
      <c r="J22" s="347"/>
      <c r="K22" s="348"/>
    </row>
    <row r="23" spans="1:11" s="3" customFormat="1" ht="39" customHeight="1" x14ac:dyDescent="0.2">
      <c r="A23" s="83" t="s">
        <v>4</v>
      </c>
      <c r="B23" s="349" t="s">
        <v>292</v>
      </c>
      <c r="C23" s="349"/>
      <c r="D23" s="349"/>
      <c r="E23" s="349" t="s">
        <v>148</v>
      </c>
      <c r="F23" s="349"/>
      <c r="G23" s="349"/>
      <c r="H23" s="349" t="s">
        <v>146</v>
      </c>
      <c r="I23" s="349"/>
      <c r="J23" s="350"/>
      <c r="K23" s="120"/>
    </row>
    <row r="24" spans="1:11" s="3" customFormat="1" ht="150.75" customHeight="1" x14ac:dyDescent="0.2">
      <c r="A24" s="210">
        <v>44831.458333333336</v>
      </c>
      <c r="B24" s="343" t="s">
        <v>472</v>
      </c>
      <c r="C24" s="343"/>
      <c r="D24" s="343"/>
      <c r="E24" s="344" t="s">
        <v>473</v>
      </c>
      <c r="F24" s="344"/>
      <c r="G24" s="344"/>
      <c r="H24" s="343" t="s">
        <v>474</v>
      </c>
      <c r="I24" s="343"/>
      <c r="J24" s="345"/>
      <c r="K24" s="120"/>
    </row>
    <row r="25" spans="1:11" s="3" customFormat="1" ht="126.75" customHeight="1" x14ac:dyDescent="0.2">
      <c r="A25" s="210">
        <v>44763.5</v>
      </c>
      <c r="B25" s="343" t="s">
        <v>475</v>
      </c>
      <c r="C25" s="343"/>
      <c r="D25" s="343"/>
      <c r="E25" s="344" t="s">
        <v>473</v>
      </c>
      <c r="F25" s="344"/>
      <c r="G25" s="344"/>
      <c r="H25" s="343" t="s">
        <v>479</v>
      </c>
      <c r="I25" s="343"/>
      <c r="J25" s="345"/>
      <c r="K25" s="120"/>
    </row>
    <row r="26" spans="1:11" ht="126" customHeight="1" x14ac:dyDescent="0.2">
      <c r="A26" s="210">
        <v>44754.5</v>
      </c>
      <c r="B26" s="343" t="s">
        <v>476</v>
      </c>
      <c r="C26" s="343"/>
      <c r="D26" s="343"/>
      <c r="E26" s="344" t="s">
        <v>473</v>
      </c>
      <c r="F26" s="344"/>
      <c r="G26" s="344"/>
      <c r="H26" s="343" t="s">
        <v>478</v>
      </c>
      <c r="I26" s="343"/>
      <c r="J26" s="345"/>
      <c r="K26" s="120"/>
    </row>
    <row r="27" spans="1:11" s="3" customFormat="1" ht="125.25" customHeight="1" x14ac:dyDescent="0.2">
      <c r="A27" s="210">
        <v>44761.431250000001</v>
      </c>
      <c r="B27" s="343" t="s">
        <v>477</v>
      </c>
      <c r="C27" s="343"/>
      <c r="D27" s="343"/>
      <c r="E27" s="344" t="s">
        <v>473</v>
      </c>
      <c r="F27" s="344"/>
      <c r="G27" s="344"/>
      <c r="H27" s="343" t="s">
        <v>478</v>
      </c>
      <c r="I27" s="343"/>
      <c r="J27" s="345"/>
      <c r="K27" s="120"/>
    </row>
    <row r="28" spans="1:11" s="3" customFormat="1" ht="173.25" customHeight="1" x14ac:dyDescent="0.2">
      <c r="A28" s="210">
        <v>44716.772916666669</v>
      </c>
      <c r="B28" s="343" t="s">
        <v>480</v>
      </c>
      <c r="C28" s="343"/>
      <c r="D28" s="343"/>
      <c r="E28" s="344" t="s">
        <v>473</v>
      </c>
      <c r="F28" s="344"/>
      <c r="G28" s="344"/>
      <c r="H28" s="343" t="s">
        <v>481</v>
      </c>
      <c r="I28" s="343"/>
      <c r="J28" s="345"/>
      <c r="K28" s="120"/>
    </row>
    <row r="29" spans="1:11" s="3" customFormat="1" ht="173.25" customHeight="1" x14ac:dyDescent="0.2">
      <c r="A29" s="210">
        <v>44716.5625</v>
      </c>
      <c r="B29" s="343" t="s">
        <v>480</v>
      </c>
      <c r="C29" s="343"/>
      <c r="D29" s="343"/>
      <c r="E29" s="344" t="s">
        <v>473</v>
      </c>
      <c r="F29" s="344"/>
      <c r="G29" s="344"/>
      <c r="H29" s="343" t="s">
        <v>481</v>
      </c>
      <c r="I29" s="343"/>
      <c r="J29" s="345"/>
      <c r="K29" s="120"/>
    </row>
    <row r="30" spans="1:11" ht="227.25" customHeight="1" x14ac:dyDescent="0.2">
      <c r="A30" s="210">
        <v>44715.395833333336</v>
      </c>
      <c r="B30" s="343" t="s">
        <v>480</v>
      </c>
      <c r="C30" s="343"/>
      <c r="D30" s="343"/>
      <c r="E30" s="344" t="s">
        <v>473</v>
      </c>
      <c r="F30" s="344"/>
      <c r="G30" s="344"/>
      <c r="H30" s="343" t="s">
        <v>483</v>
      </c>
      <c r="I30" s="343"/>
      <c r="J30" s="345"/>
      <c r="K30" s="120"/>
    </row>
    <row r="31" spans="1:11" s="3" customFormat="1" ht="91.5" customHeight="1" x14ac:dyDescent="0.2">
      <c r="A31" s="210">
        <v>44694.416666666664</v>
      </c>
      <c r="B31" s="343" t="s">
        <v>470</v>
      </c>
      <c r="C31" s="343"/>
      <c r="D31" s="343"/>
      <c r="E31" s="344" t="s">
        <v>473</v>
      </c>
      <c r="F31" s="344"/>
      <c r="G31" s="344"/>
      <c r="H31" s="343" t="s">
        <v>484</v>
      </c>
      <c r="I31" s="343"/>
      <c r="J31" s="345"/>
      <c r="K31" s="120"/>
    </row>
    <row r="32" spans="1:11" s="3" customFormat="1" ht="69" customHeight="1" x14ac:dyDescent="0.2">
      <c r="A32" s="210">
        <v>44571.400694444441</v>
      </c>
      <c r="B32" s="343" t="s">
        <v>471</v>
      </c>
      <c r="C32" s="343"/>
      <c r="D32" s="343"/>
      <c r="E32" s="344" t="s">
        <v>485</v>
      </c>
      <c r="F32" s="344"/>
      <c r="G32" s="344"/>
      <c r="H32" s="343" t="s">
        <v>482</v>
      </c>
      <c r="I32" s="343"/>
      <c r="J32" s="345"/>
      <c r="K32" s="120"/>
    </row>
    <row r="33" spans="1:10" s="3" customFormat="1" ht="29.25" customHeight="1" x14ac:dyDescent="0.2">
      <c r="A33" s="15"/>
      <c r="E33" s="363" t="s">
        <v>149</v>
      </c>
      <c r="F33" s="363"/>
      <c r="G33" s="363"/>
      <c r="H33" s="363"/>
      <c r="I33" s="363"/>
      <c r="J33" s="15"/>
    </row>
    <row r="66" spans="6:6" x14ac:dyDescent="0.2">
      <c r="F66" s="3"/>
    </row>
  </sheetData>
  <mergeCells count="66">
    <mergeCell ref="L9:O16"/>
    <mergeCell ref="E33:I33"/>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 ref="F14:I14"/>
    <mergeCell ref="A15:B15"/>
    <mergeCell ref="C15:E15"/>
    <mergeCell ref="F15:I15"/>
    <mergeCell ref="A8:B8"/>
    <mergeCell ref="C8:I8"/>
    <mergeCell ref="A9:B9"/>
    <mergeCell ref="C9:E9"/>
    <mergeCell ref="F9:I9"/>
    <mergeCell ref="H26:J26"/>
    <mergeCell ref="B20:D20"/>
    <mergeCell ref="E20:G20"/>
    <mergeCell ref="H20:J20"/>
    <mergeCell ref="B18:D18"/>
    <mergeCell ref="E18:G18"/>
    <mergeCell ref="H18:J18"/>
    <mergeCell ref="B19:D19"/>
    <mergeCell ref="E19:G19"/>
    <mergeCell ref="H19:J19"/>
    <mergeCell ref="A22:K22"/>
    <mergeCell ref="A17:K17"/>
    <mergeCell ref="B27:D27"/>
    <mergeCell ref="E27:G27"/>
    <mergeCell ref="H27:J27"/>
    <mergeCell ref="B23:D23"/>
    <mergeCell ref="E23:G23"/>
    <mergeCell ref="H23:J23"/>
    <mergeCell ref="B24:D24"/>
    <mergeCell ref="E24:G24"/>
    <mergeCell ref="H24:J24"/>
    <mergeCell ref="B25:D25"/>
    <mergeCell ref="E25:G25"/>
    <mergeCell ref="H25:J25"/>
    <mergeCell ref="B26:D26"/>
    <mergeCell ref="E26:G26"/>
    <mergeCell ref="B28:D28"/>
    <mergeCell ref="E28:G28"/>
    <mergeCell ref="H28:J28"/>
    <mergeCell ref="B29:D29"/>
    <mergeCell ref="E29:G29"/>
    <mergeCell ref="H29:J29"/>
    <mergeCell ref="B32:D32"/>
    <mergeCell ref="E32:G32"/>
    <mergeCell ref="H32:J32"/>
    <mergeCell ref="B30:D30"/>
    <mergeCell ref="E30:G30"/>
    <mergeCell ref="H30:J30"/>
    <mergeCell ref="B31:D31"/>
    <mergeCell ref="E31:G31"/>
    <mergeCell ref="H31:J31"/>
  </mergeCells>
  <pageMargins left="0.7" right="0.7" top="0.75" bottom="0.75" header="0.3" footer="0.3"/>
  <pageSetup paperSize="9" scale="87" orientation="portrait" r:id="rId1"/>
  <headerFooter scaleWithDoc="0">
    <oddFooter>&amp;C&amp;"Arial,Regular"Page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workbookViewId="0">
      <selection activeCell="K58" sqref="K58"/>
    </sheetView>
  </sheetViews>
  <sheetFormatPr defaultColWidth="9.42578125" defaultRowHeight="15" x14ac:dyDescent="0.2"/>
  <cols>
    <col min="1" max="1" width="9.42578125" style="2" customWidth="1"/>
    <col min="2" max="2" width="14.5703125" style="2" bestFit="1" customWidth="1"/>
    <col min="3" max="8" width="9.42578125" style="2"/>
    <col min="9" max="9" width="11.5703125" style="2" customWidth="1"/>
    <col min="10" max="16384" width="9.42578125" style="2"/>
  </cols>
  <sheetData>
    <row r="1" spans="1:9" x14ac:dyDescent="0.2">
      <c r="A1" s="2" t="str">
        <f>+'Cover Page'!$B$29</f>
        <v>Annual Performance Report 2022</v>
      </c>
      <c r="E1" s="2" t="str">
        <f>+'Cover Page'!$B$33</f>
        <v>enfinium Ferrybridge 1 Ltd</v>
      </c>
    </row>
    <row r="3" spans="1:9" ht="15.75" x14ac:dyDescent="0.25">
      <c r="A3" s="1" t="s">
        <v>155</v>
      </c>
    </row>
    <row r="4" spans="1:9" ht="15.75" x14ac:dyDescent="0.25">
      <c r="A4" s="1"/>
    </row>
    <row r="5" spans="1:9" s="3" customFormat="1" ht="28.5" customHeight="1" x14ac:dyDescent="0.2">
      <c r="A5" s="85" t="s">
        <v>156</v>
      </c>
      <c r="B5" s="86"/>
      <c r="C5" s="86"/>
      <c r="D5" s="86"/>
      <c r="E5" s="86"/>
      <c r="F5" s="86"/>
      <c r="G5" s="86"/>
      <c r="H5" s="86"/>
      <c r="I5" s="87"/>
    </row>
    <row r="6" spans="1:9" s="3" customFormat="1" ht="15.75" customHeight="1" x14ac:dyDescent="0.2">
      <c r="A6" s="339" t="s">
        <v>4</v>
      </c>
      <c r="B6" s="341"/>
      <c r="C6" s="339" t="s">
        <v>157</v>
      </c>
      <c r="D6" s="340"/>
      <c r="E6" s="340"/>
      <c r="F6" s="340"/>
      <c r="G6" s="340"/>
      <c r="H6" s="340"/>
      <c r="I6" s="341"/>
    </row>
    <row r="7" spans="1:9" s="3" customFormat="1" ht="15.75" customHeight="1" x14ac:dyDescent="0.2">
      <c r="A7" s="364" t="s">
        <v>453</v>
      </c>
      <c r="B7" s="365"/>
      <c r="C7" s="244" t="s">
        <v>463</v>
      </c>
      <c r="D7" s="368"/>
      <c r="E7" s="368"/>
      <c r="F7" s="368"/>
      <c r="G7" s="368"/>
      <c r="H7" s="368"/>
      <c r="I7" s="369"/>
    </row>
    <row r="8" spans="1:9" s="3" customFormat="1" ht="15.75" customHeight="1" x14ac:dyDescent="0.2">
      <c r="A8" s="366"/>
      <c r="B8" s="367"/>
      <c r="C8" s="370"/>
      <c r="D8" s="371"/>
      <c r="E8" s="371"/>
      <c r="F8" s="371"/>
      <c r="G8" s="371"/>
      <c r="H8" s="371"/>
      <c r="I8" s="372"/>
    </row>
    <row r="9" spans="1:9" s="3" customFormat="1" ht="15.75" customHeight="1" x14ac:dyDescent="0.2">
      <c r="A9" s="342"/>
      <c r="B9" s="254"/>
      <c r="C9" s="342"/>
      <c r="D9" s="253"/>
      <c r="E9" s="253"/>
      <c r="F9" s="253"/>
      <c r="G9" s="253"/>
      <c r="H9" s="253"/>
      <c r="I9" s="254"/>
    </row>
    <row r="10" spans="1:9" s="3" customFormat="1" ht="15.75" customHeight="1" x14ac:dyDescent="0.2">
      <c r="A10" s="258"/>
      <c r="B10" s="260"/>
      <c r="C10" s="258"/>
      <c r="D10" s="259"/>
      <c r="E10" s="259"/>
      <c r="F10" s="259"/>
      <c r="G10" s="259"/>
      <c r="H10" s="259"/>
      <c r="I10" s="260"/>
    </row>
    <row r="11" spans="1:9" s="3" customFormat="1" ht="15.75" customHeight="1" x14ac:dyDescent="0.2">
      <c r="A11" s="342"/>
      <c r="B11" s="254"/>
      <c r="C11" s="342"/>
      <c r="D11" s="253"/>
      <c r="E11" s="253"/>
      <c r="F11" s="253"/>
      <c r="G11" s="253"/>
      <c r="H11" s="253"/>
      <c r="I11" s="254"/>
    </row>
    <row r="12" spans="1:9" s="3" customFormat="1" ht="15.75" customHeight="1" x14ac:dyDescent="0.2">
      <c r="A12" s="258"/>
      <c r="B12" s="260"/>
      <c r="C12" s="258"/>
      <c r="D12" s="259"/>
      <c r="E12" s="259"/>
      <c r="F12" s="259"/>
      <c r="G12" s="259"/>
      <c r="H12" s="259"/>
      <c r="I12" s="260"/>
    </row>
    <row r="13" spans="1:9" s="3" customFormat="1" ht="15.75" customHeight="1" x14ac:dyDescent="0.2">
      <c r="A13" s="342"/>
      <c r="B13" s="254"/>
      <c r="C13" s="342"/>
      <c r="D13" s="253"/>
      <c r="E13" s="253"/>
      <c r="F13" s="253"/>
      <c r="G13" s="253"/>
      <c r="H13" s="253"/>
      <c r="I13" s="254"/>
    </row>
    <row r="14" spans="1:9" s="3" customFormat="1" ht="15.75" customHeight="1" x14ac:dyDescent="0.2">
      <c r="A14" s="258"/>
      <c r="B14" s="260"/>
      <c r="C14" s="258"/>
      <c r="D14" s="259"/>
      <c r="E14" s="259"/>
      <c r="F14" s="259"/>
      <c r="G14" s="259"/>
      <c r="H14" s="259"/>
      <c r="I14" s="260"/>
    </row>
    <row r="15" spans="1:9" s="3" customFormat="1" ht="14.25" x14ac:dyDescent="0.2"/>
    <row r="16" spans="1:9" s="84" customFormat="1" ht="33.75" customHeight="1" x14ac:dyDescent="0.25">
      <c r="A16" s="336" t="s">
        <v>158</v>
      </c>
      <c r="B16" s="337"/>
      <c r="C16" s="337"/>
      <c r="D16" s="337"/>
      <c r="E16" s="337"/>
      <c r="F16" s="337"/>
      <c r="G16" s="337"/>
      <c r="H16" s="337"/>
      <c r="I16" s="338"/>
    </row>
    <row r="17" spans="1:9" ht="15.75" customHeight="1" x14ac:dyDescent="0.2">
      <c r="A17" s="339" t="s">
        <v>4</v>
      </c>
      <c r="B17" s="341"/>
      <c r="C17" s="339" t="s">
        <v>157</v>
      </c>
      <c r="D17" s="340"/>
      <c r="E17" s="340"/>
      <c r="F17" s="340"/>
      <c r="G17" s="340"/>
      <c r="H17" s="340"/>
      <c r="I17" s="340"/>
    </row>
    <row r="18" spans="1:9" ht="15.75" customHeight="1" x14ac:dyDescent="0.2">
      <c r="A18" s="364" t="s">
        <v>464</v>
      </c>
      <c r="B18" s="254"/>
      <c r="C18" s="364" t="s">
        <v>465</v>
      </c>
      <c r="D18" s="253"/>
      <c r="E18" s="253"/>
      <c r="F18" s="253"/>
      <c r="G18" s="253"/>
      <c r="H18" s="253"/>
      <c r="I18" s="254"/>
    </row>
    <row r="19" spans="1:9" ht="15.75" customHeight="1" x14ac:dyDescent="0.2">
      <c r="A19" s="258"/>
      <c r="B19" s="260"/>
      <c r="C19" s="258"/>
      <c r="D19" s="259"/>
      <c r="E19" s="259"/>
      <c r="F19" s="259"/>
      <c r="G19" s="259"/>
      <c r="H19" s="259"/>
      <c r="I19" s="260"/>
    </row>
    <row r="20" spans="1:9" ht="15.75" customHeight="1" x14ac:dyDescent="0.2">
      <c r="A20" s="342"/>
      <c r="B20" s="254"/>
      <c r="C20" s="342"/>
      <c r="D20" s="253"/>
      <c r="E20" s="253"/>
      <c r="F20" s="253"/>
      <c r="G20" s="253"/>
      <c r="H20" s="253"/>
      <c r="I20" s="254"/>
    </row>
    <row r="21" spans="1:9" ht="15.75" customHeight="1" x14ac:dyDescent="0.2">
      <c r="A21" s="258"/>
      <c r="B21" s="260"/>
      <c r="C21" s="258"/>
      <c r="D21" s="259"/>
      <c r="E21" s="259"/>
      <c r="F21" s="259"/>
      <c r="G21" s="259"/>
      <c r="H21" s="259"/>
      <c r="I21" s="260"/>
    </row>
    <row r="22" spans="1:9" ht="15.75" customHeight="1" x14ac:dyDescent="0.2">
      <c r="A22" s="342"/>
      <c r="B22" s="254"/>
      <c r="C22" s="342"/>
      <c r="D22" s="253"/>
      <c r="E22" s="253"/>
      <c r="F22" s="253"/>
      <c r="G22" s="253"/>
      <c r="H22" s="253"/>
      <c r="I22" s="254"/>
    </row>
    <row r="23" spans="1:9" ht="15.75" customHeight="1" x14ac:dyDescent="0.2">
      <c r="A23" s="258"/>
      <c r="B23" s="260"/>
      <c r="C23" s="258"/>
      <c r="D23" s="259"/>
      <c r="E23" s="259"/>
      <c r="F23" s="259"/>
      <c r="G23" s="259"/>
      <c r="H23" s="259"/>
      <c r="I23" s="260"/>
    </row>
    <row r="24" spans="1:9" ht="15.75" customHeight="1" x14ac:dyDescent="0.2">
      <c r="A24" s="342"/>
      <c r="B24" s="254"/>
      <c r="C24" s="342"/>
      <c r="D24" s="253"/>
      <c r="E24" s="253"/>
      <c r="F24" s="253"/>
      <c r="G24" s="253"/>
      <c r="H24" s="253"/>
      <c r="I24" s="254"/>
    </row>
    <row r="25" spans="1:9" ht="15.75" customHeight="1" x14ac:dyDescent="0.2">
      <c r="A25" s="258"/>
      <c r="B25" s="260"/>
      <c r="C25" s="258"/>
      <c r="D25" s="259"/>
      <c r="E25" s="259"/>
      <c r="F25" s="259"/>
      <c r="G25" s="259"/>
      <c r="H25" s="259"/>
      <c r="I25" s="260"/>
    </row>
    <row r="26" spans="1:9" ht="15.75" customHeight="1" x14ac:dyDescent="0.2">
      <c r="A26" s="342"/>
      <c r="B26" s="254"/>
      <c r="C26" s="342"/>
      <c r="D26" s="253"/>
      <c r="E26" s="253"/>
      <c r="F26" s="253"/>
      <c r="G26" s="253"/>
      <c r="H26" s="253"/>
      <c r="I26" s="254"/>
    </row>
    <row r="27" spans="1:9" ht="15.75" customHeight="1" x14ac:dyDescent="0.2">
      <c r="A27" s="258"/>
      <c r="B27" s="260"/>
      <c r="C27" s="258"/>
      <c r="D27" s="259"/>
      <c r="E27" s="259"/>
      <c r="F27" s="259"/>
      <c r="G27" s="259"/>
      <c r="H27" s="259"/>
      <c r="I27" s="260"/>
    </row>
    <row r="28" spans="1:9" ht="15.75" x14ac:dyDescent="0.25">
      <c r="A28" s="1"/>
    </row>
    <row r="29" spans="1:9" ht="36.75" customHeight="1" x14ac:dyDescent="0.2">
      <c r="A29" s="336" t="s">
        <v>456</v>
      </c>
      <c r="B29" s="337"/>
      <c r="C29" s="337"/>
      <c r="D29" s="337"/>
      <c r="E29" s="337"/>
      <c r="F29" s="337"/>
      <c r="G29" s="337"/>
      <c r="H29" s="337"/>
      <c r="I29" s="338"/>
    </row>
    <row r="66" spans="6:6" x14ac:dyDescent="0.2">
      <c r="F66" s="3"/>
    </row>
  </sheetData>
  <mergeCells count="24">
    <mergeCell ref="A17:B17"/>
    <mergeCell ref="C17:I17"/>
    <mergeCell ref="A6:B6"/>
    <mergeCell ref="C6:I6"/>
    <mergeCell ref="A7:B8"/>
    <mergeCell ref="A9:B10"/>
    <mergeCell ref="C9:I10"/>
    <mergeCell ref="A11:B12"/>
    <mergeCell ref="C11:I12"/>
    <mergeCell ref="A13:B14"/>
    <mergeCell ref="C13:I14"/>
    <mergeCell ref="A16:I16"/>
    <mergeCell ref="C7:I8"/>
    <mergeCell ref="A18:B19"/>
    <mergeCell ref="C18:I19"/>
    <mergeCell ref="A20:B21"/>
    <mergeCell ref="C20:I21"/>
    <mergeCell ref="A22:B23"/>
    <mergeCell ref="C22:I23"/>
    <mergeCell ref="A24:B25"/>
    <mergeCell ref="C24:I25"/>
    <mergeCell ref="A26:B27"/>
    <mergeCell ref="C26:I27"/>
    <mergeCell ref="A29:I29"/>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M64"/>
  <sheetViews>
    <sheetView topLeftCell="A11" workbookViewId="0">
      <selection activeCell="K58" sqref="K58"/>
    </sheetView>
  </sheetViews>
  <sheetFormatPr defaultColWidth="9.42578125" defaultRowHeight="15" x14ac:dyDescent="0.2"/>
  <cols>
    <col min="1" max="1" width="9.42578125" style="2" customWidth="1"/>
    <col min="2" max="2" width="14.5703125" style="2" bestFit="1" customWidth="1"/>
    <col min="3" max="5" width="9.42578125" style="2"/>
    <col min="6" max="7" width="18.7109375" style="2" customWidth="1"/>
    <col min="8" max="16384" width="9.42578125" style="2"/>
  </cols>
  <sheetData>
    <row r="1" spans="1:13" x14ac:dyDescent="0.2">
      <c r="A1" s="2" t="str">
        <f>+'Cover Page'!$B$29</f>
        <v>Annual Performance Report 2022</v>
      </c>
      <c r="E1" s="2" t="str">
        <f>+'Cover Page'!$B$33</f>
        <v>enfinium Ferrybridge 1 Ltd</v>
      </c>
    </row>
    <row r="2" spans="1:13" ht="7.5" customHeight="1" x14ac:dyDescent="0.2"/>
    <row r="3" spans="1:13" ht="15.75" x14ac:dyDescent="0.25">
      <c r="A3" s="1" t="s">
        <v>209</v>
      </c>
    </row>
    <row r="4" spans="1:13" ht="9.75" customHeight="1" x14ac:dyDescent="0.25">
      <c r="A4" s="1"/>
    </row>
    <row r="5" spans="1:13" s="3" customFormat="1" ht="21.75" customHeight="1" x14ac:dyDescent="0.2">
      <c r="A5" s="85" t="s">
        <v>246</v>
      </c>
      <c r="B5" s="86"/>
      <c r="C5" s="86"/>
      <c r="D5" s="86"/>
      <c r="E5" s="86"/>
      <c r="F5" s="86"/>
      <c r="G5" s="86"/>
      <c r="J5" s="131" t="s">
        <v>297</v>
      </c>
    </row>
    <row r="6" spans="1:13" s="3" customFormat="1" ht="48" customHeight="1" x14ac:dyDescent="0.2">
      <c r="A6" s="244" t="s">
        <v>433</v>
      </c>
      <c r="B6" s="245"/>
      <c r="C6" s="245"/>
      <c r="D6" s="245"/>
      <c r="E6" s="245"/>
      <c r="F6" s="245"/>
      <c r="G6" s="245"/>
      <c r="J6" s="386" t="s">
        <v>316</v>
      </c>
      <c r="K6" s="386"/>
      <c r="L6" s="386"/>
      <c r="M6" s="386"/>
    </row>
    <row r="7" spans="1:13" s="3" customFormat="1" ht="48" customHeight="1" x14ac:dyDescent="0.2">
      <c r="A7" s="250"/>
      <c r="B7" s="251"/>
      <c r="C7" s="251"/>
      <c r="D7" s="251"/>
      <c r="E7" s="251"/>
      <c r="F7" s="251"/>
      <c r="G7" s="251"/>
      <c r="J7" s="386"/>
      <c r="K7" s="386"/>
      <c r="L7" s="386"/>
      <c r="M7" s="386"/>
    </row>
    <row r="8" spans="1:13" s="3" customFormat="1" ht="14.25" x14ac:dyDescent="0.2">
      <c r="J8" s="386"/>
      <c r="K8" s="386"/>
      <c r="L8" s="386"/>
      <c r="M8" s="386"/>
    </row>
    <row r="9" spans="1:13" s="103" customFormat="1" ht="16.5" customHeight="1" x14ac:dyDescent="0.2">
      <c r="A9" s="387" t="s">
        <v>210</v>
      </c>
      <c r="B9" s="387"/>
      <c r="C9" s="387"/>
      <c r="D9" s="387"/>
      <c r="E9" s="387"/>
      <c r="F9" s="387"/>
      <c r="G9" s="387"/>
      <c r="J9" s="386"/>
      <c r="K9" s="386"/>
      <c r="L9" s="386"/>
      <c r="M9" s="386"/>
    </row>
    <row r="10" spans="1:13" s="103" customFormat="1" ht="16.5" customHeight="1" x14ac:dyDescent="0.2">
      <c r="A10" s="374" t="s">
        <v>133</v>
      </c>
      <c r="B10" s="375"/>
      <c r="C10" s="384" t="s">
        <v>245</v>
      </c>
      <c r="D10" s="380" t="s">
        <v>244</v>
      </c>
      <c r="E10" s="381"/>
      <c r="F10" s="378" t="s">
        <v>198</v>
      </c>
      <c r="G10" s="379"/>
      <c r="J10" s="386" t="s">
        <v>317</v>
      </c>
      <c r="K10" s="386"/>
      <c r="L10" s="386"/>
      <c r="M10" s="386"/>
    </row>
    <row r="11" spans="1:13" s="15" customFormat="1" ht="17.25" customHeight="1" x14ac:dyDescent="0.2">
      <c r="A11" s="376"/>
      <c r="B11" s="377"/>
      <c r="C11" s="385"/>
      <c r="D11" s="382"/>
      <c r="E11" s="383"/>
      <c r="F11" s="83" t="s">
        <v>110</v>
      </c>
      <c r="G11" s="83" t="s">
        <v>111</v>
      </c>
      <c r="J11" s="386"/>
      <c r="K11" s="386"/>
      <c r="L11" s="386"/>
      <c r="M11" s="386"/>
    </row>
    <row r="12" spans="1:13" s="15" customFormat="1" ht="23.25" customHeight="1" x14ac:dyDescent="0.2">
      <c r="A12" s="281" t="s">
        <v>143</v>
      </c>
      <c r="B12" s="281"/>
      <c r="C12" s="98" t="s">
        <v>237</v>
      </c>
      <c r="D12" s="333" t="s">
        <v>238</v>
      </c>
      <c r="E12" s="333"/>
      <c r="F12" s="101">
        <v>8.4500000000000006E-2</v>
      </c>
      <c r="G12" s="101">
        <v>4.7500000000000001E-2</v>
      </c>
      <c r="J12" s="386"/>
      <c r="K12" s="386"/>
      <c r="L12" s="386"/>
      <c r="M12" s="386"/>
    </row>
    <row r="13" spans="1:13" s="15" customFormat="1" ht="23.25" customHeight="1" x14ac:dyDescent="0.2">
      <c r="A13" s="281" t="s">
        <v>211</v>
      </c>
      <c r="B13" s="281"/>
      <c r="C13" s="98" t="s">
        <v>294</v>
      </c>
      <c r="D13" s="333" t="s">
        <v>239</v>
      </c>
      <c r="E13" s="333"/>
      <c r="F13" s="101">
        <v>7.1500000000000003E-4</v>
      </c>
      <c r="G13" s="101">
        <v>6.3999999999999994E-4</v>
      </c>
    </row>
    <row r="14" spans="1:13" s="15" customFormat="1" ht="23.25" customHeight="1" x14ac:dyDescent="0.2">
      <c r="A14" s="281" t="s">
        <v>212</v>
      </c>
      <c r="B14" s="281"/>
      <c r="C14" s="98" t="s">
        <v>294</v>
      </c>
      <c r="D14" s="333" t="s">
        <v>239</v>
      </c>
      <c r="E14" s="333"/>
      <c r="F14" s="101">
        <v>1.07E-3</v>
      </c>
      <c r="G14" s="101">
        <v>1.4499999999999999E-3</v>
      </c>
    </row>
    <row r="15" spans="1:13" s="15" customFormat="1" ht="23.25" customHeight="1" x14ac:dyDescent="0.2">
      <c r="A15" s="281" t="s">
        <v>213</v>
      </c>
      <c r="B15" s="281"/>
      <c r="C15" s="98" t="s">
        <v>294</v>
      </c>
      <c r="D15" s="333" t="s">
        <v>240</v>
      </c>
      <c r="E15" s="333"/>
      <c r="F15" s="101">
        <v>0.1555</v>
      </c>
      <c r="G15" s="101">
        <v>7.4499999999999997E-2</v>
      </c>
    </row>
    <row r="16" spans="1:13" s="15" customFormat="1" ht="23.25" customHeight="1" x14ac:dyDescent="0.2">
      <c r="A16" s="281" t="s">
        <v>214</v>
      </c>
      <c r="B16" s="281"/>
      <c r="C16" s="98" t="s">
        <v>294</v>
      </c>
      <c r="D16" s="333" t="s">
        <v>241</v>
      </c>
      <c r="E16" s="333"/>
      <c r="F16" s="101">
        <v>2.6500000000000003E-2</v>
      </c>
      <c r="G16" s="101">
        <v>1.6E-2</v>
      </c>
    </row>
    <row r="17" spans="1:7" s="15" customFormat="1" ht="23.25" customHeight="1" x14ac:dyDescent="0.2">
      <c r="A17" s="281" t="s">
        <v>215</v>
      </c>
      <c r="B17" s="281"/>
      <c r="C17" s="98" t="s">
        <v>294</v>
      </c>
      <c r="D17" s="333" t="s">
        <v>242</v>
      </c>
      <c r="E17" s="333"/>
      <c r="F17" s="101">
        <v>1.916E-3</v>
      </c>
      <c r="G17" s="101">
        <v>1.405E-3</v>
      </c>
    </row>
    <row r="18" spans="1:7" s="15" customFormat="1" ht="23.25" customHeight="1" x14ac:dyDescent="0.2">
      <c r="A18" s="281" t="s">
        <v>216</v>
      </c>
      <c r="B18" s="281"/>
      <c r="C18" s="98" t="s">
        <v>294</v>
      </c>
      <c r="D18" s="333" t="s">
        <v>242</v>
      </c>
      <c r="E18" s="333"/>
      <c r="F18" s="101">
        <v>9.0500000000000004E-5</v>
      </c>
      <c r="G18" s="101">
        <v>6.3E-5</v>
      </c>
    </row>
    <row r="19" spans="1:7" s="15" customFormat="1" ht="23.25" customHeight="1" x14ac:dyDescent="0.2">
      <c r="A19" s="281" t="s">
        <v>217</v>
      </c>
      <c r="B19" s="281"/>
      <c r="C19" s="98" t="s">
        <v>294</v>
      </c>
      <c r="D19" s="333" t="s">
        <v>242</v>
      </c>
      <c r="E19" s="333"/>
      <c r="F19" s="101">
        <v>3.7635000000000004E-3</v>
      </c>
      <c r="G19" s="101">
        <v>2.2500000000000003E-3</v>
      </c>
    </row>
    <row r="20" spans="1:7" s="15" customFormat="1" ht="23.25" customHeight="1" x14ac:dyDescent="0.2">
      <c r="A20" s="281" t="s">
        <v>218</v>
      </c>
      <c r="B20" s="281"/>
      <c r="C20" s="98" t="s">
        <v>294</v>
      </c>
      <c r="D20" s="333" t="s">
        <v>242</v>
      </c>
      <c r="E20" s="333"/>
      <c r="F20" s="101">
        <v>2.6500000000000003E-2</v>
      </c>
      <c r="G20" s="101">
        <v>1.4999999999999999E-2</v>
      </c>
    </row>
    <row r="21" spans="1:7" s="15" customFormat="1" ht="23.25" customHeight="1" x14ac:dyDescent="0.2">
      <c r="A21" s="281" t="s">
        <v>219</v>
      </c>
      <c r="B21" s="281"/>
      <c r="C21" s="98" t="s">
        <v>294</v>
      </c>
      <c r="D21" s="333" t="s">
        <v>242</v>
      </c>
      <c r="E21" s="333"/>
      <c r="F21" s="101">
        <v>2.7999999999999997E-2</v>
      </c>
      <c r="G21" s="101">
        <v>1.6500000000000001E-2</v>
      </c>
    </row>
    <row r="22" spans="1:7" s="15" customFormat="1" ht="23.25" customHeight="1" x14ac:dyDescent="0.2">
      <c r="A22" s="281" t="s">
        <v>220</v>
      </c>
      <c r="B22" s="281"/>
      <c r="C22" s="98" t="s">
        <v>294</v>
      </c>
      <c r="D22" s="333" t="s">
        <v>242</v>
      </c>
      <c r="E22" s="333"/>
      <c r="F22" s="101">
        <v>4.3499999999999997E-2</v>
      </c>
      <c r="G22" s="101">
        <v>2.5000000000000001E-2</v>
      </c>
    </row>
    <row r="23" spans="1:7" s="15" customFormat="1" ht="23.25" customHeight="1" x14ac:dyDescent="0.2">
      <c r="A23" s="281" t="s">
        <v>221</v>
      </c>
      <c r="B23" s="281"/>
      <c r="C23" s="98" t="s">
        <v>294</v>
      </c>
      <c r="D23" s="333" t="s">
        <v>243</v>
      </c>
      <c r="E23" s="333"/>
      <c r="F23" s="101">
        <v>1.6000000000000001E-3</v>
      </c>
      <c r="G23" s="101">
        <v>1.2999999999999999E-3</v>
      </c>
    </row>
    <row r="24" spans="1:7" s="15" customFormat="1" ht="23.25" customHeight="1" x14ac:dyDescent="0.2">
      <c r="A24" s="281" t="s">
        <v>222</v>
      </c>
      <c r="B24" s="281"/>
      <c r="C24" s="98" t="s">
        <v>294</v>
      </c>
      <c r="D24" s="333" t="s">
        <v>243</v>
      </c>
      <c r="E24" s="333"/>
      <c r="F24" s="101">
        <v>4.2999999999999997E-2</v>
      </c>
      <c r="G24" s="101">
        <v>5.5E-2</v>
      </c>
    </row>
    <row r="25" spans="1:7" s="15" customFormat="1" ht="23.25" customHeight="1" x14ac:dyDescent="0.2">
      <c r="A25" s="281" t="s">
        <v>223</v>
      </c>
      <c r="B25" s="281"/>
      <c r="C25" s="98" t="s">
        <v>294</v>
      </c>
      <c r="D25" s="333" t="s">
        <v>243</v>
      </c>
      <c r="E25" s="333"/>
      <c r="F25" s="101">
        <v>4.2000000000000003E-2</v>
      </c>
      <c r="G25" s="101">
        <v>1.0999999999999999E-2</v>
      </c>
    </row>
    <row r="26" spans="1:7" s="15" customFormat="1" ht="23.25" customHeight="1" x14ac:dyDescent="0.2">
      <c r="A26" s="281" t="s">
        <v>224</v>
      </c>
      <c r="B26" s="281"/>
      <c r="C26" s="98" t="s">
        <v>294</v>
      </c>
      <c r="D26" s="333" t="s">
        <v>243</v>
      </c>
      <c r="E26" s="333"/>
      <c r="F26" s="101">
        <v>4.8000000000000001E-2</v>
      </c>
      <c r="G26" s="101">
        <v>2.3E-2</v>
      </c>
    </row>
    <row r="27" spans="1:7" s="15" customFormat="1" ht="23.25" customHeight="1" x14ac:dyDescent="0.2">
      <c r="A27" s="281" t="s">
        <v>225</v>
      </c>
      <c r="B27" s="281"/>
      <c r="C27" s="98" t="s">
        <v>294</v>
      </c>
      <c r="D27" s="333" t="s">
        <v>243</v>
      </c>
      <c r="E27" s="333"/>
      <c r="F27" s="101">
        <v>1.0999999999999999E-2</v>
      </c>
      <c r="G27" s="101">
        <v>1.2999999999999999E-2</v>
      </c>
    </row>
    <row r="28" spans="1:7" s="15" customFormat="1" ht="23.25" customHeight="1" x14ac:dyDescent="0.2">
      <c r="A28" s="281" t="s">
        <v>226</v>
      </c>
      <c r="B28" s="281"/>
      <c r="C28" s="98" t="s">
        <v>294</v>
      </c>
      <c r="D28" s="333" t="s">
        <v>243</v>
      </c>
      <c r="E28" s="333"/>
      <c r="F28" s="101">
        <v>1.0999999999999999E-2</v>
      </c>
      <c r="G28" s="101">
        <v>1.2E-2</v>
      </c>
    </row>
    <row r="29" spans="1:7" s="15" customFormat="1" ht="23.25" customHeight="1" x14ac:dyDescent="0.2">
      <c r="A29" s="281" t="s">
        <v>227</v>
      </c>
      <c r="B29" s="281"/>
      <c r="C29" s="98" t="s">
        <v>294</v>
      </c>
      <c r="D29" s="333" t="s">
        <v>243</v>
      </c>
      <c r="E29" s="333"/>
      <c r="F29" s="101">
        <v>6.4000000000000001E-2</v>
      </c>
      <c r="G29" s="101">
        <v>4.0000000000000001E-3</v>
      </c>
    </row>
    <row r="30" spans="1:7" s="15" customFormat="1" ht="23.25" customHeight="1" x14ac:dyDescent="0.2">
      <c r="A30" s="281" t="s">
        <v>228</v>
      </c>
      <c r="B30" s="281"/>
      <c r="C30" s="98" t="s">
        <v>294</v>
      </c>
      <c r="D30" s="333" t="s">
        <v>243</v>
      </c>
      <c r="E30" s="333"/>
      <c r="F30" s="101">
        <v>2.4E-2</v>
      </c>
      <c r="G30" s="101">
        <v>1.0999999999999999E-2</v>
      </c>
    </row>
    <row r="31" spans="1:7" s="15" customFormat="1" ht="23.25" customHeight="1" x14ac:dyDescent="0.2">
      <c r="A31" s="281" t="s">
        <v>229</v>
      </c>
      <c r="B31" s="281"/>
      <c r="C31" s="98" t="s">
        <v>294</v>
      </c>
      <c r="D31" s="333" t="s">
        <v>243</v>
      </c>
      <c r="E31" s="333"/>
      <c r="F31" s="101">
        <v>1E-3</v>
      </c>
      <c r="G31" s="101">
        <v>1E-3</v>
      </c>
    </row>
    <row r="32" spans="1:7" s="15" customFormat="1" ht="23.25" customHeight="1" x14ac:dyDescent="0.2">
      <c r="A32" s="281" t="s">
        <v>230</v>
      </c>
      <c r="B32" s="281"/>
      <c r="C32" s="98" t="s">
        <v>294</v>
      </c>
      <c r="D32" s="333" t="s">
        <v>243</v>
      </c>
      <c r="E32" s="333"/>
      <c r="F32" s="101">
        <v>5.8000000000000003E-2</v>
      </c>
      <c r="G32" s="101">
        <v>6.3E-2</v>
      </c>
    </row>
    <row r="33" spans="1:7" s="15" customFormat="1" ht="23.25" customHeight="1" x14ac:dyDescent="0.2">
      <c r="A33" s="281" t="s">
        <v>231</v>
      </c>
      <c r="B33" s="281"/>
      <c r="C33" s="98" t="s">
        <v>294</v>
      </c>
      <c r="D33" s="333" t="s">
        <v>243</v>
      </c>
      <c r="E33" s="333"/>
      <c r="F33" s="101">
        <v>1.2999999999999999E-2</v>
      </c>
      <c r="G33" s="101">
        <v>1.2999999999999999E-3</v>
      </c>
    </row>
    <row r="34" spans="1:7" s="15" customFormat="1" ht="23.25" customHeight="1" x14ac:dyDescent="0.2">
      <c r="A34" s="281" t="s">
        <v>232</v>
      </c>
      <c r="B34" s="281"/>
      <c r="C34" s="98" t="s">
        <v>294</v>
      </c>
      <c r="D34" s="333" t="s">
        <v>243</v>
      </c>
      <c r="E34" s="333"/>
      <c r="F34" s="101">
        <v>1E-3</v>
      </c>
      <c r="G34" s="101">
        <v>1.2999999999999999E-3</v>
      </c>
    </row>
    <row r="35" spans="1:7" s="15" customFormat="1" ht="23.25" customHeight="1" x14ac:dyDescent="0.2">
      <c r="A35" s="281" t="s">
        <v>233</v>
      </c>
      <c r="B35" s="281"/>
      <c r="C35" s="98" t="s">
        <v>294</v>
      </c>
      <c r="D35" s="333" t="s">
        <v>243</v>
      </c>
      <c r="E35" s="333"/>
      <c r="F35" s="101">
        <v>2E-3</v>
      </c>
      <c r="G35" s="101">
        <v>1.2999999999999999E-3</v>
      </c>
    </row>
    <row r="36" spans="1:7" s="15" customFormat="1" ht="23.25" customHeight="1" x14ac:dyDescent="0.2">
      <c r="A36" s="281" t="s">
        <v>234</v>
      </c>
      <c r="B36" s="281"/>
      <c r="C36" s="98" t="s">
        <v>294</v>
      </c>
      <c r="D36" s="333" t="s">
        <v>243</v>
      </c>
      <c r="E36" s="333"/>
      <c r="F36" s="101">
        <v>0.66</v>
      </c>
      <c r="G36" s="101">
        <v>0.66</v>
      </c>
    </row>
    <row r="37" spans="1:7" s="15" customFormat="1" ht="23.25" customHeight="1" x14ac:dyDescent="0.2">
      <c r="A37" s="281" t="s">
        <v>235</v>
      </c>
      <c r="B37" s="281"/>
      <c r="C37" s="98" t="s">
        <v>294</v>
      </c>
      <c r="D37" s="333" t="s">
        <v>243</v>
      </c>
      <c r="E37" s="333"/>
      <c r="F37" s="101">
        <v>4.3999999999999997E-2</v>
      </c>
      <c r="G37" s="101">
        <v>4.5999999999999999E-3</v>
      </c>
    </row>
    <row r="38" spans="1:7" s="15" customFormat="1" ht="23.25" customHeight="1" x14ac:dyDescent="0.2">
      <c r="A38" s="281" t="s">
        <v>236</v>
      </c>
      <c r="B38" s="281"/>
      <c r="C38" s="98" t="s">
        <v>294</v>
      </c>
      <c r="D38" s="333" t="s">
        <v>243</v>
      </c>
      <c r="E38" s="333"/>
      <c r="F38" s="101">
        <v>1.5</v>
      </c>
      <c r="G38" s="101">
        <v>1.1000000000000001</v>
      </c>
    </row>
    <row r="39" spans="1:7" x14ac:dyDescent="0.2">
      <c r="A39" s="282" t="s">
        <v>208</v>
      </c>
      <c r="B39" s="282"/>
      <c r="C39" s="282"/>
      <c r="D39" s="282"/>
      <c r="E39" s="282"/>
      <c r="F39" s="282"/>
      <c r="G39" s="282"/>
    </row>
    <row r="40" spans="1:7" x14ac:dyDescent="0.2">
      <c r="A40" s="373" t="s">
        <v>434</v>
      </c>
      <c r="B40" s="373"/>
      <c r="C40" s="373"/>
      <c r="D40" s="373"/>
      <c r="E40" s="373"/>
      <c r="F40" s="373"/>
      <c r="G40" s="373"/>
    </row>
    <row r="41" spans="1:7" x14ac:dyDescent="0.2">
      <c r="A41" s="373"/>
      <c r="B41" s="373"/>
      <c r="C41" s="373"/>
      <c r="D41" s="373"/>
      <c r="E41" s="373"/>
      <c r="F41" s="373"/>
      <c r="G41" s="373"/>
    </row>
    <row r="64" spans="6:6" x14ac:dyDescent="0.2">
      <c r="F64" s="3"/>
    </row>
  </sheetData>
  <mergeCells count="64">
    <mergeCell ref="J6:M9"/>
    <mergeCell ref="J10:M12"/>
    <mergeCell ref="A9:G9"/>
    <mergeCell ref="A6:G7"/>
    <mergeCell ref="A12:B12"/>
    <mergeCell ref="A13:B13"/>
    <mergeCell ref="D12:E12"/>
    <mergeCell ref="D13:E13"/>
    <mergeCell ref="A10:B11"/>
    <mergeCell ref="F10:G10"/>
    <mergeCell ref="D10:E11"/>
    <mergeCell ref="C10:C11"/>
    <mergeCell ref="A17:B17"/>
    <mergeCell ref="A18:B18"/>
    <mergeCell ref="A19:B19"/>
    <mergeCell ref="A14:B14"/>
    <mergeCell ref="A15:B15"/>
    <mergeCell ref="A16:B16"/>
    <mergeCell ref="A40:G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G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69E60-BB04-4B56-9472-E9010E94F26A}">
  <dimension ref="A1:H29"/>
  <sheetViews>
    <sheetView workbookViewId="0">
      <selection sqref="A1:B1"/>
    </sheetView>
  </sheetViews>
  <sheetFormatPr defaultRowHeight="15" x14ac:dyDescent="0.25"/>
  <cols>
    <col min="5" max="5" width="15.42578125" bestFit="1" customWidth="1"/>
    <col min="8" max="8" width="15.42578125" bestFit="1" customWidth="1"/>
  </cols>
  <sheetData>
    <row r="1" spans="1:8" x14ac:dyDescent="0.25">
      <c r="A1" s="281" t="s">
        <v>426</v>
      </c>
      <c r="B1" s="281"/>
      <c r="C1" t="s">
        <v>427</v>
      </c>
      <c r="D1" t="s">
        <v>428</v>
      </c>
      <c r="E1" t="s">
        <v>431</v>
      </c>
      <c r="F1" t="s">
        <v>429</v>
      </c>
      <c r="G1" t="s">
        <v>430</v>
      </c>
      <c r="H1" t="s">
        <v>432</v>
      </c>
    </row>
    <row r="2" spans="1:8" x14ac:dyDescent="0.25">
      <c r="A2" s="281" t="s">
        <v>143</v>
      </c>
      <c r="B2" s="281"/>
      <c r="C2">
        <v>0.14000000000000001</v>
      </c>
      <c r="D2">
        <v>2.9000000000000001E-2</v>
      </c>
      <c r="E2">
        <f>AVERAGE(C2:D2)</f>
        <v>8.4500000000000006E-2</v>
      </c>
      <c r="F2">
        <v>0.06</v>
      </c>
      <c r="G2">
        <v>3.5000000000000003E-2</v>
      </c>
      <c r="H2">
        <f>AVERAGE(F2:G2)</f>
        <v>4.7500000000000001E-2</v>
      </c>
    </row>
    <row r="3" spans="1:8" ht="27" customHeight="1" x14ac:dyDescent="0.25">
      <c r="A3" s="281" t="s">
        <v>211</v>
      </c>
      <c r="B3" s="281"/>
      <c r="C3">
        <v>6.7000000000000002E-4</v>
      </c>
      <c r="D3">
        <v>7.6000000000000004E-4</v>
      </c>
      <c r="E3">
        <f t="shared" ref="E3:E12" si="0">AVERAGE(C3:D3)</f>
        <v>7.1500000000000003E-4</v>
      </c>
      <c r="F3">
        <v>5.2999999999999998E-4</v>
      </c>
      <c r="G3">
        <v>7.5000000000000002E-4</v>
      </c>
      <c r="H3">
        <f t="shared" ref="H3:H12" si="1">AVERAGE(F3:G3)</f>
        <v>6.3999999999999994E-4</v>
      </c>
    </row>
    <row r="4" spans="1:8" ht="27" customHeight="1" x14ac:dyDescent="0.25">
      <c r="A4" s="281" t="s">
        <v>212</v>
      </c>
      <c r="B4" s="281"/>
      <c r="C4">
        <v>2.4000000000000001E-4</v>
      </c>
      <c r="D4">
        <v>1.9E-3</v>
      </c>
      <c r="E4">
        <f t="shared" si="0"/>
        <v>1.07E-3</v>
      </c>
      <c r="F4">
        <v>1.4E-3</v>
      </c>
      <c r="G4">
        <v>1.5E-3</v>
      </c>
      <c r="H4">
        <f t="shared" si="1"/>
        <v>1.4499999999999999E-3</v>
      </c>
    </row>
    <row r="5" spans="1:8" ht="36.75" customHeight="1" x14ac:dyDescent="0.25">
      <c r="A5" s="281" t="s">
        <v>213</v>
      </c>
      <c r="B5" s="281"/>
      <c r="C5">
        <v>7.0999999999999994E-2</v>
      </c>
      <c r="D5">
        <v>0.24</v>
      </c>
      <c r="E5">
        <f t="shared" si="0"/>
        <v>0.1555</v>
      </c>
      <c r="F5">
        <v>0.06</v>
      </c>
      <c r="G5">
        <v>8.8999999999999996E-2</v>
      </c>
      <c r="H5">
        <f t="shared" si="1"/>
        <v>7.4499999999999997E-2</v>
      </c>
    </row>
    <row r="6" spans="1:8" ht="27" customHeight="1" x14ac:dyDescent="0.25">
      <c r="A6" s="281" t="s">
        <v>214</v>
      </c>
      <c r="B6" s="281"/>
      <c r="C6">
        <v>1.9E-2</v>
      </c>
      <c r="D6">
        <v>3.4000000000000002E-2</v>
      </c>
      <c r="E6">
        <f t="shared" si="0"/>
        <v>2.6500000000000003E-2</v>
      </c>
      <c r="F6">
        <v>1.4999999999999999E-2</v>
      </c>
      <c r="G6">
        <v>1.7000000000000001E-2</v>
      </c>
      <c r="H6">
        <f t="shared" si="1"/>
        <v>1.6E-2</v>
      </c>
    </row>
    <row r="7" spans="1:8" ht="27" customHeight="1" x14ac:dyDescent="0.25">
      <c r="A7" s="281" t="s">
        <v>215</v>
      </c>
      <c r="B7" s="281"/>
      <c r="C7">
        <v>1.5E-3</v>
      </c>
      <c r="D7">
        <v>2.3319999999999999E-3</v>
      </c>
      <c r="E7">
        <f t="shared" si="0"/>
        <v>1.916E-3</v>
      </c>
      <c r="F7">
        <v>8.0999999999999996E-4</v>
      </c>
      <c r="G7">
        <v>2E-3</v>
      </c>
      <c r="H7">
        <f t="shared" si="1"/>
        <v>1.405E-3</v>
      </c>
    </row>
    <row r="8" spans="1:8" ht="27" customHeight="1" x14ac:dyDescent="0.25">
      <c r="A8" s="281" t="s">
        <v>216</v>
      </c>
      <c r="B8" s="281"/>
      <c r="C8">
        <v>7.1000000000000005E-5</v>
      </c>
      <c r="D8">
        <v>1.1E-4</v>
      </c>
      <c r="E8">
        <f t="shared" si="0"/>
        <v>9.0500000000000004E-5</v>
      </c>
      <c r="F8">
        <v>3.4999999999999997E-5</v>
      </c>
      <c r="G8">
        <v>9.1000000000000003E-5</v>
      </c>
      <c r="H8">
        <f t="shared" si="1"/>
        <v>6.3E-5</v>
      </c>
    </row>
    <row r="9" spans="1:8" ht="27" customHeight="1" x14ac:dyDescent="0.25">
      <c r="A9" s="281" t="s">
        <v>217</v>
      </c>
      <c r="B9" s="281"/>
      <c r="C9">
        <v>2.5000000000000001E-3</v>
      </c>
      <c r="D9">
        <v>5.0270000000000002E-3</v>
      </c>
      <c r="E9">
        <f t="shared" si="0"/>
        <v>3.7635000000000004E-3</v>
      </c>
      <c r="F9">
        <v>1.2999999999999999E-3</v>
      </c>
      <c r="G9">
        <v>3.2000000000000002E-3</v>
      </c>
      <c r="H9">
        <f t="shared" si="1"/>
        <v>2.2500000000000003E-3</v>
      </c>
    </row>
    <row r="10" spans="1:8" ht="37.5" customHeight="1" x14ac:dyDescent="0.25">
      <c r="A10" s="281" t="s">
        <v>218</v>
      </c>
      <c r="B10" s="281"/>
      <c r="C10">
        <v>1.9E-2</v>
      </c>
      <c r="D10">
        <v>3.4000000000000002E-2</v>
      </c>
      <c r="E10">
        <f t="shared" si="0"/>
        <v>2.6500000000000003E-2</v>
      </c>
      <c r="F10">
        <v>1.4E-2</v>
      </c>
      <c r="G10">
        <v>1.6E-2</v>
      </c>
      <c r="H10">
        <f t="shared" si="1"/>
        <v>1.4999999999999999E-2</v>
      </c>
    </row>
    <row r="11" spans="1:8" ht="27" customHeight="1" x14ac:dyDescent="0.25">
      <c r="A11" s="281" t="s">
        <v>219</v>
      </c>
      <c r="B11" s="281"/>
      <c r="C11">
        <v>0.02</v>
      </c>
      <c r="D11">
        <v>3.5999999999999997E-2</v>
      </c>
      <c r="E11">
        <f t="shared" si="0"/>
        <v>2.7999999999999997E-2</v>
      </c>
      <c r="F11">
        <v>1.4999999999999999E-2</v>
      </c>
      <c r="G11">
        <v>1.7999999999999999E-2</v>
      </c>
      <c r="H11">
        <f t="shared" si="1"/>
        <v>1.6500000000000001E-2</v>
      </c>
    </row>
    <row r="12" spans="1:8" ht="27" customHeight="1" x14ac:dyDescent="0.25">
      <c r="A12" s="281" t="s">
        <v>220</v>
      </c>
      <c r="B12" s="281"/>
      <c r="C12">
        <v>3.3000000000000002E-2</v>
      </c>
      <c r="D12">
        <v>5.3999999999999999E-2</v>
      </c>
      <c r="E12">
        <f t="shared" si="0"/>
        <v>4.3499999999999997E-2</v>
      </c>
      <c r="F12">
        <v>2.1000000000000001E-2</v>
      </c>
      <c r="G12">
        <v>2.9000000000000001E-2</v>
      </c>
      <c r="H12">
        <f t="shared" si="1"/>
        <v>2.5000000000000001E-2</v>
      </c>
    </row>
    <row r="13" spans="1:8" ht="27" customHeight="1" x14ac:dyDescent="0.25">
      <c r="A13" s="281" t="s">
        <v>221</v>
      </c>
      <c r="B13" s="281"/>
      <c r="C13">
        <v>1.6000000000000001E-3</v>
      </c>
      <c r="E13">
        <f>C13</f>
        <v>1.6000000000000001E-3</v>
      </c>
      <c r="F13">
        <v>1.2999999999999999E-3</v>
      </c>
      <c r="H13">
        <f>F13</f>
        <v>1.2999999999999999E-3</v>
      </c>
    </row>
    <row r="14" spans="1:8" ht="27" customHeight="1" x14ac:dyDescent="0.25">
      <c r="A14" s="281" t="s">
        <v>222</v>
      </c>
      <c r="B14" s="281"/>
      <c r="C14">
        <v>4.2999999999999997E-2</v>
      </c>
      <c r="E14">
        <f t="shared" ref="E14:E28" si="2">C14</f>
        <v>4.2999999999999997E-2</v>
      </c>
      <c r="F14">
        <v>5.5E-2</v>
      </c>
      <c r="H14">
        <f t="shared" ref="H14:H28" si="3">F14</f>
        <v>5.5E-2</v>
      </c>
    </row>
    <row r="15" spans="1:8" ht="27" customHeight="1" x14ac:dyDescent="0.25">
      <c r="A15" s="281" t="s">
        <v>223</v>
      </c>
      <c r="B15" s="281"/>
      <c r="C15">
        <v>4.2000000000000003E-2</v>
      </c>
      <c r="E15">
        <f t="shared" si="2"/>
        <v>4.2000000000000003E-2</v>
      </c>
      <c r="F15">
        <v>1.0999999999999999E-2</v>
      </c>
      <c r="H15">
        <f t="shared" si="3"/>
        <v>1.0999999999999999E-2</v>
      </c>
    </row>
    <row r="16" spans="1:8" ht="27" customHeight="1" x14ac:dyDescent="0.25">
      <c r="A16" s="281" t="s">
        <v>224</v>
      </c>
      <c r="B16" s="281"/>
      <c r="C16">
        <v>4.8000000000000001E-2</v>
      </c>
      <c r="E16">
        <f t="shared" si="2"/>
        <v>4.8000000000000001E-2</v>
      </c>
      <c r="F16">
        <v>2.3E-2</v>
      </c>
      <c r="H16">
        <f t="shared" si="3"/>
        <v>2.3E-2</v>
      </c>
    </row>
    <row r="17" spans="1:8" ht="27" customHeight="1" x14ac:dyDescent="0.25">
      <c r="A17" s="281" t="s">
        <v>225</v>
      </c>
      <c r="B17" s="281"/>
      <c r="C17">
        <v>1.0999999999999999E-2</v>
      </c>
      <c r="E17">
        <f t="shared" si="2"/>
        <v>1.0999999999999999E-2</v>
      </c>
      <c r="F17">
        <v>1.2999999999999999E-2</v>
      </c>
      <c r="H17">
        <f t="shared" si="3"/>
        <v>1.2999999999999999E-2</v>
      </c>
    </row>
    <row r="18" spans="1:8" ht="27" customHeight="1" x14ac:dyDescent="0.25">
      <c r="A18" s="281" t="s">
        <v>226</v>
      </c>
      <c r="B18" s="281"/>
      <c r="C18">
        <v>1.0999999999999999E-2</v>
      </c>
      <c r="E18">
        <f t="shared" si="2"/>
        <v>1.0999999999999999E-2</v>
      </c>
      <c r="F18">
        <v>1.2E-2</v>
      </c>
      <c r="H18">
        <f t="shared" si="3"/>
        <v>1.2E-2</v>
      </c>
    </row>
    <row r="19" spans="1:8" ht="27" customHeight="1" x14ac:dyDescent="0.25">
      <c r="A19" s="281" t="s">
        <v>227</v>
      </c>
      <c r="B19" s="281"/>
      <c r="C19">
        <v>6.4000000000000001E-2</v>
      </c>
      <c r="E19">
        <f t="shared" si="2"/>
        <v>6.4000000000000001E-2</v>
      </c>
      <c r="F19">
        <v>4.0000000000000001E-3</v>
      </c>
      <c r="H19">
        <f t="shared" si="3"/>
        <v>4.0000000000000001E-3</v>
      </c>
    </row>
    <row r="20" spans="1:8" ht="27" customHeight="1" x14ac:dyDescent="0.25">
      <c r="A20" s="281" t="s">
        <v>228</v>
      </c>
      <c r="B20" s="281"/>
      <c r="C20">
        <v>2.4E-2</v>
      </c>
      <c r="E20">
        <f t="shared" si="2"/>
        <v>2.4E-2</v>
      </c>
      <c r="F20">
        <v>1.0999999999999999E-2</v>
      </c>
      <c r="H20">
        <f t="shared" si="3"/>
        <v>1.0999999999999999E-2</v>
      </c>
    </row>
    <row r="21" spans="1:8" x14ac:dyDescent="0.25">
      <c r="A21" s="281" t="s">
        <v>229</v>
      </c>
      <c r="B21" s="281"/>
      <c r="C21">
        <v>1E-3</v>
      </c>
      <c r="E21">
        <f t="shared" si="2"/>
        <v>1E-3</v>
      </c>
      <c r="F21">
        <v>1E-3</v>
      </c>
      <c r="H21">
        <f t="shared" si="3"/>
        <v>1E-3</v>
      </c>
    </row>
    <row r="22" spans="1:8" x14ac:dyDescent="0.25">
      <c r="A22" s="281" t="s">
        <v>230</v>
      </c>
      <c r="B22" s="281"/>
      <c r="C22">
        <v>5.8000000000000003E-2</v>
      </c>
      <c r="E22">
        <f t="shared" si="2"/>
        <v>5.8000000000000003E-2</v>
      </c>
      <c r="F22">
        <v>6.3E-2</v>
      </c>
      <c r="H22">
        <f t="shared" si="3"/>
        <v>6.3E-2</v>
      </c>
    </row>
    <row r="23" spans="1:8" ht="27" customHeight="1" x14ac:dyDescent="0.25">
      <c r="A23" s="281" t="s">
        <v>231</v>
      </c>
      <c r="B23" s="281"/>
      <c r="C23">
        <v>1.2999999999999999E-2</v>
      </c>
      <c r="E23">
        <f t="shared" si="2"/>
        <v>1.2999999999999999E-2</v>
      </c>
      <c r="F23">
        <v>1.2999999999999999E-3</v>
      </c>
      <c r="H23">
        <f t="shared" si="3"/>
        <v>1.2999999999999999E-3</v>
      </c>
    </row>
    <row r="24" spans="1:8" ht="27" customHeight="1" x14ac:dyDescent="0.25">
      <c r="A24" s="281" t="s">
        <v>232</v>
      </c>
      <c r="B24" s="281"/>
      <c r="C24">
        <v>1E-3</v>
      </c>
      <c r="E24">
        <f t="shared" si="2"/>
        <v>1E-3</v>
      </c>
      <c r="F24">
        <v>1.2999999999999999E-3</v>
      </c>
      <c r="H24">
        <f t="shared" si="3"/>
        <v>1.2999999999999999E-3</v>
      </c>
    </row>
    <row r="25" spans="1:8" ht="27" customHeight="1" x14ac:dyDescent="0.25">
      <c r="A25" s="281" t="s">
        <v>233</v>
      </c>
      <c r="B25" s="281"/>
      <c r="C25">
        <v>2E-3</v>
      </c>
      <c r="E25">
        <f t="shared" si="2"/>
        <v>2E-3</v>
      </c>
      <c r="F25">
        <v>1.2999999999999999E-3</v>
      </c>
      <c r="H25">
        <f t="shared" si="3"/>
        <v>1.2999999999999999E-3</v>
      </c>
    </row>
    <row r="26" spans="1:8" ht="27" customHeight="1" x14ac:dyDescent="0.25">
      <c r="A26" s="281" t="s">
        <v>234</v>
      </c>
      <c r="B26" s="281"/>
      <c r="C26">
        <v>0.66</v>
      </c>
      <c r="E26">
        <f t="shared" si="2"/>
        <v>0.66</v>
      </c>
      <c r="F26">
        <v>0.66</v>
      </c>
      <c r="H26">
        <f t="shared" si="3"/>
        <v>0.66</v>
      </c>
    </row>
    <row r="27" spans="1:8" ht="27" customHeight="1" x14ac:dyDescent="0.25">
      <c r="A27" s="281" t="s">
        <v>235</v>
      </c>
      <c r="B27" s="281"/>
      <c r="C27">
        <v>4.3999999999999997E-2</v>
      </c>
      <c r="E27">
        <f t="shared" si="2"/>
        <v>4.3999999999999997E-2</v>
      </c>
      <c r="F27">
        <v>4.5999999999999999E-3</v>
      </c>
      <c r="H27">
        <f t="shared" si="3"/>
        <v>4.5999999999999999E-3</v>
      </c>
    </row>
    <row r="28" spans="1:8" ht="27" customHeight="1" x14ac:dyDescent="0.25">
      <c r="A28" s="281" t="s">
        <v>236</v>
      </c>
      <c r="B28" s="281"/>
      <c r="C28">
        <v>1.5</v>
      </c>
      <c r="E28">
        <f t="shared" si="2"/>
        <v>1.5</v>
      </c>
      <c r="F28">
        <v>1.1000000000000001</v>
      </c>
      <c r="H28">
        <f t="shared" si="3"/>
        <v>1.1000000000000001</v>
      </c>
    </row>
    <row r="29" spans="1:8" ht="27" customHeight="1" x14ac:dyDescent="0.25"/>
  </sheetData>
  <mergeCells count="28">
    <mergeCell ref="A13:B13"/>
    <mergeCell ref="A2:B2"/>
    <mergeCell ref="A3:B3"/>
    <mergeCell ref="A4:B4"/>
    <mergeCell ref="A5:B5"/>
    <mergeCell ref="A6:B6"/>
    <mergeCell ref="A7:B7"/>
    <mergeCell ref="A8:B8"/>
    <mergeCell ref="A9:B9"/>
    <mergeCell ref="A10:B10"/>
    <mergeCell ref="A11:B11"/>
    <mergeCell ref="A12:B12"/>
    <mergeCell ref="A26:B26"/>
    <mergeCell ref="A27:B27"/>
    <mergeCell ref="A28:B28"/>
    <mergeCell ref="A1:B1"/>
    <mergeCell ref="A20:B20"/>
    <mergeCell ref="A21:B21"/>
    <mergeCell ref="A22:B22"/>
    <mergeCell ref="A23:B23"/>
    <mergeCell ref="A24:B24"/>
    <mergeCell ref="A25:B25"/>
    <mergeCell ref="A14:B14"/>
    <mergeCell ref="A15:B15"/>
    <mergeCell ref="A16:B16"/>
    <mergeCell ref="A17:B17"/>
    <mergeCell ref="A18:B18"/>
    <mergeCell ref="A19:B19"/>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O24"/>
  <sheetViews>
    <sheetView zoomScale="130" zoomScaleNormal="130" workbookViewId="0">
      <selection activeCell="K58" sqref="K58"/>
    </sheetView>
  </sheetViews>
  <sheetFormatPr defaultColWidth="8.85546875" defaultRowHeight="15" x14ac:dyDescent="0.2"/>
  <cols>
    <col min="1" max="1" width="23.42578125" style="149" customWidth="1"/>
    <col min="2" max="3" width="19.85546875" style="149" customWidth="1"/>
    <col min="4" max="14" width="8.85546875" style="149"/>
    <col min="15" max="15" width="9" style="149" customWidth="1"/>
    <col min="16" max="16384" width="8.85546875" style="149"/>
  </cols>
  <sheetData>
    <row r="1" spans="1:15" x14ac:dyDescent="0.2">
      <c r="A1" s="2" t="str">
        <f>+'Cover Page'!$B$29</f>
        <v>Annual Performance Report 2022</v>
      </c>
      <c r="B1" s="2"/>
      <c r="C1" s="2" t="str">
        <f>+'Cover Page'!$B$33</f>
        <v>enfinium Ferrybridge 1 Ltd</v>
      </c>
      <c r="D1" s="2"/>
      <c r="F1" s="2"/>
      <c r="G1" s="2"/>
    </row>
    <row r="2" spans="1:15" ht="9.9499999999999993" customHeight="1" x14ac:dyDescent="0.2"/>
    <row r="3" spans="1:15" ht="15.75" x14ac:dyDescent="0.25">
      <c r="A3" s="1" t="s">
        <v>374</v>
      </c>
      <c r="E3" s="129" t="s">
        <v>297</v>
      </c>
    </row>
    <row r="4" spans="1:15" ht="9.6" customHeight="1" x14ac:dyDescent="0.2"/>
    <row r="5" spans="1:15" x14ac:dyDescent="0.2">
      <c r="A5" s="388" t="s">
        <v>364</v>
      </c>
      <c r="B5" s="389"/>
      <c r="C5" s="389"/>
    </row>
    <row r="6" spans="1:15" ht="45" x14ac:dyDescent="0.2">
      <c r="A6" s="150" t="s">
        <v>365</v>
      </c>
      <c r="B6" s="155">
        <v>619054</v>
      </c>
      <c r="C6" s="154"/>
    </row>
    <row r="7" spans="1:15" ht="60" x14ac:dyDescent="0.2">
      <c r="A7" s="150" t="s">
        <v>366</v>
      </c>
      <c r="B7" s="185">
        <f>B6/'Operational Data'!G18</f>
        <v>0.99651635875304279</v>
      </c>
      <c r="C7" s="154">
        <v>1.01</v>
      </c>
    </row>
    <row r="8" spans="1:15" ht="60" x14ac:dyDescent="0.2">
      <c r="A8" s="150" t="s">
        <v>376</v>
      </c>
      <c r="B8" s="185" cm="1">
        <f t="array" ref="B8:C8">B6/'Energy Form 1'!D12:E12</f>
        <v>1.092403446752801</v>
      </c>
      <c r="C8" s="154" t="e">
        <v>#DIV/0!</v>
      </c>
    </row>
    <row r="9" spans="1:15" ht="89.45" customHeight="1" x14ac:dyDescent="0.25">
      <c r="A9" s="150" t="s">
        <v>367</v>
      </c>
      <c r="B9" s="390" t="s">
        <v>457</v>
      </c>
      <c r="C9" s="391"/>
      <c r="E9" s="397" t="s">
        <v>384</v>
      </c>
      <c r="F9" s="396"/>
      <c r="G9" s="396"/>
      <c r="H9" s="396"/>
      <c r="I9" s="396"/>
      <c r="J9" s="396"/>
      <c r="K9" s="396"/>
      <c r="L9" s="396"/>
      <c r="M9" s="396"/>
      <c r="N9" s="396"/>
      <c r="O9" s="396"/>
    </row>
    <row r="10" spans="1:15" ht="8.4499999999999993" customHeight="1" x14ac:dyDescent="0.2">
      <c r="A10" s="151"/>
      <c r="B10" s="152"/>
      <c r="C10" s="152"/>
    </row>
    <row r="11" spans="1:15" x14ac:dyDescent="0.2">
      <c r="A11" s="392" t="s">
        <v>368</v>
      </c>
      <c r="B11" s="389"/>
      <c r="C11" s="389"/>
    </row>
    <row r="12" spans="1:15" ht="33.6" customHeight="1" x14ac:dyDescent="0.2">
      <c r="A12" s="150" t="s">
        <v>377</v>
      </c>
      <c r="B12" s="155">
        <v>0.08</v>
      </c>
      <c r="C12" s="154"/>
    </row>
    <row r="13" spans="1:15" ht="101.45" customHeight="1" x14ac:dyDescent="0.25">
      <c r="A13" s="150" t="s">
        <v>369</v>
      </c>
      <c r="B13" s="393" t="s">
        <v>458</v>
      </c>
      <c r="C13" s="394"/>
      <c r="E13" s="395" t="s">
        <v>385</v>
      </c>
      <c r="F13" s="396"/>
      <c r="G13" s="396"/>
      <c r="H13" s="396"/>
      <c r="I13" s="396"/>
      <c r="J13" s="396"/>
      <c r="K13" s="396"/>
      <c r="L13" s="396"/>
      <c r="M13" s="396"/>
      <c r="N13" s="396"/>
      <c r="O13" s="396"/>
    </row>
    <row r="14" spans="1:15" ht="58.5" customHeight="1" x14ac:dyDescent="0.2">
      <c r="A14" s="150" t="s">
        <v>378</v>
      </c>
      <c r="B14" s="156">
        <v>619078</v>
      </c>
      <c r="C14" s="154"/>
    </row>
    <row r="15" spans="1:15" ht="2.25" customHeight="1" x14ac:dyDescent="0.2">
      <c r="A15" s="151"/>
      <c r="B15" s="152"/>
      <c r="C15" s="152"/>
    </row>
    <row r="16" spans="1:15" ht="51.75" customHeight="1" x14ac:dyDescent="0.2">
      <c r="A16" s="388" t="s">
        <v>370</v>
      </c>
      <c r="B16" s="389"/>
      <c r="C16" s="389"/>
    </row>
    <row r="17" spans="1:15" ht="49.35" customHeight="1" x14ac:dyDescent="0.2">
      <c r="A17" s="150" t="s">
        <v>379</v>
      </c>
      <c r="B17" s="187">
        <v>0.44180000000000003</v>
      </c>
      <c r="C17" s="154"/>
    </row>
    <row r="18" spans="1:15" ht="103.35" customHeight="1" x14ac:dyDescent="0.25">
      <c r="A18" s="150" t="s">
        <v>380</v>
      </c>
      <c r="B18" s="393" t="s">
        <v>457</v>
      </c>
      <c r="C18" s="394"/>
      <c r="E18" s="395" t="s">
        <v>386</v>
      </c>
      <c r="F18" s="396"/>
      <c r="G18" s="396"/>
      <c r="H18" s="396"/>
      <c r="I18" s="396"/>
      <c r="J18" s="396"/>
      <c r="K18" s="396"/>
      <c r="L18" s="396"/>
      <c r="M18" s="396"/>
      <c r="N18" s="396"/>
      <c r="O18" s="396"/>
    </row>
    <row r="19" spans="1:15" ht="33.950000000000003" customHeight="1" x14ac:dyDescent="0.2">
      <c r="A19" s="150" t="s">
        <v>371</v>
      </c>
      <c r="B19" s="187">
        <f>B17</f>
        <v>0.44180000000000003</v>
      </c>
      <c r="C19" s="154"/>
    </row>
    <row r="20" spans="1:15" ht="92.45" customHeight="1" x14ac:dyDescent="0.25">
      <c r="A20" s="150" t="s">
        <v>372</v>
      </c>
      <c r="B20" s="393" t="s">
        <v>459</v>
      </c>
      <c r="C20" s="394"/>
      <c r="E20" s="395" t="s">
        <v>387</v>
      </c>
      <c r="F20" s="396"/>
      <c r="G20" s="396"/>
      <c r="H20" s="396"/>
      <c r="I20" s="396"/>
      <c r="J20" s="396"/>
      <c r="K20" s="396"/>
      <c r="L20" s="396"/>
      <c r="M20" s="396"/>
      <c r="N20" s="396"/>
      <c r="O20" s="396"/>
    </row>
    <row r="21" spans="1:15" ht="9.9499999999999993" customHeight="1" x14ac:dyDescent="0.2"/>
    <row r="22" spans="1:15" x14ac:dyDescent="0.2">
      <c r="A22" s="149" t="s">
        <v>373</v>
      </c>
    </row>
    <row r="23" spans="1:15" x14ac:dyDescent="0.2">
      <c r="A23" s="328"/>
      <c r="B23" s="328"/>
      <c r="C23" s="328"/>
    </row>
    <row r="24" spans="1:15" ht="64.7" customHeight="1" x14ac:dyDescent="0.2">
      <c r="A24" s="328"/>
      <c r="B24" s="328"/>
      <c r="C24" s="328"/>
    </row>
  </sheetData>
  <mergeCells count="12">
    <mergeCell ref="E20:O20"/>
    <mergeCell ref="E18:O18"/>
    <mergeCell ref="E13:O13"/>
    <mergeCell ref="E9:O9"/>
    <mergeCell ref="B20:C20"/>
    <mergeCell ref="A23:C24"/>
    <mergeCell ref="A5:C5"/>
    <mergeCell ref="B9:C9"/>
    <mergeCell ref="A11:C11"/>
    <mergeCell ref="B13:C13"/>
    <mergeCell ref="A16:C16"/>
    <mergeCell ref="B18:C18"/>
  </mergeCell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workbookViewId="0">
      <selection activeCell="K58" sqref="K58"/>
    </sheetView>
  </sheetViews>
  <sheetFormatPr defaultColWidth="9.42578125" defaultRowHeight="15" x14ac:dyDescent="0.2"/>
  <cols>
    <col min="1" max="1" width="9.42578125" style="2" customWidth="1"/>
    <col min="2" max="2" width="14.5703125" style="2" bestFit="1" customWidth="1"/>
    <col min="3" max="3" width="9.42578125" style="2"/>
    <col min="4" max="4" width="17.5703125" style="2" customWidth="1"/>
    <col min="5" max="5" width="9.42578125" style="2" customWidth="1"/>
    <col min="6" max="6" width="21.5703125" style="2" customWidth="1"/>
    <col min="7" max="7" width="10.42578125" style="2" customWidth="1"/>
    <col min="8" max="16384" width="9.42578125" style="2"/>
  </cols>
  <sheetData>
    <row r="1" spans="1:7" x14ac:dyDescent="0.2">
      <c r="A1" s="2" t="str">
        <f>+'Cover Page'!$B$29</f>
        <v>Annual Performance Report 2022</v>
      </c>
      <c r="E1" s="2" t="str">
        <f>+'Cover Page'!$B$33</f>
        <v>enfinium Ferrybridge 1 Ltd</v>
      </c>
    </row>
    <row r="3" spans="1:7" ht="15.75" x14ac:dyDescent="0.25">
      <c r="A3" s="1" t="s">
        <v>200</v>
      </c>
    </row>
    <row r="4" spans="1:7" ht="15.75" x14ac:dyDescent="0.25">
      <c r="A4" s="1"/>
    </row>
    <row r="5" spans="1:7" s="3" customFormat="1" ht="21.75" customHeight="1" x14ac:dyDescent="0.2">
      <c r="A5" s="85" t="s">
        <v>193</v>
      </c>
      <c r="B5" s="86"/>
      <c r="C5" s="86"/>
      <c r="D5" s="86"/>
      <c r="E5" s="86"/>
      <c r="F5" s="86"/>
      <c r="G5" s="87"/>
    </row>
    <row r="6" spans="1:7" s="3" customFormat="1" ht="21" customHeight="1" x14ac:dyDescent="0.2">
      <c r="A6" s="244" t="s">
        <v>466</v>
      </c>
      <c r="B6" s="245"/>
      <c r="C6" s="245"/>
      <c r="D6" s="245"/>
      <c r="E6" s="245"/>
      <c r="F6" s="245"/>
      <c r="G6" s="246"/>
    </row>
    <row r="7" spans="1:7" s="3" customFormat="1" ht="21" customHeight="1" x14ac:dyDescent="0.2">
      <c r="A7" s="250"/>
      <c r="B7" s="251"/>
      <c r="C7" s="251"/>
      <c r="D7" s="251"/>
      <c r="E7" s="251"/>
      <c r="F7" s="251"/>
      <c r="G7" s="252"/>
    </row>
    <row r="8" spans="1:7" s="3" customFormat="1" ht="15.75" customHeight="1" x14ac:dyDescent="0.2">
      <c r="A8" s="407"/>
      <c r="B8" s="245"/>
      <c r="C8" s="245"/>
      <c r="D8" s="245"/>
      <c r="E8" s="245"/>
      <c r="F8" s="245"/>
      <c r="G8" s="246"/>
    </row>
    <row r="9" spans="1:7" s="3" customFormat="1" ht="15.75" customHeight="1" x14ac:dyDescent="0.2">
      <c r="A9" s="250"/>
      <c r="B9" s="251"/>
      <c r="C9" s="251"/>
      <c r="D9" s="251"/>
      <c r="E9" s="251"/>
      <c r="F9" s="251"/>
      <c r="G9" s="252"/>
    </row>
    <row r="10" spans="1:7" s="3" customFormat="1" ht="15.75" customHeight="1" x14ac:dyDescent="0.2">
      <c r="A10" s="407"/>
      <c r="B10" s="245"/>
      <c r="C10" s="245"/>
      <c r="D10" s="245"/>
      <c r="E10" s="245"/>
      <c r="F10" s="245"/>
      <c r="G10" s="246"/>
    </row>
    <row r="11" spans="1:7" s="3" customFormat="1" ht="15.75" customHeight="1" x14ac:dyDescent="0.2">
      <c r="A11" s="250"/>
      <c r="B11" s="251"/>
      <c r="C11" s="251"/>
      <c r="D11" s="251"/>
      <c r="E11" s="251"/>
      <c r="F11" s="251"/>
      <c r="G11" s="252"/>
    </row>
    <row r="12" spans="1:7" s="3" customFormat="1" ht="14.25" x14ac:dyDescent="0.2"/>
    <row r="13" spans="1:7" s="84" customFormat="1" ht="33.75" customHeight="1" x14ac:dyDescent="0.25">
      <c r="A13" s="336" t="s">
        <v>194</v>
      </c>
      <c r="B13" s="337"/>
      <c r="C13" s="337"/>
      <c r="D13" s="337"/>
      <c r="E13" s="337"/>
      <c r="F13" s="337"/>
      <c r="G13" s="338"/>
    </row>
    <row r="14" spans="1:7" ht="15.75" customHeight="1" x14ac:dyDescent="0.2">
      <c r="A14" s="339" t="s">
        <v>201</v>
      </c>
      <c r="B14" s="341"/>
      <c r="C14" s="339" t="s">
        <v>157</v>
      </c>
      <c r="D14" s="340"/>
      <c r="E14" s="340"/>
      <c r="F14" s="340"/>
      <c r="G14" s="340"/>
    </row>
    <row r="15" spans="1:7" ht="21.75" customHeight="1" x14ac:dyDescent="0.2">
      <c r="A15" s="244" t="s">
        <v>467</v>
      </c>
      <c r="B15" s="246"/>
      <c r="C15" s="244" t="s">
        <v>468</v>
      </c>
      <c r="D15" s="245"/>
      <c r="E15" s="245"/>
      <c r="F15" s="245"/>
      <c r="G15" s="246"/>
    </row>
    <row r="16" spans="1:7" ht="21.75" customHeight="1" x14ac:dyDescent="0.2">
      <c r="A16" s="250"/>
      <c r="B16" s="252"/>
      <c r="C16" s="250"/>
      <c r="D16" s="251"/>
      <c r="E16" s="251"/>
      <c r="F16" s="251"/>
      <c r="G16" s="252"/>
    </row>
    <row r="17" spans="1:11" ht="15.75" customHeight="1" x14ac:dyDescent="0.2">
      <c r="A17" s="342"/>
      <c r="B17" s="254"/>
      <c r="C17" s="342"/>
      <c r="D17" s="253"/>
      <c r="E17" s="253"/>
      <c r="F17" s="253"/>
      <c r="G17" s="254"/>
    </row>
    <row r="18" spans="1:11" ht="15.75" customHeight="1" x14ac:dyDescent="0.2">
      <c r="A18" s="258"/>
      <c r="B18" s="260"/>
      <c r="C18" s="258"/>
      <c r="D18" s="259"/>
      <c r="E18" s="259"/>
      <c r="F18" s="259"/>
      <c r="G18" s="260"/>
    </row>
    <row r="19" spans="1:11" ht="15.75" customHeight="1" x14ac:dyDescent="0.2">
      <c r="A19" s="342"/>
      <c r="B19" s="254"/>
      <c r="C19" s="342"/>
      <c r="D19" s="253"/>
      <c r="E19" s="253"/>
      <c r="F19" s="253"/>
      <c r="G19" s="254"/>
    </row>
    <row r="20" spans="1:11" ht="15.75" customHeight="1" x14ac:dyDescent="0.2">
      <c r="A20" s="258"/>
      <c r="B20" s="260"/>
      <c r="C20" s="258"/>
      <c r="D20" s="259"/>
      <c r="E20" s="259"/>
      <c r="F20" s="259"/>
      <c r="G20" s="260"/>
    </row>
    <row r="21" spans="1:11" ht="15.75" customHeight="1" x14ac:dyDescent="0.2">
      <c r="A21" s="342"/>
      <c r="B21" s="254"/>
      <c r="C21" s="342"/>
      <c r="D21" s="253"/>
      <c r="E21" s="253"/>
      <c r="F21" s="253"/>
      <c r="G21" s="254"/>
    </row>
    <row r="22" spans="1:11" ht="15.75" customHeight="1" x14ac:dyDescent="0.2">
      <c r="A22" s="258"/>
      <c r="B22" s="260"/>
      <c r="C22" s="258"/>
      <c r="D22" s="259"/>
      <c r="E22" s="259"/>
      <c r="F22" s="259"/>
      <c r="G22" s="260"/>
    </row>
    <row r="23" spans="1:11" ht="15.75" customHeight="1" x14ac:dyDescent="0.2">
      <c r="A23" s="342"/>
      <c r="B23" s="254"/>
      <c r="C23" s="342"/>
      <c r="D23" s="253"/>
      <c r="E23" s="253"/>
      <c r="F23" s="253"/>
      <c r="G23" s="254"/>
    </row>
    <row r="24" spans="1:11" ht="15.75" customHeight="1" x14ac:dyDescent="0.2">
      <c r="A24" s="258"/>
      <c r="B24" s="260"/>
      <c r="C24" s="258"/>
      <c r="D24" s="259"/>
      <c r="E24" s="259"/>
      <c r="F24" s="259"/>
      <c r="G24" s="260"/>
    </row>
    <row r="26" spans="1:11" x14ac:dyDescent="0.2">
      <c r="A26" s="15"/>
      <c r="B26" s="15"/>
      <c r="C26" s="15"/>
      <c r="D26" s="15"/>
      <c r="E26" s="15"/>
      <c r="F26" s="15"/>
      <c r="G26" s="15"/>
    </row>
    <row r="27" spans="1:11" s="103" customFormat="1" ht="16.5" customHeight="1" x14ac:dyDescent="0.2">
      <c r="A27" s="387" t="s">
        <v>207</v>
      </c>
      <c r="B27" s="387"/>
      <c r="C27" s="387"/>
      <c r="D27" s="387"/>
      <c r="E27" s="387"/>
      <c r="F27" s="387"/>
      <c r="G27" s="387"/>
    </row>
    <row r="28" spans="1:11" s="15" customFormat="1" ht="17.25" customHeight="1" x14ac:dyDescent="0.2">
      <c r="A28" s="398" t="s">
        <v>205</v>
      </c>
      <c r="B28" s="398"/>
      <c r="C28" s="349" t="s">
        <v>196</v>
      </c>
      <c r="D28" s="349" t="s">
        <v>202</v>
      </c>
      <c r="E28" s="349"/>
      <c r="F28" s="349"/>
      <c r="G28" s="349"/>
    </row>
    <row r="29" spans="1:11" s="15" customFormat="1" ht="17.25" customHeight="1" x14ac:dyDescent="0.2">
      <c r="A29" s="398"/>
      <c r="B29" s="398"/>
      <c r="C29" s="349"/>
      <c r="D29" s="349" t="s">
        <v>203</v>
      </c>
      <c r="E29" s="349"/>
      <c r="F29" s="349" t="s">
        <v>92</v>
      </c>
      <c r="G29" s="349"/>
    </row>
    <row r="30" spans="1:11" s="72" customFormat="1" ht="38.1" customHeight="1" x14ac:dyDescent="0.2">
      <c r="A30" s="399" t="s">
        <v>340</v>
      </c>
      <c r="B30" s="281"/>
      <c r="C30" s="104" t="s">
        <v>206</v>
      </c>
      <c r="D30" s="401">
        <v>2.0249999999999999</v>
      </c>
      <c r="E30" s="401"/>
      <c r="F30" s="403"/>
      <c r="G30" s="404"/>
      <c r="J30" s="15"/>
      <c r="K30" s="15"/>
    </row>
    <row r="31" spans="1:11" s="72" customFormat="1" ht="38.1" customHeight="1" x14ac:dyDescent="0.2">
      <c r="A31" s="400" t="s">
        <v>361</v>
      </c>
      <c r="B31" s="281"/>
      <c r="C31" s="100" t="s">
        <v>295</v>
      </c>
      <c r="D31" s="402">
        <v>0.52249999999999996</v>
      </c>
      <c r="E31" s="402"/>
      <c r="F31" s="403"/>
      <c r="G31" s="404"/>
      <c r="J31" s="15"/>
      <c r="K31" s="15"/>
    </row>
    <row r="32" spans="1:11" s="72" customFormat="1" ht="38.1" customHeight="1" x14ac:dyDescent="0.2">
      <c r="A32" s="281" t="s">
        <v>296</v>
      </c>
      <c r="B32" s="281"/>
      <c r="C32" s="100" t="s">
        <v>204</v>
      </c>
      <c r="D32" s="331">
        <v>4</v>
      </c>
      <c r="E32" s="331"/>
      <c r="F32" s="405">
        <v>4</v>
      </c>
      <c r="G32" s="406"/>
      <c r="J32" s="15"/>
      <c r="K32" s="15"/>
    </row>
    <row r="33" spans="1:7" s="72" customFormat="1" ht="38.1" customHeight="1" x14ac:dyDescent="0.25">
      <c r="A33" s="399" t="s">
        <v>337</v>
      </c>
      <c r="B33" s="281"/>
      <c r="C33" s="100" t="s">
        <v>204</v>
      </c>
      <c r="D33" s="331">
        <v>0</v>
      </c>
      <c r="E33" s="331"/>
      <c r="F33" s="403"/>
      <c r="G33" s="404"/>
    </row>
    <row r="35" spans="1:7" x14ac:dyDescent="0.2">
      <c r="A35" s="282" t="s">
        <v>208</v>
      </c>
      <c r="B35" s="282"/>
      <c r="C35" s="282"/>
      <c r="D35" s="282"/>
      <c r="E35" s="282"/>
      <c r="F35" s="282"/>
      <c r="G35" s="282"/>
    </row>
    <row r="36" spans="1:7" x14ac:dyDescent="0.2">
      <c r="A36" s="373"/>
      <c r="B36" s="373"/>
      <c r="C36" s="373"/>
      <c r="D36" s="373"/>
      <c r="E36" s="373"/>
      <c r="F36" s="373"/>
      <c r="G36" s="373"/>
    </row>
    <row r="37" spans="1:7" x14ac:dyDescent="0.2">
      <c r="A37" s="373"/>
      <c r="B37" s="373"/>
      <c r="C37" s="373"/>
      <c r="D37" s="373"/>
      <c r="E37" s="373"/>
      <c r="F37" s="373"/>
      <c r="G37" s="373"/>
    </row>
    <row r="38" spans="1:7" x14ac:dyDescent="0.2">
      <c r="A38" s="373"/>
      <c r="B38" s="373"/>
      <c r="C38" s="373"/>
      <c r="D38" s="373"/>
      <c r="E38" s="373"/>
      <c r="F38" s="373"/>
      <c r="G38" s="373"/>
    </row>
    <row r="39" spans="1:7" x14ac:dyDescent="0.2">
      <c r="A39" s="373"/>
      <c r="B39" s="373"/>
      <c r="C39" s="373"/>
      <c r="D39" s="373"/>
      <c r="E39" s="373"/>
      <c r="F39" s="373"/>
      <c r="G39" s="373"/>
    </row>
    <row r="40" spans="1:7" x14ac:dyDescent="0.2">
      <c r="A40" s="373"/>
      <c r="B40" s="373"/>
      <c r="C40" s="373"/>
      <c r="D40" s="373"/>
      <c r="E40" s="373"/>
      <c r="F40" s="373"/>
      <c r="G40" s="373"/>
    </row>
    <row r="41" spans="1:7" x14ac:dyDescent="0.2">
      <c r="A41" s="373"/>
      <c r="B41" s="373"/>
      <c r="C41" s="373"/>
      <c r="D41" s="373"/>
      <c r="E41" s="373"/>
      <c r="F41" s="373"/>
      <c r="G41" s="373"/>
    </row>
    <row r="56" spans="6:6" x14ac:dyDescent="0.2">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66"/>
  <sheetViews>
    <sheetView workbookViewId="0">
      <selection activeCell="K58" sqref="K58"/>
    </sheetView>
  </sheetViews>
  <sheetFormatPr defaultColWidth="9.42578125" defaultRowHeight="15" x14ac:dyDescent="0.2"/>
  <cols>
    <col min="1" max="1" width="9.42578125" style="2" customWidth="1"/>
    <col min="2" max="2" width="14.5703125" style="2" bestFit="1" customWidth="1"/>
    <col min="3" max="3" width="9.42578125" style="2"/>
    <col min="4" max="5" width="11.28515625" style="2" customWidth="1"/>
    <col min="6" max="8" width="9.42578125" style="2"/>
    <col min="9" max="9" width="11.5703125" style="2" customWidth="1"/>
    <col min="10" max="16384" width="9.42578125" style="2"/>
  </cols>
  <sheetData>
    <row r="1" spans="1:9" x14ac:dyDescent="0.2">
      <c r="A1" s="2" t="str">
        <f>+'Cover Page'!$B$29</f>
        <v>Annual Performance Report 2022</v>
      </c>
      <c r="E1" s="2" t="str">
        <f>+'Cover Page'!$B$33</f>
        <v>enfinium Ferrybridge 1 Ltd</v>
      </c>
    </row>
    <row r="3" spans="1:9" ht="15.75" x14ac:dyDescent="0.25">
      <c r="A3" s="1" t="s">
        <v>192</v>
      </c>
    </row>
    <row r="4" spans="1:9" ht="15.75" x14ac:dyDescent="0.25">
      <c r="A4" s="1"/>
    </row>
    <row r="5" spans="1:9" s="3" customFormat="1" ht="21.75" customHeight="1" x14ac:dyDescent="0.2">
      <c r="A5" s="85" t="s">
        <v>193</v>
      </c>
      <c r="B5" s="86"/>
      <c r="C5" s="86"/>
      <c r="D5" s="86"/>
      <c r="E5" s="86"/>
      <c r="F5" s="86"/>
      <c r="G5" s="86"/>
      <c r="H5" s="86"/>
      <c r="I5" s="87"/>
    </row>
    <row r="6" spans="1:9" s="3" customFormat="1" ht="15.75" customHeight="1" x14ac:dyDescent="0.2">
      <c r="A6" s="244" t="s">
        <v>460</v>
      </c>
      <c r="B6" s="424"/>
      <c r="C6" s="424"/>
      <c r="D6" s="424"/>
      <c r="E6" s="424"/>
      <c r="F6" s="424"/>
      <c r="G6" s="424"/>
      <c r="H6" s="424"/>
      <c r="I6" s="365"/>
    </row>
    <row r="7" spans="1:9" s="3" customFormat="1" ht="15.75" customHeight="1" x14ac:dyDescent="0.2">
      <c r="A7" s="366"/>
      <c r="B7" s="425"/>
      <c r="C7" s="425"/>
      <c r="D7" s="425"/>
      <c r="E7" s="425"/>
      <c r="F7" s="425"/>
      <c r="G7" s="425"/>
      <c r="H7" s="425"/>
      <c r="I7" s="367"/>
    </row>
    <row r="8" spans="1:9" s="3" customFormat="1" ht="15.75" customHeight="1" x14ac:dyDescent="0.2">
      <c r="A8" s="407"/>
      <c r="B8" s="245"/>
      <c r="C8" s="245"/>
      <c r="D8" s="245"/>
      <c r="E8" s="245"/>
      <c r="F8" s="245"/>
      <c r="G8" s="245"/>
      <c r="H8" s="245"/>
      <c r="I8" s="246"/>
    </row>
    <row r="9" spans="1:9" s="3" customFormat="1" ht="15.75" customHeight="1" x14ac:dyDescent="0.2">
      <c r="A9" s="250"/>
      <c r="B9" s="251"/>
      <c r="C9" s="251"/>
      <c r="D9" s="251"/>
      <c r="E9" s="251"/>
      <c r="F9" s="251"/>
      <c r="G9" s="251"/>
      <c r="H9" s="251"/>
      <c r="I9" s="252"/>
    </row>
    <row r="10" spans="1:9" s="3" customFormat="1" ht="15.75" customHeight="1" x14ac:dyDescent="0.2">
      <c r="A10" s="407"/>
      <c r="B10" s="245"/>
      <c r="C10" s="245"/>
      <c r="D10" s="245"/>
      <c r="E10" s="245"/>
      <c r="F10" s="245"/>
      <c r="G10" s="245"/>
      <c r="H10" s="245"/>
      <c r="I10" s="246"/>
    </row>
    <row r="11" spans="1:9" s="3" customFormat="1" ht="15.75" customHeight="1" x14ac:dyDescent="0.2">
      <c r="A11" s="250"/>
      <c r="B11" s="251"/>
      <c r="C11" s="251"/>
      <c r="D11" s="251"/>
      <c r="E11" s="251"/>
      <c r="F11" s="251"/>
      <c r="G11" s="251"/>
      <c r="H11" s="251"/>
      <c r="I11" s="252"/>
    </row>
    <row r="12" spans="1:9" s="3" customFormat="1" ht="14.25" x14ac:dyDescent="0.2"/>
    <row r="13" spans="1:9" s="84" customFormat="1" ht="33.75" customHeight="1" x14ac:dyDescent="0.25">
      <c r="A13" s="336" t="s">
        <v>194</v>
      </c>
      <c r="B13" s="337"/>
      <c r="C13" s="337"/>
      <c r="D13" s="337"/>
      <c r="E13" s="337"/>
      <c r="F13" s="337"/>
      <c r="G13" s="337"/>
      <c r="H13" s="337"/>
      <c r="I13" s="338"/>
    </row>
    <row r="14" spans="1:9" ht="15.75" customHeight="1" x14ac:dyDescent="0.2">
      <c r="A14" s="339" t="s">
        <v>201</v>
      </c>
      <c r="B14" s="341"/>
      <c r="C14" s="339" t="s">
        <v>157</v>
      </c>
      <c r="D14" s="340"/>
      <c r="E14" s="340"/>
      <c r="F14" s="340"/>
      <c r="G14" s="340"/>
      <c r="H14" s="340"/>
      <c r="I14" s="340"/>
    </row>
    <row r="15" spans="1:9" ht="15.75" customHeight="1" x14ac:dyDescent="0.2">
      <c r="A15" s="244" t="s">
        <v>453</v>
      </c>
      <c r="B15" s="369"/>
      <c r="C15" s="364" t="s">
        <v>453</v>
      </c>
      <c r="D15" s="424"/>
      <c r="E15" s="424"/>
      <c r="F15" s="424"/>
      <c r="G15" s="424"/>
      <c r="H15" s="424"/>
      <c r="I15" s="365"/>
    </row>
    <row r="16" spans="1:9" ht="15.75" customHeight="1" x14ac:dyDescent="0.2">
      <c r="A16" s="370"/>
      <c r="B16" s="372"/>
      <c r="C16" s="366"/>
      <c r="D16" s="425"/>
      <c r="E16" s="425"/>
      <c r="F16" s="425"/>
      <c r="G16" s="425"/>
      <c r="H16" s="425"/>
      <c r="I16" s="367"/>
    </row>
    <row r="17" spans="1:9" ht="15.75" customHeight="1" x14ac:dyDescent="0.2">
      <c r="A17" s="342"/>
      <c r="B17" s="254"/>
      <c r="C17" s="342"/>
      <c r="D17" s="253"/>
      <c r="E17" s="253"/>
      <c r="F17" s="253"/>
      <c r="G17" s="253"/>
      <c r="H17" s="253"/>
      <c r="I17" s="254"/>
    </row>
    <row r="18" spans="1:9" ht="15.75" customHeight="1" x14ac:dyDescent="0.2">
      <c r="A18" s="258"/>
      <c r="B18" s="260"/>
      <c r="C18" s="258"/>
      <c r="D18" s="259"/>
      <c r="E18" s="259"/>
      <c r="F18" s="259"/>
      <c r="G18" s="259"/>
      <c r="H18" s="259"/>
      <c r="I18" s="260"/>
    </row>
    <row r="19" spans="1:9" ht="15.75" customHeight="1" x14ac:dyDescent="0.2">
      <c r="A19" s="342"/>
      <c r="B19" s="254"/>
      <c r="C19" s="342"/>
      <c r="D19" s="253"/>
      <c r="E19" s="253"/>
      <c r="F19" s="253"/>
      <c r="G19" s="253"/>
      <c r="H19" s="253"/>
      <c r="I19" s="254"/>
    </row>
    <row r="20" spans="1:9" ht="15.75" customHeight="1" x14ac:dyDescent="0.2">
      <c r="A20" s="258"/>
      <c r="B20" s="260"/>
      <c r="C20" s="258"/>
      <c r="D20" s="259"/>
      <c r="E20" s="259"/>
      <c r="F20" s="259"/>
      <c r="G20" s="259"/>
      <c r="H20" s="259"/>
      <c r="I20" s="260"/>
    </row>
    <row r="22" spans="1:9" ht="22.5" customHeight="1" x14ac:dyDescent="0.2">
      <c r="A22" s="417" t="s">
        <v>306</v>
      </c>
      <c r="B22" s="418"/>
      <c r="C22" s="418"/>
      <c r="D22" s="418"/>
      <c r="E22" s="418"/>
      <c r="F22" s="418"/>
      <c r="G22" s="418"/>
      <c r="H22" s="418"/>
      <c r="I22" s="418"/>
    </row>
    <row r="23" spans="1:9" ht="19.5" customHeight="1" x14ac:dyDescent="0.2">
      <c r="A23" s="419" t="s">
        <v>109</v>
      </c>
      <c r="B23" s="420"/>
      <c r="C23" s="421"/>
      <c r="D23" s="422" t="s">
        <v>195</v>
      </c>
      <c r="E23" s="423"/>
      <c r="F23" s="99" t="s">
        <v>196</v>
      </c>
      <c r="G23" s="99" t="s">
        <v>197</v>
      </c>
      <c r="H23" s="99" t="s">
        <v>199</v>
      </c>
      <c r="I23" s="99" t="s">
        <v>198</v>
      </c>
    </row>
    <row r="24" spans="1:9" x14ac:dyDescent="0.2">
      <c r="A24" s="414" t="s">
        <v>461</v>
      </c>
      <c r="B24" s="415"/>
      <c r="C24" s="416"/>
      <c r="D24" s="188" t="s">
        <v>462</v>
      </c>
      <c r="E24" s="189"/>
      <c r="F24" s="186" t="s">
        <v>462</v>
      </c>
      <c r="G24" s="186" t="s">
        <v>462</v>
      </c>
      <c r="H24" s="186" t="s">
        <v>462</v>
      </c>
      <c r="I24" s="186" t="s">
        <v>462</v>
      </c>
    </row>
    <row r="25" spans="1:9" x14ac:dyDescent="0.2">
      <c r="A25" s="411"/>
      <c r="B25" s="412"/>
      <c r="C25" s="413"/>
      <c r="D25" s="409"/>
      <c r="E25" s="410"/>
      <c r="F25" s="101"/>
      <c r="G25" s="101"/>
      <c r="H25" s="101"/>
      <c r="I25" s="101"/>
    </row>
    <row r="26" spans="1:9" x14ac:dyDescent="0.2">
      <c r="A26" s="411"/>
      <c r="B26" s="412"/>
      <c r="C26" s="413"/>
      <c r="D26" s="409"/>
      <c r="E26" s="410"/>
      <c r="F26" s="101"/>
      <c r="G26" s="101"/>
      <c r="H26" s="101"/>
      <c r="I26" s="101"/>
    </row>
    <row r="27" spans="1:9" x14ac:dyDescent="0.2">
      <c r="A27" s="411"/>
      <c r="B27" s="412"/>
      <c r="C27" s="413"/>
      <c r="D27" s="409"/>
      <c r="E27" s="410"/>
      <c r="F27" s="101"/>
      <c r="G27" s="101"/>
      <c r="H27" s="101"/>
      <c r="I27" s="101"/>
    </row>
    <row r="28" spans="1:9" x14ac:dyDescent="0.2">
      <c r="A28" s="411"/>
      <c r="B28" s="412"/>
      <c r="C28" s="413"/>
      <c r="D28" s="409"/>
      <c r="E28" s="410"/>
      <c r="F28" s="101"/>
      <c r="G28" s="101"/>
      <c r="H28" s="101"/>
      <c r="I28" s="101"/>
    </row>
    <row r="29" spans="1:9" x14ac:dyDescent="0.2">
      <c r="A29" s="411"/>
      <c r="B29" s="412"/>
      <c r="C29" s="413"/>
      <c r="D29" s="409"/>
      <c r="E29" s="410"/>
      <c r="F29" s="101"/>
      <c r="G29" s="101"/>
      <c r="H29" s="101"/>
      <c r="I29" s="101"/>
    </row>
    <row r="30" spans="1:9" x14ac:dyDescent="0.2">
      <c r="A30" s="408"/>
      <c r="B30" s="408"/>
      <c r="C30" s="408"/>
      <c r="D30" s="409"/>
      <c r="E30" s="410"/>
      <c r="F30" s="101"/>
      <c r="G30" s="101"/>
      <c r="H30" s="101"/>
      <c r="I30" s="101"/>
    </row>
    <row r="31" spans="1:9" x14ac:dyDescent="0.2">
      <c r="A31" s="15"/>
      <c r="B31" s="15"/>
      <c r="C31" s="15"/>
      <c r="D31" s="15"/>
      <c r="E31" s="15"/>
      <c r="F31" s="15"/>
      <c r="G31" s="15"/>
      <c r="H31" s="15"/>
      <c r="I31" s="15"/>
    </row>
    <row r="32" spans="1:9" x14ac:dyDescent="0.2">
      <c r="A32" s="15"/>
      <c r="B32" s="15"/>
      <c r="C32" s="15"/>
      <c r="D32" s="15"/>
      <c r="E32" s="15"/>
      <c r="F32" s="15"/>
      <c r="G32" s="15"/>
      <c r="H32" s="15"/>
      <c r="I32" s="15"/>
    </row>
    <row r="33" spans="1:9" x14ac:dyDescent="0.2">
      <c r="A33" s="15"/>
      <c r="B33" s="15"/>
      <c r="C33" s="15"/>
      <c r="D33" s="15"/>
      <c r="E33" s="15"/>
      <c r="F33" s="15"/>
      <c r="G33" s="15"/>
      <c r="H33" s="15"/>
      <c r="I33" s="15"/>
    </row>
    <row r="66" spans="5:5" x14ac:dyDescent="0.2">
      <c r="E66" s="3"/>
    </row>
  </sheetData>
  <mergeCells count="28">
    <mergeCell ref="A6:I7"/>
    <mergeCell ref="A8:I9"/>
    <mergeCell ref="A10:I11"/>
    <mergeCell ref="A13:I13"/>
    <mergeCell ref="A14:B14"/>
    <mergeCell ref="C14:I14"/>
    <mergeCell ref="A22:I22"/>
    <mergeCell ref="A23:C23"/>
    <mergeCell ref="D23:E23"/>
    <mergeCell ref="A15:B16"/>
    <mergeCell ref="A17:B18"/>
    <mergeCell ref="C17:I18"/>
    <mergeCell ref="A19:B20"/>
    <mergeCell ref="C19:I20"/>
    <mergeCell ref="C15:I16"/>
    <mergeCell ref="A24:C24"/>
    <mergeCell ref="A25:C25"/>
    <mergeCell ref="D25:E25"/>
    <mergeCell ref="A26:C26"/>
    <mergeCell ref="D26:E26"/>
    <mergeCell ref="A30:C30"/>
    <mergeCell ref="D30:E30"/>
    <mergeCell ref="A27:C27"/>
    <mergeCell ref="D27:E27"/>
    <mergeCell ref="A28:C28"/>
    <mergeCell ref="D28:E28"/>
    <mergeCell ref="A29:C29"/>
    <mergeCell ref="D29:E29"/>
  </mergeCells>
  <pageMargins left="0.7" right="0.7" top="0.75" bottom="0.75" header="0.3" footer="0.3"/>
  <pageSetup paperSize="9" scale="87" orientation="portrait" r:id="rId1"/>
  <headerFooter scaleWithDoc="0">
    <oddFooter>&amp;C&amp;"Arial,Regular"Page &amp;P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7"/>
  <sheetViews>
    <sheetView workbookViewId="0">
      <selection activeCell="K58" sqref="K58"/>
    </sheetView>
  </sheetViews>
  <sheetFormatPr defaultColWidth="9.42578125" defaultRowHeight="15" x14ac:dyDescent="0.2"/>
  <cols>
    <col min="1" max="1" width="21.42578125" style="2" customWidth="1"/>
    <col min="2" max="2" width="13.5703125" style="2" customWidth="1"/>
    <col min="3" max="3" width="16.42578125" style="2" customWidth="1"/>
    <col min="4" max="7" width="9.85546875" style="2" customWidth="1"/>
    <col min="8" max="12" width="9.42578125" style="2"/>
    <col min="13" max="13" width="10.42578125" style="2" customWidth="1"/>
    <col min="14" max="16384" width="9.42578125" style="2"/>
  </cols>
  <sheetData>
    <row r="1" spans="1:16" x14ac:dyDescent="0.2">
      <c r="A1" s="2" t="str">
        <f>+'Cover Page'!$B$29</f>
        <v>Annual Performance Report 2022</v>
      </c>
      <c r="I1" s="2" t="str">
        <f>+'Cover Page'!$B$33</f>
        <v>enfinium Ferrybridge 1 Ltd</v>
      </c>
    </row>
    <row r="3" spans="1:16" ht="15.75" x14ac:dyDescent="0.25">
      <c r="A3" s="1" t="s">
        <v>247</v>
      </c>
    </row>
    <row r="4" spans="1:16" ht="15.75" x14ac:dyDescent="0.25">
      <c r="A4" s="1"/>
      <c r="P4" s="121" t="s">
        <v>297</v>
      </c>
    </row>
    <row r="5" spans="1:16" s="3" customFormat="1" ht="21.75" customHeight="1" x14ac:dyDescent="0.2">
      <c r="A5" s="85" t="s">
        <v>246</v>
      </c>
      <c r="B5" s="86"/>
      <c r="C5" s="86"/>
      <c r="D5" s="86"/>
      <c r="E5" s="86"/>
      <c r="F5" s="86"/>
      <c r="G5" s="86"/>
      <c r="H5" s="86"/>
      <c r="I5" s="86"/>
      <c r="J5" s="86"/>
      <c r="K5" s="86"/>
      <c r="L5" s="86"/>
      <c r="M5" s="87"/>
      <c r="P5" s="122" t="s">
        <v>298</v>
      </c>
    </row>
    <row r="6" spans="1:16" s="3" customFormat="1" ht="15.75" customHeight="1" x14ac:dyDescent="0.2">
      <c r="A6" s="342"/>
      <c r="B6" s="253"/>
      <c r="C6" s="253"/>
      <c r="D6" s="253"/>
      <c r="E6" s="253"/>
      <c r="F6" s="253"/>
      <c r="G6" s="253"/>
      <c r="H6" s="253"/>
      <c r="I6" s="253"/>
      <c r="J6" s="253"/>
      <c r="K6" s="253"/>
      <c r="L6" s="253"/>
      <c r="M6" s="254"/>
      <c r="P6" s="3" t="s">
        <v>342</v>
      </c>
    </row>
    <row r="7" spans="1:16" s="3" customFormat="1" ht="15.75" customHeight="1" x14ac:dyDescent="0.2">
      <c r="A7" s="258"/>
      <c r="B7" s="259"/>
      <c r="C7" s="259"/>
      <c r="D7" s="259"/>
      <c r="E7" s="259"/>
      <c r="F7" s="259"/>
      <c r="G7" s="259"/>
      <c r="H7" s="259"/>
      <c r="I7" s="259"/>
      <c r="J7" s="259"/>
      <c r="K7" s="259"/>
      <c r="L7" s="259"/>
      <c r="M7" s="260"/>
    </row>
    <row r="8" spans="1:16" s="3" customFormat="1" ht="15.75" customHeight="1" x14ac:dyDescent="0.2">
      <c r="A8" s="407"/>
      <c r="B8" s="245"/>
      <c r="C8" s="245"/>
      <c r="D8" s="245"/>
      <c r="E8" s="245"/>
      <c r="F8" s="245"/>
      <c r="G8" s="245"/>
      <c r="H8" s="245"/>
      <c r="I8" s="245"/>
      <c r="J8" s="245"/>
      <c r="K8" s="245"/>
      <c r="L8" s="245"/>
      <c r="M8" s="246"/>
    </row>
    <row r="9" spans="1:16" s="3" customFormat="1" ht="15.75" customHeight="1" x14ac:dyDescent="0.2">
      <c r="A9" s="250"/>
      <c r="B9" s="251"/>
      <c r="C9" s="251"/>
      <c r="D9" s="251"/>
      <c r="E9" s="251"/>
      <c r="F9" s="251"/>
      <c r="G9" s="251"/>
      <c r="H9" s="251"/>
      <c r="I9" s="251"/>
      <c r="J9" s="251"/>
      <c r="K9" s="251"/>
      <c r="L9" s="251"/>
      <c r="M9" s="252"/>
    </row>
    <row r="10" spans="1:16" s="3" customFormat="1" ht="14.25" x14ac:dyDescent="0.2"/>
    <row r="11" spans="1:16" s="103" customFormat="1" ht="16.5" customHeight="1" x14ac:dyDescent="0.2">
      <c r="A11" s="387" t="s">
        <v>341</v>
      </c>
      <c r="B11" s="387"/>
      <c r="C11" s="387"/>
      <c r="D11" s="387"/>
      <c r="E11" s="387"/>
      <c r="F11" s="387"/>
      <c r="G11" s="387"/>
      <c r="H11" s="387"/>
      <c r="I11" s="387"/>
      <c r="J11" s="387"/>
      <c r="K11" s="387"/>
      <c r="L11" s="387"/>
      <c r="M11" s="387"/>
    </row>
    <row r="12" spans="1:16" s="103" customFormat="1" ht="16.5" customHeight="1" x14ac:dyDescent="0.2">
      <c r="A12" s="430" t="s">
        <v>133</v>
      </c>
      <c r="B12" s="384" t="s">
        <v>263</v>
      </c>
      <c r="C12" s="349" t="s">
        <v>244</v>
      </c>
      <c r="D12" s="350" t="s">
        <v>110</v>
      </c>
      <c r="E12" s="432"/>
      <c r="F12" s="350" t="s">
        <v>111</v>
      </c>
      <c r="G12" s="432"/>
      <c r="H12" s="350" t="s">
        <v>112</v>
      </c>
      <c r="I12" s="432"/>
      <c r="J12" s="350" t="s">
        <v>113</v>
      </c>
      <c r="K12" s="432"/>
      <c r="L12" s="350" t="s">
        <v>114</v>
      </c>
      <c r="M12" s="432"/>
    </row>
    <row r="13" spans="1:16" s="15" customFormat="1" ht="17.25" customHeight="1" x14ac:dyDescent="0.2">
      <c r="A13" s="430"/>
      <c r="B13" s="431"/>
      <c r="C13" s="349"/>
      <c r="D13" s="83" t="s">
        <v>199</v>
      </c>
      <c r="E13" s="105" t="s">
        <v>248</v>
      </c>
      <c r="F13" s="83" t="s">
        <v>199</v>
      </c>
      <c r="G13" s="105" t="s">
        <v>248</v>
      </c>
      <c r="H13" s="83" t="s">
        <v>199</v>
      </c>
      <c r="I13" s="105" t="s">
        <v>248</v>
      </c>
      <c r="J13" s="83" t="s">
        <v>199</v>
      </c>
      <c r="K13" s="105" t="s">
        <v>248</v>
      </c>
      <c r="L13" s="83" t="s">
        <v>199</v>
      </c>
      <c r="M13" s="105" t="s">
        <v>248</v>
      </c>
    </row>
    <row r="14" spans="1:16" s="15" customFormat="1" ht="23.25" customHeight="1" x14ac:dyDescent="0.2">
      <c r="A14" s="281" t="s">
        <v>138</v>
      </c>
      <c r="B14" s="100" t="s">
        <v>249</v>
      </c>
      <c r="C14" s="100" t="s">
        <v>254</v>
      </c>
      <c r="D14" s="178">
        <f>NOx!O19</f>
        <v>190.11</v>
      </c>
      <c r="E14" s="178">
        <f>NOx!N19</f>
        <v>161.65083333333334</v>
      </c>
      <c r="F14" s="178">
        <f>NOx!O34</f>
        <v>185.66</v>
      </c>
      <c r="G14" s="178">
        <f>NOx!N34</f>
        <v>158.72416666666669</v>
      </c>
      <c r="H14" s="101"/>
      <c r="I14" s="101"/>
      <c r="J14" s="101"/>
      <c r="K14" s="101"/>
      <c r="L14" s="101"/>
      <c r="M14" s="101"/>
    </row>
    <row r="15" spans="1:16" s="15" customFormat="1" ht="23.25" customHeight="1" x14ac:dyDescent="0.2">
      <c r="A15" s="281"/>
      <c r="B15" s="100" t="s">
        <v>250</v>
      </c>
      <c r="C15" s="100" t="s">
        <v>255</v>
      </c>
      <c r="D15" s="178">
        <f>NOx!M19</f>
        <v>251.67</v>
      </c>
      <c r="E15" s="178">
        <f>NOx!L19</f>
        <v>161.31416666666667</v>
      </c>
      <c r="F15" s="178">
        <f>NOx!M34</f>
        <v>279.68</v>
      </c>
      <c r="G15" s="178">
        <f>NOx!L34</f>
        <v>158.88416666666669</v>
      </c>
      <c r="H15" s="101"/>
      <c r="I15" s="101"/>
      <c r="J15" s="101"/>
      <c r="K15" s="101"/>
      <c r="L15" s="101"/>
      <c r="M15" s="101"/>
    </row>
    <row r="16" spans="1:16" s="15" customFormat="1" ht="23.25" customHeight="1" x14ac:dyDescent="0.2">
      <c r="A16" s="68" t="s">
        <v>137</v>
      </c>
      <c r="B16" s="71" t="s">
        <v>249</v>
      </c>
      <c r="C16" s="100" t="s">
        <v>256</v>
      </c>
      <c r="D16" s="178">
        <f>Particulates!O19</f>
        <v>6.28</v>
      </c>
      <c r="E16" s="178">
        <f>Particulates!N19</f>
        <v>1.06</v>
      </c>
      <c r="F16" s="178">
        <f>Particulates!O34</f>
        <v>7.62</v>
      </c>
      <c r="G16" s="178">
        <f>Particulates!N34</f>
        <v>1.1308333333333334</v>
      </c>
      <c r="H16" s="101"/>
      <c r="I16" s="101"/>
      <c r="J16" s="101"/>
      <c r="K16" s="101"/>
      <c r="L16" s="101"/>
      <c r="M16" s="101"/>
    </row>
    <row r="17" spans="1:13" s="15" customFormat="1" ht="23.25" customHeight="1" x14ac:dyDescent="0.2">
      <c r="A17" s="68"/>
      <c r="B17" s="100" t="s">
        <v>250</v>
      </c>
      <c r="C17" s="100" t="s">
        <v>257</v>
      </c>
      <c r="D17" s="178">
        <f>Particulates!M19</f>
        <v>106.9</v>
      </c>
      <c r="E17" s="178">
        <f>Particulates!L19</f>
        <v>1.0800000000000003</v>
      </c>
      <c r="F17" s="178">
        <f>Particulates!M34</f>
        <v>40.75</v>
      </c>
      <c r="G17" s="178">
        <f>Particulates!L34</f>
        <v>1.1266666666666667</v>
      </c>
      <c r="H17" s="101"/>
      <c r="I17" s="101"/>
      <c r="J17" s="101"/>
      <c r="K17" s="101"/>
      <c r="L17" s="101"/>
      <c r="M17" s="101"/>
    </row>
    <row r="18" spans="1:13" s="15" customFormat="1" ht="23.25" customHeight="1" x14ac:dyDescent="0.2">
      <c r="A18" s="68" t="s">
        <v>262</v>
      </c>
      <c r="B18" s="100" t="s">
        <v>249</v>
      </c>
      <c r="C18" s="100" t="s">
        <v>258</v>
      </c>
      <c r="D18" s="178">
        <f>TOC!O19</f>
        <v>2.06</v>
      </c>
      <c r="E18" s="178">
        <f>TOC!N19</f>
        <v>0.76916666666666655</v>
      </c>
      <c r="F18" s="178">
        <f>TOC!O34</f>
        <v>1.28</v>
      </c>
      <c r="G18" s="178">
        <f>TOC!N34</f>
        <v>0.6825</v>
      </c>
      <c r="H18" s="101"/>
      <c r="I18" s="101"/>
      <c r="J18" s="101"/>
      <c r="K18" s="101"/>
      <c r="L18" s="101"/>
      <c r="M18" s="101"/>
    </row>
    <row r="19" spans="1:13" s="15" customFormat="1" ht="23.25" customHeight="1" x14ac:dyDescent="0.2">
      <c r="A19" s="68"/>
      <c r="B19" s="100" t="s">
        <v>250</v>
      </c>
      <c r="C19" s="100" t="s">
        <v>259</v>
      </c>
      <c r="D19" s="178">
        <f>TOC!M19</f>
        <v>17.079999999999998</v>
      </c>
      <c r="E19" s="178">
        <f>TOC!L19</f>
        <v>0.76249999999999984</v>
      </c>
      <c r="F19" s="178">
        <f>TOC!M34</f>
        <v>5.13</v>
      </c>
      <c r="G19" s="178">
        <f>TOC!L34</f>
        <v>0.68166666666666664</v>
      </c>
      <c r="H19" s="101"/>
      <c r="I19" s="101"/>
      <c r="J19" s="101"/>
      <c r="K19" s="101"/>
      <c r="L19" s="101"/>
      <c r="M19" s="101"/>
    </row>
    <row r="20" spans="1:13" s="15" customFormat="1" ht="23.25" customHeight="1" x14ac:dyDescent="0.2">
      <c r="A20" s="68" t="s">
        <v>251</v>
      </c>
      <c r="B20" s="100" t="s">
        <v>249</v>
      </c>
      <c r="C20" s="100" t="s">
        <v>258</v>
      </c>
      <c r="D20" s="178">
        <f>HCl!O19</f>
        <v>8.3000000000000007</v>
      </c>
      <c r="E20" s="178">
        <f>HCl!N19</f>
        <v>5.1066666666666665</v>
      </c>
      <c r="F20" s="178">
        <f>HCl!O34</f>
        <v>8.89</v>
      </c>
      <c r="G20" s="178">
        <f>HCl!N34</f>
        <v>5.7725</v>
      </c>
      <c r="H20" s="101"/>
      <c r="I20" s="101"/>
      <c r="J20" s="101"/>
      <c r="K20" s="101"/>
      <c r="L20" s="101"/>
      <c r="M20" s="101"/>
    </row>
    <row r="21" spans="1:13" s="15" customFormat="1" ht="23.25" customHeight="1" x14ac:dyDescent="0.2">
      <c r="A21" s="68"/>
      <c r="B21" s="100" t="s">
        <v>250</v>
      </c>
      <c r="C21" s="100" t="s">
        <v>260</v>
      </c>
      <c r="D21" s="178">
        <f>HCl!M19</f>
        <v>33.64</v>
      </c>
      <c r="E21" s="178">
        <f>HCl!L19</f>
        <v>5.0991666666666662</v>
      </c>
      <c r="F21" s="178">
        <f>HCl!M34</f>
        <v>30.9</v>
      </c>
      <c r="G21" s="178">
        <f>HCl!L34</f>
        <v>5.7233333333333336</v>
      </c>
      <c r="H21" s="101"/>
      <c r="I21" s="101"/>
      <c r="J21" s="101"/>
      <c r="K21" s="101"/>
      <c r="L21" s="101"/>
      <c r="M21" s="101"/>
    </row>
    <row r="22" spans="1:13" s="15" customFormat="1" ht="23.25" customHeight="1" x14ac:dyDescent="0.2">
      <c r="A22" s="68" t="s">
        <v>139</v>
      </c>
      <c r="B22" s="100" t="s">
        <v>249</v>
      </c>
      <c r="C22" s="100" t="s">
        <v>261</v>
      </c>
      <c r="D22" s="178">
        <f>'SO2'!O19</f>
        <v>22.18</v>
      </c>
      <c r="E22" s="178">
        <f>'SO2'!N19</f>
        <v>7.5316666666666663</v>
      </c>
      <c r="F22" s="178">
        <f>'SO2'!O34</f>
        <v>22.69</v>
      </c>
      <c r="G22" s="178">
        <f>'SO2'!N34</f>
        <v>0.96</v>
      </c>
      <c r="H22" s="101"/>
      <c r="I22" s="101"/>
      <c r="J22" s="101"/>
      <c r="K22" s="101"/>
      <c r="L22" s="101"/>
      <c r="M22" s="101"/>
    </row>
    <row r="23" spans="1:13" s="15" customFormat="1" ht="23.25" customHeight="1" x14ac:dyDescent="0.2">
      <c r="A23" s="68"/>
      <c r="B23" s="100" t="s">
        <v>250</v>
      </c>
      <c r="C23" s="100" t="s">
        <v>254</v>
      </c>
      <c r="D23" s="178">
        <f>'SO2'!M19</f>
        <v>69.11</v>
      </c>
      <c r="E23" s="178">
        <f>'SO2'!L19</f>
        <v>7.6374999999999993</v>
      </c>
      <c r="F23" s="178">
        <f>'SO2'!M34</f>
        <v>102.55</v>
      </c>
      <c r="G23" s="178">
        <f>'SO2'!L34</f>
        <v>0.9425</v>
      </c>
      <c r="H23" s="101"/>
      <c r="I23" s="101"/>
      <c r="J23" s="101"/>
      <c r="K23" s="101"/>
      <c r="L23" s="101"/>
      <c r="M23" s="101"/>
    </row>
    <row r="24" spans="1:13" s="15" customFormat="1" ht="23.25" customHeight="1" x14ac:dyDescent="0.2">
      <c r="A24" s="68" t="s">
        <v>185</v>
      </c>
      <c r="B24" s="100" t="s">
        <v>249</v>
      </c>
      <c r="C24" s="100" t="s">
        <v>261</v>
      </c>
      <c r="D24" s="178">
        <f>'CO 95% 10 min'!Q19</f>
        <v>11.7</v>
      </c>
      <c r="E24" s="178">
        <f>'CO 95% 10 min'!P19</f>
        <v>5.6033333333333344</v>
      </c>
      <c r="F24" s="178">
        <f>'CO 95% 10 min'!Q34</f>
        <v>14.22</v>
      </c>
      <c r="G24" s="178">
        <f>'CO 95% 10 min'!P34</f>
        <v>8.0266666666666655</v>
      </c>
      <c r="H24" s="101"/>
      <c r="I24" s="101"/>
      <c r="J24" s="101"/>
      <c r="K24" s="101"/>
      <c r="L24" s="101"/>
      <c r="M24" s="101"/>
    </row>
    <row r="25" spans="1:13" s="15" customFormat="1" ht="23.25" customHeight="1" x14ac:dyDescent="0.2">
      <c r="A25" s="68"/>
      <c r="B25" s="101" t="s">
        <v>326</v>
      </c>
      <c r="C25" s="101" t="s">
        <v>318</v>
      </c>
      <c r="D25" s="178">
        <f>'CO 95% 10 min'!M19</f>
        <v>15.064999999999998</v>
      </c>
      <c r="E25" s="178">
        <f>'CO 95% 10 min'!N19</f>
        <v>5.3166666666666655</v>
      </c>
      <c r="F25" s="178">
        <f>'CO 95% 10 min'!M34</f>
        <v>19.962500000000002</v>
      </c>
      <c r="G25" s="178">
        <f>'CO 95% 10 min'!N34</f>
        <v>0</v>
      </c>
      <c r="H25" s="101"/>
      <c r="I25" s="101"/>
      <c r="J25" s="101"/>
      <c r="K25" s="101"/>
      <c r="L25" s="101"/>
      <c r="M25" s="101"/>
    </row>
    <row r="26" spans="1:13" s="15" customFormat="1" ht="23.25" customHeight="1" x14ac:dyDescent="0.2">
      <c r="A26" s="132" t="s">
        <v>252</v>
      </c>
      <c r="B26" s="133" t="s">
        <v>249</v>
      </c>
      <c r="C26" s="133" t="s">
        <v>253</v>
      </c>
      <c r="D26" s="179">
        <f>'NH3'!O19</f>
        <v>4.3899999999999997</v>
      </c>
      <c r="E26" s="179">
        <f>'NH3'!N19</f>
        <v>0.2583333333333333</v>
      </c>
      <c r="F26" s="179">
        <f>'NH3'!O34</f>
        <v>0.75</v>
      </c>
      <c r="G26" s="179">
        <f>'NH3'!N34</f>
        <v>0.27833333333333332</v>
      </c>
      <c r="H26" s="134"/>
      <c r="I26" s="134"/>
      <c r="J26" s="134"/>
      <c r="K26" s="134"/>
      <c r="L26" s="134"/>
      <c r="M26" s="134"/>
    </row>
    <row r="27" spans="1:13" x14ac:dyDescent="0.2">
      <c r="A27" s="426" t="s">
        <v>319</v>
      </c>
      <c r="B27" s="427"/>
      <c r="C27" s="427"/>
      <c r="D27" s="427"/>
      <c r="E27" s="427"/>
      <c r="F27" s="427"/>
      <c r="G27" s="427"/>
      <c r="H27" s="427"/>
      <c r="I27" s="427"/>
      <c r="J27" s="427"/>
      <c r="K27" s="427"/>
      <c r="L27" s="427"/>
      <c r="M27" s="428"/>
    </row>
    <row r="28" spans="1:13" x14ac:dyDescent="0.2">
      <c r="A28" s="135" t="s">
        <v>208</v>
      </c>
      <c r="B28" s="136"/>
      <c r="C28" s="136"/>
      <c r="D28" s="136"/>
      <c r="E28" s="136"/>
      <c r="F28" s="136"/>
      <c r="G28" s="136"/>
      <c r="H28" s="136"/>
      <c r="I28" s="136"/>
      <c r="J28" s="136"/>
      <c r="K28" s="136"/>
      <c r="L28" s="136"/>
      <c r="M28" s="137"/>
    </row>
    <row r="29" spans="1:13" x14ac:dyDescent="0.2">
      <c r="A29" s="429"/>
      <c r="B29" s="429"/>
      <c r="C29" s="429"/>
      <c r="D29" s="429"/>
      <c r="E29" s="429"/>
      <c r="F29" s="429"/>
      <c r="G29" s="429"/>
      <c r="H29" s="429"/>
      <c r="I29" s="429"/>
      <c r="J29" s="429"/>
      <c r="K29" s="429"/>
      <c r="L29" s="429"/>
      <c r="M29" s="429"/>
    </row>
    <row r="30" spans="1:13" x14ac:dyDescent="0.2">
      <c r="A30" s="373"/>
      <c r="B30" s="373"/>
      <c r="C30" s="373"/>
      <c r="D30" s="373"/>
      <c r="E30" s="373"/>
      <c r="F30" s="373"/>
      <c r="G30" s="373"/>
      <c r="H30" s="373"/>
      <c r="I30" s="373"/>
      <c r="J30" s="373"/>
      <c r="K30" s="373"/>
      <c r="L30" s="373"/>
      <c r="M30" s="373"/>
    </row>
    <row r="67" spans="6:6" x14ac:dyDescent="0.2">
      <c r="F67" s="3"/>
    </row>
  </sheetData>
  <mergeCells count="14">
    <mergeCell ref="A27:M27"/>
    <mergeCell ref="A29:M30"/>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52"/>
  <sheetViews>
    <sheetView workbookViewId="0">
      <selection activeCell="K58" sqref="K58"/>
    </sheetView>
  </sheetViews>
  <sheetFormatPr defaultRowHeight="14.25" x14ac:dyDescent="0.2"/>
  <cols>
    <col min="1" max="1" width="14" style="3" customWidth="1"/>
    <col min="2" max="7" width="17" style="66"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1.5703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 x14ac:dyDescent="0.2">
      <c r="A1" s="2" t="str">
        <f>+'Cover Page'!$B$29</f>
        <v>Annual Performance Report 2022</v>
      </c>
      <c r="B1" s="2"/>
      <c r="C1" s="2"/>
      <c r="D1" s="2"/>
      <c r="E1" s="2" t="str">
        <f>+'Cover Page'!$B$33</f>
        <v>enfinium Ferrybridge 1 Ltd</v>
      </c>
      <c r="F1" s="2"/>
      <c r="G1" s="2"/>
    </row>
    <row r="3" spans="1:19" ht="15" x14ac:dyDescent="0.25">
      <c r="A3" s="108" t="s">
        <v>304</v>
      </c>
      <c r="D3" s="124" t="s">
        <v>302</v>
      </c>
      <c r="G3" s="128" t="s">
        <v>310</v>
      </c>
      <c r="J3" s="11" t="str">
        <f>+A3</f>
        <v>Monitoring of Hydrogen Chloride emissions</v>
      </c>
      <c r="L3" s="11"/>
      <c r="N3" s="11" t="s">
        <v>303</v>
      </c>
      <c r="Q3" s="127" t="s">
        <v>297</v>
      </c>
      <c r="R3" s="122"/>
      <c r="S3" s="122"/>
    </row>
    <row r="4" spans="1:19" ht="14.1" customHeight="1" x14ac:dyDescent="0.2">
      <c r="Q4" s="386" t="s">
        <v>308</v>
      </c>
      <c r="R4" s="386"/>
      <c r="S4" s="386"/>
    </row>
    <row r="5" spans="1:19" ht="17.25" x14ac:dyDescent="0.25">
      <c r="A5" s="115" t="s">
        <v>267</v>
      </c>
      <c r="B5" s="435" t="s">
        <v>265</v>
      </c>
      <c r="C5" s="435"/>
      <c r="D5" s="435"/>
      <c r="E5" s="435" t="s">
        <v>264</v>
      </c>
      <c r="F5" s="435"/>
      <c r="G5" s="435"/>
      <c r="J5" s="434"/>
      <c r="K5" s="434"/>
      <c r="L5" s="434"/>
      <c r="M5" s="434"/>
      <c r="N5" s="434"/>
      <c r="O5" s="434"/>
      <c r="Q5" s="386"/>
      <c r="R5" s="386"/>
      <c r="S5" s="386"/>
    </row>
    <row r="6" spans="1:19" s="106" customFormat="1" ht="37.5" customHeight="1" x14ac:dyDescent="0.25">
      <c r="A6" s="112">
        <f>+'Cover Page'!C39</f>
        <v>2022</v>
      </c>
      <c r="B6" s="102" t="s">
        <v>159</v>
      </c>
      <c r="C6" s="102" t="s">
        <v>160</v>
      </c>
      <c r="D6" s="102" t="s">
        <v>320</v>
      </c>
      <c r="E6" s="102" t="s">
        <v>162</v>
      </c>
      <c r="F6" s="102" t="s">
        <v>163</v>
      </c>
      <c r="G6" s="102" t="s">
        <v>321</v>
      </c>
      <c r="H6" s="107"/>
      <c r="J6" s="109">
        <f>+A6</f>
        <v>2022</v>
      </c>
      <c r="K6" s="109" t="s">
        <v>266</v>
      </c>
      <c r="L6" s="114" t="s">
        <v>160</v>
      </c>
      <c r="M6" s="114" t="s">
        <v>161</v>
      </c>
      <c r="N6" s="114" t="s">
        <v>163</v>
      </c>
      <c r="O6" s="114" t="s">
        <v>164</v>
      </c>
      <c r="Q6" s="386"/>
      <c r="R6" s="386"/>
      <c r="S6" s="386"/>
    </row>
    <row r="7" spans="1:19" ht="14.1" customHeight="1" x14ac:dyDescent="0.2">
      <c r="A7" s="113" t="s">
        <v>165</v>
      </c>
      <c r="B7" s="111">
        <v>60</v>
      </c>
      <c r="C7" s="180">
        <v>4.59</v>
      </c>
      <c r="D7" s="180">
        <v>31.19</v>
      </c>
      <c r="E7" s="111">
        <v>10</v>
      </c>
      <c r="F7" s="180">
        <v>4.59</v>
      </c>
      <c r="G7" s="180">
        <v>5.87</v>
      </c>
      <c r="J7" s="448" t="s">
        <v>110</v>
      </c>
      <c r="K7" s="113" t="s">
        <v>165</v>
      </c>
      <c r="L7" s="182">
        <v>3.98</v>
      </c>
      <c r="M7" s="182">
        <v>31.19</v>
      </c>
      <c r="N7" s="182">
        <v>3.97</v>
      </c>
      <c r="O7" s="182">
        <v>5.83</v>
      </c>
      <c r="Q7" s="386"/>
      <c r="R7" s="386"/>
      <c r="S7" s="386"/>
    </row>
    <row r="8" spans="1:19" x14ac:dyDescent="0.2">
      <c r="A8" s="113" t="s">
        <v>166</v>
      </c>
      <c r="B8" s="111">
        <v>60</v>
      </c>
      <c r="C8" s="180">
        <v>3.85</v>
      </c>
      <c r="D8" s="180">
        <v>9.2200000000000006</v>
      </c>
      <c r="E8" s="111">
        <v>10</v>
      </c>
      <c r="F8" s="180">
        <v>3.93</v>
      </c>
      <c r="G8" s="180">
        <v>6.49</v>
      </c>
      <c r="J8" s="448"/>
      <c r="K8" s="113" t="s">
        <v>166</v>
      </c>
      <c r="L8" s="182">
        <v>3.39</v>
      </c>
      <c r="M8" s="182">
        <v>9.2200000000000006</v>
      </c>
      <c r="N8" s="182">
        <v>3.45</v>
      </c>
      <c r="O8" s="182">
        <v>6.49</v>
      </c>
      <c r="Q8" s="386"/>
      <c r="R8" s="386"/>
      <c r="S8" s="386"/>
    </row>
    <row r="9" spans="1:19" ht="15" x14ac:dyDescent="0.25">
      <c r="A9" s="113" t="s">
        <v>167</v>
      </c>
      <c r="B9" s="111">
        <v>60</v>
      </c>
      <c r="C9" s="180">
        <v>6.08</v>
      </c>
      <c r="D9" s="180">
        <v>28.71</v>
      </c>
      <c r="E9" s="111">
        <v>10</v>
      </c>
      <c r="F9" s="180">
        <v>6.06</v>
      </c>
      <c r="G9" s="180">
        <v>8.3000000000000007</v>
      </c>
      <c r="J9" s="448"/>
      <c r="K9" s="113" t="s">
        <v>167</v>
      </c>
      <c r="L9" s="182">
        <v>6.87</v>
      </c>
      <c r="M9" s="182">
        <v>28.71</v>
      </c>
      <c r="N9" s="182">
        <v>6.84</v>
      </c>
      <c r="O9" s="182">
        <v>8.3000000000000007</v>
      </c>
      <c r="Q9" s="126" t="s">
        <v>309</v>
      </c>
    </row>
    <row r="10" spans="1:19" ht="14.1" customHeight="1" x14ac:dyDescent="0.2">
      <c r="A10" s="113" t="s">
        <v>168</v>
      </c>
      <c r="B10" s="111">
        <v>60</v>
      </c>
      <c r="C10" s="180">
        <v>5.65</v>
      </c>
      <c r="D10" s="180">
        <v>33.64</v>
      </c>
      <c r="E10" s="111">
        <v>10</v>
      </c>
      <c r="F10" s="180">
        <v>5.62</v>
      </c>
      <c r="G10" s="180">
        <v>7.86</v>
      </c>
      <c r="J10" s="448"/>
      <c r="K10" s="113" t="s">
        <v>168</v>
      </c>
      <c r="L10" s="182">
        <v>6.36</v>
      </c>
      <c r="M10" s="182">
        <v>33.64</v>
      </c>
      <c r="N10" s="182">
        <v>6.34</v>
      </c>
      <c r="O10" s="182">
        <v>7.86</v>
      </c>
      <c r="Q10" s="433" t="s">
        <v>327</v>
      </c>
      <c r="R10" s="433"/>
      <c r="S10" s="433"/>
    </row>
    <row r="11" spans="1:19" x14ac:dyDescent="0.2">
      <c r="A11" s="113" t="s">
        <v>169</v>
      </c>
      <c r="B11" s="111">
        <v>60</v>
      </c>
      <c r="C11" s="180">
        <v>6.35</v>
      </c>
      <c r="D11" s="180">
        <v>21.58</v>
      </c>
      <c r="E11" s="111">
        <v>10</v>
      </c>
      <c r="F11" s="180">
        <v>6.35</v>
      </c>
      <c r="G11" s="180">
        <v>8.27</v>
      </c>
      <c r="J11" s="448"/>
      <c r="K11" s="113" t="s">
        <v>169</v>
      </c>
      <c r="L11" s="182">
        <v>6.18</v>
      </c>
      <c r="M11" s="182">
        <v>21.58</v>
      </c>
      <c r="N11" s="182">
        <v>6.18</v>
      </c>
      <c r="O11" s="182">
        <v>7.99</v>
      </c>
      <c r="Q11" s="433"/>
      <c r="R11" s="433"/>
      <c r="S11" s="433"/>
    </row>
    <row r="12" spans="1:19" x14ac:dyDescent="0.2">
      <c r="A12" s="113" t="s">
        <v>170</v>
      </c>
      <c r="B12" s="111">
        <v>60</v>
      </c>
      <c r="C12" s="180">
        <v>5.6</v>
      </c>
      <c r="D12" s="180">
        <v>11.78</v>
      </c>
      <c r="E12" s="111">
        <v>10</v>
      </c>
      <c r="F12" s="180">
        <v>5.61</v>
      </c>
      <c r="G12" s="180">
        <v>8.16</v>
      </c>
      <c r="J12" s="448"/>
      <c r="K12" s="113" t="s">
        <v>170</v>
      </c>
      <c r="L12" s="182">
        <v>5.78</v>
      </c>
      <c r="M12" s="182">
        <v>11.78</v>
      </c>
      <c r="N12" s="182">
        <v>5.8</v>
      </c>
      <c r="O12" s="182">
        <v>8.16</v>
      </c>
      <c r="Q12" s="433"/>
      <c r="R12" s="433"/>
      <c r="S12" s="433"/>
    </row>
    <row r="13" spans="1:19" ht="14.1" customHeight="1" x14ac:dyDescent="0.2">
      <c r="A13" s="113" t="s">
        <v>171</v>
      </c>
      <c r="B13" s="111">
        <v>60</v>
      </c>
      <c r="C13" s="180">
        <v>6.36</v>
      </c>
      <c r="D13" s="180">
        <v>14.02</v>
      </c>
      <c r="E13" s="111">
        <v>10</v>
      </c>
      <c r="F13" s="180">
        <v>6.36</v>
      </c>
      <c r="G13" s="180">
        <v>7.55</v>
      </c>
      <c r="J13" s="448"/>
      <c r="K13" s="113" t="s">
        <v>171</v>
      </c>
      <c r="L13" s="182">
        <v>6.28</v>
      </c>
      <c r="M13" s="182">
        <v>13.21</v>
      </c>
      <c r="N13" s="182">
        <v>6.28</v>
      </c>
      <c r="O13" s="182">
        <v>7.19</v>
      </c>
      <c r="Q13" s="433" t="s">
        <v>333</v>
      </c>
      <c r="R13" s="433"/>
      <c r="S13" s="433"/>
    </row>
    <row r="14" spans="1:19" x14ac:dyDescent="0.2">
      <c r="A14" s="113" t="s">
        <v>172</v>
      </c>
      <c r="B14" s="111">
        <v>60</v>
      </c>
      <c r="C14" s="180">
        <v>6.38</v>
      </c>
      <c r="D14" s="180">
        <v>20.74</v>
      </c>
      <c r="E14" s="111">
        <v>10</v>
      </c>
      <c r="F14" s="180">
        <v>6.41</v>
      </c>
      <c r="G14" s="180">
        <v>8.89</v>
      </c>
      <c r="J14" s="448"/>
      <c r="K14" s="113" t="s">
        <v>172</v>
      </c>
      <c r="L14" s="182">
        <v>5.33</v>
      </c>
      <c r="M14" s="182">
        <v>12.06</v>
      </c>
      <c r="N14" s="182">
        <v>5.39</v>
      </c>
      <c r="O14" s="182">
        <v>6.91</v>
      </c>
      <c r="Q14" s="433"/>
      <c r="R14" s="433"/>
      <c r="S14" s="433"/>
    </row>
    <row r="15" spans="1:19" x14ac:dyDescent="0.2">
      <c r="A15" s="113" t="s">
        <v>173</v>
      </c>
      <c r="B15" s="111">
        <v>60</v>
      </c>
      <c r="C15" s="180">
        <v>5.23</v>
      </c>
      <c r="D15" s="180">
        <v>11.88</v>
      </c>
      <c r="E15" s="111">
        <v>10</v>
      </c>
      <c r="F15" s="180">
        <v>5.27</v>
      </c>
      <c r="G15" s="180">
        <v>7.07</v>
      </c>
      <c r="J15" s="448"/>
      <c r="K15" s="113" t="s">
        <v>173</v>
      </c>
      <c r="L15" s="182">
        <v>4.5199999999999996</v>
      </c>
      <c r="M15" s="182">
        <v>9.43</v>
      </c>
      <c r="N15" s="182">
        <v>4.57</v>
      </c>
      <c r="O15" s="182">
        <v>6.34</v>
      </c>
      <c r="Q15" s="433"/>
      <c r="R15" s="433"/>
      <c r="S15" s="433"/>
    </row>
    <row r="16" spans="1:19" x14ac:dyDescent="0.2">
      <c r="A16" s="113" t="s">
        <v>174</v>
      </c>
      <c r="B16" s="111">
        <v>60</v>
      </c>
      <c r="C16" s="180">
        <v>5.33</v>
      </c>
      <c r="D16" s="180">
        <v>11.06</v>
      </c>
      <c r="E16" s="111">
        <v>10</v>
      </c>
      <c r="F16" s="180">
        <v>5.33</v>
      </c>
      <c r="G16" s="180">
        <v>6.75</v>
      </c>
      <c r="J16" s="448"/>
      <c r="K16" s="113" t="s">
        <v>174</v>
      </c>
      <c r="L16" s="182">
        <v>4.38</v>
      </c>
      <c r="M16" s="182">
        <v>10.77</v>
      </c>
      <c r="N16" s="182">
        <v>4.3499999999999996</v>
      </c>
      <c r="O16" s="182">
        <v>5.83</v>
      </c>
      <c r="Q16" s="433"/>
      <c r="R16" s="433"/>
      <c r="S16" s="433"/>
    </row>
    <row r="17" spans="1:15" x14ac:dyDescent="0.2">
      <c r="A17" s="113" t="s">
        <v>175</v>
      </c>
      <c r="B17" s="111">
        <v>60</v>
      </c>
      <c r="C17" s="180">
        <v>5.52</v>
      </c>
      <c r="D17" s="180">
        <v>15.9</v>
      </c>
      <c r="E17" s="111">
        <v>10</v>
      </c>
      <c r="F17" s="180">
        <v>5.52</v>
      </c>
      <c r="G17" s="180">
        <v>7.63</v>
      </c>
      <c r="J17" s="448"/>
      <c r="K17" s="113" t="s">
        <v>175</v>
      </c>
      <c r="L17" s="182">
        <v>4.71</v>
      </c>
      <c r="M17" s="182">
        <v>15.88</v>
      </c>
      <c r="N17" s="182">
        <v>4.7</v>
      </c>
      <c r="O17" s="182">
        <v>6.75</v>
      </c>
    </row>
    <row r="18" spans="1:15" x14ac:dyDescent="0.2">
      <c r="A18" s="113" t="s">
        <v>176</v>
      </c>
      <c r="B18" s="111">
        <v>60</v>
      </c>
      <c r="C18" s="180">
        <v>4.12</v>
      </c>
      <c r="D18" s="180">
        <v>30.9</v>
      </c>
      <c r="E18" s="111">
        <v>10</v>
      </c>
      <c r="F18" s="180">
        <v>4.22</v>
      </c>
      <c r="G18" s="180">
        <v>8.2100000000000009</v>
      </c>
      <c r="J18" s="448"/>
      <c r="K18" s="113" t="s">
        <v>176</v>
      </c>
      <c r="L18" s="182">
        <v>3.41</v>
      </c>
      <c r="M18" s="182">
        <v>9.2899999999999991</v>
      </c>
      <c r="N18" s="182">
        <v>3.41</v>
      </c>
      <c r="O18" s="182">
        <v>4.6900000000000004</v>
      </c>
    </row>
    <row r="19" spans="1:15" x14ac:dyDescent="0.2">
      <c r="J19" s="448"/>
      <c r="K19" s="110" t="s">
        <v>268</v>
      </c>
      <c r="L19" s="181">
        <f>AVERAGE(L7:L18)</f>
        <v>5.0991666666666662</v>
      </c>
      <c r="M19" s="181">
        <f>MAX(M7:M18)</f>
        <v>33.64</v>
      </c>
      <c r="N19" s="181">
        <f>AVERAGE(N7:N18)</f>
        <v>5.1066666666666665</v>
      </c>
      <c r="O19" s="181">
        <f>MAX(O7:O18)</f>
        <v>8.3000000000000007</v>
      </c>
    </row>
    <row r="21" spans="1:15" ht="30" x14ac:dyDescent="0.2">
      <c r="J21" s="109">
        <f>+A6</f>
        <v>2022</v>
      </c>
      <c r="K21" s="109" t="s">
        <v>266</v>
      </c>
      <c r="L21" s="114" t="s">
        <v>160</v>
      </c>
      <c r="M21" s="114" t="s">
        <v>161</v>
      </c>
      <c r="N21" s="114" t="s">
        <v>163</v>
      </c>
      <c r="O21" s="114" t="s">
        <v>164</v>
      </c>
    </row>
    <row r="22" spans="1:15" x14ac:dyDescent="0.2">
      <c r="J22" s="448" t="s">
        <v>111</v>
      </c>
      <c r="K22" s="113" t="s">
        <v>165</v>
      </c>
      <c r="L22" s="182">
        <v>5.2</v>
      </c>
      <c r="M22" s="182">
        <v>14.46</v>
      </c>
      <c r="N22" s="182">
        <v>5.2</v>
      </c>
      <c r="O22" s="182">
        <v>5.87</v>
      </c>
    </row>
    <row r="23" spans="1:15" x14ac:dyDescent="0.2">
      <c r="J23" s="448"/>
      <c r="K23" s="113" t="s">
        <v>166</v>
      </c>
      <c r="L23" s="182">
        <v>4.3600000000000003</v>
      </c>
      <c r="M23" s="182">
        <v>8.1999999999999993</v>
      </c>
      <c r="N23" s="182">
        <v>4.51</v>
      </c>
      <c r="O23" s="182">
        <v>5.62</v>
      </c>
    </row>
    <row r="24" spans="1:15" x14ac:dyDescent="0.2">
      <c r="J24" s="448"/>
      <c r="K24" s="113" t="s">
        <v>167</v>
      </c>
      <c r="L24" s="182">
        <v>5.3</v>
      </c>
      <c r="M24" s="182">
        <v>12.11</v>
      </c>
      <c r="N24" s="182">
        <v>5.31</v>
      </c>
      <c r="O24" s="182">
        <v>7.34</v>
      </c>
    </row>
    <row r="25" spans="1:15" x14ac:dyDescent="0.2">
      <c r="J25" s="448"/>
      <c r="K25" s="113" t="s">
        <v>168</v>
      </c>
      <c r="L25" s="182">
        <v>5</v>
      </c>
      <c r="M25" s="182">
        <v>12.22</v>
      </c>
      <c r="N25" s="182">
        <v>5</v>
      </c>
      <c r="O25" s="182">
        <v>7.06</v>
      </c>
    </row>
    <row r="26" spans="1:15" x14ac:dyDescent="0.2">
      <c r="J26" s="448"/>
      <c r="K26" s="113" t="s">
        <v>169</v>
      </c>
      <c r="L26" s="182">
        <v>6.52</v>
      </c>
      <c r="M26" s="182">
        <v>12.12</v>
      </c>
      <c r="N26" s="182">
        <v>6.52</v>
      </c>
      <c r="O26" s="182">
        <v>8.27</v>
      </c>
    </row>
    <row r="27" spans="1:15" x14ac:dyDescent="0.2">
      <c r="J27" s="448"/>
      <c r="K27" s="113" t="s">
        <v>170</v>
      </c>
      <c r="L27" s="182">
        <v>5.44</v>
      </c>
      <c r="M27" s="182">
        <v>11.4</v>
      </c>
      <c r="N27" s="182">
        <v>5.44</v>
      </c>
      <c r="O27" s="182">
        <v>7.85</v>
      </c>
    </row>
    <row r="28" spans="1:15" x14ac:dyDescent="0.2">
      <c r="J28" s="448"/>
      <c r="K28" s="113" t="s">
        <v>171</v>
      </c>
      <c r="L28" s="182">
        <v>6.45</v>
      </c>
      <c r="M28" s="182">
        <v>14.02</v>
      </c>
      <c r="N28" s="182">
        <v>6.45</v>
      </c>
      <c r="O28" s="182">
        <v>7.55</v>
      </c>
    </row>
    <row r="29" spans="1:15" x14ac:dyDescent="0.2">
      <c r="J29" s="448"/>
      <c r="K29" s="113" t="s">
        <v>172</v>
      </c>
      <c r="L29" s="182">
        <v>7.18</v>
      </c>
      <c r="M29" s="182">
        <v>20.74</v>
      </c>
      <c r="N29" s="182">
        <v>7.23</v>
      </c>
      <c r="O29" s="182">
        <v>8.89</v>
      </c>
    </row>
    <row r="30" spans="1:15" x14ac:dyDescent="0.2">
      <c r="J30" s="448"/>
      <c r="K30" s="113" t="s">
        <v>173</v>
      </c>
      <c r="L30" s="182">
        <v>5.84</v>
      </c>
      <c r="M30" s="182">
        <v>11.88</v>
      </c>
      <c r="N30" s="182">
        <v>5.84</v>
      </c>
      <c r="O30" s="182">
        <v>7.07</v>
      </c>
    </row>
    <row r="31" spans="1:15" x14ac:dyDescent="0.2">
      <c r="J31" s="448"/>
      <c r="K31" s="113" t="s">
        <v>174</v>
      </c>
      <c r="L31" s="182">
        <v>6.06</v>
      </c>
      <c r="M31" s="182">
        <v>11.06</v>
      </c>
      <c r="N31" s="182">
        <v>6.06</v>
      </c>
      <c r="O31" s="182">
        <v>6.75</v>
      </c>
    </row>
    <row r="32" spans="1:15" x14ac:dyDescent="0.2">
      <c r="J32" s="448"/>
      <c r="K32" s="113" t="s">
        <v>175</v>
      </c>
      <c r="L32" s="182">
        <v>6.18</v>
      </c>
      <c r="M32" s="182">
        <v>15.9</v>
      </c>
      <c r="N32" s="182">
        <v>6.18</v>
      </c>
      <c r="O32" s="182">
        <v>7.63</v>
      </c>
    </row>
    <row r="33" spans="1:15" x14ac:dyDescent="0.2">
      <c r="J33" s="448"/>
      <c r="K33" s="113" t="s">
        <v>176</v>
      </c>
      <c r="L33" s="182">
        <v>5.15</v>
      </c>
      <c r="M33" s="182">
        <v>30.9</v>
      </c>
      <c r="N33" s="182">
        <v>5.53</v>
      </c>
      <c r="O33" s="182">
        <v>8.2100000000000009</v>
      </c>
    </row>
    <row r="34" spans="1:15" x14ac:dyDescent="0.2">
      <c r="J34" s="448"/>
      <c r="K34" s="110" t="s">
        <v>268</v>
      </c>
      <c r="L34" s="181">
        <f>AVERAGE(L22:L33)</f>
        <v>5.7233333333333336</v>
      </c>
      <c r="M34" s="181">
        <f>MAX(M22:M33)</f>
        <v>30.9</v>
      </c>
      <c r="N34" s="181">
        <f>AVERAGE(N22:N33)</f>
        <v>5.7725</v>
      </c>
      <c r="O34" s="181">
        <f>MAX(O22:O33)</f>
        <v>8.89</v>
      </c>
    </row>
    <row r="48" spans="1:15" ht="15" x14ac:dyDescent="0.2">
      <c r="A48" s="445" t="s">
        <v>208</v>
      </c>
      <c r="B48" s="446"/>
      <c r="C48" s="446"/>
      <c r="D48" s="446"/>
      <c r="E48" s="446"/>
      <c r="F48" s="446"/>
      <c r="G48" s="447"/>
    </row>
    <row r="49" spans="1:7" x14ac:dyDescent="0.2">
      <c r="A49" s="436"/>
      <c r="B49" s="437"/>
      <c r="C49" s="437"/>
      <c r="D49" s="437"/>
      <c r="E49" s="437"/>
      <c r="F49" s="437"/>
      <c r="G49" s="438"/>
    </row>
    <row r="50" spans="1:7" x14ac:dyDescent="0.2">
      <c r="A50" s="439"/>
      <c r="B50" s="440"/>
      <c r="C50" s="440"/>
      <c r="D50" s="440"/>
      <c r="E50" s="440"/>
      <c r="F50" s="440"/>
      <c r="G50" s="441"/>
    </row>
    <row r="51" spans="1:7" x14ac:dyDescent="0.2">
      <c r="A51" s="439"/>
      <c r="B51" s="440"/>
      <c r="C51" s="440"/>
      <c r="D51" s="440"/>
      <c r="E51" s="440"/>
      <c r="F51" s="440"/>
      <c r="G51" s="441"/>
    </row>
    <row r="52" spans="1:7" x14ac:dyDescent="0.2">
      <c r="A52" s="442"/>
      <c r="B52" s="443"/>
      <c r="C52" s="443"/>
      <c r="D52" s="443"/>
      <c r="E52" s="443"/>
      <c r="F52" s="443"/>
      <c r="G52" s="444"/>
    </row>
  </sheetData>
  <mergeCells count="10">
    <mergeCell ref="Q13:S16"/>
    <mergeCell ref="J5:O5"/>
    <mergeCell ref="B5:D5"/>
    <mergeCell ref="E5:G5"/>
    <mergeCell ref="A49:G52"/>
    <mergeCell ref="A48:G48"/>
    <mergeCell ref="J7:J19"/>
    <mergeCell ref="J22:J34"/>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52"/>
  <sheetViews>
    <sheetView topLeftCell="A12" workbookViewId="0">
      <selection activeCell="K58" sqref="K58"/>
    </sheetView>
  </sheetViews>
  <sheetFormatPr defaultRowHeight="14.25" x14ac:dyDescent="0.2"/>
  <cols>
    <col min="1" max="1" width="14" style="3" customWidth="1"/>
    <col min="2" max="4" width="17" style="66" customWidth="1"/>
    <col min="5" max="5" width="14.5703125" style="66" customWidth="1"/>
    <col min="6" max="7" width="17" style="66"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2"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 x14ac:dyDescent="0.2">
      <c r="A1" s="2" t="str">
        <f>+'Cover Page'!$B$29</f>
        <v>Annual Performance Report 2022</v>
      </c>
      <c r="B1" s="2"/>
      <c r="C1" s="2"/>
      <c r="D1" s="2"/>
      <c r="E1" s="2" t="str">
        <f>+'Cover Page'!$B$33</f>
        <v>enfinium Ferrybridge 1 Ltd</v>
      </c>
      <c r="F1" s="2"/>
      <c r="G1" s="2"/>
    </row>
    <row r="3" spans="1:19" ht="15" x14ac:dyDescent="0.25">
      <c r="A3" s="108" t="s">
        <v>269</v>
      </c>
      <c r="D3" s="124" t="s">
        <v>302</v>
      </c>
      <c r="G3" s="128" t="s">
        <v>310</v>
      </c>
      <c r="J3" s="11" t="str">
        <f>+A3</f>
        <v>Monitoring of Sulphur dioxide emissions</v>
      </c>
      <c r="L3" s="11"/>
      <c r="N3" s="11" t="s">
        <v>303</v>
      </c>
      <c r="Q3" s="127" t="s">
        <v>297</v>
      </c>
      <c r="R3" s="122"/>
      <c r="S3" s="122"/>
    </row>
    <row r="4" spans="1:19" ht="14.1" customHeight="1" x14ac:dyDescent="0.2">
      <c r="Q4" s="386" t="s">
        <v>308</v>
      </c>
      <c r="R4" s="386"/>
      <c r="S4" s="386"/>
    </row>
    <row r="5" spans="1:19" ht="17.25" x14ac:dyDescent="0.25">
      <c r="A5" s="115" t="s">
        <v>267</v>
      </c>
      <c r="B5" s="435" t="s">
        <v>265</v>
      </c>
      <c r="C5" s="435"/>
      <c r="D5" s="435"/>
      <c r="E5" s="435" t="s">
        <v>264</v>
      </c>
      <c r="F5" s="435"/>
      <c r="G5" s="435"/>
      <c r="J5" s="434"/>
      <c r="K5" s="434"/>
      <c r="L5" s="434"/>
      <c r="M5" s="434"/>
      <c r="N5" s="434"/>
      <c r="O5" s="434"/>
      <c r="Q5" s="386"/>
      <c r="R5" s="386"/>
      <c r="S5" s="386"/>
    </row>
    <row r="6" spans="1:19" s="106" customFormat="1" ht="37.5" customHeight="1" x14ac:dyDescent="0.25">
      <c r="A6" s="112">
        <f>+'Cover Page'!C39</f>
        <v>2022</v>
      </c>
      <c r="B6" s="102" t="s">
        <v>177</v>
      </c>
      <c r="C6" s="102" t="s">
        <v>160</v>
      </c>
      <c r="D6" s="102" t="s">
        <v>320</v>
      </c>
      <c r="E6" s="102" t="s">
        <v>178</v>
      </c>
      <c r="F6" s="102" t="s">
        <v>163</v>
      </c>
      <c r="G6" s="102" t="s">
        <v>321</v>
      </c>
      <c r="H6" s="107"/>
      <c r="J6" s="109">
        <f>+A6</f>
        <v>2022</v>
      </c>
      <c r="K6" s="109" t="s">
        <v>266</v>
      </c>
      <c r="L6" s="114" t="s">
        <v>160</v>
      </c>
      <c r="M6" s="114" t="s">
        <v>161</v>
      </c>
      <c r="N6" s="114" t="s">
        <v>163</v>
      </c>
      <c r="O6" s="114" t="s">
        <v>164</v>
      </c>
      <c r="Q6" s="386"/>
      <c r="R6" s="386"/>
      <c r="S6" s="386"/>
    </row>
    <row r="7" spans="1:19" x14ac:dyDescent="0.2">
      <c r="A7" s="113" t="s">
        <v>165</v>
      </c>
      <c r="B7" s="111">
        <v>200</v>
      </c>
      <c r="C7" s="180">
        <v>3.86</v>
      </c>
      <c r="D7" s="180">
        <v>38.29</v>
      </c>
      <c r="E7" s="111">
        <v>50</v>
      </c>
      <c r="F7" s="180">
        <v>3.84</v>
      </c>
      <c r="G7" s="180">
        <v>7.99</v>
      </c>
      <c r="J7" s="448" t="s">
        <v>110</v>
      </c>
      <c r="K7" s="113" t="s">
        <v>165</v>
      </c>
      <c r="L7" s="182">
        <v>6.94</v>
      </c>
      <c r="M7" s="182">
        <v>38.29</v>
      </c>
      <c r="N7" s="182">
        <v>6.93</v>
      </c>
      <c r="O7" s="182">
        <v>7.99</v>
      </c>
      <c r="Q7" s="386"/>
      <c r="R7" s="386"/>
      <c r="S7" s="386"/>
    </row>
    <row r="8" spans="1:19" x14ac:dyDescent="0.2">
      <c r="A8" s="113" t="s">
        <v>166</v>
      </c>
      <c r="B8" s="111">
        <v>200</v>
      </c>
      <c r="C8" s="180">
        <v>8.6300000000000008</v>
      </c>
      <c r="D8" s="180">
        <v>69.11</v>
      </c>
      <c r="E8" s="111">
        <v>50</v>
      </c>
      <c r="F8" s="180">
        <v>8.32</v>
      </c>
      <c r="G8" s="180">
        <v>22.69</v>
      </c>
      <c r="J8" s="448"/>
      <c r="K8" s="113" t="s">
        <v>166</v>
      </c>
      <c r="L8" s="182">
        <v>13.53</v>
      </c>
      <c r="M8" s="182">
        <v>69.11</v>
      </c>
      <c r="N8" s="182">
        <v>12.38</v>
      </c>
      <c r="O8" s="182">
        <v>22.18</v>
      </c>
      <c r="Q8" s="386"/>
      <c r="R8" s="386"/>
      <c r="S8" s="386"/>
    </row>
    <row r="9" spans="1:19" ht="15" x14ac:dyDescent="0.25">
      <c r="A9" s="113" t="s">
        <v>167</v>
      </c>
      <c r="B9" s="111">
        <v>200</v>
      </c>
      <c r="C9" s="180">
        <v>3.15</v>
      </c>
      <c r="D9" s="180">
        <v>60.88</v>
      </c>
      <c r="E9" s="111">
        <v>50</v>
      </c>
      <c r="F9" s="180">
        <v>3.1</v>
      </c>
      <c r="G9" s="180">
        <v>20.420000000000002</v>
      </c>
      <c r="J9" s="448"/>
      <c r="K9" s="113" t="s">
        <v>167</v>
      </c>
      <c r="L9" s="182">
        <v>6.01</v>
      </c>
      <c r="M9" s="182">
        <v>57.83</v>
      </c>
      <c r="N9" s="182">
        <v>6.01</v>
      </c>
      <c r="O9" s="182">
        <v>9.25</v>
      </c>
      <c r="Q9" s="126" t="s">
        <v>309</v>
      </c>
    </row>
    <row r="10" spans="1:19" ht="14.25" customHeight="1" x14ac:dyDescent="0.2">
      <c r="A10" s="113" t="s">
        <v>168</v>
      </c>
      <c r="B10" s="111">
        <v>200</v>
      </c>
      <c r="C10" s="180">
        <v>2.5499999999999998</v>
      </c>
      <c r="D10" s="180">
        <v>33.32</v>
      </c>
      <c r="E10" s="111">
        <v>50</v>
      </c>
      <c r="F10" s="180">
        <v>2.46</v>
      </c>
      <c r="G10" s="180">
        <v>7.38</v>
      </c>
      <c r="J10" s="448"/>
      <c r="K10" s="113" t="s">
        <v>168</v>
      </c>
      <c r="L10" s="182">
        <v>6.33</v>
      </c>
      <c r="M10" s="182">
        <v>33.32</v>
      </c>
      <c r="N10" s="182">
        <v>6.34</v>
      </c>
      <c r="O10" s="182">
        <v>7.38</v>
      </c>
      <c r="Q10" s="433" t="s">
        <v>327</v>
      </c>
      <c r="R10" s="433"/>
      <c r="S10" s="433"/>
    </row>
    <row r="11" spans="1:19" x14ac:dyDescent="0.2">
      <c r="A11" s="113" t="s">
        <v>169</v>
      </c>
      <c r="B11" s="111">
        <v>200</v>
      </c>
      <c r="C11" s="180">
        <v>2.74</v>
      </c>
      <c r="D11" s="180">
        <v>35.97</v>
      </c>
      <c r="E11" s="111">
        <v>50</v>
      </c>
      <c r="F11" s="180">
        <v>2.75</v>
      </c>
      <c r="G11" s="180">
        <v>8.18</v>
      </c>
      <c r="J11" s="448"/>
      <c r="K11" s="113" t="s">
        <v>169</v>
      </c>
      <c r="L11" s="182">
        <v>5.8</v>
      </c>
      <c r="M11" s="182">
        <v>35.97</v>
      </c>
      <c r="N11" s="182">
        <v>5.8</v>
      </c>
      <c r="O11" s="182">
        <v>8.18</v>
      </c>
      <c r="Q11" s="433"/>
      <c r="R11" s="433"/>
      <c r="S11" s="433"/>
    </row>
    <row r="12" spans="1:19" x14ac:dyDescent="0.2">
      <c r="A12" s="113" t="s">
        <v>170</v>
      </c>
      <c r="B12" s="111">
        <v>200</v>
      </c>
      <c r="C12" s="180">
        <v>2.4300000000000002</v>
      </c>
      <c r="D12" s="180">
        <v>23.59</v>
      </c>
      <c r="E12" s="111">
        <v>50</v>
      </c>
      <c r="F12" s="180">
        <v>2.35</v>
      </c>
      <c r="G12" s="180">
        <v>7.24</v>
      </c>
      <c r="J12" s="448"/>
      <c r="K12" s="113" t="s">
        <v>170</v>
      </c>
      <c r="L12" s="182">
        <v>4.82</v>
      </c>
      <c r="M12" s="182">
        <v>23.59</v>
      </c>
      <c r="N12" s="182">
        <v>4.74</v>
      </c>
      <c r="O12" s="182">
        <v>7.24</v>
      </c>
      <c r="Q12" s="433"/>
      <c r="R12" s="433"/>
      <c r="S12" s="433"/>
    </row>
    <row r="13" spans="1:19" ht="14.25" customHeight="1" x14ac:dyDescent="0.2">
      <c r="A13" s="113" t="s">
        <v>171</v>
      </c>
      <c r="B13" s="111">
        <v>200</v>
      </c>
      <c r="C13" s="180">
        <v>3.04</v>
      </c>
      <c r="D13" s="180">
        <v>11.97</v>
      </c>
      <c r="E13" s="111">
        <v>50</v>
      </c>
      <c r="F13" s="180">
        <v>3.04</v>
      </c>
      <c r="G13" s="180">
        <v>6.76</v>
      </c>
      <c r="J13" s="448"/>
      <c r="K13" s="113" t="s">
        <v>171</v>
      </c>
      <c r="L13" s="182">
        <v>5.43</v>
      </c>
      <c r="M13" s="182">
        <v>11.97</v>
      </c>
      <c r="N13" s="182">
        <v>5.43</v>
      </c>
      <c r="O13" s="182">
        <v>6.76</v>
      </c>
      <c r="Q13" s="433" t="s">
        <v>333</v>
      </c>
      <c r="R13" s="433"/>
      <c r="S13" s="433"/>
    </row>
    <row r="14" spans="1:19" x14ac:dyDescent="0.2">
      <c r="A14" s="113" t="s">
        <v>172</v>
      </c>
      <c r="B14" s="111">
        <v>200</v>
      </c>
      <c r="C14" s="180">
        <v>3.03</v>
      </c>
      <c r="D14" s="180">
        <v>32.22</v>
      </c>
      <c r="E14" s="111">
        <v>50</v>
      </c>
      <c r="F14" s="180">
        <v>3.11</v>
      </c>
      <c r="G14" s="180">
        <v>7.78</v>
      </c>
      <c r="J14" s="448"/>
      <c r="K14" s="113" t="s">
        <v>172</v>
      </c>
      <c r="L14" s="182">
        <v>6.53</v>
      </c>
      <c r="M14" s="182">
        <v>32.22</v>
      </c>
      <c r="N14" s="182">
        <v>6.48</v>
      </c>
      <c r="O14" s="182">
        <v>7.78</v>
      </c>
      <c r="Q14" s="433"/>
      <c r="R14" s="433"/>
      <c r="S14" s="433"/>
    </row>
    <row r="15" spans="1:19" x14ac:dyDescent="0.2">
      <c r="A15" s="113" t="s">
        <v>173</v>
      </c>
      <c r="B15" s="111">
        <v>200</v>
      </c>
      <c r="C15" s="180">
        <f>AVERAGE(L15,L30)</f>
        <v>3.97</v>
      </c>
      <c r="D15" s="180">
        <f>MAX(M15,M30)</f>
        <v>25.02</v>
      </c>
      <c r="E15" s="111">
        <v>50</v>
      </c>
      <c r="F15" s="180">
        <v>3.6</v>
      </c>
      <c r="G15" s="180">
        <v>10.41</v>
      </c>
      <c r="J15" s="448"/>
      <c r="K15" s="113" t="s">
        <v>173</v>
      </c>
      <c r="L15" s="182">
        <v>7.19</v>
      </c>
      <c r="M15" s="182">
        <v>25.02</v>
      </c>
      <c r="N15" s="182">
        <v>7.24</v>
      </c>
      <c r="O15" s="182">
        <v>10.41</v>
      </c>
      <c r="Q15" s="433"/>
      <c r="R15" s="433"/>
      <c r="S15" s="433"/>
    </row>
    <row r="16" spans="1:19" x14ac:dyDescent="0.2">
      <c r="A16" s="113" t="s">
        <v>174</v>
      </c>
      <c r="B16" s="111">
        <v>200</v>
      </c>
      <c r="C16" s="180">
        <f>AVERAGE(L16,L31)</f>
        <v>4.96</v>
      </c>
      <c r="D16" s="180">
        <f>MAX(M16,M31)</f>
        <v>38.89</v>
      </c>
      <c r="E16" s="111">
        <v>50</v>
      </c>
      <c r="F16" s="180">
        <v>4.37</v>
      </c>
      <c r="G16" s="180">
        <v>15.06</v>
      </c>
      <c r="J16" s="448"/>
      <c r="K16" s="113" t="s">
        <v>174</v>
      </c>
      <c r="L16" s="182">
        <v>8.83</v>
      </c>
      <c r="M16" s="182">
        <v>38.89</v>
      </c>
      <c r="N16" s="182">
        <v>8.7799999999999994</v>
      </c>
      <c r="O16" s="182">
        <v>15.06</v>
      </c>
      <c r="Q16" s="433"/>
      <c r="R16" s="433"/>
      <c r="S16" s="433"/>
    </row>
    <row r="17" spans="1:15" x14ac:dyDescent="0.2">
      <c r="A17" s="113" t="s">
        <v>175</v>
      </c>
      <c r="B17" s="111">
        <v>200</v>
      </c>
      <c r="C17" s="180">
        <v>5.44</v>
      </c>
      <c r="D17" s="180">
        <v>67.47</v>
      </c>
      <c r="E17" s="111">
        <v>50</v>
      </c>
      <c r="F17" s="180">
        <v>5.43</v>
      </c>
      <c r="G17" s="180">
        <v>14.04</v>
      </c>
      <c r="J17" s="448"/>
      <c r="K17" s="113" t="s">
        <v>175</v>
      </c>
      <c r="L17" s="182">
        <v>10.14</v>
      </c>
      <c r="M17" s="182">
        <v>67.47</v>
      </c>
      <c r="N17" s="182">
        <v>10.15</v>
      </c>
      <c r="O17" s="182">
        <v>14.04</v>
      </c>
    </row>
    <row r="18" spans="1:15" x14ac:dyDescent="0.2">
      <c r="A18" s="113" t="s">
        <v>176</v>
      </c>
      <c r="B18" s="111">
        <v>200</v>
      </c>
      <c r="C18" s="180">
        <v>7.37</v>
      </c>
      <c r="D18" s="180">
        <v>102.55</v>
      </c>
      <c r="E18" s="111">
        <v>50</v>
      </c>
      <c r="F18" s="180">
        <v>7.6</v>
      </c>
      <c r="G18" s="180">
        <v>10.85</v>
      </c>
      <c r="J18" s="448"/>
      <c r="K18" s="113" t="s">
        <v>176</v>
      </c>
      <c r="L18" s="182">
        <v>10.1</v>
      </c>
      <c r="M18" s="182">
        <v>31.81</v>
      </c>
      <c r="N18" s="182">
        <v>10.1</v>
      </c>
      <c r="O18" s="182">
        <v>10.85</v>
      </c>
    </row>
    <row r="19" spans="1:15" x14ac:dyDescent="0.2">
      <c r="J19" s="448"/>
      <c r="K19" s="110" t="s">
        <v>268</v>
      </c>
      <c r="L19" s="181">
        <f>AVERAGE(L7:L18)</f>
        <v>7.6374999999999993</v>
      </c>
      <c r="M19" s="181">
        <f>MAX(M7:M18)</f>
        <v>69.11</v>
      </c>
      <c r="N19" s="181">
        <f>AVERAGE(N7:N18)</f>
        <v>7.5316666666666663</v>
      </c>
      <c r="O19" s="181">
        <f>MAX(O7:O18)</f>
        <v>22.18</v>
      </c>
    </row>
    <row r="21" spans="1:15" ht="30" x14ac:dyDescent="0.2">
      <c r="J21" s="109">
        <f>+A6</f>
        <v>2022</v>
      </c>
      <c r="K21" s="109" t="s">
        <v>266</v>
      </c>
      <c r="L21" s="114" t="s">
        <v>160</v>
      </c>
      <c r="M21" s="114" t="s">
        <v>161</v>
      </c>
      <c r="N21" s="114" t="s">
        <v>163</v>
      </c>
      <c r="O21" s="114" t="s">
        <v>164</v>
      </c>
    </row>
    <row r="22" spans="1:15" x14ac:dyDescent="0.2">
      <c r="J22" s="448" t="s">
        <v>111</v>
      </c>
      <c r="K22" s="113" t="s">
        <v>165</v>
      </c>
      <c r="L22" s="182">
        <v>0.86</v>
      </c>
      <c r="M22" s="182">
        <v>12.48</v>
      </c>
      <c r="N22" s="182">
        <v>0.86</v>
      </c>
      <c r="O22" s="182">
        <v>2.06</v>
      </c>
    </row>
    <row r="23" spans="1:15" x14ac:dyDescent="0.2">
      <c r="J23" s="448"/>
      <c r="K23" s="113" t="s">
        <v>166</v>
      </c>
      <c r="L23" s="182">
        <v>3.24</v>
      </c>
      <c r="M23" s="182">
        <v>43.36</v>
      </c>
      <c r="N23" s="182">
        <v>3.35</v>
      </c>
      <c r="O23" s="182">
        <v>22.69</v>
      </c>
    </row>
    <row r="24" spans="1:15" x14ac:dyDescent="0.2">
      <c r="J24" s="448"/>
      <c r="K24" s="113" t="s">
        <v>167</v>
      </c>
      <c r="L24" s="182">
        <v>0.28999999999999998</v>
      </c>
      <c r="M24" s="182">
        <v>60.88</v>
      </c>
      <c r="N24" s="182">
        <v>0.28000000000000003</v>
      </c>
      <c r="O24" s="182">
        <v>20.420000000000002</v>
      </c>
    </row>
    <row r="25" spans="1:15" x14ac:dyDescent="0.2">
      <c r="J25" s="448"/>
      <c r="K25" s="113" t="s">
        <v>168</v>
      </c>
      <c r="L25" s="182">
        <v>-0.91</v>
      </c>
      <c r="M25" s="182">
        <v>10.62</v>
      </c>
      <c r="N25" s="182">
        <v>-0.91</v>
      </c>
      <c r="O25" s="182">
        <v>0.09</v>
      </c>
    </row>
    <row r="26" spans="1:15" x14ac:dyDescent="0.2">
      <c r="J26" s="448"/>
      <c r="K26" s="113" t="s">
        <v>169</v>
      </c>
      <c r="L26" s="182">
        <v>-0.31</v>
      </c>
      <c r="M26" s="182">
        <v>7.14</v>
      </c>
      <c r="N26" s="182">
        <v>-0.31</v>
      </c>
      <c r="O26" s="182">
        <v>4.1100000000000003</v>
      </c>
    </row>
    <row r="27" spans="1:15" x14ac:dyDescent="0.2">
      <c r="J27" s="448"/>
      <c r="K27" s="113" t="s">
        <v>170</v>
      </c>
      <c r="L27" s="182">
        <v>0.19</v>
      </c>
      <c r="M27" s="182">
        <v>7.81</v>
      </c>
      <c r="N27" s="182">
        <v>0.19</v>
      </c>
      <c r="O27" s="182">
        <v>5.42</v>
      </c>
    </row>
    <row r="28" spans="1:15" x14ac:dyDescent="0.2">
      <c r="J28" s="448"/>
      <c r="K28" s="113" t="s">
        <v>171</v>
      </c>
      <c r="L28" s="182">
        <v>0.64</v>
      </c>
      <c r="M28" s="182">
        <v>10.56</v>
      </c>
      <c r="N28" s="182">
        <v>0.64</v>
      </c>
      <c r="O28" s="182">
        <v>1.57</v>
      </c>
    </row>
    <row r="29" spans="1:15" x14ac:dyDescent="0.2">
      <c r="J29" s="448"/>
      <c r="K29" s="113" t="s">
        <v>172</v>
      </c>
      <c r="L29" s="182">
        <v>0.4</v>
      </c>
      <c r="M29" s="182">
        <v>5.61</v>
      </c>
      <c r="N29" s="182">
        <v>0.4</v>
      </c>
      <c r="O29" s="182">
        <v>1.04</v>
      </c>
    </row>
    <row r="30" spans="1:15" x14ac:dyDescent="0.2">
      <c r="J30" s="448"/>
      <c r="K30" s="113" t="s">
        <v>173</v>
      </c>
      <c r="L30" s="182">
        <v>0.75</v>
      </c>
      <c r="M30" s="182">
        <v>10.66</v>
      </c>
      <c r="N30" s="182">
        <v>0.75</v>
      </c>
      <c r="O30" s="182">
        <v>1.57</v>
      </c>
    </row>
    <row r="31" spans="1:15" x14ac:dyDescent="0.2">
      <c r="J31" s="448"/>
      <c r="K31" s="113" t="s">
        <v>174</v>
      </c>
      <c r="L31" s="182">
        <v>1.0900000000000001</v>
      </c>
      <c r="M31" s="182">
        <v>17.48</v>
      </c>
      <c r="N31" s="182">
        <v>1.0900000000000001</v>
      </c>
      <c r="O31" s="182">
        <v>2.76</v>
      </c>
    </row>
    <row r="32" spans="1:15" x14ac:dyDescent="0.2">
      <c r="J32" s="448"/>
      <c r="K32" s="113" t="s">
        <v>175</v>
      </c>
      <c r="L32" s="182">
        <v>1.65</v>
      </c>
      <c r="M32" s="182">
        <v>26.13</v>
      </c>
      <c r="N32" s="182">
        <v>1.65</v>
      </c>
      <c r="O32" s="182">
        <v>3.54</v>
      </c>
    </row>
    <row r="33" spans="1:15" x14ac:dyDescent="0.2">
      <c r="J33" s="448"/>
      <c r="K33" s="113" t="s">
        <v>176</v>
      </c>
      <c r="L33" s="182">
        <v>3.42</v>
      </c>
      <c r="M33" s="182">
        <v>102.55</v>
      </c>
      <c r="N33" s="182">
        <v>3.53</v>
      </c>
      <c r="O33" s="182">
        <v>6.98</v>
      </c>
    </row>
    <row r="34" spans="1:15" x14ac:dyDescent="0.2">
      <c r="J34" s="448"/>
      <c r="K34" s="110" t="s">
        <v>268</v>
      </c>
      <c r="L34" s="181">
        <f>AVERAGE(L22:L33)</f>
        <v>0.9425</v>
      </c>
      <c r="M34" s="181">
        <f>MAX(M22:M33)</f>
        <v>102.55</v>
      </c>
      <c r="N34" s="181">
        <f>AVERAGE(N22:N33)</f>
        <v>0.96</v>
      </c>
      <c r="O34" s="181">
        <f>MAX(O22:O33)</f>
        <v>22.69</v>
      </c>
    </row>
    <row r="48" spans="1:15" ht="15" x14ac:dyDescent="0.2">
      <c r="A48" s="445" t="s">
        <v>208</v>
      </c>
      <c r="B48" s="446"/>
      <c r="C48" s="446"/>
      <c r="D48" s="446"/>
      <c r="E48" s="446"/>
      <c r="F48" s="446"/>
      <c r="G48" s="447"/>
    </row>
    <row r="49" spans="1:7" x14ac:dyDescent="0.2">
      <c r="A49" s="436"/>
      <c r="B49" s="437"/>
      <c r="C49" s="437"/>
      <c r="D49" s="437"/>
      <c r="E49" s="437"/>
      <c r="F49" s="437"/>
      <c r="G49" s="438"/>
    </row>
    <row r="50" spans="1:7" x14ac:dyDescent="0.2">
      <c r="A50" s="439"/>
      <c r="B50" s="440"/>
      <c r="C50" s="440"/>
      <c r="D50" s="440"/>
      <c r="E50" s="440"/>
      <c r="F50" s="440"/>
      <c r="G50" s="441"/>
    </row>
    <row r="51" spans="1:7" x14ac:dyDescent="0.2">
      <c r="A51" s="439"/>
      <c r="B51" s="440"/>
      <c r="C51" s="440"/>
      <c r="D51" s="440"/>
      <c r="E51" s="440"/>
      <c r="F51" s="440"/>
      <c r="G51" s="441"/>
    </row>
    <row r="52" spans="1:7" x14ac:dyDescent="0.2">
      <c r="A52" s="442"/>
      <c r="B52" s="443"/>
      <c r="C52" s="443"/>
      <c r="D52" s="443"/>
      <c r="E52" s="443"/>
      <c r="F52" s="443"/>
      <c r="G52" s="444"/>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52"/>
  <sheetViews>
    <sheetView topLeftCell="A12" workbookViewId="0">
      <selection activeCell="K58" sqref="K58"/>
    </sheetView>
  </sheetViews>
  <sheetFormatPr defaultRowHeight="14.25" x14ac:dyDescent="0.2"/>
  <cols>
    <col min="1" max="1" width="14" style="3" customWidth="1"/>
    <col min="2" max="4" width="17" style="66" customWidth="1"/>
    <col min="5" max="5" width="14.5703125" style="66" customWidth="1"/>
    <col min="6" max="7" width="17" style="66"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1.5703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 x14ac:dyDescent="0.2">
      <c r="A1" s="2" t="str">
        <f>+'Cover Page'!$B$29</f>
        <v>Annual Performance Report 2022</v>
      </c>
      <c r="B1" s="2"/>
      <c r="C1" s="2"/>
      <c r="D1" s="2"/>
      <c r="E1" s="2" t="str">
        <f>+'Cover Page'!$B$33</f>
        <v>enfinium Ferrybridge 1 Ltd</v>
      </c>
      <c r="F1" s="2"/>
    </row>
    <row r="3" spans="1:19" ht="15" x14ac:dyDescent="0.25">
      <c r="A3" s="108" t="s">
        <v>270</v>
      </c>
      <c r="D3" s="124" t="s">
        <v>302</v>
      </c>
      <c r="G3" s="128" t="s">
        <v>310</v>
      </c>
      <c r="J3" s="11" t="str">
        <f>+A3</f>
        <v>Monitoring of Oxides of Nitrogen emissions</v>
      </c>
      <c r="L3" s="11"/>
      <c r="N3" s="11" t="s">
        <v>303</v>
      </c>
      <c r="Q3" s="127" t="s">
        <v>297</v>
      </c>
      <c r="R3" s="122"/>
      <c r="S3" s="122"/>
    </row>
    <row r="4" spans="1:19" ht="14.1" customHeight="1" x14ac:dyDescent="0.2">
      <c r="Q4" s="386" t="s">
        <v>308</v>
      </c>
      <c r="R4" s="386"/>
      <c r="S4" s="386"/>
    </row>
    <row r="5" spans="1:19" ht="17.25" x14ac:dyDescent="0.25">
      <c r="A5" s="115" t="s">
        <v>267</v>
      </c>
      <c r="B5" s="435" t="s">
        <v>265</v>
      </c>
      <c r="C5" s="435"/>
      <c r="D5" s="435"/>
      <c r="E5" s="435" t="s">
        <v>264</v>
      </c>
      <c r="F5" s="435"/>
      <c r="G5" s="435"/>
      <c r="J5" s="434"/>
      <c r="K5" s="434"/>
      <c r="L5" s="434"/>
      <c r="M5" s="434"/>
      <c r="N5" s="434"/>
      <c r="O5" s="434"/>
      <c r="Q5" s="386"/>
      <c r="R5" s="386"/>
      <c r="S5" s="386"/>
    </row>
    <row r="6" spans="1:19" s="106" customFormat="1" ht="37.5" customHeight="1" x14ac:dyDescent="0.25">
      <c r="A6" s="112">
        <f>+'Cover Page'!C39</f>
        <v>2022</v>
      </c>
      <c r="B6" s="102" t="s">
        <v>179</v>
      </c>
      <c r="C6" s="102" t="s">
        <v>160</v>
      </c>
      <c r="D6" s="102" t="s">
        <v>320</v>
      </c>
      <c r="E6" s="102" t="s">
        <v>180</v>
      </c>
      <c r="F6" s="102" t="s">
        <v>163</v>
      </c>
      <c r="G6" s="102" t="s">
        <v>321</v>
      </c>
      <c r="H6" s="107"/>
      <c r="J6" s="109">
        <f>+A6</f>
        <v>2022</v>
      </c>
      <c r="K6" s="109" t="s">
        <v>266</v>
      </c>
      <c r="L6" s="114" t="s">
        <v>160</v>
      </c>
      <c r="M6" s="114" t="s">
        <v>161</v>
      </c>
      <c r="N6" s="114" t="s">
        <v>163</v>
      </c>
      <c r="O6" s="114" t="s">
        <v>164</v>
      </c>
      <c r="Q6" s="386"/>
      <c r="R6" s="386"/>
      <c r="S6" s="386"/>
    </row>
    <row r="7" spans="1:19" x14ac:dyDescent="0.2">
      <c r="A7" s="113" t="s">
        <v>165</v>
      </c>
      <c r="B7" s="111">
        <v>400</v>
      </c>
      <c r="C7" s="182">
        <v>170.39</v>
      </c>
      <c r="D7" s="182">
        <v>209.9</v>
      </c>
      <c r="E7" s="111">
        <v>200</v>
      </c>
      <c r="F7" s="182">
        <v>170.37</v>
      </c>
      <c r="G7" s="182">
        <v>180.38</v>
      </c>
      <c r="J7" s="448" t="s">
        <v>110</v>
      </c>
      <c r="K7" s="113" t="s">
        <v>165</v>
      </c>
      <c r="L7" s="182">
        <v>178.07</v>
      </c>
      <c r="M7" s="182">
        <v>195.76</v>
      </c>
      <c r="N7" s="182">
        <v>178.09</v>
      </c>
      <c r="O7" s="182">
        <v>180.38</v>
      </c>
      <c r="Q7" s="386"/>
      <c r="R7" s="386"/>
      <c r="S7" s="386"/>
    </row>
    <row r="8" spans="1:19" x14ac:dyDescent="0.2">
      <c r="A8" s="113" t="s">
        <v>166</v>
      </c>
      <c r="B8" s="111">
        <v>400</v>
      </c>
      <c r="C8" s="182">
        <v>166.43</v>
      </c>
      <c r="D8" s="182">
        <v>279.68</v>
      </c>
      <c r="E8" s="111">
        <v>200</v>
      </c>
      <c r="F8" s="182">
        <v>167.42</v>
      </c>
      <c r="G8" s="182">
        <v>178.93</v>
      </c>
      <c r="J8" s="448"/>
      <c r="K8" s="113" t="s">
        <v>166</v>
      </c>
      <c r="L8" s="182">
        <v>173.49</v>
      </c>
      <c r="M8" s="182">
        <v>203.94</v>
      </c>
      <c r="N8" s="182">
        <v>175.14</v>
      </c>
      <c r="O8" s="182">
        <v>178.93</v>
      </c>
      <c r="Q8" s="386"/>
      <c r="R8" s="386"/>
      <c r="S8" s="386"/>
    </row>
    <row r="9" spans="1:19" ht="15" x14ac:dyDescent="0.25">
      <c r="A9" s="113" t="s">
        <v>167</v>
      </c>
      <c r="B9" s="111">
        <v>400</v>
      </c>
      <c r="C9" s="182">
        <v>155.96</v>
      </c>
      <c r="D9" s="182">
        <v>198.4</v>
      </c>
      <c r="E9" s="111">
        <v>200</v>
      </c>
      <c r="F9" s="182">
        <v>155.63999999999999</v>
      </c>
      <c r="G9" s="182">
        <v>180.4</v>
      </c>
      <c r="J9" s="448"/>
      <c r="K9" s="113" t="s">
        <v>167</v>
      </c>
      <c r="L9" s="182">
        <v>176.78</v>
      </c>
      <c r="M9" s="182">
        <v>198.4</v>
      </c>
      <c r="N9" s="182">
        <v>176.78</v>
      </c>
      <c r="O9" s="182">
        <v>180.4</v>
      </c>
      <c r="Q9" s="126" t="s">
        <v>309</v>
      </c>
    </row>
    <row r="10" spans="1:19" ht="14.25" customHeight="1" x14ac:dyDescent="0.2">
      <c r="A10" s="113" t="s">
        <v>168</v>
      </c>
      <c r="B10" s="111">
        <v>400</v>
      </c>
      <c r="C10" s="182">
        <v>141.54</v>
      </c>
      <c r="D10" s="182">
        <v>189.37</v>
      </c>
      <c r="E10" s="111">
        <v>200</v>
      </c>
      <c r="F10" s="182">
        <v>141.74</v>
      </c>
      <c r="G10" s="182">
        <v>179.28</v>
      </c>
      <c r="J10" s="448"/>
      <c r="K10" s="113" t="s">
        <v>168</v>
      </c>
      <c r="L10" s="182">
        <v>145.93</v>
      </c>
      <c r="M10" s="182">
        <v>189.37</v>
      </c>
      <c r="N10" s="182">
        <v>146.61000000000001</v>
      </c>
      <c r="O10" s="182">
        <v>179.28</v>
      </c>
      <c r="Q10" s="433" t="s">
        <v>327</v>
      </c>
      <c r="R10" s="433"/>
      <c r="S10" s="433"/>
    </row>
    <row r="11" spans="1:19" x14ac:dyDescent="0.2">
      <c r="A11" s="113" t="s">
        <v>169</v>
      </c>
      <c r="B11" s="111">
        <v>400</v>
      </c>
      <c r="C11" s="182">
        <v>161.91</v>
      </c>
      <c r="D11" s="182">
        <v>201.13</v>
      </c>
      <c r="E11" s="111">
        <v>200</v>
      </c>
      <c r="F11" s="182">
        <v>161.93</v>
      </c>
      <c r="G11" s="182">
        <v>190.11</v>
      </c>
      <c r="J11" s="448"/>
      <c r="K11" s="113" t="s">
        <v>169</v>
      </c>
      <c r="L11" s="182">
        <v>180.51</v>
      </c>
      <c r="M11" s="182">
        <v>201.13</v>
      </c>
      <c r="N11" s="182">
        <v>180.51</v>
      </c>
      <c r="O11" s="182">
        <v>190.11</v>
      </c>
      <c r="Q11" s="433"/>
      <c r="R11" s="433"/>
      <c r="S11" s="433"/>
    </row>
    <row r="12" spans="1:19" x14ac:dyDescent="0.2">
      <c r="A12" s="113" t="s">
        <v>170</v>
      </c>
      <c r="B12" s="111">
        <v>400</v>
      </c>
      <c r="C12" s="182">
        <v>167.2</v>
      </c>
      <c r="D12" s="182">
        <v>205.76</v>
      </c>
      <c r="E12" s="111">
        <v>200</v>
      </c>
      <c r="F12" s="182">
        <v>167.04</v>
      </c>
      <c r="G12" s="182">
        <v>189.58</v>
      </c>
      <c r="J12" s="448"/>
      <c r="K12" s="113" t="s">
        <v>170</v>
      </c>
      <c r="L12" s="182">
        <v>179.87</v>
      </c>
      <c r="M12" s="182">
        <v>202.46</v>
      </c>
      <c r="N12" s="182">
        <v>179.99</v>
      </c>
      <c r="O12" s="182">
        <v>189.58</v>
      </c>
      <c r="Q12" s="433"/>
      <c r="R12" s="433"/>
      <c r="S12" s="433"/>
    </row>
    <row r="13" spans="1:19" ht="14.25" customHeight="1" x14ac:dyDescent="0.2">
      <c r="A13" s="113" t="s">
        <v>171</v>
      </c>
      <c r="B13" s="111">
        <v>400</v>
      </c>
      <c r="C13" s="182">
        <v>164.94</v>
      </c>
      <c r="D13" s="182">
        <v>251.67</v>
      </c>
      <c r="E13" s="111">
        <v>200</v>
      </c>
      <c r="F13" s="182">
        <v>164.94</v>
      </c>
      <c r="G13" s="182">
        <v>187.03</v>
      </c>
      <c r="J13" s="448"/>
      <c r="K13" s="113" t="s">
        <v>171</v>
      </c>
      <c r="L13" s="182">
        <v>163.66999999999999</v>
      </c>
      <c r="M13" s="182">
        <v>251.67</v>
      </c>
      <c r="N13" s="182">
        <v>163.68</v>
      </c>
      <c r="O13" s="182">
        <v>187.03</v>
      </c>
      <c r="Q13" s="433" t="s">
        <v>333</v>
      </c>
      <c r="R13" s="433"/>
      <c r="S13" s="433"/>
    </row>
    <row r="14" spans="1:19" x14ac:dyDescent="0.2">
      <c r="A14" s="113" t="s">
        <v>172</v>
      </c>
      <c r="B14" s="111">
        <v>400</v>
      </c>
      <c r="C14" s="182">
        <v>167.15</v>
      </c>
      <c r="D14" s="182">
        <v>199.09</v>
      </c>
      <c r="E14" s="111">
        <v>200</v>
      </c>
      <c r="F14" s="182">
        <v>167.12</v>
      </c>
      <c r="G14" s="182">
        <v>183.55</v>
      </c>
      <c r="J14" s="448"/>
      <c r="K14" s="113" t="s">
        <v>172</v>
      </c>
      <c r="L14" s="182">
        <v>157.35</v>
      </c>
      <c r="M14" s="182">
        <v>187.71</v>
      </c>
      <c r="N14" s="182">
        <v>158.05000000000001</v>
      </c>
      <c r="O14" s="182">
        <v>168.16</v>
      </c>
      <c r="Q14" s="433"/>
      <c r="R14" s="433"/>
      <c r="S14" s="433"/>
    </row>
    <row r="15" spans="1:19" x14ac:dyDescent="0.2">
      <c r="A15" s="113" t="s">
        <v>173</v>
      </c>
      <c r="B15" s="111">
        <v>400</v>
      </c>
      <c r="C15" s="182">
        <v>161.10500000000002</v>
      </c>
      <c r="D15" s="182">
        <v>198.19</v>
      </c>
      <c r="E15" s="111">
        <v>200</v>
      </c>
      <c r="F15" s="182">
        <v>162.55000000000001</v>
      </c>
      <c r="G15" s="182">
        <v>178.9</v>
      </c>
      <c r="J15" s="448"/>
      <c r="K15" s="113" t="s">
        <v>173</v>
      </c>
      <c r="L15" s="182">
        <v>148.81</v>
      </c>
      <c r="M15" s="182">
        <v>180.12</v>
      </c>
      <c r="N15" s="182">
        <v>148.99</v>
      </c>
      <c r="O15" s="182">
        <v>162.01</v>
      </c>
      <c r="Q15" s="433"/>
      <c r="R15" s="433"/>
      <c r="S15" s="433"/>
    </row>
    <row r="16" spans="1:19" x14ac:dyDescent="0.2">
      <c r="A16" s="113" t="s">
        <v>174</v>
      </c>
      <c r="B16" s="111">
        <v>400</v>
      </c>
      <c r="C16" s="182">
        <v>161.345</v>
      </c>
      <c r="D16" s="182">
        <v>209.29</v>
      </c>
      <c r="E16" s="111">
        <v>200</v>
      </c>
      <c r="F16" s="182">
        <v>163.51</v>
      </c>
      <c r="G16" s="182">
        <v>184.91</v>
      </c>
      <c r="J16" s="448"/>
      <c r="K16" s="113" t="s">
        <v>174</v>
      </c>
      <c r="L16" s="182">
        <v>148.5</v>
      </c>
      <c r="M16" s="182">
        <v>186.04</v>
      </c>
      <c r="N16" s="182">
        <v>149.13</v>
      </c>
      <c r="O16" s="182">
        <v>162.06</v>
      </c>
      <c r="Q16" s="433"/>
      <c r="R16" s="433"/>
      <c r="S16" s="433"/>
    </row>
    <row r="17" spans="1:15" x14ac:dyDescent="0.2">
      <c r="A17" s="113" t="s">
        <v>175</v>
      </c>
      <c r="B17" s="111">
        <v>400</v>
      </c>
      <c r="C17" s="182">
        <v>159.47999999999999</v>
      </c>
      <c r="D17" s="182">
        <v>206.36</v>
      </c>
      <c r="E17" s="111">
        <v>200</v>
      </c>
      <c r="F17" s="182">
        <v>159.56</v>
      </c>
      <c r="G17" s="182">
        <v>179.02</v>
      </c>
      <c r="J17" s="448"/>
      <c r="K17" s="113" t="s">
        <v>175</v>
      </c>
      <c r="L17" s="182">
        <v>145.83000000000001</v>
      </c>
      <c r="M17" s="182">
        <v>196.05</v>
      </c>
      <c r="N17" s="182">
        <v>145.88</v>
      </c>
      <c r="O17" s="182">
        <v>155.85</v>
      </c>
    </row>
    <row r="18" spans="1:15" x14ac:dyDescent="0.2">
      <c r="A18" s="113" t="s">
        <v>176</v>
      </c>
      <c r="B18" s="111">
        <v>400</v>
      </c>
      <c r="C18" s="182">
        <v>144.24</v>
      </c>
      <c r="D18" s="182">
        <v>193.6</v>
      </c>
      <c r="E18" s="111">
        <v>200</v>
      </c>
      <c r="F18" s="182">
        <v>143.30000000000001</v>
      </c>
      <c r="G18" s="182">
        <v>173.51</v>
      </c>
      <c r="J18" s="448"/>
      <c r="K18" s="113" t="s">
        <v>176</v>
      </c>
      <c r="L18" s="182">
        <v>136.96</v>
      </c>
      <c r="M18" s="182">
        <v>186.69</v>
      </c>
      <c r="N18" s="182">
        <v>136.96</v>
      </c>
      <c r="O18" s="182">
        <v>155.54</v>
      </c>
    </row>
    <row r="19" spans="1:15" x14ac:dyDescent="0.2">
      <c r="J19" s="448"/>
      <c r="K19" s="110" t="s">
        <v>268</v>
      </c>
      <c r="L19" s="181">
        <f>AVERAGE(L7:L18)</f>
        <v>161.31416666666667</v>
      </c>
      <c r="M19" s="181">
        <f>MAX(M7:M18)</f>
        <v>251.67</v>
      </c>
      <c r="N19" s="181">
        <f>AVERAGE(N7:N18)</f>
        <v>161.65083333333334</v>
      </c>
      <c r="O19" s="181">
        <f>MAX(O7:O18)</f>
        <v>190.11</v>
      </c>
    </row>
    <row r="21" spans="1:15" ht="30" x14ac:dyDescent="0.2">
      <c r="J21" s="109">
        <f>+A6</f>
        <v>2022</v>
      </c>
      <c r="K21" s="109" t="s">
        <v>266</v>
      </c>
      <c r="L21" s="114" t="s">
        <v>160</v>
      </c>
      <c r="M21" s="114" t="s">
        <v>161</v>
      </c>
      <c r="N21" s="114" t="s">
        <v>163</v>
      </c>
      <c r="O21" s="114" t="s">
        <v>164</v>
      </c>
    </row>
    <row r="22" spans="1:15" x14ac:dyDescent="0.2">
      <c r="J22" s="448" t="s">
        <v>111</v>
      </c>
      <c r="K22" s="113" t="s">
        <v>165</v>
      </c>
      <c r="L22" s="182">
        <v>162.91</v>
      </c>
      <c r="M22" s="182">
        <v>209.9</v>
      </c>
      <c r="N22" s="182">
        <v>162.9</v>
      </c>
      <c r="O22" s="182">
        <v>173.32</v>
      </c>
    </row>
    <row r="23" spans="1:15" x14ac:dyDescent="0.2">
      <c r="J23" s="448"/>
      <c r="K23" s="113" t="s">
        <v>166</v>
      </c>
      <c r="L23" s="182">
        <v>158.66999999999999</v>
      </c>
      <c r="M23" s="182">
        <v>279.68</v>
      </c>
      <c r="N23" s="182">
        <v>157.97999999999999</v>
      </c>
      <c r="O23" s="182">
        <v>176.23</v>
      </c>
    </row>
    <row r="24" spans="1:15" x14ac:dyDescent="0.2">
      <c r="J24" s="448"/>
      <c r="K24" s="113" t="s">
        <v>167</v>
      </c>
      <c r="L24" s="182">
        <v>135.21</v>
      </c>
      <c r="M24" s="182">
        <v>193.64</v>
      </c>
      <c r="N24" s="182">
        <v>135.19</v>
      </c>
      <c r="O24" s="182">
        <v>173.92</v>
      </c>
    </row>
    <row r="25" spans="1:15" x14ac:dyDescent="0.2">
      <c r="J25" s="448"/>
      <c r="K25" s="113" t="s">
        <v>168</v>
      </c>
      <c r="L25" s="182">
        <v>137.52000000000001</v>
      </c>
      <c r="M25" s="182">
        <v>179.27</v>
      </c>
      <c r="N25" s="182">
        <v>137.52000000000001</v>
      </c>
      <c r="O25" s="182">
        <v>147.33000000000001</v>
      </c>
    </row>
    <row r="26" spans="1:15" x14ac:dyDescent="0.2">
      <c r="J26" s="448"/>
      <c r="K26" s="113" t="s">
        <v>169</v>
      </c>
      <c r="L26" s="182">
        <v>143.34</v>
      </c>
      <c r="M26" s="182">
        <v>194.15</v>
      </c>
      <c r="N26" s="182">
        <v>143.34</v>
      </c>
      <c r="O26" s="182">
        <v>164.47</v>
      </c>
    </row>
    <row r="27" spans="1:15" x14ac:dyDescent="0.2">
      <c r="J27" s="448"/>
      <c r="K27" s="113" t="s">
        <v>170</v>
      </c>
      <c r="L27" s="182">
        <v>155.38</v>
      </c>
      <c r="M27" s="182">
        <v>205.76</v>
      </c>
      <c r="N27" s="182">
        <v>155.38</v>
      </c>
      <c r="O27" s="182">
        <v>185.66</v>
      </c>
    </row>
    <row r="28" spans="1:15" x14ac:dyDescent="0.2">
      <c r="J28" s="448"/>
      <c r="K28" s="113" t="s">
        <v>171</v>
      </c>
      <c r="L28" s="182">
        <v>166.21</v>
      </c>
      <c r="M28" s="182">
        <v>202.49</v>
      </c>
      <c r="N28" s="182">
        <v>166.19</v>
      </c>
      <c r="O28" s="182">
        <v>180.96</v>
      </c>
    </row>
    <row r="29" spans="1:15" x14ac:dyDescent="0.2">
      <c r="J29" s="448"/>
      <c r="K29" s="113" t="s">
        <v>172</v>
      </c>
      <c r="L29" s="182">
        <v>174.51</v>
      </c>
      <c r="M29" s="182">
        <v>199.09</v>
      </c>
      <c r="N29" s="182">
        <v>174.44</v>
      </c>
      <c r="O29" s="182">
        <v>183.55</v>
      </c>
    </row>
    <row r="30" spans="1:15" x14ac:dyDescent="0.2">
      <c r="J30" s="448"/>
      <c r="K30" s="113" t="s">
        <v>173</v>
      </c>
      <c r="L30" s="182">
        <v>173.4</v>
      </c>
      <c r="M30" s="182">
        <v>198.19</v>
      </c>
      <c r="N30" s="182">
        <v>173.4</v>
      </c>
      <c r="O30" s="182">
        <v>178.9</v>
      </c>
    </row>
    <row r="31" spans="1:15" x14ac:dyDescent="0.2">
      <c r="J31" s="448"/>
      <c r="K31" s="113" t="s">
        <v>174</v>
      </c>
      <c r="L31" s="182">
        <v>174.19</v>
      </c>
      <c r="M31" s="182">
        <v>209.29</v>
      </c>
      <c r="N31" s="182">
        <v>174.19</v>
      </c>
      <c r="O31" s="182">
        <v>184.91</v>
      </c>
    </row>
    <row r="32" spans="1:15" x14ac:dyDescent="0.2">
      <c r="J32" s="448"/>
      <c r="K32" s="113" t="s">
        <v>175</v>
      </c>
      <c r="L32" s="182">
        <v>170.49</v>
      </c>
      <c r="M32" s="182">
        <v>206.36</v>
      </c>
      <c r="N32" s="182">
        <v>170.5</v>
      </c>
      <c r="O32" s="182">
        <v>179.02</v>
      </c>
    </row>
    <row r="33" spans="1:15" x14ac:dyDescent="0.2">
      <c r="J33" s="448"/>
      <c r="K33" s="113" t="s">
        <v>176</v>
      </c>
      <c r="L33" s="182">
        <v>154.78</v>
      </c>
      <c r="M33" s="182">
        <v>193.6</v>
      </c>
      <c r="N33" s="182">
        <v>153.66</v>
      </c>
      <c r="O33" s="182">
        <v>173.51</v>
      </c>
    </row>
    <row r="34" spans="1:15" x14ac:dyDescent="0.2">
      <c r="J34" s="448"/>
      <c r="K34" s="110" t="s">
        <v>268</v>
      </c>
      <c r="L34" s="181">
        <f>AVERAGE(L22:L33)</f>
        <v>158.88416666666669</v>
      </c>
      <c r="M34" s="181">
        <f>MAX(M22:M33)</f>
        <v>279.68</v>
      </c>
      <c r="N34" s="181">
        <f>AVERAGE(N22:N33)</f>
        <v>158.72416666666669</v>
      </c>
      <c r="O34" s="181">
        <f>MAX(O22:O33)</f>
        <v>185.66</v>
      </c>
    </row>
    <row r="48" spans="1:15" ht="15" x14ac:dyDescent="0.2">
      <c r="A48" s="445" t="s">
        <v>208</v>
      </c>
      <c r="B48" s="446"/>
      <c r="C48" s="446"/>
      <c r="D48" s="446"/>
      <c r="E48" s="446"/>
      <c r="F48" s="446"/>
      <c r="G48" s="447"/>
    </row>
    <row r="49" spans="1:7" x14ac:dyDescent="0.2">
      <c r="A49" s="436"/>
      <c r="B49" s="437"/>
      <c r="C49" s="437"/>
      <c r="D49" s="437"/>
      <c r="E49" s="437"/>
      <c r="F49" s="437"/>
      <c r="G49" s="438"/>
    </row>
    <row r="50" spans="1:7" x14ac:dyDescent="0.2">
      <c r="A50" s="439"/>
      <c r="B50" s="440"/>
      <c r="C50" s="440"/>
      <c r="D50" s="440"/>
      <c r="E50" s="440"/>
      <c r="F50" s="440"/>
      <c r="G50" s="441"/>
    </row>
    <row r="51" spans="1:7" x14ac:dyDescent="0.2">
      <c r="A51" s="439"/>
      <c r="B51" s="440"/>
      <c r="C51" s="440"/>
      <c r="D51" s="440"/>
      <c r="E51" s="440"/>
      <c r="F51" s="440"/>
      <c r="G51" s="441"/>
    </row>
    <row r="52" spans="1:7" x14ac:dyDescent="0.2">
      <c r="A52" s="442"/>
      <c r="B52" s="443"/>
      <c r="C52" s="443"/>
      <c r="D52" s="443"/>
      <c r="E52" s="443"/>
      <c r="F52" s="443"/>
      <c r="G52" s="444"/>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52"/>
  <sheetViews>
    <sheetView topLeftCell="A12" workbookViewId="0">
      <selection activeCell="K58" sqref="K58"/>
    </sheetView>
  </sheetViews>
  <sheetFormatPr defaultRowHeight="14.25" x14ac:dyDescent="0.2"/>
  <cols>
    <col min="1" max="1" width="14" style="3" customWidth="1"/>
    <col min="2" max="4" width="17" style="66" customWidth="1"/>
    <col min="5" max="5" width="14.5703125" style="66" customWidth="1"/>
    <col min="6" max="7" width="17" style="66"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1.5703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 x14ac:dyDescent="0.2">
      <c r="A1" s="2" t="str">
        <f>+'Cover Page'!$B$29</f>
        <v>Annual Performance Report 2022</v>
      </c>
      <c r="B1" s="2"/>
      <c r="C1" s="2"/>
      <c r="D1" s="2"/>
      <c r="E1" s="2" t="str">
        <f>+'Cover Page'!$B$33</f>
        <v>enfinium Ferrybridge 1 Ltd</v>
      </c>
    </row>
    <row r="3" spans="1:19" ht="15" x14ac:dyDescent="0.25">
      <c r="A3" s="108" t="s">
        <v>271</v>
      </c>
      <c r="D3" s="124" t="s">
        <v>302</v>
      </c>
      <c r="G3" s="128" t="s">
        <v>310</v>
      </c>
      <c r="J3" s="11" t="str">
        <f>+A3</f>
        <v>Monitoring of Total organic carbon emissions</v>
      </c>
      <c r="L3" s="11"/>
      <c r="N3" s="11" t="s">
        <v>303</v>
      </c>
      <c r="Q3" s="127" t="s">
        <v>297</v>
      </c>
      <c r="R3" s="122"/>
      <c r="S3" s="122"/>
    </row>
    <row r="4" spans="1:19" ht="14.1" customHeight="1" x14ac:dyDescent="0.2">
      <c r="Q4" s="386" t="s">
        <v>308</v>
      </c>
      <c r="R4" s="386"/>
      <c r="S4" s="386"/>
    </row>
    <row r="5" spans="1:19" ht="17.25" x14ac:dyDescent="0.25">
      <c r="A5" s="115" t="s">
        <v>267</v>
      </c>
      <c r="B5" s="435" t="s">
        <v>265</v>
      </c>
      <c r="C5" s="435"/>
      <c r="D5" s="435"/>
      <c r="E5" s="435" t="s">
        <v>264</v>
      </c>
      <c r="F5" s="435"/>
      <c r="G5" s="435"/>
      <c r="J5" s="434"/>
      <c r="K5" s="434"/>
      <c r="L5" s="434"/>
      <c r="M5" s="434"/>
      <c r="N5" s="434"/>
      <c r="O5" s="434"/>
      <c r="Q5" s="386"/>
      <c r="R5" s="386"/>
      <c r="S5" s="386"/>
    </row>
    <row r="6" spans="1:19" s="106" customFormat="1" ht="37.5" customHeight="1" x14ac:dyDescent="0.25">
      <c r="A6" s="112">
        <f>+'Cover Page'!C39</f>
        <v>2022</v>
      </c>
      <c r="B6" s="102" t="s">
        <v>181</v>
      </c>
      <c r="C6" s="102" t="s">
        <v>160</v>
      </c>
      <c r="D6" s="102" t="s">
        <v>320</v>
      </c>
      <c r="E6" s="102" t="s">
        <v>182</v>
      </c>
      <c r="F6" s="102" t="s">
        <v>163</v>
      </c>
      <c r="G6" s="102" t="s">
        <v>321</v>
      </c>
      <c r="H6" s="107"/>
      <c r="J6" s="109">
        <f>+A6</f>
        <v>2022</v>
      </c>
      <c r="K6" s="109" t="s">
        <v>266</v>
      </c>
      <c r="L6" s="114" t="s">
        <v>160</v>
      </c>
      <c r="M6" s="114" t="s">
        <v>161</v>
      </c>
      <c r="N6" s="114" t="s">
        <v>163</v>
      </c>
      <c r="O6" s="114" t="s">
        <v>164</v>
      </c>
      <c r="Q6" s="386"/>
      <c r="R6" s="386"/>
      <c r="S6" s="386"/>
    </row>
    <row r="7" spans="1:19" x14ac:dyDescent="0.2">
      <c r="A7" s="113" t="s">
        <v>165</v>
      </c>
      <c r="B7" s="111">
        <v>20</v>
      </c>
      <c r="C7" s="182">
        <v>0.83</v>
      </c>
      <c r="D7" s="182">
        <v>7.34</v>
      </c>
      <c r="E7" s="111">
        <v>10</v>
      </c>
      <c r="F7" s="182">
        <v>0.83</v>
      </c>
      <c r="G7" s="182">
        <v>1.05</v>
      </c>
      <c r="J7" s="448" t="s">
        <v>110</v>
      </c>
      <c r="K7" s="113" t="s">
        <v>165</v>
      </c>
      <c r="L7" s="182">
        <v>0.93</v>
      </c>
      <c r="M7" s="182">
        <v>7.34</v>
      </c>
      <c r="N7" s="182">
        <v>0.93</v>
      </c>
      <c r="O7" s="182">
        <v>1.05</v>
      </c>
      <c r="Q7" s="386"/>
      <c r="R7" s="386"/>
      <c r="S7" s="386"/>
    </row>
    <row r="8" spans="1:19" x14ac:dyDescent="0.2">
      <c r="A8" s="113" t="s">
        <v>166</v>
      </c>
      <c r="B8" s="111">
        <v>20</v>
      </c>
      <c r="C8" s="182">
        <v>0.81</v>
      </c>
      <c r="D8" s="182">
        <v>17.079999999999998</v>
      </c>
      <c r="E8" s="111">
        <v>10</v>
      </c>
      <c r="F8" s="182">
        <v>0.8</v>
      </c>
      <c r="G8" s="182">
        <v>1.23</v>
      </c>
      <c r="J8" s="448"/>
      <c r="K8" s="113" t="s">
        <v>166</v>
      </c>
      <c r="L8" s="182">
        <v>0.96</v>
      </c>
      <c r="M8" s="182">
        <v>17.079999999999998</v>
      </c>
      <c r="N8" s="182">
        <v>0.91</v>
      </c>
      <c r="O8" s="182">
        <v>1.23</v>
      </c>
      <c r="Q8" s="386"/>
      <c r="R8" s="386"/>
      <c r="S8" s="386"/>
    </row>
    <row r="9" spans="1:19" ht="15" x14ac:dyDescent="0.25">
      <c r="A9" s="113" t="s">
        <v>167</v>
      </c>
      <c r="B9" s="111">
        <v>20</v>
      </c>
      <c r="C9" s="182">
        <v>0.79</v>
      </c>
      <c r="D9" s="182">
        <v>1.5</v>
      </c>
      <c r="E9" s="111">
        <v>10</v>
      </c>
      <c r="F9" s="182">
        <v>0.79</v>
      </c>
      <c r="G9" s="182">
        <v>0.97</v>
      </c>
      <c r="J9" s="448"/>
      <c r="K9" s="113" t="s">
        <v>167</v>
      </c>
      <c r="L9" s="182">
        <v>0.9</v>
      </c>
      <c r="M9" s="182">
        <v>1.5</v>
      </c>
      <c r="N9" s="182">
        <v>0.9</v>
      </c>
      <c r="O9" s="182">
        <v>0.97</v>
      </c>
      <c r="Q9" s="126" t="s">
        <v>309</v>
      </c>
    </row>
    <row r="10" spans="1:19" ht="14.25" customHeight="1" x14ac:dyDescent="0.2">
      <c r="A10" s="113" t="s">
        <v>168</v>
      </c>
      <c r="B10" s="111">
        <v>20</v>
      </c>
      <c r="C10" s="182">
        <v>0.76</v>
      </c>
      <c r="D10" s="182">
        <v>10.6</v>
      </c>
      <c r="E10" s="111">
        <v>10</v>
      </c>
      <c r="F10" s="182">
        <v>0.76</v>
      </c>
      <c r="G10" s="182">
        <v>1.04</v>
      </c>
      <c r="J10" s="448"/>
      <c r="K10" s="113" t="s">
        <v>168</v>
      </c>
      <c r="L10" s="182">
        <v>0.89</v>
      </c>
      <c r="M10" s="182">
        <v>10.6</v>
      </c>
      <c r="N10" s="182">
        <v>0.88</v>
      </c>
      <c r="O10" s="182">
        <v>1.04</v>
      </c>
      <c r="Q10" s="433" t="s">
        <v>327</v>
      </c>
      <c r="R10" s="433"/>
      <c r="S10" s="433"/>
    </row>
    <row r="11" spans="1:19" x14ac:dyDescent="0.2">
      <c r="A11" s="113" t="s">
        <v>169</v>
      </c>
      <c r="B11" s="111">
        <v>20</v>
      </c>
      <c r="C11" s="182">
        <v>0.83</v>
      </c>
      <c r="D11" s="182">
        <v>4.05</v>
      </c>
      <c r="E11" s="111">
        <v>10</v>
      </c>
      <c r="F11" s="182">
        <v>0.83</v>
      </c>
      <c r="G11" s="182">
        <v>1.28</v>
      </c>
      <c r="J11" s="448"/>
      <c r="K11" s="113" t="s">
        <v>169</v>
      </c>
      <c r="L11" s="182">
        <v>0.96</v>
      </c>
      <c r="M11" s="182">
        <v>3.57</v>
      </c>
      <c r="N11" s="182">
        <v>0.96</v>
      </c>
      <c r="O11" s="182">
        <v>1.25</v>
      </c>
      <c r="Q11" s="433"/>
      <c r="R11" s="433"/>
      <c r="S11" s="433"/>
    </row>
    <row r="12" spans="1:19" x14ac:dyDescent="0.2">
      <c r="A12" s="113" t="s">
        <v>170</v>
      </c>
      <c r="B12" s="111">
        <v>20</v>
      </c>
      <c r="C12" s="182">
        <v>0.73</v>
      </c>
      <c r="D12" s="182">
        <v>3.18</v>
      </c>
      <c r="E12" s="111">
        <v>10</v>
      </c>
      <c r="F12" s="182">
        <v>0.73</v>
      </c>
      <c r="G12" s="182">
        <v>1.1100000000000001</v>
      </c>
      <c r="J12" s="448"/>
      <c r="K12" s="113" t="s">
        <v>170</v>
      </c>
      <c r="L12" s="182">
        <v>0.88</v>
      </c>
      <c r="M12" s="182">
        <v>3.18</v>
      </c>
      <c r="N12" s="182">
        <v>0.89</v>
      </c>
      <c r="O12" s="182">
        <v>1.1100000000000001</v>
      </c>
      <c r="Q12" s="433"/>
      <c r="R12" s="433"/>
      <c r="S12" s="433"/>
    </row>
    <row r="13" spans="1:19" ht="14.25" customHeight="1" x14ac:dyDescent="0.2">
      <c r="A13" s="113" t="s">
        <v>171</v>
      </c>
      <c r="B13" s="111">
        <v>20</v>
      </c>
      <c r="C13" s="182">
        <v>0.88</v>
      </c>
      <c r="D13" s="182">
        <v>5.64</v>
      </c>
      <c r="E13" s="111">
        <v>10</v>
      </c>
      <c r="F13" s="182">
        <v>0.88</v>
      </c>
      <c r="G13" s="182">
        <v>1</v>
      </c>
      <c r="J13" s="448"/>
      <c r="K13" s="113" t="s">
        <v>171</v>
      </c>
      <c r="L13" s="182">
        <v>0.92</v>
      </c>
      <c r="M13" s="182">
        <v>5.64</v>
      </c>
      <c r="N13" s="182">
        <v>0.92</v>
      </c>
      <c r="O13" s="182">
        <v>1</v>
      </c>
      <c r="Q13" s="433" t="s">
        <v>333</v>
      </c>
      <c r="R13" s="433"/>
      <c r="S13" s="433"/>
    </row>
    <row r="14" spans="1:19" x14ac:dyDescent="0.2">
      <c r="A14" s="113" t="s">
        <v>172</v>
      </c>
      <c r="B14" s="111">
        <v>20</v>
      </c>
      <c r="C14" s="182">
        <v>0.85</v>
      </c>
      <c r="D14" s="182">
        <v>4.4000000000000004</v>
      </c>
      <c r="E14" s="111">
        <v>10</v>
      </c>
      <c r="F14" s="182">
        <v>0.86</v>
      </c>
      <c r="G14" s="182">
        <v>1.02</v>
      </c>
      <c r="J14" s="448"/>
      <c r="K14" s="113" t="s">
        <v>172</v>
      </c>
      <c r="L14" s="182">
        <v>0.89</v>
      </c>
      <c r="M14" s="182">
        <v>4.4000000000000004</v>
      </c>
      <c r="N14" s="182">
        <v>0.91</v>
      </c>
      <c r="O14" s="182">
        <v>1.02</v>
      </c>
      <c r="Q14" s="433"/>
      <c r="R14" s="433"/>
      <c r="S14" s="433"/>
    </row>
    <row r="15" spans="1:19" x14ac:dyDescent="0.2">
      <c r="A15" s="113" t="s">
        <v>173</v>
      </c>
      <c r="B15" s="111">
        <v>20</v>
      </c>
      <c r="C15" s="182">
        <v>0.47</v>
      </c>
      <c r="D15" s="182">
        <v>11.4</v>
      </c>
      <c r="E15" s="111">
        <v>10</v>
      </c>
      <c r="F15" s="182">
        <v>0.56999999999999995</v>
      </c>
      <c r="G15" s="182">
        <v>0.83</v>
      </c>
      <c r="J15" s="448"/>
      <c r="K15" s="113" t="s">
        <v>173</v>
      </c>
      <c r="L15" s="182">
        <v>0.3</v>
      </c>
      <c r="M15" s="182">
        <v>11.4</v>
      </c>
      <c r="N15" s="182">
        <v>0.48</v>
      </c>
      <c r="O15" s="182">
        <v>0.55000000000000004</v>
      </c>
      <c r="Q15" s="433"/>
      <c r="R15" s="433"/>
      <c r="S15" s="433"/>
    </row>
    <row r="16" spans="1:19" x14ac:dyDescent="0.2">
      <c r="A16" s="113" t="s">
        <v>174</v>
      </c>
      <c r="B16" s="111">
        <v>20</v>
      </c>
      <c r="C16" s="182">
        <v>0.55499999999999994</v>
      </c>
      <c r="D16" s="182">
        <v>9.6300000000000008</v>
      </c>
      <c r="E16" s="111">
        <v>10</v>
      </c>
      <c r="F16" s="182">
        <v>0.55000000000000004</v>
      </c>
      <c r="G16" s="182">
        <v>0.72</v>
      </c>
      <c r="J16" s="448"/>
      <c r="K16" s="113" t="s">
        <v>174</v>
      </c>
      <c r="L16" s="182">
        <v>0.5</v>
      </c>
      <c r="M16" s="182">
        <v>9.6300000000000008</v>
      </c>
      <c r="N16" s="182">
        <v>0.47</v>
      </c>
      <c r="O16" s="182">
        <v>0.5</v>
      </c>
      <c r="Q16" s="433"/>
      <c r="R16" s="433"/>
      <c r="S16" s="433"/>
    </row>
    <row r="17" spans="1:15" x14ac:dyDescent="0.2">
      <c r="A17" s="113" t="s">
        <v>175</v>
      </c>
      <c r="B17" s="111">
        <v>20</v>
      </c>
      <c r="C17" s="182">
        <v>0.60499999999999998</v>
      </c>
      <c r="D17" s="182">
        <v>16.11</v>
      </c>
      <c r="E17" s="111">
        <v>10</v>
      </c>
      <c r="F17" s="182">
        <v>0.59</v>
      </c>
      <c r="G17" s="182">
        <v>2.06</v>
      </c>
      <c r="J17" s="448"/>
      <c r="K17" s="113" t="s">
        <v>175</v>
      </c>
      <c r="L17" s="182">
        <v>0.56999999999999995</v>
      </c>
      <c r="M17" s="182">
        <v>16.11</v>
      </c>
      <c r="N17" s="182">
        <v>0.53</v>
      </c>
      <c r="O17" s="182">
        <v>2.06</v>
      </c>
    </row>
    <row r="18" spans="1:15" x14ac:dyDescent="0.2">
      <c r="A18" s="113" t="s">
        <v>176</v>
      </c>
      <c r="B18" s="111">
        <v>20</v>
      </c>
      <c r="C18" s="182">
        <v>0.52</v>
      </c>
      <c r="D18" s="182">
        <v>5.13</v>
      </c>
      <c r="E18" s="111">
        <v>10</v>
      </c>
      <c r="F18" s="182">
        <v>0.52</v>
      </c>
      <c r="G18" s="182">
        <v>0.75</v>
      </c>
      <c r="J18" s="448"/>
      <c r="K18" s="113" t="s">
        <v>176</v>
      </c>
      <c r="L18" s="182">
        <v>0.45</v>
      </c>
      <c r="M18" s="182">
        <v>0.94</v>
      </c>
      <c r="N18" s="182">
        <v>0.45</v>
      </c>
      <c r="O18" s="182">
        <v>0.49</v>
      </c>
    </row>
    <row r="19" spans="1:15" x14ac:dyDescent="0.2">
      <c r="J19" s="448"/>
      <c r="K19" s="110" t="s">
        <v>268</v>
      </c>
      <c r="L19" s="181">
        <f>AVERAGE(L7:L18)</f>
        <v>0.76249999999999984</v>
      </c>
      <c r="M19" s="181">
        <f>MAX(M7:M18)</f>
        <v>17.079999999999998</v>
      </c>
      <c r="N19" s="181">
        <f>AVERAGE(N7:N18)</f>
        <v>0.76916666666666655</v>
      </c>
      <c r="O19" s="181">
        <f>MAX(O7:O18)</f>
        <v>2.06</v>
      </c>
    </row>
    <row r="21" spans="1:15" ht="30" x14ac:dyDescent="0.2">
      <c r="J21" s="109">
        <f>+A6</f>
        <v>2022</v>
      </c>
      <c r="K21" s="109" t="s">
        <v>266</v>
      </c>
      <c r="L21" s="114" t="s">
        <v>160</v>
      </c>
      <c r="M21" s="114" t="s">
        <v>161</v>
      </c>
      <c r="N21" s="114" t="s">
        <v>163</v>
      </c>
      <c r="O21" s="114" t="s">
        <v>164</v>
      </c>
    </row>
    <row r="22" spans="1:15" x14ac:dyDescent="0.2">
      <c r="J22" s="448" t="s">
        <v>111</v>
      </c>
      <c r="K22" s="113" t="s">
        <v>165</v>
      </c>
      <c r="L22" s="182">
        <v>0.73</v>
      </c>
      <c r="M22" s="182">
        <v>1.55</v>
      </c>
      <c r="N22" s="182">
        <v>0.73</v>
      </c>
      <c r="O22" s="182">
        <v>0.87</v>
      </c>
    </row>
    <row r="23" spans="1:15" x14ac:dyDescent="0.2">
      <c r="J23" s="448"/>
      <c r="K23" s="113" t="s">
        <v>166</v>
      </c>
      <c r="L23" s="182">
        <v>0.65</v>
      </c>
      <c r="M23" s="182">
        <v>1.38</v>
      </c>
      <c r="N23" s="182">
        <v>0.66</v>
      </c>
      <c r="O23" s="182">
        <v>0.91</v>
      </c>
    </row>
    <row r="24" spans="1:15" x14ac:dyDescent="0.2">
      <c r="J24" s="448"/>
      <c r="K24" s="113" t="s">
        <v>167</v>
      </c>
      <c r="L24" s="182">
        <v>0.67</v>
      </c>
      <c r="M24" s="182">
        <v>1.36</v>
      </c>
      <c r="N24" s="182">
        <v>0.67</v>
      </c>
      <c r="O24" s="182">
        <v>0.92</v>
      </c>
    </row>
    <row r="25" spans="1:15" x14ac:dyDescent="0.2">
      <c r="J25" s="448"/>
      <c r="K25" s="113" t="s">
        <v>168</v>
      </c>
      <c r="L25" s="182">
        <v>0.65</v>
      </c>
      <c r="M25" s="182">
        <v>1.81</v>
      </c>
      <c r="N25" s="182">
        <v>0.65</v>
      </c>
      <c r="O25" s="182">
        <v>0.73</v>
      </c>
    </row>
    <row r="26" spans="1:15" x14ac:dyDescent="0.2">
      <c r="J26" s="448"/>
      <c r="K26" s="113" t="s">
        <v>169</v>
      </c>
      <c r="L26" s="182">
        <v>0.69</v>
      </c>
      <c r="M26" s="182">
        <v>4.05</v>
      </c>
      <c r="N26" s="182">
        <v>0.69</v>
      </c>
      <c r="O26" s="182">
        <v>1.28</v>
      </c>
    </row>
    <row r="27" spans="1:15" x14ac:dyDescent="0.2">
      <c r="J27" s="448"/>
      <c r="K27" s="113" t="s">
        <v>170</v>
      </c>
      <c r="L27" s="182">
        <v>0.59</v>
      </c>
      <c r="M27" s="182">
        <v>2.1</v>
      </c>
      <c r="N27" s="182">
        <v>0.59</v>
      </c>
      <c r="O27" s="182">
        <v>0.81</v>
      </c>
    </row>
    <row r="28" spans="1:15" x14ac:dyDescent="0.2">
      <c r="J28" s="448"/>
      <c r="K28" s="113" t="s">
        <v>171</v>
      </c>
      <c r="L28" s="182">
        <v>0.85</v>
      </c>
      <c r="M28" s="182">
        <v>2.3199999999999998</v>
      </c>
      <c r="N28" s="182">
        <v>0.85</v>
      </c>
      <c r="O28" s="182">
        <v>0.95</v>
      </c>
    </row>
    <row r="29" spans="1:15" x14ac:dyDescent="0.2">
      <c r="J29" s="448"/>
      <c r="K29" s="113" t="s">
        <v>172</v>
      </c>
      <c r="L29" s="182">
        <v>0.82</v>
      </c>
      <c r="M29" s="182">
        <v>2.81</v>
      </c>
      <c r="N29" s="182">
        <v>0.81</v>
      </c>
      <c r="O29" s="182">
        <v>0.96</v>
      </c>
    </row>
    <row r="30" spans="1:15" x14ac:dyDescent="0.2">
      <c r="J30" s="448"/>
      <c r="K30" s="113" t="s">
        <v>173</v>
      </c>
      <c r="L30" s="182">
        <v>0.64</v>
      </c>
      <c r="M30" s="182">
        <v>1.89</v>
      </c>
      <c r="N30" s="182">
        <v>0.64</v>
      </c>
      <c r="O30" s="182">
        <v>0.83</v>
      </c>
    </row>
    <row r="31" spans="1:15" x14ac:dyDescent="0.2">
      <c r="J31" s="448"/>
      <c r="K31" s="113" t="s">
        <v>174</v>
      </c>
      <c r="L31" s="182">
        <v>0.61</v>
      </c>
      <c r="M31" s="182">
        <v>1.74</v>
      </c>
      <c r="N31" s="182">
        <v>0.61</v>
      </c>
      <c r="O31" s="182">
        <v>0.72</v>
      </c>
    </row>
    <row r="32" spans="1:15" x14ac:dyDescent="0.2">
      <c r="J32" s="448"/>
      <c r="K32" s="113" t="s">
        <v>175</v>
      </c>
      <c r="L32" s="182">
        <v>0.64</v>
      </c>
      <c r="M32" s="182">
        <v>2.46</v>
      </c>
      <c r="N32" s="182">
        <v>0.64</v>
      </c>
      <c r="O32" s="182">
        <v>0.74</v>
      </c>
    </row>
    <row r="33" spans="1:15" x14ac:dyDescent="0.2">
      <c r="J33" s="448"/>
      <c r="K33" s="113" t="s">
        <v>176</v>
      </c>
      <c r="L33" s="182">
        <v>0.64</v>
      </c>
      <c r="M33" s="182">
        <v>5.13</v>
      </c>
      <c r="N33" s="182">
        <v>0.65</v>
      </c>
      <c r="O33" s="182">
        <v>0.75</v>
      </c>
    </row>
    <row r="34" spans="1:15" x14ac:dyDescent="0.2">
      <c r="J34" s="448"/>
      <c r="K34" s="110" t="s">
        <v>268</v>
      </c>
      <c r="L34" s="181">
        <f>AVERAGE(L22:L33)</f>
        <v>0.68166666666666664</v>
      </c>
      <c r="M34" s="181">
        <f>MAX(M22:M33)</f>
        <v>5.13</v>
      </c>
      <c r="N34" s="181">
        <f>AVERAGE(N22:N33)</f>
        <v>0.6825</v>
      </c>
      <c r="O34" s="181">
        <f>MAX(O22:O33)</f>
        <v>1.28</v>
      </c>
    </row>
    <row r="48" spans="1:15" ht="15" x14ac:dyDescent="0.2">
      <c r="A48" s="445" t="s">
        <v>208</v>
      </c>
      <c r="B48" s="446"/>
      <c r="C48" s="446"/>
      <c r="D48" s="446"/>
      <c r="E48" s="446"/>
      <c r="F48" s="446"/>
      <c r="G48" s="447"/>
    </row>
    <row r="49" spans="1:7" x14ac:dyDescent="0.2">
      <c r="A49" s="436"/>
      <c r="B49" s="437"/>
      <c r="C49" s="437"/>
      <c r="D49" s="437"/>
      <c r="E49" s="437"/>
      <c r="F49" s="437"/>
      <c r="G49" s="438"/>
    </row>
    <row r="50" spans="1:7" x14ac:dyDescent="0.2">
      <c r="A50" s="439"/>
      <c r="B50" s="440"/>
      <c r="C50" s="440"/>
      <c r="D50" s="440"/>
      <c r="E50" s="440"/>
      <c r="F50" s="440"/>
      <c r="G50" s="441"/>
    </row>
    <row r="51" spans="1:7" x14ac:dyDescent="0.2">
      <c r="A51" s="439"/>
      <c r="B51" s="440"/>
      <c r="C51" s="440"/>
      <c r="D51" s="440"/>
      <c r="E51" s="440"/>
      <c r="F51" s="440"/>
      <c r="G51" s="441"/>
    </row>
    <row r="52" spans="1:7" x14ac:dyDescent="0.2">
      <c r="A52" s="442"/>
      <c r="B52" s="443"/>
      <c r="C52" s="443"/>
      <c r="D52" s="443"/>
      <c r="E52" s="443"/>
      <c r="F52" s="443"/>
      <c r="G52" s="444"/>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52"/>
  <sheetViews>
    <sheetView topLeftCell="A23" workbookViewId="0">
      <selection activeCell="K58" sqref="K58"/>
    </sheetView>
  </sheetViews>
  <sheetFormatPr defaultRowHeight="14.25" x14ac:dyDescent="0.2"/>
  <cols>
    <col min="1" max="1" width="14" style="3" customWidth="1"/>
    <col min="2" max="4" width="17" style="66" customWidth="1"/>
    <col min="5" max="5" width="14.5703125" style="66" customWidth="1"/>
    <col min="6" max="7" width="17" style="66"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2.42578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 x14ac:dyDescent="0.2">
      <c r="A1" s="2" t="str">
        <f>+'Cover Page'!$B$29</f>
        <v>Annual Performance Report 2022</v>
      </c>
      <c r="B1" s="2"/>
      <c r="C1" s="2"/>
      <c r="D1" s="2"/>
      <c r="E1" s="2" t="str">
        <f>+'Cover Page'!$B$33</f>
        <v>enfinium Ferrybridge 1 Ltd</v>
      </c>
    </row>
    <row r="3" spans="1:19" ht="15" x14ac:dyDescent="0.25">
      <c r="A3" s="108" t="s">
        <v>272</v>
      </c>
      <c r="D3" s="124" t="s">
        <v>302</v>
      </c>
      <c r="G3" s="128" t="s">
        <v>310</v>
      </c>
      <c r="J3" s="11" t="str">
        <f>+A3</f>
        <v>Monitoring of Particulate matter emissions</v>
      </c>
      <c r="L3" s="11"/>
      <c r="N3" s="11" t="s">
        <v>303</v>
      </c>
      <c r="Q3" s="127" t="s">
        <v>297</v>
      </c>
      <c r="R3" s="122"/>
      <c r="S3" s="122"/>
    </row>
    <row r="4" spans="1:19" ht="14.1" customHeight="1" x14ac:dyDescent="0.2">
      <c r="Q4" s="386" t="s">
        <v>308</v>
      </c>
      <c r="R4" s="386"/>
      <c r="S4" s="386"/>
    </row>
    <row r="5" spans="1:19" ht="17.25" x14ac:dyDescent="0.25">
      <c r="A5" s="115" t="s">
        <v>267</v>
      </c>
      <c r="B5" s="435" t="s">
        <v>265</v>
      </c>
      <c r="C5" s="435"/>
      <c r="D5" s="435"/>
      <c r="E5" s="435" t="s">
        <v>264</v>
      </c>
      <c r="F5" s="435"/>
      <c r="G5" s="435"/>
      <c r="J5" s="434"/>
      <c r="K5" s="434"/>
      <c r="L5" s="434"/>
      <c r="M5" s="434"/>
      <c r="N5" s="434"/>
      <c r="O5" s="434"/>
      <c r="Q5" s="386"/>
      <c r="R5" s="386"/>
      <c r="S5" s="386"/>
    </row>
    <row r="6" spans="1:19" s="106" customFormat="1" ht="37.5" customHeight="1" x14ac:dyDescent="0.25">
      <c r="A6" s="112">
        <f>+'Cover Page'!C39</f>
        <v>2022</v>
      </c>
      <c r="B6" s="102" t="s">
        <v>183</v>
      </c>
      <c r="C6" s="102" t="s">
        <v>160</v>
      </c>
      <c r="D6" s="102" t="s">
        <v>320</v>
      </c>
      <c r="E6" s="102" t="s">
        <v>184</v>
      </c>
      <c r="F6" s="102" t="s">
        <v>163</v>
      </c>
      <c r="G6" s="102" t="s">
        <v>321</v>
      </c>
      <c r="H6" s="107"/>
      <c r="J6" s="109">
        <f>+A6</f>
        <v>2022</v>
      </c>
      <c r="K6" s="109" t="s">
        <v>266</v>
      </c>
      <c r="L6" s="114" t="s">
        <v>160</v>
      </c>
      <c r="M6" s="114" t="s">
        <v>161</v>
      </c>
      <c r="N6" s="114" t="s">
        <v>163</v>
      </c>
      <c r="O6" s="114" t="s">
        <v>164</v>
      </c>
      <c r="Q6" s="386"/>
      <c r="R6" s="386"/>
      <c r="S6" s="386"/>
    </row>
    <row r="7" spans="1:19" x14ac:dyDescent="0.2">
      <c r="A7" s="113" t="s">
        <v>165</v>
      </c>
      <c r="B7" s="111">
        <v>30</v>
      </c>
      <c r="C7" s="182">
        <v>4.8899999999999997</v>
      </c>
      <c r="D7" s="182">
        <v>40.75</v>
      </c>
      <c r="E7" s="111">
        <v>10</v>
      </c>
      <c r="F7" s="182">
        <v>4.8899999999999997</v>
      </c>
      <c r="G7" s="182">
        <v>6.37</v>
      </c>
      <c r="J7" s="448" t="s">
        <v>110</v>
      </c>
      <c r="K7" s="113" t="s">
        <v>165</v>
      </c>
      <c r="L7" s="182">
        <v>5.03</v>
      </c>
      <c r="M7" s="182">
        <v>11.48</v>
      </c>
      <c r="N7" s="182">
        <v>5.03</v>
      </c>
      <c r="O7" s="182">
        <v>6.28</v>
      </c>
      <c r="Q7" s="386"/>
      <c r="R7" s="386"/>
      <c r="S7" s="386"/>
    </row>
    <row r="8" spans="1:19" x14ac:dyDescent="0.2">
      <c r="A8" s="113" t="s">
        <v>166</v>
      </c>
      <c r="B8" s="111">
        <v>30</v>
      </c>
      <c r="C8" s="182">
        <v>2.36</v>
      </c>
      <c r="D8" s="182">
        <v>29.33</v>
      </c>
      <c r="E8" s="111">
        <v>10</v>
      </c>
      <c r="F8" s="182">
        <v>2.1800000000000002</v>
      </c>
      <c r="G8" s="182">
        <v>7.62</v>
      </c>
      <c r="J8" s="448"/>
      <c r="K8" s="113" t="s">
        <v>166</v>
      </c>
      <c r="L8" s="182">
        <v>0.91</v>
      </c>
      <c r="M8" s="182">
        <v>20.21</v>
      </c>
      <c r="N8" s="182">
        <v>0.71</v>
      </c>
      <c r="O8" s="182">
        <v>0.91</v>
      </c>
      <c r="Q8" s="386"/>
      <c r="R8" s="386"/>
      <c r="S8" s="386"/>
    </row>
    <row r="9" spans="1:19" ht="15" x14ac:dyDescent="0.25">
      <c r="A9" s="113" t="s">
        <v>167</v>
      </c>
      <c r="B9" s="111">
        <v>30</v>
      </c>
      <c r="C9" s="182">
        <v>0.65</v>
      </c>
      <c r="D9" s="182">
        <v>106.9</v>
      </c>
      <c r="E9" s="111">
        <v>10</v>
      </c>
      <c r="F9" s="182">
        <v>0.65</v>
      </c>
      <c r="G9" s="182">
        <v>5.91</v>
      </c>
      <c r="J9" s="448"/>
      <c r="K9" s="113" t="s">
        <v>167</v>
      </c>
      <c r="L9" s="182">
        <v>0.91</v>
      </c>
      <c r="M9" s="182">
        <v>106.9</v>
      </c>
      <c r="N9" s="182">
        <v>0.92</v>
      </c>
      <c r="O9" s="182">
        <v>5.91</v>
      </c>
      <c r="Q9" s="126" t="s">
        <v>309</v>
      </c>
    </row>
    <row r="10" spans="1:19" ht="14.25" customHeight="1" x14ac:dyDescent="0.2">
      <c r="A10" s="113" t="s">
        <v>168</v>
      </c>
      <c r="B10" s="111">
        <v>30</v>
      </c>
      <c r="C10" s="182">
        <v>0.49</v>
      </c>
      <c r="D10" s="182">
        <v>2.36</v>
      </c>
      <c r="E10" s="111">
        <v>10</v>
      </c>
      <c r="F10" s="182">
        <v>0.49</v>
      </c>
      <c r="G10" s="182">
        <v>0.81</v>
      </c>
      <c r="J10" s="448"/>
      <c r="K10" s="113" t="s">
        <v>168</v>
      </c>
      <c r="L10" s="182">
        <v>0.65</v>
      </c>
      <c r="M10" s="182">
        <v>2.36</v>
      </c>
      <c r="N10" s="182">
        <v>0.65</v>
      </c>
      <c r="O10" s="182">
        <v>0.81</v>
      </c>
      <c r="Q10" s="433" t="s">
        <v>327</v>
      </c>
      <c r="R10" s="433"/>
      <c r="S10" s="433"/>
    </row>
    <row r="11" spans="1:19" x14ac:dyDescent="0.2">
      <c r="A11" s="113" t="s">
        <v>169</v>
      </c>
      <c r="B11" s="111">
        <v>30</v>
      </c>
      <c r="C11" s="182">
        <v>0.5</v>
      </c>
      <c r="D11" s="182">
        <v>1.39</v>
      </c>
      <c r="E11" s="111">
        <v>10</v>
      </c>
      <c r="F11" s="182">
        <v>0.5</v>
      </c>
      <c r="G11" s="182">
        <v>0.84</v>
      </c>
      <c r="J11" s="448"/>
      <c r="K11" s="113" t="s">
        <v>169</v>
      </c>
      <c r="L11" s="182">
        <v>0.63</v>
      </c>
      <c r="M11" s="182">
        <v>1.39</v>
      </c>
      <c r="N11" s="182">
        <v>0.63</v>
      </c>
      <c r="O11" s="182">
        <v>0.84</v>
      </c>
      <c r="Q11" s="433"/>
      <c r="R11" s="433"/>
      <c r="S11" s="433"/>
    </row>
    <row r="12" spans="1:19" x14ac:dyDescent="0.2">
      <c r="A12" s="113" t="s">
        <v>170</v>
      </c>
      <c r="B12" s="111">
        <v>30</v>
      </c>
      <c r="C12" s="182">
        <v>0.55000000000000004</v>
      </c>
      <c r="D12" s="182">
        <v>2.17</v>
      </c>
      <c r="E12" s="111">
        <v>10</v>
      </c>
      <c r="F12" s="182">
        <v>0.55000000000000004</v>
      </c>
      <c r="G12" s="182">
        <v>0.87</v>
      </c>
      <c r="J12" s="448"/>
      <c r="K12" s="113" t="s">
        <v>170</v>
      </c>
      <c r="L12" s="182">
        <v>0.65</v>
      </c>
      <c r="M12" s="182">
        <v>2.17</v>
      </c>
      <c r="N12" s="182">
        <v>0.65</v>
      </c>
      <c r="O12" s="182">
        <v>0.87</v>
      </c>
      <c r="Q12" s="433"/>
      <c r="R12" s="433"/>
      <c r="S12" s="433"/>
    </row>
    <row r="13" spans="1:19" ht="14.25" customHeight="1" x14ac:dyDescent="0.2">
      <c r="A13" s="113" t="s">
        <v>171</v>
      </c>
      <c r="B13" s="111">
        <v>30</v>
      </c>
      <c r="C13" s="182">
        <v>0.57999999999999996</v>
      </c>
      <c r="D13" s="182">
        <v>1.97</v>
      </c>
      <c r="E13" s="111">
        <v>10</v>
      </c>
      <c r="F13" s="182">
        <v>0.57999999999999996</v>
      </c>
      <c r="G13" s="182">
        <v>1.1299999999999999</v>
      </c>
      <c r="J13" s="448"/>
      <c r="K13" s="113" t="s">
        <v>171</v>
      </c>
      <c r="L13" s="182">
        <v>0.72</v>
      </c>
      <c r="M13" s="182">
        <v>1.97</v>
      </c>
      <c r="N13" s="182">
        <v>0.72</v>
      </c>
      <c r="O13" s="182">
        <v>1.1299999999999999</v>
      </c>
      <c r="Q13" s="433" t="s">
        <v>333</v>
      </c>
      <c r="R13" s="433"/>
      <c r="S13" s="433"/>
    </row>
    <row r="14" spans="1:19" x14ac:dyDescent="0.2">
      <c r="A14" s="113" t="s">
        <v>172</v>
      </c>
      <c r="B14" s="111">
        <v>30</v>
      </c>
      <c r="C14" s="182">
        <v>0.43</v>
      </c>
      <c r="D14" s="182">
        <v>1.25</v>
      </c>
      <c r="E14" s="111">
        <v>10</v>
      </c>
      <c r="F14" s="182">
        <v>0.43</v>
      </c>
      <c r="G14" s="182">
        <v>0.57999999999999996</v>
      </c>
      <c r="J14" s="448"/>
      <c r="K14" s="113" t="s">
        <v>172</v>
      </c>
      <c r="L14" s="182">
        <v>0.48</v>
      </c>
      <c r="M14" s="182">
        <v>1.25</v>
      </c>
      <c r="N14" s="182">
        <v>0.47</v>
      </c>
      <c r="O14" s="182">
        <v>0.57999999999999996</v>
      </c>
      <c r="Q14" s="433"/>
      <c r="R14" s="433"/>
      <c r="S14" s="433"/>
    </row>
    <row r="15" spans="1:19" x14ac:dyDescent="0.2">
      <c r="A15" s="113" t="s">
        <v>173</v>
      </c>
      <c r="B15" s="111">
        <v>30</v>
      </c>
      <c r="C15" s="182">
        <v>0.41</v>
      </c>
      <c r="D15" s="182">
        <v>9.4600000000000009</v>
      </c>
      <c r="E15" s="111">
        <v>10</v>
      </c>
      <c r="F15" s="182">
        <v>0.39</v>
      </c>
      <c r="G15" s="182">
        <v>0.56999999999999995</v>
      </c>
      <c r="J15" s="448"/>
      <c r="K15" s="113" t="s">
        <v>173</v>
      </c>
      <c r="L15" s="182">
        <v>0.49</v>
      </c>
      <c r="M15" s="182">
        <v>9.4600000000000009</v>
      </c>
      <c r="N15" s="182">
        <v>0.45</v>
      </c>
      <c r="O15" s="182">
        <v>0.56999999999999995</v>
      </c>
      <c r="Q15" s="433"/>
      <c r="R15" s="433"/>
      <c r="S15" s="433"/>
    </row>
    <row r="16" spans="1:19" x14ac:dyDescent="0.2">
      <c r="A16" s="113" t="s">
        <v>174</v>
      </c>
      <c r="B16" s="111">
        <v>30</v>
      </c>
      <c r="C16" s="182">
        <v>0.59</v>
      </c>
      <c r="D16" s="182">
        <v>1.52</v>
      </c>
      <c r="E16" s="111">
        <v>10</v>
      </c>
      <c r="F16" s="182">
        <v>0.59</v>
      </c>
      <c r="G16" s="182">
        <v>1.24</v>
      </c>
      <c r="J16" s="448"/>
      <c r="K16" s="113" t="s">
        <v>174</v>
      </c>
      <c r="L16" s="182">
        <v>0.49</v>
      </c>
      <c r="M16" s="182">
        <v>1.52</v>
      </c>
      <c r="N16" s="182">
        <v>0.49</v>
      </c>
      <c r="O16" s="182">
        <v>0.6</v>
      </c>
      <c r="Q16" s="433"/>
      <c r="R16" s="433"/>
      <c r="S16" s="433"/>
    </row>
    <row r="17" spans="1:15" x14ac:dyDescent="0.2">
      <c r="A17" s="113" t="s">
        <v>175</v>
      </c>
      <c r="B17" s="111">
        <v>30</v>
      </c>
      <c r="C17" s="182">
        <v>0.9</v>
      </c>
      <c r="D17" s="182">
        <v>4.62</v>
      </c>
      <c r="E17" s="111">
        <v>10</v>
      </c>
      <c r="F17" s="182">
        <v>0.9</v>
      </c>
      <c r="G17" s="182">
        <v>3.06</v>
      </c>
      <c r="J17" s="448"/>
      <c r="K17" s="113" t="s">
        <v>175</v>
      </c>
      <c r="L17" s="182">
        <v>0.78</v>
      </c>
      <c r="M17" s="182">
        <v>3.69</v>
      </c>
      <c r="N17" s="182">
        <v>0.78</v>
      </c>
      <c r="O17" s="182">
        <v>2.25</v>
      </c>
    </row>
    <row r="18" spans="1:15" x14ac:dyDescent="0.2">
      <c r="A18" s="113" t="s">
        <v>176</v>
      </c>
      <c r="B18" s="111">
        <v>30</v>
      </c>
      <c r="C18" s="182">
        <v>0.9</v>
      </c>
      <c r="D18" s="182">
        <v>2.58</v>
      </c>
      <c r="E18" s="111">
        <v>10</v>
      </c>
      <c r="F18" s="182">
        <v>0.92</v>
      </c>
      <c r="G18" s="182">
        <v>1.84</v>
      </c>
      <c r="J18" s="448"/>
      <c r="K18" s="113" t="s">
        <v>176</v>
      </c>
      <c r="L18" s="182">
        <v>1.22</v>
      </c>
      <c r="M18" s="182">
        <v>2.58</v>
      </c>
      <c r="N18" s="182">
        <v>1.22</v>
      </c>
      <c r="O18" s="182">
        <v>1.84</v>
      </c>
    </row>
    <row r="19" spans="1:15" x14ac:dyDescent="0.2">
      <c r="J19" s="448"/>
      <c r="K19" s="110" t="s">
        <v>268</v>
      </c>
      <c r="L19" s="181">
        <f>AVERAGE(L7:L18)</f>
        <v>1.0800000000000003</v>
      </c>
      <c r="M19" s="181">
        <f>MAX(M7:M18)</f>
        <v>106.9</v>
      </c>
      <c r="N19" s="181">
        <f>AVERAGE(N7:N18)</f>
        <v>1.06</v>
      </c>
      <c r="O19" s="181">
        <f>MAX(O7:O18)</f>
        <v>6.28</v>
      </c>
    </row>
    <row r="21" spans="1:15" ht="30" x14ac:dyDescent="0.2">
      <c r="J21" s="109">
        <f>+A6</f>
        <v>2022</v>
      </c>
      <c r="K21" s="109" t="s">
        <v>266</v>
      </c>
      <c r="L21" s="114" t="s">
        <v>160</v>
      </c>
      <c r="M21" s="114" t="s">
        <v>161</v>
      </c>
      <c r="N21" s="114" t="s">
        <v>163</v>
      </c>
      <c r="O21" s="114" t="s">
        <v>164</v>
      </c>
    </row>
    <row r="22" spans="1:15" x14ac:dyDescent="0.2">
      <c r="J22" s="448" t="s">
        <v>111</v>
      </c>
      <c r="K22" s="113" t="s">
        <v>165</v>
      </c>
      <c r="L22" s="182">
        <v>4.76</v>
      </c>
      <c r="M22" s="182">
        <v>40.75</v>
      </c>
      <c r="N22" s="182">
        <v>4.76</v>
      </c>
      <c r="O22" s="182">
        <v>6.37</v>
      </c>
    </row>
    <row r="23" spans="1:15" x14ac:dyDescent="0.2">
      <c r="J23" s="448"/>
      <c r="K23" s="113" t="s">
        <v>166</v>
      </c>
      <c r="L23" s="182">
        <v>3.95</v>
      </c>
      <c r="M23" s="182">
        <v>29.33</v>
      </c>
      <c r="N23" s="182">
        <v>3.99</v>
      </c>
      <c r="O23" s="182">
        <v>7.62</v>
      </c>
    </row>
    <row r="24" spans="1:15" x14ac:dyDescent="0.2">
      <c r="J24" s="448"/>
      <c r="K24" s="113" t="s">
        <v>167</v>
      </c>
      <c r="L24" s="182">
        <v>0.39</v>
      </c>
      <c r="M24" s="182">
        <v>0.79</v>
      </c>
      <c r="N24" s="182">
        <v>0.39</v>
      </c>
      <c r="O24" s="182">
        <v>0.45</v>
      </c>
    </row>
    <row r="25" spans="1:15" x14ac:dyDescent="0.2">
      <c r="J25" s="448"/>
      <c r="K25" s="113" t="s">
        <v>168</v>
      </c>
      <c r="L25" s="182">
        <v>0.34</v>
      </c>
      <c r="M25" s="182">
        <v>1.07</v>
      </c>
      <c r="N25" s="182">
        <v>0.34</v>
      </c>
      <c r="O25" s="182">
        <v>0.42</v>
      </c>
    </row>
    <row r="26" spans="1:15" x14ac:dyDescent="0.2">
      <c r="J26" s="448"/>
      <c r="K26" s="113" t="s">
        <v>169</v>
      </c>
      <c r="L26" s="182">
        <v>0.37</v>
      </c>
      <c r="M26" s="182">
        <v>0.52</v>
      </c>
      <c r="N26" s="182">
        <v>0.37</v>
      </c>
      <c r="O26" s="182">
        <v>0.43</v>
      </c>
    </row>
    <row r="27" spans="1:15" x14ac:dyDescent="0.2">
      <c r="J27" s="448"/>
      <c r="K27" s="113" t="s">
        <v>170</v>
      </c>
      <c r="L27" s="182">
        <v>0.46</v>
      </c>
      <c r="M27" s="182">
        <v>1.19</v>
      </c>
      <c r="N27" s="182">
        <v>0.46</v>
      </c>
      <c r="O27" s="182">
        <v>0.56000000000000005</v>
      </c>
    </row>
    <row r="28" spans="1:15" x14ac:dyDescent="0.2">
      <c r="J28" s="448"/>
      <c r="K28" s="113" t="s">
        <v>171</v>
      </c>
      <c r="L28" s="182">
        <v>0.43</v>
      </c>
      <c r="M28" s="182">
        <v>0.77</v>
      </c>
      <c r="N28" s="182">
        <v>0.43</v>
      </c>
      <c r="O28" s="182">
        <v>0.53</v>
      </c>
    </row>
    <row r="29" spans="1:15" x14ac:dyDescent="0.2">
      <c r="J29" s="448"/>
      <c r="K29" s="113" t="s">
        <v>172</v>
      </c>
      <c r="L29" s="182">
        <v>0.4</v>
      </c>
      <c r="M29" s="182">
        <v>0.81</v>
      </c>
      <c r="N29" s="182">
        <v>0.4</v>
      </c>
      <c r="O29" s="182">
        <v>0.5</v>
      </c>
    </row>
    <row r="30" spans="1:15" x14ac:dyDescent="0.2">
      <c r="J30" s="448"/>
      <c r="K30" s="113" t="s">
        <v>173</v>
      </c>
      <c r="L30" s="182">
        <v>0.34</v>
      </c>
      <c r="M30" s="182">
        <v>7.51</v>
      </c>
      <c r="N30" s="182">
        <v>0.34</v>
      </c>
      <c r="O30" s="182">
        <v>0.54</v>
      </c>
    </row>
    <row r="31" spans="1:15" x14ac:dyDescent="0.2">
      <c r="J31" s="448"/>
      <c r="K31" s="113" t="s">
        <v>174</v>
      </c>
      <c r="L31" s="182">
        <v>0.67</v>
      </c>
      <c r="M31" s="182">
        <v>1.43</v>
      </c>
      <c r="N31" s="182">
        <v>0.67</v>
      </c>
      <c r="O31" s="182">
        <v>1.24</v>
      </c>
    </row>
    <row r="32" spans="1:15" x14ac:dyDescent="0.2">
      <c r="J32" s="448"/>
      <c r="K32" s="113" t="s">
        <v>175</v>
      </c>
      <c r="L32" s="182">
        <v>0.99</v>
      </c>
      <c r="M32" s="182">
        <v>4.62</v>
      </c>
      <c r="N32" s="182">
        <v>0.99</v>
      </c>
      <c r="O32" s="182">
        <v>3.06</v>
      </c>
    </row>
    <row r="33" spans="1:15" x14ac:dyDescent="0.2">
      <c r="J33" s="448"/>
      <c r="K33" s="113" t="s">
        <v>176</v>
      </c>
      <c r="L33" s="182">
        <v>0.42</v>
      </c>
      <c r="M33" s="182">
        <v>1.23</v>
      </c>
      <c r="N33" s="182">
        <v>0.43</v>
      </c>
      <c r="O33" s="182">
        <v>0.56999999999999995</v>
      </c>
    </row>
    <row r="34" spans="1:15" x14ac:dyDescent="0.2">
      <c r="J34" s="448"/>
      <c r="K34" s="110" t="s">
        <v>268</v>
      </c>
      <c r="L34" s="181">
        <f>AVERAGE(L22:L33)</f>
        <v>1.1266666666666667</v>
      </c>
      <c r="M34" s="181">
        <f>MAX(M22:M33)</f>
        <v>40.75</v>
      </c>
      <c r="N34" s="181">
        <f>AVERAGE(N22:N33)</f>
        <v>1.1308333333333334</v>
      </c>
      <c r="O34" s="181">
        <f>MAX(O22:O33)</f>
        <v>7.62</v>
      </c>
    </row>
    <row r="48" spans="1:15" ht="15" x14ac:dyDescent="0.2">
      <c r="A48" s="445" t="s">
        <v>208</v>
      </c>
      <c r="B48" s="446"/>
      <c r="C48" s="446"/>
      <c r="D48" s="446"/>
      <c r="E48" s="446"/>
      <c r="F48" s="446"/>
      <c r="G48" s="447"/>
    </row>
    <row r="49" spans="1:7" x14ac:dyDescent="0.2">
      <c r="A49" s="436"/>
      <c r="B49" s="437"/>
      <c r="C49" s="437"/>
      <c r="D49" s="437"/>
      <c r="E49" s="437"/>
      <c r="F49" s="437"/>
      <c r="G49" s="438"/>
    </row>
    <row r="50" spans="1:7" x14ac:dyDescent="0.2">
      <c r="A50" s="439"/>
      <c r="B50" s="440"/>
      <c r="C50" s="440"/>
      <c r="D50" s="440"/>
      <c r="E50" s="440"/>
      <c r="F50" s="440"/>
      <c r="G50" s="441"/>
    </row>
    <row r="51" spans="1:7" x14ac:dyDescent="0.2">
      <c r="A51" s="439"/>
      <c r="B51" s="440"/>
      <c r="C51" s="440"/>
      <c r="D51" s="440"/>
      <c r="E51" s="440"/>
      <c r="F51" s="440"/>
      <c r="G51" s="441"/>
    </row>
    <row r="52" spans="1:7" x14ac:dyDescent="0.2">
      <c r="A52" s="442"/>
      <c r="B52" s="443"/>
      <c r="C52" s="443"/>
      <c r="D52" s="443"/>
      <c r="E52" s="443"/>
      <c r="F52" s="443"/>
      <c r="G52" s="444"/>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52"/>
  <sheetViews>
    <sheetView topLeftCell="A12" workbookViewId="0">
      <selection activeCell="K58" sqref="K58"/>
    </sheetView>
  </sheetViews>
  <sheetFormatPr defaultRowHeight="14.25" x14ac:dyDescent="0.2"/>
  <cols>
    <col min="1" max="1" width="14" style="3" customWidth="1"/>
    <col min="2" max="4" width="17" style="66" customWidth="1"/>
    <col min="5" max="5" width="14.5703125" style="66" customWidth="1"/>
    <col min="6" max="7" width="17" style="66"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1.5703125"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 x14ac:dyDescent="0.2">
      <c r="A1" s="2" t="str">
        <f>+'Cover Page'!$B$29</f>
        <v>Annual Performance Report 2022</v>
      </c>
      <c r="B1" s="2"/>
      <c r="C1" s="2"/>
      <c r="D1" s="2"/>
      <c r="E1" s="2" t="str">
        <f>+'Cover Page'!$B$33</f>
        <v>enfinium Ferrybridge 1 Ltd</v>
      </c>
    </row>
    <row r="3" spans="1:19" ht="15" x14ac:dyDescent="0.25">
      <c r="A3" s="108" t="s">
        <v>305</v>
      </c>
      <c r="D3" s="124" t="s">
        <v>302</v>
      </c>
      <c r="G3" s="128" t="s">
        <v>310</v>
      </c>
      <c r="J3" s="11" t="str">
        <f>+A3</f>
        <v>Monitoring of Carbon Monoxide (half hourly)</v>
      </c>
      <c r="L3" s="11"/>
      <c r="N3" s="11" t="s">
        <v>303</v>
      </c>
      <c r="Q3" s="127" t="s">
        <v>297</v>
      </c>
      <c r="R3" s="122"/>
      <c r="S3" s="122"/>
    </row>
    <row r="4" spans="1:19" ht="14.1" customHeight="1" x14ac:dyDescent="0.2">
      <c r="Q4" s="386" t="s">
        <v>308</v>
      </c>
      <c r="R4" s="386"/>
      <c r="S4" s="386"/>
    </row>
    <row r="5" spans="1:19" ht="17.25" x14ac:dyDescent="0.25">
      <c r="A5" s="115" t="s">
        <v>267</v>
      </c>
      <c r="B5" s="435" t="s">
        <v>265</v>
      </c>
      <c r="C5" s="435"/>
      <c r="D5" s="435"/>
      <c r="E5" s="435" t="s">
        <v>264</v>
      </c>
      <c r="F5" s="435"/>
      <c r="G5" s="435"/>
      <c r="J5" s="434"/>
      <c r="K5" s="434"/>
      <c r="L5" s="434"/>
      <c r="M5" s="434"/>
      <c r="N5" s="434"/>
      <c r="O5" s="434"/>
      <c r="Q5" s="386"/>
      <c r="R5" s="386"/>
      <c r="S5" s="386"/>
    </row>
    <row r="6" spans="1:19" s="106" customFormat="1" ht="37.5" customHeight="1" x14ac:dyDescent="0.25">
      <c r="A6" s="112">
        <f>+'Cover Page'!C39</f>
        <v>2022</v>
      </c>
      <c r="B6" s="102" t="s">
        <v>186</v>
      </c>
      <c r="C6" s="102" t="s">
        <v>160</v>
      </c>
      <c r="D6" s="102" t="s">
        <v>320</v>
      </c>
      <c r="E6" s="102" t="s">
        <v>187</v>
      </c>
      <c r="F6" s="102" t="s">
        <v>163</v>
      </c>
      <c r="G6" s="102" t="s">
        <v>321</v>
      </c>
      <c r="H6" s="107"/>
      <c r="J6" s="109">
        <f>+A6</f>
        <v>2022</v>
      </c>
      <c r="K6" s="109" t="s">
        <v>266</v>
      </c>
      <c r="L6" s="114" t="s">
        <v>160</v>
      </c>
      <c r="M6" s="114" t="s">
        <v>161</v>
      </c>
      <c r="N6" s="114" t="s">
        <v>163</v>
      </c>
      <c r="O6" s="114" t="s">
        <v>164</v>
      </c>
      <c r="Q6" s="386"/>
      <c r="R6" s="386"/>
      <c r="S6" s="386"/>
    </row>
    <row r="7" spans="1:19" x14ac:dyDescent="0.2">
      <c r="A7" s="113" t="s">
        <v>165</v>
      </c>
      <c r="B7" s="116">
        <v>100</v>
      </c>
      <c r="C7" s="182">
        <v>6.69</v>
      </c>
      <c r="D7" s="182">
        <v>116.43</v>
      </c>
      <c r="E7" s="116">
        <v>50</v>
      </c>
      <c r="F7" s="182">
        <v>6.7</v>
      </c>
      <c r="G7" s="182">
        <v>10.52</v>
      </c>
      <c r="J7" s="448" t="s">
        <v>110</v>
      </c>
      <c r="K7" s="113" t="s">
        <v>165</v>
      </c>
      <c r="L7" s="182">
        <v>4.72</v>
      </c>
      <c r="M7" s="182">
        <v>79.97</v>
      </c>
      <c r="N7" s="182">
        <v>4.72</v>
      </c>
      <c r="O7" s="182">
        <v>6.68</v>
      </c>
      <c r="Q7" s="386"/>
      <c r="R7" s="386"/>
      <c r="S7" s="386"/>
    </row>
    <row r="8" spans="1:19" x14ac:dyDescent="0.2">
      <c r="A8" s="113" t="s">
        <v>166</v>
      </c>
      <c r="B8" s="111">
        <f>+B7</f>
        <v>100</v>
      </c>
      <c r="C8" s="182">
        <v>8.1</v>
      </c>
      <c r="D8" s="182">
        <v>185.45</v>
      </c>
      <c r="E8" s="111">
        <f>+E7</f>
        <v>50</v>
      </c>
      <c r="F8" s="182">
        <v>8.01</v>
      </c>
      <c r="G8" s="182">
        <v>13.43</v>
      </c>
      <c r="J8" s="448"/>
      <c r="K8" s="113" t="s">
        <v>166</v>
      </c>
      <c r="L8" s="182">
        <v>6.12</v>
      </c>
      <c r="M8" s="182">
        <v>185.45</v>
      </c>
      <c r="N8" s="182">
        <v>5.63</v>
      </c>
      <c r="O8" s="182">
        <v>6.27</v>
      </c>
      <c r="Q8" s="386"/>
      <c r="R8" s="386"/>
      <c r="S8" s="386"/>
    </row>
    <row r="9" spans="1:19" ht="15" x14ac:dyDescent="0.25">
      <c r="A9" s="113" t="s">
        <v>167</v>
      </c>
      <c r="B9" s="111">
        <f t="shared" ref="B9:B18" si="0">+B8</f>
        <v>100</v>
      </c>
      <c r="C9" s="182">
        <v>5.39</v>
      </c>
      <c r="D9" s="182">
        <v>29.23</v>
      </c>
      <c r="E9" s="111">
        <f t="shared" ref="E9:E18" si="1">+E8</f>
        <v>50</v>
      </c>
      <c r="F9" s="182">
        <v>5.39</v>
      </c>
      <c r="G9" s="182">
        <v>9.33</v>
      </c>
      <c r="J9" s="448"/>
      <c r="K9" s="113" t="s">
        <v>167</v>
      </c>
      <c r="L9" s="182">
        <v>5.14</v>
      </c>
      <c r="M9" s="182">
        <v>29.23</v>
      </c>
      <c r="N9" s="182">
        <v>5.13</v>
      </c>
      <c r="O9" s="182">
        <v>6.21</v>
      </c>
      <c r="Q9" s="126" t="s">
        <v>309</v>
      </c>
    </row>
    <row r="10" spans="1:19" ht="14.25" customHeight="1" x14ac:dyDescent="0.2">
      <c r="A10" s="113" t="s">
        <v>168</v>
      </c>
      <c r="B10" s="111">
        <f t="shared" si="0"/>
        <v>100</v>
      </c>
      <c r="C10" s="182">
        <v>5.72</v>
      </c>
      <c r="D10" s="182">
        <v>445.07</v>
      </c>
      <c r="E10" s="111">
        <f t="shared" si="1"/>
        <v>50</v>
      </c>
      <c r="F10" s="182">
        <v>5.56</v>
      </c>
      <c r="G10" s="182">
        <v>8.91</v>
      </c>
      <c r="J10" s="448"/>
      <c r="K10" s="113" t="s">
        <v>168</v>
      </c>
      <c r="L10" s="182">
        <v>5.79</v>
      </c>
      <c r="M10" s="182">
        <v>445.07</v>
      </c>
      <c r="N10" s="182">
        <v>5.45</v>
      </c>
      <c r="O10" s="182">
        <v>8.91</v>
      </c>
      <c r="Q10" s="433" t="s">
        <v>327</v>
      </c>
      <c r="R10" s="433"/>
      <c r="S10" s="433"/>
    </row>
    <row r="11" spans="1:19" x14ac:dyDescent="0.2">
      <c r="A11" s="113" t="s">
        <v>169</v>
      </c>
      <c r="B11" s="111">
        <f t="shared" si="0"/>
        <v>100</v>
      </c>
      <c r="C11" s="182">
        <v>6.9</v>
      </c>
      <c r="D11" s="182">
        <v>154.72999999999999</v>
      </c>
      <c r="E11" s="111">
        <f t="shared" si="1"/>
        <v>50</v>
      </c>
      <c r="F11" s="182">
        <v>6.89</v>
      </c>
      <c r="G11" s="182">
        <v>10.75</v>
      </c>
      <c r="J11" s="448"/>
      <c r="K11" s="113" t="s">
        <v>169</v>
      </c>
      <c r="L11" s="182">
        <v>4.4800000000000004</v>
      </c>
      <c r="M11" s="182">
        <v>154.72999999999999</v>
      </c>
      <c r="N11" s="182">
        <v>4.4800000000000004</v>
      </c>
      <c r="O11" s="182">
        <v>7.98</v>
      </c>
      <c r="Q11" s="433"/>
      <c r="R11" s="433"/>
      <c r="S11" s="433"/>
    </row>
    <row r="12" spans="1:19" x14ac:dyDescent="0.2">
      <c r="A12" s="113" t="s">
        <v>170</v>
      </c>
      <c r="B12" s="111">
        <f t="shared" si="0"/>
        <v>100</v>
      </c>
      <c r="C12" s="182">
        <v>6.99</v>
      </c>
      <c r="D12" s="182">
        <v>118.12</v>
      </c>
      <c r="E12" s="111">
        <f t="shared" si="1"/>
        <v>50</v>
      </c>
      <c r="F12" s="182">
        <v>7.01</v>
      </c>
      <c r="G12" s="182">
        <v>10.8</v>
      </c>
      <c r="J12" s="448"/>
      <c r="K12" s="113" t="s">
        <v>170</v>
      </c>
      <c r="L12" s="182">
        <v>5.18</v>
      </c>
      <c r="M12" s="182">
        <v>117.77</v>
      </c>
      <c r="N12" s="182">
        <v>5.15</v>
      </c>
      <c r="O12" s="182">
        <v>6.84</v>
      </c>
      <c r="Q12" s="433"/>
      <c r="R12" s="433"/>
      <c r="S12" s="433"/>
    </row>
    <row r="13" spans="1:19" ht="14.25" customHeight="1" x14ac:dyDescent="0.2">
      <c r="A13" s="113" t="s">
        <v>171</v>
      </c>
      <c r="B13" s="111">
        <f t="shared" si="0"/>
        <v>100</v>
      </c>
      <c r="C13" s="182">
        <v>6.35</v>
      </c>
      <c r="D13" s="182">
        <v>288.31</v>
      </c>
      <c r="E13" s="111">
        <f t="shared" si="1"/>
        <v>50</v>
      </c>
      <c r="F13" s="182">
        <v>6.35</v>
      </c>
      <c r="G13" s="182">
        <v>11.64</v>
      </c>
      <c r="J13" s="448"/>
      <c r="K13" s="113" t="s">
        <v>171</v>
      </c>
      <c r="L13" s="182">
        <v>5.45</v>
      </c>
      <c r="M13" s="182">
        <v>288.31</v>
      </c>
      <c r="N13" s="182">
        <v>5.45</v>
      </c>
      <c r="O13" s="182">
        <v>11.64</v>
      </c>
      <c r="Q13" s="433" t="s">
        <v>333</v>
      </c>
      <c r="R13" s="433"/>
      <c r="S13" s="433"/>
    </row>
    <row r="14" spans="1:19" x14ac:dyDescent="0.2">
      <c r="A14" s="113" t="s">
        <v>172</v>
      </c>
      <c r="B14" s="111">
        <f t="shared" si="0"/>
        <v>100</v>
      </c>
      <c r="C14" s="182">
        <v>6.68</v>
      </c>
      <c r="D14" s="182">
        <v>273.86</v>
      </c>
      <c r="E14" s="111">
        <f t="shared" si="1"/>
        <v>50</v>
      </c>
      <c r="F14" s="182">
        <v>6.55</v>
      </c>
      <c r="G14" s="182">
        <v>10.55</v>
      </c>
      <c r="J14" s="448"/>
      <c r="K14" s="113" t="s">
        <v>172</v>
      </c>
      <c r="L14" s="182">
        <v>5.76</v>
      </c>
      <c r="M14" s="182">
        <v>273.86</v>
      </c>
      <c r="N14" s="182">
        <v>5.69</v>
      </c>
      <c r="O14" s="182">
        <v>10.55</v>
      </c>
      <c r="Q14" s="433"/>
      <c r="R14" s="433"/>
      <c r="S14" s="433"/>
    </row>
    <row r="15" spans="1:19" x14ac:dyDescent="0.2">
      <c r="A15" s="113" t="s">
        <v>173</v>
      </c>
      <c r="B15" s="111">
        <f t="shared" si="0"/>
        <v>100</v>
      </c>
      <c r="C15" s="182">
        <v>5.43</v>
      </c>
      <c r="D15" s="182">
        <v>523.49</v>
      </c>
      <c r="E15" s="111">
        <f t="shared" si="1"/>
        <v>50</v>
      </c>
      <c r="F15" s="182">
        <v>6.38</v>
      </c>
      <c r="G15" s="182">
        <v>8.9499999999999993</v>
      </c>
      <c r="J15" s="448"/>
      <c r="K15" s="113" t="s">
        <v>173</v>
      </c>
      <c r="L15" s="182">
        <v>3.64</v>
      </c>
      <c r="M15" s="182">
        <v>523.49</v>
      </c>
      <c r="N15" s="182">
        <v>5.65</v>
      </c>
      <c r="O15" s="182">
        <v>7.18</v>
      </c>
      <c r="Q15" s="433"/>
      <c r="R15" s="433"/>
      <c r="S15" s="433"/>
    </row>
    <row r="16" spans="1:19" x14ac:dyDescent="0.2">
      <c r="A16" s="113" t="s">
        <v>174</v>
      </c>
      <c r="B16" s="111">
        <f t="shared" si="0"/>
        <v>100</v>
      </c>
      <c r="C16" s="182">
        <v>5.19</v>
      </c>
      <c r="D16" s="182">
        <v>616.84</v>
      </c>
      <c r="E16" s="111">
        <f t="shared" si="1"/>
        <v>50</v>
      </c>
      <c r="F16" s="182">
        <v>6.82</v>
      </c>
      <c r="G16" s="182">
        <v>9.7100000000000009</v>
      </c>
      <c r="J16" s="448"/>
      <c r="K16" s="113" t="s">
        <v>174</v>
      </c>
      <c r="L16" s="182">
        <v>1.95</v>
      </c>
      <c r="M16" s="182">
        <v>616.84</v>
      </c>
      <c r="N16" s="182">
        <v>5.64</v>
      </c>
      <c r="O16" s="182">
        <v>7.56</v>
      </c>
      <c r="Q16" s="433"/>
      <c r="R16" s="433"/>
      <c r="S16" s="433"/>
    </row>
    <row r="17" spans="1:15" x14ac:dyDescent="0.2">
      <c r="A17" s="113" t="s">
        <v>175</v>
      </c>
      <c r="B17" s="111">
        <f t="shared" si="0"/>
        <v>100</v>
      </c>
      <c r="C17" s="182">
        <v>8.0500000000000007</v>
      </c>
      <c r="D17" s="182">
        <v>209.25</v>
      </c>
      <c r="E17" s="111">
        <f t="shared" si="1"/>
        <v>50</v>
      </c>
      <c r="F17" s="182">
        <v>7.97</v>
      </c>
      <c r="G17" s="182">
        <v>13.6</v>
      </c>
      <c r="J17" s="448"/>
      <c r="K17" s="113" t="s">
        <v>175</v>
      </c>
      <c r="L17" s="182">
        <v>7.07</v>
      </c>
      <c r="M17" s="182">
        <v>209.25</v>
      </c>
      <c r="N17" s="182">
        <v>6.89</v>
      </c>
      <c r="O17" s="182">
        <v>10.42</v>
      </c>
    </row>
    <row r="18" spans="1:15" x14ac:dyDescent="0.2">
      <c r="A18" s="113" t="s">
        <v>176</v>
      </c>
      <c r="B18" s="111">
        <f t="shared" si="0"/>
        <v>100</v>
      </c>
      <c r="C18" s="182">
        <v>8.23</v>
      </c>
      <c r="D18" s="182">
        <v>261.08999999999997</v>
      </c>
      <c r="E18" s="111">
        <f t="shared" si="1"/>
        <v>50</v>
      </c>
      <c r="F18" s="182">
        <v>8.1300000000000008</v>
      </c>
      <c r="G18" s="182">
        <v>14.17</v>
      </c>
      <c r="J18" s="448"/>
      <c r="K18" s="113" t="s">
        <v>176</v>
      </c>
      <c r="L18" s="182">
        <v>7.29</v>
      </c>
      <c r="M18" s="182">
        <v>52.22</v>
      </c>
      <c r="N18" s="182">
        <v>7.29</v>
      </c>
      <c r="O18" s="182">
        <v>10.53</v>
      </c>
    </row>
    <row r="19" spans="1:15" x14ac:dyDescent="0.2">
      <c r="J19" s="448"/>
      <c r="K19" s="110" t="s">
        <v>268</v>
      </c>
      <c r="L19" s="181">
        <f>AVERAGE(L7:L18)</f>
        <v>5.2158333333333333</v>
      </c>
      <c r="M19" s="181">
        <f>MAX(M7:M18)</f>
        <v>616.84</v>
      </c>
      <c r="N19" s="181">
        <f>AVERAGE(N7:N18)</f>
        <v>5.5975000000000001</v>
      </c>
      <c r="O19" s="181">
        <f>MAX(O7:O18)</f>
        <v>11.64</v>
      </c>
    </row>
    <row r="21" spans="1:15" ht="30" x14ac:dyDescent="0.2">
      <c r="J21" s="109">
        <f>+A6</f>
        <v>2022</v>
      </c>
      <c r="K21" s="109" t="s">
        <v>266</v>
      </c>
      <c r="L21" s="114" t="s">
        <v>160</v>
      </c>
      <c r="M21" s="114" t="s">
        <v>161</v>
      </c>
      <c r="N21" s="114" t="s">
        <v>163</v>
      </c>
      <c r="O21" s="114" t="s">
        <v>164</v>
      </c>
    </row>
    <row r="22" spans="1:15" x14ac:dyDescent="0.2">
      <c r="J22" s="448" t="s">
        <v>111</v>
      </c>
      <c r="K22" s="113" t="s">
        <v>165</v>
      </c>
      <c r="L22" s="182">
        <v>8.6199999999999992</v>
      </c>
      <c r="M22" s="182">
        <v>116.43</v>
      </c>
      <c r="N22" s="182">
        <v>8.6199999999999992</v>
      </c>
      <c r="O22" s="182">
        <v>10.52</v>
      </c>
    </row>
    <row r="23" spans="1:15" x14ac:dyDescent="0.2">
      <c r="J23" s="448"/>
      <c r="K23" s="113" t="s">
        <v>166</v>
      </c>
      <c r="L23" s="182">
        <v>10.27</v>
      </c>
      <c r="M23" s="182">
        <v>101.23</v>
      </c>
      <c r="N23" s="182">
        <v>10.92</v>
      </c>
      <c r="O23" s="182">
        <v>13.43</v>
      </c>
    </row>
    <row r="24" spans="1:15" x14ac:dyDescent="0.2">
      <c r="J24" s="448"/>
      <c r="K24" s="113" t="s">
        <v>167</v>
      </c>
      <c r="L24" s="182">
        <v>5.64</v>
      </c>
      <c r="M24" s="182">
        <v>27.81</v>
      </c>
      <c r="N24" s="182">
        <v>5.63</v>
      </c>
      <c r="O24" s="182">
        <v>9.33</v>
      </c>
    </row>
    <row r="25" spans="1:15" x14ac:dyDescent="0.2">
      <c r="J25" s="448"/>
      <c r="K25" s="113" t="s">
        <v>168</v>
      </c>
      <c r="L25" s="182">
        <v>5.65</v>
      </c>
      <c r="M25" s="182">
        <v>71.09</v>
      </c>
      <c r="N25" s="182">
        <v>5.65</v>
      </c>
      <c r="O25" s="182">
        <v>8.52</v>
      </c>
    </row>
    <row r="26" spans="1:15" x14ac:dyDescent="0.2">
      <c r="J26" s="448"/>
      <c r="K26" s="113" t="s">
        <v>169</v>
      </c>
      <c r="L26" s="182">
        <v>9.31</v>
      </c>
      <c r="M26" s="182">
        <v>50.5</v>
      </c>
      <c r="N26" s="182">
        <v>9.31</v>
      </c>
      <c r="O26" s="182">
        <v>10.75</v>
      </c>
    </row>
    <row r="27" spans="1:15" x14ac:dyDescent="0.2">
      <c r="J27" s="448"/>
      <c r="K27" s="113" t="s">
        <v>170</v>
      </c>
      <c r="L27" s="182">
        <v>8.68</v>
      </c>
      <c r="M27" s="182">
        <v>118.12</v>
      </c>
      <c r="N27" s="182">
        <v>8.68</v>
      </c>
      <c r="O27" s="182">
        <v>10.8</v>
      </c>
    </row>
    <row r="28" spans="1:15" x14ac:dyDescent="0.2">
      <c r="J28" s="448"/>
      <c r="K28" s="113" t="s">
        <v>171</v>
      </c>
      <c r="L28" s="182">
        <v>7.25</v>
      </c>
      <c r="M28" s="182">
        <v>106.85</v>
      </c>
      <c r="N28" s="182">
        <v>7.25</v>
      </c>
      <c r="O28" s="182">
        <v>9.43</v>
      </c>
    </row>
    <row r="29" spans="1:15" x14ac:dyDescent="0.2">
      <c r="J29" s="448"/>
      <c r="K29" s="113" t="s">
        <v>172</v>
      </c>
      <c r="L29" s="182">
        <v>7.37</v>
      </c>
      <c r="M29" s="182">
        <v>155.88999999999999</v>
      </c>
      <c r="N29" s="182">
        <v>7.24</v>
      </c>
      <c r="O29" s="182">
        <v>8.68</v>
      </c>
    </row>
    <row r="30" spans="1:15" x14ac:dyDescent="0.2">
      <c r="J30" s="448"/>
      <c r="K30" s="113" t="s">
        <v>173</v>
      </c>
      <c r="L30" s="182">
        <v>6.96</v>
      </c>
      <c r="M30" s="182">
        <v>126.6</v>
      </c>
      <c r="N30" s="182">
        <v>6.96</v>
      </c>
      <c r="O30" s="182">
        <v>8.9499999999999993</v>
      </c>
    </row>
    <row r="31" spans="1:15" x14ac:dyDescent="0.2">
      <c r="J31" s="448"/>
      <c r="K31" s="113" t="s">
        <v>174</v>
      </c>
      <c r="L31" s="182">
        <v>7.69</v>
      </c>
      <c r="M31" s="182">
        <v>87.81</v>
      </c>
      <c r="N31" s="182">
        <v>7.69</v>
      </c>
      <c r="O31" s="182">
        <v>9.7100000000000009</v>
      </c>
    </row>
    <row r="32" spans="1:15" x14ac:dyDescent="0.2">
      <c r="J32" s="448"/>
      <c r="K32" s="113" t="s">
        <v>175</v>
      </c>
      <c r="L32" s="182">
        <v>8.83</v>
      </c>
      <c r="M32" s="182">
        <v>91.65</v>
      </c>
      <c r="N32" s="182">
        <v>8.83</v>
      </c>
      <c r="O32" s="182">
        <v>13.6</v>
      </c>
    </row>
    <row r="33" spans="1:15" x14ac:dyDescent="0.2">
      <c r="J33" s="448"/>
      <c r="K33" s="113" t="s">
        <v>176</v>
      </c>
      <c r="L33" s="182">
        <v>9.6</v>
      </c>
      <c r="M33" s="182">
        <v>261.08999999999997</v>
      </c>
      <c r="N33" s="182">
        <v>9.49</v>
      </c>
      <c r="O33" s="182">
        <v>14.17</v>
      </c>
    </row>
    <row r="34" spans="1:15" x14ac:dyDescent="0.2">
      <c r="J34" s="448"/>
      <c r="K34" s="110" t="s">
        <v>268</v>
      </c>
      <c r="L34" s="181">
        <f>AVERAGE(L22:L33)</f>
        <v>7.9891666666666659</v>
      </c>
      <c r="M34" s="181">
        <f>MAX(M22:M33)</f>
        <v>261.08999999999997</v>
      </c>
      <c r="N34" s="181">
        <f>AVERAGE(N22:N33)</f>
        <v>8.0224999999999991</v>
      </c>
      <c r="O34" s="181">
        <f>MAX(O22:O33)</f>
        <v>14.17</v>
      </c>
    </row>
    <row r="48" spans="1:15" ht="15" x14ac:dyDescent="0.2">
      <c r="A48" s="445" t="s">
        <v>208</v>
      </c>
      <c r="B48" s="446"/>
      <c r="C48" s="446"/>
      <c r="D48" s="446"/>
      <c r="E48" s="446"/>
      <c r="F48" s="446"/>
      <c r="G48" s="447"/>
    </row>
    <row r="49" spans="1:7" x14ac:dyDescent="0.2">
      <c r="A49" s="436"/>
      <c r="B49" s="437"/>
      <c r="C49" s="437"/>
      <c r="D49" s="437"/>
      <c r="E49" s="437"/>
      <c r="F49" s="437"/>
      <c r="G49" s="438"/>
    </row>
    <row r="50" spans="1:7" x14ac:dyDescent="0.2">
      <c r="A50" s="439"/>
      <c r="B50" s="440"/>
      <c r="C50" s="440"/>
      <c r="D50" s="440"/>
      <c r="E50" s="440"/>
      <c r="F50" s="440"/>
      <c r="G50" s="441"/>
    </row>
    <row r="51" spans="1:7" x14ac:dyDescent="0.2">
      <c r="A51" s="439"/>
      <c r="B51" s="440"/>
      <c r="C51" s="440"/>
      <c r="D51" s="440"/>
      <c r="E51" s="440"/>
      <c r="F51" s="440"/>
      <c r="G51" s="441"/>
    </row>
    <row r="52" spans="1:7" x14ac:dyDescent="0.2">
      <c r="A52" s="442"/>
      <c r="B52" s="443"/>
      <c r="C52" s="443"/>
      <c r="D52" s="443"/>
      <c r="E52" s="443"/>
      <c r="F52" s="443"/>
      <c r="G52" s="444"/>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52"/>
  <sheetViews>
    <sheetView topLeftCell="A12" workbookViewId="0">
      <selection activeCell="K58" sqref="K58"/>
    </sheetView>
  </sheetViews>
  <sheetFormatPr defaultRowHeight="14.25" x14ac:dyDescent="0.2"/>
  <cols>
    <col min="1" max="1" width="14" style="3" customWidth="1"/>
    <col min="2" max="2" width="12.5703125" style="66" customWidth="1"/>
    <col min="3" max="3" width="15.42578125" style="66" customWidth="1"/>
    <col min="4" max="4" width="17.5703125" style="66" customWidth="1"/>
    <col min="5" max="5" width="14.5703125" style="66" customWidth="1"/>
    <col min="6" max="6" width="11.5703125" style="66" customWidth="1"/>
    <col min="7" max="7" width="15" style="66" customWidth="1"/>
    <col min="8" max="8" width="14.5703125" style="66" customWidth="1"/>
    <col min="9" max="12" width="9.42578125" style="3"/>
    <col min="13" max="13" width="15.42578125" style="3" customWidth="1"/>
    <col min="14" max="14" width="17.5703125" style="3" customWidth="1"/>
    <col min="15" max="15" width="17.42578125" style="3" bestFit="1" customWidth="1"/>
    <col min="16" max="16" width="13.5703125" style="3" customWidth="1"/>
    <col min="17" max="17" width="15" style="3" customWidth="1"/>
    <col min="18" max="20" width="9.42578125" style="3"/>
    <col min="21" max="21" width="22.42578125" style="3" customWidth="1"/>
    <col min="22" max="258" width="9.42578125" style="3"/>
    <col min="259" max="259" width="14" style="3" customWidth="1"/>
    <col min="260" max="265" width="10.42578125" style="3" customWidth="1"/>
    <col min="266" max="514" width="9.42578125" style="3"/>
    <col min="515" max="515" width="14" style="3" customWidth="1"/>
    <col min="516" max="521" width="10.42578125" style="3" customWidth="1"/>
    <col min="522" max="770" width="9.42578125" style="3"/>
    <col min="771" max="771" width="14" style="3" customWidth="1"/>
    <col min="772" max="777" width="10.42578125" style="3" customWidth="1"/>
    <col min="778" max="1026" width="9.42578125" style="3"/>
    <col min="1027" max="1027" width="14" style="3" customWidth="1"/>
    <col min="1028" max="1033" width="10.42578125" style="3" customWidth="1"/>
    <col min="1034" max="1282" width="9.42578125" style="3"/>
    <col min="1283" max="1283" width="14" style="3" customWidth="1"/>
    <col min="1284" max="1289" width="10.42578125" style="3" customWidth="1"/>
    <col min="1290" max="1538" width="9.42578125" style="3"/>
    <col min="1539" max="1539" width="14" style="3" customWidth="1"/>
    <col min="1540" max="1545" width="10.42578125" style="3" customWidth="1"/>
    <col min="1546" max="1794" width="9.42578125" style="3"/>
    <col min="1795" max="1795" width="14" style="3" customWidth="1"/>
    <col min="1796" max="1801" width="10.42578125" style="3" customWidth="1"/>
    <col min="1802" max="2050" width="9.42578125" style="3"/>
    <col min="2051" max="2051" width="14" style="3" customWidth="1"/>
    <col min="2052" max="2057" width="10.42578125" style="3" customWidth="1"/>
    <col min="2058" max="2306" width="9.42578125" style="3"/>
    <col min="2307" max="2307" width="14" style="3" customWidth="1"/>
    <col min="2308" max="2313" width="10.42578125" style="3" customWidth="1"/>
    <col min="2314" max="2562" width="9.42578125" style="3"/>
    <col min="2563" max="2563" width="14" style="3" customWidth="1"/>
    <col min="2564" max="2569" width="10.42578125" style="3" customWidth="1"/>
    <col min="2570" max="2818" width="9.42578125" style="3"/>
    <col min="2819" max="2819" width="14" style="3" customWidth="1"/>
    <col min="2820" max="2825" width="10.42578125" style="3" customWidth="1"/>
    <col min="2826" max="3074" width="9.42578125" style="3"/>
    <col min="3075" max="3075" width="14" style="3" customWidth="1"/>
    <col min="3076" max="3081" width="10.42578125" style="3" customWidth="1"/>
    <col min="3082" max="3330" width="9.42578125" style="3"/>
    <col min="3331" max="3331" width="14" style="3" customWidth="1"/>
    <col min="3332" max="3337" width="10.42578125" style="3" customWidth="1"/>
    <col min="3338" max="3586" width="9.42578125" style="3"/>
    <col min="3587" max="3587" width="14" style="3" customWidth="1"/>
    <col min="3588" max="3593" width="10.42578125" style="3" customWidth="1"/>
    <col min="3594" max="3842" width="9.42578125" style="3"/>
    <col min="3843" max="3843" width="14" style="3" customWidth="1"/>
    <col min="3844" max="3849" width="10.42578125" style="3" customWidth="1"/>
    <col min="3850" max="4098" width="9.42578125" style="3"/>
    <col min="4099" max="4099" width="14" style="3" customWidth="1"/>
    <col min="4100" max="4105" width="10.42578125" style="3" customWidth="1"/>
    <col min="4106" max="4354" width="9.42578125" style="3"/>
    <col min="4355" max="4355" width="14" style="3" customWidth="1"/>
    <col min="4356" max="4361" width="10.42578125" style="3" customWidth="1"/>
    <col min="4362" max="4610" width="9.42578125" style="3"/>
    <col min="4611" max="4611" width="14" style="3" customWidth="1"/>
    <col min="4612" max="4617" width="10.42578125" style="3" customWidth="1"/>
    <col min="4618" max="4866" width="9.42578125" style="3"/>
    <col min="4867" max="4867" width="14" style="3" customWidth="1"/>
    <col min="4868" max="4873" width="10.42578125" style="3" customWidth="1"/>
    <col min="4874" max="5122" width="9.42578125" style="3"/>
    <col min="5123" max="5123" width="14" style="3" customWidth="1"/>
    <col min="5124" max="5129" width="10.42578125" style="3" customWidth="1"/>
    <col min="5130" max="5378" width="9.42578125" style="3"/>
    <col min="5379" max="5379" width="14" style="3" customWidth="1"/>
    <col min="5380" max="5385" width="10.42578125" style="3" customWidth="1"/>
    <col min="5386" max="5634" width="9.42578125" style="3"/>
    <col min="5635" max="5635" width="14" style="3" customWidth="1"/>
    <col min="5636" max="5641" width="10.42578125" style="3" customWidth="1"/>
    <col min="5642" max="5890" width="9.42578125" style="3"/>
    <col min="5891" max="5891" width="14" style="3" customWidth="1"/>
    <col min="5892" max="5897" width="10.42578125" style="3" customWidth="1"/>
    <col min="5898" max="6146" width="9.42578125" style="3"/>
    <col min="6147" max="6147" width="14" style="3" customWidth="1"/>
    <col min="6148" max="6153" width="10.42578125" style="3" customWidth="1"/>
    <col min="6154" max="6402" width="9.42578125" style="3"/>
    <col min="6403" max="6403" width="14" style="3" customWidth="1"/>
    <col min="6404" max="6409" width="10.42578125" style="3" customWidth="1"/>
    <col min="6410" max="6658" width="9.42578125" style="3"/>
    <col min="6659" max="6659" width="14" style="3" customWidth="1"/>
    <col min="6660" max="6665" width="10.42578125" style="3" customWidth="1"/>
    <col min="6666" max="6914" width="9.42578125" style="3"/>
    <col min="6915" max="6915" width="14" style="3" customWidth="1"/>
    <col min="6916" max="6921" width="10.42578125" style="3" customWidth="1"/>
    <col min="6922" max="7170" width="9.42578125" style="3"/>
    <col min="7171" max="7171" width="14" style="3" customWidth="1"/>
    <col min="7172" max="7177" width="10.42578125" style="3" customWidth="1"/>
    <col min="7178" max="7426" width="9.42578125" style="3"/>
    <col min="7427" max="7427" width="14" style="3" customWidth="1"/>
    <col min="7428" max="7433" width="10.42578125" style="3" customWidth="1"/>
    <col min="7434" max="7682" width="9.42578125" style="3"/>
    <col min="7683" max="7683" width="14" style="3" customWidth="1"/>
    <col min="7684" max="7689" width="10.42578125" style="3" customWidth="1"/>
    <col min="7690" max="7938" width="9.42578125" style="3"/>
    <col min="7939" max="7939" width="14" style="3" customWidth="1"/>
    <col min="7940" max="7945" width="10.42578125" style="3" customWidth="1"/>
    <col min="7946" max="8194" width="9.42578125" style="3"/>
    <col min="8195" max="8195" width="14" style="3" customWidth="1"/>
    <col min="8196" max="8201" width="10.42578125" style="3" customWidth="1"/>
    <col min="8202" max="8450" width="9.42578125" style="3"/>
    <col min="8451" max="8451" width="14" style="3" customWidth="1"/>
    <col min="8452" max="8457" width="10.42578125" style="3" customWidth="1"/>
    <col min="8458" max="8706" width="9.42578125" style="3"/>
    <col min="8707" max="8707" width="14" style="3" customWidth="1"/>
    <col min="8708" max="8713" width="10.42578125" style="3" customWidth="1"/>
    <col min="8714" max="8962" width="9.42578125" style="3"/>
    <col min="8963" max="8963" width="14" style="3" customWidth="1"/>
    <col min="8964" max="8969" width="10.42578125" style="3" customWidth="1"/>
    <col min="8970" max="9218" width="9.42578125" style="3"/>
    <col min="9219" max="9219" width="14" style="3" customWidth="1"/>
    <col min="9220" max="9225" width="10.42578125" style="3" customWidth="1"/>
    <col min="9226" max="9474" width="9.42578125" style="3"/>
    <col min="9475" max="9475" width="14" style="3" customWidth="1"/>
    <col min="9476" max="9481" width="10.42578125" style="3" customWidth="1"/>
    <col min="9482" max="9730" width="9.42578125" style="3"/>
    <col min="9731" max="9731" width="14" style="3" customWidth="1"/>
    <col min="9732" max="9737" width="10.42578125" style="3" customWidth="1"/>
    <col min="9738" max="9986" width="9.42578125" style="3"/>
    <col min="9987" max="9987" width="14" style="3" customWidth="1"/>
    <col min="9988" max="9993" width="10.42578125" style="3" customWidth="1"/>
    <col min="9994" max="10242" width="9.42578125" style="3"/>
    <col min="10243" max="10243" width="14" style="3" customWidth="1"/>
    <col min="10244" max="10249" width="10.42578125" style="3" customWidth="1"/>
    <col min="10250" max="10498" width="9.42578125" style="3"/>
    <col min="10499" max="10499" width="14" style="3" customWidth="1"/>
    <col min="10500" max="10505" width="10.42578125" style="3" customWidth="1"/>
    <col min="10506" max="10754" width="9.42578125" style="3"/>
    <col min="10755" max="10755" width="14" style="3" customWidth="1"/>
    <col min="10756" max="10761" width="10.42578125" style="3" customWidth="1"/>
    <col min="10762" max="11010" width="9.42578125" style="3"/>
    <col min="11011" max="11011" width="14" style="3" customWidth="1"/>
    <col min="11012" max="11017" width="10.42578125" style="3" customWidth="1"/>
    <col min="11018" max="11266" width="9.42578125" style="3"/>
    <col min="11267" max="11267" width="14" style="3" customWidth="1"/>
    <col min="11268" max="11273" width="10.42578125" style="3" customWidth="1"/>
    <col min="11274" max="11522" width="9.42578125" style="3"/>
    <col min="11523" max="11523" width="14" style="3" customWidth="1"/>
    <col min="11524" max="11529" width="10.42578125" style="3" customWidth="1"/>
    <col min="11530" max="11778" width="9.42578125" style="3"/>
    <col min="11779" max="11779" width="14" style="3" customWidth="1"/>
    <col min="11780" max="11785" width="10.42578125" style="3" customWidth="1"/>
    <col min="11786" max="12034" width="9.42578125" style="3"/>
    <col min="12035" max="12035" width="14" style="3" customWidth="1"/>
    <col min="12036" max="12041" width="10.42578125" style="3" customWidth="1"/>
    <col min="12042" max="12290" width="9.42578125" style="3"/>
    <col min="12291" max="12291" width="14" style="3" customWidth="1"/>
    <col min="12292" max="12297" width="10.42578125" style="3" customWidth="1"/>
    <col min="12298" max="12546" width="9.42578125" style="3"/>
    <col min="12547" max="12547" width="14" style="3" customWidth="1"/>
    <col min="12548" max="12553" width="10.42578125" style="3" customWidth="1"/>
    <col min="12554" max="12802" width="9.42578125" style="3"/>
    <col min="12803" max="12803" width="14" style="3" customWidth="1"/>
    <col min="12804" max="12809" width="10.42578125" style="3" customWidth="1"/>
    <col min="12810" max="13058" width="9.42578125" style="3"/>
    <col min="13059" max="13059" width="14" style="3" customWidth="1"/>
    <col min="13060" max="13065" width="10.42578125" style="3" customWidth="1"/>
    <col min="13066" max="13314" width="9.42578125" style="3"/>
    <col min="13315" max="13315" width="14" style="3" customWidth="1"/>
    <col min="13316" max="13321" width="10.42578125" style="3" customWidth="1"/>
    <col min="13322" max="13570" width="9.42578125" style="3"/>
    <col min="13571" max="13571" width="14" style="3" customWidth="1"/>
    <col min="13572" max="13577" width="10.42578125" style="3" customWidth="1"/>
    <col min="13578" max="13826" width="9.42578125" style="3"/>
    <col min="13827" max="13827" width="14" style="3" customWidth="1"/>
    <col min="13828" max="13833" width="10.42578125" style="3" customWidth="1"/>
    <col min="13834" max="14082" width="9.42578125" style="3"/>
    <col min="14083" max="14083" width="14" style="3" customWidth="1"/>
    <col min="14084" max="14089" width="10.42578125" style="3" customWidth="1"/>
    <col min="14090" max="14338" width="9.42578125" style="3"/>
    <col min="14339" max="14339" width="14" style="3" customWidth="1"/>
    <col min="14340" max="14345" width="10.42578125" style="3" customWidth="1"/>
    <col min="14346" max="14594" width="9.42578125" style="3"/>
    <col min="14595" max="14595" width="14" style="3" customWidth="1"/>
    <col min="14596" max="14601" width="10.42578125" style="3" customWidth="1"/>
    <col min="14602" max="14850" width="9.42578125" style="3"/>
    <col min="14851" max="14851" width="14" style="3" customWidth="1"/>
    <col min="14852" max="14857" width="10.42578125" style="3" customWidth="1"/>
    <col min="14858" max="15106" width="9.42578125" style="3"/>
    <col min="15107" max="15107" width="14" style="3" customWidth="1"/>
    <col min="15108" max="15113" width="10.42578125" style="3" customWidth="1"/>
    <col min="15114" max="15362" width="9.42578125" style="3"/>
    <col min="15363" max="15363" width="14" style="3" customWidth="1"/>
    <col min="15364" max="15369" width="10.42578125" style="3" customWidth="1"/>
    <col min="15370" max="15618" width="9.42578125" style="3"/>
    <col min="15619" max="15619" width="14" style="3" customWidth="1"/>
    <col min="15620" max="15625" width="10.42578125" style="3" customWidth="1"/>
    <col min="15626" max="15874" width="9.42578125" style="3"/>
    <col min="15875" max="15875" width="14" style="3" customWidth="1"/>
    <col min="15876" max="15881" width="10.42578125" style="3" customWidth="1"/>
    <col min="15882" max="16130" width="9.42578125" style="3"/>
    <col min="16131" max="16131" width="14" style="3" customWidth="1"/>
    <col min="16132" max="16137" width="10.42578125" style="3" customWidth="1"/>
    <col min="16138" max="16384" width="9.42578125" style="3"/>
  </cols>
  <sheetData>
    <row r="1" spans="1:21" ht="15" x14ac:dyDescent="0.2">
      <c r="A1" s="2" t="str">
        <f>+'Cover Page'!$B$29</f>
        <v>Annual Performance Report 2022</v>
      </c>
      <c r="B1" s="2"/>
      <c r="C1" s="2"/>
      <c r="D1" s="2"/>
      <c r="E1" s="2" t="str">
        <f>+'Cover Page'!$B$33</f>
        <v>enfinium Ferrybridge 1 Ltd</v>
      </c>
    </row>
    <row r="3" spans="1:21" ht="15" x14ac:dyDescent="0.25">
      <c r="A3" s="108" t="s">
        <v>329</v>
      </c>
      <c r="E3" s="124" t="s">
        <v>302</v>
      </c>
      <c r="H3" s="128" t="s">
        <v>313</v>
      </c>
      <c r="J3" s="11" t="str">
        <f>+A3</f>
        <v>Monitoring of Carbon Monoxide (10-minute avg)</v>
      </c>
      <c r="L3" s="11"/>
      <c r="O3" s="11" t="s">
        <v>303</v>
      </c>
      <c r="Q3" s="125" t="s">
        <v>297</v>
      </c>
      <c r="S3" s="127" t="s">
        <v>297</v>
      </c>
      <c r="T3" s="122"/>
      <c r="U3" s="122"/>
    </row>
    <row r="4" spans="1:21" ht="14.1" customHeight="1" x14ac:dyDescent="0.2">
      <c r="S4" s="386" t="s">
        <v>311</v>
      </c>
      <c r="T4" s="386"/>
      <c r="U4" s="386"/>
    </row>
    <row r="5" spans="1:21" ht="17.25" x14ac:dyDescent="0.25">
      <c r="A5" s="115" t="s">
        <v>267</v>
      </c>
      <c r="B5" s="435" t="s">
        <v>323</v>
      </c>
      <c r="C5" s="435"/>
      <c r="D5" s="435"/>
      <c r="E5" s="435"/>
      <c r="F5" s="435" t="s">
        <v>264</v>
      </c>
      <c r="G5" s="435"/>
      <c r="H5" s="435"/>
      <c r="K5" s="434"/>
      <c r="L5" s="434"/>
      <c r="M5" s="434"/>
      <c r="N5" s="434"/>
      <c r="O5" s="434"/>
      <c r="P5" s="434"/>
      <c r="Q5" s="434"/>
      <c r="S5" s="386"/>
      <c r="T5" s="386"/>
      <c r="U5" s="386"/>
    </row>
    <row r="6" spans="1:21" s="106" customFormat="1" ht="37.5" customHeight="1" x14ac:dyDescent="0.25">
      <c r="A6" s="112">
        <f>+'Cover Page'!C39</f>
        <v>2022</v>
      </c>
      <c r="B6" s="102" t="s">
        <v>322</v>
      </c>
      <c r="C6" s="102" t="s">
        <v>330</v>
      </c>
      <c r="D6" s="102" t="s">
        <v>328</v>
      </c>
      <c r="E6" s="102" t="s">
        <v>331</v>
      </c>
      <c r="F6" s="102" t="s">
        <v>187</v>
      </c>
      <c r="G6" s="102" t="s">
        <v>163</v>
      </c>
      <c r="H6" s="102" t="s">
        <v>321</v>
      </c>
      <c r="I6" s="107"/>
      <c r="K6" s="109">
        <f>+A6</f>
        <v>2022</v>
      </c>
      <c r="L6" s="109" t="s">
        <v>266</v>
      </c>
      <c r="M6" s="102" t="s">
        <v>330</v>
      </c>
      <c r="N6" s="102" t="s">
        <v>328</v>
      </c>
      <c r="O6" s="102" t="s">
        <v>331</v>
      </c>
      <c r="P6" s="114" t="s">
        <v>163</v>
      </c>
      <c r="Q6" s="114" t="s">
        <v>164</v>
      </c>
      <c r="S6" s="386"/>
      <c r="T6" s="386"/>
      <c r="U6" s="386"/>
    </row>
    <row r="7" spans="1:21" x14ac:dyDescent="0.2">
      <c r="A7" s="113" t="s">
        <v>165</v>
      </c>
      <c r="B7" s="116">
        <v>150</v>
      </c>
      <c r="C7" s="182">
        <v>16.87</v>
      </c>
      <c r="D7" s="182">
        <v>6.69</v>
      </c>
      <c r="E7" s="182">
        <v>336.88</v>
      </c>
      <c r="F7" s="116">
        <v>50</v>
      </c>
      <c r="G7" s="182">
        <v>6.7</v>
      </c>
      <c r="H7" s="182">
        <v>10.56</v>
      </c>
      <c r="K7" s="448" t="s">
        <v>110</v>
      </c>
      <c r="L7" s="113" t="s">
        <v>165</v>
      </c>
      <c r="M7" s="180">
        <v>11.68</v>
      </c>
      <c r="N7" s="180">
        <v>4.71</v>
      </c>
      <c r="O7" s="180">
        <v>232.19</v>
      </c>
      <c r="P7" s="180">
        <v>4.71</v>
      </c>
      <c r="Q7" s="180">
        <v>6.62</v>
      </c>
      <c r="S7" s="386"/>
      <c r="T7" s="386"/>
      <c r="U7" s="386"/>
    </row>
    <row r="8" spans="1:21" x14ac:dyDescent="0.2">
      <c r="A8" s="113" t="s">
        <v>166</v>
      </c>
      <c r="B8" s="111">
        <f>+B7</f>
        <v>150</v>
      </c>
      <c r="C8" s="182">
        <v>31.32</v>
      </c>
      <c r="D8" s="182">
        <v>8.1</v>
      </c>
      <c r="E8" s="182">
        <v>363.07</v>
      </c>
      <c r="F8" s="111">
        <f>+F7</f>
        <v>50</v>
      </c>
      <c r="G8" s="182">
        <v>8.02</v>
      </c>
      <c r="H8" s="182">
        <v>13.43</v>
      </c>
      <c r="K8" s="448"/>
      <c r="L8" s="113" t="s">
        <v>166</v>
      </c>
      <c r="M8" s="180">
        <v>19.079999999999998</v>
      </c>
      <c r="N8" s="180">
        <v>6.1</v>
      </c>
      <c r="O8" s="180">
        <v>363.07</v>
      </c>
      <c r="P8" s="180">
        <v>5.63</v>
      </c>
      <c r="Q8" s="180">
        <v>6.27</v>
      </c>
      <c r="S8" s="386"/>
      <c r="T8" s="386"/>
      <c r="U8" s="386"/>
    </row>
    <row r="9" spans="1:21" ht="15" x14ac:dyDescent="0.25">
      <c r="A9" s="113" t="s">
        <v>167</v>
      </c>
      <c r="B9" s="111">
        <f t="shared" ref="B9:B18" si="0">+B8</f>
        <v>150</v>
      </c>
      <c r="C9" s="182">
        <v>14.81</v>
      </c>
      <c r="D9" s="182">
        <v>5.4</v>
      </c>
      <c r="E9" s="182">
        <v>76.58</v>
      </c>
      <c r="F9" s="111">
        <f t="shared" ref="F9:F18" si="1">+F8</f>
        <v>50</v>
      </c>
      <c r="G9" s="182">
        <v>5.4</v>
      </c>
      <c r="H9" s="182">
        <v>9.32</v>
      </c>
      <c r="K9" s="448"/>
      <c r="L9" s="113" t="s">
        <v>167</v>
      </c>
      <c r="M9" s="180">
        <v>8.25</v>
      </c>
      <c r="N9" s="180">
        <v>5.15</v>
      </c>
      <c r="O9" s="180">
        <v>76.58</v>
      </c>
      <c r="P9" s="180">
        <v>5.15</v>
      </c>
      <c r="Q9" s="180">
        <v>6.22</v>
      </c>
      <c r="S9" s="126" t="s">
        <v>312</v>
      </c>
    </row>
    <row r="10" spans="1:21" x14ac:dyDescent="0.2">
      <c r="A10" s="113" t="s">
        <v>168</v>
      </c>
      <c r="B10" s="111">
        <f t="shared" si="0"/>
        <v>150</v>
      </c>
      <c r="C10" s="182">
        <v>11.64</v>
      </c>
      <c r="D10" s="182">
        <v>5.7</v>
      </c>
      <c r="E10" s="182">
        <v>884.7</v>
      </c>
      <c r="F10" s="111">
        <f t="shared" si="1"/>
        <v>50</v>
      </c>
      <c r="G10" s="182">
        <v>5.55</v>
      </c>
      <c r="H10" s="182">
        <v>8.83</v>
      </c>
      <c r="K10" s="448"/>
      <c r="L10" s="113" t="s">
        <v>168</v>
      </c>
      <c r="M10" s="180">
        <v>9.3699999999999992</v>
      </c>
      <c r="N10" s="180">
        <v>5.74</v>
      </c>
      <c r="O10" s="180">
        <v>884.7</v>
      </c>
      <c r="P10" s="180">
        <v>5.42</v>
      </c>
      <c r="Q10" s="180">
        <v>8.83</v>
      </c>
      <c r="S10" s="433" t="s">
        <v>332</v>
      </c>
      <c r="T10" s="433"/>
      <c r="U10" s="433"/>
    </row>
    <row r="11" spans="1:21" x14ac:dyDescent="0.2">
      <c r="A11" s="113" t="s">
        <v>169</v>
      </c>
      <c r="B11" s="111">
        <f t="shared" si="0"/>
        <v>150</v>
      </c>
      <c r="C11" s="182">
        <v>15.15</v>
      </c>
      <c r="D11" s="182">
        <v>6.9</v>
      </c>
      <c r="E11" s="182">
        <v>459.63</v>
      </c>
      <c r="F11" s="111">
        <f t="shared" si="1"/>
        <v>50</v>
      </c>
      <c r="G11" s="182">
        <v>6.9</v>
      </c>
      <c r="H11" s="182">
        <v>10.74</v>
      </c>
      <c r="K11" s="448"/>
      <c r="L11" s="113" t="s">
        <v>169</v>
      </c>
      <c r="M11" s="180">
        <v>7.47</v>
      </c>
      <c r="N11" s="180">
        <v>4.4800000000000004</v>
      </c>
      <c r="O11" s="180">
        <v>459.63</v>
      </c>
      <c r="P11" s="180">
        <v>4.49</v>
      </c>
      <c r="Q11" s="180">
        <v>8.0399999999999991</v>
      </c>
      <c r="S11" s="433"/>
      <c r="T11" s="433"/>
      <c r="U11" s="433"/>
    </row>
    <row r="12" spans="1:21" x14ac:dyDescent="0.2">
      <c r="A12" s="113" t="s">
        <v>170</v>
      </c>
      <c r="B12" s="111">
        <f t="shared" si="0"/>
        <v>150</v>
      </c>
      <c r="C12" s="182">
        <v>13.55</v>
      </c>
      <c r="D12" s="182">
        <v>6.99</v>
      </c>
      <c r="E12" s="182">
        <v>348.58</v>
      </c>
      <c r="F12" s="111">
        <f t="shared" si="1"/>
        <v>50</v>
      </c>
      <c r="G12" s="182">
        <v>7.01</v>
      </c>
      <c r="H12" s="182">
        <v>10.82</v>
      </c>
      <c r="K12" s="448"/>
      <c r="L12" s="113" t="s">
        <v>170</v>
      </c>
      <c r="M12" s="180">
        <v>10.050000000000001</v>
      </c>
      <c r="N12" s="180">
        <v>5.18</v>
      </c>
      <c r="O12" s="180">
        <v>348.58</v>
      </c>
      <c r="P12" s="180">
        <v>5.16</v>
      </c>
      <c r="Q12" s="180">
        <v>6.85</v>
      </c>
      <c r="S12" s="433"/>
      <c r="T12" s="433"/>
      <c r="U12" s="433"/>
    </row>
    <row r="13" spans="1:21" x14ac:dyDescent="0.2">
      <c r="A13" s="113" t="s">
        <v>171</v>
      </c>
      <c r="B13" s="111">
        <f t="shared" si="0"/>
        <v>150</v>
      </c>
      <c r="C13" s="182">
        <v>13.83</v>
      </c>
      <c r="D13" s="182">
        <v>6.36</v>
      </c>
      <c r="E13" s="182">
        <v>852.83</v>
      </c>
      <c r="F13" s="111">
        <f t="shared" si="1"/>
        <v>50</v>
      </c>
      <c r="G13" s="182">
        <v>6.36</v>
      </c>
      <c r="H13" s="182">
        <v>11.7</v>
      </c>
      <c r="K13" s="448"/>
      <c r="L13" s="113" t="s">
        <v>171</v>
      </c>
      <c r="M13" s="180">
        <v>8.51</v>
      </c>
      <c r="N13" s="180">
        <v>5.47</v>
      </c>
      <c r="O13" s="180">
        <v>852.83</v>
      </c>
      <c r="P13" s="180">
        <v>5.47</v>
      </c>
      <c r="Q13" s="180">
        <v>11.7</v>
      </c>
      <c r="S13" s="433" t="s">
        <v>334</v>
      </c>
      <c r="T13" s="433"/>
      <c r="U13" s="433"/>
    </row>
    <row r="14" spans="1:21" x14ac:dyDescent="0.2">
      <c r="A14" s="113" t="s">
        <v>172</v>
      </c>
      <c r="B14" s="111">
        <f t="shared" si="0"/>
        <v>150</v>
      </c>
      <c r="C14" s="182">
        <v>10.93</v>
      </c>
      <c r="D14" s="182">
        <v>6.69</v>
      </c>
      <c r="E14" s="182">
        <v>812.81</v>
      </c>
      <c r="F14" s="111">
        <f t="shared" si="1"/>
        <v>50</v>
      </c>
      <c r="G14" s="182">
        <v>6.56</v>
      </c>
      <c r="H14" s="182">
        <v>10.64</v>
      </c>
      <c r="K14" s="448"/>
      <c r="L14" s="113" t="s">
        <v>172</v>
      </c>
      <c r="M14" s="180">
        <v>9.39</v>
      </c>
      <c r="N14" s="180">
        <v>5.77</v>
      </c>
      <c r="O14" s="180">
        <v>812.81</v>
      </c>
      <c r="P14" s="180">
        <v>5.71</v>
      </c>
      <c r="Q14" s="180">
        <v>10.64</v>
      </c>
      <c r="S14" s="433"/>
      <c r="T14" s="433"/>
      <c r="U14" s="433"/>
    </row>
    <row r="15" spans="1:21" x14ac:dyDescent="0.2">
      <c r="A15" s="113" t="s">
        <v>173</v>
      </c>
      <c r="B15" s="111">
        <f t="shared" si="0"/>
        <v>150</v>
      </c>
      <c r="C15" s="182">
        <v>22.21</v>
      </c>
      <c r="D15" s="182">
        <v>5.8</v>
      </c>
      <c r="E15" s="182">
        <v>1838.22</v>
      </c>
      <c r="F15" s="111">
        <f t="shared" si="1"/>
        <v>50</v>
      </c>
      <c r="G15" s="182">
        <v>6.38</v>
      </c>
      <c r="H15" s="182">
        <v>8.9600000000000009</v>
      </c>
      <c r="K15" s="448"/>
      <c r="L15" s="113" t="s">
        <v>173</v>
      </c>
      <c r="M15" s="180">
        <v>22.21</v>
      </c>
      <c r="N15" s="180">
        <v>4.43</v>
      </c>
      <c r="O15" s="180">
        <v>1838.22</v>
      </c>
      <c r="P15" s="180">
        <v>5.66</v>
      </c>
      <c r="Q15" s="180">
        <v>7.2</v>
      </c>
      <c r="S15" s="433"/>
      <c r="T15" s="433"/>
      <c r="U15" s="433"/>
    </row>
    <row r="16" spans="1:21" x14ac:dyDescent="0.2">
      <c r="A16" s="113" t="s">
        <v>174</v>
      </c>
      <c r="B16" s="111">
        <f t="shared" si="0"/>
        <v>150</v>
      </c>
      <c r="C16" s="182">
        <v>20.97</v>
      </c>
      <c r="D16" s="182">
        <v>5.37</v>
      </c>
      <c r="E16" s="182">
        <v>2083.13</v>
      </c>
      <c r="F16" s="111">
        <f t="shared" si="1"/>
        <v>50</v>
      </c>
      <c r="G16" s="182">
        <v>6.8</v>
      </c>
      <c r="H16" s="182">
        <v>9.25</v>
      </c>
      <c r="K16" s="448"/>
      <c r="L16" s="113" t="s">
        <v>174</v>
      </c>
      <c r="M16" s="180">
        <v>16.86</v>
      </c>
      <c r="N16" s="180">
        <v>2.4</v>
      </c>
      <c r="O16" s="180">
        <v>2083.13</v>
      </c>
      <c r="P16" s="180">
        <v>5.65</v>
      </c>
      <c r="Q16" s="180">
        <v>7.57</v>
      </c>
      <c r="S16" s="433"/>
      <c r="T16" s="433"/>
      <c r="U16" s="433"/>
    </row>
    <row r="17" spans="1:17" x14ac:dyDescent="0.2">
      <c r="A17" s="113" t="s">
        <v>175</v>
      </c>
      <c r="B17" s="111">
        <f t="shared" si="0"/>
        <v>150</v>
      </c>
      <c r="C17" s="182">
        <v>32.39</v>
      </c>
      <c r="D17" s="182">
        <v>8.0500000000000007</v>
      </c>
      <c r="E17" s="182">
        <v>451.86</v>
      </c>
      <c r="F17" s="111">
        <f t="shared" si="1"/>
        <v>50</v>
      </c>
      <c r="G17" s="182">
        <v>7.97</v>
      </c>
      <c r="H17" s="182">
        <v>13.62</v>
      </c>
      <c r="K17" s="448"/>
      <c r="L17" s="113" t="s">
        <v>175</v>
      </c>
      <c r="M17" s="180">
        <v>31.34</v>
      </c>
      <c r="N17" s="180">
        <v>7.08</v>
      </c>
      <c r="O17" s="180">
        <v>451.86</v>
      </c>
      <c r="P17" s="180">
        <v>6.9</v>
      </c>
      <c r="Q17" s="180">
        <v>10.46</v>
      </c>
    </row>
    <row r="18" spans="1:17" x14ac:dyDescent="0.2">
      <c r="A18" s="113" t="s">
        <v>176</v>
      </c>
      <c r="B18" s="111">
        <f t="shared" si="0"/>
        <v>150</v>
      </c>
      <c r="C18" s="182">
        <v>39.44</v>
      </c>
      <c r="D18" s="182">
        <v>8.31</v>
      </c>
      <c r="E18" s="182">
        <v>551.78</v>
      </c>
      <c r="F18" s="111">
        <f t="shared" si="1"/>
        <v>50</v>
      </c>
      <c r="G18" s="182">
        <v>8.1300000000000008</v>
      </c>
      <c r="H18" s="182">
        <v>14.22</v>
      </c>
      <c r="K18" s="448"/>
      <c r="L18" s="113" t="s">
        <v>176</v>
      </c>
      <c r="M18" s="180">
        <v>26.57</v>
      </c>
      <c r="N18" s="180">
        <v>7.29</v>
      </c>
      <c r="O18" s="180">
        <v>136.88999999999999</v>
      </c>
      <c r="P18" s="180">
        <v>7.29</v>
      </c>
      <c r="Q18" s="180">
        <v>10.57</v>
      </c>
    </row>
    <row r="19" spans="1:17" x14ac:dyDescent="0.2">
      <c r="K19" s="448"/>
      <c r="L19" s="110" t="s">
        <v>268</v>
      </c>
      <c r="M19" s="181">
        <f>AVERAGE(M7:M18)</f>
        <v>15.064999999999998</v>
      </c>
      <c r="N19" s="181">
        <f>AVERAGE(N7:N18)</f>
        <v>5.3166666666666655</v>
      </c>
      <c r="O19" s="181">
        <f>MAX(O7:O18)</f>
        <v>2083.13</v>
      </c>
      <c r="P19" s="181">
        <f>AVERAGE(P7:P18)</f>
        <v>5.6033333333333344</v>
      </c>
      <c r="Q19" s="181">
        <f>MAX(Q7:Q18)</f>
        <v>11.7</v>
      </c>
    </row>
    <row r="21" spans="1:17" ht="30" x14ac:dyDescent="0.2">
      <c r="K21" s="109">
        <f>+A6</f>
        <v>2022</v>
      </c>
      <c r="L21" s="109" t="s">
        <v>266</v>
      </c>
      <c r="M21" s="102" t="s">
        <v>330</v>
      </c>
      <c r="N21" s="102" t="s">
        <v>328</v>
      </c>
      <c r="O21" s="102" t="s">
        <v>331</v>
      </c>
      <c r="P21" s="114" t="s">
        <v>163</v>
      </c>
      <c r="Q21" s="114" t="s">
        <v>164</v>
      </c>
    </row>
    <row r="22" spans="1:17" x14ac:dyDescent="0.2">
      <c r="K22" s="448" t="s">
        <v>111</v>
      </c>
      <c r="L22" s="113" t="s">
        <v>165</v>
      </c>
      <c r="M22" s="180">
        <v>16.87</v>
      </c>
      <c r="N22" s="180">
        <v>8.6199999999999992</v>
      </c>
      <c r="O22" s="180">
        <v>336.88</v>
      </c>
      <c r="P22" s="180">
        <v>8.6199999999999992</v>
      </c>
      <c r="Q22" s="180">
        <v>10.56</v>
      </c>
    </row>
    <row r="23" spans="1:17" x14ac:dyDescent="0.2">
      <c r="K23" s="448"/>
      <c r="L23" s="113" t="s">
        <v>166</v>
      </c>
      <c r="M23" s="180">
        <v>31.32</v>
      </c>
      <c r="N23" s="180">
        <v>10.3</v>
      </c>
      <c r="O23" s="180">
        <v>278.94</v>
      </c>
      <c r="P23" s="180">
        <v>10.95</v>
      </c>
      <c r="Q23" s="180">
        <v>13.43</v>
      </c>
    </row>
    <row r="24" spans="1:17" x14ac:dyDescent="0.2">
      <c r="K24" s="448"/>
      <c r="L24" s="113" t="s">
        <v>167</v>
      </c>
      <c r="M24" s="180">
        <v>14.81</v>
      </c>
      <c r="N24" s="180">
        <v>5.64</v>
      </c>
      <c r="O24" s="180">
        <v>71.59</v>
      </c>
      <c r="P24" s="180">
        <v>5.64</v>
      </c>
      <c r="Q24" s="180">
        <v>9.32</v>
      </c>
    </row>
    <row r="25" spans="1:17" x14ac:dyDescent="0.2">
      <c r="K25" s="448"/>
      <c r="L25" s="113" t="s">
        <v>168</v>
      </c>
      <c r="M25" s="180">
        <v>11.64</v>
      </c>
      <c r="N25" s="180">
        <v>5.66</v>
      </c>
      <c r="O25" s="180">
        <v>196.52</v>
      </c>
      <c r="P25" s="180">
        <v>5.66</v>
      </c>
      <c r="Q25" s="180">
        <v>8.52</v>
      </c>
    </row>
    <row r="26" spans="1:17" x14ac:dyDescent="0.2">
      <c r="K26" s="448"/>
      <c r="L26" s="113" t="s">
        <v>169</v>
      </c>
      <c r="M26" s="180">
        <v>15.15</v>
      </c>
      <c r="N26" s="180">
        <v>9.31</v>
      </c>
      <c r="O26" s="180">
        <v>118.33</v>
      </c>
      <c r="P26" s="180">
        <v>9.31</v>
      </c>
      <c r="Q26" s="180">
        <v>10.74</v>
      </c>
    </row>
    <row r="27" spans="1:17" x14ac:dyDescent="0.2">
      <c r="K27" s="448"/>
      <c r="L27" s="113" t="s">
        <v>170</v>
      </c>
      <c r="M27" s="180">
        <v>13.55</v>
      </c>
      <c r="N27" s="180">
        <v>8.68</v>
      </c>
      <c r="O27" s="180">
        <v>271.45</v>
      </c>
      <c r="P27" s="180">
        <v>8.68</v>
      </c>
      <c r="Q27" s="180">
        <v>10.82</v>
      </c>
    </row>
    <row r="28" spans="1:17" x14ac:dyDescent="0.2">
      <c r="K28" s="448"/>
      <c r="L28" s="113" t="s">
        <v>171</v>
      </c>
      <c r="M28" s="180">
        <v>13.83</v>
      </c>
      <c r="N28" s="180">
        <v>7.25</v>
      </c>
      <c r="O28" s="180">
        <v>301.66000000000003</v>
      </c>
      <c r="P28" s="180">
        <v>7.25</v>
      </c>
      <c r="Q28" s="180">
        <v>9.4499999999999993</v>
      </c>
    </row>
    <row r="29" spans="1:17" x14ac:dyDescent="0.2">
      <c r="K29" s="448"/>
      <c r="L29" s="113" t="s">
        <v>172</v>
      </c>
      <c r="M29" s="180">
        <v>10.93</v>
      </c>
      <c r="N29" s="180">
        <v>7.37</v>
      </c>
      <c r="O29" s="180">
        <v>329.14</v>
      </c>
      <c r="P29" s="180">
        <v>7.25</v>
      </c>
      <c r="Q29" s="180">
        <v>8.68</v>
      </c>
    </row>
    <row r="30" spans="1:17" x14ac:dyDescent="0.2">
      <c r="K30" s="448"/>
      <c r="L30" s="113" t="s">
        <v>173</v>
      </c>
      <c r="M30" s="180">
        <v>18.649999999999999</v>
      </c>
      <c r="N30" s="180">
        <v>6.96</v>
      </c>
      <c r="O30" s="180">
        <v>368.41</v>
      </c>
      <c r="P30" s="180">
        <v>6.96</v>
      </c>
      <c r="Q30" s="180">
        <v>8.9600000000000009</v>
      </c>
    </row>
    <row r="31" spans="1:17" x14ac:dyDescent="0.2">
      <c r="K31" s="448"/>
      <c r="L31" s="113" t="s">
        <v>174</v>
      </c>
      <c r="M31" s="180">
        <v>20.97</v>
      </c>
      <c r="N31" s="180">
        <v>7.66</v>
      </c>
      <c r="O31" s="180">
        <v>247.1</v>
      </c>
      <c r="P31" s="180">
        <v>7.66</v>
      </c>
      <c r="Q31" s="180">
        <v>9.25</v>
      </c>
    </row>
    <row r="32" spans="1:17" x14ac:dyDescent="0.2">
      <c r="K32" s="448"/>
      <c r="L32" s="113" t="s">
        <v>175</v>
      </c>
      <c r="M32" s="180">
        <v>32.39</v>
      </c>
      <c r="N32" s="180">
        <v>8.83</v>
      </c>
      <c r="O32" s="180">
        <v>257.67</v>
      </c>
      <c r="P32" s="180">
        <v>8.83</v>
      </c>
      <c r="Q32" s="180">
        <v>13.62</v>
      </c>
    </row>
    <row r="33" spans="1:17" x14ac:dyDescent="0.2">
      <c r="K33" s="448"/>
      <c r="L33" s="113" t="s">
        <v>176</v>
      </c>
      <c r="M33" s="180">
        <v>39.44</v>
      </c>
      <c r="N33" s="180">
        <v>9.7899999999999991</v>
      </c>
      <c r="O33" s="180">
        <v>551.78</v>
      </c>
      <c r="P33" s="180">
        <v>9.51</v>
      </c>
      <c r="Q33" s="180">
        <v>14.22</v>
      </c>
    </row>
    <row r="34" spans="1:17" x14ac:dyDescent="0.2">
      <c r="K34" s="448"/>
      <c r="L34" s="110" t="s">
        <v>268</v>
      </c>
      <c r="M34" s="181">
        <f>AVERAGE(M22:M33)</f>
        <v>19.962500000000002</v>
      </c>
      <c r="N34" s="181"/>
      <c r="O34" s="181">
        <f>MAX(O22:O33)</f>
        <v>551.78</v>
      </c>
      <c r="P34" s="181">
        <f>AVERAGE(P22:P33)</f>
        <v>8.0266666666666655</v>
      </c>
      <c r="Q34" s="181">
        <f>MAX(Q22:Q33)</f>
        <v>14.22</v>
      </c>
    </row>
    <row r="48" spans="1:17" ht="15" x14ac:dyDescent="0.2">
      <c r="A48" s="445" t="s">
        <v>208</v>
      </c>
      <c r="B48" s="446"/>
      <c r="C48" s="446"/>
      <c r="D48" s="446"/>
      <c r="E48" s="446"/>
      <c r="F48" s="446"/>
      <c r="G48" s="446"/>
      <c r="H48" s="447"/>
    </row>
    <row r="49" spans="1:8" x14ac:dyDescent="0.2">
      <c r="A49" s="449" t="s">
        <v>336</v>
      </c>
      <c r="B49" s="450"/>
      <c r="C49" s="450"/>
      <c r="D49" s="450"/>
      <c r="E49" s="450"/>
      <c r="F49" s="450"/>
      <c r="G49" s="450"/>
      <c r="H49" s="451"/>
    </row>
    <row r="50" spans="1:8" x14ac:dyDescent="0.2">
      <c r="A50" s="452"/>
      <c r="B50" s="453"/>
      <c r="C50" s="453"/>
      <c r="D50" s="453"/>
      <c r="E50" s="453"/>
      <c r="F50" s="453"/>
      <c r="G50" s="453"/>
      <c r="H50" s="454"/>
    </row>
    <row r="51" spans="1:8" x14ac:dyDescent="0.2">
      <c r="A51" s="452"/>
      <c r="B51" s="453"/>
      <c r="C51" s="453"/>
      <c r="D51" s="453"/>
      <c r="E51" s="453"/>
      <c r="F51" s="453"/>
      <c r="G51" s="453"/>
      <c r="H51" s="454"/>
    </row>
    <row r="52" spans="1:8" x14ac:dyDescent="0.2">
      <c r="A52" s="455"/>
      <c r="B52" s="456"/>
      <c r="C52" s="456"/>
      <c r="D52" s="456"/>
      <c r="E52" s="456"/>
      <c r="F52" s="456"/>
      <c r="G52" s="456"/>
      <c r="H52" s="457"/>
    </row>
  </sheetData>
  <mergeCells count="10">
    <mergeCell ref="K22:K34"/>
    <mergeCell ref="A48:H48"/>
    <mergeCell ref="A49:H52"/>
    <mergeCell ref="S4:U8"/>
    <mergeCell ref="S10:U12"/>
    <mergeCell ref="S13:U16"/>
    <mergeCell ref="B5:E5"/>
    <mergeCell ref="F5:H5"/>
    <mergeCell ref="K5:Q5"/>
    <mergeCell ref="K7:K19"/>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52"/>
  <sheetViews>
    <sheetView workbookViewId="0">
      <selection activeCell="K58" sqref="K58"/>
    </sheetView>
  </sheetViews>
  <sheetFormatPr defaultRowHeight="14.25" x14ac:dyDescent="0.2"/>
  <cols>
    <col min="1" max="1" width="14" style="3" customWidth="1"/>
    <col min="2" max="4" width="17" style="66" customWidth="1"/>
    <col min="5" max="5" width="14.5703125" style="66" customWidth="1"/>
    <col min="6" max="7" width="17" style="66" customWidth="1"/>
    <col min="8" max="11" width="9.42578125" style="3"/>
    <col min="12" max="12" width="15.42578125" style="3" customWidth="1"/>
    <col min="13" max="13" width="17.42578125" style="3" bestFit="1" customWidth="1"/>
    <col min="14" max="14" width="13.5703125" style="3" customWidth="1"/>
    <col min="15" max="15" width="15" style="3" customWidth="1"/>
    <col min="16" max="18" width="9.42578125" style="3"/>
    <col min="19" max="19" width="22" style="3" customWidth="1"/>
    <col min="20" max="256" width="9.42578125" style="3"/>
    <col min="257" max="257" width="14" style="3" customWidth="1"/>
    <col min="258" max="263" width="10.42578125" style="3" customWidth="1"/>
    <col min="264" max="512" width="9.42578125" style="3"/>
    <col min="513" max="513" width="14" style="3" customWidth="1"/>
    <col min="514" max="519" width="10.42578125" style="3" customWidth="1"/>
    <col min="520" max="768" width="9.42578125" style="3"/>
    <col min="769" max="769" width="14" style="3" customWidth="1"/>
    <col min="770" max="775" width="10.42578125" style="3" customWidth="1"/>
    <col min="776" max="1024" width="9.42578125" style="3"/>
    <col min="1025" max="1025" width="14" style="3" customWidth="1"/>
    <col min="1026" max="1031" width="10.42578125" style="3" customWidth="1"/>
    <col min="1032" max="1280" width="9.42578125" style="3"/>
    <col min="1281" max="1281" width="14" style="3" customWidth="1"/>
    <col min="1282" max="1287" width="10.42578125" style="3" customWidth="1"/>
    <col min="1288" max="1536" width="9.42578125" style="3"/>
    <col min="1537" max="1537" width="14" style="3" customWidth="1"/>
    <col min="1538" max="1543" width="10.42578125" style="3" customWidth="1"/>
    <col min="1544" max="1792" width="9.42578125" style="3"/>
    <col min="1793" max="1793" width="14" style="3" customWidth="1"/>
    <col min="1794" max="1799" width="10.42578125" style="3" customWidth="1"/>
    <col min="1800" max="2048" width="9.42578125" style="3"/>
    <col min="2049" max="2049" width="14" style="3" customWidth="1"/>
    <col min="2050" max="2055" width="10.42578125" style="3" customWidth="1"/>
    <col min="2056" max="2304" width="9.42578125" style="3"/>
    <col min="2305" max="2305" width="14" style="3" customWidth="1"/>
    <col min="2306" max="2311" width="10.42578125" style="3" customWidth="1"/>
    <col min="2312" max="2560" width="9.42578125" style="3"/>
    <col min="2561" max="2561" width="14" style="3" customWidth="1"/>
    <col min="2562" max="2567" width="10.42578125" style="3" customWidth="1"/>
    <col min="2568" max="2816" width="9.42578125" style="3"/>
    <col min="2817" max="2817" width="14" style="3" customWidth="1"/>
    <col min="2818" max="2823" width="10.42578125" style="3" customWidth="1"/>
    <col min="2824" max="3072" width="9.42578125" style="3"/>
    <col min="3073" max="3073" width="14" style="3" customWidth="1"/>
    <col min="3074" max="3079" width="10.42578125" style="3" customWidth="1"/>
    <col min="3080" max="3328" width="9.42578125" style="3"/>
    <col min="3329" max="3329" width="14" style="3" customWidth="1"/>
    <col min="3330" max="3335" width="10.42578125" style="3" customWidth="1"/>
    <col min="3336" max="3584" width="9.42578125" style="3"/>
    <col min="3585" max="3585" width="14" style="3" customWidth="1"/>
    <col min="3586" max="3591" width="10.42578125" style="3" customWidth="1"/>
    <col min="3592" max="3840" width="9.42578125" style="3"/>
    <col min="3841" max="3841" width="14" style="3" customWidth="1"/>
    <col min="3842" max="3847" width="10.42578125" style="3" customWidth="1"/>
    <col min="3848" max="4096" width="9.42578125" style="3"/>
    <col min="4097" max="4097" width="14" style="3" customWidth="1"/>
    <col min="4098" max="4103" width="10.42578125" style="3" customWidth="1"/>
    <col min="4104" max="4352" width="9.42578125" style="3"/>
    <col min="4353" max="4353" width="14" style="3" customWidth="1"/>
    <col min="4354" max="4359" width="10.42578125" style="3" customWidth="1"/>
    <col min="4360" max="4608" width="9.42578125" style="3"/>
    <col min="4609" max="4609" width="14" style="3" customWidth="1"/>
    <col min="4610" max="4615" width="10.42578125" style="3" customWidth="1"/>
    <col min="4616" max="4864" width="9.42578125" style="3"/>
    <col min="4865" max="4865" width="14" style="3" customWidth="1"/>
    <col min="4866" max="4871" width="10.42578125" style="3" customWidth="1"/>
    <col min="4872" max="5120" width="9.42578125" style="3"/>
    <col min="5121" max="5121" width="14" style="3" customWidth="1"/>
    <col min="5122" max="5127" width="10.42578125" style="3" customWidth="1"/>
    <col min="5128" max="5376" width="9.42578125" style="3"/>
    <col min="5377" max="5377" width="14" style="3" customWidth="1"/>
    <col min="5378" max="5383" width="10.42578125" style="3" customWidth="1"/>
    <col min="5384" max="5632" width="9.42578125" style="3"/>
    <col min="5633" max="5633" width="14" style="3" customWidth="1"/>
    <col min="5634" max="5639" width="10.42578125" style="3" customWidth="1"/>
    <col min="5640" max="5888" width="9.42578125" style="3"/>
    <col min="5889" max="5889" width="14" style="3" customWidth="1"/>
    <col min="5890" max="5895" width="10.42578125" style="3" customWidth="1"/>
    <col min="5896" max="6144" width="9.42578125" style="3"/>
    <col min="6145" max="6145" width="14" style="3" customWidth="1"/>
    <col min="6146" max="6151" width="10.42578125" style="3" customWidth="1"/>
    <col min="6152" max="6400" width="9.42578125" style="3"/>
    <col min="6401" max="6401" width="14" style="3" customWidth="1"/>
    <col min="6402" max="6407" width="10.42578125" style="3" customWidth="1"/>
    <col min="6408" max="6656" width="9.42578125" style="3"/>
    <col min="6657" max="6657" width="14" style="3" customWidth="1"/>
    <col min="6658" max="6663" width="10.42578125" style="3" customWidth="1"/>
    <col min="6664" max="6912" width="9.42578125" style="3"/>
    <col min="6913" max="6913" width="14" style="3" customWidth="1"/>
    <col min="6914" max="6919" width="10.42578125" style="3" customWidth="1"/>
    <col min="6920" max="7168" width="9.42578125" style="3"/>
    <col min="7169" max="7169" width="14" style="3" customWidth="1"/>
    <col min="7170" max="7175" width="10.42578125" style="3" customWidth="1"/>
    <col min="7176" max="7424" width="9.42578125" style="3"/>
    <col min="7425" max="7425" width="14" style="3" customWidth="1"/>
    <col min="7426" max="7431" width="10.42578125" style="3" customWidth="1"/>
    <col min="7432" max="7680" width="9.42578125" style="3"/>
    <col min="7681" max="7681" width="14" style="3" customWidth="1"/>
    <col min="7682" max="7687" width="10.42578125" style="3" customWidth="1"/>
    <col min="7688" max="7936" width="9.42578125" style="3"/>
    <col min="7937" max="7937" width="14" style="3" customWidth="1"/>
    <col min="7938" max="7943" width="10.42578125" style="3" customWidth="1"/>
    <col min="7944" max="8192" width="9.42578125" style="3"/>
    <col min="8193" max="8193" width="14" style="3" customWidth="1"/>
    <col min="8194" max="8199" width="10.42578125" style="3" customWidth="1"/>
    <col min="8200" max="8448" width="9.42578125" style="3"/>
    <col min="8449" max="8449" width="14" style="3" customWidth="1"/>
    <col min="8450" max="8455" width="10.42578125" style="3" customWidth="1"/>
    <col min="8456" max="8704" width="9.42578125" style="3"/>
    <col min="8705" max="8705" width="14" style="3" customWidth="1"/>
    <col min="8706" max="8711" width="10.42578125" style="3" customWidth="1"/>
    <col min="8712" max="8960" width="9.42578125" style="3"/>
    <col min="8961" max="8961" width="14" style="3" customWidth="1"/>
    <col min="8962" max="8967" width="10.42578125" style="3" customWidth="1"/>
    <col min="8968" max="9216" width="9.42578125" style="3"/>
    <col min="9217" max="9217" width="14" style="3" customWidth="1"/>
    <col min="9218" max="9223" width="10.42578125" style="3" customWidth="1"/>
    <col min="9224" max="9472" width="9.42578125" style="3"/>
    <col min="9473" max="9473" width="14" style="3" customWidth="1"/>
    <col min="9474" max="9479" width="10.42578125" style="3" customWidth="1"/>
    <col min="9480" max="9728" width="9.42578125" style="3"/>
    <col min="9729" max="9729" width="14" style="3" customWidth="1"/>
    <col min="9730" max="9735" width="10.42578125" style="3" customWidth="1"/>
    <col min="9736" max="9984" width="9.42578125" style="3"/>
    <col min="9985" max="9985" width="14" style="3" customWidth="1"/>
    <col min="9986" max="9991" width="10.42578125" style="3" customWidth="1"/>
    <col min="9992" max="10240" width="9.42578125" style="3"/>
    <col min="10241" max="10241" width="14" style="3" customWidth="1"/>
    <col min="10242" max="10247" width="10.42578125" style="3" customWidth="1"/>
    <col min="10248" max="10496" width="9.42578125" style="3"/>
    <col min="10497" max="10497" width="14" style="3" customWidth="1"/>
    <col min="10498" max="10503" width="10.42578125" style="3" customWidth="1"/>
    <col min="10504" max="10752" width="9.42578125" style="3"/>
    <col min="10753" max="10753" width="14" style="3" customWidth="1"/>
    <col min="10754" max="10759" width="10.42578125" style="3" customWidth="1"/>
    <col min="10760" max="11008" width="9.42578125" style="3"/>
    <col min="11009" max="11009" width="14" style="3" customWidth="1"/>
    <col min="11010" max="11015" width="10.42578125" style="3" customWidth="1"/>
    <col min="11016" max="11264" width="9.42578125" style="3"/>
    <col min="11265" max="11265" width="14" style="3" customWidth="1"/>
    <col min="11266" max="11271" width="10.42578125" style="3" customWidth="1"/>
    <col min="11272" max="11520" width="9.42578125" style="3"/>
    <col min="11521" max="11521" width="14" style="3" customWidth="1"/>
    <col min="11522" max="11527" width="10.42578125" style="3" customWidth="1"/>
    <col min="11528" max="11776" width="9.42578125" style="3"/>
    <col min="11777" max="11777" width="14" style="3" customWidth="1"/>
    <col min="11778" max="11783" width="10.42578125" style="3" customWidth="1"/>
    <col min="11784" max="12032" width="9.42578125" style="3"/>
    <col min="12033" max="12033" width="14" style="3" customWidth="1"/>
    <col min="12034" max="12039" width="10.42578125" style="3" customWidth="1"/>
    <col min="12040" max="12288" width="9.42578125" style="3"/>
    <col min="12289" max="12289" width="14" style="3" customWidth="1"/>
    <col min="12290" max="12295" width="10.42578125" style="3" customWidth="1"/>
    <col min="12296" max="12544" width="9.42578125" style="3"/>
    <col min="12545" max="12545" width="14" style="3" customWidth="1"/>
    <col min="12546" max="12551" width="10.42578125" style="3" customWidth="1"/>
    <col min="12552" max="12800" width="9.42578125" style="3"/>
    <col min="12801" max="12801" width="14" style="3" customWidth="1"/>
    <col min="12802" max="12807" width="10.42578125" style="3" customWidth="1"/>
    <col min="12808" max="13056" width="9.42578125" style="3"/>
    <col min="13057" max="13057" width="14" style="3" customWidth="1"/>
    <col min="13058" max="13063" width="10.42578125" style="3" customWidth="1"/>
    <col min="13064" max="13312" width="9.42578125" style="3"/>
    <col min="13313" max="13313" width="14" style="3" customWidth="1"/>
    <col min="13314" max="13319" width="10.42578125" style="3" customWidth="1"/>
    <col min="13320" max="13568" width="9.42578125" style="3"/>
    <col min="13569" max="13569" width="14" style="3" customWidth="1"/>
    <col min="13570" max="13575" width="10.42578125" style="3" customWidth="1"/>
    <col min="13576" max="13824" width="9.42578125" style="3"/>
    <col min="13825" max="13825" width="14" style="3" customWidth="1"/>
    <col min="13826" max="13831" width="10.42578125" style="3" customWidth="1"/>
    <col min="13832" max="14080" width="9.42578125" style="3"/>
    <col min="14081" max="14081" width="14" style="3" customWidth="1"/>
    <col min="14082" max="14087" width="10.42578125" style="3" customWidth="1"/>
    <col min="14088" max="14336" width="9.42578125" style="3"/>
    <col min="14337" max="14337" width="14" style="3" customWidth="1"/>
    <col min="14338" max="14343" width="10.42578125" style="3" customWidth="1"/>
    <col min="14344" max="14592" width="9.42578125" style="3"/>
    <col min="14593" max="14593" width="14" style="3" customWidth="1"/>
    <col min="14594" max="14599" width="10.42578125" style="3" customWidth="1"/>
    <col min="14600" max="14848" width="9.42578125" style="3"/>
    <col min="14849" max="14849" width="14" style="3" customWidth="1"/>
    <col min="14850" max="14855" width="10.42578125" style="3" customWidth="1"/>
    <col min="14856" max="15104" width="9.42578125" style="3"/>
    <col min="15105" max="15105" width="14" style="3" customWidth="1"/>
    <col min="15106" max="15111" width="10.42578125" style="3" customWidth="1"/>
    <col min="15112" max="15360" width="9.42578125" style="3"/>
    <col min="15361" max="15361" width="14" style="3" customWidth="1"/>
    <col min="15362" max="15367" width="10.42578125" style="3" customWidth="1"/>
    <col min="15368" max="15616" width="9.42578125" style="3"/>
    <col min="15617" max="15617" width="14" style="3" customWidth="1"/>
    <col min="15618" max="15623" width="10.42578125" style="3" customWidth="1"/>
    <col min="15624" max="15872" width="9.42578125" style="3"/>
    <col min="15873" max="15873" width="14" style="3" customWidth="1"/>
    <col min="15874" max="15879" width="10.42578125" style="3" customWidth="1"/>
    <col min="15880" max="16128" width="9.42578125" style="3"/>
    <col min="16129" max="16129" width="14" style="3" customWidth="1"/>
    <col min="16130" max="16135" width="10.42578125" style="3" customWidth="1"/>
    <col min="16136" max="16384" width="9.42578125" style="3"/>
  </cols>
  <sheetData>
    <row r="1" spans="1:19" ht="15" x14ac:dyDescent="0.2">
      <c r="A1" s="2" t="str">
        <f>+'Cover Page'!$B$29</f>
        <v>Annual Performance Report 2022</v>
      </c>
      <c r="B1" s="2"/>
      <c r="C1" s="2"/>
      <c r="D1" s="2"/>
      <c r="E1" s="2" t="str">
        <f>+'Cover Page'!$B$33</f>
        <v>enfinium Ferrybridge 1 Ltd</v>
      </c>
    </row>
    <row r="3" spans="1:19" ht="15" x14ac:dyDescent="0.25">
      <c r="A3" s="108" t="s">
        <v>273</v>
      </c>
      <c r="D3" s="124" t="s">
        <v>302</v>
      </c>
      <c r="G3" s="128" t="s">
        <v>310</v>
      </c>
      <c r="J3" s="11" t="str">
        <f>+A3</f>
        <v xml:space="preserve">Monitoring of Ammnonia emissions </v>
      </c>
      <c r="L3" s="11"/>
      <c r="N3" s="11" t="s">
        <v>303</v>
      </c>
      <c r="Q3" s="127" t="s">
        <v>297</v>
      </c>
      <c r="R3" s="122"/>
      <c r="S3" s="122"/>
    </row>
    <row r="4" spans="1:19" ht="14.1" customHeight="1" x14ac:dyDescent="0.2">
      <c r="Q4" s="386" t="s">
        <v>308</v>
      </c>
      <c r="R4" s="386"/>
      <c r="S4" s="386"/>
    </row>
    <row r="5" spans="1:19" ht="17.25" x14ac:dyDescent="0.25">
      <c r="A5" s="115" t="s">
        <v>267</v>
      </c>
      <c r="B5" s="435" t="s">
        <v>265</v>
      </c>
      <c r="C5" s="435"/>
      <c r="D5" s="435"/>
      <c r="E5" s="435" t="s">
        <v>264</v>
      </c>
      <c r="F5" s="435"/>
      <c r="G5" s="435"/>
      <c r="J5" s="434"/>
      <c r="K5" s="434"/>
      <c r="L5" s="434"/>
      <c r="M5" s="434"/>
      <c r="N5" s="434"/>
      <c r="O5" s="434"/>
      <c r="Q5" s="386"/>
      <c r="R5" s="386"/>
      <c r="S5" s="386"/>
    </row>
    <row r="6" spans="1:19" s="106" customFormat="1" ht="37.5" customHeight="1" x14ac:dyDescent="0.25">
      <c r="A6" s="112">
        <f>+'Cover Page'!C39</f>
        <v>2022</v>
      </c>
      <c r="B6" s="102" t="s">
        <v>188</v>
      </c>
      <c r="C6" s="102" t="s">
        <v>160</v>
      </c>
      <c r="D6" s="102" t="s">
        <v>320</v>
      </c>
      <c r="E6" s="102" t="s">
        <v>189</v>
      </c>
      <c r="F6" s="102" t="s">
        <v>163</v>
      </c>
      <c r="G6" s="102" t="s">
        <v>321</v>
      </c>
      <c r="H6" s="107"/>
      <c r="J6" s="109">
        <f>+A6</f>
        <v>2022</v>
      </c>
      <c r="K6" s="109" t="s">
        <v>266</v>
      </c>
      <c r="L6" s="114" t="s">
        <v>160</v>
      </c>
      <c r="M6" s="114" t="s">
        <v>161</v>
      </c>
      <c r="N6" s="114" t="s">
        <v>163</v>
      </c>
      <c r="O6" s="114" t="s">
        <v>164</v>
      </c>
      <c r="Q6" s="386"/>
      <c r="R6" s="386"/>
      <c r="S6" s="386"/>
    </row>
    <row r="7" spans="1:19" x14ac:dyDescent="0.2">
      <c r="A7" s="113" t="s">
        <v>165</v>
      </c>
      <c r="B7" s="116">
        <v>0</v>
      </c>
      <c r="C7" s="182">
        <v>0.36</v>
      </c>
      <c r="D7" s="182">
        <v>0.73</v>
      </c>
      <c r="E7" s="116">
        <v>15</v>
      </c>
      <c r="F7" s="182">
        <v>0.36</v>
      </c>
      <c r="G7" s="182">
        <v>0.55000000000000004</v>
      </c>
      <c r="J7" s="448" t="s">
        <v>110</v>
      </c>
      <c r="K7" s="113" t="s">
        <v>165</v>
      </c>
      <c r="L7" s="182">
        <v>0.23</v>
      </c>
      <c r="M7" s="182">
        <v>0.73</v>
      </c>
      <c r="N7" s="182">
        <v>0.23</v>
      </c>
      <c r="O7" s="182">
        <v>0.31</v>
      </c>
      <c r="Q7" s="386"/>
      <c r="R7" s="386"/>
      <c r="S7" s="386"/>
    </row>
    <row r="8" spans="1:19" x14ac:dyDescent="0.2">
      <c r="A8" s="113" t="s">
        <v>166</v>
      </c>
      <c r="B8" s="111">
        <f>+B7</f>
        <v>0</v>
      </c>
      <c r="C8" s="182">
        <v>0.44</v>
      </c>
      <c r="D8" s="182">
        <v>10.199999999999999</v>
      </c>
      <c r="E8" s="111">
        <v>15</v>
      </c>
      <c r="F8" s="182">
        <v>0.4</v>
      </c>
      <c r="G8" s="182">
        <v>0.55000000000000004</v>
      </c>
      <c r="J8" s="448"/>
      <c r="K8" s="113" t="s">
        <v>166</v>
      </c>
      <c r="L8" s="182">
        <v>0.38</v>
      </c>
      <c r="M8" s="182">
        <v>1.42</v>
      </c>
      <c r="N8" s="182">
        <v>0.36</v>
      </c>
      <c r="O8" s="182">
        <v>0.41</v>
      </c>
      <c r="Q8" s="386"/>
      <c r="R8" s="386"/>
      <c r="S8" s="386"/>
    </row>
    <row r="9" spans="1:19" ht="15" x14ac:dyDescent="0.25">
      <c r="A9" s="113" t="s">
        <v>167</v>
      </c>
      <c r="B9" s="111">
        <f t="shared" ref="B9:B18" si="0">+B8</f>
        <v>0</v>
      </c>
      <c r="C9" s="182">
        <v>0.33</v>
      </c>
      <c r="D9" s="182">
        <v>1.83</v>
      </c>
      <c r="E9" s="111">
        <v>15</v>
      </c>
      <c r="F9" s="182">
        <v>0.33</v>
      </c>
      <c r="G9" s="182">
        <v>1.34</v>
      </c>
      <c r="J9" s="448"/>
      <c r="K9" s="113" t="s">
        <v>167</v>
      </c>
      <c r="L9" s="182">
        <v>0.42</v>
      </c>
      <c r="M9" s="182">
        <v>1.83</v>
      </c>
      <c r="N9" s="182">
        <v>0.42</v>
      </c>
      <c r="O9" s="182">
        <v>1.34</v>
      </c>
      <c r="Q9" s="126" t="s">
        <v>309</v>
      </c>
    </row>
    <row r="10" spans="1:19" ht="14.25" customHeight="1" x14ac:dyDescent="0.2">
      <c r="A10" s="113" t="s">
        <v>168</v>
      </c>
      <c r="B10" s="111">
        <f t="shared" si="0"/>
        <v>0</v>
      </c>
      <c r="C10" s="182">
        <v>0.55000000000000004</v>
      </c>
      <c r="D10" s="182">
        <v>9.07</v>
      </c>
      <c r="E10" s="111">
        <v>15</v>
      </c>
      <c r="F10" s="182">
        <v>0.55000000000000004</v>
      </c>
      <c r="G10" s="182">
        <v>4.3899999999999997</v>
      </c>
      <c r="J10" s="448"/>
      <c r="K10" s="113" t="s">
        <v>168</v>
      </c>
      <c r="L10" s="182">
        <v>0.85</v>
      </c>
      <c r="M10" s="182">
        <v>9.07</v>
      </c>
      <c r="N10" s="182">
        <v>0.86</v>
      </c>
      <c r="O10" s="182">
        <v>4.3899999999999997</v>
      </c>
      <c r="Q10" s="433" t="s">
        <v>327</v>
      </c>
      <c r="R10" s="433"/>
      <c r="S10" s="433"/>
    </row>
    <row r="11" spans="1:19" x14ac:dyDescent="0.2">
      <c r="A11" s="113" t="s">
        <v>169</v>
      </c>
      <c r="B11" s="111">
        <f t="shared" si="0"/>
        <v>0</v>
      </c>
      <c r="C11" s="182">
        <v>0.28999999999999998</v>
      </c>
      <c r="D11" s="182">
        <v>6.16</v>
      </c>
      <c r="E11" s="111">
        <v>15</v>
      </c>
      <c r="F11" s="182">
        <v>0.28999999999999998</v>
      </c>
      <c r="G11" s="182">
        <v>0.95</v>
      </c>
      <c r="J11" s="448"/>
      <c r="K11" s="113" t="s">
        <v>169</v>
      </c>
      <c r="L11" s="182">
        <v>0.34</v>
      </c>
      <c r="M11" s="182">
        <v>6.16</v>
      </c>
      <c r="N11" s="182">
        <v>0.34</v>
      </c>
      <c r="O11" s="182">
        <v>0.95</v>
      </c>
      <c r="Q11" s="433"/>
      <c r="R11" s="433"/>
      <c r="S11" s="433"/>
    </row>
    <row r="12" spans="1:19" x14ac:dyDescent="0.2">
      <c r="A12" s="113" t="s">
        <v>170</v>
      </c>
      <c r="B12" s="111">
        <f t="shared" si="0"/>
        <v>0</v>
      </c>
      <c r="C12" s="182">
        <v>0.23</v>
      </c>
      <c r="D12" s="182">
        <v>1.87</v>
      </c>
      <c r="E12" s="111">
        <v>15</v>
      </c>
      <c r="F12" s="182">
        <v>0.22</v>
      </c>
      <c r="G12" s="182">
        <v>0.35</v>
      </c>
      <c r="J12" s="448"/>
      <c r="K12" s="113" t="s">
        <v>170</v>
      </c>
      <c r="L12" s="182">
        <v>0.27</v>
      </c>
      <c r="M12" s="182">
        <v>1.87</v>
      </c>
      <c r="N12" s="182">
        <v>0.26</v>
      </c>
      <c r="O12" s="182">
        <v>0.35</v>
      </c>
      <c r="Q12" s="433"/>
      <c r="R12" s="433"/>
      <c r="S12" s="433"/>
    </row>
    <row r="13" spans="1:19" ht="14.25" customHeight="1" x14ac:dyDescent="0.2">
      <c r="A13" s="113" t="s">
        <v>171</v>
      </c>
      <c r="B13" s="111">
        <f t="shared" si="0"/>
        <v>0</v>
      </c>
      <c r="C13" s="182">
        <v>0.16</v>
      </c>
      <c r="D13" s="182">
        <v>2.83</v>
      </c>
      <c r="E13" s="111">
        <v>15</v>
      </c>
      <c r="F13" s="182">
        <v>0.16</v>
      </c>
      <c r="G13" s="182">
        <v>0.64</v>
      </c>
      <c r="J13" s="448"/>
      <c r="K13" s="113" t="s">
        <v>171</v>
      </c>
      <c r="L13" s="182">
        <v>0.08</v>
      </c>
      <c r="M13" s="182">
        <v>0.43</v>
      </c>
      <c r="N13" s="182">
        <v>0.08</v>
      </c>
      <c r="O13" s="182">
        <v>0.28000000000000003</v>
      </c>
      <c r="Q13" s="433" t="s">
        <v>333</v>
      </c>
      <c r="R13" s="433"/>
      <c r="S13" s="433"/>
    </row>
    <row r="14" spans="1:19" x14ac:dyDescent="0.2">
      <c r="A14" s="113" t="s">
        <v>172</v>
      </c>
      <c r="B14" s="111">
        <f t="shared" si="0"/>
        <v>0</v>
      </c>
      <c r="C14" s="182">
        <v>0.21</v>
      </c>
      <c r="D14" s="182">
        <v>7.58</v>
      </c>
      <c r="E14" s="111">
        <v>15</v>
      </c>
      <c r="F14" s="182">
        <v>0.18</v>
      </c>
      <c r="G14" s="182">
        <v>0.75</v>
      </c>
      <c r="J14" s="448"/>
      <c r="K14" s="113" t="s">
        <v>172</v>
      </c>
      <c r="L14" s="182">
        <v>0.13</v>
      </c>
      <c r="M14" s="182">
        <v>7.58</v>
      </c>
      <c r="N14" s="182">
        <v>0.08</v>
      </c>
      <c r="O14" s="182">
        <v>0.37</v>
      </c>
      <c r="Q14" s="433"/>
      <c r="R14" s="433"/>
      <c r="S14" s="433"/>
    </row>
    <row r="15" spans="1:19" x14ac:dyDescent="0.2">
      <c r="A15" s="113" t="s">
        <v>173</v>
      </c>
      <c r="B15" s="111">
        <f t="shared" si="0"/>
        <v>0</v>
      </c>
      <c r="C15" s="182">
        <v>0.19</v>
      </c>
      <c r="D15" s="182">
        <v>5.04</v>
      </c>
      <c r="E15" s="111">
        <v>15</v>
      </c>
      <c r="F15" s="182">
        <v>0.17</v>
      </c>
      <c r="G15" s="182">
        <v>0.32</v>
      </c>
      <c r="J15" s="448"/>
      <c r="K15" s="113" t="s">
        <v>173</v>
      </c>
      <c r="L15" s="182">
        <v>0.12</v>
      </c>
      <c r="M15" s="182">
        <v>5.04</v>
      </c>
      <c r="N15" s="182">
        <v>0.08</v>
      </c>
      <c r="O15" s="182">
        <v>0.2</v>
      </c>
      <c r="Q15" s="433"/>
      <c r="R15" s="433"/>
      <c r="S15" s="433"/>
    </row>
    <row r="16" spans="1:19" x14ac:dyDescent="0.2">
      <c r="A16" s="113" t="s">
        <v>174</v>
      </c>
      <c r="B16" s="111">
        <f t="shared" si="0"/>
        <v>0</v>
      </c>
      <c r="C16" s="182">
        <v>0.18</v>
      </c>
      <c r="D16" s="182">
        <v>9.15</v>
      </c>
      <c r="E16" s="111">
        <v>15</v>
      </c>
      <c r="F16" s="182">
        <v>0.17</v>
      </c>
      <c r="G16" s="182">
        <v>0.31</v>
      </c>
      <c r="J16" s="448"/>
      <c r="K16" s="113" t="s">
        <v>174</v>
      </c>
      <c r="L16" s="182">
        <v>0.11</v>
      </c>
      <c r="M16" s="182">
        <v>9.15</v>
      </c>
      <c r="N16" s="182">
        <v>7.0000000000000007E-2</v>
      </c>
      <c r="O16" s="182">
        <v>0.31</v>
      </c>
      <c r="Q16" s="433"/>
      <c r="R16" s="433"/>
      <c r="S16" s="433"/>
    </row>
    <row r="17" spans="1:15" x14ac:dyDescent="0.2">
      <c r="A17" s="113" t="s">
        <v>175</v>
      </c>
      <c r="B17" s="111">
        <f t="shared" si="0"/>
        <v>0</v>
      </c>
      <c r="C17" s="182">
        <v>0.28999999999999998</v>
      </c>
      <c r="D17" s="182">
        <v>25.17</v>
      </c>
      <c r="E17" s="111">
        <v>15</v>
      </c>
      <c r="F17" s="182">
        <v>0.27</v>
      </c>
      <c r="G17" s="182">
        <v>2.9</v>
      </c>
      <c r="J17" s="448"/>
      <c r="K17" s="113" t="s">
        <v>175</v>
      </c>
      <c r="L17" s="182">
        <v>0.28999999999999998</v>
      </c>
      <c r="M17" s="182">
        <v>25.17</v>
      </c>
      <c r="N17" s="182">
        <v>0.25</v>
      </c>
      <c r="O17" s="182">
        <v>2.9</v>
      </c>
    </row>
    <row r="18" spans="1:15" x14ac:dyDescent="0.2">
      <c r="A18" s="113" t="s">
        <v>176</v>
      </c>
      <c r="B18" s="111">
        <f t="shared" si="0"/>
        <v>0</v>
      </c>
      <c r="C18" s="182">
        <v>0.12</v>
      </c>
      <c r="D18" s="182">
        <v>2.91</v>
      </c>
      <c r="E18" s="111">
        <v>15</v>
      </c>
      <c r="F18" s="182">
        <v>0.1</v>
      </c>
      <c r="G18" s="182">
        <v>0.33</v>
      </c>
      <c r="J18" s="448"/>
      <c r="K18" s="113" t="s">
        <v>176</v>
      </c>
      <c r="L18" s="182">
        <v>7.0000000000000007E-2</v>
      </c>
      <c r="M18" s="182">
        <v>0.22</v>
      </c>
      <c r="N18" s="182">
        <v>7.0000000000000007E-2</v>
      </c>
      <c r="O18" s="182">
        <v>0.14000000000000001</v>
      </c>
    </row>
    <row r="19" spans="1:15" x14ac:dyDescent="0.2">
      <c r="J19" s="448"/>
      <c r="K19" s="110" t="s">
        <v>268</v>
      </c>
      <c r="L19" s="181">
        <f>AVERAGE(L7:L18)</f>
        <v>0.27416666666666661</v>
      </c>
      <c r="M19" s="181">
        <f>MAX(M7:M18)</f>
        <v>25.17</v>
      </c>
      <c r="N19" s="181">
        <f>AVERAGE(N7:N18)</f>
        <v>0.2583333333333333</v>
      </c>
      <c r="O19" s="181">
        <f>MAX(O7:O18)</f>
        <v>4.3899999999999997</v>
      </c>
    </row>
    <row r="21" spans="1:15" ht="30" x14ac:dyDescent="0.2">
      <c r="J21" s="109">
        <f>+A6</f>
        <v>2022</v>
      </c>
      <c r="K21" s="109" t="s">
        <v>266</v>
      </c>
      <c r="L21" s="114" t="s">
        <v>160</v>
      </c>
      <c r="M21" s="114" t="s">
        <v>161</v>
      </c>
      <c r="N21" s="114" t="s">
        <v>163</v>
      </c>
      <c r="O21" s="114" t="s">
        <v>164</v>
      </c>
    </row>
    <row r="22" spans="1:15" x14ac:dyDescent="0.2">
      <c r="J22" s="448" t="s">
        <v>111</v>
      </c>
      <c r="K22" s="113" t="s">
        <v>165</v>
      </c>
      <c r="L22" s="182">
        <v>0.48</v>
      </c>
      <c r="M22" s="182">
        <v>0.7</v>
      </c>
      <c r="N22" s="182">
        <v>0.48</v>
      </c>
      <c r="O22" s="182">
        <v>0.55000000000000004</v>
      </c>
    </row>
    <row r="23" spans="1:15" x14ac:dyDescent="0.2">
      <c r="J23" s="448"/>
      <c r="K23" s="113" t="s">
        <v>166</v>
      </c>
      <c r="L23" s="182">
        <v>0.5</v>
      </c>
      <c r="M23" s="182">
        <v>10.199999999999999</v>
      </c>
      <c r="N23" s="182">
        <v>0.46</v>
      </c>
      <c r="O23" s="182">
        <v>0.55000000000000004</v>
      </c>
    </row>
    <row r="24" spans="1:15" x14ac:dyDescent="0.2">
      <c r="J24" s="448"/>
      <c r="K24" s="113" t="s">
        <v>167</v>
      </c>
      <c r="L24" s="182">
        <v>0.25</v>
      </c>
      <c r="M24" s="182">
        <v>0.5</v>
      </c>
      <c r="N24" s="182">
        <v>0.25</v>
      </c>
      <c r="O24" s="182">
        <v>0.41</v>
      </c>
    </row>
    <row r="25" spans="1:15" x14ac:dyDescent="0.2">
      <c r="J25" s="448"/>
      <c r="K25" s="113" t="s">
        <v>168</v>
      </c>
      <c r="L25" s="182">
        <v>0.28000000000000003</v>
      </c>
      <c r="M25" s="182">
        <v>0.67</v>
      </c>
      <c r="N25" s="182">
        <v>0.28000000000000003</v>
      </c>
      <c r="O25" s="182">
        <v>0.37</v>
      </c>
    </row>
    <row r="26" spans="1:15" x14ac:dyDescent="0.2">
      <c r="J26" s="448"/>
      <c r="K26" s="113" t="s">
        <v>169</v>
      </c>
      <c r="L26" s="182">
        <v>0.24</v>
      </c>
      <c r="M26" s="182">
        <v>0.63</v>
      </c>
      <c r="N26" s="182">
        <v>0.24</v>
      </c>
      <c r="O26" s="182">
        <v>0.4</v>
      </c>
    </row>
    <row r="27" spans="1:15" x14ac:dyDescent="0.2">
      <c r="J27" s="448"/>
      <c r="K27" s="113" t="s">
        <v>170</v>
      </c>
      <c r="L27" s="182">
        <v>0.19</v>
      </c>
      <c r="M27" s="182">
        <v>0.5</v>
      </c>
      <c r="N27" s="182">
        <v>0.19</v>
      </c>
      <c r="O27" s="182">
        <v>0.28999999999999998</v>
      </c>
    </row>
    <row r="28" spans="1:15" x14ac:dyDescent="0.2">
      <c r="J28" s="448"/>
      <c r="K28" s="113" t="s">
        <v>171</v>
      </c>
      <c r="L28" s="182">
        <v>0.24</v>
      </c>
      <c r="M28" s="182">
        <v>2.83</v>
      </c>
      <c r="N28" s="182">
        <v>0.24</v>
      </c>
      <c r="O28" s="182">
        <v>0.64</v>
      </c>
    </row>
    <row r="29" spans="1:15" x14ac:dyDescent="0.2">
      <c r="J29" s="448"/>
      <c r="K29" s="113" t="s">
        <v>172</v>
      </c>
      <c r="L29" s="182">
        <v>0.28000000000000003</v>
      </c>
      <c r="M29" s="182">
        <v>1.78</v>
      </c>
      <c r="N29" s="182">
        <v>0.26</v>
      </c>
      <c r="O29" s="182">
        <v>0.75</v>
      </c>
    </row>
    <row r="30" spans="1:15" x14ac:dyDescent="0.2">
      <c r="J30" s="448"/>
      <c r="K30" s="113" t="s">
        <v>173</v>
      </c>
      <c r="L30" s="182">
        <v>0.25</v>
      </c>
      <c r="M30" s="182">
        <v>0.52</v>
      </c>
      <c r="N30" s="182">
        <v>0.25</v>
      </c>
      <c r="O30" s="182">
        <v>0.32</v>
      </c>
    </row>
    <row r="31" spans="1:15" x14ac:dyDescent="0.2">
      <c r="J31" s="448"/>
      <c r="K31" s="113" t="s">
        <v>174</v>
      </c>
      <c r="L31" s="182">
        <v>0.24</v>
      </c>
      <c r="M31" s="182">
        <v>0.63</v>
      </c>
      <c r="N31" s="182">
        <v>0.24</v>
      </c>
      <c r="O31" s="182">
        <v>0.31</v>
      </c>
    </row>
    <row r="32" spans="1:15" x14ac:dyDescent="0.2">
      <c r="J32" s="448"/>
      <c r="K32" s="113" t="s">
        <v>175</v>
      </c>
      <c r="L32" s="182">
        <v>0.28999999999999998</v>
      </c>
      <c r="M32" s="182">
        <v>0.95</v>
      </c>
      <c r="N32" s="182">
        <v>0.28999999999999998</v>
      </c>
      <c r="O32" s="182">
        <v>0.48</v>
      </c>
    </row>
    <row r="33" spans="1:15" x14ac:dyDescent="0.2">
      <c r="J33" s="448"/>
      <c r="K33" s="113" t="s">
        <v>176</v>
      </c>
      <c r="L33" s="182">
        <v>0.2</v>
      </c>
      <c r="M33" s="182">
        <v>2.91</v>
      </c>
      <c r="N33" s="182">
        <v>0.16</v>
      </c>
      <c r="O33" s="182">
        <v>0.33</v>
      </c>
    </row>
    <row r="34" spans="1:15" x14ac:dyDescent="0.2">
      <c r="J34" s="448"/>
      <c r="K34" s="110" t="s">
        <v>268</v>
      </c>
      <c r="L34" s="181">
        <f>AVERAGE(L22:L33)</f>
        <v>0.28666666666666668</v>
      </c>
      <c r="M34" s="181">
        <f>MAX(M22:M33)</f>
        <v>10.199999999999999</v>
      </c>
      <c r="N34" s="181">
        <f>AVERAGE(N22:N33)</f>
        <v>0.27833333333333332</v>
      </c>
      <c r="O34" s="181">
        <f>MAX(O22:O33)</f>
        <v>0.75</v>
      </c>
    </row>
    <row r="48" spans="1:15" ht="15" x14ac:dyDescent="0.2">
      <c r="A48" s="445" t="s">
        <v>208</v>
      </c>
      <c r="B48" s="446"/>
      <c r="C48" s="446"/>
      <c r="D48" s="446"/>
      <c r="E48" s="446"/>
      <c r="F48" s="446"/>
      <c r="G48" s="447"/>
    </row>
    <row r="49" spans="1:7" x14ac:dyDescent="0.2">
      <c r="A49" s="436" t="s">
        <v>335</v>
      </c>
      <c r="B49" s="437"/>
      <c r="C49" s="437"/>
      <c r="D49" s="437"/>
      <c r="E49" s="437"/>
      <c r="F49" s="437"/>
      <c r="G49" s="438"/>
    </row>
    <row r="50" spans="1:7" x14ac:dyDescent="0.2">
      <c r="A50" s="439"/>
      <c r="B50" s="440"/>
      <c r="C50" s="440"/>
      <c r="D50" s="440"/>
      <c r="E50" s="440"/>
      <c r="F50" s="440"/>
      <c r="G50" s="441"/>
    </row>
    <row r="51" spans="1:7" x14ac:dyDescent="0.2">
      <c r="A51" s="439"/>
      <c r="B51" s="440"/>
      <c r="C51" s="440"/>
      <c r="D51" s="440"/>
      <c r="E51" s="440"/>
      <c r="F51" s="440"/>
      <c r="G51" s="441"/>
    </row>
    <row r="52" spans="1:7" x14ac:dyDescent="0.2">
      <c r="A52" s="442"/>
      <c r="B52" s="443"/>
      <c r="C52" s="443"/>
      <c r="D52" s="443"/>
      <c r="E52" s="443"/>
      <c r="F52" s="443"/>
      <c r="G52" s="444"/>
    </row>
  </sheetData>
  <mergeCells count="10">
    <mergeCell ref="J22:J34"/>
    <mergeCell ref="A48:G48"/>
    <mergeCell ref="A49:G52"/>
    <mergeCell ref="Q4:S8"/>
    <mergeCell ref="Q10:S12"/>
    <mergeCell ref="Q13:S16"/>
    <mergeCell ref="B5:D5"/>
    <mergeCell ref="E5:G5"/>
    <mergeCell ref="J5:O5"/>
    <mergeCell ref="J7:J19"/>
  </mergeCells>
  <pageMargins left="0.7" right="0.7" top="0.75" bottom="0.75" header="0.3" footer="0.3"/>
  <pageSetup paperSize="9" scale="77" fitToHeight="0" orientation="portrait" r:id="rId1"/>
  <headerFooter scaleWithDoc="0">
    <oddFooter>&amp;C&amp;"Arial,Regular"Page &amp;P</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18DDA143-A824-44DF-955D-E0145861BCE8}"/>
</file>

<file path=customXml/itemProps2.xml><?xml version="1.0" encoding="utf-8"?>
<ds:datastoreItem xmlns:ds="http://schemas.openxmlformats.org/officeDocument/2006/customXml" ds:itemID="{03A65312-EDD8-4ED5-85CD-21EC9D2BFEF5}">
  <ds:schemaRefs>
    <ds:schemaRef ds:uri="86bba511-a209-4eb0-be0d-ee7ac194d00d"/>
    <ds:schemaRef ds:uri="http://purl.org/dc/elements/1.1/"/>
    <ds:schemaRef ds:uri="http://www.w3.org/XML/1998/namespace"/>
    <ds:schemaRef ds:uri="http://purl.org/dc/dcmitype/"/>
    <ds:schemaRef ds:uri="9bdfd4bf-119e-4631-998a-4264a3931f71"/>
    <ds:schemaRef ds:uri="http://schemas.microsoft.com/office/2006/documentManagement/types"/>
    <ds:schemaRef ds:uri="http://schemas.microsoft.com/office/2006/metadata/properties"/>
    <ds:schemaRef ds:uri="http://schemas.microsoft.com/office/infopath/2007/PartnerControls"/>
    <ds:schemaRef ds:uri="http://schemas.openxmlformats.org/package/2006/metadata/core-properties"/>
    <ds:schemaRef ds:uri="77e10ac2-5914-4b7d-99a4-10e9e0a607d6"/>
    <ds:schemaRef ds:uri="http://purl.org/dc/terms/"/>
  </ds:schemaRefs>
</ds:datastoreItem>
</file>

<file path=customXml/itemProps3.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4.xml><?xml version="1.0" encoding="utf-8"?>
<ds:datastoreItem xmlns:ds="http://schemas.openxmlformats.org/officeDocument/2006/customXml" ds:itemID="{85AF6C82-426D-4E2A-9C34-C656E30729C1}"/>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26</vt:i4>
      </vt:variant>
      <vt:variant>
        <vt:lpstr>Named Ranges</vt:lpstr>
      </vt:variant>
      <vt:variant>
        <vt:i4>23</vt:i4>
      </vt:variant>
    </vt:vector>
  </HeadingPairs>
  <TitlesOfParts>
    <vt:vector size="49" baseType="lpstr">
      <vt:lpstr>Cover Page</vt:lpstr>
      <vt:lpstr>Contents</vt:lpstr>
      <vt:lpstr>Facility Info</vt:lpstr>
      <vt:lpstr>Operational Data</vt:lpstr>
      <vt:lpstr>Ops Data Raw</vt:lpstr>
      <vt:lpstr>Operational Summary</vt:lpstr>
      <vt:lpstr>Perf. Form 1</vt:lpstr>
      <vt:lpstr>Perf. Form RAW data</vt:lpstr>
      <vt:lpstr>Energy Form 1</vt:lpstr>
      <vt:lpstr>Improvements</vt:lpstr>
      <vt:lpstr>Permit Compliance</vt:lpstr>
      <vt:lpstr>Public Liasion</vt:lpstr>
      <vt:lpstr>Air (periodic)</vt:lpstr>
      <vt:lpstr>Periodic Raw</vt:lpstr>
      <vt:lpstr>CO2 N2O</vt:lpstr>
      <vt:lpstr>Residue Quality </vt:lpstr>
      <vt:lpstr>Water</vt:lpstr>
      <vt:lpstr>Air (CEMS)</vt:lpstr>
      <vt:lpstr>HCl</vt:lpstr>
      <vt:lpstr>SO2</vt:lpstr>
      <vt:lpstr>NOx</vt:lpstr>
      <vt:lpstr>TOC</vt:lpstr>
      <vt:lpstr>Particulates</vt:lpstr>
      <vt:lpstr>CO 0.5hourly</vt:lpstr>
      <vt:lpstr>CO 95% 10 min</vt:lpstr>
      <vt:lpstr>NH3</vt:lpstr>
      <vt:lpstr>'Air (CEMS)'!Print_Area</vt:lpstr>
      <vt:lpstr>'Air (periodic)'!Print_Area</vt:lpstr>
      <vt:lpstr>'CO 0.5hourly'!Print_Area</vt:lpstr>
      <vt:lpstr>'CO 95% 10 min'!Print_Area</vt:lpstr>
      <vt:lpstr>'CO2 N2O'!Print_Area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Jonas</dc:creator>
  <cp:lastModifiedBy>Edward Elcock</cp:lastModifiedBy>
  <cp:lastPrinted>2023-01-30T14:16:55Z</cp:lastPrinted>
  <dcterms:created xsi:type="dcterms:W3CDTF">2019-04-02T06:44:55Z</dcterms:created>
  <dcterms:modified xsi:type="dcterms:W3CDTF">2023-01-31T19:48:45Z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Distribution">
    <vt:lpwstr>9;#Internal EA|b77da37e-7166-4741-8c12-4679faab22d9</vt:lpwstr>
  </property>
  <property fmtid="{D5CDD505-2E9C-101B-9397-08002B2CF9AE}" pid="5" name="HOCopyrightLevel">
    <vt:lpwstr>7;#Crown|69589897-2828-4761-976e-717fd8e631c9</vt:lpwstr>
  </property>
  <property fmtid="{D5CDD505-2E9C-101B-9397-08002B2CF9AE}" pid="6" name="HOGovernmentSecurityClassification">
    <vt:lpwstr>6;#Official|14c80daa-741b-422c-9722-f71693c9ede4</vt:lpwstr>
  </property>
  <property fmtid="{D5CDD505-2E9C-101B-9397-08002B2CF9AE}" pid="7" name="HOSiteType">
    <vt:lpwstr>10;#Community|144ac7d7-0b9a-42f9-9385-2935294b6de3</vt:lpwstr>
  </property>
  <property fmtid="{D5CDD505-2E9C-101B-9397-08002B2CF9AE}" pid="8" name="OrganisationalUnit">
    <vt:lpwstr>8;#EA|d5f78ddb-b1b6-4328-9877-d7e3ed06fdac</vt:lpwstr>
  </property>
  <property fmtid="{D5CDD505-2E9C-101B-9397-08002B2CF9AE}" pid="9" name="InformationType">
    <vt:lpwstr/>
  </property>
</Properties>
</file>